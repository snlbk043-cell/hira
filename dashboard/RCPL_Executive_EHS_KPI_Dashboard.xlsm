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cident Register" sheetId="1" r:id="rId1"/>
    <sheet name="First Aid Register" sheetId="2" r:id="rId2"/>
    <sheet name="Near Miss Register" sheetId="3" r:id="rId3"/>
    <sheet name="Safety Observation Register" sheetId="4" r:id="rId4"/>
    <sheet name="Unsafe Act Register" sheetId="5" r:id="rId5"/>
    <sheet name="Unsafe Condition Register" sheetId="6" r:id="rId6"/>
    <sheet name="Inspection Register" sheetId="7" r:id="rId7"/>
    <sheet name="Audit Register" sheetId="8" r:id="rId8"/>
    <sheet name="Statutory Compliance Register" sheetId="9" r:id="rId9"/>
    <sheet name="Permit To Work Register" sheetId="10" r:id="rId10"/>
    <sheet name="Training Register" sheetId="11" r:id="rId11"/>
    <sheet name="PPE Compliance Register" sheetId="12" r:id="rId12"/>
    <sheet name="Contractor Safety Register" sheetId="13" r:id="rId13"/>
    <sheet name="Toolbox Talk Register" sheetId="14" r:id="rId14"/>
    <sheet name="BBS Observation Register" sheetId="15" r:id="rId15"/>
    <sheet name="Emergency Drill Register" sheetId="16" r:id="rId16"/>
    <sheet name="Fire Equipment Inspection" sheetId="17" r:id="rId17"/>
    <sheet name="Risk Assessment Register" sheetId="18" r:id="rId18"/>
    <sheet name="CAPA Tracker" sheetId="19" r:id="rId19"/>
    <sheet name="Man-hours Master" sheetId="20" r:id="rId20"/>
    <sheet name="Master Data" sheetId="21" r:id="rId21"/>
    <sheet name="Calculations" sheetId="22" r:id="rId22"/>
    <sheet name="Home" sheetId="23" r:id="rId23"/>
    <sheet name="Executive Dashboard" sheetId="24" r:id="rId24"/>
    <sheet name="Incident Dashboard" sheetId="25" r:id="rId25"/>
    <sheet name="Inspection Dashboard" sheetId="26" r:id="rId26"/>
    <sheet name="Audit Dashboard" sheetId="27" r:id="rId27"/>
    <sheet name="Training Dashboard" sheetId="28" r:id="rId28"/>
    <sheet name="PTW Dashboard" sheetId="29" r:id="rId29"/>
    <sheet name="Statutory Dashboard" sheetId="30" r:id="rId30"/>
    <sheet name="CAPA Dashboard" sheetId="31" r:id="rId31"/>
    <sheet name="Department Dashboard" sheetId="32" r:id="rId32"/>
    <sheet name="Documentation" sheetId="33" r:id="rId33"/>
    <sheet name="Instructions" sheetId="34" r:id="rId34"/>
    <sheet name="Formula Sheet" sheetId="35" r:id="rId35"/>
  </sheets>
  <definedNames>
    <definedName name="aCrit">'Calculations'!$C$8</definedName>
    <definedName name="ActionClosure">'Calculations'!$C$37</definedName>
    <definedName name="AuditComp">'Calculations'!$C$33</definedName>
    <definedName name="DashYear">'Calculations'!$C$10</definedName>
    <definedName name="dCrit">'Calculations'!$C$7</definedName>
    <definedName name="FirstAid">'Calculations'!$C$18</definedName>
    <definedName name="FrequencyRate">'Calculations'!$C$29</definedName>
    <definedName name="GoodCatch">'Calculations'!$C$24</definedName>
    <definedName name="HiPoNM">'Calculations'!$C$20</definedName>
    <definedName name="InspComp">'Calculations'!$C$32</definedName>
    <definedName name="LastRefresh">'Home'!$K$10</definedName>
    <definedName name="LostDays">'Calculations'!$C$25</definedName>
    <definedName name="LTI">'Calculations'!$C$14</definedName>
    <definedName name="LTIFR">'Calculations'!$C$27</definedName>
    <definedName name="Manhours">'Calculations'!$C$13</definedName>
    <definedName name="mCrit">'Calculations'!$C$6</definedName>
    <definedName name="MTC">'Calculations'!$C$15</definedName>
    <definedName name="NearMiss">'Calculations'!$C$19</definedName>
    <definedName name="NearMissRate">'Calculations'!$C$30</definedName>
    <definedName name="ObsClosure">'Calculations'!$C$38</definedName>
    <definedName name="PPEComp">'Calculations'!$C$35</definedName>
    <definedName name="PTWComp">'Calculations'!$C$31</definedName>
    <definedName name="Recordable">'Calculations'!$C$17</definedName>
    <definedName name="RWC">'Calculations'!$C$16</definedName>
    <definedName name="SafetyObs">'Calculations'!$C$21</definedName>
    <definedName name="SafetyPerfIndex">'Calculations'!$C$40</definedName>
    <definedName name="SafetyScore">'Calculations'!$C$39</definedName>
    <definedName name="sCrit">'Calculations'!$C$9</definedName>
    <definedName name="SelArea">'Executive Dashboard'!$L$12</definedName>
    <definedName name="SelDept">'Executive Dashboard'!$I$12</definedName>
    <definedName name="SelMonth">'Executive Dashboard'!$F$12</definedName>
    <definedName name="SelShift">'Executive Dashboard'!$O$12</definedName>
    <definedName name="SelYear">'Executive Dashboard'!$C$12</definedName>
    <definedName name="SeverityRate">'Calculations'!$C$28</definedName>
    <definedName name="StatComp">'Calculations'!$C$36</definedName>
    <definedName name="TrainComp">'Calculations'!$C$34</definedName>
    <definedName name="TRIR">'Calculations'!$C$26</definedName>
    <definedName name="UnsafeActs">'Calculations'!$C$22</definedName>
    <definedName name="UnsafeConds">'Calculations'!$C$23</definedName>
    <definedName name="yCrit">'Calculations'!$C$5</definedName>
  </definedNames>
  <calcPr calcId="124519" fullCalcOnLoad="1"/>
</workbook>
</file>

<file path=xl/sharedStrings.xml><?xml version="1.0" encoding="utf-8"?>
<sst xmlns="http://schemas.openxmlformats.org/spreadsheetml/2006/main" count="48923" uniqueCount="6449">
  <si>
    <t>INC-1001</t>
  </si>
  <si>
    <t>Jan</t>
  </si>
  <si>
    <t>Packaging</t>
  </si>
  <si>
    <t>ETP/WTP</t>
  </si>
  <si>
    <t>Shift B</t>
  </si>
  <si>
    <t>First Aid Case</t>
  </si>
  <si>
    <t>Critical</t>
  </si>
  <si>
    <t>Procedure Not Followed</t>
  </si>
  <si>
    <t>RCPL Direct</t>
  </si>
  <si>
    <t>Permanent</t>
  </si>
  <si>
    <t>Closed</t>
  </si>
  <si>
    <t>INC-1002</t>
  </si>
  <si>
    <t>Shift C</t>
  </si>
  <si>
    <t>Low</t>
  </si>
  <si>
    <t>Slip/Trip/Fall</t>
  </si>
  <si>
    <t>CleanPro Facility</t>
  </si>
  <si>
    <t>Contract</t>
  </si>
  <si>
    <t>Open</t>
  </si>
  <si>
    <t>INC-1003</t>
  </si>
  <si>
    <t>Water Treatment</t>
  </si>
  <si>
    <t>Workshop</t>
  </si>
  <si>
    <t>Struck by Object</t>
  </si>
  <si>
    <t>SafeBuild Infra</t>
  </si>
  <si>
    <t>In Progress</t>
  </si>
  <si>
    <t>INC-1004</t>
  </si>
  <si>
    <t>Feb</t>
  </si>
  <si>
    <t>Production-CSD</t>
  </si>
  <si>
    <t>Filling Line 1</t>
  </si>
  <si>
    <t>Lost Time Injury</t>
  </si>
  <si>
    <t>Visitor</t>
  </si>
  <si>
    <t>INC-1005</t>
  </si>
  <si>
    <t>Production-Blowing</t>
  </si>
  <si>
    <t>Blow Molding</t>
  </si>
  <si>
    <t>Shift A</t>
  </si>
  <si>
    <t>High</t>
  </si>
  <si>
    <t>PowerMech Services</t>
  </si>
  <si>
    <t>Trainee</t>
  </si>
  <si>
    <t>INC-1006</t>
  </si>
  <si>
    <t>Syrup Room</t>
  </si>
  <si>
    <t>INC-1007</t>
  </si>
  <si>
    <t>Warehouse</t>
  </si>
  <si>
    <t>PPE Non-Use</t>
  </si>
  <si>
    <t>AquaTech</t>
  </si>
  <si>
    <t>INC-1008</t>
  </si>
  <si>
    <t>General</t>
  </si>
  <si>
    <t>Medical Treatment Case</t>
  </si>
  <si>
    <t>INC-1009</t>
  </si>
  <si>
    <t>Utilities</t>
  </si>
  <si>
    <t>Filling Line 2</t>
  </si>
  <si>
    <t>Environmental Spill</t>
  </si>
  <si>
    <t>Catastrophic</t>
  </si>
  <si>
    <t>Electrical</t>
  </si>
  <si>
    <t>LogiTrans</t>
  </si>
  <si>
    <t>INC-1010</t>
  </si>
  <si>
    <t>Quality</t>
  </si>
  <si>
    <t>QC Lab</t>
  </si>
  <si>
    <t>Machine Guarding</t>
  </si>
  <si>
    <t>INC-1011</t>
  </si>
  <si>
    <t>Ergonomic Strain</t>
  </si>
  <si>
    <t>INC-1012</t>
  </si>
  <si>
    <t>Mar</t>
  </si>
  <si>
    <t>RM Warehouse</t>
  </si>
  <si>
    <t>Property Damage</t>
  </si>
  <si>
    <t>INC-1013</t>
  </si>
  <si>
    <t>Loading Bay</t>
  </si>
  <si>
    <t>Fire</t>
  </si>
  <si>
    <t>INC-1014</t>
  </si>
  <si>
    <t>Engineering</t>
  </si>
  <si>
    <t>INC-1015</t>
  </si>
  <si>
    <t>FG Warehouse</t>
  </si>
  <si>
    <t>Medium</t>
  </si>
  <si>
    <t>Caught In/Between</t>
  </si>
  <si>
    <t>INC-1016</t>
  </si>
  <si>
    <t>Apr</t>
  </si>
  <si>
    <t>Compressor Room</t>
  </si>
  <si>
    <t>INC-1017</t>
  </si>
  <si>
    <t>INC-1018</t>
  </si>
  <si>
    <t>INC-1019</t>
  </si>
  <si>
    <t>Logistics</t>
  </si>
  <si>
    <t>INC-1020</t>
  </si>
  <si>
    <t>INC-1021</t>
  </si>
  <si>
    <t>INC-1022</t>
  </si>
  <si>
    <t>INC-1023</t>
  </si>
  <si>
    <t>May</t>
  </si>
  <si>
    <t>Poor Housekeeping</t>
  </si>
  <si>
    <t>INC-1024</t>
  </si>
  <si>
    <t>INC-1025</t>
  </si>
  <si>
    <t>Jun</t>
  </si>
  <si>
    <t>INC-1026</t>
  </si>
  <si>
    <t>INC-1027</t>
  </si>
  <si>
    <t>INC-1028</t>
  </si>
  <si>
    <t>INC-1029</t>
  </si>
  <si>
    <t>INC-1030</t>
  </si>
  <si>
    <t>Jul</t>
  </si>
  <si>
    <t>Boiler House</t>
  </si>
  <si>
    <t>INC-1031</t>
  </si>
  <si>
    <t>INC-1032</t>
  </si>
  <si>
    <t>INC-1033</t>
  </si>
  <si>
    <t>INC-1034</t>
  </si>
  <si>
    <t>Restricted Work Case</t>
  </si>
  <si>
    <t>INC-1035</t>
  </si>
  <si>
    <t>Aug</t>
  </si>
  <si>
    <t>INC-1036</t>
  </si>
  <si>
    <t>INC-1037</t>
  </si>
  <si>
    <t>INC-1038</t>
  </si>
  <si>
    <t>Sep</t>
  </si>
  <si>
    <t>INC-1039</t>
  </si>
  <si>
    <t>Chemical Exposure</t>
  </si>
  <si>
    <t>INC-1040</t>
  </si>
  <si>
    <t>INC-1041</t>
  </si>
  <si>
    <t>INC-1042</t>
  </si>
  <si>
    <t>INC-1043</t>
  </si>
  <si>
    <t>INC-1044</t>
  </si>
  <si>
    <t>Oct</t>
  </si>
  <si>
    <t>INC-1045</t>
  </si>
  <si>
    <t>INC-1046</t>
  </si>
  <si>
    <t>INC-1047</t>
  </si>
  <si>
    <t>Nov</t>
  </si>
  <si>
    <t>INC-1048</t>
  </si>
  <si>
    <t>INC-1049</t>
  </si>
  <si>
    <t>INC-1050</t>
  </si>
  <si>
    <t>INC-1051</t>
  </si>
  <si>
    <t>INC-1052</t>
  </si>
  <si>
    <t>INC-1053</t>
  </si>
  <si>
    <t>Dec</t>
  </si>
  <si>
    <t>INC-1054</t>
  </si>
  <si>
    <t>INC-1055</t>
  </si>
  <si>
    <t>INC-1056</t>
  </si>
  <si>
    <t>INC-1057</t>
  </si>
  <si>
    <t>INC-1058</t>
  </si>
  <si>
    <t>INC-1059</t>
  </si>
  <si>
    <t>INC-1060</t>
  </si>
  <si>
    <t>INC-1061</t>
  </si>
  <si>
    <t>INC-1062</t>
  </si>
  <si>
    <t>INC-1063</t>
  </si>
  <si>
    <t>INC-1064</t>
  </si>
  <si>
    <t>INC-1065</t>
  </si>
  <si>
    <t>INC-1066</t>
  </si>
  <si>
    <t>INC-1067</t>
  </si>
  <si>
    <t>INC-1068</t>
  </si>
  <si>
    <t>INC-1069</t>
  </si>
  <si>
    <t>INC-1070</t>
  </si>
  <si>
    <t>INC-1071</t>
  </si>
  <si>
    <t>INC-1072</t>
  </si>
  <si>
    <t>INC-1073</t>
  </si>
  <si>
    <t>INC-1074</t>
  </si>
  <si>
    <t>INC-1075</t>
  </si>
  <si>
    <t>INC-1076</t>
  </si>
  <si>
    <t>INC-1077</t>
  </si>
  <si>
    <t>INC-1078</t>
  </si>
  <si>
    <t>INC-1079</t>
  </si>
  <si>
    <t>INC-1080</t>
  </si>
  <si>
    <t>INC-1081</t>
  </si>
  <si>
    <t>INC-1082</t>
  </si>
  <si>
    <t>INC-1083</t>
  </si>
  <si>
    <t>INC-1084</t>
  </si>
  <si>
    <t>INC-1085</t>
  </si>
  <si>
    <t>INC-1086</t>
  </si>
  <si>
    <t>INC-1087</t>
  </si>
  <si>
    <t>INC-1088</t>
  </si>
  <si>
    <t>INC-1089</t>
  </si>
  <si>
    <t>INC-1090</t>
  </si>
  <si>
    <t>INC-1091</t>
  </si>
  <si>
    <t>INC-1092</t>
  </si>
  <si>
    <t>INC-1093</t>
  </si>
  <si>
    <t>INC-1094</t>
  </si>
  <si>
    <t>INC-1095</t>
  </si>
  <si>
    <t>INC-1096</t>
  </si>
  <si>
    <t>INC-1097</t>
  </si>
  <si>
    <t>INC-1098</t>
  </si>
  <si>
    <t>INC-1099</t>
  </si>
  <si>
    <t>INC-1100</t>
  </si>
  <si>
    <t>INC-1101</t>
  </si>
  <si>
    <t>INC-1102</t>
  </si>
  <si>
    <t>INC-1103</t>
  </si>
  <si>
    <t>INC-1104</t>
  </si>
  <si>
    <t>INC-1105</t>
  </si>
  <si>
    <t>INC-1106</t>
  </si>
  <si>
    <t>INC-1107</t>
  </si>
  <si>
    <t>INC-1108</t>
  </si>
  <si>
    <t>INC-1109</t>
  </si>
  <si>
    <t>INC-1110</t>
  </si>
  <si>
    <t>INC-1111</t>
  </si>
  <si>
    <t>INC-1112</t>
  </si>
  <si>
    <t>INC-1113</t>
  </si>
  <si>
    <t>INC-1114</t>
  </si>
  <si>
    <t>Incident ID</t>
  </si>
  <si>
    <t>Date</t>
  </si>
  <si>
    <t>Year</t>
  </si>
  <si>
    <t>Month</t>
  </si>
  <si>
    <t>Month Name</t>
  </si>
  <si>
    <t>Department</t>
  </si>
  <si>
    <t>Area</t>
  </si>
  <si>
    <t>Shift</t>
  </si>
  <si>
    <t>Incident Type</t>
  </si>
  <si>
    <t>Severity</t>
  </si>
  <si>
    <t>Severity Score</t>
  </si>
  <si>
    <t>Root Cause</t>
  </si>
  <si>
    <t>Contractor</t>
  </si>
  <si>
    <t>Employee Category</t>
  </si>
  <si>
    <t>Lost Days</t>
  </si>
  <si>
    <t>Status</t>
  </si>
  <si>
    <t>Date Closed</t>
  </si>
  <si>
    <t>Home</t>
  </si>
  <si>
    <t>FA-2001</t>
  </si>
  <si>
    <t>Eye</t>
  </si>
  <si>
    <t>FA-2002</t>
  </si>
  <si>
    <t>Torso</t>
  </si>
  <si>
    <t>FA-2003</t>
  </si>
  <si>
    <t>FA-2004</t>
  </si>
  <si>
    <t>FA-2005</t>
  </si>
  <si>
    <t>Arm</t>
  </si>
  <si>
    <t>FA-2006</t>
  </si>
  <si>
    <t>Finger</t>
  </si>
  <si>
    <t>FA-2007</t>
  </si>
  <si>
    <t>Foot</t>
  </si>
  <si>
    <t>FA-2008</t>
  </si>
  <si>
    <t>Hand</t>
  </si>
  <si>
    <t>FA-2009</t>
  </si>
  <si>
    <t>Head</t>
  </si>
  <si>
    <t>FA-2010</t>
  </si>
  <si>
    <t>FA-2011</t>
  </si>
  <si>
    <t>FA-2012</t>
  </si>
  <si>
    <t>FA-2013</t>
  </si>
  <si>
    <t>FA-2014</t>
  </si>
  <si>
    <t>FA-2015</t>
  </si>
  <si>
    <t>FA-2016</t>
  </si>
  <si>
    <t>FA-2017</t>
  </si>
  <si>
    <t>FA-2018</t>
  </si>
  <si>
    <t>FA-2019</t>
  </si>
  <si>
    <t>FA-2020</t>
  </si>
  <si>
    <t>Leg</t>
  </si>
  <si>
    <t>FA-2021</t>
  </si>
  <si>
    <t>FA-2022</t>
  </si>
  <si>
    <t>FA-2023</t>
  </si>
  <si>
    <t>FA-2024</t>
  </si>
  <si>
    <t>FA-2025</t>
  </si>
  <si>
    <t>FA-2026</t>
  </si>
  <si>
    <t>FA-2027</t>
  </si>
  <si>
    <t>FA-2028</t>
  </si>
  <si>
    <t>FA-2029</t>
  </si>
  <si>
    <t>FA-2030</t>
  </si>
  <si>
    <t>FA-2031</t>
  </si>
  <si>
    <t>FA-2032</t>
  </si>
  <si>
    <t>FA-2033</t>
  </si>
  <si>
    <t>Back</t>
  </si>
  <si>
    <t>FA-2034</t>
  </si>
  <si>
    <t>FA-2035</t>
  </si>
  <si>
    <t>FA-2036</t>
  </si>
  <si>
    <t>FA-2037</t>
  </si>
  <si>
    <t>FA-2038</t>
  </si>
  <si>
    <t>FA-2039</t>
  </si>
  <si>
    <t>FA-2040</t>
  </si>
  <si>
    <t>FA-2041</t>
  </si>
  <si>
    <t>FA-2042</t>
  </si>
  <si>
    <t>FA-2043</t>
  </si>
  <si>
    <t>FA-2044</t>
  </si>
  <si>
    <t>FA-2045</t>
  </si>
  <si>
    <t>FA-2046</t>
  </si>
  <si>
    <t>FA-2047</t>
  </si>
  <si>
    <t>FA-2048</t>
  </si>
  <si>
    <t>FA-2049</t>
  </si>
  <si>
    <t>FA-2050</t>
  </si>
  <si>
    <t>FA-2051</t>
  </si>
  <si>
    <t>FA-2052</t>
  </si>
  <si>
    <t>FA-2053</t>
  </si>
  <si>
    <t>FA-2054</t>
  </si>
  <si>
    <t>FA-2055</t>
  </si>
  <si>
    <t>FA-2056</t>
  </si>
  <si>
    <t>FA-2057</t>
  </si>
  <si>
    <t>FA-2058</t>
  </si>
  <si>
    <t>FA-2059</t>
  </si>
  <si>
    <t>FA-2060</t>
  </si>
  <si>
    <t>FA-2061</t>
  </si>
  <si>
    <t>FA-2062</t>
  </si>
  <si>
    <t>FA-2063</t>
  </si>
  <si>
    <t>FA-2064</t>
  </si>
  <si>
    <t>FA-2065</t>
  </si>
  <si>
    <t>FA-2066</t>
  </si>
  <si>
    <t>FA-2067</t>
  </si>
  <si>
    <t>FA-2068</t>
  </si>
  <si>
    <t>FA-2069</t>
  </si>
  <si>
    <t>FA-2070</t>
  </si>
  <si>
    <t>FA-2071</t>
  </si>
  <si>
    <t>FA-2072</t>
  </si>
  <si>
    <t>FA-2073</t>
  </si>
  <si>
    <t>FA-2074</t>
  </si>
  <si>
    <t>FA-2075</t>
  </si>
  <si>
    <t>FA-2076</t>
  </si>
  <si>
    <t>FA-2077</t>
  </si>
  <si>
    <t>FA-2078</t>
  </si>
  <si>
    <t>FA-2079</t>
  </si>
  <si>
    <t>FA-2080</t>
  </si>
  <si>
    <t>FA-2081</t>
  </si>
  <si>
    <t>FA-2082</t>
  </si>
  <si>
    <t>FA-2083</t>
  </si>
  <si>
    <t>FA-2084</t>
  </si>
  <si>
    <t>FA-2085</t>
  </si>
  <si>
    <t>FA-2086</t>
  </si>
  <si>
    <t>FA-2087</t>
  </si>
  <si>
    <t>FA-2088</t>
  </si>
  <si>
    <t>FA-2089</t>
  </si>
  <si>
    <t>FA-2090</t>
  </si>
  <si>
    <t>FA-2091</t>
  </si>
  <si>
    <t>FA-2092</t>
  </si>
  <si>
    <t>FA-2093</t>
  </si>
  <si>
    <t>FA-2094</t>
  </si>
  <si>
    <t>FA-2095</t>
  </si>
  <si>
    <t>FA-2096</t>
  </si>
  <si>
    <t>FA-2097</t>
  </si>
  <si>
    <t>FA-2098</t>
  </si>
  <si>
    <t>FA-2099</t>
  </si>
  <si>
    <t>FA-2100</t>
  </si>
  <si>
    <t>FA-2101</t>
  </si>
  <si>
    <t>FA-2102</t>
  </si>
  <si>
    <t>FA-2103</t>
  </si>
  <si>
    <t>FA-2104</t>
  </si>
  <si>
    <t>FA-2105</t>
  </si>
  <si>
    <t>FA-2106</t>
  </si>
  <si>
    <t>FA-2107</t>
  </si>
  <si>
    <t>FA-2108</t>
  </si>
  <si>
    <t>FA-2109</t>
  </si>
  <si>
    <t>FA-2110</t>
  </si>
  <si>
    <t>FA-2111</t>
  </si>
  <si>
    <t>FA-2112</t>
  </si>
  <si>
    <t>FA-2113</t>
  </si>
  <si>
    <t>FA-2114</t>
  </si>
  <si>
    <t>FA-2115</t>
  </si>
  <si>
    <t>FA-2116</t>
  </si>
  <si>
    <t>FA-2117</t>
  </si>
  <si>
    <t>FA-2118</t>
  </si>
  <si>
    <t>FA-2119</t>
  </si>
  <si>
    <t>FA-2120</t>
  </si>
  <si>
    <t>FA-2121</t>
  </si>
  <si>
    <t>FA-2122</t>
  </si>
  <si>
    <t>FA-2123</t>
  </si>
  <si>
    <t>FA-2124</t>
  </si>
  <si>
    <t>FA-2125</t>
  </si>
  <si>
    <t>FA-2126</t>
  </si>
  <si>
    <t>FA-2127</t>
  </si>
  <si>
    <t>FA-2128</t>
  </si>
  <si>
    <t>FA-2129</t>
  </si>
  <si>
    <t>FA-2130</t>
  </si>
  <si>
    <t>FA-2131</t>
  </si>
  <si>
    <t>FA-2132</t>
  </si>
  <si>
    <t>FA-2133</t>
  </si>
  <si>
    <t>FA-2134</t>
  </si>
  <si>
    <t>FA-2135</t>
  </si>
  <si>
    <t>FA-2136</t>
  </si>
  <si>
    <t>FA-2137</t>
  </si>
  <si>
    <t>FA-2138</t>
  </si>
  <si>
    <t>FA-2139</t>
  </si>
  <si>
    <t>FA-2140</t>
  </si>
  <si>
    <t>FA-2141</t>
  </si>
  <si>
    <t>FA-2142</t>
  </si>
  <si>
    <t>FA-2143</t>
  </si>
  <si>
    <t>FA-2144</t>
  </si>
  <si>
    <t>FA-2145</t>
  </si>
  <si>
    <t>FA-2146</t>
  </si>
  <si>
    <t>FA-2147</t>
  </si>
  <si>
    <t>FA-2148</t>
  </si>
  <si>
    <t>FA-2149</t>
  </si>
  <si>
    <t>FA-2150</t>
  </si>
  <si>
    <t>FA-2151</t>
  </si>
  <si>
    <t>FA-2152</t>
  </si>
  <si>
    <t>FA-2153</t>
  </si>
  <si>
    <t>FA-2154</t>
  </si>
  <si>
    <t>FA-2155</t>
  </si>
  <si>
    <t>FA-2156</t>
  </si>
  <si>
    <t>FA-2157</t>
  </si>
  <si>
    <t>FA-2158</t>
  </si>
  <si>
    <t>FA-2159</t>
  </si>
  <si>
    <t>FA-2160</t>
  </si>
  <si>
    <t>FA-2161</t>
  </si>
  <si>
    <t>FA-2162</t>
  </si>
  <si>
    <t>FA-2163</t>
  </si>
  <si>
    <t>FA-2164</t>
  </si>
  <si>
    <t>FA-2165</t>
  </si>
  <si>
    <t>FA-2166</t>
  </si>
  <si>
    <t>FA-2167</t>
  </si>
  <si>
    <t>FA-2168</t>
  </si>
  <si>
    <t>FA-2169</t>
  </si>
  <si>
    <t>FA-2170</t>
  </si>
  <si>
    <t>FA-2171</t>
  </si>
  <si>
    <t>FA-2172</t>
  </si>
  <si>
    <t>FA-2173</t>
  </si>
  <si>
    <t>FA-2174</t>
  </si>
  <si>
    <t>FA-2175</t>
  </si>
  <si>
    <t>FA-2176</t>
  </si>
  <si>
    <t>FA-2177</t>
  </si>
  <si>
    <t>FA-2178</t>
  </si>
  <si>
    <t>FA-2179</t>
  </si>
  <si>
    <t>FA-2180</t>
  </si>
  <si>
    <t>FA-2181</t>
  </si>
  <si>
    <t>FA-2182</t>
  </si>
  <si>
    <t>FA-2183</t>
  </si>
  <si>
    <t>FA-2184</t>
  </si>
  <si>
    <t>FA-2185</t>
  </si>
  <si>
    <t>FA-2186</t>
  </si>
  <si>
    <t>FA-2187</t>
  </si>
  <si>
    <t>FA-2188</t>
  </si>
  <si>
    <t>FA-2189</t>
  </si>
  <si>
    <t>FA-2190</t>
  </si>
  <si>
    <t>FA-2191</t>
  </si>
  <si>
    <t>FA-2192</t>
  </si>
  <si>
    <t>FA-2193</t>
  </si>
  <si>
    <t>FA-2194</t>
  </si>
  <si>
    <t>FA-2195</t>
  </si>
  <si>
    <t>FA-2196</t>
  </si>
  <si>
    <t>FA-2197</t>
  </si>
  <si>
    <t>FA-2198</t>
  </si>
  <si>
    <t>FA-2199</t>
  </si>
  <si>
    <t>FA-2200</t>
  </si>
  <si>
    <t>FA-2201</t>
  </si>
  <si>
    <t>FA-2202</t>
  </si>
  <si>
    <t>FA-2203</t>
  </si>
  <si>
    <t>FA-2204</t>
  </si>
  <si>
    <t>FA-2205</t>
  </si>
  <si>
    <t>FA-2206</t>
  </si>
  <si>
    <t>FA-2207</t>
  </si>
  <si>
    <t>FA-2208</t>
  </si>
  <si>
    <t>FA-2209</t>
  </si>
  <si>
    <t>FA-2210</t>
  </si>
  <si>
    <t>FA-2211</t>
  </si>
  <si>
    <t>FA-2212</t>
  </si>
  <si>
    <t>FA ID</t>
  </si>
  <si>
    <t>Body Part</t>
  </si>
  <si>
    <t>NM-3001</t>
  </si>
  <si>
    <t>Operating Without Authority</t>
  </si>
  <si>
    <t>Standard</t>
  </si>
  <si>
    <t>NM-3002</t>
  </si>
  <si>
    <t>Slippery Floor</t>
  </si>
  <si>
    <t>NM-3003</t>
  </si>
  <si>
    <t>High Potential</t>
  </si>
  <si>
    <t>NM-3004</t>
  </si>
  <si>
    <t>Chemical Leak</t>
  </si>
  <si>
    <t>NM-3005</t>
  </si>
  <si>
    <t>NM-3006</t>
  </si>
  <si>
    <t>Faulty Ladder</t>
  </si>
  <si>
    <t>NM-3007</t>
  </si>
  <si>
    <t>Blocked Walkway</t>
  </si>
  <si>
    <t>NM-3008</t>
  </si>
  <si>
    <t>Exposed Wiring</t>
  </si>
  <si>
    <t>NM-3009</t>
  </si>
  <si>
    <t>Wrong Tool Use</t>
  </si>
  <si>
    <t>NM-3010</t>
  </si>
  <si>
    <t>Working Without Permit</t>
  </si>
  <si>
    <t>NM-3011</t>
  </si>
  <si>
    <t>NM-3012</t>
  </si>
  <si>
    <t>NM-3013</t>
  </si>
  <si>
    <t>NM-3014</t>
  </si>
  <si>
    <t>NM-3015</t>
  </si>
  <si>
    <t>Blocked Fire Exit</t>
  </si>
  <si>
    <t>NM-3016</t>
  </si>
  <si>
    <t>Using Defective Equipment</t>
  </si>
  <si>
    <t>NM-3017</t>
  </si>
  <si>
    <t>NM-3018</t>
  </si>
  <si>
    <t>Forklift Overspeeding</t>
  </si>
  <si>
    <t>NM-3019</t>
  </si>
  <si>
    <t>NM-3020</t>
  </si>
  <si>
    <t>Bypassing Safety Device</t>
  </si>
  <si>
    <t>NM-3021</t>
  </si>
  <si>
    <t>Damaged Machine Guard</t>
  </si>
  <si>
    <t>NM-3022</t>
  </si>
  <si>
    <t>Inadequate Lighting</t>
  </si>
  <si>
    <t>NM-3023</t>
  </si>
  <si>
    <t>LOTO Not Followed</t>
  </si>
  <si>
    <t>NM-3024</t>
  </si>
  <si>
    <t>NM-3025</t>
  </si>
  <si>
    <t>NM-3026</t>
  </si>
  <si>
    <t>Not Using PPE</t>
  </si>
  <si>
    <t>NM-3027</t>
  </si>
  <si>
    <t>NM-3028</t>
  </si>
  <si>
    <t>Missing Signage</t>
  </si>
  <si>
    <t>NM-3029</t>
  </si>
  <si>
    <t>NM-3030</t>
  </si>
  <si>
    <t>NM-3031</t>
  </si>
  <si>
    <t>NM-3032</t>
  </si>
  <si>
    <t>NM-3033</t>
  </si>
  <si>
    <t>NM-3034</t>
  </si>
  <si>
    <t>NM-3035</t>
  </si>
  <si>
    <t>NM-3036</t>
  </si>
  <si>
    <t>NM-3037</t>
  </si>
  <si>
    <t>NM-3038</t>
  </si>
  <si>
    <t>NM-3039</t>
  </si>
  <si>
    <t>NM-3040</t>
  </si>
  <si>
    <t>NM-3041</t>
  </si>
  <si>
    <t>NM-3042</t>
  </si>
  <si>
    <t>NM-3043</t>
  </si>
  <si>
    <t>NM-3044</t>
  </si>
  <si>
    <t>NM-3045</t>
  </si>
  <si>
    <t>NM-3046</t>
  </si>
  <si>
    <t>NM-3047</t>
  </si>
  <si>
    <t>NM-3048</t>
  </si>
  <si>
    <t>Improper Lifting</t>
  </si>
  <si>
    <t>NM-3049</t>
  </si>
  <si>
    <t>NM-3050</t>
  </si>
  <si>
    <t>NM-3051</t>
  </si>
  <si>
    <t>NM-3052</t>
  </si>
  <si>
    <t>NM-3053</t>
  </si>
  <si>
    <t>NM-3054</t>
  </si>
  <si>
    <t>NM-3055</t>
  </si>
  <si>
    <t>NM-3056</t>
  </si>
  <si>
    <t>NM-3057</t>
  </si>
  <si>
    <t>NM-3058</t>
  </si>
  <si>
    <t>NM-3059</t>
  </si>
  <si>
    <t>NM-3060</t>
  </si>
  <si>
    <t>NM-3061</t>
  </si>
  <si>
    <t>NM-3062</t>
  </si>
  <si>
    <t>NM-3063</t>
  </si>
  <si>
    <t>NM-3064</t>
  </si>
  <si>
    <t>NM-3065</t>
  </si>
  <si>
    <t>NM-3066</t>
  </si>
  <si>
    <t>NM-3067</t>
  </si>
  <si>
    <t>NM-3068</t>
  </si>
  <si>
    <t>NM-3069</t>
  </si>
  <si>
    <t>NM-3070</t>
  </si>
  <si>
    <t>NM-3071</t>
  </si>
  <si>
    <t>NM-3072</t>
  </si>
  <si>
    <t>Horseplay</t>
  </si>
  <si>
    <t>NM-3073</t>
  </si>
  <si>
    <t>NM-3074</t>
  </si>
  <si>
    <t>NM-3075</t>
  </si>
  <si>
    <t>NM-3076</t>
  </si>
  <si>
    <t>NM-3077</t>
  </si>
  <si>
    <t>NM-3078</t>
  </si>
  <si>
    <t>NM-3079</t>
  </si>
  <si>
    <t>NM-3080</t>
  </si>
  <si>
    <t>NM-3081</t>
  </si>
  <si>
    <t>NM-3082</t>
  </si>
  <si>
    <t>NM-3083</t>
  </si>
  <si>
    <t>NM-3084</t>
  </si>
  <si>
    <t>NM-3085</t>
  </si>
  <si>
    <t>NM-3086</t>
  </si>
  <si>
    <t>NM-3087</t>
  </si>
  <si>
    <t>NM-3088</t>
  </si>
  <si>
    <t>NM-3089</t>
  </si>
  <si>
    <t>NM-3090</t>
  </si>
  <si>
    <t>NM-3091</t>
  </si>
  <si>
    <t>NM-3092</t>
  </si>
  <si>
    <t>NM-3093</t>
  </si>
  <si>
    <t>NM-3094</t>
  </si>
  <si>
    <t>NM-3095</t>
  </si>
  <si>
    <t>NM-3096</t>
  </si>
  <si>
    <t>NM-3097</t>
  </si>
  <si>
    <t>NM-3098</t>
  </si>
  <si>
    <t>NM-3099</t>
  </si>
  <si>
    <t>NM-3100</t>
  </si>
  <si>
    <t>NM-3101</t>
  </si>
  <si>
    <t>NM-3102</t>
  </si>
  <si>
    <t>NM-3103</t>
  </si>
  <si>
    <t>NM-3104</t>
  </si>
  <si>
    <t>NM-3105</t>
  </si>
  <si>
    <t>NM-3106</t>
  </si>
  <si>
    <t>NM-3107</t>
  </si>
  <si>
    <t>NM-3108</t>
  </si>
  <si>
    <t>NM-3109</t>
  </si>
  <si>
    <t>NM-3110</t>
  </si>
  <si>
    <t>NM-3111</t>
  </si>
  <si>
    <t>NM-3112</t>
  </si>
  <si>
    <t>NM-3113</t>
  </si>
  <si>
    <t>NM-3114</t>
  </si>
  <si>
    <t>NM-3115</t>
  </si>
  <si>
    <t>NM-3116</t>
  </si>
  <si>
    <t>NM-3117</t>
  </si>
  <si>
    <t>NM-3118</t>
  </si>
  <si>
    <t>NM-3119</t>
  </si>
  <si>
    <t>NM-3120</t>
  </si>
  <si>
    <t>NM-3121</t>
  </si>
  <si>
    <t>NM-3122</t>
  </si>
  <si>
    <t>NM-3123</t>
  </si>
  <si>
    <t>NM-3124</t>
  </si>
  <si>
    <t>NM-3125</t>
  </si>
  <si>
    <t>NM-3126</t>
  </si>
  <si>
    <t>NM-3127</t>
  </si>
  <si>
    <t>NM-3128</t>
  </si>
  <si>
    <t>NM-3129</t>
  </si>
  <si>
    <t>NM-3130</t>
  </si>
  <si>
    <t>NM-3131</t>
  </si>
  <si>
    <t>NM-3132</t>
  </si>
  <si>
    <t>NM-3133</t>
  </si>
  <si>
    <t>NM-3134</t>
  </si>
  <si>
    <t>NM-3135</t>
  </si>
  <si>
    <t>NM-3136</t>
  </si>
  <si>
    <t>NM-3137</t>
  </si>
  <si>
    <t>NM-3138</t>
  </si>
  <si>
    <t>NM-3139</t>
  </si>
  <si>
    <t>NM-3140</t>
  </si>
  <si>
    <t>NM-3141</t>
  </si>
  <si>
    <t>NM-3142</t>
  </si>
  <si>
    <t>NM-3143</t>
  </si>
  <si>
    <t>NM-3144</t>
  </si>
  <si>
    <t>NM-3145</t>
  </si>
  <si>
    <t>NM-3146</t>
  </si>
  <si>
    <t>NM-3147</t>
  </si>
  <si>
    <t>NM-3148</t>
  </si>
  <si>
    <t>NM-3149</t>
  </si>
  <si>
    <t>NM-3150</t>
  </si>
  <si>
    <t>NM-3151</t>
  </si>
  <si>
    <t>NM-3152</t>
  </si>
  <si>
    <t>NM-3153</t>
  </si>
  <si>
    <t>NM-3154</t>
  </si>
  <si>
    <t>NM-3155</t>
  </si>
  <si>
    <t>NM-3156</t>
  </si>
  <si>
    <t>NM-3157</t>
  </si>
  <si>
    <t>NM-3158</t>
  </si>
  <si>
    <t>NM-3159</t>
  </si>
  <si>
    <t>NM-3160</t>
  </si>
  <si>
    <t>NM-3161</t>
  </si>
  <si>
    <t>NM-3162</t>
  </si>
  <si>
    <t>NM-3163</t>
  </si>
  <si>
    <t>NM-3164</t>
  </si>
  <si>
    <t>NM-3165</t>
  </si>
  <si>
    <t>NM-3166</t>
  </si>
  <si>
    <t>NM-3167</t>
  </si>
  <si>
    <t>NM-3168</t>
  </si>
  <si>
    <t>NM-3169</t>
  </si>
  <si>
    <t>NM-3170</t>
  </si>
  <si>
    <t>NM-3171</t>
  </si>
  <si>
    <t>NM-3172</t>
  </si>
  <si>
    <t>NM-3173</t>
  </si>
  <si>
    <t>NM-3174</t>
  </si>
  <si>
    <t>NM-3175</t>
  </si>
  <si>
    <t>NM-3176</t>
  </si>
  <si>
    <t>NM-3177</t>
  </si>
  <si>
    <t>NM-3178</t>
  </si>
  <si>
    <t>NM-3179</t>
  </si>
  <si>
    <t>NM-3180</t>
  </si>
  <si>
    <t>NM-3181</t>
  </si>
  <si>
    <t>NM-3182</t>
  </si>
  <si>
    <t>NM-3183</t>
  </si>
  <si>
    <t>NM-3184</t>
  </si>
  <si>
    <t>NM-3185</t>
  </si>
  <si>
    <t>NM-3186</t>
  </si>
  <si>
    <t>NM-3187</t>
  </si>
  <si>
    <t>NM-3188</t>
  </si>
  <si>
    <t>NM-3189</t>
  </si>
  <si>
    <t>NM-3190</t>
  </si>
  <si>
    <t>NM-3191</t>
  </si>
  <si>
    <t>NM-3192</t>
  </si>
  <si>
    <t>NM-3193</t>
  </si>
  <si>
    <t>NM-3194</t>
  </si>
  <si>
    <t>NM-3195</t>
  </si>
  <si>
    <t>NM-3196</t>
  </si>
  <si>
    <t>NM-3197</t>
  </si>
  <si>
    <t>NM-3198</t>
  </si>
  <si>
    <t>NM-3199</t>
  </si>
  <si>
    <t>NM-3200</t>
  </si>
  <si>
    <t>NM-3201</t>
  </si>
  <si>
    <t>NM-3202</t>
  </si>
  <si>
    <t>NM-3203</t>
  </si>
  <si>
    <t>NM-3204</t>
  </si>
  <si>
    <t>NM-3205</t>
  </si>
  <si>
    <t>NM-3206</t>
  </si>
  <si>
    <t>NM-3207</t>
  </si>
  <si>
    <t>NM-3208</t>
  </si>
  <si>
    <t>NM-3209</t>
  </si>
  <si>
    <t>NM-3210</t>
  </si>
  <si>
    <t>NM-3211</t>
  </si>
  <si>
    <t>NM-3212</t>
  </si>
  <si>
    <t>NM-3213</t>
  </si>
  <si>
    <t>NM-3214</t>
  </si>
  <si>
    <t>NM-3215</t>
  </si>
  <si>
    <t>NM-3216</t>
  </si>
  <si>
    <t>NM-3217</t>
  </si>
  <si>
    <t>NM-3218</t>
  </si>
  <si>
    <t>NM-3219</t>
  </si>
  <si>
    <t>NM-3220</t>
  </si>
  <si>
    <t>NM-3221</t>
  </si>
  <si>
    <t>NM-3222</t>
  </si>
  <si>
    <t>NM-3223</t>
  </si>
  <si>
    <t>NM-3224</t>
  </si>
  <si>
    <t>NM-3225</t>
  </si>
  <si>
    <t>NM-3226</t>
  </si>
  <si>
    <t>NM-3227</t>
  </si>
  <si>
    <t>NM-3228</t>
  </si>
  <si>
    <t>NM-3229</t>
  </si>
  <si>
    <t>NM-3230</t>
  </si>
  <si>
    <t>NM-3231</t>
  </si>
  <si>
    <t>NM-3232</t>
  </si>
  <si>
    <t>NM-3233</t>
  </si>
  <si>
    <t>NM-3234</t>
  </si>
  <si>
    <t>NM-3235</t>
  </si>
  <si>
    <t>NM-3236</t>
  </si>
  <si>
    <t>NM-3237</t>
  </si>
  <si>
    <t>NM-3238</t>
  </si>
  <si>
    <t>NM-3239</t>
  </si>
  <si>
    <t>NM-3240</t>
  </si>
  <si>
    <t>NM-3241</t>
  </si>
  <si>
    <t>NM-3242</t>
  </si>
  <si>
    <t>NM-3243</t>
  </si>
  <si>
    <t>NM-3244</t>
  </si>
  <si>
    <t>NM-3245</t>
  </si>
  <si>
    <t>NM-3246</t>
  </si>
  <si>
    <t>NM-3247</t>
  </si>
  <si>
    <t>NM-3248</t>
  </si>
  <si>
    <t>NM-3249</t>
  </si>
  <si>
    <t>NM-3250</t>
  </si>
  <si>
    <t>NM-3251</t>
  </si>
  <si>
    <t>NM-3252</t>
  </si>
  <si>
    <t>NM-3253</t>
  </si>
  <si>
    <t>NM-3254</t>
  </si>
  <si>
    <t>NM-3255</t>
  </si>
  <si>
    <t>NM-3256</t>
  </si>
  <si>
    <t>NM-3257</t>
  </si>
  <si>
    <t>NM-3258</t>
  </si>
  <si>
    <t>NM-3259</t>
  </si>
  <si>
    <t>NM-3260</t>
  </si>
  <si>
    <t>NM-3261</t>
  </si>
  <si>
    <t>NM-3262</t>
  </si>
  <si>
    <t>NM-3263</t>
  </si>
  <si>
    <t>NM-3264</t>
  </si>
  <si>
    <t>NM-3265</t>
  </si>
  <si>
    <t>NM-3266</t>
  </si>
  <si>
    <t>NM-3267</t>
  </si>
  <si>
    <t>NM-3268</t>
  </si>
  <si>
    <t>NM-3269</t>
  </si>
  <si>
    <t>NM-3270</t>
  </si>
  <si>
    <t>NM-3271</t>
  </si>
  <si>
    <t>NM-3272</t>
  </si>
  <si>
    <t>NM-3273</t>
  </si>
  <si>
    <t>NM-3274</t>
  </si>
  <si>
    <t>NM-3275</t>
  </si>
  <si>
    <t>NM-3276</t>
  </si>
  <si>
    <t>NM-3277</t>
  </si>
  <si>
    <t>NM-3278</t>
  </si>
  <si>
    <t>NM-3279</t>
  </si>
  <si>
    <t>NM-3280</t>
  </si>
  <si>
    <t>NM-3281</t>
  </si>
  <si>
    <t>NM-3282</t>
  </si>
  <si>
    <t>NM-3283</t>
  </si>
  <si>
    <t>NM-3284</t>
  </si>
  <si>
    <t>NM-3285</t>
  </si>
  <si>
    <t>NM-3286</t>
  </si>
  <si>
    <t>NM-3287</t>
  </si>
  <si>
    <t>NM-3288</t>
  </si>
  <si>
    <t>NM-3289</t>
  </si>
  <si>
    <t>NM-3290</t>
  </si>
  <si>
    <t>NM-3291</t>
  </si>
  <si>
    <t>NM-3292</t>
  </si>
  <si>
    <t>NM-3293</t>
  </si>
  <si>
    <t>NM-3294</t>
  </si>
  <si>
    <t>NM-3295</t>
  </si>
  <si>
    <t>NM-3296</t>
  </si>
  <si>
    <t>NM-3297</t>
  </si>
  <si>
    <t>NM-3298</t>
  </si>
  <si>
    <t>NM-3299</t>
  </si>
  <si>
    <t>NM-3300</t>
  </si>
  <si>
    <t>NM-3301</t>
  </si>
  <si>
    <t>NM-3302</t>
  </si>
  <si>
    <t>NM-3303</t>
  </si>
  <si>
    <t>NM-3304</t>
  </si>
  <si>
    <t>NM-3305</t>
  </si>
  <si>
    <t>NM-3306</t>
  </si>
  <si>
    <t>NM-3307</t>
  </si>
  <si>
    <t>NM-3308</t>
  </si>
  <si>
    <t>NM-3309</t>
  </si>
  <si>
    <t>NM-3310</t>
  </si>
  <si>
    <t>NM-3311</t>
  </si>
  <si>
    <t>NM-3312</t>
  </si>
  <si>
    <t>NM-3313</t>
  </si>
  <si>
    <t>NM-3314</t>
  </si>
  <si>
    <t>NM-3315</t>
  </si>
  <si>
    <t>NM-3316</t>
  </si>
  <si>
    <t>NM-3317</t>
  </si>
  <si>
    <t>NM-3318</t>
  </si>
  <si>
    <t>NM-3319</t>
  </si>
  <si>
    <t>NM-3320</t>
  </si>
  <si>
    <t>NM-3321</t>
  </si>
  <si>
    <t>NM-3322</t>
  </si>
  <si>
    <t>NM-3323</t>
  </si>
  <si>
    <t>NM-3324</t>
  </si>
  <si>
    <t>NM-3325</t>
  </si>
  <si>
    <t>NM-3326</t>
  </si>
  <si>
    <t>NM-3327</t>
  </si>
  <si>
    <t>NM-3328</t>
  </si>
  <si>
    <t>NM-3329</t>
  </si>
  <si>
    <t>NM-3330</t>
  </si>
  <si>
    <t>NM-3331</t>
  </si>
  <si>
    <t>NM-3332</t>
  </si>
  <si>
    <t>NM-3333</t>
  </si>
  <si>
    <t>NM-3334</t>
  </si>
  <si>
    <t>NM-3335</t>
  </si>
  <si>
    <t>NM-3336</t>
  </si>
  <si>
    <t>NM-3337</t>
  </si>
  <si>
    <t>NM-3338</t>
  </si>
  <si>
    <t>NM-3339</t>
  </si>
  <si>
    <t>NM-3340</t>
  </si>
  <si>
    <t>NM-3341</t>
  </si>
  <si>
    <t>NM-3342</t>
  </si>
  <si>
    <t>NM-3343</t>
  </si>
  <si>
    <t>NM-3344</t>
  </si>
  <si>
    <t>NM-3345</t>
  </si>
  <si>
    <t>NM-3346</t>
  </si>
  <si>
    <t>NM-3347</t>
  </si>
  <si>
    <t>NM-3348</t>
  </si>
  <si>
    <t>NM-3349</t>
  </si>
  <si>
    <t>NM-3350</t>
  </si>
  <si>
    <t>NM-3351</t>
  </si>
  <si>
    <t>NM-3352</t>
  </si>
  <si>
    <t>NM-3353</t>
  </si>
  <si>
    <t>NM-3354</t>
  </si>
  <si>
    <t>NM-3355</t>
  </si>
  <si>
    <t>NM-3356</t>
  </si>
  <si>
    <t>NM-3357</t>
  </si>
  <si>
    <t>NM-3358</t>
  </si>
  <si>
    <t>NM-3359</t>
  </si>
  <si>
    <t>NM-3360</t>
  </si>
  <si>
    <t>NM-3361</t>
  </si>
  <si>
    <t>NM-3362</t>
  </si>
  <si>
    <t>NM-3363</t>
  </si>
  <si>
    <t>NM-3364</t>
  </si>
  <si>
    <t>NM-3365</t>
  </si>
  <si>
    <t>NM-3366</t>
  </si>
  <si>
    <t>NM-3367</t>
  </si>
  <si>
    <t>NM-3368</t>
  </si>
  <si>
    <t>NM-3369</t>
  </si>
  <si>
    <t>NM-3370</t>
  </si>
  <si>
    <t>NM-3371</t>
  </si>
  <si>
    <t>NM-3372</t>
  </si>
  <si>
    <t>NM-3373</t>
  </si>
  <si>
    <t>NM-3374</t>
  </si>
  <si>
    <t>NM-3375</t>
  </si>
  <si>
    <t>NM-3376</t>
  </si>
  <si>
    <t>NM-3377</t>
  </si>
  <si>
    <t>NM-3378</t>
  </si>
  <si>
    <t>NM-3379</t>
  </si>
  <si>
    <t>NM-3380</t>
  </si>
  <si>
    <t>NM-3381</t>
  </si>
  <si>
    <t>NM-3382</t>
  </si>
  <si>
    <t>NM-3383</t>
  </si>
  <si>
    <t>NM-3384</t>
  </si>
  <si>
    <t>NM-3385</t>
  </si>
  <si>
    <t>NM-3386</t>
  </si>
  <si>
    <t>NM-3387</t>
  </si>
  <si>
    <t>NM-3388</t>
  </si>
  <si>
    <t>NM-3389</t>
  </si>
  <si>
    <t>NM-3390</t>
  </si>
  <si>
    <t>NM-3391</t>
  </si>
  <si>
    <t>NM-3392</t>
  </si>
  <si>
    <t>NM-3393</t>
  </si>
  <si>
    <t>NM-3394</t>
  </si>
  <si>
    <t>NM-3395</t>
  </si>
  <si>
    <t>NM-3396</t>
  </si>
  <si>
    <t>NM-3397</t>
  </si>
  <si>
    <t>NM-3398</t>
  </si>
  <si>
    <t>NM-3399</t>
  </si>
  <si>
    <t>NM-3400</t>
  </si>
  <si>
    <t>NM-3401</t>
  </si>
  <si>
    <t>NM-3402</t>
  </si>
  <si>
    <t>NM-3403</t>
  </si>
  <si>
    <t>NM-3404</t>
  </si>
  <si>
    <t>NM-3405</t>
  </si>
  <si>
    <t>NM-3406</t>
  </si>
  <si>
    <t>NM-3407</t>
  </si>
  <si>
    <t>NM-3408</t>
  </si>
  <si>
    <t>NM-3409</t>
  </si>
  <si>
    <t>NM-3410</t>
  </si>
  <si>
    <t>NM-3411</t>
  </si>
  <si>
    <t>NM-3412</t>
  </si>
  <si>
    <t>NM-3413</t>
  </si>
  <si>
    <t>NM-3414</t>
  </si>
  <si>
    <t>NM-3415</t>
  </si>
  <si>
    <t>NM-3416</t>
  </si>
  <si>
    <t>NM-3417</t>
  </si>
  <si>
    <t>NM-3418</t>
  </si>
  <si>
    <t>NM-3419</t>
  </si>
  <si>
    <t>NM-3420</t>
  </si>
  <si>
    <t>NM-3421</t>
  </si>
  <si>
    <t>NM-3422</t>
  </si>
  <si>
    <t>NM-3423</t>
  </si>
  <si>
    <t>NM-3424</t>
  </si>
  <si>
    <t>NM-3425</t>
  </si>
  <si>
    <t>NM-3426</t>
  </si>
  <si>
    <t>NM-3427</t>
  </si>
  <si>
    <t>NM-3428</t>
  </si>
  <si>
    <t>NM-3429</t>
  </si>
  <si>
    <t>NM-3430</t>
  </si>
  <si>
    <t>NM-3431</t>
  </si>
  <si>
    <t>NM-3432</t>
  </si>
  <si>
    <t>NM-3433</t>
  </si>
  <si>
    <t>NM-3434</t>
  </si>
  <si>
    <t>NM-3435</t>
  </si>
  <si>
    <t>NM-3436</t>
  </si>
  <si>
    <t>NM-3437</t>
  </si>
  <si>
    <t>NM-3438</t>
  </si>
  <si>
    <t>NM-3439</t>
  </si>
  <si>
    <t>NM-3440</t>
  </si>
  <si>
    <t>NM-3441</t>
  </si>
  <si>
    <t>NM-3442</t>
  </si>
  <si>
    <t>NM-3443</t>
  </si>
  <si>
    <t>NM-3444</t>
  </si>
  <si>
    <t>NM-3445</t>
  </si>
  <si>
    <t>NM-3446</t>
  </si>
  <si>
    <t>NM-3447</t>
  </si>
  <si>
    <t>NM-3448</t>
  </si>
  <si>
    <t>NM-3449</t>
  </si>
  <si>
    <t>NM-3450</t>
  </si>
  <si>
    <t>NM-3451</t>
  </si>
  <si>
    <t>NM-3452</t>
  </si>
  <si>
    <t>NM-3453</t>
  </si>
  <si>
    <t>NM-3454</t>
  </si>
  <si>
    <t>NM-3455</t>
  </si>
  <si>
    <t>NM-3456</t>
  </si>
  <si>
    <t>NM-3457</t>
  </si>
  <si>
    <t>NM-3458</t>
  </si>
  <si>
    <t>NM-3459</t>
  </si>
  <si>
    <t>NM-3460</t>
  </si>
  <si>
    <t>NM-3461</t>
  </si>
  <si>
    <t>NM-3462</t>
  </si>
  <si>
    <t>NM-3463</t>
  </si>
  <si>
    <t>NM-3464</t>
  </si>
  <si>
    <t>NM-3465</t>
  </si>
  <si>
    <t>NM-3466</t>
  </si>
  <si>
    <t>NM-3467</t>
  </si>
  <si>
    <t>NM-3468</t>
  </si>
  <si>
    <t>NM-3469</t>
  </si>
  <si>
    <t>NM-3470</t>
  </si>
  <si>
    <t>NM-3471</t>
  </si>
  <si>
    <t>NM-3472</t>
  </si>
  <si>
    <t>NM-3473</t>
  </si>
  <si>
    <t>NM-3474</t>
  </si>
  <si>
    <t>NM-3475</t>
  </si>
  <si>
    <t>NM-3476</t>
  </si>
  <si>
    <t>NM-3477</t>
  </si>
  <si>
    <t>NM-3478</t>
  </si>
  <si>
    <t>NM-3479</t>
  </si>
  <si>
    <t>NM-3480</t>
  </si>
  <si>
    <t>NM-3481</t>
  </si>
  <si>
    <t>NM-3482</t>
  </si>
  <si>
    <t>NM-3483</t>
  </si>
  <si>
    <t>NM-3484</t>
  </si>
  <si>
    <t>NM-3485</t>
  </si>
  <si>
    <t>NM-3486</t>
  </si>
  <si>
    <t>NM-3487</t>
  </si>
  <si>
    <t>NM-3488</t>
  </si>
  <si>
    <t>NM-3489</t>
  </si>
  <si>
    <t>NM-3490</t>
  </si>
  <si>
    <t>NM-3491</t>
  </si>
  <si>
    <t>NM-3492</t>
  </si>
  <si>
    <t>NM-3493</t>
  </si>
  <si>
    <t>NM-3494</t>
  </si>
  <si>
    <t>NM-3495</t>
  </si>
  <si>
    <t>NM-3496</t>
  </si>
  <si>
    <t>NM-3497</t>
  </si>
  <si>
    <t>NM-3498</t>
  </si>
  <si>
    <t>NM-3499</t>
  </si>
  <si>
    <t>NM-3500</t>
  </si>
  <si>
    <t>NM-3501</t>
  </si>
  <si>
    <t>NM-3502</t>
  </si>
  <si>
    <t>NM-3503</t>
  </si>
  <si>
    <t>NM-3504</t>
  </si>
  <si>
    <t>NM-3505</t>
  </si>
  <si>
    <t>NM-3506</t>
  </si>
  <si>
    <t>NM-3507</t>
  </si>
  <si>
    <t>NM-3508</t>
  </si>
  <si>
    <t>NM-3509</t>
  </si>
  <si>
    <t>NM-3510</t>
  </si>
  <si>
    <t>NM-3511</t>
  </si>
  <si>
    <t>NM-3512</t>
  </si>
  <si>
    <t>NM-3513</t>
  </si>
  <si>
    <t>NM-3514</t>
  </si>
  <si>
    <t>NM-3515</t>
  </si>
  <si>
    <t>NM-3516</t>
  </si>
  <si>
    <t>NM-3517</t>
  </si>
  <si>
    <t>NM-3518</t>
  </si>
  <si>
    <t>NM-3519</t>
  </si>
  <si>
    <t>NM-3520</t>
  </si>
  <si>
    <t>NM-3521</t>
  </si>
  <si>
    <t>NM-3522</t>
  </si>
  <si>
    <t>NM-3523</t>
  </si>
  <si>
    <t>NM-3524</t>
  </si>
  <si>
    <t>NM-3525</t>
  </si>
  <si>
    <t>NM-3526</t>
  </si>
  <si>
    <t>NM-3527</t>
  </si>
  <si>
    <t>NM-3528</t>
  </si>
  <si>
    <t>NM-3529</t>
  </si>
  <si>
    <t>NM-3530</t>
  </si>
  <si>
    <t>NM-3531</t>
  </si>
  <si>
    <t>NM-3532</t>
  </si>
  <si>
    <t>NM-3533</t>
  </si>
  <si>
    <t>NM-3534</t>
  </si>
  <si>
    <t>NM-3535</t>
  </si>
  <si>
    <t>NM-3536</t>
  </si>
  <si>
    <t>NM-3537</t>
  </si>
  <si>
    <t>NM-3538</t>
  </si>
  <si>
    <t>NM-3539</t>
  </si>
  <si>
    <t>NM-3540</t>
  </si>
  <si>
    <t>NM-3541</t>
  </si>
  <si>
    <t>NM-3542</t>
  </si>
  <si>
    <t>NM-3543</t>
  </si>
  <si>
    <t>NM-3544</t>
  </si>
  <si>
    <t>NM-3545</t>
  </si>
  <si>
    <t>NM-3546</t>
  </si>
  <si>
    <t>NM-3547</t>
  </si>
  <si>
    <t>NM-3548</t>
  </si>
  <si>
    <t>NM-3549</t>
  </si>
  <si>
    <t>NM-3550</t>
  </si>
  <si>
    <t>NM-3551</t>
  </si>
  <si>
    <t>NM-3552</t>
  </si>
  <si>
    <t>NM-3553</t>
  </si>
  <si>
    <t>NM-3554</t>
  </si>
  <si>
    <t>NM-3555</t>
  </si>
  <si>
    <t>NM-3556</t>
  </si>
  <si>
    <t>NM-3557</t>
  </si>
  <si>
    <t>NM-3558</t>
  </si>
  <si>
    <t>NM-3559</t>
  </si>
  <si>
    <t>NM-3560</t>
  </si>
  <si>
    <t>NM-3561</t>
  </si>
  <si>
    <t>NM-3562</t>
  </si>
  <si>
    <t>NM-3563</t>
  </si>
  <si>
    <t>NM-3564</t>
  </si>
  <si>
    <t>NM-3565</t>
  </si>
  <si>
    <t>NM-3566</t>
  </si>
  <si>
    <t>NM-3567</t>
  </si>
  <si>
    <t>NM-3568</t>
  </si>
  <si>
    <t>NM-3569</t>
  </si>
  <si>
    <t>NM-3570</t>
  </si>
  <si>
    <t>NM-3571</t>
  </si>
  <si>
    <t>NM ID</t>
  </si>
  <si>
    <t>Description</t>
  </si>
  <si>
    <t>Potential</t>
  </si>
  <si>
    <t>SO-4001</t>
  </si>
  <si>
    <t>Positive Observation</t>
  </si>
  <si>
    <t>Proactive reporting</t>
  </si>
  <si>
    <t>SO-4002</t>
  </si>
  <si>
    <t>Unsafe Act</t>
  </si>
  <si>
    <t>SO-4003</t>
  </si>
  <si>
    <t>SO-4004</t>
  </si>
  <si>
    <t>Unsafe Condition</t>
  </si>
  <si>
    <t>SO-4005</t>
  </si>
  <si>
    <t>SO-4006</t>
  </si>
  <si>
    <t>SO-4007</t>
  </si>
  <si>
    <t>SO-4008</t>
  </si>
  <si>
    <t>SO-4009</t>
  </si>
  <si>
    <t>SO-4010</t>
  </si>
  <si>
    <t>SO-4011</t>
  </si>
  <si>
    <t>Good Catch</t>
  </si>
  <si>
    <t>SO-4012</t>
  </si>
  <si>
    <t>SO-4013</t>
  </si>
  <si>
    <t>SO-4014</t>
  </si>
  <si>
    <t>SO-4015</t>
  </si>
  <si>
    <t>SO-4016</t>
  </si>
  <si>
    <t>SO-4017</t>
  </si>
  <si>
    <t>SO-4018</t>
  </si>
  <si>
    <t>SO-4019</t>
  </si>
  <si>
    <t>SO-4020</t>
  </si>
  <si>
    <t>SO-4021</t>
  </si>
  <si>
    <t>SO-4022</t>
  </si>
  <si>
    <t>SO-4023</t>
  </si>
  <si>
    <t>SO-4024</t>
  </si>
  <si>
    <t>SO-4025</t>
  </si>
  <si>
    <t>SO-4026</t>
  </si>
  <si>
    <t>SO-4027</t>
  </si>
  <si>
    <t>SO-4028</t>
  </si>
  <si>
    <t>SO-4029</t>
  </si>
  <si>
    <t>SO-4030</t>
  </si>
  <si>
    <t>SO-4031</t>
  </si>
  <si>
    <t>SO-4032</t>
  </si>
  <si>
    <t>SO-4033</t>
  </si>
  <si>
    <t>SO-4034</t>
  </si>
  <si>
    <t>SO-4035</t>
  </si>
  <si>
    <t>SO-4036</t>
  </si>
  <si>
    <t>SO-4037</t>
  </si>
  <si>
    <t>SO-4038</t>
  </si>
  <si>
    <t>SO-4039</t>
  </si>
  <si>
    <t>SO-4040</t>
  </si>
  <si>
    <t>SO-4041</t>
  </si>
  <si>
    <t>SO-4042</t>
  </si>
  <si>
    <t>SO-4043</t>
  </si>
  <si>
    <t>SO-4044</t>
  </si>
  <si>
    <t>SO-4045</t>
  </si>
  <si>
    <t>SO-4046</t>
  </si>
  <si>
    <t>SO-4047</t>
  </si>
  <si>
    <t>SO-4048</t>
  </si>
  <si>
    <t>SO-4049</t>
  </si>
  <si>
    <t>SO-4050</t>
  </si>
  <si>
    <t>SO-4051</t>
  </si>
  <si>
    <t>SO-4052</t>
  </si>
  <si>
    <t>SO-4053</t>
  </si>
  <si>
    <t>SO-4054</t>
  </si>
  <si>
    <t>SO-4055</t>
  </si>
  <si>
    <t>SO-4056</t>
  </si>
  <si>
    <t>SO-4057</t>
  </si>
  <si>
    <t>SO-4058</t>
  </si>
  <si>
    <t>SO-4059</t>
  </si>
  <si>
    <t>SO-4060</t>
  </si>
  <si>
    <t>SO-4061</t>
  </si>
  <si>
    <t>SO-4062</t>
  </si>
  <si>
    <t>SO-4063</t>
  </si>
  <si>
    <t>SO-4064</t>
  </si>
  <si>
    <t>SO-4065</t>
  </si>
  <si>
    <t>SO-4066</t>
  </si>
  <si>
    <t>SO-4067</t>
  </si>
  <si>
    <t>SO-4068</t>
  </si>
  <si>
    <t>SO-4069</t>
  </si>
  <si>
    <t>SO-4070</t>
  </si>
  <si>
    <t>SO-4071</t>
  </si>
  <si>
    <t>SO-4072</t>
  </si>
  <si>
    <t>SO-4073</t>
  </si>
  <si>
    <t>SO-4074</t>
  </si>
  <si>
    <t>SO-4075</t>
  </si>
  <si>
    <t>SO-4076</t>
  </si>
  <si>
    <t>SO-4077</t>
  </si>
  <si>
    <t>SO-4078</t>
  </si>
  <si>
    <t>SO-4079</t>
  </si>
  <si>
    <t>SO-4080</t>
  </si>
  <si>
    <t>SO-4081</t>
  </si>
  <si>
    <t>SO-4082</t>
  </si>
  <si>
    <t>SO-4083</t>
  </si>
  <si>
    <t>SO-4084</t>
  </si>
  <si>
    <t>SO-4085</t>
  </si>
  <si>
    <t>SO-4086</t>
  </si>
  <si>
    <t>SO-4087</t>
  </si>
  <si>
    <t>SO-4088</t>
  </si>
  <si>
    <t>SO-4089</t>
  </si>
  <si>
    <t>SO-4090</t>
  </si>
  <si>
    <t>SO-4091</t>
  </si>
  <si>
    <t>SO-4092</t>
  </si>
  <si>
    <t>SO-4093</t>
  </si>
  <si>
    <t>SO-4094</t>
  </si>
  <si>
    <t>SO-4095</t>
  </si>
  <si>
    <t>SO-4096</t>
  </si>
  <si>
    <t>SO-4097</t>
  </si>
  <si>
    <t>SO-4098</t>
  </si>
  <si>
    <t>SO-4099</t>
  </si>
  <si>
    <t>SO-4100</t>
  </si>
  <si>
    <t>SO-4101</t>
  </si>
  <si>
    <t>SO-4102</t>
  </si>
  <si>
    <t>SO-4103</t>
  </si>
  <si>
    <t>SO-4104</t>
  </si>
  <si>
    <t>SO-4105</t>
  </si>
  <si>
    <t>SO-4106</t>
  </si>
  <si>
    <t>SO-4107</t>
  </si>
  <si>
    <t>SO-4108</t>
  </si>
  <si>
    <t>SO-4109</t>
  </si>
  <si>
    <t>SO-4110</t>
  </si>
  <si>
    <t>SO-4111</t>
  </si>
  <si>
    <t>SO-4112</t>
  </si>
  <si>
    <t>SO-4113</t>
  </si>
  <si>
    <t>SO-4114</t>
  </si>
  <si>
    <t>SO-4115</t>
  </si>
  <si>
    <t>SO-4116</t>
  </si>
  <si>
    <t>SO-4117</t>
  </si>
  <si>
    <t>SO-4118</t>
  </si>
  <si>
    <t>SO-4119</t>
  </si>
  <si>
    <t>SO-4120</t>
  </si>
  <si>
    <t>SO-4121</t>
  </si>
  <si>
    <t>SO-4122</t>
  </si>
  <si>
    <t>SO-4123</t>
  </si>
  <si>
    <t>SO-4124</t>
  </si>
  <si>
    <t>SO-4125</t>
  </si>
  <si>
    <t>SO-4126</t>
  </si>
  <si>
    <t>SO-4127</t>
  </si>
  <si>
    <t>SO-4128</t>
  </si>
  <si>
    <t>SO-4129</t>
  </si>
  <si>
    <t>SO-4130</t>
  </si>
  <si>
    <t>SO-4131</t>
  </si>
  <si>
    <t>SO-4132</t>
  </si>
  <si>
    <t>SO-4133</t>
  </si>
  <si>
    <t>SO-4134</t>
  </si>
  <si>
    <t>SO-4135</t>
  </si>
  <si>
    <t>SO-4136</t>
  </si>
  <si>
    <t>SO-4137</t>
  </si>
  <si>
    <t>SO-4138</t>
  </si>
  <si>
    <t>SO-4139</t>
  </si>
  <si>
    <t>SO-4140</t>
  </si>
  <si>
    <t>SO-4141</t>
  </si>
  <si>
    <t>SO-4142</t>
  </si>
  <si>
    <t>SO-4143</t>
  </si>
  <si>
    <t>SO-4144</t>
  </si>
  <si>
    <t>SO-4145</t>
  </si>
  <si>
    <t>SO-4146</t>
  </si>
  <si>
    <t>SO-4147</t>
  </si>
  <si>
    <t>SO-4148</t>
  </si>
  <si>
    <t>SO-4149</t>
  </si>
  <si>
    <t>SO-4150</t>
  </si>
  <si>
    <t>SO-4151</t>
  </si>
  <si>
    <t>SO-4152</t>
  </si>
  <si>
    <t>SO-4153</t>
  </si>
  <si>
    <t>SO-4154</t>
  </si>
  <si>
    <t>SO-4155</t>
  </si>
  <si>
    <t>SO-4156</t>
  </si>
  <si>
    <t>SO-4157</t>
  </si>
  <si>
    <t>SO-4158</t>
  </si>
  <si>
    <t>SO-4159</t>
  </si>
  <si>
    <t>SO-4160</t>
  </si>
  <si>
    <t>SO-4161</t>
  </si>
  <si>
    <t>SO-4162</t>
  </si>
  <si>
    <t>SO-4163</t>
  </si>
  <si>
    <t>SO-4164</t>
  </si>
  <si>
    <t>SO-4165</t>
  </si>
  <si>
    <t>SO-4166</t>
  </si>
  <si>
    <t>SO-4167</t>
  </si>
  <si>
    <t>SO-4168</t>
  </si>
  <si>
    <t>SO-4169</t>
  </si>
  <si>
    <t>SO-4170</t>
  </si>
  <si>
    <t>SO-4171</t>
  </si>
  <si>
    <t>SO-4172</t>
  </si>
  <si>
    <t>SO-4173</t>
  </si>
  <si>
    <t>SO-4174</t>
  </si>
  <si>
    <t>SO-4175</t>
  </si>
  <si>
    <t>SO-4176</t>
  </si>
  <si>
    <t>SO-4177</t>
  </si>
  <si>
    <t>SO-4178</t>
  </si>
  <si>
    <t>SO-4179</t>
  </si>
  <si>
    <t>SO-4180</t>
  </si>
  <si>
    <t>SO-4181</t>
  </si>
  <si>
    <t>SO-4182</t>
  </si>
  <si>
    <t>SO-4183</t>
  </si>
  <si>
    <t>SO-4184</t>
  </si>
  <si>
    <t>SO-4185</t>
  </si>
  <si>
    <t>SO-4186</t>
  </si>
  <si>
    <t>SO-4187</t>
  </si>
  <si>
    <t>SO-4188</t>
  </si>
  <si>
    <t>SO-4189</t>
  </si>
  <si>
    <t>SO-4190</t>
  </si>
  <si>
    <t>SO-4191</t>
  </si>
  <si>
    <t>SO-4192</t>
  </si>
  <si>
    <t>SO-4193</t>
  </si>
  <si>
    <t>SO-4194</t>
  </si>
  <si>
    <t>SO-4195</t>
  </si>
  <si>
    <t>SO-4196</t>
  </si>
  <si>
    <t>SO-4197</t>
  </si>
  <si>
    <t>SO-4198</t>
  </si>
  <si>
    <t>SO-4199</t>
  </si>
  <si>
    <t>SO-4200</t>
  </si>
  <si>
    <t>SO-4201</t>
  </si>
  <si>
    <t>SO-4202</t>
  </si>
  <si>
    <t>SO-4203</t>
  </si>
  <si>
    <t>SO-4204</t>
  </si>
  <si>
    <t>SO-4205</t>
  </si>
  <si>
    <t>SO-4206</t>
  </si>
  <si>
    <t>SO-4207</t>
  </si>
  <si>
    <t>SO-4208</t>
  </si>
  <si>
    <t>SO-4209</t>
  </si>
  <si>
    <t>SO-4210</t>
  </si>
  <si>
    <t>SO-4211</t>
  </si>
  <si>
    <t>SO-4212</t>
  </si>
  <si>
    <t>SO-4213</t>
  </si>
  <si>
    <t>SO-4214</t>
  </si>
  <si>
    <t>SO-4215</t>
  </si>
  <si>
    <t>SO-4216</t>
  </si>
  <si>
    <t>SO-4217</t>
  </si>
  <si>
    <t>SO-4218</t>
  </si>
  <si>
    <t>SO-4219</t>
  </si>
  <si>
    <t>SO-4220</t>
  </si>
  <si>
    <t>SO-4221</t>
  </si>
  <si>
    <t>SO-4222</t>
  </si>
  <si>
    <t>SO-4223</t>
  </si>
  <si>
    <t>SO-4224</t>
  </si>
  <si>
    <t>SO-4225</t>
  </si>
  <si>
    <t>SO-4226</t>
  </si>
  <si>
    <t>SO-4227</t>
  </si>
  <si>
    <t>SO-4228</t>
  </si>
  <si>
    <t>SO-4229</t>
  </si>
  <si>
    <t>SO-4230</t>
  </si>
  <si>
    <t>SO-4231</t>
  </si>
  <si>
    <t>SO-4232</t>
  </si>
  <si>
    <t>SO-4233</t>
  </si>
  <si>
    <t>SO-4234</t>
  </si>
  <si>
    <t>SO-4235</t>
  </si>
  <si>
    <t>SO-4236</t>
  </si>
  <si>
    <t>SO-4237</t>
  </si>
  <si>
    <t>SO-4238</t>
  </si>
  <si>
    <t>SO-4239</t>
  </si>
  <si>
    <t>SO-4240</t>
  </si>
  <si>
    <t>SO-4241</t>
  </si>
  <si>
    <t>SO-4242</t>
  </si>
  <si>
    <t>SO-4243</t>
  </si>
  <si>
    <t>SO-4244</t>
  </si>
  <si>
    <t>SO-4245</t>
  </si>
  <si>
    <t>SO-4246</t>
  </si>
  <si>
    <t>SO-4247</t>
  </si>
  <si>
    <t>SO-4248</t>
  </si>
  <si>
    <t>SO-4249</t>
  </si>
  <si>
    <t>SO-4250</t>
  </si>
  <si>
    <t>SO-4251</t>
  </si>
  <si>
    <t>SO-4252</t>
  </si>
  <si>
    <t>SO-4253</t>
  </si>
  <si>
    <t>SO-4254</t>
  </si>
  <si>
    <t>SO-4255</t>
  </si>
  <si>
    <t>SO-4256</t>
  </si>
  <si>
    <t>SO-4257</t>
  </si>
  <si>
    <t>SO-4258</t>
  </si>
  <si>
    <t>SO-4259</t>
  </si>
  <si>
    <t>SO-4260</t>
  </si>
  <si>
    <t>SO-4261</t>
  </si>
  <si>
    <t>SO-4262</t>
  </si>
  <si>
    <t>SO-4263</t>
  </si>
  <si>
    <t>SO-4264</t>
  </si>
  <si>
    <t>SO-4265</t>
  </si>
  <si>
    <t>SO-4266</t>
  </si>
  <si>
    <t>SO-4267</t>
  </si>
  <si>
    <t>SO-4268</t>
  </si>
  <si>
    <t>SO-4269</t>
  </si>
  <si>
    <t>SO-4270</t>
  </si>
  <si>
    <t>SO-4271</t>
  </si>
  <si>
    <t>SO-4272</t>
  </si>
  <si>
    <t>SO-4273</t>
  </si>
  <si>
    <t>SO-4274</t>
  </si>
  <si>
    <t>SO-4275</t>
  </si>
  <si>
    <t>SO-4276</t>
  </si>
  <si>
    <t>SO-4277</t>
  </si>
  <si>
    <t>SO-4278</t>
  </si>
  <si>
    <t>SO-4279</t>
  </si>
  <si>
    <t>SO-4280</t>
  </si>
  <si>
    <t>SO-4281</t>
  </si>
  <si>
    <t>SO-4282</t>
  </si>
  <si>
    <t>SO-4283</t>
  </si>
  <si>
    <t>SO-4284</t>
  </si>
  <si>
    <t>SO-4285</t>
  </si>
  <si>
    <t>SO-4286</t>
  </si>
  <si>
    <t>SO-4287</t>
  </si>
  <si>
    <t>SO-4288</t>
  </si>
  <si>
    <t>SO-4289</t>
  </si>
  <si>
    <t>SO-4290</t>
  </si>
  <si>
    <t>SO-4291</t>
  </si>
  <si>
    <t>SO-4292</t>
  </si>
  <si>
    <t>SO-4293</t>
  </si>
  <si>
    <t>SO-4294</t>
  </si>
  <si>
    <t>SO-4295</t>
  </si>
  <si>
    <t>SO-4296</t>
  </si>
  <si>
    <t>SO-4297</t>
  </si>
  <si>
    <t>SO-4298</t>
  </si>
  <si>
    <t>SO-4299</t>
  </si>
  <si>
    <t>SO-4300</t>
  </si>
  <si>
    <t>SO-4301</t>
  </si>
  <si>
    <t>SO-4302</t>
  </si>
  <si>
    <t>SO-4303</t>
  </si>
  <si>
    <t>SO-4304</t>
  </si>
  <si>
    <t>SO-4305</t>
  </si>
  <si>
    <t>SO-4306</t>
  </si>
  <si>
    <t>SO-4307</t>
  </si>
  <si>
    <t>SO-4308</t>
  </si>
  <si>
    <t>SO-4309</t>
  </si>
  <si>
    <t>SO-4310</t>
  </si>
  <si>
    <t>SO-4311</t>
  </si>
  <si>
    <t>SO-4312</t>
  </si>
  <si>
    <t>SO-4313</t>
  </si>
  <si>
    <t>SO-4314</t>
  </si>
  <si>
    <t>SO-4315</t>
  </si>
  <si>
    <t>SO-4316</t>
  </si>
  <si>
    <t>SO-4317</t>
  </si>
  <si>
    <t>SO-4318</t>
  </si>
  <si>
    <t>SO-4319</t>
  </si>
  <si>
    <t>SO-4320</t>
  </si>
  <si>
    <t>SO-4321</t>
  </si>
  <si>
    <t>SO-4322</t>
  </si>
  <si>
    <t>SO-4323</t>
  </si>
  <si>
    <t>SO-4324</t>
  </si>
  <si>
    <t>SO-4325</t>
  </si>
  <si>
    <t>SO-4326</t>
  </si>
  <si>
    <t>SO-4327</t>
  </si>
  <si>
    <t>SO-4328</t>
  </si>
  <si>
    <t>SO-4329</t>
  </si>
  <si>
    <t>SO-4330</t>
  </si>
  <si>
    <t>SO-4331</t>
  </si>
  <si>
    <t>SO-4332</t>
  </si>
  <si>
    <t>SO-4333</t>
  </si>
  <si>
    <t>SO-4334</t>
  </si>
  <si>
    <t>SO-4335</t>
  </si>
  <si>
    <t>SO-4336</t>
  </si>
  <si>
    <t>SO-4337</t>
  </si>
  <si>
    <t>SO-4338</t>
  </si>
  <si>
    <t>SO-4339</t>
  </si>
  <si>
    <t>SO-4340</t>
  </si>
  <si>
    <t>SO-4341</t>
  </si>
  <si>
    <t>SO-4342</t>
  </si>
  <si>
    <t>SO-4343</t>
  </si>
  <si>
    <t>SO-4344</t>
  </si>
  <si>
    <t>SO-4345</t>
  </si>
  <si>
    <t>SO-4346</t>
  </si>
  <si>
    <t>SO-4347</t>
  </si>
  <si>
    <t>SO-4348</t>
  </si>
  <si>
    <t>SO-4349</t>
  </si>
  <si>
    <t>SO-4350</t>
  </si>
  <si>
    <t>SO-4351</t>
  </si>
  <si>
    <t>SO-4352</t>
  </si>
  <si>
    <t>SO-4353</t>
  </si>
  <si>
    <t>SO-4354</t>
  </si>
  <si>
    <t>SO-4355</t>
  </si>
  <si>
    <t>SO-4356</t>
  </si>
  <si>
    <t>SO-4357</t>
  </si>
  <si>
    <t>SO-4358</t>
  </si>
  <si>
    <t>SO-4359</t>
  </si>
  <si>
    <t>SO-4360</t>
  </si>
  <si>
    <t>SO-4361</t>
  </si>
  <si>
    <t>SO-4362</t>
  </si>
  <si>
    <t>SO-4363</t>
  </si>
  <si>
    <t>SO-4364</t>
  </si>
  <si>
    <t>SO-4365</t>
  </si>
  <si>
    <t>SO-4366</t>
  </si>
  <si>
    <t>SO-4367</t>
  </si>
  <si>
    <t>SO-4368</t>
  </si>
  <si>
    <t>SO-4369</t>
  </si>
  <si>
    <t>SO-4370</t>
  </si>
  <si>
    <t>SO-4371</t>
  </si>
  <si>
    <t>SO-4372</t>
  </si>
  <si>
    <t>SO-4373</t>
  </si>
  <si>
    <t>SO-4374</t>
  </si>
  <si>
    <t>SO-4375</t>
  </si>
  <si>
    <t>SO-4376</t>
  </si>
  <si>
    <t>SO-4377</t>
  </si>
  <si>
    <t>SO-4378</t>
  </si>
  <si>
    <t>SO-4379</t>
  </si>
  <si>
    <t>SO-4380</t>
  </si>
  <si>
    <t>SO-4381</t>
  </si>
  <si>
    <t>SO-4382</t>
  </si>
  <si>
    <t>SO-4383</t>
  </si>
  <si>
    <t>SO-4384</t>
  </si>
  <si>
    <t>SO-4385</t>
  </si>
  <si>
    <t>SO-4386</t>
  </si>
  <si>
    <t>SO-4387</t>
  </si>
  <si>
    <t>SO-4388</t>
  </si>
  <si>
    <t>SO-4389</t>
  </si>
  <si>
    <t>SO-4390</t>
  </si>
  <si>
    <t>SO-4391</t>
  </si>
  <si>
    <t>SO-4392</t>
  </si>
  <si>
    <t>SO-4393</t>
  </si>
  <si>
    <t>SO-4394</t>
  </si>
  <si>
    <t>SO-4395</t>
  </si>
  <si>
    <t>SO-4396</t>
  </si>
  <si>
    <t>SO-4397</t>
  </si>
  <si>
    <t>SO-4398</t>
  </si>
  <si>
    <t>SO-4399</t>
  </si>
  <si>
    <t>SO-4400</t>
  </si>
  <si>
    <t>SO-4401</t>
  </si>
  <si>
    <t>SO-4402</t>
  </si>
  <si>
    <t>SO-4403</t>
  </si>
  <si>
    <t>SO-4404</t>
  </si>
  <si>
    <t>SO-4405</t>
  </si>
  <si>
    <t>SO-4406</t>
  </si>
  <si>
    <t>SO-4407</t>
  </si>
  <si>
    <t>SO-4408</t>
  </si>
  <si>
    <t>SO-4409</t>
  </si>
  <si>
    <t>SO-4410</t>
  </si>
  <si>
    <t>SO-4411</t>
  </si>
  <si>
    <t>SO-4412</t>
  </si>
  <si>
    <t>SO-4413</t>
  </si>
  <si>
    <t>SO-4414</t>
  </si>
  <si>
    <t>SO-4415</t>
  </si>
  <si>
    <t>SO-4416</t>
  </si>
  <si>
    <t>SO-4417</t>
  </si>
  <si>
    <t>SO-4418</t>
  </si>
  <si>
    <t>SO-4419</t>
  </si>
  <si>
    <t>SO-4420</t>
  </si>
  <si>
    <t>SO-4421</t>
  </si>
  <si>
    <t>SO-4422</t>
  </si>
  <si>
    <t>SO-4423</t>
  </si>
  <si>
    <t>SO-4424</t>
  </si>
  <si>
    <t>SO-4425</t>
  </si>
  <si>
    <t>SO-4426</t>
  </si>
  <si>
    <t>SO-4427</t>
  </si>
  <si>
    <t>SO-4428</t>
  </si>
  <si>
    <t>SO-4429</t>
  </si>
  <si>
    <t>SO-4430</t>
  </si>
  <si>
    <t>SO-4431</t>
  </si>
  <si>
    <t>SO-4432</t>
  </si>
  <si>
    <t>SO-4433</t>
  </si>
  <si>
    <t>SO-4434</t>
  </si>
  <si>
    <t>SO-4435</t>
  </si>
  <si>
    <t>SO-4436</t>
  </si>
  <si>
    <t>SO-4437</t>
  </si>
  <si>
    <t>SO-4438</t>
  </si>
  <si>
    <t>SO-4439</t>
  </si>
  <si>
    <t>SO-4440</t>
  </si>
  <si>
    <t>SO-4441</t>
  </si>
  <si>
    <t>SO-4442</t>
  </si>
  <si>
    <t>SO-4443</t>
  </si>
  <si>
    <t>SO-4444</t>
  </si>
  <si>
    <t>SO-4445</t>
  </si>
  <si>
    <t>SO-4446</t>
  </si>
  <si>
    <t>SO-4447</t>
  </si>
  <si>
    <t>SO-4448</t>
  </si>
  <si>
    <t>SO-4449</t>
  </si>
  <si>
    <t>SO-4450</t>
  </si>
  <si>
    <t>SO-4451</t>
  </si>
  <si>
    <t>SO-4452</t>
  </si>
  <si>
    <t>SO-4453</t>
  </si>
  <si>
    <t>SO-4454</t>
  </si>
  <si>
    <t>SO-4455</t>
  </si>
  <si>
    <t>SO-4456</t>
  </si>
  <si>
    <t>SO-4457</t>
  </si>
  <si>
    <t>SO-4458</t>
  </si>
  <si>
    <t>SO-4459</t>
  </si>
  <si>
    <t>SO-4460</t>
  </si>
  <si>
    <t>SO-4461</t>
  </si>
  <si>
    <t>SO-4462</t>
  </si>
  <si>
    <t>SO-4463</t>
  </si>
  <si>
    <t>SO-4464</t>
  </si>
  <si>
    <t>SO-4465</t>
  </si>
  <si>
    <t>SO-4466</t>
  </si>
  <si>
    <t>SO-4467</t>
  </si>
  <si>
    <t>SO-4468</t>
  </si>
  <si>
    <t>SO-4469</t>
  </si>
  <si>
    <t>SO-4470</t>
  </si>
  <si>
    <t>SO-4471</t>
  </si>
  <si>
    <t>SO-4472</t>
  </si>
  <si>
    <t>SO-4473</t>
  </si>
  <si>
    <t>SO-4474</t>
  </si>
  <si>
    <t>SO-4475</t>
  </si>
  <si>
    <t>SO-4476</t>
  </si>
  <si>
    <t>SO-4477</t>
  </si>
  <si>
    <t>SO-4478</t>
  </si>
  <si>
    <t>SO-4479</t>
  </si>
  <si>
    <t>SO-4480</t>
  </si>
  <si>
    <t>SO-4481</t>
  </si>
  <si>
    <t>SO-4482</t>
  </si>
  <si>
    <t>SO-4483</t>
  </si>
  <si>
    <t>SO-4484</t>
  </si>
  <si>
    <t>SO-4485</t>
  </si>
  <si>
    <t>SO-4486</t>
  </si>
  <si>
    <t>SO-4487</t>
  </si>
  <si>
    <t>SO-4488</t>
  </si>
  <si>
    <t>SO-4489</t>
  </si>
  <si>
    <t>SO-4490</t>
  </si>
  <si>
    <t>SO-4491</t>
  </si>
  <si>
    <t>SO-4492</t>
  </si>
  <si>
    <t>SO-4493</t>
  </si>
  <si>
    <t>SO-4494</t>
  </si>
  <si>
    <t>SO-4495</t>
  </si>
  <si>
    <t>SO-4496</t>
  </si>
  <si>
    <t>SO-4497</t>
  </si>
  <si>
    <t>SO-4498</t>
  </si>
  <si>
    <t>SO-4499</t>
  </si>
  <si>
    <t>SO-4500</t>
  </si>
  <si>
    <t>SO-4501</t>
  </si>
  <si>
    <t>SO-4502</t>
  </si>
  <si>
    <t>SO-4503</t>
  </si>
  <si>
    <t>SO-4504</t>
  </si>
  <si>
    <t>SO-4505</t>
  </si>
  <si>
    <t>SO-4506</t>
  </si>
  <si>
    <t>SO-4507</t>
  </si>
  <si>
    <t>SO-4508</t>
  </si>
  <si>
    <t>SO-4509</t>
  </si>
  <si>
    <t>SO-4510</t>
  </si>
  <si>
    <t>SO-4511</t>
  </si>
  <si>
    <t>SO-4512</t>
  </si>
  <si>
    <t>SO-4513</t>
  </si>
  <si>
    <t>SO-4514</t>
  </si>
  <si>
    <t>SO-4515</t>
  </si>
  <si>
    <t>SO-4516</t>
  </si>
  <si>
    <t>SO-4517</t>
  </si>
  <si>
    <t>SO-4518</t>
  </si>
  <si>
    <t>SO-4519</t>
  </si>
  <si>
    <t>SO-4520</t>
  </si>
  <si>
    <t>SO-4521</t>
  </si>
  <si>
    <t>SO-4522</t>
  </si>
  <si>
    <t>SO-4523</t>
  </si>
  <si>
    <t>SO-4524</t>
  </si>
  <si>
    <t>SO-4525</t>
  </si>
  <si>
    <t>SO-4526</t>
  </si>
  <si>
    <t>SO-4527</t>
  </si>
  <si>
    <t>SO-4528</t>
  </si>
  <si>
    <t>SO-4529</t>
  </si>
  <si>
    <t>SO-4530</t>
  </si>
  <si>
    <t>SO-4531</t>
  </si>
  <si>
    <t>SO-4532</t>
  </si>
  <si>
    <t>SO-4533</t>
  </si>
  <si>
    <t>SO-4534</t>
  </si>
  <si>
    <t>SO-4535</t>
  </si>
  <si>
    <t>SO-4536</t>
  </si>
  <si>
    <t>SO-4537</t>
  </si>
  <si>
    <t>SO-4538</t>
  </si>
  <si>
    <t>SO-4539</t>
  </si>
  <si>
    <t>SO-4540</t>
  </si>
  <si>
    <t>SO-4541</t>
  </si>
  <si>
    <t>SO-4542</t>
  </si>
  <si>
    <t>SO-4543</t>
  </si>
  <si>
    <t>SO-4544</t>
  </si>
  <si>
    <t>SO-4545</t>
  </si>
  <si>
    <t>SO-4546</t>
  </si>
  <si>
    <t>SO-4547</t>
  </si>
  <si>
    <t>SO-4548</t>
  </si>
  <si>
    <t>SO-4549</t>
  </si>
  <si>
    <t>SO-4550</t>
  </si>
  <si>
    <t>SO-4551</t>
  </si>
  <si>
    <t>SO-4552</t>
  </si>
  <si>
    <t>SO-4553</t>
  </si>
  <si>
    <t>SO-4554</t>
  </si>
  <si>
    <t>SO-4555</t>
  </si>
  <si>
    <t>SO-4556</t>
  </si>
  <si>
    <t>SO-4557</t>
  </si>
  <si>
    <t>SO-4558</t>
  </si>
  <si>
    <t>SO-4559</t>
  </si>
  <si>
    <t>SO-4560</t>
  </si>
  <si>
    <t>SO-4561</t>
  </si>
  <si>
    <t>SO-4562</t>
  </si>
  <si>
    <t>SO-4563</t>
  </si>
  <si>
    <t>SO-4564</t>
  </si>
  <si>
    <t>SO-4565</t>
  </si>
  <si>
    <t>SO-4566</t>
  </si>
  <si>
    <t>SO-4567</t>
  </si>
  <si>
    <t>SO-4568</t>
  </si>
  <si>
    <t>SO-4569</t>
  </si>
  <si>
    <t>SO-4570</t>
  </si>
  <si>
    <t>SO-4571</t>
  </si>
  <si>
    <t>SO-4572</t>
  </si>
  <si>
    <t>SO-4573</t>
  </si>
  <si>
    <t>SO-4574</t>
  </si>
  <si>
    <t>SO-4575</t>
  </si>
  <si>
    <t>SO-4576</t>
  </si>
  <si>
    <t>SO-4577</t>
  </si>
  <si>
    <t>SO-4578</t>
  </si>
  <si>
    <t>SO-4579</t>
  </si>
  <si>
    <t>SO-4580</t>
  </si>
  <si>
    <t>SO-4581</t>
  </si>
  <si>
    <t>SO-4582</t>
  </si>
  <si>
    <t>SO-4583</t>
  </si>
  <si>
    <t>SO-4584</t>
  </si>
  <si>
    <t>SO-4585</t>
  </si>
  <si>
    <t>SO-4586</t>
  </si>
  <si>
    <t>SO-4587</t>
  </si>
  <si>
    <t>SO-4588</t>
  </si>
  <si>
    <t>SO-4589</t>
  </si>
  <si>
    <t>SO-4590</t>
  </si>
  <si>
    <t>SO-4591</t>
  </si>
  <si>
    <t>SO-4592</t>
  </si>
  <si>
    <t>SO-4593</t>
  </si>
  <si>
    <t>SO-4594</t>
  </si>
  <si>
    <t>SO-4595</t>
  </si>
  <si>
    <t>SO-4596</t>
  </si>
  <si>
    <t>SO-4597</t>
  </si>
  <si>
    <t>SO-4598</t>
  </si>
  <si>
    <t>SO-4599</t>
  </si>
  <si>
    <t>SO-4600</t>
  </si>
  <si>
    <t>SO-4601</t>
  </si>
  <si>
    <t>SO-4602</t>
  </si>
  <si>
    <t>SO-4603</t>
  </si>
  <si>
    <t>SO-4604</t>
  </si>
  <si>
    <t>SO-4605</t>
  </si>
  <si>
    <t>SO-4606</t>
  </si>
  <si>
    <t>SO-4607</t>
  </si>
  <si>
    <t>SO-4608</t>
  </si>
  <si>
    <t>SO-4609</t>
  </si>
  <si>
    <t>SO-4610</t>
  </si>
  <si>
    <t>SO-4611</t>
  </si>
  <si>
    <t>SO-4612</t>
  </si>
  <si>
    <t>SO-4613</t>
  </si>
  <si>
    <t>SO-4614</t>
  </si>
  <si>
    <t>SO-4615</t>
  </si>
  <si>
    <t>SO-4616</t>
  </si>
  <si>
    <t>SO-4617</t>
  </si>
  <si>
    <t>SO-4618</t>
  </si>
  <si>
    <t>SO-4619</t>
  </si>
  <si>
    <t>SO-4620</t>
  </si>
  <si>
    <t>SO-4621</t>
  </si>
  <si>
    <t>SO-4622</t>
  </si>
  <si>
    <t>SO-4623</t>
  </si>
  <si>
    <t>SO-4624</t>
  </si>
  <si>
    <t>SO-4625</t>
  </si>
  <si>
    <t>SO-4626</t>
  </si>
  <si>
    <t>SO-4627</t>
  </si>
  <si>
    <t>SO-4628</t>
  </si>
  <si>
    <t>SO-4629</t>
  </si>
  <si>
    <t>SO-4630</t>
  </si>
  <si>
    <t>SO-4631</t>
  </si>
  <si>
    <t>SO-4632</t>
  </si>
  <si>
    <t>SO-4633</t>
  </si>
  <si>
    <t>SO-4634</t>
  </si>
  <si>
    <t>SO-4635</t>
  </si>
  <si>
    <t>SO-4636</t>
  </si>
  <si>
    <t>SO-4637</t>
  </si>
  <si>
    <t>SO-4638</t>
  </si>
  <si>
    <t>SO-4639</t>
  </si>
  <si>
    <t>SO-4640</t>
  </si>
  <si>
    <t>SO-4641</t>
  </si>
  <si>
    <t>SO-4642</t>
  </si>
  <si>
    <t>SO-4643</t>
  </si>
  <si>
    <t>SO-4644</t>
  </si>
  <si>
    <t>SO-4645</t>
  </si>
  <si>
    <t>SO-4646</t>
  </si>
  <si>
    <t>SO-4647</t>
  </si>
  <si>
    <t>SO-4648</t>
  </si>
  <si>
    <t>SO-4649</t>
  </si>
  <si>
    <t>SO-4650</t>
  </si>
  <si>
    <t>SO-4651</t>
  </si>
  <si>
    <t>SO-4652</t>
  </si>
  <si>
    <t>SO-4653</t>
  </si>
  <si>
    <t>SO-4654</t>
  </si>
  <si>
    <t>SO-4655</t>
  </si>
  <si>
    <t>SO-4656</t>
  </si>
  <si>
    <t>SO-4657</t>
  </si>
  <si>
    <t>SO-4658</t>
  </si>
  <si>
    <t>SO-4659</t>
  </si>
  <si>
    <t>SO-4660</t>
  </si>
  <si>
    <t>SO-4661</t>
  </si>
  <si>
    <t>SO-4662</t>
  </si>
  <si>
    <t>SO-4663</t>
  </si>
  <si>
    <t>SO-4664</t>
  </si>
  <si>
    <t>SO-4665</t>
  </si>
  <si>
    <t>SO-4666</t>
  </si>
  <si>
    <t>SO-4667</t>
  </si>
  <si>
    <t>SO-4668</t>
  </si>
  <si>
    <t>SO-4669</t>
  </si>
  <si>
    <t>SO-4670</t>
  </si>
  <si>
    <t>SO-4671</t>
  </si>
  <si>
    <t>SO-4672</t>
  </si>
  <si>
    <t>SO-4673</t>
  </si>
  <si>
    <t>SO-4674</t>
  </si>
  <si>
    <t>SO-4675</t>
  </si>
  <si>
    <t>SO-4676</t>
  </si>
  <si>
    <t>SO-4677</t>
  </si>
  <si>
    <t>SO-4678</t>
  </si>
  <si>
    <t>SO-4679</t>
  </si>
  <si>
    <t>SO-4680</t>
  </si>
  <si>
    <t>SO-4681</t>
  </si>
  <si>
    <t>SO-4682</t>
  </si>
  <si>
    <t>SO-4683</t>
  </si>
  <si>
    <t>SO-4684</t>
  </si>
  <si>
    <t>SO-4685</t>
  </si>
  <si>
    <t>SO-4686</t>
  </si>
  <si>
    <t>SO-4687</t>
  </si>
  <si>
    <t>SO-4688</t>
  </si>
  <si>
    <t>SO-4689</t>
  </si>
  <si>
    <t>SO-4690</t>
  </si>
  <si>
    <t>SO-4691</t>
  </si>
  <si>
    <t>SO-4692</t>
  </si>
  <si>
    <t>SO-4693</t>
  </si>
  <si>
    <t>SO-4694</t>
  </si>
  <si>
    <t>SO-4695</t>
  </si>
  <si>
    <t>SO-4696</t>
  </si>
  <si>
    <t>SO-4697</t>
  </si>
  <si>
    <t>SO-4698</t>
  </si>
  <si>
    <t>SO-4699</t>
  </si>
  <si>
    <t>SO-4700</t>
  </si>
  <si>
    <t>SO-4701</t>
  </si>
  <si>
    <t>SO-4702</t>
  </si>
  <si>
    <t>SO-4703</t>
  </si>
  <si>
    <t>SO-4704</t>
  </si>
  <si>
    <t>SO-4705</t>
  </si>
  <si>
    <t>SO-4706</t>
  </si>
  <si>
    <t>SO-4707</t>
  </si>
  <si>
    <t>SO-4708</t>
  </si>
  <si>
    <t>SO-4709</t>
  </si>
  <si>
    <t>SO-4710</t>
  </si>
  <si>
    <t>SO-4711</t>
  </si>
  <si>
    <t>SO-4712</t>
  </si>
  <si>
    <t>SO-4713</t>
  </si>
  <si>
    <t>SO-4714</t>
  </si>
  <si>
    <t>SO-4715</t>
  </si>
  <si>
    <t>SO-4716</t>
  </si>
  <si>
    <t>SO-4717</t>
  </si>
  <si>
    <t>SO-4718</t>
  </si>
  <si>
    <t>SO-4719</t>
  </si>
  <si>
    <t>SO-4720</t>
  </si>
  <si>
    <t>SO-4721</t>
  </si>
  <si>
    <t>SO-4722</t>
  </si>
  <si>
    <t>SO-4723</t>
  </si>
  <si>
    <t>SO-4724</t>
  </si>
  <si>
    <t>SO-4725</t>
  </si>
  <si>
    <t>SO-4726</t>
  </si>
  <si>
    <t>SO-4727</t>
  </si>
  <si>
    <t>SO-4728</t>
  </si>
  <si>
    <t>SO-4729</t>
  </si>
  <si>
    <t>SO-4730</t>
  </si>
  <si>
    <t>SO-4731</t>
  </si>
  <si>
    <t>SO-4732</t>
  </si>
  <si>
    <t>SO-4733</t>
  </si>
  <si>
    <t>SO-4734</t>
  </si>
  <si>
    <t>SO-4735</t>
  </si>
  <si>
    <t>SO-4736</t>
  </si>
  <si>
    <t>SO-4737</t>
  </si>
  <si>
    <t>SO-4738</t>
  </si>
  <si>
    <t>SO-4739</t>
  </si>
  <si>
    <t>SO-4740</t>
  </si>
  <si>
    <t>SO-4741</t>
  </si>
  <si>
    <t>SO-4742</t>
  </si>
  <si>
    <t>SO-4743</t>
  </si>
  <si>
    <t>SO-4744</t>
  </si>
  <si>
    <t>SO-4745</t>
  </si>
  <si>
    <t>SO-4746</t>
  </si>
  <si>
    <t>SO-4747</t>
  </si>
  <si>
    <t>SO-4748</t>
  </si>
  <si>
    <t>SO-4749</t>
  </si>
  <si>
    <t>SO-4750</t>
  </si>
  <si>
    <t>SO-4751</t>
  </si>
  <si>
    <t>SO-4752</t>
  </si>
  <si>
    <t>SO-4753</t>
  </si>
  <si>
    <t>SO-4754</t>
  </si>
  <si>
    <t>SO-4755</t>
  </si>
  <si>
    <t>SO-4756</t>
  </si>
  <si>
    <t>SO-4757</t>
  </si>
  <si>
    <t>SO-4758</t>
  </si>
  <si>
    <t>SO-4759</t>
  </si>
  <si>
    <t>SO-4760</t>
  </si>
  <si>
    <t>SO-4761</t>
  </si>
  <si>
    <t>SO-4762</t>
  </si>
  <si>
    <t>SO-4763</t>
  </si>
  <si>
    <t>SO-4764</t>
  </si>
  <si>
    <t>SO-4765</t>
  </si>
  <si>
    <t>SO-4766</t>
  </si>
  <si>
    <t>SO-4767</t>
  </si>
  <si>
    <t>SO-4768</t>
  </si>
  <si>
    <t>SO-4769</t>
  </si>
  <si>
    <t>SO-4770</t>
  </si>
  <si>
    <t>SO-4771</t>
  </si>
  <si>
    <t>SO-4772</t>
  </si>
  <si>
    <t>SO-4773</t>
  </si>
  <si>
    <t>SO-4774</t>
  </si>
  <si>
    <t>SO-4775</t>
  </si>
  <si>
    <t>SO-4776</t>
  </si>
  <si>
    <t>SO-4777</t>
  </si>
  <si>
    <t>SO-4778</t>
  </si>
  <si>
    <t>SO-4779</t>
  </si>
  <si>
    <t>SO-4780</t>
  </si>
  <si>
    <t>SO-4781</t>
  </si>
  <si>
    <t>SO-4782</t>
  </si>
  <si>
    <t>SO-4783</t>
  </si>
  <si>
    <t>SO-4784</t>
  </si>
  <si>
    <t>SO-4785</t>
  </si>
  <si>
    <t>SO-4786</t>
  </si>
  <si>
    <t>SO-4787</t>
  </si>
  <si>
    <t>SO-4788</t>
  </si>
  <si>
    <t>SO-4789</t>
  </si>
  <si>
    <t>SO-4790</t>
  </si>
  <si>
    <t>SO-4791</t>
  </si>
  <si>
    <t>SO-4792</t>
  </si>
  <si>
    <t>SO-4793</t>
  </si>
  <si>
    <t>SO-4794</t>
  </si>
  <si>
    <t>SO-4795</t>
  </si>
  <si>
    <t>SO-4796</t>
  </si>
  <si>
    <t>SO-4797</t>
  </si>
  <si>
    <t>SO-4798</t>
  </si>
  <si>
    <t>SO-4799</t>
  </si>
  <si>
    <t>SO-4800</t>
  </si>
  <si>
    <t>SO-4801</t>
  </si>
  <si>
    <t>SO-4802</t>
  </si>
  <si>
    <t>SO-4803</t>
  </si>
  <si>
    <t>SO-4804</t>
  </si>
  <si>
    <t>SO-4805</t>
  </si>
  <si>
    <t>SO-4806</t>
  </si>
  <si>
    <t>SO-4807</t>
  </si>
  <si>
    <t>SO-4808</t>
  </si>
  <si>
    <t>SO-4809</t>
  </si>
  <si>
    <t>SO-4810</t>
  </si>
  <si>
    <t>SO-4811</t>
  </si>
  <si>
    <t>SO-4812</t>
  </si>
  <si>
    <t>SO-4813</t>
  </si>
  <si>
    <t>SO-4814</t>
  </si>
  <si>
    <t>SO-4815</t>
  </si>
  <si>
    <t>SO-4816</t>
  </si>
  <si>
    <t>SO-4817</t>
  </si>
  <si>
    <t>SO-4818</t>
  </si>
  <si>
    <t>SO-4819</t>
  </si>
  <si>
    <t>SO-4820</t>
  </si>
  <si>
    <t>SO-4821</t>
  </si>
  <si>
    <t>SO-4822</t>
  </si>
  <si>
    <t>SO-4823</t>
  </si>
  <si>
    <t>SO-4824</t>
  </si>
  <si>
    <t>SO-4825</t>
  </si>
  <si>
    <t>SO-4826</t>
  </si>
  <si>
    <t>SO-4827</t>
  </si>
  <si>
    <t>SO-4828</t>
  </si>
  <si>
    <t>SO-4829</t>
  </si>
  <si>
    <t>SO-4830</t>
  </si>
  <si>
    <t>SO-4831</t>
  </si>
  <si>
    <t>SO-4832</t>
  </si>
  <si>
    <t>SO-4833</t>
  </si>
  <si>
    <t>SO-4834</t>
  </si>
  <si>
    <t>SO-4835</t>
  </si>
  <si>
    <t>SO-4836</t>
  </si>
  <si>
    <t>SO-4837</t>
  </si>
  <si>
    <t>SO-4838</t>
  </si>
  <si>
    <t>SO-4839</t>
  </si>
  <si>
    <t>SO-4840</t>
  </si>
  <si>
    <t>SO-4841</t>
  </si>
  <si>
    <t>SO-4842</t>
  </si>
  <si>
    <t>SO-4843</t>
  </si>
  <si>
    <t>SO-4844</t>
  </si>
  <si>
    <t>SO-4845</t>
  </si>
  <si>
    <t>SO-4846</t>
  </si>
  <si>
    <t>SO-4847</t>
  </si>
  <si>
    <t>SO-4848</t>
  </si>
  <si>
    <t>SO-4849</t>
  </si>
  <si>
    <t>SO-4850</t>
  </si>
  <si>
    <t>SO-4851</t>
  </si>
  <si>
    <t>SO-4852</t>
  </si>
  <si>
    <t>SO-4853</t>
  </si>
  <si>
    <t>SO-4854</t>
  </si>
  <si>
    <t>SO-4855</t>
  </si>
  <si>
    <t>SO-4856</t>
  </si>
  <si>
    <t>SO-4857</t>
  </si>
  <si>
    <t>SO-4858</t>
  </si>
  <si>
    <t>SO-4859</t>
  </si>
  <si>
    <t>SO-4860</t>
  </si>
  <si>
    <t>SO-4861</t>
  </si>
  <si>
    <t>SO-4862</t>
  </si>
  <si>
    <t>SO-4863</t>
  </si>
  <si>
    <t>SO-4864</t>
  </si>
  <si>
    <t>SO-4865</t>
  </si>
  <si>
    <t>SO-4866</t>
  </si>
  <si>
    <t>SO-4867</t>
  </si>
  <si>
    <t>SO-4868</t>
  </si>
  <si>
    <t>SO-4869</t>
  </si>
  <si>
    <t>SO-4870</t>
  </si>
  <si>
    <t>SO-4871</t>
  </si>
  <si>
    <t>SO-4872</t>
  </si>
  <si>
    <t>SO-4873</t>
  </si>
  <si>
    <t>SO-4874</t>
  </si>
  <si>
    <t>SO-4875</t>
  </si>
  <si>
    <t>SO-4876</t>
  </si>
  <si>
    <t>SO-4877</t>
  </si>
  <si>
    <t>SO-4878</t>
  </si>
  <si>
    <t>SO-4879</t>
  </si>
  <si>
    <t>SO-4880</t>
  </si>
  <si>
    <t>SO-4881</t>
  </si>
  <si>
    <t>SO-4882</t>
  </si>
  <si>
    <t>SO-4883</t>
  </si>
  <si>
    <t>SO-4884</t>
  </si>
  <si>
    <t>SO-4885</t>
  </si>
  <si>
    <t>SO-4886</t>
  </si>
  <si>
    <t>SO-4887</t>
  </si>
  <si>
    <t>SO-4888</t>
  </si>
  <si>
    <t>SO-4889</t>
  </si>
  <si>
    <t>SO-4890</t>
  </si>
  <si>
    <t>SO-4891</t>
  </si>
  <si>
    <t>SO-4892</t>
  </si>
  <si>
    <t>SO-4893</t>
  </si>
  <si>
    <t>SO-4894</t>
  </si>
  <si>
    <t>SO-4895</t>
  </si>
  <si>
    <t>SO-4896</t>
  </si>
  <si>
    <t>SO-4897</t>
  </si>
  <si>
    <t>SO-4898</t>
  </si>
  <si>
    <t>SO-4899</t>
  </si>
  <si>
    <t>SO-4900</t>
  </si>
  <si>
    <t>SO-4901</t>
  </si>
  <si>
    <t>SO-4902</t>
  </si>
  <si>
    <t>SO-4903</t>
  </si>
  <si>
    <t>SO-4904</t>
  </si>
  <si>
    <t>SO-4905</t>
  </si>
  <si>
    <t>SO-4906</t>
  </si>
  <si>
    <t>SO-4907</t>
  </si>
  <si>
    <t>SO-4908</t>
  </si>
  <si>
    <t>SO-4909</t>
  </si>
  <si>
    <t>SO-4910</t>
  </si>
  <si>
    <t>SO-4911</t>
  </si>
  <si>
    <t>SO-4912</t>
  </si>
  <si>
    <t>SO-4913</t>
  </si>
  <si>
    <t>SO-4914</t>
  </si>
  <si>
    <t>SO-4915</t>
  </si>
  <si>
    <t>SO-4916</t>
  </si>
  <si>
    <t>SO-4917</t>
  </si>
  <si>
    <t>SO-4918</t>
  </si>
  <si>
    <t>SO-4919</t>
  </si>
  <si>
    <t>SO-4920</t>
  </si>
  <si>
    <t>SO-4921</t>
  </si>
  <si>
    <t>SO-4922</t>
  </si>
  <si>
    <t>SO-4923</t>
  </si>
  <si>
    <t>SO-4924</t>
  </si>
  <si>
    <t>SO-4925</t>
  </si>
  <si>
    <t>SO-4926</t>
  </si>
  <si>
    <t>SO-4927</t>
  </si>
  <si>
    <t>SO-4928</t>
  </si>
  <si>
    <t>SO-4929</t>
  </si>
  <si>
    <t>SO-4930</t>
  </si>
  <si>
    <t>SO-4931</t>
  </si>
  <si>
    <t>SO-4932</t>
  </si>
  <si>
    <t>SO-4933</t>
  </si>
  <si>
    <t>SO-4934</t>
  </si>
  <si>
    <t>SO-4935</t>
  </si>
  <si>
    <t>SO-4936</t>
  </si>
  <si>
    <t>SO-4937</t>
  </si>
  <si>
    <t>SO-4938</t>
  </si>
  <si>
    <t>SO-4939</t>
  </si>
  <si>
    <t>SO-4940</t>
  </si>
  <si>
    <t>SO-4941</t>
  </si>
  <si>
    <t>SO-4942</t>
  </si>
  <si>
    <t>SO-4943</t>
  </si>
  <si>
    <t>SO-4944</t>
  </si>
  <si>
    <t>SO-4945</t>
  </si>
  <si>
    <t>SO-4946</t>
  </si>
  <si>
    <t>SO-4947</t>
  </si>
  <si>
    <t>SO-4948</t>
  </si>
  <si>
    <t>SO-4949</t>
  </si>
  <si>
    <t>SO-4950</t>
  </si>
  <si>
    <t>SO-4951</t>
  </si>
  <si>
    <t>SO-4952</t>
  </si>
  <si>
    <t>SO-4953</t>
  </si>
  <si>
    <t>SO-4954</t>
  </si>
  <si>
    <t>SO-4955</t>
  </si>
  <si>
    <t>SO-4956</t>
  </si>
  <si>
    <t>SO-4957</t>
  </si>
  <si>
    <t>SO-4958</t>
  </si>
  <si>
    <t>SO-4959</t>
  </si>
  <si>
    <t>SO-4960</t>
  </si>
  <si>
    <t>SO-4961</t>
  </si>
  <si>
    <t>SO-4962</t>
  </si>
  <si>
    <t>SO-4963</t>
  </si>
  <si>
    <t>SO-4964</t>
  </si>
  <si>
    <t>SO-4965</t>
  </si>
  <si>
    <t>SO-4966</t>
  </si>
  <si>
    <t>SO-4967</t>
  </si>
  <si>
    <t>SO-4968</t>
  </si>
  <si>
    <t>SO-4969</t>
  </si>
  <si>
    <t>SO-4970</t>
  </si>
  <si>
    <t>SO-4971</t>
  </si>
  <si>
    <t>SO-4972</t>
  </si>
  <si>
    <t>SO-4973</t>
  </si>
  <si>
    <t>SO-4974</t>
  </si>
  <si>
    <t>SO-4975</t>
  </si>
  <si>
    <t>SO-4976</t>
  </si>
  <si>
    <t>SO-4977</t>
  </si>
  <si>
    <t>SO-4978</t>
  </si>
  <si>
    <t>SO-4979</t>
  </si>
  <si>
    <t>SO-4980</t>
  </si>
  <si>
    <t>SO-4981</t>
  </si>
  <si>
    <t>SO-4982</t>
  </si>
  <si>
    <t>SO-4983</t>
  </si>
  <si>
    <t>SO-4984</t>
  </si>
  <si>
    <t>SO-4985</t>
  </si>
  <si>
    <t>SO-4986</t>
  </si>
  <si>
    <t>SO-4987</t>
  </si>
  <si>
    <t>SO-4988</t>
  </si>
  <si>
    <t>SO-4989</t>
  </si>
  <si>
    <t>SO-4990</t>
  </si>
  <si>
    <t>SO-4991</t>
  </si>
  <si>
    <t>SO-4992</t>
  </si>
  <si>
    <t>SO-4993</t>
  </si>
  <si>
    <t>SO-4994</t>
  </si>
  <si>
    <t>SO-4995</t>
  </si>
  <si>
    <t>SO-4996</t>
  </si>
  <si>
    <t>SO-4997</t>
  </si>
  <si>
    <t>SO-4998</t>
  </si>
  <si>
    <t>SO-4999</t>
  </si>
  <si>
    <t>SO-5000</t>
  </si>
  <si>
    <t>SO-5001</t>
  </si>
  <si>
    <t>SO-5002</t>
  </si>
  <si>
    <t>SO-5003</t>
  </si>
  <si>
    <t>SO-5004</t>
  </si>
  <si>
    <t>SO-5005</t>
  </si>
  <si>
    <t>SO-5006</t>
  </si>
  <si>
    <t>SO-5007</t>
  </si>
  <si>
    <t>SO-5008</t>
  </si>
  <si>
    <t>SO-5009</t>
  </si>
  <si>
    <t>SO-5010</t>
  </si>
  <si>
    <t>SO-5011</t>
  </si>
  <si>
    <t>SO-5012</t>
  </si>
  <si>
    <t>SO-5013</t>
  </si>
  <si>
    <t>SO-5014</t>
  </si>
  <si>
    <t>SO-5015</t>
  </si>
  <si>
    <t>SO-5016</t>
  </si>
  <si>
    <t>SO-5017</t>
  </si>
  <si>
    <t>SO-5018</t>
  </si>
  <si>
    <t>SO-5019</t>
  </si>
  <si>
    <t>SO-5020</t>
  </si>
  <si>
    <t>SO-5021</t>
  </si>
  <si>
    <t>SO-5022</t>
  </si>
  <si>
    <t>SO-5023</t>
  </si>
  <si>
    <t>SO-5024</t>
  </si>
  <si>
    <t>SO-5025</t>
  </si>
  <si>
    <t>SO-5026</t>
  </si>
  <si>
    <t>SO-5027</t>
  </si>
  <si>
    <t>SO-5028</t>
  </si>
  <si>
    <t>SO-5029</t>
  </si>
  <si>
    <t>SO-5030</t>
  </si>
  <si>
    <t>SO-5031</t>
  </si>
  <si>
    <t>SO-5032</t>
  </si>
  <si>
    <t>SO-5033</t>
  </si>
  <si>
    <t>SO-5034</t>
  </si>
  <si>
    <t>SO-5035</t>
  </si>
  <si>
    <t>SO-5036</t>
  </si>
  <si>
    <t>SO-5037</t>
  </si>
  <si>
    <t>SO-5038</t>
  </si>
  <si>
    <t>SO-5039</t>
  </si>
  <si>
    <t>SO-5040</t>
  </si>
  <si>
    <t>SO-5041</t>
  </si>
  <si>
    <t>SO-5042</t>
  </si>
  <si>
    <t>SO-5043</t>
  </si>
  <si>
    <t>SO-5044</t>
  </si>
  <si>
    <t>SO-5045</t>
  </si>
  <si>
    <t>SO-5046</t>
  </si>
  <si>
    <t>SO-5047</t>
  </si>
  <si>
    <t>SO-5048</t>
  </si>
  <si>
    <t>SO-5049</t>
  </si>
  <si>
    <t>SO-5050</t>
  </si>
  <si>
    <t>SO-5051</t>
  </si>
  <si>
    <t>SO-5052</t>
  </si>
  <si>
    <t>SO-5053</t>
  </si>
  <si>
    <t>SO-5054</t>
  </si>
  <si>
    <t>SO-5055</t>
  </si>
  <si>
    <t>SO-5056</t>
  </si>
  <si>
    <t>SO-5057</t>
  </si>
  <si>
    <t>SO-5058</t>
  </si>
  <si>
    <t>SO-5059</t>
  </si>
  <si>
    <t>SO-5060</t>
  </si>
  <si>
    <t>SO-5061</t>
  </si>
  <si>
    <t>SO-5062</t>
  </si>
  <si>
    <t>SO-5063</t>
  </si>
  <si>
    <t>SO-5064</t>
  </si>
  <si>
    <t>SO-5065</t>
  </si>
  <si>
    <t>SO-5066</t>
  </si>
  <si>
    <t>SO-5067</t>
  </si>
  <si>
    <t>SO-5068</t>
  </si>
  <si>
    <t>SO-5069</t>
  </si>
  <si>
    <t>SO-5070</t>
  </si>
  <si>
    <t>SO-5071</t>
  </si>
  <si>
    <t>SO-5072</t>
  </si>
  <si>
    <t>SO-5073</t>
  </si>
  <si>
    <t>SO-5074</t>
  </si>
  <si>
    <t>SO-5075</t>
  </si>
  <si>
    <t>SO-5076</t>
  </si>
  <si>
    <t>SO-5077</t>
  </si>
  <si>
    <t>SO-5078</t>
  </si>
  <si>
    <t>SO-5079</t>
  </si>
  <si>
    <t>SO-5080</t>
  </si>
  <si>
    <t>SO-5081</t>
  </si>
  <si>
    <t>SO-5082</t>
  </si>
  <si>
    <t>SO-5083</t>
  </si>
  <si>
    <t>SO-5084</t>
  </si>
  <si>
    <t>SO-5085</t>
  </si>
  <si>
    <t>SO-5086</t>
  </si>
  <si>
    <t>SO-5087</t>
  </si>
  <si>
    <t>SO-5088</t>
  </si>
  <si>
    <t>SO-5089</t>
  </si>
  <si>
    <t>SO-5090</t>
  </si>
  <si>
    <t>SO-5091</t>
  </si>
  <si>
    <t>SO-5092</t>
  </si>
  <si>
    <t>SO-5093</t>
  </si>
  <si>
    <t>SO-5094</t>
  </si>
  <si>
    <t>SO-5095</t>
  </si>
  <si>
    <t>SO-5096</t>
  </si>
  <si>
    <t>SO-5097</t>
  </si>
  <si>
    <t>SO-5098</t>
  </si>
  <si>
    <t>SO-5099</t>
  </si>
  <si>
    <t>SO-5100</t>
  </si>
  <si>
    <t>SO-5101</t>
  </si>
  <si>
    <t>SO-5102</t>
  </si>
  <si>
    <t>SO-5103</t>
  </si>
  <si>
    <t>SO-5104</t>
  </si>
  <si>
    <t>SO-5105</t>
  </si>
  <si>
    <t>SO-5106</t>
  </si>
  <si>
    <t>SO-5107</t>
  </si>
  <si>
    <t>SO-5108</t>
  </si>
  <si>
    <t>SO-5109</t>
  </si>
  <si>
    <t>SO-5110</t>
  </si>
  <si>
    <t>SO-5111</t>
  </si>
  <si>
    <t>SO-5112</t>
  </si>
  <si>
    <t>SO-5113</t>
  </si>
  <si>
    <t>SO-5114</t>
  </si>
  <si>
    <t>SO-5115</t>
  </si>
  <si>
    <t>SO-5116</t>
  </si>
  <si>
    <t>SO-5117</t>
  </si>
  <si>
    <t>SO-5118</t>
  </si>
  <si>
    <t>SO-5119</t>
  </si>
  <si>
    <t>SO-5120</t>
  </si>
  <si>
    <t>SO-5121</t>
  </si>
  <si>
    <t>SO-5122</t>
  </si>
  <si>
    <t>SO-5123</t>
  </si>
  <si>
    <t>SO-5124</t>
  </si>
  <si>
    <t>SO-5125</t>
  </si>
  <si>
    <t>SO-5126</t>
  </si>
  <si>
    <t>SO ID</t>
  </si>
  <si>
    <t>Category</t>
  </si>
  <si>
    <t>UA-5001</t>
  </si>
  <si>
    <t>UA-5002</t>
  </si>
  <si>
    <t>UA-5003</t>
  </si>
  <si>
    <t>UA-5004</t>
  </si>
  <si>
    <t>UA-5005</t>
  </si>
  <si>
    <t>UA-5006</t>
  </si>
  <si>
    <t>UA-5007</t>
  </si>
  <si>
    <t>UA-5008</t>
  </si>
  <si>
    <t>UA-5009</t>
  </si>
  <si>
    <t>UA-5010</t>
  </si>
  <si>
    <t>UA-5011</t>
  </si>
  <si>
    <t>UA-5012</t>
  </si>
  <si>
    <t>UA-5013</t>
  </si>
  <si>
    <t>UA-5014</t>
  </si>
  <si>
    <t>UA-5015</t>
  </si>
  <si>
    <t>UA-5016</t>
  </si>
  <si>
    <t>UA-5017</t>
  </si>
  <si>
    <t>UA-5018</t>
  </si>
  <si>
    <t>UA-5019</t>
  </si>
  <si>
    <t>UA-5020</t>
  </si>
  <si>
    <t>UA-5021</t>
  </si>
  <si>
    <t>UA-5022</t>
  </si>
  <si>
    <t>UA-5023</t>
  </si>
  <si>
    <t>UA-5024</t>
  </si>
  <si>
    <t>UA-5025</t>
  </si>
  <si>
    <t>UA-5026</t>
  </si>
  <si>
    <t>UA-5027</t>
  </si>
  <si>
    <t>UA-5028</t>
  </si>
  <si>
    <t>UA-5029</t>
  </si>
  <si>
    <t>UA-5030</t>
  </si>
  <si>
    <t>UA-5031</t>
  </si>
  <si>
    <t>UA-5032</t>
  </si>
  <si>
    <t>UA-5033</t>
  </si>
  <si>
    <t>UA-5034</t>
  </si>
  <si>
    <t>UA-5035</t>
  </si>
  <si>
    <t>UA-5036</t>
  </si>
  <si>
    <t>UA-5037</t>
  </si>
  <si>
    <t>UA-5038</t>
  </si>
  <si>
    <t>UA-5039</t>
  </si>
  <si>
    <t>UA-5040</t>
  </si>
  <si>
    <t>UA-5041</t>
  </si>
  <si>
    <t>UA-5042</t>
  </si>
  <si>
    <t>UA-5043</t>
  </si>
  <si>
    <t>UA-5044</t>
  </si>
  <si>
    <t>UA-5045</t>
  </si>
  <si>
    <t>UA-5046</t>
  </si>
  <si>
    <t>UA-5047</t>
  </si>
  <si>
    <t>UA-5048</t>
  </si>
  <si>
    <t>UA-5049</t>
  </si>
  <si>
    <t>UA-5050</t>
  </si>
  <si>
    <t>UA-5051</t>
  </si>
  <si>
    <t>UA-5052</t>
  </si>
  <si>
    <t>UA-5053</t>
  </si>
  <si>
    <t>UA-5054</t>
  </si>
  <si>
    <t>UA-5055</t>
  </si>
  <si>
    <t>UA-5056</t>
  </si>
  <si>
    <t>UA-5057</t>
  </si>
  <si>
    <t>UA-5058</t>
  </si>
  <si>
    <t>UA-5059</t>
  </si>
  <si>
    <t>UA-5060</t>
  </si>
  <si>
    <t>UA-5061</t>
  </si>
  <si>
    <t>UA-5062</t>
  </si>
  <si>
    <t>UA-5063</t>
  </si>
  <si>
    <t>UA-5064</t>
  </si>
  <si>
    <t>UA-5065</t>
  </si>
  <si>
    <t>UA-5066</t>
  </si>
  <si>
    <t>UA-5067</t>
  </si>
  <si>
    <t>UA-5068</t>
  </si>
  <si>
    <t>UA-5069</t>
  </si>
  <si>
    <t>UA-5070</t>
  </si>
  <si>
    <t>UA-5071</t>
  </si>
  <si>
    <t>UA-5072</t>
  </si>
  <si>
    <t>UA-5073</t>
  </si>
  <si>
    <t>UA-5074</t>
  </si>
  <si>
    <t>UA-5075</t>
  </si>
  <si>
    <t>UA-5076</t>
  </si>
  <si>
    <t>UA-5077</t>
  </si>
  <si>
    <t>UA-5078</t>
  </si>
  <si>
    <t>UA-5079</t>
  </si>
  <si>
    <t>UA-5080</t>
  </si>
  <si>
    <t>UA-5081</t>
  </si>
  <si>
    <t>UA-5082</t>
  </si>
  <si>
    <t>UA-5083</t>
  </si>
  <si>
    <t>UA-5084</t>
  </si>
  <si>
    <t>UA-5085</t>
  </si>
  <si>
    <t>UA-5086</t>
  </si>
  <si>
    <t>UA-5087</t>
  </si>
  <si>
    <t>UA-5088</t>
  </si>
  <si>
    <t>UA-5089</t>
  </si>
  <si>
    <t>UA-5090</t>
  </si>
  <si>
    <t>UA-5091</t>
  </si>
  <si>
    <t>UA-5092</t>
  </si>
  <si>
    <t>UA-5093</t>
  </si>
  <si>
    <t>UA-5094</t>
  </si>
  <si>
    <t>UA-5095</t>
  </si>
  <si>
    <t>UA-5096</t>
  </si>
  <si>
    <t>UA-5097</t>
  </si>
  <si>
    <t>UA-5098</t>
  </si>
  <si>
    <t>UA-5099</t>
  </si>
  <si>
    <t>UA-5100</t>
  </si>
  <si>
    <t>UA-5101</t>
  </si>
  <si>
    <t>UA-5102</t>
  </si>
  <si>
    <t>UA-5103</t>
  </si>
  <si>
    <t>UA-5104</t>
  </si>
  <si>
    <t>UA-5105</t>
  </si>
  <si>
    <t>UA-5106</t>
  </si>
  <si>
    <t>UA-5107</t>
  </si>
  <si>
    <t>UA-5108</t>
  </si>
  <si>
    <t>UA-5109</t>
  </si>
  <si>
    <t>UA-5110</t>
  </si>
  <si>
    <t>UA-5111</t>
  </si>
  <si>
    <t>UA-5112</t>
  </si>
  <si>
    <t>UA-5113</t>
  </si>
  <si>
    <t>UA-5114</t>
  </si>
  <si>
    <t>UA-5115</t>
  </si>
  <si>
    <t>UA-5116</t>
  </si>
  <si>
    <t>UA-5117</t>
  </si>
  <si>
    <t>UA-5118</t>
  </si>
  <si>
    <t>UA-5119</t>
  </si>
  <si>
    <t>UA-5120</t>
  </si>
  <si>
    <t>UA-5121</t>
  </si>
  <si>
    <t>UA-5122</t>
  </si>
  <si>
    <t>UA-5123</t>
  </si>
  <si>
    <t>UA-5124</t>
  </si>
  <si>
    <t>UA-5125</t>
  </si>
  <si>
    <t>UA-5126</t>
  </si>
  <si>
    <t>UA-5127</t>
  </si>
  <si>
    <t>UA-5128</t>
  </si>
  <si>
    <t>UA-5129</t>
  </si>
  <si>
    <t>UA-5130</t>
  </si>
  <si>
    <t>UA-5131</t>
  </si>
  <si>
    <t>UA-5132</t>
  </si>
  <si>
    <t>UA-5133</t>
  </si>
  <si>
    <t>UA-5134</t>
  </si>
  <si>
    <t>UA-5135</t>
  </si>
  <si>
    <t>UA-5136</t>
  </si>
  <si>
    <t>UA-5137</t>
  </si>
  <si>
    <t>UA-5138</t>
  </si>
  <si>
    <t>UA-5139</t>
  </si>
  <si>
    <t>UA-5140</t>
  </si>
  <si>
    <t>UA-5141</t>
  </si>
  <si>
    <t>UA-5142</t>
  </si>
  <si>
    <t>UA-5143</t>
  </si>
  <si>
    <t>UA-5144</t>
  </si>
  <si>
    <t>UA-5145</t>
  </si>
  <si>
    <t>UA-5146</t>
  </si>
  <si>
    <t>UA-5147</t>
  </si>
  <si>
    <t>UA-5148</t>
  </si>
  <si>
    <t>UA-5149</t>
  </si>
  <si>
    <t>UA-5150</t>
  </si>
  <si>
    <t>UA-5151</t>
  </si>
  <si>
    <t>UA-5152</t>
  </si>
  <si>
    <t>UA-5153</t>
  </si>
  <si>
    <t>UA-5154</t>
  </si>
  <si>
    <t>UA-5155</t>
  </si>
  <si>
    <t>UA-5156</t>
  </si>
  <si>
    <t>UA-5157</t>
  </si>
  <si>
    <t>UA-5158</t>
  </si>
  <si>
    <t>UA-5159</t>
  </si>
  <si>
    <t>UA-5160</t>
  </si>
  <si>
    <t>UA-5161</t>
  </si>
  <si>
    <t>UA-5162</t>
  </si>
  <si>
    <t>UA-5163</t>
  </si>
  <si>
    <t>UA-5164</t>
  </si>
  <si>
    <t>UA-5165</t>
  </si>
  <si>
    <t>UA-5166</t>
  </si>
  <si>
    <t>UA-5167</t>
  </si>
  <si>
    <t>UA-5168</t>
  </si>
  <si>
    <t>UA-5169</t>
  </si>
  <si>
    <t>UA-5170</t>
  </si>
  <si>
    <t>UA-5171</t>
  </si>
  <si>
    <t>UA-5172</t>
  </si>
  <si>
    <t>UA-5173</t>
  </si>
  <si>
    <t>UA-5174</t>
  </si>
  <si>
    <t>UA-5175</t>
  </si>
  <si>
    <t>UA-5176</t>
  </si>
  <si>
    <t>UA-5177</t>
  </si>
  <si>
    <t>UA-5178</t>
  </si>
  <si>
    <t>UA-5179</t>
  </si>
  <si>
    <t>UA-5180</t>
  </si>
  <si>
    <t>UA-5181</t>
  </si>
  <si>
    <t>UA-5182</t>
  </si>
  <si>
    <t>UA-5183</t>
  </si>
  <si>
    <t>UA-5184</t>
  </si>
  <si>
    <t>UA-5185</t>
  </si>
  <si>
    <t>UA-5186</t>
  </si>
  <si>
    <t>UA-5187</t>
  </si>
  <si>
    <t>UA-5188</t>
  </si>
  <si>
    <t>UA-5189</t>
  </si>
  <si>
    <t>UA-5190</t>
  </si>
  <si>
    <t>UA-5191</t>
  </si>
  <si>
    <t>UA-5192</t>
  </si>
  <si>
    <t>UA-5193</t>
  </si>
  <si>
    <t>UA-5194</t>
  </si>
  <si>
    <t>UA-5195</t>
  </si>
  <si>
    <t>UA-5196</t>
  </si>
  <si>
    <t>UA-5197</t>
  </si>
  <si>
    <t>UA-5198</t>
  </si>
  <si>
    <t>UA-5199</t>
  </si>
  <si>
    <t>UA-5200</t>
  </si>
  <si>
    <t>UA-5201</t>
  </si>
  <si>
    <t>UA-5202</t>
  </si>
  <si>
    <t>UA-5203</t>
  </si>
  <si>
    <t>UA-5204</t>
  </si>
  <si>
    <t>UA-5205</t>
  </si>
  <si>
    <t>UA-5206</t>
  </si>
  <si>
    <t>UA-5207</t>
  </si>
  <si>
    <t>UA-5208</t>
  </si>
  <si>
    <t>UA-5209</t>
  </si>
  <si>
    <t>UA-5210</t>
  </si>
  <si>
    <t>UA-5211</t>
  </si>
  <si>
    <t>UA-5212</t>
  </si>
  <si>
    <t>UA-5213</t>
  </si>
  <si>
    <t>UA-5214</t>
  </si>
  <si>
    <t>UA-5215</t>
  </si>
  <si>
    <t>UA-5216</t>
  </si>
  <si>
    <t>UA-5217</t>
  </si>
  <si>
    <t>UA-5218</t>
  </si>
  <si>
    <t>UA-5219</t>
  </si>
  <si>
    <t>UA-5220</t>
  </si>
  <si>
    <t>UA-5221</t>
  </si>
  <si>
    <t>UA-5222</t>
  </si>
  <si>
    <t>UA-5223</t>
  </si>
  <si>
    <t>UA-5224</t>
  </si>
  <si>
    <t>UA-5225</t>
  </si>
  <si>
    <t>UA-5226</t>
  </si>
  <si>
    <t>UA-5227</t>
  </si>
  <si>
    <t>UA-5228</t>
  </si>
  <si>
    <t>UA-5229</t>
  </si>
  <si>
    <t>UA ID</t>
  </si>
  <si>
    <t>UC-5501</t>
  </si>
  <si>
    <t>UC-5502</t>
  </si>
  <si>
    <t>UC-5503</t>
  </si>
  <si>
    <t>UC-5504</t>
  </si>
  <si>
    <t>UC-5505</t>
  </si>
  <si>
    <t>UC-5506</t>
  </si>
  <si>
    <t>UC-5507</t>
  </si>
  <si>
    <t>UC-5508</t>
  </si>
  <si>
    <t>UC-5509</t>
  </si>
  <si>
    <t>UC-5510</t>
  </si>
  <si>
    <t>UC-5511</t>
  </si>
  <si>
    <t>UC-5512</t>
  </si>
  <si>
    <t>UC-5513</t>
  </si>
  <si>
    <t>UC-5514</t>
  </si>
  <si>
    <t>UC-5515</t>
  </si>
  <si>
    <t>UC-5516</t>
  </si>
  <si>
    <t>UC-5517</t>
  </si>
  <si>
    <t>UC-5518</t>
  </si>
  <si>
    <t>UC-5519</t>
  </si>
  <si>
    <t>UC-5520</t>
  </si>
  <si>
    <t>UC-5521</t>
  </si>
  <si>
    <t>UC-5522</t>
  </si>
  <si>
    <t>UC-5523</t>
  </si>
  <si>
    <t>UC-5524</t>
  </si>
  <si>
    <t>UC-5525</t>
  </si>
  <si>
    <t>UC-5526</t>
  </si>
  <si>
    <t>UC-5527</t>
  </si>
  <si>
    <t>UC-5528</t>
  </si>
  <si>
    <t>UC-5529</t>
  </si>
  <si>
    <t>UC-5530</t>
  </si>
  <si>
    <t>UC-5531</t>
  </si>
  <si>
    <t>UC-5532</t>
  </si>
  <si>
    <t>UC-5533</t>
  </si>
  <si>
    <t>UC-5534</t>
  </si>
  <si>
    <t>UC-5535</t>
  </si>
  <si>
    <t>UC-5536</t>
  </si>
  <si>
    <t>UC-5537</t>
  </si>
  <si>
    <t>UC-5538</t>
  </si>
  <si>
    <t>UC-5539</t>
  </si>
  <si>
    <t>UC-5540</t>
  </si>
  <si>
    <t>UC-5541</t>
  </si>
  <si>
    <t>UC-5542</t>
  </si>
  <si>
    <t>UC-5543</t>
  </si>
  <si>
    <t>UC-5544</t>
  </si>
  <si>
    <t>UC-5545</t>
  </si>
  <si>
    <t>UC-5546</t>
  </si>
  <si>
    <t>UC-5547</t>
  </si>
  <si>
    <t>UC-5548</t>
  </si>
  <si>
    <t>UC-5549</t>
  </si>
  <si>
    <t>UC-5550</t>
  </si>
  <si>
    <t>UC-5551</t>
  </si>
  <si>
    <t>UC-5552</t>
  </si>
  <si>
    <t>UC-5553</t>
  </si>
  <si>
    <t>UC-5554</t>
  </si>
  <si>
    <t>UC-5555</t>
  </si>
  <si>
    <t>UC-5556</t>
  </si>
  <si>
    <t>UC-5557</t>
  </si>
  <si>
    <t>UC-5558</t>
  </si>
  <si>
    <t>UC-5559</t>
  </si>
  <si>
    <t>UC-5560</t>
  </si>
  <si>
    <t>UC-5561</t>
  </si>
  <si>
    <t>UC-5562</t>
  </si>
  <si>
    <t>UC-5563</t>
  </si>
  <si>
    <t>UC-5564</t>
  </si>
  <si>
    <t>UC-5565</t>
  </si>
  <si>
    <t>UC-5566</t>
  </si>
  <si>
    <t>UC-5567</t>
  </si>
  <si>
    <t>UC-5568</t>
  </si>
  <si>
    <t>UC-5569</t>
  </si>
  <si>
    <t>UC-5570</t>
  </si>
  <si>
    <t>UC-5571</t>
  </si>
  <si>
    <t>UC-5572</t>
  </si>
  <si>
    <t>UC-5573</t>
  </si>
  <si>
    <t>UC-5574</t>
  </si>
  <si>
    <t>UC-5575</t>
  </si>
  <si>
    <t>UC-5576</t>
  </si>
  <si>
    <t>UC-5577</t>
  </si>
  <si>
    <t>UC-5578</t>
  </si>
  <si>
    <t>UC-5579</t>
  </si>
  <si>
    <t>UC-5580</t>
  </si>
  <si>
    <t>UC-5581</t>
  </si>
  <si>
    <t>UC-5582</t>
  </si>
  <si>
    <t>UC-5583</t>
  </si>
  <si>
    <t>UC-5584</t>
  </si>
  <si>
    <t>UC-5585</t>
  </si>
  <si>
    <t>UC-5586</t>
  </si>
  <si>
    <t>UC-5587</t>
  </si>
  <si>
    <t>UC-5588</t>
  </si>
  <si>
    <t>UC-5589</t>
  </si>
  <si>
    <t>UC-5590</t>
  </si>
  <si>
    <t>UC-5591</t>
  </si>
  <si>
    <t>UC-5592</t>
  </si>
  <si>
    <t>UC-5593</t>
  </si>
  <si>
    <t>UC-5594</t>
  </si>
  <si>
    <t>UC-5595</t>
  </si>
  <si>
    <t>UC-5596</t>
  </si>
  <si>
    <t>UC-5597</t>
  </si>
  <si>
    <t>UC-5598</t>
  </si>
  <si>
    <t>UC-5599</t>
  </si>
  <si>
    <t>UC-5600</t>
  </si>
  <si>
    <t>UC-5601</t>
  </si>
  <si>
    <t>UC-5602</t>
  </si>
  <si>
    <t>UC-5603</t>
  </si>
  <si>
    <t>UC-5604</t>
  </si>
  <si>
    <t>UC-5605</t>
  </si>
  <si>
    <t>UC-5606</t>
  </si>
  <si>
    <t>UC-5607</t>
  </si>
  <si>
    <t>UC-5608</t>
  </si>
  <si>
    <t>UC-5609</t>
  </si>
  <si>
    <t>UC-5610</t>
  </si>
  <si>
    <t>UC-5611</t>
  </si>
  <si>
    <t>UC-5612</t>
  </si>
  <si>
    <t>UC-5613</t>
  </si>
  <si>
    <t>UC-5614</t>
  </si>
  <si>
    <t>UC-5615</t>
  </si>
  <si>
    <t>UC-5616</t>
  </si>
  <si>
    <t>UC-5617</t>
  </si>
  <si>
    <t>UC-5618</t>
  </si>
  <si>
    <t>UC-5619</t>
  </si>
  <si>
    <t>UC-5620</t>
  </si>
  <si>
    <t>UC-5621</t>
  </si>
  <si>
    <t>UC-5622</t>
  </si>
  <si>
    <t>UC-5623</t>
  </si>
  <si>
    <t>UC-5624</t>
  </si>
  <si>
    <t>UC-5625</t>
  </si>
  <si>
    <t>UC-5626</t>
  </si>
  <si>
    <t>UC-5627</t>
  </si>
  <si>
    <t>UC-5628</t>
  </si>
  <si>
    <t>UC-5629</t>
  </si>
  <si>
    <t>UC-5630</t>
  </si>
  <si>
    <t>UC-5631</t>
  </si>
  <si>
    <t>UC-5632</t>
  </si>
  <si>
    <t>UC-5633</t>
  </si>
  <si>
    <t>UC-5634</t>
  </si>
  <si>
    <t>UC-5635</t>
  </si>
  <si>
    <t>UC-5636</t>
  </si>
  <si>
    <t>UC-5637</t>
  </si>
  <si>
    <t>UC-5638</t>
  </si>
  <si>
    <t>UC-5639</t>
  </si>
  <si>
    <t>UC-5640</t>
  </si>
  <si>
    <t>UC-5641</t>
  </si>
  <si>
    <t>UC-5642</t>
  </si>
  <si>
    <t>UC-5643</t>
  </si>
  <si>
    <t>UC-5644</t>
  </si>
  <si>
    <t>UC-5645</t>
  </si>
  <si>
    <t>UC-5646</t>
  </si>
  <si>
    <t>UC-5647</t>
  </si>
  <si>
    <t>UC-5648</t>
  </si>
  <si>
    <t>UC-5649</t>
  </si>
  <si>
    <t>UC-5650</t>
  </si>
  <si>
    <t>UC-5651</t>
  </si>
  <si>
    <t>UC-5652</t>
  </si>
  <si>
    <t>UC-5653</t>
  </si>
  <si>
    <t>UC-5654</t>
  </si>
  <si>
    <t>UC-5655</t>
  </si>
  <si>
    <t>UC-5656</t>
  </si>
  <si>
    <t>UC-5657</t>
  </si>
  <si>
    <t>UC-5658</t>
  </si>
  <si>
    <t>UC-5659</t>
  </si>
  <si>
    <t>UC-5660</t>
  </si>
  <si>
    <t>UC-5661</t>
  </si>
  <si>
    <t>UC-5662</t>
  </si>
  <si>
    <t>UC-5663</t>
  </si>
  <si>
    <t>UC-5664</t>
  </si>
  <si>
    <t>UC-5665</t>
  </si>
  <si>
    <t>UC-5666</t>
  </si>
  <si>
    <t>UC-5667</t>
  </si>
  <si>
    <t>UC-5668</t>
  </si>
  <si>
    <t>UC-5669</t>
  </si>
  <si>
    <t>UC-5670</t>
  </si>
  <si>
    <t>UC-5671</t>
  </si>
  <si>
    <t>UC-5672</t>
  </si>
  <si>
    <t>UC-5673</t>
  </si>
  <si>
    <t>UC-5674</t>
  </si>
  <si>
    <t>UC-5675</t>
  </si>
  <si>
    <t>UC-5676</t>
  </si>
  <si>
    <t>UC-5677</t>
  </si>
  <si>
    <t>UC-5678</t>
  </si>
  <si>
    <t>UC-5679</t>
  </si>
  <si>
    <t>UC-5680</t>
  </si>
  <si>
    <t>UC-5681</t>
  </si>
  <si>
    <t>UC-5682</t>
  </si>
  <si>
    <t>UC-5683</t>
  </si>
  <si>
    <t>UC-5684</t>
  </si>
  <si>
    <t>UC-5685</t>
  </si>
  <si>
    <t>UC-5686</t>
  </si>
  <si>
    <t>UC-5687</t>
  </si>
  <si>
    <t>UC-5688</t>
  </si>
  <si>
    <t>UC-5689</t>
  </si>
  <si>
    <t>UC-5690</t>
  </si>
  <si>
    <t>UC-5691</t>
  </si>
  <si>
    <t>UC-5692</t>
  </si>
  <si>
    <t>UC-5693</t>
  </si>
  <si>
    <t>UC-5694</t>
  </si>
  <si>
    <t>UC-5695</t>
  </si>
  <si>
    <t>UC-5696</t>
  </si>
  <si>
    <t>UC-5697</t>
  </si>
  <si>
    <t>UC-5698</t>
  </si>
  <si>
    <t>UC-5699</t>
  </si>
  <si>
    <t>UC-5700</t>
  </si>
  <si>
    <t>UC-5701</t>
  </si>
  <si>
    <t>UC-5702</t>
  </si>
  <si>
    <t>UC-5703</t>
  </si>
  <si>
    <t>UC-5704</t>
  </si>
  <si>
    <t>UC-5705</t>
  </si>
  <si>
    <t>UC-5706</t>
  </si>
  <si>
    <t>UC-5707</t>
  </si>
  <si>
    <t>UC-5708</t>
  </si>
  <si>
    <t>UC-5709</t>
  </si>
  <si>
    <t>UC-5710</t>
  </si>
  <si>
    <t>UC-5711</t>
  </si>
  <si>
    <t>UC-5712</t>
  </si>
  <si>
    <t>UC-5713</t>
  </si>
  <si>
    <t>UC-5714</t>
  </si>
  <si>
    <t>UC-5715</t>
  </si>
  <si>
    <t>UC-5716</t>
  </si>
  <si>
    <t>UC-5717</t>
  </si>
  <si>
    <t>UC-5718</t>
  </si>
  <si>
    <t>UC-5719</t>
  </si>
  <si>
    <t>UC-5720</t>
  </si>
  <si>
    <t>UC-5721</t>
  </si>
  <si>
    <t>UC-5722</t>
  </si>
  <si>
    <t>UC-5723</t>
  </si>
  <si>
    <t>UC-5724</t>
  </si>
  <si>
    <t>UC-5725</t>
  </si>
  <si>
    <t>UC-5726</t>
  </si>
  <si>
    <t>UC-5727</t>
  </si>
  <si>
    <t>UC-5728</t>
  </si>
  <si>
    <t>UC-5729</t>
  </si>
  <si>
    <t>UC-5730</t>
  </si>
  <si>
    <t>UC-5731</t>
  </si>
  <si>
    <t>UC-5732</t>
  </si>
  <si>
    <t>UC-5733</t>
  </si>
  <si>
    <t>UC-5734</t>
  </si>
  <si>
    <t>UC-5735</t>
  </si>
  <si>
    <t>UC-5736</t>
  </si>
  <si>
    <t>UC-5737</t>
  </si>
  <si>
    <t>UC-5738</t>
  </si>
  <si>
    <t>UC-5739</t>
  </si>
  <si>
    <t>UC-5740</t>
  </si>
  <si>
    <t>UC-5741</t>
  </si>
  <si>
    <t>UC-5742</t>
  </si>
  <si>
    <t>UC-5743</t>
  </si>
  <si>
    <t>UC-5744</t>
  </si>
  <si>
    <t>UC-5745</t>
  </si>
  <si>
    <t>UC-5746</t>
  </si>
  <si>
    <t>UC-5747</t>
  </si>
  <si>
    <t>UC-5748</t>
  </si>
  <si>
    <t>UC-5749</t>
  </si>
  <si>
    <t>UC-5750</t>
  </si>
  <si>
    <t>UC-5751</t>
  </si>
  <si>
    <t>UC-5752</t>
  </si>
  <si>
    <t>UC-5753</t>
  </si>
  <si>
    <t>UC-5754</t>
  </si>
  <si>
    <t>UC-5755</t>
  </si>
  <si>
    <t>UC-5756</t>
  </si>
  <si>
    <t>UC-5757</t>
  </si>
  <si>
    <t>UC-5758</t>
  </si>
  <si>
    <t>UC-5759</t>
  </si>
  <si>
    <t>UC-5760</t>
  </si>
  <si>
    <t>UC-5761</t>
  </si>
  <si>
    <t>UC-5762</t>
  </si>
  <si>
    <t>UC-5763</t>
  </si>
  <si>
    <t>UC-5764</t>
  </si>
  <si>
    <t>UC ID</t>
  </si>
  <si>
    <t>INS-6001</t>
  </si>
  <si>
    <t>Electrical Safety</t>
  </si>
  <si>
    <t>INS-6002</t>
  </si>
  <si>
    <t>Housekeeping</t>
  </si>
  <si>
    <t>INS-6003</t>
  </si>
  <si>
    <t>INS-6004</t>
  </si>
  <si>
    <t>INS-6005</t>
  </si>
  <si>
    <t>Workplace Inspection</t>
  </si>
  <si>
    <t>INS-6006</t>
  </si>
  <si>
    <t>INS-6007</t>
  </si>
  <si>
    <t>PPE Inspection</t>
  </si>
  <si>
    <t>INS-6008</t>
  </si>
  <si>
    <t>INS-6009</t>
  </si>
  <si>
    <t>Fire Equipment</t>
  </si>
  <si>
    <t>INS-6010</t>
  </si>
  <si>
    <t>INS-6011</t>
  </si>
  <si>
    <t>Ladder/Scaffold</t>
  </si>
  <si>
    <t>INS-6012</t>
  </si>
  <si>
    <t>INS-6013</t>
  </si>
  <si>
    <t>INS-6014</t>
  </si>
  <si>
    <t>INS-6015</t>
  </si>
  <si>
    <t>INS-6016</t>
  </si>
  <si>
    <t>INS-6017</t>
  </si>
  <si>
    <t>INS-6018</t>
  </si>
  <si>
    <t>INS-6019</t>
  </si>
  <si>
    <t>INS-6020</t>
  </si>
  <si>
    <t>INS-6021</t>
  </si>
  <si>
    <t>INS-6022</t>
  </si>
  <si>
    <t>INS-6023</t>
  </si>
  <si>
    <t>INS-6024</t>
  </si>
  <si>
    <t>INS-6025</t>
  </si>
  <si>
    <t>INS-6026</t>
  </si>
  <si>
    <t>INS-6027</t>
  </si>
  <si>
    <t>INS-6028</t>
  </si>
  <si>
    <t>INS-6029</t>
  </si>
  <si>
    <t>INS-6030</t>
  </si>
  <si>
    <t>INS-6031</t>
  </si>
  <si>
    <t>INS-6032</t>
  </si>
  <si>
    <t>INS-6033</t>
  </si>
  <si>
    <t>INS-6034</t>
  </si>
  <si>
    <t>INS-6035</t>
  </si>
  <si>
    <t>INS-6036</t>
  </si>
  <si>
    <t>INS-6037</t>
  </si>
  <si>
    <t>INS-6038</t>
  </si>
  <si>
    <t>INS-6039</t>
  </si>
  <si>
    <t>INS-6040</t>
  </si>
  <si>
    <t>INS-6041</t>
  </si>
  <si>
    <t>INS-6042</t>
  </si>
  <si>
    <t>INS-6043</t>
  </si>
  <si>
    <t>INS-6044</t>
  </si>
  <si>
    <t>INS-6045</t>
  </si>
  <si>
    <t>INS-6046</t>
  </si>
  <si>
    <t>INS-6047</t>
  </si>
  <si>
    <t>INS-6048</t>
  </si>
  <si>
    <t>INS-6049</t>
  </si>
  <si>
    <t>INS-6050</t>
  </si>
  <si>
    <t>INS-6051</t>
  </si>
  <si>
    <t>INS-6052</t>
  </si>
  <si>
    <t>INS-6053</t>
  </si>
  <si>
    <t>INS-6054</t>
  </si>
  <si>
    <t>INS-6055</t>
  </si>
  <si>
    <t>INS-6056</t>
  </si>
  <si>
    <t>INS-6057</t>
  </si>
  <si>
    <t>INS-6058</t>
  </si>
  <si>
    <t>INS-6059</t>
  </si>
  <si>
    <t>INS-6060</t>
  </si>
  <si>
    <t>INS-6061</t>
  </si>
  <si>
    <t>INS-6062</t>
  </si>
  <si>
    <t>INS-6063</t>
  </si>
  <si>
    <t>INS-6064</t>
  </si>
  <si>
    <t>INS-6065</t>
  </si>
  <si>
    <t>INS-6066</t>
  </si>
  <si>
    <t>INS-6067</t>
  </si>
  <si>
    <t>INS-6068</t>
  </si>
  <si>
    <t>INS-6069</t>
  </si>
  <si>
    <t>INS-6070</t>
  </si>
  <si>
    <t>INS-6071</t>
  </si>
  <si>
    <t>INS-6072</t>
  </si>
  <si>
    <t>INS-6073</t>
  </si>
  <si>
    <t>INS-6074</t>
  </si>
  <si>
    <t>INS-6075</t>
  </si>
  <si>
    <t>INS-6076</t>
  </si>
  <si>
    <t>INS-6077</t>
  </si>
  <si>
    <t>INS-6078</t>
  </si>
  <si>
    <t>INS-6079</t>
  </si>
  <si>
    <t>INS-6080</t>
  </si>
  <si>
    <t>INS-6081</t>
  </si>
  <si>
    <t>INS-6082</t>
  </si>
  <si>
    <t>INS-6083</t>
  </si>
  <si>
    <t>INS-6084</t>
  </si>
  <si>
    <t>INS-6085</t>
  </si>
  <si>
    <t>INS-6086</t>
  </si>
  <si>
    <t>INS-6087</t>
  </si>
  <si>
    <t>INS-6088</t>
  </si>
  <si>
    <t>INS-6089</t>
  </si>
  <si>
    <t>INS-6090</t>
  </si>
  <si>
    <t>INS-6091</t>
  </si>
  <si>
    <t>INS-6092</t>
  </si>
  <si>
    <t>INS-6093</t>
  </si>
  <si>
    <t>INS-6094</t>
  </si>
  <si>
    <t>INS-6095</t>
  </si>
  <si>
    <t>INS-6096</t>
  </si>
  <si>
    <t>INS-6097</t>
  </si>
  <si>
    <t>INS-6098</t>
  </si>
  <si>
    <t>INS-6099</t>
  </si>
  <si>
    <t>INS-6100</t>
  </si>
  <si>
    <t>INS-6101</t>
  </si>
  <si>
    <t>INS-6102</t>
  </si>
  <si>
    <t>INS-6103</t>
  </si>
  <si>
    <t>INS-6104</t>
  </si>
  <si>
    <t>INS-6105</t>
  </si>
  <si>
    <t>INS-6106</t>
  </si>
  <si>
    <t>INS-6107</t>
  </si>
  <si>
    <t>INS-6108</t>
  </si>
  <si>
    <t>INS-6109</t>
  </si>
  <si>
    <t>INS-6110</t>
  </si>
  <si>
    <t>INS-6111</t>
  </si>
  <si>
    <t>INS-6112</t>
  </si>
  <si>
    <t>INS-6113</t>
  </si>
  <si>
    <t>INS-6114</t>
  </si>
  <si>
    <t>INS-6115</t>
  </si>
  <si>
    <t>INS-6116</t>
  </si>
  <si>
    <t>INS-6117</t>
  </si>
  <si>
    <t>INS-6118</t>
  </si>
  <si>
    <t>INS-6119</t>
  </si>
  <si>
    <t>INS-6120</t>
  </si>
  <si>
    <t>INS-6121</t>
  </si>
  <si>
    <t>INS-6122</t>
  </si>
  <si>
    <t>INS-6123</t>
  </si>
  <si>
    <t>INS-6124</t>
  </si>
  <si>
    <t>INS-6125</t>
  </si>
  <si>
    <t>INS-6126</t>
  </si>
  <si>
    <t>INS-6127</t>
  </si>
  <si>
    <t>INS-6128</t>
  </si>
  <si>
    <t>INS-6129</t>
  </si>
  <si>
    <t>INS-6130</t>
  </si>
  <si>
    <t>INS-6131</t>
  </si>
  <si>
    <t>INS-6132</t>
  </si>
  <si>
    <t>INS-6133</t>
  </si>
  <si>
    <t>INS-6134</t>
  </si>
  <si>
    <t>INS-6135</t>
  </si>
  <si>
    <t>INS-6136</t>
  </si>
  <si>
    <t>INS-6137</t>
  </si>
  <si>
    <t>INS-6138</t>
  </si>
  <si>
    <t>INS-6139</t>
  </si>
  <si>
    <t>INS-6140</t>
  </si>
  <si>
    <t>INS-6141</t>
  </si>
  <si>
    <t>INS-6142</t>
  </si>
  <si>
    <t>INS-6143</t>
  </si>
  <si>
    <t>INS-6144</t>
  </si>
  <si>
    <t>INS-6145</t>
  </si>
  <si>
    <t>INS-6146</t>
  </si>
  <si>
    <t>INS-6147</t>
  </si>
  <si>
    <t>INS-6148</t>
  </si>
  <si>
    <t>INS-6149</t>
  </si>
  <si>
    <t>INS-6150</t>
  </si>
  <si>
    <t>INS-6151</t>
  </si>
  <si>
    <t>INS-6152</t>
  </si>
  <si>
    <t>INS-6153</t>
  </si>
  <si>
    <t>INS-6154</t>
  </si>
  <si>
    <t>INS-6155</t>
  </si>
  <si>
    <t>INS-6156</t>
  </si>
  <si>
    <t>INS-6157</t>
  </si>
  <si>
    <t>INS-6158</t>
  </si>
  <si>
    <t>INS-6159</t>
  </si>
  <si>
    <t>INS-6160</t>
  </si>
  <si>
    <t>INS-6161</t>
  </si>
  <si>
    <t>INS-6162</t>
  </si>
  <si>
    <t>INS-6163</t>
  </si>
  <si>
    <t>INS-6164</t>
  </si>
  <si>
    <t>INS-6165</t>
  </si>
  <si>
    <t>INS-6166</t>
  </si>
  <si>
    <t>INS-6167</t>
  </si>
  <si>
    <t>INS-6168</t>
  </si>
  <si>
    <t>INS-6169</t>
  </si>
  <si>
    <t>INS-6170</t>
  </si>
  <si>
    <t>INS-6171</t>
  </si>
  <si>
    <t>INS-6172</t>
  </si>
  <si>
    <t>INS-6173</t>
  </si>
  <si>
    <t>INS-6174</t>
  </si>
  <si>
    <t>INS-6175</t>
  </si>
  <si>
    <t>INS-6176</t>
  </si>
  <si>
    <t>INS-6177</t>
  </si>
  <si>
    <t>INS-6178</t>
  </si>
  <si>
    <t>INS-6179</t>
  </si>
  <si>
    <t>INS-6180</t>
  </si>
  <si>
    <t>INS-6181</t>
  </si>
  <si>
    <t>INS-6182</t>
  </si>
  <si>
    <t>INS-6183</t>
  </si>
  <si>
    <t>INS-6184</t>
  </si>
  <si>
    <t>INS-6185</t>
  </si>
  <si>
    <t>INS-6186</t>
  </si>
  <si>
    <t>INS-6187</t>
  </si>
  <si>
    <t>INS-6188</t>
  </si>
  <si>
    <t>INS-6189</t>
  </si>
  <si>
    <t>INS-6190</t>
  </si>
  <si>
    <t>INS-6191</t>
  </si>
  <si>
    <t>INS-6192</t>
  </si>
  <si>
    <t>INS-6193</t>
  </si>
  <si>
    <t>INS-6194</t>
  </si>
  <si>
    <t>INS-6195</t>
  </si>
  <si>
    <t>INS-6196</t>
  </si>
  <si>
    <t>INS-6197</t>
  </si>
  <si>
    <t>INS-6198</t>
  </si>
  <si>
    <t>INS-6199</t>
  </si>
  <si>
    <t>INS-6200</t>
  </si>
  <si>
    <t>INS-6201</t>
  </si>
  <si>
    <t>INS-6202</t>
  </si>
  <si>
    <t>INS-6203</t>
  </si>
  <si>
    <t>INS-6204</t>
  </si>
  <si>
    <t>INS-6205</t>
  </si>
  <si>
    <t>INS-6206</t>
  </si>
  <si>
    <t>INS-6207</t>
  </si>
  <si>
    <t>INS-6208</t>
  </si>
  <si>
    <t>INS-6209</t>
  </si>
  <si>
    <t>INS-6210</t>
  </si>
  <si>
    <t>INS-6211</t>
  </si>
  <si>
    <t>INS-6212</t>
  </si>
  <si>
    <t>INS-6213</t>
  </si>
  <si>
    <t>INS-6214</t>
  </si>
  <si>
    <t>INS-6215</t>
  </si>
  <si>
    <t>INS-6216</t>
  </si>
  <si>
    <t>INS-6217</t>
  </si>
  <si>
    <t>INS-6218</t>
  </si>
  <si>
    <t>INS-6219</t>
  </si>
  <si>
    <t>INS-6220</t>
  </si>
  <si>
    <t>INS-6221</t>
  </si>
  <si>
    <t>INS-6222</t>
  </si>
  <si>
    <t>INS-6223</t>
  </si>
  <si>
    <t>INS-6224</t>
  </si>
  <si>
    <t>INS-6225</t>
  </si>
  <si>
    <t>INS-6226</t>
  </si>
  <si>
    <t>INS-6227</t>
  </si>
  <si>
    <t>INS-6228</t>
  </si>
  <si>
    <t>INS-6229</t>
  </si>
  <si>
    <t>INS-6230</t>
  </si>
  <si>
    <t>INS-6231</t>
  </si>
  <si>
    <t>INS-6232</t>
  </si>
  <si>
    <t>INS ID</t>
  </si>
  <si>
    <t>Inspection Type</t>
  </si>
  <si>
    <t>Planned</t>
  </si>
  <si>
    <t>Completed</t>
  </si>
  <si>
    <t>Findings</t>
  </si>
  <si>
    <t>Closed Findings</t>
  </si>
  <si>
    <t>AUD-7001</t>
  </si>
  <si>
    <t>Management Walkthrough</t>
  </si>
  <si>
    <t>AUD-7002</t>
  </si>
  <si>
    <t>FSSAI Safety</t>
  </si>
  <si>
    <t>AUD-7003</t>
  </si>
  <si>
    <t>Internal EHS Audit</t>
  </si>
  <si>
    <t>AUD-7004</t>
  </si>
  <si>
    <t>Fire Safety Audit</t>
  </si>
  <si>
    <t>AUD-7005</t>
  </si>
  <si>
    <t>ISO 45001</t>
  </si>
  <si>
    <t>AUD-7006</t>
  </si>
  <si>
    <t>AUD-7007</t>
  </si>
  <si>
    <t>Legal Compliance</t>
  </si>
  <si>
    <t>AUD-7008</t>
  </si>
  <si>
    <t>AUD-7009</t>
  </si>
  <si>
    <t>AUD-7010</t>
  </si>
  <si>
    <t>External Audit</t>
  </si>
  <si>
    <t>AUD-7011</t>
  </si>
  <si>
    <t>AUD-7012</t>
  </si>
  <si>
    <t>AUD-7013</t>
  </si>
  <si>
    <t>AUD-7014</t>
  </si>
  <si>
    <t>AUD-7015</t>
  </si>
  <si>
    <t>AUD-7016</t>
  </si>
  <si>
    <t>AUD-7017</t>
  </si>
  <si>
    <t>AUD-7018</t>
  </si>
  <si>
    <t>AUD-7019</t>
  </si>
  <si>
    <t>AUD-7020</t>
  </si>
  <si>
    <t>AUD-7021</t>
  </si>
  <si>
    <t>AUD-7022</t>
  </si>
  <si>
    <t>AUD-7023</t>
  </si>
  <si>
    <t>AUD-7024</t>
  </si>
  <si>
    <t>AUD-7025</t>
  </si>
  <si>
    <t>AUD-7026</t>
  </si>
  <si>
    <t>AUD-7027</t>
  </si>
  <si>
    <t>AUD-7028</t>
  </si>
  <si>
    <t>AUD-7029</t>
  </si>
  <si>
    <t>AUD-7030</t>
  </si>
  <si>
    <t>AUD-7031</t>
  </si>
  <si>
    <t>AUD-7032</t>
  </si>
  <si>
    <t>AUD-7033</t>
  </si>
  <si>
    <t>AUD-7034</t>
  </si>
  <si>
    <t>AUD-7035</t>
  </si>
  <si>
    <t>AUD-7036</t>
  </si>
  <si>
    <t>AUD-7037</t>
  </si>
  <si>
    <t>AUD-7038</t>
  </si>
  <si>
    <t>AUD-7039</t>
  </si>
  <si>
    <t>AUD-7040</t>
  </si>
  <si>
    <t>AUD-7041</t>
  </si>
  <si>
    <t>AUD-7042</t>
  </si>
  <si>
    <t>AUD-7043</t>
  </si>
  <si>
    <t>AUD-7044</t>
  </si>
  <si>
    <t>AUD-7045</t>
  </si>
  <si>
    <t>AUD-7046</t>
  </si>
  <si>
    <t>AUD-7047</t>
  </si>
  <si>
    <t>AUD-7048</t>
  </si>
  <si>
    <t>AUD-7049</t>
  </si>
  <si>
    <t>AUD-7050</t>
  </si>
  <si>
    <t>AUD-7051</t>
  </si>
  <si>
    <t>AUD-7052</t>
  </si>
  <si>
    <t>AUD-7053</t>
  </si>
  <si>
    <t>AUD-7054</t>
  </si>
  <si>
    <t>AUD-7055</t>
  </si>
  <si>
    <t>AUD-7056</t>
  </si>
  <si>
    <t>AUD-7057</t>
  </si>
  <si>
    <t>AUD-7058</t>
  </si>
  <si>
    <t>AUD-7059</t>
  </si>
  <si>
    <t>AUD-7060</t>
  </si>
  <si>
    <t>Audit ID</t>
  </si>
  <si>
    <t>Audit Type</t>
  </si>
  <si>
    <t>Score</t>
  </si>
  <si>
    <t>NCRs</t>
  </si>
  <si>
    <t>NCRs Closed</t>
  </si>
  <si>
    <t>STAT-8001</t>
  </si>
  <si>
    <t>Factory License</t>
  </si>
  <si>
    <t>Valid</t>
  </si>
  <si>
    <t>Compliant</t>
  </si>
  <si>
    <t>Certification</t>
  </si>
  <si>
    <t>STAT-8002</t>
  </si>
  <si>
    <t>Regulatory</t>
  </si>
  <si>
    <t>STAT-8003</t>
  </si>
  <si>
    <t>STAT-8004</t>
  </si>
  <si>
    <t>Consent to Operate (Air)</t>
  </si>
  <si>
    <t>Expired</t>
  </si>
  <si>
    <t>Non-Compliant</t>
  </si>
  <si>
    <t>STAT-8005</t>
  </si>
  <si>
    <t>Statutory</t>
  </si>
  <si>
    <t>STAT-8006</t>
  </si>
  <si>
    <t>STAT-8007</t>
  </si>
  <si>
    <t>Consent to Operate (Water)</t>
  </si>
  <si>
    <t>STAT-8008</t>
  </si>
  <si>
    <t>STAT-8009</t>
  </si>
  <si>
    <t>STAT-8010</t>
  </si>
  <si>
    <t>Fire NOC</t>
  </si>
  <si>
    <t>STAT-8011</t>
  </si>
  <si>
    <t>STAT-8012</t>
  </si>
  <si>
    <t>STAT-8013</t>
  </si>
  <si>
    <t>Pressure Vessel Cert.</t>
  </si>
  <si>
    <t>STAT-8014</t>
  </si>
  <si>
    <t>STAT-8015</t>
  </si>
  <si>
    <t>STAT-8016</t>
  </si>
  <si>
    <t>Lift License</t>
  </si>
  <si>
    <t>STAT-8017</t>
  </si>
  <si>
    <t>STAT-8018</t>
  </si>
  <si>
    <t>STAT-8019</t>
  </si>
  <si>
    <t>Boiler License</t>
  </si>
  <si>
    <t>STAT-8020</t>
  </si>
  <si>
    <t>STAT-8021</t>
  </si>
  <si>
    <t>STAT-8022</t>
  </si>
  <si>
    <t>Hazardous Waste Authorization</t>
  </si>
  <si>
    <t>STAT-8023</t>
  </si>
  <si>
    <t>STAT-8024</t>
  </si>
  <si>
    <t>STAT-8025</t>
  </si>
  <si>
    <t>Form-11 Health Check</t>
  </si>
  <si>
    <t>STAT-8026</t>
  </si>
  <si>
    <t>STAT-8027</t>
  </si>
  <si>
    <t>STAT-8028</t>
  </si>
  <si>
    <t>Safety Committee</t>
  </si>
  <si>
    <t>STAT-8029</t>
  </si>
  <si>
    <t>STAT-8030</t>
  </si>
  <si>
    <t>Ref</t>
  </si>
  <si>
    <t>Compliance Item</t>
  </si>
  <si>
    <t>Validity</t>
  </si>
  <si>
    <t>Due Date</t>
  </si>
  <si>
    <t>Compliance</t>
  </si>
  <si>
    <t>PTW-9001</t>
  </si>
  <si>
    <t>Cold Work</t>
  </si>
  <si>
    <t>PTW-9002</t>
  </si>
  <si>
    <t>PTW-9003</t>
  </si>
  <si>
    <t>Excavation</t>
  </si>
  <si>
    <t>PTW-9004</t>
  </si>
  <si>
    <t>PTW-9005</t>
  </si>
  <si>
    <t>PTW-9006</t>
  </si>
  <si>
    <t>Work at Height</t>
  </si>
  <si>
    <t>PTW-9007</t>
  </si>
  <si>
    <t>PTW-9008</t>
  </si>
  <si>
    <t>PTW-9009</t>
  </si>
  <si>
    <t>PTW-9010</t>
  </si>
  <si>
    <t>PTW-9011</t>
  </si>
  <si>
    <t>Lifting</t>
  </si>
  <si>
    <t>PTW-9012</t>
  </si>
  <si>
    <t>Line Breaking</t>
  </si>
  <si>
    <t>PTW-9013</t>
  </si>
  <si>
    <t>PTW-9014</t>
  </si>
  <si>
    <t>PTW-9015</t>
  </si>
  <si>
    <t>PTW-9016</t>
  </si>
  <si>
    <t>Confined Space</t>
  </si>
  <si>
    <t>PTW-9017</t>
  </si>
  <si>
    <t>PTW-9018</t>
  </si>
  <si>
    <t>PTW-9019</t>
  </si>
  <si>
    <t>PTW-9020</t>
  </si>
  <si>
    <t>PTW-9021</t>
  </si>
  <si>
    <t>Hot Work</t>
  </si>
  <si>
    <t>PTW-9022</t>
  </si>
  <si>
    <t>PTW-9023</t>
  </si>
  <si>
    <t>PTW-9024</t>
  </si>
  <si>
    <t>PTW-9025</t>
  </si>
  <si>
    <t>PTW-9026</t>
  </si>
  <si>
    <t>PTW-9027</t>
  </si>
  <si>
    <t>PTW-9028</t>
  </si>
  <si>
    <t>PTW-9029</t>
  </si>
  <si>
    <t>PTW-9030</t>
  </si>
  <si>
    <t>PTW-9031</t>
  </si>
  <si>
    <t>PTW-9032</t>
  </si>
  <si>
    <t>PTW-9033</t>
  </si>
  <si>
    <t>PTW-9034</t>
  </si>
  <si>
    <t>PTW-9035</t>
  </si>
  <si>
    <t>PTW-9036</t>
  </si>
  <si>
    <t>PTW-9037</t>
  </si>
  <si>
    <t>PTW-9038</t>
  </si>
  <si>
    <t>PTW-9039</t>
  </si>
  <si>
    <t>PTW-9040</t>
  </si>
  <si>
    <t>PTW-9041</t>
  </si>
  <si>
    <t>PTW-9042</t>
  </si>
  <si>
    <t>PTW-9043</t>
  </si>
  <si>
    <t>PTW-9044</t>
  </si>
  <si>
    <t>PTW-9045</t>
  </si>
  <si>
    <t>PTW-9046</t>
  </si>
  <si>
    <t>PTW-9047</t>
  </si>
  <si>
    <t>PTW-9048</t>
  </si>
  <si>
    <t>PTW-9049</t>
  </si>
  <si>
    <t>PTW-9050</t>
  </si>
  <si>
    <t>PTW-9051</t>
  </si>
  <si>
    <t>PTW-9052</t>
  </si>
  <si>
    <t>PTW-9053</t>
  </si>
  <si>
    <t>PTW-9054</t>
  </si>
  <si>
    <t>PTW-9055</t>
  </si>
  <si>
    <t>PTW-9056</t>
  </si>
  <si>
    <t>PTW-9057</t>
  </si>
  <si>
    <t>PTW-9058</t>
  </si>
  <si>
    <t>PTW-9059</t>
  </si>
  <si>
    <t>PTW-9060</t>
  </si>
  <si>
    <t>PTW-9061</t>
  </si>
  <si>
    <t>PTW-9062</t>
  </si>
  <si>
    <t>PTW-9063</t>
  </si>
  <si>
    <t>PTW-9064</t>
  </si>
  <si>
    <t>PTW-9065</t>
  </si>
  <si>
    <t>PTW-9066</t>
  </si>
  <si>
    <t>PTW-9067</t>
  </si>
  <si>
    <t>PTW-9068</t>
  </si>
  <si>
    <t>PTW-9069</t>
  </si>
  <si>
    <t>PTW-9070</t>
  </si>
  <si>
    <t>PTW-9071</t>
  </si>
  <si>
    <t>PTW-9072</t>
  </si>
  <si>
    <t>PTW-9073</t>
  </si>
  <si>
    <t>PTW-9074</t>
  </si>
  <si>
    <t>PTW-9075</t>
  </si>
  <si>
    <t>PTW-9076</t>
  </si>
  <si>
    <t>PTW-9077</t>
  </si>
  <si>
    <t>PTW-9078</t>
  </si>
  <si>
    <t>PTW-9079</t>
  </si>
  <si>
    <t>PTW-9080</t>
  </si>
  <si>
    <t>PTW-9081</t>
  </si>
  <si>
    <t>PTW-9082</t>
  </si>
  <si>
    <t>PTW-9083</t>
  </si>
  <si>
    <t>PTW-9084</t>
  </si>
  <si>
    <t>PTW-9085</t>
  </si>
  <si>
    <t>PTW-9086</t>
  </si>
  <si>
    <t>PTW-9087</t>
  </si>
  <si>
    <t>PTW-9088</t>
  </si>
  <si>
    <t>PTW-9089</t>
  </si>
  <si>
    <t>PTW-9090</t>
  </si>
  <si>
    <t>PTW-9091</t>
  </si>
  <si>
    <t>PTW-9092</t>
  </si>
  <si>
    <t>PTW-9093</t>
  </si>
  <si>
    <t>PTW-9094</t>
  </si>
  <si>
    <t>PTW-9095</t>
  </si>
  <si>
    <t>PTW-9096</t>
  </si>
  <si>
    <t>PTW-9097</t>
  </si>
  <si>
    <t>PTW-9098</t>
  </si>
  <si>
    <t>PTW-9099</t>
  </si>
  <si>
    <t>PTW-9100</t>
  </si>
  <si>
    <t>PTW-9101</t>
  </si>
  <si>
    <t>PTW-9102</t>
  </si>
  <si>
    <t>PTW-9103</t>
  </si>
  <si>
    <t>PTW-9104</t>
  </si>
  <si>
    <t>PTW-9105</t>
  </si>
  <si>
    <t>PTW-9106</t>
  </si>
  <si>
    <t>PTW-9107</t>
  </si>
  <si>
    <t>PTW-9108</t>
  </si>
  <si>
    <t>PTW-9109</t>
  </si>
  <si>
    <t>PTW-9110</t>
  </si>
  <si>
    <t>PTW-9111</t>
  </si>
  <si>
    <t>PTW-9112</t>
  </si>
  <si>
    <t>PTW-9113</t>
  </si>
  <si>
    <t>PTW-9114</t>
  </si>
  <si>
    <t>PTW-9115</t>
  </si>
  <si>
    <t>PTW-9116</t>
  </si>
  <si>
    <t>PTW-9117</t>
  </si>
  <si>
    <t>PTW-9118</t>
  </si>
  <si>
    <t>PTW-9119</t>
  </si>
  <si>
    <t>PTW-9120</t>
  </si>
  <si>
    <t>PTW-9121</t>
  </si>
  <si>
    <t>PTW-9122</t>
  </si>
  <si>
    <t>PTW-9123</t>
  </si>
  <si>
    <t>PTW-9124</t>
  </si>
  <si>
    <t>PTW-9125</t>
  </si>
  <si>
    <t>PTW-9126</t>
  </si>
  <si>
    <t>PTW-9127</t>
  </si>
  <si>
    <t>PTW-9128</t>
  </si>
  <si>
    <t>PTW-9129</t>
  </si>
  <si>
    <t>PTW-9130</t>
  </si>
  <si>
    <t>PTW-9131</t>
  </si>
  <si>
    <t>PTW-9132</t>
  </si>
  <si>
    <t>PTW-9133</t>
  </si>
  <si>
    <t>PTW-9134</t>
  </si>
  <si>
    <t>PTW-9135</t>
  </si>
  <si>
    <t>PTW-9136</t>
  </si>
  <si>
    <t>PTW-9137</t>
  </si>
  <si>
    <t>PTW-9138</t>
  </si>
  <si>
    <t>PTW-9139</t>
  </si>
  <si>
    <t>PTW-9140</t>
  </si>
  <si>
    <t>PTW-9141</t>
  </si>
  <si>
    <t>PTW-9142</t>
  </si>
  <si>
    <t>PTW-9143</t>
  </si>
  <si>
    <t>PTW-9144</t>
  </si>
  <si>
    <t>PTW-9145</t>
  </si>
  <si>
    <t>PTW-9146</t>
  </si>
  <si>
    <t>PTW-9147</t>
  </si>
  <si>
    <t>PTW-9148</t>
  </si>
  <si>
    <t>PTW-9149</t>
  </si>
  <si>
    <t>PTW-9150</t>
  </si>
  <si>
    <t>PTW-9151</t>
  </si>
  <si>
    <t>PTW-9152</t>
  </si>
  <si>
    <t>PTW-9153</t>
  </si>
  <si>
    <t>PTW-9154</t>
  </si>
  <si>
    <t>PTW-9155</t>
  </si>
  <si>
    <t>PTW-9156</t>
  </si>
  <si>
    <t>PTW-9157</t>
  </si>
  <si>
    <t>PTW-9158</t>
  </si>
  <si>
    <t>PTW-9159</t>
  </si>
  <si>
    <t>PTW-9160</t>
  </si>
  <si>
    <t>PTW-9161</t>
  </si>
  <si>
    <t>PTW-9162</t>
  </si>
  <si>
    <t>PTW-9163</t>
  </si>
  <si>
    <t>PTW-9164</t>
  </si>
  <si>
    <t>PTW-9165</t>
  </si>
  <si>
    <t>PTW-9166</t>
  </si>
  <si>
    <t>PTW-9167</t>
  </si>
  <si>
    <t>PTW-9168</t>
  </si>
  <si>
    <t>PTW-9169</t>
  </si>
  <si>
    <t>PTW-9170</t>
  </si>
  <si>
    <t>PTW-9171</t>
  </si>
  <si>
    <t>PTW-9172</t>
  </si>
  <si>
    <t>PTW-9173</t>
  </si>
  <si>
    <t>PTW-9174</t>
  </si>
  <si>
    <t>PTW-9175</t>
  </si>
  <si>
    <t>PTW-9176</t>
  </si>
  <si>
    <t>PTW-9177</t>
  </si>
  <si>
    <t>PTW-9178</t>
  </si>
  <si>
    <t>PTW-9179</t>
  </si>
  <si>
    <t>PTW-9180</t>
  </si>
  <si>
    <t>PTW-9181</t>
  </si>
  <si>
    <t>PTW-9182</t>
  </si>
  <si>
    <t>PTW-9183</t>
  </si>
  <si>
    <t>PTW-9184</t>
  </si>
  <si>
    <t>PTW-9185</t>
  </si>
  <si>
    <t>PTW-9186</t>
  </si>
  <si>
    <t>PTW-9187</t>
  </si>
  <si>
    <t>PTW-9188</t>
  </si>
  <si>
    <t>PTW-9189</t>
  </si>
  <si>
    <t>PTW-9190</t>
  </si>
  <si>
    <t>PTW-9191</t>
  </si>
  <si>
    <t>PTW-9192</t>
  </si>
  <si>
    <t>PTW-9193</t>
  </si>
  <si>
    <t>PTW-9194</t>
  </si>
  <si>
    <t>PTW-9195</t>
  </si>
  <si>
    <t>PTW-9196</t>
  </si>
  <si>
    <t>PTW-9197</t>
  </si>
  <si>
    <t>PTW-9198</t>
  </si>
  <si>
    <t>PTW-9199</t>
  </si>
  <si>
    <t>PTW-9200</t>
  </si>
  <si>
    <t>PTW-9201</t>
  </si>
  <si>
    <t>PTW-9202</t>
  </si>
  <si>
    <t>PTW-9203</t>
  </si>
  <si>
    <t>PTW-9204</t>
  </si>
  <si>
    <t>PTW-9205</t>
  </si>
  <si>
    <t>PTW-9206</t>
  </si>
  <si>
    <t>PTW-9207</t>
  </si>
  <si>
    <t>PTW-9208</t>
  </si>
  <si>
    <t>PTW-9209</t>
  </si>
  <si>
    <t>PTW-9210</t>
  </si>
  <si>
    <t>PTW-9211</t>
  </si>
  <si>
    <t>PTW-9212</t>
  </si>
  <si>
    <t>PTW-9213</t>
  </si>
  <si>
    <t>PTW-9214</t>
  </si>
  <si>
    <t>PTW-9215</t>
  </si>
  <si>
    <t>PTW-9216</t>
  </si>
  <si>
    <t>PTW-9217</t>
  </si>
  <si>
    <t>PTW-9218</t>
  </si>
  <si>
    <t>PTW-9219</t>
  </si>
  <si>
    <t>PTW-9220</t>
  </si>
  <si>
    <t>PTW-9221</t>
  </si>
  <si>
    <t>PTW-9222</t>
  </si>
  <si>
    <t>PTW-9223</t>
  </si>
  <si>
    <t>PTW-9224</t>
  </si>
  <si>
    <t>PTW-9225</t>
  </si>
  <si>
    <t>PTW-9226</t>
  </si>
  <si>
    <t>PTW-9227</t>
  </si>
  <si>
    <t>PTW-9228</t>
  </si>
  <si>
    <t>PTW-9229</t>
  </si>
  <si>
    <t>PTW-9230</t>
  </si>
  <si>
    <t>PTW-9231</t>
  </si>
  <si>
    <t>PTW-9232</t>
  </si>
  <si>
    <t>PTW-9233</t>
  </si>
  <si>
    <t>PTW-9234</t>
  </si>
  <si>
    <t>PTW-9235</t>
  </si>
  <si>
    <t>PTW-9236</t>
  </si>
  <si>
    <t>PTW-9237</t>
  </si>
  <si>
    <t>PTW-9238</t>
  </si>
  <si>
    <t>PTW-9239</t>
  </si>
  <si>
    <t>PTW-9240</t>
  </si>
  <si>
    <t>PTW-9241</t>
  </si>
  <si>
    <t>PTW-9242</t>
  </si>
  <si>
    <t>PTW-9243</t>
  </si>
  <si>
    <t>PTW-9244</t>
  </si>
  <si>
    <t>PTW-9245</t>
  </si>
  <si>
    <t>PTW-9246</t>
  </si>
  <si>
    <t>PTW-9247</t>
  </si>
  <si>
    <t>PTW-9248</t>
  </si>
  <si>
    <t>PTW-9249</t>
  </si>
  <si>
    <t>PTW-9250</t>
  </si>
  <si>
    <t>PTW-9251</t>
  </si>
  <si>
    <t>PTW-9252</t>
  </si>
  <si>
    <t>PTW-9253</t>
  </si>
  <si>
    <t>PTW-9254</t>
  </si>
  <si>
    <t>PTW-9255</t>
  </si>
  <si>
    <t>PTW-9256</t>
  </si>
  <si>
    <t>PTW-9257</t>
  </si>
  <si>
    <t>PTW-9258</t>
  </si>
  <si>
    <t>PTW-9259</t>
  </si>
  <si>
    <t>PTW-9260</t>
  </si>
  <si>
    <t>PTW-9261</t>
  </si>
  <si>
    <t>PTW-9262</t>
  </si>
  <si>
    <t>PTW-9263</t>
  </si>
  <si>
    <t>PTW-9264</t>
  </si>
  <si>
    <t>PTW-9265</t>
  </si>
  <si>
    <t>PTW-9266</t>
  </si>
  <si>
    <t>PTW-9267</t>
  </si>
  <si>
    <t>PTW-9268</t>
  </si>
  <si>
    <t>PTW-9269</t>
  </si>
  <si>
    <t>PTW-9270</t>
  </si>
  <si>
    <t>PTW-9271</t>
  </si>
  <si>
    <t>PTW-9272</t>
  </si>
  <si>
    <t>PTW-9273</t>
  </si>
  <si>
    <t>PTW-9274</t>
  </si>
  <si>
    <t>PTW-9275</t>
  </si>
  <si>
    <t>PTW-9276</t>
  </si>
  <si>
    <t>PTW-9277</t>
  </si>
  <si>
    <t>PTW-9278</t>
  </si>
  <si>
    <t>PTW-9279</t>
  </si>
  <si>
    <t>PTW-9280</t>
  </si>
  <si>
    <t>PTW-9281</t>
  </si>
  <si>
    <t>PTW-9282</t>
  </si>
  <si>
    <t>PTW-9283</t>
  </si>
  <si>
    <t>PTW-9284</t>
  </si>
  <si>
    <t>PTW-9285</t>
  </si>
  <si>
    <t>PTW-9286</t>
  </si>
  <si>
    <t>PTW-9287</t>
  </si>
  <si>
    <t>PTW-9288</t>
  </si>
  <si>
    <t>PTW-9289</t>
  </si>
  <si>
    <t>PTW-9290</t>
  </si>
  <si>
    <t>PTW-9291</t>
  </si>
  <si>
    <t>PTW-9292</t>
  </si>
  <si>
    <t>PTW-9293</t>
  </si>
  <si>
    <t>PTW-9294</t>
  </si>
  <si>
    <t>PTW-9295</t>
  </si>
  <si>
    <t>PTW-9296</t>
  </si>
  <si>
    <t>PTW-9297</t>
  </si>
  <si>
    <t>PTW-9298</t>
  </si>
  <si>
    <t>PTW-9299</t>
  </si>
  <si>
    <t>PTW-9300</t>
  </si>
  <si>
    <t>PTW-9301</t>
  </si>
  <si>
    <t>PTW-9302</t>
  </si>
  <si>
    <t>PTW-9303</t>
  </si>
  <si>
    <t>PTW-9304</t>
  </si>
  <si>
    <t>PTW-9305</t>
  </si>
  <si>
    <t>PTW-9306</t>
  </si>
  <si>
    <t>PTW-9307</t>
  </si>
  <si>
    <t>PTW-9308</t>
  </si>
  <si>
    <t>PTW-9309</t>
  </si>
  <si>
    <t>PTW-9310</t>
  </si>
  <si>
    <t>PTW-9311</t>
  </si>
  <si>
    <t>PTW-9312</t>
  </si>
  <si>
    <t>PTW-9313</t>
  </si>
  <si>
    <t>PTW-9314</t>
  </si>
  <si>
    <t>PTW-9315</t>
  </si>
  <si>
    <t>PTW-9316</t>
  </si>
  <si>
    <t>PTW-9317</t>
  </si>
  <si>
    <t>PTW-9318</t>
  </si>
  <si>
    <t>PTW-9319</t>
  </si>
  <si>
    <t>PTW-9320</t>
  </si>
  <si>
    <t>PTW-9321</t>
  </si>
  <si>
    <t>PTW-9322</t>
  </si>
  <si>
    <t>PTW-9323</t>
  </si>
  <si>
    <t>PTW-9324</t>
  </si>
  <si>
    <t>PTW-9325</t>
  </si>
  <si>
    <t>PTW-9326</t>
  </si>
  <si>
    <t>PTW-9327</t>
  </si>
  <si>
    <t>PTW-9328</t>
  </si>
  <si>
    <t>PTW-9329</t>
  </si>
  <si>
    <t>PTW-9330</t>
  </si>
  <si>
    <t>PTW-9331</t>
  </si>
  <si>
    <t>PTW-9332</t>
  </si>
  <si>
    <t>PTW-9333</t>
  </si>
  <si>
    <t>PTW-9334</t>
  </si>
  <si>
    <t>PTW-9335</t>
  </si>
  <si>
    <t>PTW-9336</t>
  </si>
  <si>
    <t>PTW-9337</t>
  </si>
  <si>
    <t>PTW-9338</t>
  </si>
  <si>
    <t>PTW-9339</t>
  </si>
  <si>
    <t>PTW-9340</t>
  </si>
  <si>
    <t>PTW-9341</t>
  </si>
  <si>
    <t>PTW-9342</t>
  </si>
  <si>
    <t>PTW-9343</t>
  </si>
  <si>
    <t>PTW-9344</t>
  </si>
  <si>
    <t>PTW-9345</t>
  </si>
  <si>
    <t>PTW-9346</t>
  </si>
  <si>
    <t>PTW-9347</t>
  </si>
  <si>
    <t>PTW-9348</t>
  </si>
  <si>
    <t>PTW-9349</t>
  </si>
  <si>
    <t>PTW-9350</t>
  </si>
  <si>
    <t>PTW-9351</t>
  </si>
  <si>
    <t>PTW-9352</t>
  </si>
  <si>
    <t>PTW-9353</t>
  </si>
  <si>
    <t>PTW-9354</t>
  </si>
  <si>
    <t>PTW-9355</t>
  </si>
  <si>
    <t>PTW-9356</t>
  </si>
  <si>
    <t>PTW-9357</t>
  </si>
  <si>
    <t>PTW-9358</t>
  </si>
  <si>
    <t>PTW-9359</t>
  </si>
  <si>
    <t>PTW-9360</t>
  </si>
  <si>
    <t>PTW-9361</t>
  </si>
  <si>
    <t>PTW-9362</t>
  </si>
  <si>
    <t>PTW-9363</t>
  </si>
  <si>
    <t>PTW-9364</t>
  </si>
  <si>
    <t>PTW-9365</t>
  </si>
  <si>
    <t>PTW-9366</t>
  </si>
  <si>
    <t>PTW-9367</t>
  </si>
  <si>
    <t>PTW-9368</t>
  </si>
  <si>
    <t>PTW-9369</t>
  </si>
  <si>
    <t>PTW-9370</t>
  </si>
  <si>
    <t>PTW-9371</t>
  </si>
  <si>
    <t>PTW-9372</t>
  </si>
  <si>
    <t>PTW-9373</t>
  </si>
  <si>
    <t>PTW-9374</t>
  </si>
  <si>
    <t>PTW-9375</t>
  </si>
  <si>
    <t>PTW-9376</t>
  </si>
  <si>
    <t>PTW-9377</t>
  </si>
  <si>
    <t>PTW-9378</t>
  </si>
  <si>
    <t>PTW-9379</t>
  </si>
  <si>
    <t>PTW-9380</t>
  </si>
  <si>
    <t>PTW-9381</t>
  </si>
  <si>
    <t>PTW-9382</t>
  </si>
  <si>
    <t>PTW-9383</t>
  </si>
  <si>
    <t>PTW-9384</t>
  </si>
  <si>
    <t>PTW-9385</t>
  </si>
  <si>
    <t>PTW-9386</t>
  </si>
  <si>
    <t>PTW-9387</t>
  </si>
  <si>
    <t>PTW-9388</t>
  </si>
  <si>
    <t>PTW-9389</t>
  </si>
  <si>
    <t>PTW-9390</t>
  </si>
  <si>
    <t>PTW-9391</t>
  </si>
  <si>
    <t>PTW-9392</t>
  </si>
  <si>
    <t>PTW-9393</t>
  </si>
  <si>
    <t>PTW-9394</t>
  </si>
  <si>
    <t>PTW-9395</t>
  </si>
  <si>
    <t>PTW-9396</t>
  </si>
  <si>
    <t>PTW-9397</t>
  </si>
  <si>
    <t>PTW-9398</t>
  </si>
  <si>
    <t>PTW-9399</t>
  </si>
  <si>
    <t>PTW-9400</t>
  </si>
  <si>
    <t>PTW-9401</t>
  </si>
  <si>
    <t>PTW-9402</t>
  </si>
  <si>
    <t>PTW-9403</t>
  </si>
  <si>
    <t>PTW-9404</t>
  </si>
  <si>
    <t>PTW-9405</t>
  </si>
  <si>
    <t>PTW-9406</t>
  </si>
  <si>
    <t>PTW-9407</t>
  </si>
  <si>
    <t>PTW-9408</t>
  </si>
  <si>
    <t>PTW-9409</t>
  </si>
  <si>
    <t>PTW-9410</t>
  </si>
  <si>
    <t>PTW-9411</t>
  </si>
  <si>
    <t>PTW-9412</t>
  </si>
  <si>
    <t>PTW-9413</t>
  </si>
  <si>
    <t>PTW-9414</t>
  </si>
  <si>
    <t>PTW-9415</t>
  </si>
  <si>
    <t>PTW-9416</t>
  </si>
  <si>
    <t>PTW-9417</t>
  </si>
  <si>
    <t>PTW-9418</t>
  </si>
  <si>
    <t>PTW-9419</t>
  </si>
  <si>
    <t>PTW-9420</t>
  </si>
  <si>
    <t>PTW-9421</t>
  </si>
  <si>
    <t>PTW-9422</t>
  </si>
  <si>
    <t>PTW-9423</t>
  </si>
  <si>
    <t>PTW-9424</t>
  </si>
  <si>
    <t>PTW-9425</t>
  </si>
  <si>
    <t>PTW-9426</t>
  </si>
  <si>
    <t>PTW-9427</t>
  </si>
  <si>
    <t>PTW-9428</t>
  </si>
  <si>
    <t>PTW-9429</t>
  </si>
  <si>
    <t>PTW-9430</t>
  </si>
  <si>
    <t>PTW-9431</t>
  </si>
  <si>
    <t>PTW-9432</t>
  </si>
  <si>
    <t>PTW-9433</t>
  </si>
  <si>
    <t>PTW-9434</t>
  </si>
  <si>
    <t>PTW-9435</t>
  </si>
  <si>
    <t>PTW-9436</t>
  </si>
  <si>
    <t>PTW-9437</t>
  </si>
  <si>
    <t>PTW-9438</t>
  </si>
  <si>
    <t>PTW-9439</t>
  </si>
  <si>
    <t>PTW-9440</t>
  </si>
  <si>
    <t>PTW-9441</t>
  </si>
  <si>
    <t>PTW-9442</t>
  </si>
  <si>
    <t>PTW-9443</t>
  </si>
  <si>
    <t>PTW-9444</t>
  </si>
  <si>
    <t>PTW-9445</t>
  </si>
  <si>
    <t>PTW-9446</t>
  </si>
  <si>
    <t>PTW-9447</t>
  </si>
  <si>
    <t>PTW-9448</t>
  </si>
  <si>
    <t>PTW-9449</t>
  </si>
  <si>
    <t>PTW-9450</t>
  </si>
  <si>
    <t>PTW-9451</t>
  </si>
  <si>
    <t>PTW-9452</t>
  </si>
  <si>
    <t>PTW-9453</t>
  </si>
  <si>
    <t>PTW-9454</t>
  </si>
  <si>
    <t>PTW-9455</t>
  </si>
  <si>
    <t>PTW-9456</t>
  </si>
  <si>
    <t>PTW-9457</t>
  </si>
  <si>
    <t>PTW-9458</t>
  </si>
  <si>
    <t>PTW-9459</t>
  </si>
  <si>
    <t>PTW-9460</t>
  </si>
  <si>
    <t>PTW-9461</t>
  </si>
  <si>
    <t>PTW-9462</t>
  </si>
  <si>
    <t>PTW-9463</t>
  </si>
  <si>
    <t>PTW-9464</t>
  </si>
  <si>
    <t>PTW-9465</t>
  </si>
  <si>
    <t>PTW-9466</t>
  </si>
  <si>
    <t>PTW-9467</t>
  </si>
  <si>
    <t>PTW-9468</t>
  </si>
  <si>
    <t>PTW-9469</t>
  </si>
  <si>
    <t>PTW-9470</t>
  </si>
  <si>
    <t>PTW-9471</t>
  </si>
  <si>
    <t>PTW-9472</t>
  </si>
  <si>
    <t>PTW-9473</t>
  </si>
  <si>
    <t>PTW-9474</t>
  </si>
  <si>
    <t>PTW-9475</t>
  </si>
  <si>
    <t>PTW-9476</t>
  </si>
  <si>
    <t>PTW-9477</t>
  </si>
  <si>
    <t>PTW-9478</t>
  </si>
  <si>
    <t>PTW-9479</t>
  </si>
  <si>
    <t>PTW-9480</t>
  </si>
  <si>
    <t>PTW-9481</t>
  </si>
  <si>
    <t>PTW-9482</t>
  </si>
  <si>
    <t>PTW-9483</t>
  </si>
  <si>
    <t>PTW-9484</t>
  </si>
  <si>
    <t>PTW-9485</t>
  </si>
  <si>
    <t>PTW-9486</t>
  </si>
  <si>
    <t>PTW-9487</t>
  </si>
  <si>
    <t>PTW-9488</t>
  </si>
  <si>
    <t>PTW-9489</t>
  </si>
  <si>
    <t>PTW-9490</t>
  </si>
  <si>
    <t>PTW-9491</t>
  </si>
  <si>
    <t>PTW-9492</t>
  </si>
  <si>
    <t>PTW-9493</t>
  </si>
  <si>
    <t>PTW-9494</t>
  </si>
  <si>
    <t>PTW-9495</t>
  </si>
  <si>
    <t>PTW-9496</t>
  </si>
  <si>
    <t>PTW-9497</t>
  </si>
  <si>
    <t>PTW-9498</t>
  </si>
  <si>
    <t>PTW-9499</t>
  </si>
  <si>
    <t>PTW-9500</t>
  </si>
  <si>
    <t>PTW-9501</t>
  </si>
  <si>
    <t>PTW-9502</t>
  </si>
  <si>
    <t>PTW-9503</t>
  </si>
  <si>
    <t>PTW-9504</t>
  </si>
  <si>
    <t>PTW-9505</t>
  </si>
  <si>
    <t>PTW-9506</t>
  </si>
  <si>
    <t>PTW-9507</t>
  </si>
  <si>
    <t>PTW-9508</t>
  </si>
  <si>
    <t>PTW-9509</t>
  </si>
  <si>
    <t>PTW-9510</t>
  </si>
  <si>
    <t>PTW-9511</t>
  </si>
  <si>
    <t>PTW-9512</t>
  </si>
  <si>
    <t>PTW-9513</t>
  </si>
  <si>
    <t>PTW-9514</t>
  </si>
  <si>
    <t>PTW-9515</t>
  </si>
  <si>
    <t>PTW-9516</t>
  </si>
  <si>
    <t>PTW-9517</t>
  </si>
  <si>
    <t>PTW-9518</t>
  </si>
  <si>
    <t>PTW-9519</t>
  </si>
  <si>
    <t>PTW-9520</t>
  </si>
  <si>
    <t>PTW-9521</t>
  </si>
  <si>
    <t>PTW-9522</t>
  </si>
  <si>
    <t>PTW-9523</t>
  </si>
  <si>
    <t>PTW-9524</t>
  </si>
  <si>
    <t>PTW-9525</t>
  </si>
  <si>
    <t>PTW-9526</t>
  </si>
  <si>
    <t>PTW-9527</t>
  </si>
  <si>
    <t>PTW-9528</t>
  </si>
  <si>
    <t>PTW-9529</t>
  </si>
  <si>
    <t>PTW-9530</t>
  </si>
  <si>
    <t>PTW-9531</t>
  </si>
  <si>
    <t>PTW-9532</t>
  </si>
  <si>
    <t>PTW-9533</t>
  </si>
  <si>
    <t>PTW-9534</t>
  </si>
  <si>
    <t>PTW-9535</t>
  </si>
  <si>
    <t>PTW-9536</t>
  </si>
  <si>
    <t>PTW-9537</t>
  </si>
  <si>
    <t>PTW-9538</t>
  </si>
  <si>
    <t>PTW-9539</t>
  </si>
  <si>
    <t>PTW-9540</t>
  </si>
  <si>
    <t>PTW-9541</t>
  </si>
  <si>
    <t>PTW-9542</t>
  </si>
  <si>
    <t>PTW-9543</t>
  </si>
  <si>
    <t>PTW-9544</t>
  </si>
  <si>
    <t>PTW-9545</t>
  </si>
  <si>
    <t>PTW-9546</t>
  </si>
  <si>
    <t>PTW-9547</t>
  </si>
  <si>
    <t>PTW-9548</t>
  </si>
  <si>
    <t>PTW-9549</t>
  </si>
  <si>
    <t>PTW-9550</t>
  </si>
  <si>
    <t>PTW-9551</t>
  </si>
  <si>
    <t>PTW-9552</t>
  </si>
  <si>
    <t>PTW-9553</t>
  </si>
  <si>
    <t>PTW-9554</t>
  </si>
  <si>
    <t>PTW-9555</t>
  </si>
  <si>
    <t>PTW-9556</t>
  </si>
  <si>
    <t>PTW-9557</t>
  </si>
  <si>
    <t>PTW-9558</t>
  </si>
  <si>
    <t>PTW-9559</t>
  </si>
  <si>
    <t>PTW-9560</t>
  </si>
  <si>
    <t>PTW-9561</t>
  </si>
  <si>
    <t>PTW-9562</t>
  </si>
  <si>
    <t>PTW-9563</t>
  </si>
  <si>
    <t>PTW-9564</t>
  </si>
  <si>
    <t>PTW-9565</t>
  </si>
  <si>
    <t>PTW-9566</t>
  </si>
  <si>
    <t>PTW-9567</t>
  </si>
  <si>
    <t>PTW-9568</t>
  </si>
  <si>
    <t>PTW-9569</t>
  </si>
  <si>
    <t>PTW-9570</t>
  </si>
  <si>
    <t>PTW-9571</t>
  </si>
  <si>
    <t>PTW-9572</t>
  </si>
  <si>
    <t>PTW-9573</t>
  </si>
  <si>
    <t>PTW-9574</t>
  </si>
  <si>
    <t>PTW-9575</t>
  </si>
  <si>
    <t>PTW-9576</t>
  </si>
  <si>
    <t>PTW-9577</t>
  </si>
  <si>
    <t>PTW-9578</t>
  </si>
  <si>
    <t>PTW-9579</t>
  </si>
  <si>
    <t>PTW-9580</t>
  </si>
  <si>
    <t>PTW-9581</t>
  </si>
  <si>
    <t>PTW-9582</t>
  </si>
  <si>
    <t>PTW-9583</t>
  </si>
  <si>
    <t>PTW-9584</t>
  </si>
  <si>
    <t>PTW-9585</t>
  </si>
  <si>
    <t>PTW-9586</t>
  </si>
  <si>
    <t>PTW-9587</t>
  </si>
  <si>
    <t>PTW-9588</t>
  </si>
  <si>
    <t>PTW-9589</t>
  </si>
  <si>
    <t>PTW-9590</t>
  </si>
  <si>
    <t>PTW-9591</t>
  </si>
  <si>
    <t>PTW-9592</t>
  </si>
  <si>
    <t>PTW-9593</t>
  </si>
  <si>
    <t>PTW-9594</t>
  </si>
  <si>
    <t>PTW-9595</t>
  </si>
  <si>
    <t>PTW-9596</t>
  </si>
  <si>
    <t>PTW-9597</t>
  </si>
  <si>
    <t>PTW-9598</t>
  </si>
  <si>
    <t>PTW-9599</t>
  </si>
  <si>
    <t>PTW-9600</t>
  </si>
  <si>
    <t>PTW-9601</t>
  </si>
  <si>
    <t>PTW-9602</t>
  </si>
  <si>
    <t>PTW-9603</t>
  </si>
  <si>
    <t>PTW-9604</t>
  </si>
  <si>
    <t>PTW-9605</t>
  </si>
  <si>
    <t>PTW-9606</t>
  </si>
  <si>
    <t>PTW-9607</t>
  </si>
  <si>
    <t>PTW-9608</t>
  </si>
  <si>
    <t>PTW-9609</t>
  </si>
  <si>
    <t>PTW-9610</t>
  </si>
  <si>
    <t>PTW-9611</t>
  </si>
  <si>
    <t>PTW-9612</t>
  </si>
  <si>
    <t>PTW-9613</t>
  </si>
  <si>
    <t>PTW-9614</t>
  </si>
  <si>
    <t>PTW-9615</t>
  </si>
  <si>
    <t>PTW-9616</t>
  </si>
  <si>
    <t>PTW-9617</t>
  </si>
  <si>
    <t>PTW-9618</t>
  </si>
  <si>
    <t>PTW-9619</t>
  </si>
  <si>
    <t>PTW-9620</t>
  </si>
  <si>
    <t>PTW-9621</t>
  </si>
  <si>
    <t>PTW-9622</t>
  </si>
  <si>
    <t>PTW-9623</t>
  </si>
  <si>
    <t>PTW-9624</t>
  </si>
  <si>
    <t>PTW-9625</t>
  </si>
  <si>
    <t>PTW-9626</t>
  </si>
  <si>
    <t>PTW-9627</t>
  </si>
  <si>
    <t>PTW-9628</t>
  </si>
  <si>
    <t>PTW-9629</t>
  </si>
  <si>
    <t>PTW-9630</t>
  </si>
  <si>
    <t>PTW-9631</t>
  </si>
  <si>
    <t>PTW-9632</t>
  </si>
  <si>
    <t>PTW-9633</t>
  </si>
  <si>
    <t>PTW-9634</t>
  </si>
  <si>
    <t>PTW-9635</t>
  </si>
  <si>
    <t>PTW-9636</t>
  </si>
  <si>
    <t>PTW-9637</t>
  </si>
  <si>
    <t>PTW-9638</t>
  </si>
  <si>
    <t>PTW-9639</t>
  </si>
  <si>
    <t>PTW-9640</t>
  </si>
  <si>
    <t>PTW-9641</t>
  </si>
  <si>
    <t>PTW-9642</t>
  </si>
  <si>
    <t>PTW-9643</t>
  </si>
  <si>
    <t>PTW-9644</t>
  </si>
  <si>
    <t>PTW-9645</t>
  </si>
  <si>
    <t>PTW-9646</t>
  </si>
  <si>
    <t>PTW-9647</t>
  </si>
  <si>
    <t>PTW-9648</t>
  </si>
  <si>
    <t>PTW-9649</t>
  </si>
  <si>
    <t>PTW-9650</t>
  </si>
  <si>
    <t>PTW-9651</t>
  </si>
  <si>
    <t>PTW-9652</t>
  </si>
  <si>
    <t>PTW-9653</t>
  </si>
  <si>
    <t>PTW-9654</t>
  </si>
  <si>
    <t>PTW-9655</t>
  </si>
  <si>
    <t>PTW-9656</t>
  </si>
  <si>
    <t>PTW-9657</t>
  </si>
  <si>
    <t>PTW-9658</t>
  </si>
  <si>
    <t>PTW-9659</t>
  </si>
  <si>
    <t>PTW-9660</t>
  </si>
  <si>
    <t>PTW-9661</t>
  </si>
  <si>
    <t>PTW-9662</t>
  </si>
  <si>
    <t>PTW-9663</t>
  </si>
  <si>
    <t>PTW-9664</t>
  </si>
  <si>
    <t>PTW-9665</t>
  </si>
  <si>
    <t>PTW-9666</t>
  </si>
  <si>
    <t>PTW-9667</t>
  </si>
  <si>
    <t>PTW-9668</t>
  </si>
  <si>
    <t>PTW-9669</t>
  </si>
  <si>
    <t>PTW-9670</t>
  </si>
  <si>
    <t>PTW-9671</t>
  </si>
  <si>
    <t>PTW-9672</t>
  </si>
  <si>
    <t>PTW-9673</t>
  </si>
  <si>
    <t>PTW-9674</t>
  </si>
  <si>
    <t>PTW-9675</t>
  </si>
  <si>
    <t>PTW-9676</t>
  </si>
  <si>
    <t>PTW-9677</t>
  </si>
  <si>
    <t>PTW-9678</t>
  </si>
  <si>
    <t>PTW-9679</t>
  </si>
  <si>
    <t>PTW-9680</t>
  </si>
  <si>
    <t>PTW-9681</t>
  </si>
  <si>
    <t>PTW-9682</t>
  </si>
  <si>
    <t>PTW-9683</t>
  </si>
  <si>
    <t>PTW-9684</t>
  </si>
  <si>
    <t>PTW-9685</t>
  </si>
  <si>
    <t>PTW-9686</t>
  </si>
  <si>
    <t>PTW-9687</t>
  </si>
  <si>
    <t>PTW-9688</t>
  </si>
  <si>
    <t>PTW-9689</t>
  </si>
  <si>
    <t>PTW-9690</t>
  </si>
  <si>
    <t>PTW-9691</t>
  </si>
  <si>
    <t>PTW-9692</t>
  </si>
  <si>
    <t>PTW-9693</t>
  </si>
  <si>
    <t>PTW-9694</t>
  </si>
  <si>
    <t>PTW-9695</t>
  </si>
  <si>
    <t>PTW-9696</t>
  </si>
  <si>
    <t>PTW-9697</t>
  </si>
  <si>
    <t>PTW-9698</t>
  </si>
  <si>
    <t>PTW-9699</t>
  </si>
  <si>
    <t>PTW-9700</t>
  </si>
  <si>
    <t>PTW-9701</t>
  </si>
  <si>
    <t>PTW-9702</t>
  </si>
  <si>
    <t>PTW-9703</t>
  </si>
  <si>
    <t>PTW-9704</t>
  </si>
  <si>
    <t>PTW-9705</t>
  </si>
  <si>
    <t>PTW-9706</t>
  </si>
  <si>
    <t>PTW-9707</t>
  </si>
  <si>
    <t>PTW-9708</t>
  </si>
  <si>
    <t>PTW-9709</t>
  </si>
  <si>
    <t>PTW-9710</t>
  </si>
  <si>
    <t>PTW-9711</t>
  </si>
  <si>
    <t>PTW-9712</t>
  </si>
  <si>
    <t>PTW-9713</t>
  </si>
  <si>
    <t>PTW-9714</t>
  </si>
  <si>
    <t>PTW-9715</t>
  </si>
  <si>
    <t>PTW-9716</t>
  </si>
  <si>
    <t>PTW-9717</t>
  </si>
  <si>
    <t>PTW-9718</t>
  </si>
  <si>
    <t>PTW-9719</t>
  </si>
  <si>
    <t>PTW-9720</t>
  </si>
  <si>
    <t>PTW-9721</t>
  </si>
  <si>
    <t>PTW-9722</t>
  </si>
  <si>
    <t>PTW-9723</t>
  </si>
  <si>
    <t>PTW-9724</t>
  </si>
  <si>
    <t>PTW-9725</t>
  </si>
  <si>
    <t>PTW-9726</t>
  </si>
  <si>
    <t>PTW-9727</t>
  </si>
  <si>
    <t>PTW-9728</t>
  </si>
  <si>
    <t>PTW-9729</t>
  </si>
  <si>
    <t>PTW-9730</t>
  </si>
  <si>
    <t>PTW-9731</t>
  </si>
  <si>
    <t>PTW-9732</t>
  </si>
  <si>
    <t>PTW-9733</t>
  </si>
  <si>
    <t>PTW-9734</t>
  </si>
  <si>
    <t>PTW-9735</t>
  </si>
  <si>
    <t>PTW-9736</t>
  </si>
  <si>
    <t>PTW-9737</t>
  </si>
  <si>
    <t>PTW-9738</t>
  </si>
  <si>
    <t>PTW-9739</t>
  </si>
  <si>
    <t>PTW-9740</t>
  </si>
  <si>
    <t>PTW-9741</t>
  </si>
  <si>
    <t>PTW-9742</t>
  </si>
  <si>
    <t>PTW-9743</t>
  </si>
  <si>
    <t>PTW-9744</t>
  </si>
  <si>
    <t>PTW-9745</t>
  </si>
  <si>
    <t>PTW-9746</t>
  </si>
  <si>
    <t>PTW-9747</t>
  </si>
  <si>
    <t>PTW-9748</t>
  </si>
  <si>
    <t>PTW-9749</t>
  </si>
  <si>
    <t>PTW-9750</t>
  </si>
  <si>
    <t>PTW-9751</t>
  </si>
  <si>
    <t>PTW-9752</t>
  </si>
  <si>
    <t>PTW-9753</t>
  </si>
  <si>
    <t>PTW-9754</t>
  </si>
  <si>
    <t>PTW-9755</t>
  </si>
  <si>
    <t>PTW-9756</t>
  </si>
  <si>
    <t>PTW-9757</t>
  </si>
  <si>
    <t>PTW-9758</t>
  </si>
  <si>
    <t>PTW-9759</t>
  </si>
  <si>
    <t>PTW-9760</t>
  </si>
  <si>
    <t>PTW-9761</t>
  </si>
  <si>
    <t>PTW-9762</t>
  </si>
  <si>
    <t>PTW-9763</t>
  </si>
  <si>
    <t>PTW-9764</t>
  </si>
  <si>
    <t>PTW-9765</t>
  </si>
  <si>
    <t>PTW-9766</t>
  </si>
  <si>
    <t>PTW-9767</t>
  </si>
  <si>
    <t>PTW-9768</t>
  </si>
  <si>
    <t>PTW-9769</t>
  </si>
  <si>
    <t>PTW-9770</t>
  </si>
  <si>
    <t>PTW-9771</t>
  </si>
  <si>
    <t>PTW-9772</t>
  </si>
  <si>
    <t>PTW-9773</t>
  </si>
  <si>
    <t>PTW-9774</t>
  </si>
  <si>
    <t>PTW-9775</t>
  </si>
  <si>
    <t>PTW-9776</t>
  </si>
  <si>
    <t>PTW-9777</t>
  </si>
  <si>
    <t>PTW-9778</t>
  </si>
  <si>
    <t>PTW-9779</t>
  </si>
  <si>
    <t>PTW-9780</t>
  </si>
  <si>
    <t>PTW-9781</t>
  </si>
  <si>
    <t>PTW-9782</t>
  </si>
  <si>
    <t>PTW-9783</t>
  </si>
  <si>
    <t>PTW-9784</t>
  </si>
  <si>
    <t>PTW-9785</t>
  </si>
  <si>
    <t>PTW-9786</t>
  </si>
  <si>
    <t>PTW-9787</t>
  </si>
  <si>
    <t>PTW-9788</t>
  </si>
  <si>
    <t>PTW-9789</t>
  </si>
  <si>
    <t>PTW-9790</t>
  </si>
  <si>
    <t>PTW-9791</t>
  </si>
  <si>
    <t>PTW-9792</t>
  </si>
  <si>
    <t>PTW-9793</t>
  </si>
  <si>
    <t>PTW-9794</t>
  </si>
  <si>
    <t>PTW-9795</t>
  </si>
  <si>
    <t>PTW-9796</t>
  </si>
  <si>
    <t>PTW-9797</t>
  </si>
  <si>
    <t>PTW-9798</t>
  </si>
  <si>
    <t>PTW-9799</t>
  </si>
  <si>
    <t>PTW-9800</t>
  </si>
  <si>
    <t>PTW-9801</t>
  </si>
  <si>
    <t>PTW-9802</t>
  </si>
  <si>
    <t>PTW-9803</t>
  </si>
  <si>
    <t>PTW-9804</t>
  </si>
  <si>
    <t>PTW-9805</t>
  </si>
  <si>
    <t>PTW-9806</t>
  </si>
  <si>
    <t>PTW-9807</t>
  </si>
  <si>
    <t>PTW-9808</t>
  </si>
  <si>
    <t>PTW-9809</t>
  </si>
  <si>
    <t>PTW-9810</t>
  </si>
  <si>
    <t>PTW-9811</t>
  </si>
  <si>
    <t>PTW-9812</t>
  </si>
  <si>
    <t>PTW-9813</t>
  </si>
  <si>
    <t>PTW-9814</t>
  </si>
  <si>
    <t>PTW-9815</t>
  </si>
  <si>
    <t>PTW-9816</t>
  </si>
  <si>
    <t>PTW-9817</t>
  </si>
  <si>
    <t>PTW-9818</t>
  </si>
  <si>
    <t>PTW-9819</t>
  </si>
  <si>
    <t>PTW-9820</t>
  </si>
  <si>
    <t>PTW-9821</t>
  </si>
  <si>
    <t>PTW-9822</t>
  </si>
  <si>
    <t>PTW-9823</t>
  </si>
  <si>
    <t>PTW-9824</t>
  </si>
  <si>
    <t>PTW-9825</t>
  </si>
  <si>
    <t>PTW-9826</t>
  </si>
  <si>
    <t>PTW-9827</t>
  </si>
  <si>
    <t>PTW-9828</t>
  </si>
  <si>
    <t>PTW-9829</t>
  </si>
  <si>
    <t>PTW-9830</t>
  </si>
  <si>
    <t>PTW-9831</t>
  </si>
  <si>
    <t>PTW-9832</t>
  </si>
  <si>
    <t>PTW-9833</t>
  </si>
  <si>
    <t>PTW-9834</t>
  </si>
  <si>
    <t>PTW-9835</t>
  </si>
  <si>
    <t>PTW-9836</t>
  </si>
  <si>
    <t>PTW-9837</t>
  </si>
  <si>
    <t>PTW-9838</t>
  </si>
  <si>
    <t>PTW-9839</t>
  </si>
  <si>
    <t>PTW-9840</t>
  </si>
  <si>
    <t>PTW-9841</t>
  </si>
  <si>
    <t>PTW-9842</t>
  </si>
  <si>
    <t>PTW-9843</t>
  </si>
  <si>
    <t>PTW-9844</t>
  </si>
  <si>
    <t>PTW-9845</t>
  </si>
  <si>
    <t>PTW-9846</t>
  </si>
  <si>
    <t>PTW-9847</t>
  </si>
  <si>
    <t>PTW-9848</t>
  </si>
  <si>
    <t>PTW-9849</t>
  </si>
  <si>
    <t>PTW-9850</t>
  </si>
  <si>
    <t>PTW-9851</t>
  </si>
  <si>
    <t>PTW-9852</t>
  </si>
  <si>
    <t>PTW-9853</t>
  </si>
  <si>
    <t>PTW-9854</t>
  </si>
  <si>
    <t>PTW-9855</t>
  </si>
  <si>
    <t>PTW-9856</t>
  </si>
  <si>
    <t>PTW-9857</t>
  </si>
  <si>
    <t>PTW-9858</t>
  </si>
  <si>
    <t>PTW-9859</t>
  </si>
  <si>
    <t>PTW-9860</t>
  </si>
  <si>
    <t>PTW-9861</t>
  </si>
  <si>
    <t>PTW-9862</t>
  </si>
  <si>
    <t>PTW-9863</t>
  </si>
  <si>
    <t>PTW-9864</t>
  </si>
  <si>
    <t>PTW-9865</t>
  </si>
  <si>
    <t>PTW-9866</t>
  </si>
  <si>
    <t>PTW-9867</t>
  </si>
  <si>
    <t>PTW-9868</t>
  </si>
  <si>
    <t>PTW-9869</t>
  </si>
  <si>
    <t>PTW-9870</t>
  </si>
  <si>
    <t>PTW-9871</t>
  </si>
  <si>
    <t>PTW-9872</t>
  </si>
  <si>
    <t>PTW-9873</t>
  </si>
  <si>
    <t>PTW-9874</t>
  </si>
  <si>
    <t>PTW-9875</t>
  </si>
  <si>
    <t>PTW-9876</t>
  </si>
  <si>
    <t>PTW-9877</t>
  </si>
  <si>
    <t>PTW-9878</t>
  </si>
  <si>
    <t>PTW-9879</t>
  </si>
  <si>
    <t>PTW-9880</t>
  </si>
  <si>
    <t>PTW-9881</t>
  </si>
  <si>
    <t>PTW-9882</t>
  </si>
  <si>
    <t>PTW-9883</t>
  </si>
  <si>
    <t>PTW-9884</t>
  </si>
  <si>
    <t>PTW-9885</t>
  </si>
  <si>
    <t>PTW-9886</t>
  </si>
  <si>
    <t>PTW-9887</t>
  </si>
  <si>
    <t>PTW-9888</t>
  </si>
  <si>
    <t>PTW-9889</t>
  </si>
  <si>
    <t>PTW-9890</t>
  </si>
  <si>
    <t>PTW-9891</t>
  </si>
  <si>
    <t>PTW-9892</t>
  </si>
  <si>
    <t>PTW-9893</t>
  </si>
  <si>
    <t>PTW-9894</t>
  </si>
  <si>
    <t>PTW-9895</t>
  </si>
  <si>
    <t>PTW-9896</t>
  </si>
  <si>
    <t>PTW-9897</t>
  </si>
  <si>
    <t>PTW-9898</t>
  </si>
  <si>
    <t>PTW-9899</t>
  </si>
  <si>
    <t>PTW-9900</t>
  </si>
  <si>
    <t>PTW-9901</t>
  </si>
  <si>
    <t>PTW-9902</t>
  </si>
  <si>
    <t>PTW-9903</t>
  </si>
  <si>
    <t>PTW-9904</t>
  </si>
  <si>
    <t>PTW-9905</t>
  </si>
  <si>
    <t>PTW-9906</t>
  </si>
  <si>
    <t>PTW-9907</t>
  </si>
  <si>
    <t>PTW-9908</t>
  </si>
  <si>
    <t>PTW-9909</t>
  </si>
  <si>
    <t>PTW-9910</t>
  </si>
  <si>
    <t>PTW-9911</t>
  </si>
  <si>
    <t>PTW-9912</t>
  </si>
  <si>
    <t>PTW-9913</t>
  </si>
  <si>
    <t>PTW-9914</t>
  </si>
  <si>
    <t>PTW-9915</t>
  </si>
  <si>
    <t>PTW-9916</t>
  </si>
  <si>
    <t>PTW-9917</t>
  </si>
  <si>
    <t>PTW-9918</t>
  </si>
  <si>
    <t>PTW-9919</t>
  </si>
  <si>
    <t>PTW-9920</t>
  </si>
  <si>
    <t>PTW-9921</t>
  </si>
  <si>
    <t>PTW-9922</t>
  </si>
  <si>
    <t>PTW-9923</t>
  </si>
  <si>
    <t>PTW-9924</t>
  </si>
  <si>
    <t>PTW-9925</t>
  </si>
  <si>
    <t>PTW-9926</t>
  </si>
  <si>
    <t>PTW-9927</t>
  </si>
  <si>
    <t>PTW-9928</t>
  </si>
  <si>
    <t>PTW-9929</t>
  </si>
  <si>
    <t>PTW-9930</t>
  </si>
  <si>
    <t>PTW-9931</t>
  </si>
  <si>
    <t>PTW-9932</t>
  </si>
  <si>
    <t>PTW-9933</t>
  </si>
  <si>
    <t>PTW-9934</t>
  </si>
  <si>
    <t>PTW-9935</t>
  </si>
  <si>
    <t>PTW-9936</t>
  </si>
  <si>
    <t>PTW-9937</t>
  </si>
  <si>
    <t>PTW-9938</t>
  </si>
  <si>
    <t>PTW-9939</t>
  </si>
  <si>
    <t>PTW-9940</t>
  </si>
  <si>
    <t>PTW-9941</t>
  </si>
  <si>
    <t>PTW-9942</t>
  </si>
  <si>
    <t>PTW-9943</t>
  </si>
  <si>
    <t>PTW-9944</t>
  </si>
  <si>
    <t>PTW-9945</t>
  </si>
  <si>
    <t>PTW-9946</t>
  </si>
  <si>
    <t>PTW-9947</t>
  </si>
  <si>
    <t>PTW-9948</t>
  </si>
  <si>
    <t>PTW-9949</t>
  </si>
  <si>
    <t>PTW-9950</t>
  </si>
  <si>
    <t>PTW-9951</t>
  </si>
  <si>
    <t>PTW-9952</t>
  </si>
  <si>
    <t>PTW-9953</t>
  </si>
  <si>
    <t>PTW-9954</t>
  </si>
  <si>
    <t>PTW-9955</t>
  </si>
  <si>
    <t>PTW-9956</t>
  </si>
  <si>
    <t>PTW-9957</t>
  </si>
  <si>
    <t>PTW-9958</t>
  </si>
  <si>
    <t>PTW-9959</t>
  </si>
  <si>
    <t>PTW-9960</t>
  </si>
  <si>
    <t>PTW-9961</t>
  </si>
  <si>
    <t>PTW-9962</t>
  </si>
  <si>
    <t>PTW-9963</t>
  </si>
  <si>
    <t>PTW-9964</t>
  </si>
  <si>
    <t>PTW-9965</t>
  </si>
  <si>
    <t>PTW-9966</t>
  </si>
  <si>
    <t>PTW-9967</t>
  </si>
  <si>
    <t>PTW-9968</t>
  </si>
  <si>
    <t>PTW-9969</t>
  </si>
  <si>
    <t>PTW-9970</t>
  </si>
  <si>
    <t>PTW-9971</t>
  </si>
  <si>
    <t>PTW-9972</t>
  </si>
  <si>
    <t>PTW-9973</t>
  </si>
  <si>
    <t>PTW-9974</t>
  </si>
  <si>
    <t>PTW-9975</t>
  </si>
  <si>
    <t>PTW-9976</t>
  </si>
  <si>
    <t>PTW-9977</t>
  </si>
  <si>
    <t>PTW-9978</t>
  </si>
  <si>
    <t>PTW-9979</t>
  </si>
  <si>
    <t>PTW-9980</t>
  </si>
  <si>
    <t>PTW-9981</t>
  </si>
  <si>
    <t>PTW-9982</t>
  </si>
  <si>
    <t>PTW-9983</t>
  </si>
  <si>
    <t>PTW-9984</t>
  </si>
  <si>
    <t>PTW-9985</t>
  </si>
  <si>
    <t>PTW-9986</t>
  </si>
  <si>
    <t>PTW-9987</t>
  </si>
  <si>
    <t>PTW-9988</t>
  </si>
  <si>
    <t>PTW-9989</t>
  </si>
  <si>
    <t>PTW-9990</t>
  </si>
  <si>
    <t>PTW-9991</t>
  </si>
  <si>
    <t>PTW-9992</t>
  </si>
  <si>
    <t>PTW-9993</t>
  </si>
  <si>
    <t>Permit ID</t>
  </si>
  <si>
    <t>Permit Type</t>
  </si>
  <si>
    <t>TRN-10001</t>
  </si>
  <si>
    <t>First Aid</t>
  </si>
  <si>
    <t>TRN-10002</t>
  </si>
  <si>
    <t>TRN-10003</t>
  </si>
  <si>
    <t>BBS Awareness</t>
  </si>
  <si>
    <t>TRN-10004</t>
  </si>
  <si>
    <t>Chemical Handling</t>
  </si>
  <si>
    <t>TRN-10005</t>
  </si>
  <si>
    <t>TRN-10006</t>
  </si>
  <si>
    <t>TRN-10007</t>
  </si>
  <si>
    <t>TRN-10008</t>
  </si>
  <si>
    <t>TRN-10009</t>
  </si>
  <si>
    <t>LOTO</t>
  </si>
  <si>
    <t>TRN-10010</t>
  </si>
  <si>
    <t>Fire Fighting</t>
  </si>
  <si>
    <t>TRN-10011</t>
  </si>
  <si>
    <t>TRN-10012</t>
  </si>
  <si>
    <t>TRN-10013</t>
  </si>
  <si>
    <t>TRN-10014</t>
  </si>
  <si>
    <t>Emergency Response</t>
  </si>
  <si>
    <t>TRN-10015</t>
  </si>
  <si>
    <t>Forklift Operation</t>
  </si>
  <si>
    <t>TRN-10016</t>
  </si>
  <si>
    <t>TRN-10017</t>
  </si>
  <si>
    <t>Induction Safety</t>
  </si>
  <si>
    <t>TRN-10018</t>
  </si>
  <si>
    <t>TRN-10019</t>
  </si>
  <si>
    <t>TRN-10020</t>
  </si>
  <si>
    <t>TRN-10021</t>
  </si>
  <si>
    <t>TRN-10022</t>
  </si>
  <si>
    <t>TRN-10023</t>
  </si>
  <si>
    <t>TRN-10024</t>
  </si>
  <si>
    <t>TRN-10025</t>
  </si>
  <si>
    <t>TRN-10026</t>
  </si>
  <si>
    <t>TRN-10027</t>
  </si>
  <si>
    <t>TRN-10028</t>
  </si>
  <si>
    <t>TRN-10029</t>
  </si>
  <si>
    <t>TRN-10030</t>
  </si>
  <si>
    <t>TRN-10031</t>
  </si>
  <si>
    <t>TRN-10032</t>
  </si>
  <si>
    <t>TRN-10033</t>
  </si>
  <si>
    <t>TRN-10034</t>
  </si>
  <si>
    <t>TRN-10035</t>
  </si>
  <si>
    <t>TRN-10036</t>
  </si>
  <si>
    <t>TRN-10037</t>
  </si>
  <si>
    <t>TRN-10038</t>
  </si>
  <si>
    <t>TRN-10039</t>
  </si>
  <si>
    <t>TRN-10040</t>
  </si>
  <si>
    <t>TRN-10041</t>
  </si>
  <si>
    <t>TRN-10042</t>
  </si>
  <si>
    <t>TRN-10043</t>
  </si>
  <si>
    <t>TRN-10044</t>
  </si>
  <si>
    <t>TRN-10045</t>
  </si>
  <si>
    <t>TRN-10046</t>
  </si>
  <si>
    <t>TRN-10047</t>
  </si>
  <si>
    <t>TRN-10048</t>
  </si>
  <si>
    <t>TRN-10049</t>
  </si>
  <si>
    <t>TRN-10050</t>
  </si>
  <si>
    <t>TRN-10051</t>
  </si>
  <si>
    <t>TRN-10052</t>
  </si>
  <si>
    <t>TRN-10053</t>
  </si>
  <si>
    <t>TRN-10054</t>
  </si>
  <si>
    <t>TRN-10055</t>
  </si>
  <si>
    <t>TRN-10056</t>
  </si>
  <si>
    <t>TRN-10057</t>
  </si>
  <si>
    <t>TRN-10058</t>
  </si>
  <si>
    <t>TRN-10059</t>
  </si>
  <si>
    <t>TRN-10060</t>
  </si>
  <si>
    <t>TRN-10061</t>
  </si>
  <si>
    <t>TRN-10062</t>
  </si>
  <si>
    <t>TRN-10063</t>
  </si>
  <si>
    <t>TRN-10064</t>
  </si>
  <si>
    <t>TRN-10065</t>
  </si>
  <si>
    <t>TRN-10066</t>
  </si>
  <si>
    <t>TRN-10067</t>
  </si>
  <si>
    <t>TRN-10068</t>
  </si>
  <si>
    <t>TRN-10069</t>
  </si>
  <si>
    <t>TRN-10070</t>
  </si>
  <si>
    <t>TRN-10071</t>
  </si>
  <si>
    <t>TRN-10072</t>
  </si>
  <si>
    <t>TRN-10073</t>
  </si>
  <si>
    <t>TRN-10074</t>
  </si>
  <si>
    <t>TRN-10075</t>
  </si>
  <si>
    <t>TRN-10076</t>
  </si>
  <si>
    <t>TRN-10077</t>
  </si>
  <si>
    <t>TRN-10078</t>
  </si>
  <si>
    <t>TRN-10079</t>
  </si>
  <si>
    <t>TRN-10080</t>
  </si>
  <si>
    <t>TRN-10081</t>
  </si>
  <si>
    <t>TRN-10082</t>
  </si>
  <si>
    <t>TRN-10083</t>
  </si>
  <si>
    <t>TRN-10084</t>
  </si>
  <si>
    <t>TRN-10085</t>
  </si>
  <si>
    <t>TRN-10086</t>
  </si>
  <si>
    <t>TRN-10087</t>
  </si>
  <si>
    <t>TRN-10088</t>
  </si>
  <si>
    <t>TRN-10089</t>
  </si>
  <si>
    <t>TRN-10090</t>
  </si>
  <si>
    <t>TRN-10091</t>
  </si>
  <si>
    <t>TRN-10092</t>
  </si>
  <si>
    <t>TRN-10093</t>
  </si>
  <si>
    <t>TRN-10094</t>
  </si>
  <si>
    <t>TRN-10095</t>
  </si>
  <si>
    <t>TRN-10096</t>
  </si>
  <si>
    <t>TRN-10097</t>
  </si>
  <si>
    <t>TRN-10098</t>
  </si>
  <si>
    <t>TRN-10099</t>
  </si>
  <si>
    <t>TRN-10100</t>
  </si>
  <si>
    <t>TRN-10101</t>
  </si>
  <si>
    <t>TRN-10102</t>
  </si>
  <si>
    <t>TRN-10103</t>
  </si>
  <si>
    <t>TRN-10104</t>
  </si>
  <si>
    <t>TRN-10105</t>
  </si>
  <si>
    <t>TRN-10106</t>
  </si>
  <si>
    <t>TRN-10107</t>
  </si>
  <si>
    <t>TRN-10108</t>
  </si>
  <si>
    <t>TRN-10109</t>
  </si>
  <si>
    <t>TRN-10110</t>
  </si>
  <si>
    <t>TRN-10111</t>
  </si>
  <si>
    <t>TRN-10112</t>
  </si>
  <si>
    <t>TRN-10113</t>
  </si>
  <si>
    <t>TRN-10114</t>
  </si>
  <si>
    <t>TRN-10115</t>
  </si>
  <si>
    <t>TRN-10116</t>
  </si>
  <si>
    <t>TRN-10117</t>
  </si>
  <si>
    <t>TRN-10118</t>
  </si>
  <si>
    <t>TRN-10119</t>
  </si>
  <si>
    <t>TRN-10120</t>
  </si>
  <si>
    <t>TRN-10121</t>
  </si>
  <si>
    <t>TRN-10122</t>
  </si>
  <si>
    <t>TRN-10123</t>
  </si>
  <si>
    <t>TRN-10124</t>
  </si>
  <si>
    <t>TRN-10125</t>
  </si>
  <si>
    <t>TRN-10126</t>
  </si>
  <si>
    <t>TRN-10127</t>
  </si>
  <si>
    <t>TRN-10128</t>
  </si>
  <si>
    <t>TRN-10129</t>
  </si>
  <si>
    <t>TRN-10130</t>
  </si>
  <si>
    <t>TRN-10131</t>
  </si>
  <si>
    <t>TRN-10132</t>
  </si>
  <si>
    <t>TRN-10133</t>
  </si>
  <si>
    <t>TRN-10134</t>
  </si>
  <si>
    <t>TRN-10135</t>
  </si>
  <si>
    <t>TRN-10136</t>
  </si>
  <si>
    <t>TRN-10137</t>
  </si>
  <si>
    <t>TRN-10138</t>
  </si>
  <si>
    <t>TRN-10139</t>
  </si>
  <si>
    <t>TRN-10140</t>
  </si>
  <si>
    <t>TRN-10141</t>
  </si>
  <si>
    <t>TRN-10142</t>
  </si>
  <si>
    <t>TRN-10143</t>
  </si>
  <si>
    <t>TRN-10144</t>
  </si>
  <si>
    <t>TRN-10145</t>
  </si>
  <si>
    <t>TRN-10146</t>
  </si>
  <si>
    <t>TRN-10147</t>
  </si>
  <si>
    <t>TRN-10148</t>
  </si>
  <si>
    <t>TRN-10149</t>
  </si>
  <si>
    <t>TRN-10150</t>
  </si>
  <si>
    <t>TRN-10151</t>
  </si>
  <si>
    <t>TRN-10152</t>
  </si>
  <si>
    <t>TRN-10153</t>
  </si>
  <si>
    <t>TRN-10154</t>
  </si>
  <si>
    <t>TRN-10155</t>
  </si>
  <si>
    <t>TRN-10156</t>
  </si>
  <si>
    <t>TRN-10157</t>
  </si>
  <si>
    <t>TRN-10158</t>
  </si>
  <si>
    <t>TRN-10159</t>
  </si>
  <si>
    <t>TRN-10160</t>
  </si>
  <si>
    <t>TRN-10161</t>
  </si>
  <si>
    <t>TRN-10162</t>
  </si>
  <si>
    <t>TRN-10163</t>
  </si>
  <si>
    <t>TRN-10164</t>
  </si>
  <si>
    <t>TRN-10165</t>
  </si>
  <si>
    <t>TRN-10166</t>
  </si>
  <si>
    <t>TRN-10167</t>
  </si>
  <si>
    <t>TRN-10168</t>
  </si>
  <si>
    <t>TRN-10169</t>
  </si>
  <si>
    <t>TRN-10170</t>
  </si>
  <si>
    <t>TRN-10171</t>
  </si>
  <si>
    <t>TRN-10172</t>
  </si>
  <si>
    <t>TRN-10173</t>
  </si>
  <si>
    <t>TRN-10174</t>
  </si>
  <si>
    <t>TRN-10175</t>
  </si>
  <si>
    <t>TRN-10176</t>
  </si>
  <si>
    <t>TRN-10177</t>
  </si>
  <si>
    <t>TRN-10178</t>
  </si>
  <si>
    <t>TRN-10179</t>
  </si>
  <si>
    <t>TRN-10180</t>
  </si>
  <si>
    <t>TRN-10181</t>
  </si>
  <si>
    <t>TRN-10182</t>
  </si>
  <si>
    <t>TRN-10183</t>
  </si>
  <si>
    <t>TRN-10184</t>
  </si>
  <si>
    <t>TRN-10185</t>
  </si>
  <si>
    <t>TRN-10186</t>
  </si>
  <si>
    <t>TRN-10187</t>
  </si>
  <si>
    <t>TRN-10188</t>
  </si>
  <si>
    <t>TRN-10189</t>
  </si>
  <si>
    <t>TRN-10190</t>
  </si>
  <si>
    <t>TRN-10191</t>
  </si>
  <si>
    <t>TRN-10192</t>
  </si>
  <si>
    <t>TRN-10193</t>
  </si>
  <si>
    <t>TRN-10194</t>
  </si>
  <si>
    <t>TRN-10195</t>
  </si>
  <si>
    <t>TRN-10196</t>
  </si>
  <si>
    <t>TRN-10197</t>
  </si>
  <si>
    <t>TRN-10198</t>
  </si>
  <si>
    <t>TRN-10199</t>
  </si>
  <si>
    <t>TRN-10200</t>
  </si>
  <si>
    <t>TRN-10201</t>
  </si>
  <si>
    <t>TRN-10202</t>
  </si>
  <si>
    <t>TRN-10203</t>
  </si>
  <si>
    <t>TRN-10204</t>
  </si>
  <si>
    <t>TRN-10205</t>
  </si>
  <si>
    <t>TRN-10206</t>
  </si>
  <si>
    <t>TRN-10207</t>
  </si>
  <si>
    <t>TRN-10208</t>
  </si>
  <si>
    <t>TRN-10209</t>
  </si>
  <si>
    <t>TRN-10210</t>
  </si>
  <si>
    <t>TRN-10211</t>
  </si>
  <si>
    <t>TRN-10212</t>
  </si>
  <si>
    <t>TRN-10213</t>
  </si>
  <si>
    <t>TRN-10214</t>
  </si>
  <si>
    <t>TRN-10215</t>
  </si>
  <si>
    <t>TRN-10216</t>
  </si>
  <si>
    <t>TRN-10217</t>
  </si>
  <si>
    <t>TRN-10218</t>
  </si>
  <si>
    <t>TRN-10219</t>
  </si>
  <si>
    <t>TRN-10220</t>
  </si>
  <si>
    <t>TRN-10221</t>
  </si>
  <si>
    <t>TRN-10222</t>
  </si>
  <si>
    <t>TRN-10223</t>
  </si>
  <si>
    <t>TRN-10224</t>
  </si>
  <si>
    <t>TRN-10225</t>
  </si>
  <si>
    <t>TRN-10226</t>
  </si>
  <si>
    <t>TRN-10227</t>
  </si>
  <si>
    <t>TRN-10228</t>
  </si>
  <si>
    <t>TRN-10229</t>
  </si>
  <si>
    <t>TRN-10230</t>
  </si>
  <si>
    <t>TRN-10231</t>
  </si>
  <si>
    <t>TRN-10232</t>
  </si>
  <si>
    <t>TRN-10233</t>
  </si>
  <si>
    <t>TRN-10234</t>
  </si>
  <si>
    <t>TRN-10235</t>
  </si>
  <si>
    <t>TRN-10236</t>
  </si>
  <si>
    <t>TRN-10237</t>
  </si>
  <si>
    <t>TRN-10238</t>
  </si>
  <si>
    <t>TRN-10239</t>
  </si>
  <si>
    <t>TRN-10240</t>
  </si>
  <si>
    <t>TRN-10241</t>
  </si>
  <si>
    <t>TRN-10242</t>
  </si>
  <si>
    <t>TRN-10243</t>
  </si>
  <si>
    <t>TRN-10244</t>
  </si>
  <si>
    <t>TRN-10245</t>
  </si>
  <si>
    <t>TRN-10246</t>
  </si>
  <si>
    <t>TRN-10247</t>
  </si>
  <si>
    <t>TRN-10248</t>
  </si>
  <si>
    <t>TRN-10249</t>
  </si>
  <si>
    <t>TRN-10250</t>
  </si>
  <si>
    <t>TRN-10251</t>
  </si>
  <si>
    <t>TRN-10252</t>
  </si>
  <si>
    <t>TRN-10253</t>
  </si>
  <si>
    <t>TRN-10254</t>
  </si>
  <si>
    <t>TRN-10255</t>
  </si>
  <si>
    <t>TRN-10256</t>
  </si>
  <si>
    <t>TRN-10257</t>
  </si>
  <si>
    <t>TRN-10258</t>
  </si>
  <si>
    <t>TRN-10259</t>
  </si>
  <si>
    <t>TRN-10260</t>
  </si>
  <si>
    <t>TRN-10261</t>
  </si>
  <si>
    <t>TRN-10262</t>
  </si>
  <si>
    <t>TRN-10263</t>
  </si>
  <si>
    <t>TRN-10264</t>
  </si>
  <si>
    <t>TRN-10265</t>
  </si>
  <si>
    <t>TRN-10266</t>
  </si>
  <si>
    <t>TRN-10267</t>
  </si>
  <si>
    <t>TRN-10268</t>
  </si>
  <si>
    <t>TRN-10269</t>
  </si>
  <si>
    <t>TRN-10270</t>
  </si>
  <si>
    <t>TRN-10271</t>
  </si>
  <si>
    <t>TRN-10272</t>
  </si>
  <si>
    <t>TRN-10273</t>
  </si>
  <si>
    <t>TRN-10274</t>
  </si>
  <si>
    <t>TRN-10275</t>
  </si>
  <si>
    <t>TRN-10276</t>
  </si>
  <si>
    <t>TRN-10277</t>
  </si>
  <si>
    <t>TRN-10278</t>
  </si>
  <si>
    <t>TRN-10279</t>
  </si>
  <si>
    <t>TRN-10280</t>
  </si>
  <si>
    <t>TRN-10281</t>
  </si>
  <si>
    <t>TRN-10282</t>
  </si>
  <si>
    <t>TRN-10283</t>
  </si>
  <si>
    <t>TRN-10284</t>
  </si>
  <si>
    <t>TRN-10285</t>
  </si>
  <si>
    <t>TRN-10286</t>
  </si>
  <si>
    <t>TRN-10287</t>
  </si>
  <si>
    <t>TRN-10288</t>
  </si>
  <si>
    <t>TRN-10289</t>
  </si>
  <si>
    <t>TRN-10290</t>
  </si>
  <si>
    <t>TRN-10291</t>
  </si>
  <si>
    <t>TRN-10292</t>
  </si>
  <si>
    <t>TRN-10293</t>
  </si>
  <si>
    <t>TRN-10294</t>
  </si>
  <si>
    <t>TRN-10295</t>
  </si>
  <si>
    <t>TRN-10296</t>
  </si>
  <si>
    <t>TRN-10297</t>
  </si>
  <si>
    <t>TRN-10298</t>
  </si>
  <si>
    <t>TRN-10299</t>
  </si>
  <si>
    <t>TRN-10300</t>
  </si>
  <si>
    <t>Training ID</t>
  </si>
  <si>
    <t>Topic</t>
  </si>
  <si>
    <t>Completion %</t>
  </si>
  <si>
    <t>PPE-11001</t>
  </si>
  <si>
    <t>PPE-11002</t>
  </si>
  <si>
    <t>PPE-11003</t>
  </si>
  <si>
    <t>PPE-11004</t>
  </si>
  <si>
    <t>PPE-11005</t>
  </si>
  <si>
    <t>PPE-11006</t>
  </si>
  <si>
    <t>PPE-11007</t>
  </si>
  <si>
    <t>PPE-11008</t>
  </si>
  <si>
    <t>PPE-11009</t>
  </si>
  <si>
    <t>PPE-11010</t>
  </si>
  <si>
    <t>PPE-11011</t>
  </si>
  <si>
    <t>PPE-11012</t>
  </si>
  <si>
    <t>PPE-11013</t>
  </si>
  <si>
    <t>PPE-11014</t>
  </si>
  <si>
    <t>PPE-11015</t>
  </si>
  <si>
    <t>PPE-11016</t>
  </si>
  <si>
    <t>PPE-11017</t>
  </si>
  <si>
    <t>PPE-11018</t>
  </si>
  <si>
    <t>PPE-11019</t>
  </si>
  <si>
    <t>PPE-11020</t>
  </si>
  <si>
    <t>PPE-11021</t>
  </si>
  <si>
    <t>PPE-11022</t>
  </si>
  <si>
    <t>PPE-11023</t>
  </si>
  <si>
    <t>PPE-11024</t>
  </si>
  <si>
    <t>PPE-11025</t>
  </si>
  <si>
    <t>PPE-11026</t>
  </si>
  <si>
    <t>PPE-11027</t>
  </si>
  <si>
    <t>PPE-11028</t>
  </si>
  <si>
    <t>PPE-11029</t>
  </si>
  <si>
    <t>PPE-11030</t>
  </si>
  <si>
    <t>PPE-11031</t>
  </si>
  <si>
    <t>PPE-11032</t>
  </si>
  <si>
    <t>PPE-11033</t>
  </si>
  <si>
    <t>PPE-11034</t>
  </si>
  <si>
    <t>PPE-11035</t>
  </si>
  <si>
    <t>PPE-11036</t>
  </si>
  <si>
    <t>PPE-11037</t>
  </si>
  <si>
    <t>PPE-11038</t>
  </si>
  <si>
    <t>PPE-11039</t>
  </si>
  <si>
    <t>PPE-11040</t>
  </si>
  <si>
    <t>PPE-11041</t>
  </si>
  <si>
    <t>PPE-11042</t>
  </si>
  <si>
    <t>PPE-11043</t>
  </si>
  <si>
    <t>PPE-11044</t>
  </si>
  <si>
    <t>PPE-11045</t>
  </si>
  <si>
    <t>PPE-11046</t>
  </si>
  <si>
    <t>PPE-11047</t>
  </si>
  <si>
    <t>PPE-11048</t>
  </si>
  <si>
    <t>PPE-11049</t>
  </si>
  <si>
    <t>PPE-11050</t>
  </si>
  <si>
    <t>PPE-11051</t>
  </si>
  <si>
    <t>PPE-11052</t>
  </si>
  <si>
    <t>PPE-11053</t>
  </si>
  <si>
    <t>PPE-11054</t>
  </si>
  <si>
    <t>PPE-11055</t>
  </si>
  <si>
    <t>PPE-11056</t>
  </si>
  <si>
    <t>PPE-11057</t>
  </si>
  <si>
    <t>PPE-11058</t>
  </si>
  <si>
    <t>PPE-11059</t>
  </si>
  <si>
    <t>PPE-11060</t>
  </si>
  <si>
    <t>PPE-11061</t>
  </si>
  <si>
    <t>PPE-11062</t>
  </si>
  <si>
    <t>PPE-11063</t>
  </si>
  <si>
    <t>PPE-11064</t>
  </si>
  <si>
    <t>PPE-11065</t>
  </si>
  <si>
    <t>PPE-11066</t>
  </si>
  <si>
    <t>PPE-11067</t>
  </si>
  <si>
    <t>PPE-11068</t>
  </si>
  <si>
    <t>PPE-11069</t>
  </si>
  <si>
    <t>PPE-11070</t>
  </si>
  <si>
    <t>PPE-11071</t>
  </si>
  <si>
    <t>PPE-11072</t>
  </si>
  <si>
    <t>PPE-11073</t>
  </si>
  <si>
    <t>PPE-11074</t>
  </si>
  <si>
    <t>PPE-11075</t>
  </si>
  <si>
    <t>PPE-11076</t>
  </si>
  <si>
    <t>PPE-11077</t>
  </si>
  <si>
    <t>PPE-11078</t>
  </si>
  <si>
    <t>PPE-11079</t>
  </si>
  <si>
    <t>PPE-11080</t>
  </si>
  <si>
    <t>PPE-11081</t>
  </si>
  <si>
    <t>PPE-11082</t>
  </si>
  <si>
    <t>PPE-11083</t>
  </si>
  <si>
    <t>PPE-11084</t>
  </si>
  <si>
    <t>PPE-11085</t>
  </si>
  <si>
    <t>PPE-11086</t>
  </si>
  <si>
    <t>PPE-11087</t>
  </si>
  <si>
    <t>PPE-11088</t>
  </si>
  <si>
    <t>PPE-11089</t>
  </si>
  <si>
    <t>PPE-11090</t>
  </si>
  <si>
    <t>PPE-11091</t>
  </si>
  <si>
    <t>PPE-11092</t>
  </si>
  <si>
    <t>PPE-11093</t>
  </si>
  <si>
    <t>PPE-11094</t>
  </si>
  <si>
    <t>PPE-11095</t>
  </si>
  <si>
    <t>PPE-11096</t>
  </si>
  <si>
    <t>PPE-11097</t>
  </si>
  <si>
    <t>PPE-11098</t>
  </si>
  <si>
    <t>PPE-11099</t>
  </si>
  <si>
    <t>PPE-11100</t>
  </si>
  <si>
    <t>PPE-11101</t>
  </si>
  <si>
    <t>PPE-11102</t>
  </si>
  <si>
    <t>PPE-11103</t>
  </si>
  <si>
    <t>PPE-11104</t>
  </si>
  <si>
    <t>PPE-11105</t>
  </si>
  <si>
    <t>PPE-11106</t>
  </si>
  <si>
    <t>PPE-11107</t>
  </si>
  <si>
    <t>PPE-11108</t>
  </si>
  <si>
    <t>PPE-11109</t>
  </si>
  <si>
    <t>PPE-11110</t>
  </si>
  <si>
    <t>PPE-11111</t>
  </si>
  <si>
    <t>PPE-11112</t>
  </si>
  <si>
    <t>PPE-11113</t>
  </si>
  <si>
    <t>PPE-11114</t>
  </si>
  <si>
    <t>PPE-11115</t>
  </si>
  <si>
    <t>PPE-11116</t>
  </si>
  <si>
    <t>PPE-11117</t>
  </si>
  <si>
    <t>PPE-11118</t>
  </si>
  <si>
    <t>PPE-11119</t>
  </si>
  <si>
    <t>PPE-11120</t>
  </si>
  <si>
    <t>PPE-11121</t>
  </si>
  <si>
    <t>PPE-11122</t>
  </si>
  <si>
    <t>PPE-11123</t>
  </si>
  <si>
    <t>PPE-11124</t>
  </si>
  <si>
    <t>PPE-11125</t>
  </si>
  <si>
    <t>PPE-11126</t>
  </si>
  <si>
    <t>PPE-11127</t>
  </si>
  <si>
    <t>PPE-11128</t>
  </si>
  <si>
    <t>PPE-11129</t>
  </si>
  <si>
    <t>PPE-11130</t>
  </si>
  <si>
    <t>PPE-11131</t>
  </si>
  <si>
    <t>PPE-11132</t>
  </si>
  <si>
    <t>PPE-11133</t>
  </si>
  <si>
    <t>PPE-11134</t>
  </si>
  <si>
    <t>PPE-11135</t>
  </si>
  <si>
    <t>PPE-11136</t>
  </si>
  <si>
    <t>PPE-11137</t>
  </si>
  <si>
    <t>PPE-11138</t>
  </si>
  <si>
    <t>PPE-11139</t>
  </si>
  <si>
    <t>PPE-11140</t>
  </si>
  <si>
    <t>PPE-11141</t>
  </si>
  <si>
    <t>PPE-11142</t>
  </si>
  <si>
    <t>PPE-11143</t>
  </si>
  <si>
    <t>PPE-11144</t>
  </si>
  <si>
    <t>PPE-11145</t>
  </si>
  <si>
    <t>PPE-11146</t>
  </si>
  <si>
    <t>PPE-11147</t>
  </si>
  <si>
    <t>PPE-11148</t>
  </si>
  <si>
    <t>PPE-11149</t>
  </si>
  <si>
    <t>PPE-11150</t>
  </si>
  <si>
    <t>PPE-11151</t>
  </si>
  <si>
    <t>PPE-11152</t>
  </si>
  <si>
    <t>PPE-11153</t>
  </si>
  <si>
    <t>PPE-11154</t>
  </si>
  <si>
    <t>PPE-11155</t>
  </si>
  <si>
    <t>PPE-11156</t>
  </si>
  <si>
    <t>PPE-11157</t>
  </si>
  <si>
    <t>PPE-11158</t>
  </si>
  <si>
    <t>PPE-11159</t>
  </si>
  <si>
    <t>PPE-11160</t>
  </si>
  <si>
    <t>PPE-11161</t>
  </si>
  <si>
    <t>PPE-11162</t>
  </si>
  <si>
    <t>PPE-11163</t>
  </si>
  <si>
    <t>PPE-11164</t>
  </si>
  <si>
    <t>PPE-11165</t>
  </si>
  <si>
    <t>PPE-11166</t>
  </si>
  <si>
    <t>PPE-11167</t>
  </si>
  <si>
    <t>PPE-11168</t>
  </si>
  <si>
    <t>PPE-11169</t>
  </si>
  <si>
    <t>PPE-11170</t>
  </si>
  <si>
    <t>PPE-11171</t>
  </si>
  <si>
    <t>PPE-11172</t>
  </si>
  <si>
    <t>PPE-11173</t>
  </si>
  <si>
    <t>PPE-11174</t>
  </si>
  <si>
    <t>PPE-11175</t>
  </si>
  <si>
    <t>PPE-11176</t>
  </si>
  <si>
    <t>PPE-11177</t>
  </si>
  <si>
    <t>PPE-11178</t>
  </si>
  <si>
    <t>PPE-11179</t>
  </si>
  <si>
    <t>PPE-11180</t>
  </si>
  <si>
    <t>PPE-11181</t>
  </si>
  <si>
    <t>PPE-11182</t>
  </si>
  <si>
    <t>PPE-11183</t>
  </si>
  <si>
    <t>PPE-11184</t>
  </si>
  <si>
    <t>PPE-11185</t>
  </si>
  <si>
    <t>PPE-11186</t>
  </si>
  <si>
    <t>PPE-11187</t>
  </si>
  <si>
    <t>PPE-11188</t>
  </si>
  <si>
    <t>PPE-11189</t>
  </si>
  <si>
    <t>PPE-11190</t>
  </si>
  <si>
    <t>PPE-11191</t>
  </si>
  <si>
    <t>PPE-11192</t>
  </si>
  <si>
    <t>PPE-11193</t>
  </si>
  <si>
    <t>PPE-11194</t>
  </si>
  <si>
    <t>PPE-11195</t>
  </si>
  <si>
    <t>PPE-11196</t>
  </si>
  <si>
    <t>PPE-11197</t>
  </si>
  <si>
    <t>PPE-11198</t>
  </si>
  <si>
    <t>PPE-11199</t>
  </si>
  <si>
    <t>PPE-11200</t>
  </si>
  <si>
    <t>PPE-11201</t>
  </si>
  <si>
    <t>PPE-11202</t>
  </si>
  <si>
    <t>PPE-11203</t>
  </si>
  <si>
    <t>PPE-11204</t>
  </si>
  <si>
    <t>PPE-11205</t>
  </si>
  <si>
    <t>PPE-11206</t>
  </si>
  <si>
    <t>PPE-11207</t>
  </si>
  <si>
    <t>PPE-11208</t>
  </si>
  <si>
    <t>PPE-11209</t>
  </si>
  <si>
    <t>PPE-11210</t>
  </si>
  <si>
    <t>PPE-11211</t>
  </si>
  <si>
    <t>PPE-11212</t>
  </si>
  <si>
    <t>PPE-11213</t>
  </si>
  <si>
    <t>PPE-11214</t>
  </si>
  <si>
    <t>PPE-11215</t>
  </si>
  <si>
    <t>PPE-11216</t>
  </si>
  <si>
    <t>PPE-11217</t>
  </si>
  <si>
    <t>PPE-11218</t>
  </si>
  <si>
    <t>PPE-11219</t>
  </si>
  <si>
    <t>PPE-11220</t>
  </si>
  <si>
    <t>PPE-11221</t>
  </si>
  <si>
    <t>PPE-11222</t>
  </si>
  <si>
    <t>PPE-11223</t>
  </si>
  <si>
    <t>PPE-11224</t>
  </si>
  <si>
    <t>PPE-11225</t>
  </si>
  <si>
    <t>PPE-11226</t>
  </si>
  <si>
    <t>PPE-11227</t>
  </si>
  <si>
    <t>PPE-11228</t>
  </si>
  <si>
    <t>PPE-11229</t>
  </si>
  <si>
    <t>PPE-11230</t>
  </si>
  <si>
    <t>PPE-11231</t>
  </si>
  <si>
    <t>PPE-11232</t>
  </si>
  <si>
    <t>PPE-11233</t>
  </si>
  <si>
    <t>PPE-11234</t>
  </si>
  <si>
    <t>PPE-11235</t>
  </si>
  <si>
    <t>PPE-11236</t>
  </si>
  <si>
    <t>PPE-11237</t>
  </si>
  <si>
    <t>PPE-11238</t>
  </si>
  <si>
    <t>PPE-11239</t>
  </si>
  <si>
    <t>PPE-11240</t>
  </si>
  <si>
    <t>PPE-11241</t>
  </si>
  <si>
    <t>PPE-11242</t>
  </si>
  <si>
    <t>PPE-11243</t>
  </si>
  <si>
    <t>PPE-11244</t>
  </si>
  <si>
    <t>PPE-11245</t>
  </si>
  <si>
    <t>PPE-11246</t>
  </si>
  <si>
    <t>PPE-11247</t>
  </si>
  <si>
    <t>PPE-11248</t>
  </si>
  <si>
    <t>PPE-11249</t>
  </si>
  <si>
    <t>PPE-11250</t>
  </si>
  <si>
    <t>PPE-11251</t>
  </si>
  <si>
    <t>PPE-11252</t>
  </si>
  <si>
    <t>PPE-11253</t>
  </si>
  <si>
    <t>PPE-11254</t>
  </si>
  <si>
    <t>PPE-11255</t>
  </si>
  <si>
    <t>PPE-11256</t>
  </si>
  <si>
    <t>PPE-11257</t>
  </si>
  <si>
    <t>PPE-11258</t>
  </si>
  <si>
    <t>PPE-11259</t>
  </si>
  <si>
    <t>PPE-11260</t>
  </si>
  <si>
    <t>PPE-11261</t>
  </si>
  <si>
    <t>PPE-11262</t>
  </si>
  <si>
    <t>PPE-11263</t>
  </si>
  <si>
    <t>PPE-11264</t>
  </si>
  <si>
    <t>PPE-11265</t>
  </si>
  <si>
    <t>PPE-11266</t>
  </si>
  <si>
    <t>PPE-11267</t>
  </si>
  <si>
    <t>PPE-11268</t>
  </si>
  <si>
    <t>PPE-11269</t>
  </si>
  <si>
    <t>PPE-11270</t>
  </si>
  <si>
    <t>PPE-11271</t>
  </si>
  <si>
    <t>PPE-11272</t>
  </si>
  <si>
    <t>PPE-11273</t>
  </si>
  <si>
    <t>PPE-11274</t>
  </si>
  <si>
    <t>PPE-11275</t>
  </si>
  <si>
    <t>PPE-11276</t>
  </si>
  <si>
    <t>PPE-11277</t>
  </si>
  <si>
    <t>PPE-11278</t>
  </si>
  <si>
    <t>PPE-11279</t>
  </si>
  <si>
    <t>PPE-11280</t>
  </si>
  <si>
    <t>PPE-11281</t>
  </si>
  <si>
    <t>PPE-11282</t>
  </si>
  <si>
    <t>PPE-11283</t>
  </si>
  <si>
    <t>PPE-11284</t>
  </si>
  <si>
    <t>PPE-11285</t>
  </si>
  <si>
    <t>PPE-11286</t>
  </si>
  <si>
    <t>PPE-11287</t>
  </si>
  <si>
    <t>PPE-11288</t>
  </si>
  <si>
    <t>PPE-11289</t>
  </si>
  <si>
    <t>PPE-11290</t>
  </si>
  <si>
    <t>PPE-11291</t>
  </si>
  <si>
    <t>PPE-11292</t>
  </si>
  <si>
    <t>PPE-11293</t>
  </si>
  <si>
    <t>PPE-11294</t>
  </si>
  <si>
    <t>PPE-11295</t>
  </si>
  <si>
    <t>PPE-11296</t>
  </si>
  <si>
    <t>PPE-11297</t>
  </si>
  <si>
    <t>PPE-11298</t>
  </si>
  <si>
    <t>PPE-11299</t>
  </si>
  <si>
    <t>PPE-11300</t>
  </si>
  <si>
    <t>PPE ID</t>
  </si>
  <si>
    <t>Checked</t>
  </si>
  <si>
    <t>Compliance %</t>
  </si>
  <si>
    <t>CON-12001</t>
  </si>
  <si>
    <t>CON-12002</t>
  </si>
  <si>
    <t>CON-12003</t>
  </si>
  <si>
    <t>CON-12004</t>
  </si>
  <si>
    <t>CON-12005</t>
  </si>
  <si>
    <t>CON-12006</t>
  </si>
  <si>
    <t>CON-12007</t>
  </si>
  <si>
    <t>CON-12008</t>
  </si>
  <si>
    <t>CON-12009</t>
  </si>
  <si>
    <t>CON-12010</t>
  </si>
  <si>
    <t>CON-12011</t>
  </si>
  <si>
    <t>CON-12012</t>
  </si>
  <si>
    <t>CON-12013</t>
  </si>
  <si>
    <t>CON-12014</t>
  </si>
  <si>
    <t>CON-12015</t>
  </si>
  <si>
    <t>CON-12016</t>
  </si>
  <si>
    <t>CON-12017</t>
  </si>
  <si>
    <t>CON-12018</t>
  </si>
  <si>
    <t>Workers</t>
  </si>
  <si>
    <t>Trained</t>
  </si>
  <si>
    <t>Trained %</t>
  </si>
  <si>
    <t>Incidents</t>
  </si>
  <si>
    <t>Safety Score</t>
  </si>
  <si>
    <t>TBT-13001</t>
  </si>
  <si>
    <t>TBT-13002</t>
  </si>
  <si>
    <t>TBT-13003</t>
  </si>
  <si>
    <t>TBT-13004</t>
  </si>
  <si>
    <t>TBT-13005</t>
  </si>
  <si>
    <t>TBT-13006</t>
  </si>
  <si>
    <t>TBT-13007</t>
  </si>
  <si>
    <t>TBT-13008</t>
  </si>
  <si>
    <t>TBT-13009</t>
  </si>
  <si>
    <t>TBT-13010</t>
  </si>
  <si>
    <t>TBT-13011</t>
  </si>
  <si>
    <t>TBT-13012</t>
  </si>
  <si>
    <t>TBT-13013</t>
  </si>
  <si>
    <t>TBT-13014</t>
  </si>
  <si>
    <t>TBT-13015</t>
  </si>
  <si>
    <t>TBT-13016</t>
  </si>
  <si>
    <t>TBT-13017</t>
  </si>
  <si>
    <t>TBT-13018</t>
  </si>
  <si>
    <t>TBT-13019</t>
  </si>
  <si>
    <t>TBT-13020</t>
  </si>
  <si>
    <t>TBT-13021</t>
  </si>
  <si>
    <t>TBT-13022</t>
  </si>
  <si>
    <t>TBT-13023</t>
  </si>
  <si>
    <t>TBT-13024</t>
  </si>
  <si>
    <t>TBT-13025</t>
  </si>
  <si>
    <t>TBT-13026</t>
  </si>
  <si>
    <t>TBT-13027</t>
  </si>
  <si>
    <t>TBT-13028</t>
  </si>
  <si>
    <t>TBT-13029</t>
  </si>
  <si>
    <t>TBT-13030</t>
  </si>
  <si>
    <t>TBT-13031</t>
  </si>
  <si>
    <t>TBT-13032</t>
  </si>
  <si>
    <t>TBT-13033</t>
  </si>
  <si>
    <t>TBT-13034</t>
  </si>
  <si>
    <t>TBT-13035</t>
  </si>
  <si>
    <t>TBT-13036</t>
  </si>
  <si>
    <t>TBT-13037</t>
  </si>
  <si>
    <t>TBT-13038</t>
  </si>
  <si>
    <t>TBT-13039</t>
  </si>
  <si>
    <t>TBT-13040</t>
  </si>
  <si>
    <t>TBT-13041</t>
  </si>
  <si>
    <t>TBT-13042</t>
  </si>
  <si>
    <t>TBT-13043</t>
  </si>
  <si>
    <t>TBT-13044</t>
  </si>
  <si>
    <t>TBT-13045</t>
  </si>
  <si>
    <t>TBT-13046</t>
  </si>
  <si>
    <t>TBT-13047</t>
  </si>
  <si>
    <t>TBT-13048</t>
  </si>
  <si>
    <t>TBT-13049</t>
  </si>
  <si>
    <t>TBT-13050</t>
  </si>
  <si>
    <t>TBT-13051</t>
  </si>
  <si>
    <t>TBT-13052</t>
  </si>
  <si>
    <t>TBT-13053</t>
  </si>
  <si>
    <t>TBT-13054</t>
  </si>
  <si>
    <t>TBT-13055</t>
  </si>
  <si>
    <t>TBT-13056</t>
  </si>
  <si>
    <t>TBT-13057</t>
  </si>
  <si>
    <t>TBT-13058</t>
  </si>
  <si>
    <t>TBT-13059</t>
  </si>
  <si>
    <t>TBT-13060</t>
  </si>
  <si>
    <t>TBT-13061</t>
  </si>
  <si>
    <t>TBT-13062</t>
  </si>
  <si>
    <t>TBT-13063</t>
  </si>
  <si>
    <t>TBT-13064</t>
  </si>
  <si>
    <t>TBT-13065</t>
  </si>
  <si>
    <t>TBT-13066</t>
  </si>
  <si>
    <t>TBT-13067</t>
  </si>
  <si>
    <t>TBT-13068</t>
  </si>
  <si>
    <t>TBT-13069</t>
  </si>
  <si>
    <t>TBT-13070</t>
  </si>
  <si>
    <t>TBT-13071</t>
  </si>
  <si>
    <t>TBT-13072</t>
  </si>
  <si>
    <t>TBT-13073</t>
  </si>
  <si>
    <t>TBT-13074</t>
  </si>
  <si>
    <t>TBT-13075</t>
  </si>
  <si>
    <t>TBT-13076</t>
  </si>
  <si>
    <t>TBT-13077</t>
  </si>
  <si>
    <t>TBT-13078</t>
  </si>
  <si>
    <t>TBT-13079</t>
  </si>
  <si>
    <t>TBT-13080</t>
  </si>
  <si>
    <t>TBT-13081</t>
  </si>
  <si>
    <t>TBT-13082</t>
  </si>
  <si>
    <t>TBT-13083</t>
  </si>
  <si>
    <t>TBT-13084</t>
  </si>
  <si>
    <t>TBT-13085</t>
  </si>
  <si>
    <t>TBT-13086</t>
  </si>
  <si>
    <t>TBT-13087</t>
  </si>
  <si>
    <t>TBT-13088</t>
  </si>
  <si>
    <t>TBT-13089</t>
  </si>
  <si>
    <t>TBT-13090</t>
  </si>
  <si>
    <t>TBT-13091</t>
  </si>
  <si>
    <t>TBT-13092</t>
  </si>
  <si>
    <t>TBT-13093</t>
  </si>
  <si>
    <t>TBT-13094</t>
  </si>
  <si>
    <t>TBT-13095</t>
  </si>
  <si>
    <t>TBT-13096</t>
  </si>
  <si>
    <t>TBT-13097</t>
  </si>
  <si>
    <t>TBT-13098</t>
  </si>
  <si>
    <t>TBT-13099</t>
  </si>
  <si>
    <t>TBT-13100</t>
  </si>
  <si>
    <t>TBT-13101</t>
  </si>
  <si>
    <t>TBT-13102</t>
  </si>
  <si>
    <t>TBT-13103</t>
  </si>
  <si>
    <t>TBT-13104</t>
  </si>
  <si>
    <t>TBT-13105</t>
  </si>
  <si>
    <t>TBT-13106</t>
  </si>
  <si>
    <t>TBT-13107</t>
  </si>
  <si>
    <t>TBT-13108</t>
  </si>
  <si>
    <t>TBT-13109</t>
  </si>
  <si>
    <t>TBT-13110</t>
  </si>
  <si>
    <t>TBT-13111</t>
  </si>
  <si>
    <t>TBT-13112</t>
  </si>
  <si>
    <t>TBT-13113</t>
  </si>
  <si>
    <t>TBT-13114</t>
  </si>
  <si>
    <t>TBT-13115</t>
  </si>
  <si>
    <t>TBT-13116</t>
  </si>
  <si>
    <t>TBT-13117</t>
  </si>
  <si>
    <t>TBT-13118</t>
  </si>
  <si>
    <t>TBT-13119</t>
  </si>
  <si>
    <t>TBT-13120</t>
  </si>
  <si>
    <t>TBT-13121</t>
  </si>
  <si>
    <t>TBT-13122</t>
  </si>
  <si>
    <t>TBT-13123</t>
  </si>
  <si>
    <t>TBT-13124</t>
  </si>
  <si>
    <t>TBT-13125</t>
  </si>
  <si>
    <t>TBT-13126</t>
  </si>
  <si>
    <t>TBT-13127</t>
  </si>
  <si>
    <t>TBT-13128</t>
  </si>
  <si>
    <t>TBT-13129</t>
  </si>
  <si>
    <t>TBT-13130</t>
  </si>
  <si>
    <t>TBT-13131</t>
  </si>
  <si>
    <t>TBT-13132</t>
  </si>
  <si>
    <t>TBT-13133</t>
  </si>
  <si>
    <t>TBT-13134</t>
  </si>
  <si>
    <t>TBT-13135</t>
  </si>
  <si>
    <t>TBT-13136</t>
  </si>
  <si>
    <t>TBT-13137</t>
  </si>
  <si>
    <t>TBT-13138</t>
  </si>
  <si>
    <t>TBT-13139</t>
  </si>
  <si>
    <t>TBT-13140</t>
  </si>
  <si>
    <t>TBT-13141</t>
  </si>
  <si>
    <t>TBT-13142</t>
  </si>
  <si>
    <t>TBT-13143</t>
  </si>
  <si>
    <t>TBT-13144</t>
  </si>
  <si>
    <t>TBT-13145</t>
  </si>
  <si>
    <t>TBT-13146</t>
  </si>
  <si>
    <t>TBT-13147</t>
  </si>
  <si>
    <t>TBT-13148</t>
  </si>
  <si>
    <t>TBT-13149</t>
  </si>
  <si>
    <t>TBT-13150</t>
  </si>
  <si>
    <t>TBT-13151</t>
  </si>
  <si>
    <t>TBT-13152</t>
  </si>
  <si>
    <t>TBT-13153</t>
  </si>
  <si>
    <t>TBT-13154</t>
  </si>
  <si>
    <t>TBT-13155</t>
  </si>
  <si>
    <t>TBT-13156</t>
  </si>
  <si>
    <t>TBT-13157</t>
  </si>
  <si>
    <t>TBT-13158</t>
  </si>
  <si>
    <t>TBT-13159</t>
  </si>
  <si>
    <t>TBT-13160</t>
  </si>
  <si>
    <t>TBT-13161</t>
  </si>
  <si>
    <t>TBT-13162</t>
  </si>
  <si>
    <t>TBT-13163</t>
  </si>
  <si>
    <t>TBT-13164</t>
  </si>
  <si>
    <t>TBT-13165</t>
  </si>
  <si>
    <t>TBT-13166</t>
  </si>
  <si>
    <t>TBT-13167</t>
  </si>
  <si>
    <t>TBT-13168</t>
  </si>
  <si>
    <t>TBT-13169</t>
  </si>
  <si>
    <t>TBT-13170</t>
  </si>
  <si>
    <t>TBT-13171</t>
  </si>
  <si>
    <t>TBT-13172</t>
  </si>
  <si>
    <t>TBT-13173</t>
  </si>
  <si>
    <t>TBT-13174</t>
  </si>
  <si>
    <t>TBT-13175</t>
  </si>
  <si>
    <t>TBT-13176</t>
  </si>
  <si>
    <t>TBT-13177</t>
  </si>
  <si>
    <t>TBT-13178</t>
  </si>
  <si>
    <t>TBT-13179</t>
  </si>
  <si>
    <t>TBT-13180</t>
  </si>
  <si>
    <t>TBT-13181</t>
  </si>
  <si>
    <t>TBT-13182</t>
  </si>
  <si>
    <t>TBT-13183</t>
  </si>
  <si>
    <t>TBT-13184</t>
  </si>
  <si>
    <t>TBT-13185</t>
  </si>
  <si>
    <t>TBT-13186</t>
  </si>
  <si>
    <t>TBT-13187</t>
  </si>
  <si>
    <t>TBT-13188</t>
  </si>
  <si>
    <t>TBT-13189</t>
  </si>
  <si>
    <t>TBT-13190</t>
  </si>
  <si>
    <t>TBT-13191</t>
  </si>
  <si>
    <t>TBT-13192</t>
  </si>
  <si>
    <t>TBT-13193</t>
  </si>
  <si>
    <t>TBT-13194</t>
  </si>
  <si>
    <t>TBT-13195</t>
  </si>
  <si>
    <t>TBT-13196</t>
  </si>
  <si>
    <t>TBT-13197</t>
  </si>
  <si>
    <t>TBT-13198</t>
  </si>
  <si>
    <t>TBT-13199</t>
  </si>
  <si>
    <t>TBT-13200</t>
  </si>
  <si>
    <t>TBT-13201</t>
  </si>
  <si>
    <t>TBT-13202</t>
  </si>
  <si>
    <t>TBT-13203</t>
  </si>
  <si>
    <t>TBT-13204</t>
  </si>
  <si>
    <t>TBT-13205</t>
  </si>
  <si>
    <t>TBT-13206</t>
  </si>
  <si>
    <t>TBT-13207</t>
  </si>
  <si>
    <t>TBT-13208</t>
  </si>
  <si>
    <t>TBT-13209</t>
  </si>
  <si>
    <t>TBT-13210</t>
  </si>
  <si>
    <t>TBT-13211</t>
  </si>
  <si>
    <t>TBT-13212</t>
  </si>
  <si>
    <t>TBT-13213</t>
  </si>
  <si>
    <t>TBT-13214</t>
  </si>
  <si>
    <t>TBT-13215</t>
  </si>
  <si>
    <t>TBT-13216</t>
  </si>
  <si>
    <t>TBT-13217</t>
  </si>
  <si>
    <t>TBT-13218</t>
  </si>
  <si>
    <t>TBT-13219</t>
  </si>
  <si>
    <t>TBT-13220</t>
  </si>
  <si>
    <t>TBT-13221</t>
  </si>
  <si>
    <t>TBT-13222</t>
  </si>
  <si>
    <t>TBT-13223</t>
  </si>
  <si>
    <t>TBT-13224</t>
  </si>
  <si>
    <t>TBT-13225</t>
  </si>
  <si>
    <t>TBT-13226</t>
  </si>
  <si>
    <t>TBT-13227</t>
  </si>
  <si>
    <t>TBT-13228</t>
  </si>
  <si>
    <t>TBT-13229</t>
  </si>
  <si>
    <t>TBT-13230</t>
  </si>
  <si>
    <t>TBT-13231</t>
  </si>
  <si>
    <t>TBT-13232</t>
  </si>
  <si>
    <t>TBT-13233</t>
  </si>
  <si>
    <t>TBT-13234</t>
  </si>
  <si>
    <t>TBT-13235</t>
  </si>
  <si>
    <t>TBT-13236</t>
  </si>
  <si>
    <t>TBT-13237</t>
  </si>
  <si>
    <t>TBT-13238</t>
  </si>
  <si>
    <t>TBT-13239</t>
  </si>
  <si>
    <t>TBT-13240</t>
  </si>
  <si>
    <t>TBT-13241</t>
  </si>
  <si>
    <t>TBT-13242</t>
  </si>
  <si>
    <t>TBT-13243</t>
  </si>
  <si>
    <t>TBT-13244</t>
  </si>
  <si>
    <t>TBT-13245</t>
  </si>
  <si>
    <t>TBT-13246</t>
  </si>
  <si>
    <t>TBT-13247</t>
  </si>
  <si>
    <t>TBT-13248</t>
  </si>
  <si>
    <t>TBT-13249</t>
  </si>
  <si>
    <t>TBT-13250</t>
  </si>
  <si>
    <t>TBT-13251</t>
  </si>
  <si>
    <t>TBT-13252</t>
  </si>
  <si>
    <t>TBT-13253</t>
  </si>
  <si>
    <t>TBT-13254</t>
  </si>
  <si>
    <t>TBT-13255</t>
  </si>
  <si>
    <t>TBT-13256</t>
  </si>
  <si>
    <t>TBT-13257</t>
  </si>
  <si>
    <t>TBT-13258</t>
  </si>
  <si>
    <t>TBT-13259</t>
  </si>
  <si>
    <t>TBT-13260</t>
  </si>
  <si>
    <t>TBT-13261</t>
  </si>
  <si>
    <t>TBT-13262</t>
  </si>
  <si>
    <t>TBT-13263</t>
  </si>
  <si>
    <t>TBT-13264</t>
  </si>
  <si>
    <t>TBT-13265</t>
  </si>
  <si>
    <t>TBT-13266</t>
  </si>
  <si>
    <t>TBT-13267</t>
  </si>
  <si>
    <t>TBT-13268</t>
  </si>
  <si>
    <t>TBT-13269</t>
  </si>
  <si>
    <t>TBT-13270</t>
  </si>
  <si>
    <t>TBT-13271</t>
  </si>
  <si>
    <t>TBT-13272</t>
  </si>
  <si>
    <t>TBT-13273</t>
  </si>
  <si>
    <t>TBT-13274</t>
  </si>
  <si>
    <t>TBT-13275</t>
  </si>
  <si>
    <t>TBT-13276</t>
  </si>
  <si>
    <t>TBT-13277</t>
  </si>
  <si>
    <t>TBT-13278</t>
  </si>
  <si>
    <t>TBT-13279</t>
  </si>
  <si>
    <t>TBT-13280</t>
  </si>
  <si>
    <t>TBT-13281</t>
  </si>
  <si>
    <t>TBT-13282</t>
  </si>
  <si>
    <t>TBT-13283</t>
  </si>
  <si>
    <t>TBT-13284</t>
  </si>
  <si>
    <t>TBT-13285</t>
  </si>
  <si>
    <t>TBT-13286</t>
  </si>
  <si>
    <t>TBT-13287</t>
  </si>
  <si>
    <t>TBT-13288</t>
  </si>
  <si>
    <t>TBT-13289</t>
  </si>
  <si>
    <t>TBT-13290</t>
  </si>
  <si>
    <t>TBT-13291</t>
  </si>
  <si>
    <t>TBT-13292</t>
  </si>
  <si>
    <t>TBT-13293</t>
  </si>
  <si>
    <t>TBT-13294</t>
  </si>
  <si>
    <t>TBT-13295</t>
  </si>
  <si>
    <t>TBT-13296</t>
  </si>
  <si>
    <t>TBT-13297</t>
  </si>
  <si>
    <t>TBT-13298</t>
  </si>
  <si>
    <t>TBT-13299</t>
  </si>
  <si>
    <t>TBT-13300</t>
  </si>
  <si>
    <t>TBT ID</t>
  </si>
  <si>
    <t>Attendance</t>
  </si>
  <si>
    <t>BBS-14001</t>
  </si>
  <si>
    <t>Safe</t>
  </si>
  <si>
    <t>BBS-14002</t>
  </si>
  <si>
    <t>BBS-14003</t>
  </si>
  <si>
    <t>At-Risk</t>
  </si>
  <si>
    <t>BBS-14004</t>
  </si>
  <si>
    <t>BBS-14005</t>
  </si>
  <si>
    <t>BBS-14006</t>
  </si>
  <si>
    <t>BBS-14007</t>
  </si>
  <si>
    <t>BBS-14008</t>
  </si>
  <si>
    <t>BBS-14009</t>
  </si>
  <si>
    <t>BBS-14010</t>
  </si>
  <si>
    <t>BBS-14011</t>
  </si>
  <si>
    <t>BBS-14012</t>
  </si>
  <si>
    <t>BBS-14013</t>
  </si>
  <si>
    <t>BBS-14014</t>
  </si>
  <si>
    <t>BBS-14015</t>
  </si>
  <si>
    <t>BBS-14016</t>
  </si>
  <si>
    <t>BBS-14017</t>
  </si>
  <si>
    <t>BBS-14018</t>
  </si>
  <si>
    <t>BBS-14019</t>
  </si>
  <si>
    <t>BBS-14020</t>
  </si>
  <si>
    <t>BBS-14021</t>
  </si>
  <si>
    <t>BBS-14022</t>
  </si>
  <si>
    <t>BBS-14023</t>
  </si>
  <si>
    <t>BBS-14024</t>
  </si>
  <si>
    <t>BBS-14025</t>
  </si>
  <si>
    <t>BBS-14026</t>
  </si>
  <si>
    <t>BBS-14027</t>
  </si>
  <si>
    <t>BBS-14028</t>
  </si>
  <si>
    <t>BBS-14029</t>
  </si>
  <si>
    <t>BBS-14030</t>
  </si>
  <si>
    <t>BBS-14031</t>
  </si>
  <si>
    <t>BBS-14032</t>
  </si>
  <si>
    <t>BBS-14033</t>
  </si>
  <si>
    <t>BBS-14034</t>
  </si>
  <si>
    <t>BBS-14035</t>
  </si>
  <si>
    <t>BBS-14036</t>
  </si>
  <si>
    <t>BBS-14037</t>
  </si>
  <si>
    <t>BBS-14038</t>
  </si>
  <si>
    <t>BBS-14039</t>
  </si>
  <si>
    <t>BBS-14040</t>
  </si>
  <si>
    <t>BBS-14041</t>
  </si>
  <si>
    <t>BBS-14042</t>
  </si>
  <si>
    <t>BBS-14043</t>
  </si>
  <si>
    <t>BBS-14044</t>
  </si>
  <si>
    <t>BBS-14045</t>
  </si>
  <si>
    <t>BBS-14046</t>
  </si>
  <si>
    <t>BBS-14047</t>
  </si>
  <si>
    <t>BBS-14048</t>
  </si>
  <si>
    <t>BBS-14049</t>
  </si>
  <si>
    <t>BBS-14050</t>
  </si>
  <si>
    <t>BBS-14051</t>
  </si>
  <si>
    <t>BBS-14052</t>
  </si>
  <si>
    <t>BBS-14053</t>
  </si>
  <si>
    <t>BBS-14054</t>
  </si>
  <si>
    <t>BBS-14055</t>
  </si>
  <si>
    <t>BBS-14056</t>
  </si>
  <si>
    <t>BBS-14057</t>
  </si>
  <si>
    <t>BBS-14058</t>
  </si>
  <si>
    <t>BBS-14059</t>
  </si>
  <si>
    <t>BBS-14060</t>
  </si>
  <si>
    <t>BBS-14061</t>
  </si>
  <si>
    <t>BBS-14062</t>
  </si>
  <si>
    <t>BBS-14063</t>
  </si>
  <si>
    <t>BBS-14064</t>
  </si>
  <si>
    <t>BBS-14065</t>
  </si>
  <si>
    <t>BBS-14066</t>
  </si>
  <si>
    <t>BBS-14067</t>
  </si>
  <si>
    <t>BBS-14068</t>
  </si>
  <si>
    <t>BBS-14069</t>
  </si>
  <si>
    <t>BBS-14070</t>
  </si>
  <si>
    <t>BBS-14071</t>
  </si>
  <si>
    <t>BBS-14072</t>
  </si>
  <si>
    <t>BBS-14073</t>
  </si>
  <si>
    <t>BBS-14074</t>
  </si>
  <si>
    <t>BBS-14075</t>
  </si>
  <si>
    <t>BBS-14076</t>
  </si>
  <si>
    <t>BBS-14077</t>
  </si>
  <si>
    <t>BBS-14078</t>
  </si>
  <si>
    <t>BBS-14079</t>
  </si>
  <si>
    <t>BBS-14080</t>
  </si>
  <si>
    <t>BBS-14081</t>
  </si>
  <si>
    <t>BBS-14082</t>
  </si>
  <si>
    <t>BBS-14083</t>
  </si>
  <si>
    <t>BBS-14084</t>
  </si>
  <si>
    <t>BBS-14085</t>
  </si>
  <si>
    <t>BBS-14086</t>
  </si>
  <si>
    <t>BBS-14087</t>
  </si>
  <si>
    <t>BBS-14088</t>
  </si>
  <si>
    <t>BBS-14089</t>
  </si>
  <si>
    <t>BBS-14090</t>
  </si>
  <si>
    <t>BBS-14091</t>
  </si>
  <si>
    <t>BBS-14092</t>
  </si>
  <si>
    <t>BBS-14093</t>
  </si>
  <si>
    <t>BBS-14094</t>
  </si>
  <si>
    <t>BBS-14095</t>
  </si>
  <si>
    <t>BBS-14096</t>
  </si>
  <si>
    <t>BBS-14097</t>
  </si>
  <si>
    <t>BBS-14098</t>
  </si>
  <si>
    <t>BBS-14099</t>
  </si>
  <si>
    <t>BBS-14100</t>
  </si>
  <si>
    <t>BBS-14101</t>
  </si>
  <si>
    <t>BBS-14102</t>
  </si>
  <si>
    <t>BBS-14103</t>
  </si>
  <si>
    <t>BBS-14104</t>
  </si>
  <si>
    <t>BBS-14105</t>
  </si>
  <si>
    <t>BBS-14106</t>
  </si>
  <si>
    <t>BBS-14107</t>
  </si>
  <si>
    <t>BBS-14108</t>
  </si>
  <si>
    <t>BBS-14109</t>
  </si>
  <si>
    <t>BBS-14110</t>
  </si>
  <si>
    <t>BBS-14111</t>
  </si>
  <si>
    <t>BBS-14112</t>
  </si>
  <si>
    <t>BBS-14113</t>
  </si>
  <si>
    <t>BBS-14114</t>
  </si>
  <si>
    <t>BBS-14115</t>
  </si>
  <si>
    <t>BBS-14116</t>
  </si>
  <si>
    <t>BBS-14117</t>
  </si>
  <si>
    <t>BBS-14118</t>
  </si>
  <si>
    <t>BBS-14119</t>
  </si>
  <si>
    <t>BBS-14120</t>
  </si>
  <si>
    <t>BBS-14121</t>
  </si>
  <si>
    <t>BBS-14122</t>
  </si>
  <si>
    <t>BBS-14123</t>
  </si>
  <si>
    <t>BBS-14124</t>
  </si>
  <si>
    <t>BBS-14125</t>
  </si>
  <si>
    <t>BBS-14126</t>
  </si>
  <si>
    <t>BBS-14127</t>
  </si>
  <si>
    <t>BBS-14128</t>
  </si>
  <si>
    <t>BBS-14129</t>
  </si>
  <si>
    <t>BBS-14130</t>
  </si>
  <si>
    <t>BBS-14131</t>
  </si>
  <si>
    <t>BBS-14132</t>
  </si>
  <si>
    <t>BBS-14133</t>
  </si>
  <si>
    <t>BBS-14134</t>
  </si>
  <si>
    <t>BBS-14135</t>
  </si>
  <si>
    <t>BBS-14136</t>
  </si>
  <si>
    <t>BBS-14137</t>
  </si>
  <si>
    <t>BBS-14138</t>
  </si>
  <si>
    <t>BBS-14139</t>
  </si>
  <si>
    <t>BBS-14140</t>
  </si>
  <si>
    <t>BBS-14141</t>
  </si>
  <si>
    <t>BBS-14142</t>
  </si>
  <si>
    <t>BBS-14143</t>
  </si>
  <si>
    <t>BBS-14144</t>
  </si>
  <si>
    <t>BBS-14145</t>
  </si>
  <si>
    <t>BBS-14146</t>
  </si>
  <si>
    <t>BBS-14147</t>
  </si>
  <si>
    <t>BBS-14148</t>
  </si>
  <si>
    <t>BBS-14149</t>
  </si>
  <si>
    <t>BBS-14150</t>
  </si>
  <si>
    <t>BBS-14151</t>
  </si>
  <si>
    <t>BBS-14152</t>
  </si>
  <si>
    <t>BBS-14153</t>
  </si>
  <si>
    <t>BBS-14154</t>
  </si>
  <si>
    <t>BBS-14155</t>
  </si>
  <si>
    <t>BBS-14156</t>
  </si>
  <si>
    <t>BBS-14157</t>
  </si>
  <si>
    <t>BBS-14158</t>
  </si>
  <si>
    <t>BBS-14159</t>
  </si>
  <si>
    <t>BBS-14160</t>
  </si>
  <si>
    <t>BBS-14161</t>
  </si>
  <si>
    <t>BBS-14162</t>
  </si>
  <si>
    <t>BBS-14163</t>
  </si>
  <si>
    <t>BBS-14164</t>
  </si>
  <si>
    <t>BBS-14165</t>
  </si>
  <si>
    <t>BBS-14166</t>
  </si>
  <si>
    <t>BBS-14167</t>
  </si>
  <si>
    <t>BBS-14168</t>
  </si>
  <si>
    <t>BBS-14169</t>
  </si>
  <si>
    <t>BBS-14170</t>
  </si>
  <si>
    <t>BBS-14171</t>
  </si>
  <si>
    <t>BBS-14172</t>
  </si>
  <si>
    <t>BBS-14173</t>
  </si>
  <si>
    <t>BBS-14174</t>
  </si>
  <si>
    <t>BBS-14175</t>
  </si>
  <si>
    <t>BBS-14176</t>
  </si>
  <si>
    <t>BBS-14177</t>
  </si>
  <si>
    <t>BBS-14178</t>
  </si>
  <si>
    <t>BBS-14179</t>
  </si>
  <si>
    <t>BBS-14180</t>
  </si>
  <si>
    <t>BBS-14181</t>
  </si>
  <si>
    <t>BBS-14182</t>
  </si>
  <si>
    <t>BBS-14183</t>
  </si>
  <si>
    <t>BBS-14184</t>
  </si>
  <si>
    <t>BBS-14185</t>
  </si>
  <si>
    <t>BBS-14186</t>
  </si>
  <si>
    <t>BBS-14187</t>
  </si>
  <si>
    <t>BBS-14188</t>
  </si>
  <si>
    <t>BBS-14189</t>
  </si>
  <si>
    <t>BBS-14190</t>
  </si>
  <si>
    <t>BBS-14191</t>
  </si>
  <si>
    <t>BBS-14192</t>
  </si>
  <si>
    <t>BBS-14193</t>
  </si>
  <si>
    <t>BBS-14194</t>
  </si>
  <si>
    <t>BBS-14195</t>
  </si>
  <si>
    <t>BBS-14196</t>
  </si>
  <si>
    <t>BBS-14197</t>
  </si>
  <si>
    <t>BBS-14198</t>
  </si>
  <si>
    <t>BBS-14199</t>
  </si>
  <si>
    <t>BBS-14200</t>
  </si>
  <si>
    <t>BBS-14201</t>
  </si>
  <si>
    <t>BBS-14202</t>
  </si>
  <si>
    <t>BBS-14203</t>
  </si>
  <si>
    <t>BBS-14204</t>
  </si>
  <si>
    <t>BBS-14205</t>
  </si>
  <si>
    <t>BBS-14206</t>
  </si>
  <si>
    <t>BBS-14207</t>
  </si>
  <si>
    <t>BBS-14208</t>
  </si>
  <si>
    <t>BBS-14209</t>
  </si>
  <si>
    <t>BBS-14210</t>
  </si>
  <si>
    <t>BBS-14211</t>
  </si>
  <si>
    <t>BBS-14212</t>
  </si>
  <si>
    <t>BBS-14213</t>
  </si>
  <si>
    <t>BBS-14214</t>
  </si>
  <si>
    <t>BBS-14215</t>
  </si>
  <si>
    <t>BBS-14216</t>
  </si>
  <si>
    <t>BBS-14217</t>
  </si>
  <si>
    <t>BBS-14218</t>
  </si>
  <si>
    <t>BBS-14219</t>
  </si>
  <si>
    <t>BBS-14220</t>
  </si>
  <si>
    <t>BBS-14221</t>
  </si>
  <si>
    <t>BBS-14222</t>
  </si>
  <si>
    <t>BBS-14223</t>
  </si>
  <si>
    <t>BBS-14224</t>
  </si>
  <si>
    <t>BBS-14225</t>
  </si>
  <si>
    <t>BBS-14226</t>
  </si>
  <si>
    <t>BBS-14227</t>
  </si>
  <si>
    <t>BBS-14228</t>
  </si>
  <si>
    <t>BBS-14229</t>
  </si>
  <si>
    <t>BBS-14230</t>
  </si>
  <si>
    <t>BBS-14231</t>
  </si>
  <si>
    <t>BBS-14232</t>
  </si>
  <si>
    <t>BBS-14233</t>
  </si>
  <si>
    <t>BBS-14234</t>
  </si>
  <si>
    <t>BBS-14235</t>
  </si>
  <si>
    <t>BBS-14236</t>
  </si>
  <si>
    <t>BBS-14237</t>
  </si>
  <si>
    <t>BBS-14238</t>
  </si>
  <si>
    <t>BBS-14239</t>
  </si>
  <si>
    <t>BBS-14240</t>
  </si>
  <si>
    <t>BBS-14241</t>
  </si>
  <si>
    <t>BBS-14242</t>
  </si>
  <si>
    <t>BBS-14243</t>
  </si>
  <si>
    <t>BBS-14244</t>
  </si>
  <si>
    <t>BBS-14245</t>
  </si>
  <si>
    <t>BBS-14246</t>
  </si>
  <si>
    <t>BBS-14247</t>
  </si>
  <si>
    <t>BBS-14248</t>
  </si>
  <si>
    <t>BBS-14249</t>
  </si>
  <si>
    <t>BBS-14250</t>
  </si>
  <si>
    <t>BBS-14251</t>
  </si>
  <si>
    <t>BBS-14252</t>
  </si>
  <si>
    <t>BBS-14253</t>
  </si>
  <si>
    <t>BBS-14254</t>
  </si>
  <si>
    <t>BBS-14255</t>
  </si>
  <si>
    <t>BBS-14256</t>
  </si>
  <si>
    <t>BBS-14257</t>
  </si>
  <si>
    <t>BBS-14258</t>
  </si>
  <si>
    <t>BBS-14259</t>
  </si>
  <si>
    <t>BBS-14260</t>
  </si>
  <si>
    <t>BBS-14261</t>
  </si>
  <si>
    <t>BBS-14262</t>
  </si>
  <si>
    <t>BBS-14263</t>
  </si>
  <si>
    <t>BBS-14264</t>
  </si>
  <si>
    <t>BBS-14265</t>
  </si>
  <si>
    <t>BBS-14266</t>
  </si>
  <si>
    <t>BBS-14267</t>
  </si>
  <si>
    <t>BBS-14268</t>
  </si>
  <si>
    <t>BBS-14269</t>
  </si>
  <si>
    <t>BBS-14270</t>
  </si>
  <si>
    <t>BBS-14271</t>
  </si>
  <si>
    <t>BBS-14272</t>
  </si>
  <si>
    <t>BBS-14273</t>
  </si>
  <si>
    <t>BBS-14274</t>
  </si>
  <si>
    <t>BBS-14275</t>
  </si>
  <si>
    <t>BBS-14276</t>
  </si>
  <si>
    <t>BBS-14277</t>
  </si>
  <si>
    <t>BBS-14278</t>
  </si>
  <si>
    <t>BBS-14279</t>
  </si>
  <si>
    <t>BBS-14280</t>
  </si>
  <si>
    <t>BBS-14281</t>
  </si>
  <si>
    <t>BBS-14282</t>
  </si>
  <si>
    <t>BBS-14283</t>
  </si>
  <si>
    <t>BBS-14284</t>
  </si>
  <si>
    <t>BBS-14285</t>
  </si>
  <si>
    <t>BBS-14286</t>
  </si>
  <si>
    <t>BBS-14287</t>
  </si>
  <si>
    <t>BBS-14288</t>
  </si>
  <si>
    <t>BBS-14289</t>
  </si>
  <si>
    <t>BBS-14290</t>
  </si>
  <si>
    <t>BBS-14291</t>
  </si>
  <si>
    <t>BBS-14292</t>
  </si>
  <si>
    <t>BBS-14293</t>
  </si>
  <si>
    <t>BBS-14294</t>
  </si>
  <si>
    <t>BBS-14295</t>
  </si>
  <si>
    <t>BBS-14296</t>
  </si>
  <si>
    <t>BBS-14297</t>
  </si>
  <si>
    <t>BBS-14298</t>
  </si>
  <si>
    <t>BBS-14299</t>
  </si>
  <si>
    <t>BBS-14300</t>
  </si>
  <si>
    <t>BBS-14301</t>
  </si>
  <si>
    <t>BBS-14302</t>
  </si>
  <si>
    <t>BBS-14303</t>
  </si>
  <si>
    <t>BBS-14304</t>
  </si>
  <si>
    <t>BBS-14305</t>
  </si>
  <si>
    <t>BBS-14306</t>
  </si>
  <si>
    <t>BBS-14307</t>
  </si>
  <si>
    <t>BBS-14308</t>
  </si>
  <si>
    <t>BBS-14309</t>
  </si>
  <si>
    <t>BBS-14310</t>
  </si>
  <si>
    <t>BBS-14311</t>
  </si>
  <si>
    <t>BBS-14312</t>
  </si>
  <si>
    <t>BBS-14313</t>
  </si>
  <si>
    <t>BBS-14314</t>
  </si>
  <si>
    <t>BBS-14315</t>
  </si>
  <si>
    <t>BBS-14316</t>
  </si>
  <si>
    <t>BBS-14317</t>
  </si>
  <si>
    <t>BBS-14318</t>
  </si>
  <si>
    <t>BBS-14319</t>
  </si>
  <si>
    <t>BBS-14320</t>
  </si>
  <si>
    <t>BBS-14321</t>
  </si>
  <si>
    <t>BBS-14322</t>
  </si>
  <si>
    <t>BBS-14323</t>
  </si>
  <si>
    <t>BBS-14324</t>
  </si>
  <si>
    <t>BBS-14325</t>
  </si>
  <si>
    <t>BBS-14326</t>
  </si>
  <si>
    <t>BBS-14327</t>
  </si>
  <si>
    <t>BBS-14328</t>
  </si>
  <si>
    <t>BBS-14329</t>
  </si>
  <si>
    <t>BBS-14330</t>
  </si>
  <si>
    <t>BBS-14331</t>
  </si>
  <si>
    <t>BBS-14332</t>
  </si>
  <si>
    <t>BBS-14333</t>
  </si>
  <si>
    <t>BBS-14334</t>
  </si>
  <si>
    <t>BBS-14335</t>
  </si>
  <si>
    <t>BBS-14336</t>
  </si>
  <si>
    <t>BBS-14337</t>
  </si>
  <si>
    <t>BBS-14338</t>
  </si>
  <si>
    <t>BBS-14339</t>
  </si>
  <si>
    <t>BBS-14340</t>
  </si>
  <si>
    <t>BBS-14341</t>
  </si>
  <si>
    <t>BBS-14342</t>
  </si>
  <si>
    <t>BBS-14343</t>
  </si>
  <si>
    <t>BBS-14344</t>
  </si>
  <si>
    <t>BBS-14345</t>
  </si>
  <si>
    <t>BBS-14346</t>
  </si>
  <si>
    <t>BBS-14347</t>
  </si>
  <si>
    <t>BBS-14348</t>
  </si>
  <si>
    <t>BBS-14349</t>
  </si>
  <si>
    <t>BBS-14350</t>
  </si>
  <si>
    <t>BBS-14351</t>
  </si>
  <si>
    <t>BBS-14352</t>
  </si>
  <si>
    <t>BBS-14353</t>
  </si>
  <si>
    <t>BBS-14354</t>
  </si>
  <si>
    <t>BBS-14355</t>
  </si>
  <si>
    <t>BBS-14356</t>
  </si>
  <si>
    <t>BBS-14357</t>
  </si>
  <si>
    <t>BBS-14358</t>
  </si>
  <si>
    <t>BBS-14359</t>
  </si>
  <si>
    <t>BBS-14360</t>
  </si>
  <si>
    <t>BBS-14361</t>
  </si>
  <si>
    <t>BBS-14362</t>
  </si>
  <si>
    <t>BBS-14363</t>
  </si>
  <si>
    <t>BBS-14364</t>
  </si>
  <si>
    <t>BBS-14365</t>
  </si>
  <si>
    <t>BBS-14366</t>
  </si>
  <si>
    <t>BBS-14367</t>
  </si>
  <si>
    <t>BBS-14368</t>
  </si>
  <si>
    <t>BBS-14369</t>
  </si>
  <si>
    <t>BBS-14370</t>
  </si>
  <si>
    <t>BBS-14371</t>
  </si>
  <si>
    <t>BBS-14372</t>
  </si>
  <si>
    <t>BBS-14373</t>
  </si>
  <si>
    <t>BBS-14374</t>
  </si>
  <si>
    <t>BBS-14375</t>
  </si>
  <si>
    <t>BBS-14376</t>
  </si>
  <si>
    <t>BBS-14377</t>
  </si>
  <si>
    <t>BBS-14378</t>
  </si>
  <si>
    <t>BBS-14379</t>
  </si>
  <si>
    <t>BBS-14380</t>
  </si>
  <si>
    <t>BBS-14381</t>
  </si>
  <si>
    <t>BBS-14382</t>
  </si>
  <si>
    <t>BBS-14383</t>
  </si>
  <si>
    <t>BBS-14384</t>
  </si>
  <si>
    <t>BBS-14385</t>
  </si>
  <si>
    <t>BBS-14386</t>
  </si>
  <si>
    <t>BBS-14387</t>
  </si>
  <si>
    <t>BBS-14388</t>
  </si>
  <si>
    <t>BBS-14389</t>
  </si>
  <si>
    <t>BBS-14390</t>
  </si>
  <si>
    <t>BBS-14391</t>
  </si>
  <si>
    <t>BBS-14392</t>
  </si>
  <si>
    <t>BBS-14393</t>
  </si>
  <si>
    <t>BBS-14394</t>
  </si>
  <si>
    <t>BBS-14395</t>
  </si>
  <si>
    <t>BBS-14396</t>
  </si>
  <si>
    <t>BBS-14397</t>
  </si>
  <si>
    <t>BBS-14398</t>
  </si>
  <si>
    <t>BBS-14399</t>
  </si>
  <si>
    <t>BBS-14400</t>
  </si>
  <si>
    <t>BBS-14401</t>
  </si>
  <si>
    <t>BBS-14402</t>
  </si>
  <si>
    <t>BBS-14403</t>
  </si>
  <si>
    <t>BBS-14404</t>
  </si>
  <si>
    <t>BBS-14405</t>
  </si>
  <si>
    <t>BBS-14406</t>
  </si>
  <si>
    <t>BBS-14407</t>
  </si>
  <si>
    <t>BBS-14408</t>
  </si>
  <si>
    <t>BBS-14409</t>
  </si>
  <si>
    <t>BBS-14410</t>
  </si>
  <si>
    <t>BBS-14411</t>
  </si>
  <si>
    <t>BBS-14412</t>
  </si>
  <si>
    <t>BBS-14413</t>
  </si>
  <si>
    <t>BBS-14414</t>
  </si>
  <si>
    <t>BBS-14415</t>
  </si>
  <si>
    <t>BBS-14416</t>
  </si>
  <si>
    <t>BBS-14417</t>
  </si>
  <si>
    <t>BBS-14418</t>
  </si>
  <si>
    <t>BBS-14419</t>
  </si>
  <si>
    <t>BBS-14420</t>
  </si>
  <si>
    <t>BBS-14421</t>
  </si>
  <si>
    <t>BBS-14422</t>
  </si>
  <si>
    <t>BBS-14423</t>
  </si>
  <si>
    <t>BBS-14424</t>
  </si>
  <si>
    <t>BBS-14425</t>
  </si>
  <si>
    <t>BBS-14426</t>
  </si>
  <si>
    <t>BBS-14427</t>
  </si>
  <si>
    <t>BBS-14428</t>
  </si>
  <si>
    <t>BBS-14429</t>
  </si>
  <si>
    <t>BBS-14430</t>
  </si>
  <si>
    <t>BBS-14431</t>
  </si>
  <si>
    <t>BBS-14432</t>
  </si>
  <si>
    <t>BBS-14433</t>
  </si>
  <si>
    <t>BBS-14434</t>
  </si>
  <si>
    <t>BBS-14435</t>
  </si>
  <si>
    <t>BBS-14436</t>
  </si>
  <si>
    <t>BBS-14437</t>
  </si>
  <si>
    <t>BBS-14438</t>
  </si>
  <si>
    <t>BBS-14439</t>
  </si>
  <si>
    <t>BBS-14440</t>
  </si>
  <si>
    <t>BBS-14441</t>
  </si>
  <si>
    <t>BBS-14442</t>
  </si>
  <si>
    <t>BBS-14443</t>
  </si>
  <si>
    <t>BBS-14444</t>
  </si>
  <si>
    <t>BBS-14445</t>
  </si>
  <si>
    <t>BBS-14446</t>
  </si>
  <si>
    <t>BBS-14447</t>
  </si>
  <si>
    <t>BBS-14448</t>
  </si>
  <si>
    <t>BBS-14449</t>
  </si>
  <si>
    <t>BBS-14450</t>
  </si>
  <si>
    <t>BBS-14451</t>
  </si>
  <si>
    <t>BBS-14452</t>
  </si>
  <si>
    <t>BBS-14453</t>
  </si>
  <si>
    <t>BBS-14454</t>
  </si>
  <si>
    <t>BBS-14455</t>
  </si>
  <si>
    <t>BBS-14456</t>
  </si>
  <si>
    <t>BBS-14457</t>
  </si>
  <si>
    <t>BBS-14458</t>
  </si>
  <si>
    <t>BBS-14459</t>
  </si>
  <si>
    <t>BBS-14460</t>
  </si>
  <si>
    <t>BBS-14461</t>
  </si>
  <si>
    <t>BBS-14462</t>
  </si>
  <si>
    <t>BBS-14463</t>
  </si>
  <si>
    <t>BBS-14464</t>
  </si>
  <si>
    <t>BBS-14465</t>
  </si>
  <si>
    <t>BBS-14466</t>
  </si>
  <si>
    <t>BBS-14467</t>
  </si>
  <si>
    <t>BBS-14468</t>
  </si>
  <si>
    <t>BBS-14469</t>
  </si>
  <si>
    <t>BBS-14470</t>
  </si>
  <si>
    <t>BBS-14471</t>
  </si>
  <si>
    <t>BBS-14472</t>
  </si>
  <si>
    <t>BBS-14473</t>
  </si>
  <si>
    <t>BBS-14474</t>
  </si>
  <si>
    <t>BBS-14475</t>
  </si>
  <si>
    <t>BBS-14476</t>
  </si>
  <si>
    <t>BBS-14477</t>
  </si>
  <si>
    <t>BBS-14478</t>
  </si>
  <si>
    <t>BBS-14479</t>
  </si>
  <si>
    <t>BBS-14480</t>
  </si>
  <si>
    <t>BBS-14481</t>
  </si>
  <si>
    <t>BBS-14482</t>
  </si>
  <si>
    <t>BBS-14483</t>
  </si>
  <si>
    <t>BBS-14484</t>
  </si>
  <si>
    <t>BBS-14485</t>
  </si>
  <si>
    <t>BBS-14486</t>
  </si>
  <si>
    <t>BBS-14487</t>
  </si>
  <si>
    <t>BBS-14488</t>
  </si>
  <si>
    <t>BBS-14489</t>
  </si>
  <si>
    <t>BBS-14490</t>
  </si>
  <si>
    <t>BBS-14491</t>
  </si>
  <si>
    <t>BBS-14492</t>
  </si>
  <si>
    <t>BBS-14493</t>
  </si>
  <si>
    <t>BBS-14494</t>
  </si>
  <si>
    <t>BBS-14495</t>
  </si>
  <si>
    <t>BBS-14496</t>
  </si>
  <si>
    <t>BBS-14497</t>
  </si>
  <si>
    <t>BBS-14498</t>
  </si>
  <si>
    <t>BBS-14499</t>
  </si>
  <si>
    <t>BBS-14500</t>
  </si>
  <si>
    <t>BBS-14501</t>
  </si>
  <si>
    <t>BBS-14502</t>
  </si>
  <si>
    <t>BBS-14503</t>
  </si>
  <si>
    <t>BBS-14504</t>
  </si>
  <si>
    <t>BBS-14505</t>
  </si>
  <si>
    <t>BBS-14506</t>
  </si>
  <si>
    <t>BBS-14507</t>
  </si>
  <si>
    <t>BBS-14508</t>
  </si>
  <si>
    <t>BBS-14509</t>
  </si>
  <si>
    <t>BBS-14510</t>
  </si>
  <si>
    <t>BBS-14511</t>
  </si>
  <si>
    <t>BBS-14512</t>
  </si>
  <si>
    <t>BBS-14513</t>
  </si>
  <si>
    <t>BBS-14514</t>
  </si>
  <si>
    <t>BBS-14515</t>
  </si>
  <si>
    <t>BBS-14516</t>
  </si>
  <si>
    <t>BBS-14517</t>
  </si>
  <si>
    <t>BBS-14518</t>
  </si>
  <si>
    <t>BBS-14519</t>
  </si>
  <si>
    <t>BBS-14520</t>
  </si>
  <si>
    <t>BBS-14521</t>
  </si>
  <si>
    <t>BBS-14522</t>
  </si>
  <si>
    <t>BBS-14523</t>
  </si>
  <si>
    <t>BBS-14524</t>
  </si>
  <si>
    <t>BBS-14525</t>
  </si>
  <si>
    <t>BBS-14526</t>
  </si>
  <si>
    <t>BBS-14527</t>
  </si>
  <si>
    <t>BBS-14528</t>
  </si>
  <si>
    <t>BBS-14529</t>
  </si>
  <si>
    <t>BBS-14530</t>
  </si>
  <si>
    <t>BBS-14531</t>
  </si>
  <si>
    <t>BBS-14532</t>
  </si>
  <si>
    <t>BBS-14533</t>
  </si>
  <si>
    <t>BBS-14534</t>
  </si>
  <si>
    <t>BBS-14535</t>
  </si>
  <si>
    <t>BBS-14536</t>
  </si>
  <si>
    <t>BBS-14537</t>
  </si>
  <si>
    <t>BBS-14538</t>
  </si>
  <si>
    <t>BBS-14539</t>
  </si>
  <si>
    <t>BBS-14540</t>
  </si>
  <si>
    <t>BBS-14541</t>
  </si>
  <si>
    <t>BBS-14542</t>
  </si>
  <si>
    <t>BBS-14543</t>
  </si>
  <si>
    <t>BBS-14544</t>
  </si>
  <si>
    <t>BBS-14545</t>
  </si>
  <si>
    <t>BBS-14546</t>
  </si>
  <si>
    <t>BBS-14547</t>
  </si>
  <si>
    <t>BBS-14548</t>
  </si>
  <si>
    <t>BBS-14549</t>
  </si>
  <si>
    <t>BBS-14550</t>
  </si>
  <si>
    <t>BBS-14551</t>
  </si>
  <si>
    <t>BBS-14552</t>
  </si>
  <si>
    <t>BBS-14553</t>
  </si>
  <si>
    <t>BBS-14554</t>
  </si>
  <si>
    <t>BBS-14555</t>
  </si>
  <si>
    <t>BBS-14556</t>
  </si>
  <si>
    <t>BBS-14557</t>
  </si>
  <si>
    <t>BBS-14558</t>
  </si>
  <si>
    <t>BBS ID</t>
  </si>
  <si>
    <t>Behaviour</t>
  </si>
  <si>
    <t>Observed Act</t>
  </si>
  <si>
    <t>DRL-15001</t>
  </si>
  <si>
    <t>Gas Leak</t>
  </si>
  <si>
    <t>Satisfactory</t>
  </si>
  <si>
    <t>DRL-15002</t>
  </si>
  <si>
    <t>Confined Space Rescue</t>
  </si>
  <si>
    <t>Needs Improvement</t>
  </si>
  <si>
    <t>DRL-15003</t>
  </si>
  <si>
    <t>Excellent</t>
  </si>
  <si>
    <t>DRL-15004</t>
  </si>
  <si>
    <t>Medical Emergency</t>
  </si>
  <si>
    <t>DRL-15005</t>
  </si>
  <si>
    <t>DRL-15006</t>
  </si>
  <si>
    <t>DRL-15007</t>
  </si>
  <si>
    <t>DRL-15008</t>
  </si>
  <si>
    <t>DRL-15009</t>
  </si>
  <si>
    <t>DRL-15010</t>
  </si>
  <si>
    <t>Fire Evacuation</t>
  </si>
  <si>
    <t>DRL-15011</t>
  </si>
  <si>
    <t>DRL-15012</t>
  </si>
  <si>
    <t>DRL-15013</t>
  </si>
  <si>
    <t>DRL-15014</t>
  </si>
  <si>
    <t>DRL-15015</t>
  </si>
  <si>
    <t>DRL-15016</t>
  </si>
  <si>
    <t>DRL-15017</t>
  </si>
  <si>
    <t>Drill ID</t>
  </si>
  <si>
    <t>Drill Type</t>
  </si>
  <si>
    <t>Response Time (min)</t>
  </si>
  <si>
    <t>Rating</t>
  </si>
  <si>
    <t>Participants</t>
  </si>
  <si>
    <t>FE-16001</t>
  </si>
  <si>
    <t>Sprinkler</t>
  </si>
  <si>
    <t>OK</t>
  </si>
  <si>
    <t>FE-16002</t>
  </si>
  <si>
    <t>Smoke Detector</t>
  </si>
  <si>
    <t>FE-16003</t>
  </si>
  <si>
    <t>Fire Alarm</t>
  </si>
  <si>
    <t>FE-16004</t>
  </si>
  <si>
    <t>FE-16005</t>
  </si>
  <si>
    <t>FE-16006</t>
  </si>
  <si>
    <t>Defective</t>
  </si>
  <si>
    <t>FE-16007</t>
  </si>
  <si>
    <t>FE-16008</t>
  </si>
  <si>
    <t>Hose Reel</t>
  </si>
  <si>
    <t>FE-16009</t>
  </si>
  <si>
    <t>Hydrant</t>
  </si>
  <si>
    <t>FE-16010</t>
  </si>
  <si>
    <t>FE-16011</t>
  </si>
  <si>
    <t>Fire Extinguisher</t>
  </si>
  <si>
    <t>FE-16012</t>
  </si>
  <si>
    <t>FE-16013</t>
  </si>
  <si>
    <t>FE-16014</t>
  </si>
  <si>
    <t>FE-16015</t>
  </si>
  <si>
    <t>FE-16016</t>
  </si>
  <si>
    <t>Emergency Light</t>
  </si>
  <si>
    <t>FE-16017</t>
  </si>
  <si>
    <t>FE-16018</t>
  </si>
  <si>
    <t>FE-16019</t>
  </si>
  <si>
    <t>FE-16020</t>
  </si>
  <si>
    <t>FE-16021</t>
  </si>
  <si>
    <t>FE-16022</t>
  </si>
  <si>
    <t>FE-16023</t>
  </si>
  <si>
    <t>FE-16024</t>
  </si>
  <si>
    <t>FE-16025</t>
  </si>
  <si>
    <t>FE-16026</t>
  </si>
  <si>
    <t>FE-16027</t>
  </si>
  <si>
    <t>FE-16028</t>
  </si>
  <si>
    <t>FE-16029</t>
  </si>
  <si>
    <t>FE-16030</t>
  </si>
  <si>
    <t>FE-16031</t>
  </si>
  <si>
    <t>FE-16032</t>
  </si>
  <si>
    <t>FE-16033</t>
  </si>
  <si>
    <t>FE-16034</t>
  </si>
  <si>
    <t>FE-16035</t>
  </si>
  <si>
    <t>FE-16036</t>
  </si>
  <si>
    <t>FE-16037</t>
  </si>
  <si>
    <t>FE-16038</t>
  </si>
  <si>
    <t>FE-16039</t>
  </si>
  <si>
    <t>FE-16040</t>
  </si>
  <si>
    <t>FE-16041</t>
  </si>
  <si>
    <t>FE-16042</t>
  </si>
  <si>
    <t>FE-16043</t>
  </si>
  <si>
    <t>FE-16044</t>
  </si>
  <si>
    <t>FE-16045</t>
  </si>
  <si>
    <t>FE-16046</t>
  </si>
  <si>
    <t>FE-16047</t>
  </si>
  <si>
    <t>FE-16048</t>
  </si>
  <si>
    <t>FE-16049</t>
  </si>
  <si>
    <t>FE-16050</t>
  </si>
  <si>
    <t>FE-16051</t>
  </si>
  <si>
    <t>FE-16052</t>
  </si>
  <si>
    <t>FE-16053</t>
  </si>
  <si>
    <t>FE-16054</t>
  </si>
  <si>
    <t>FE-16055</t>
  </si>
  <si>
    <t>FE-16056</t>
  </si>
  <si>
    <t>FE-16057</t>
  </si>
  <si>
    <t>FE-16058</t>
  </si>
  <si>
    <t>FE-16059</t>
  </si>
  <si>
    <t>FE-16060</t>
  </si>
  <si>
    <t>FE-16061</t>
  </si>
  <si>
    <t>FE-16062</t>
  </si>
  <si>
    <t>FE-16063</t>
  </si>
  <si>
    <t>FE-16064</t>
  </si>
  <si>
    <t>FE-16065</t>
  </si>
  <si>
    <t>FE-16066</t>
  </si>
  <si>
    <t>FE-16067</t>
  </si>
  <si>
    <t>FE-16068</t>
  </si>
  <si>
    <t>FE-16069</t>
  </si>
  <si>
    <t>FE-16070</t>
  </si>
  <si>
    <t>FE-16071</t>
  </si>
  <si>
    <t>FE-16072</t>
  </si>
  <si>
    <t>FE-16073</t>
  </si>
  <si>
    <t>FE-16074</t>
  </si>
  <si>
    <t>FE-16075</t>
  </si>
  <si>
    <t>FE-16076</t>
  </si>
  <si>
    <t>FE-16077</t>
  </si>
  <si>
    <t>FE-16078</t>
  </si>
  <si>
    <t>FE-16079</t>
  </si>
  <si>
    <t>FE-16080</t>
  </si>
  <si>
    <t>FE-16081</t>
  </si>
  <si>
    <t>FE-16082</t>
  </si>
  <si>
    <t>FE-16083</t>
  </si>
  <si>
    <t>FE-16084</t>
  </si>
  <si>
    <t>FE-16085</t>
  </si>
  <si>
    <t>FE-16086</t>
  </si>
  <si>
    <t>FE-16087</t>
  </si>
  <si>
    <t>FE-16088</t>
  </si>
  <si>
    <t>FE-16089</t>
  </si>
  <si>
    <t>FE-16090</t>
  </si>
  <si>
    <t>FE-16091</t>
  </si>
  <si>
    <t>FE-16092</t>
  </si>
  <si>
    <t>FE-16093</t>
  </si>
  <si>
    <t>FE-16094</t>
  </si>
  <si>
    <t>FE-16095</t>
  </si>
  <si>
    <t>FE-16096</t>
  </si>
  <si>
    <t>FE-16097</t>
  </si>
  <si>
    <t>FE-16098</t>
  </si>
  <si>
    <t>FE-16099</t>
  </si>
  <si>
    <t>FE-16100</t>
  </si>
  <si>
    <t>FE-16101</t>
  </si>
  <si>
    <t>FE-16102</t>
  </si>
  <si>
    <t>FE-16103</t>
  </si>
  <si>
    <t>FE-16104</t>
  </si>
  <si>
    <t>FE-16105</t>
  </si>
  <si>
    <t>FE-16106</t>
  </si>
  <si>
    <t>FE-16107</t>
  </si>
  <si>
    <t>FE-16108</t>
  </si>
  <si>
    <t>FE-16109</t>
  </si>
  <si>
    <t>FE-16110</t>
  </si>
  <si>
    <t>FE-16111</t>
  </si>
  <si>
    <t>FE-16112</t>
  </si>
  <si>
    <t>FE-16113</t>
  </si>
  <si>
    <t>FE-16114</t>
  </si>
  <si>
    <t>FE-16115</t>
  </si>
  <si>
    <t>FE-16116</t>
  </si>
  <si>
    <t>FE-16117</t>
  </si>
  <si>
    <t>FE-16118</t>
  </si>
  <si>
    <t>FE-16119</t>
  </si>
  <si>
    <t>FE-16120</t>
  </si>
  <si>
    <t>FE-16121</t>
  </si>
  <si>
    <t>FE-16122</t>
  </si>
  <si>
    <t>FE-16123</t>
  </si>
  <si>
    <t>FE-16124</t>
  </si>
  <si>
    <t>FE-16125</t>
  </si>
  <si>
    <t>FE-16126</t>
  </si>
  <si>
    <t>FE-16127</t>
  </si>
  <si>
    <t>FE-16128</t>
  </si>
  <si>
    <t>FE-16129</t>
  </si>
  <si>
    <t>FE-16130</t>
  </si>
  <si>
    <t>FE-16131</t>
  </si>
  <si>
    <t>FE-16132</t>
  </si>
  <si>
    <t>FE-16133</t>
  </si>
  <si>
    <t>FE-16134</t>
  </si>
  <si>
    <t>FE-16135</t>
  </si>
  <si>
    <t>FE-16136</t>
  </si>
  <si>
    <t>FE-16137</t>
  </si>
  <si>
    <t>FE-16138</t>
  </si>
  <si>
    <t>FE-16139</t>
  </si>
  <si>
    <t>FE-16140</t>
  </si>
  <si>
    <t>FE-16141</t>
  </si>
  <si>
    <t>FE-16142</t>
  </si>
  <si>
    <t>FE-16143</t>
  </si>
  <si>
    <t>FE-16144</t>
  </si>
  <si>
    <t>FE-16145</t>
  </si>
  <si>
    <t>FE-16146</t>
  </si>
  <si>
    <t>FE-16147</t>
  </si>
  <si>
    <t>FE-16148</t>
  </si>
  <si>
    <t>FE-16149</t>
  </si>
  <si>
    <t>FE-16150</t>
  </si>
  <si>
    <t>FE-16151</t>
  </si>
  <si>
    <t>FE-16152</t>
  </si>
  <si>
    <t>FE-16153</t>
  </si>
  <si>
    <t>FE-16154</t>
  </si>
  <si>
    <t>FE-16155</t>
  </si>
  <si>
    <t>FE-16156</t>
  </si>
  <si>
    <t>FE-16157</t>
  </si>
  <si>
    <t>FE-16158</t>
  </si>
  <si>
    <t>FE-16159</t>
  </si>
  <si>
    <t>FE-16160</t>
  </si>
  <si>
    <t>FE-16161</t>
  </si>
  <si>
    <t>FE-16162</t>
  </si>
  <si>
    <t>FE-16163</t>
  </si>
  <si>
    <t>FE-16164</t>
  </si>
  <si>
    <t>FE-16165</t>
  </si>
  <si>
    <t>FE-16166</t>
  </si>
  <si>
    <t>FE-16167</t>
  </si>
  <si>
    <t>FE-16168</t>
  </si>
  <si>
    <t>FE-16169</t>
  </si>
  <si>
    <t>FE-16170</t>
  </si>
  <si>
    <t>FE-16171</t>
  </si>
  <si>
    <t>FE-16172</t>
  </si>
  <si>
    <t>FE-16173</t>
  </si>
  <si>
    <t>FE-16174</t>
  </si>
  <si>
    <t>FE-16175</t>
  </si>
  <si>
    <t>FE-16176</t>
  </si>
  <si>
    <t>FE-16177</t>
  </si>
  <si>
    <t>FE-16178</t>
  </si>
  <si>
    <t>FE-16179</t>
  </si>
  <si>
    <t>FE-16180</t>
  </si>
  <si>
    <t>FE-16181</t>
  </si>
  <si>
    <t>FE-16182</t>
  </si>
  <si>
    <t>FE-16183</t>
  </si>
  <si>
    <t>FE-16184</t>
  </si>
  <si>
    <t>FE-16185</t>
  </si>
  <si>
    <t>FE-16186</t>
  </si>
  <si>
    <t>FE-16187</t>
  </si>
  <si>
    <t>FE-16188</t>
  </si>
  <si>
    <t>FE-16189</t>
  </si>
  <si>
    <t>FE-16190</t>
  </si>
  <si>
    <t>FE-16191</t>
  </si>
  <si>
    <t>FE-16192</t>
  </si>
  <si>
    <t>FE-16193</t>
  </si>
  <si>
    <t>FE-16194</t>
  </si>
  <si>
    <t>FE-16195</t>
  </si>
  <si>
    <t>FE-16196</t>
  </si>
  <si>
    <t>FE-16197</t>
  </si>
  <si>
    <t>FE-16198</t>
  </si>
  <si>
    <t>FE-16199</t>
  </si>
  <si>
    <t>FE-16200</t>
  </si>
  <si>
    <t>FE-16201</t>
  </si>
  <si>
    <t>FE-16202</t>
  </si>
  <si>
    <t>FE-16203</t>
  </si>
  <si>
    <t>FE-16204</t>
  </si>
  <si>
    <t>FE-16205</t>
  </si>
  <si>
    <t>FE-16206</t>
  </si>
  <si>
    <t>FE-16207</t>
  </si>
  <si>
    <t>FE-16208</t>
  </si>
  <si>
    <t>FE-16209</t>
  </si>
  <si>
    <t>FE-16210</t>
  </si>
  <si>
    <t>FE-16211</t>
  </si>
  <si>
    <t>FE-16212</t>
  </si>
  <si>
    <t>FE-16213</t>
  </si>
  <si>
    <t>FE-16214</t>
  </si>
  <si>
    <t>FE-16215</t>
  </si>
  <si>
    <t>FE-16216</t>
  </si>
  <si>
    <t>FE-16217</t>
  </si>
  <si>
    <t>FE-16218</t>
  </si>
  <si>
    <t>FE-16219</t>
  </si>
  <si>
    <t>FE-16220</t>
  </si>
  <si>
    <t>FE-16221</t>
  </si>
  <si>
    <t>FE-16222</t>
  </si>
  <si>
    <t>FE-16223</t>
  </si>
  <si>
    <t>FE-16224</t>
  </si>
  <si>
    <t>FE-16225</t>
  </si>
  <si>
    <t>FE-16226</t>
  </si>
  <si>
    <t>FE-16227</t>
  </si>
  <si>
    <t>FE-16228</t>
  </si>
  <si>
    <t>FE-16229</t>
  </si>
  <si>
    <t>FE-16230</t>
  </si>
  <si>
    <t>FE-16231</t>
  </si>
  <si>
    <t>FE-16232</t>
  </si>
  <si>
    <t>FE-16233</t>
  </si>
  <si>
    <t>FE-16234</t>
  </si>
  <si>
    <t>FE-16235</t>
  </si>
  <si>
    <t>FE-16236</t>
  </si>
  <si>
    <t>FE-16237</t>
  </si>
  <si>
    <t>FE-16238</t>
  </si>
  <si>
    <t>FE-16239</t>
  </si>
  <si>
    <t>FE-16240</t>
  </si>
  <si>
    <t>FE-16241</t>
  </si>
  <si>
    <t>FE ID</t>
  </si>
  <si>
    <t>Equipment</t>
  </si>
  <si>
    <t>Condition</t>
  </si>
  <si>
    <t>RA-17001</t>
  </si>
  <si>
    <t>RA-17002</t>
  </si>
  <si>
    <t>RA-17003</t>
  </si>
  <si>
    <t>RA-17004</t>
  </si>
  <si>
    <t>RA-17005</t>
  </si>
  <si>
    <t>RA-17006</t>
  </si>
  <si>
    <t>RA-17007</t>
  </si>
  <si>
    <t>RA-17008</t>
  </si>
  <si>
    <t>RA-17009</t>
  </si>
  <si>
    <t>RA-17010</t>
  </si>
  <si>
    <t>RA-17011</t>
  </si>
  <si>
    <t>RA-17012</t>
  </si>
  <si>
    <t>RA-17013</t>
  </si>
  <si>
    <t>Mitigated</t>
  </si>
  <si>
    <t>RA-17014</t>
  </si>
  <si>
    <t>RA-17015</t>
  </si>
  <si>
    <t>RA-17016</t>
  </si>
  <si>
    <t>RA-17017</t>
  </si>
  <si>
    <t>RA-17018</t>
  </si>
  <si>
    <t>RA-17019</t>
  </si>
  <si>
    <t>RA-17020</t>
  </si>
  <si>
    <t>RA-17021</t>
  </si>
  <si>
    <t>RA-17022</t>
  </si>
  <si>
    <t>RA-17023</t>
  </si>
  <si>
    <t>RA-17024</t>
  </si>
  <si>
    <t>RA-17025</t>
  </si>
  <si>
    <t>RA-17026</t>
  </si>
  <si>
    <t>RA-17027</t>
  </si>
  <si>
    <t>RA-17028</t>
  </si>
  <si>
    <t>RA-17029</t>
  </si>
  <si>
    <t>RA-17030</t>
  </si>
  <si>
    <t>RA-17031</t>
  </si>
  <si>
    <t>RA-17032</t>
  </si>
  <si>
    <t>RA-17033</t>
  </si>
  <si>
    <t>RA-17034</t>
  </si>
  <si>
    <t>RA-17035</t>
  </si>
  <si>
    <t>RA-17036</t>
  </si>
  <si>
    <t>RA-17037</t>
  </si>
  <si>
    <t>RA-17038</t>
  </si>
  <si>
    <t>RA-17039</t>
  </si>
  <si>
    <t>RA-17040</t>
  </si>
  <si>
    <t>RA-17041</t>
  </si>
  <si>
    <t>RA-17042</t>
  </si>
  <si>
    <t>RA-17043</t>
  </si>
  <si>
    <t>RA-17044</t>
  </si>
  <si>
    <t>RA-17045</t>
  </si>
  <si>
    <t>RA-17046</t>
  </si>
  <si>
    <t>RA-17047</t>
  </si>
  <si>
    <t>RA-17048</t>
  </si>
  <si>
    <t>RA-17049</t>
  </si>
  <si>
    <t>RA-17050</t>
  </si>
  <si>
    <t>RA-17051</t>
  </si>
  <si>
    <t>RA-17052</t>
  </si>
  <si>
    <t>RA-17053</t>
  </si>
  <si>
    <t>RA-17054</t>
  </si>
  <si>
    <t>RA-17055</t>
  </si>
  <si>
    <t>RA-17056</t>
  </si>
  <si>
    <t>RA-17057</t>
  </si>
  <si>
    <t>RA-17058</t>
  </si>
  <si>
    <t>RA-17059</t>
  </si>
  <si>
    <t>RA-17060</t>
  </si>
  <si>
    <t>RA-17061</t>
  </si>
  <si>
    <t>RA-17062</t>
  </si>
  <si>
    <t>RA-17063</t>
  </si>
  <si>
    <t>RA-17064</t>
  </si>
  <si>
    <t>RA-17065</t>
  </si>
  <si>
    <t>RA-17066</t>
  </si>
  <si>
    <t>RA-17067</t>
  </si>
  <si>
    <t>RA-17068</t>
  </si>
  <si>
    <t>RA-17069</t>
  </si>
  <si>
    <t>RA-17070</t>
  </si>
  <si>
    <t>RA-17071</t>
  </si>
  <si>
    <t>RA-17072</t>
  </si>
  <si>
    <t>RA-17073</t>
  </si>
  <si>
    <t>RA-17074</t>
  </si>
  <si>
    <t>RA-17075</t>
  </si>
  <si>
    <t>RA-17076</t>
  </si>
  <si>
    <t>RA-17077</t>
  </si>
  <si>
    <t>RA-17078</t>
  </si>
  <si>
    <t>RA-17079</t>
  </si>
  <si>
    <t>RA-17080</t>
  </si>
  <si>
    <t>RA-17081</t>
  </si>
  <si>
    <t>RA-17082</t>
  </si>
  <si>
    <t>RA-17083</t>
  </si>
  <si>
    <t>RA-17084</t>
  </si>
  <si>
    <t>RA-17085</t>
  </si>
  <si>
    <t>RA-17086</t>
  </si>
  <si>
    <t>RA-17087</t>
  </si>
  <si>
    <t>RA-17088</t>
  </si>
  <si>
    <t>RA-17089</t>
  </si>
  <si>
    <t>RA-17090</t>
  </si>
  <si>
    <t>RA-17091</t>
  </si>
  <si>
    <t>RA-17092</t>
  </si>
  <si>
    <t>RA-17093</t>
  </si>
  <si>
    <t>RA-17094</t>
  </si>
  <si>
    <t>RA-17095</t>
  </si>
  <si>
    <t>RA-17096</t>
  </si>
  <si>
    <t>RA-17097</t>
  </si>
  <si>
    <t>RA-17098</t>
  </si>
  <si>
    <t>RA-17099</t>
  </si>
  <si>
    <t>RA-17100</t>
  </si>
  <si>
    <t>RA-17101</t>
  </si>
  <si>
    <t>RA-17102</t>
  </si>
  <si>
    <t>RA-17103</t>
  </si>
  <si>
    <t>RA-17104</t>
  </si>
  <si>
    <t>RA-17105</t>
  </si>
  <si>
    <t>RA-17106</t>
  </si>
  <si>
    <t>RA-17107</t>
  </si>
  <si>
    <t>RA ID</t>
  </si>
  <si>
    <t>Hazard</t>
  </si>
  <si>
    <t>Likelihood</t>
  </si>
  <si>
    <t>Risk Score</t>
  </si>
  <si>
    <t>Risk Level</t>
  </si>
  <si>
    <t>CAPA-18001</t>
  </si>
  <si>
    <t>Inspection</t>
  </si>
  <si>
    <t>Corrective</t>
  </si>
  <si>
    <t>Safety Officer</t>
  </si>
  <si>
    <t>CAPA-18002</t>
  </si>
  <si>
    <t>Audit</t>
  </si>
  <si>
    <t>Engineer</t>
  </si>
  <si>
    <t>CAPA-18003</t>
  </si>
  <si>
    <t>Preventive</t>
  </si>
  <si>
    <t>CAPA-18004</t>
  </si>
  <si>
    <t>CAPA-18005</t>
  </si>
  <si>
    <t>Incident</t>
  </si>
  <si>
    <t>Dept Head</t>
  </si>
  <si>
    <t>CAPA-18006</t>
  </si>
  <si>
    <t>Drill</t>
  </si>
  <si>
    <t>CAPA-18007</t>
  </si>
  <si>
    <t>CAPA-18008</t>
  </si>
  <si>
    <t>CAPA-18009</t>
  </si>
  <si>
    <t>EHS Manager</t>
  </si>
  <si>
    <t>CAPA-18010</t>
  </si>
  <si>
    <t>CAPA-18011</t>
  </si>
  <si>
    <t>CAPA-18012</t>
  </si>
  <si>
    <t>Overdue</t>
  </si>
  <si>
    <t>CAPA-18013</t>
  </si>
  <si>
    <t>CAPA-18014</t>
  </si>
  <si>
    <t>Near Miss</t>
  </si>
  <si>
    <t>CAPA-18015</t>
  </si>
  <si>
    <t>CAPA-18016</t>
  </si>
  <si>
    <t>Observation</t>
  </si>
  <si>
    <t>CAPA-18017</t>
  </si>
  <si>
    <t>CAPA-18018</t>
  </si>
  <si>
    <t>CAPA-18019</t>
  </si>
  <si>
    <t>CAPA-18020</t>
  </si>
  <si>
    <t>CAPA-18021</t>
  </si>
  <si>
    <t>CAPA-18022</t>
  </si>
  <si>
    <t>CAPA-18023</t>
  </si>
  <si>
    <t>CAPA-18024</t>
  </si>
  <si>
    <t>CAPA-18025</t>
  </si>
  <si>
    <t>CAPA-18026</t>
  </si>
  <si>
    <t>CAPA-18027</t>
  </si>
  <si>
    <t>CAPA-18028</t>
  </si>
  <si>
    <t>CAPA-18029</t>
  </si>
  <si>
    <t>CAPA-18030</t>
  </si>
  <si>
    <t>CAPA-18031</t>
  </si>
  <si>
    <t>CAPA-18032</t>
  </si>
  <si>
    <t>CAPA-18033</t>
  </si>
  <si>
    <t>CAPA-18034</t>
  </si>
  <si>
    <t>CAPA-18035</t>
  </si>
  <si>
    <t>CAPA-18036</t>
  </si>
  <si>
    <t>CAPA-18037</t>
  </si>
  <si>
    <t>CAPA-18038</t>
  </si>
  <si>
    <t>CAPA-18039</t>
  </si>
  <si>
    <t>CAPA-18040</t>
  </si>
  <si>
    <t>CAPA-18041</t>
  </si>
  <si>
    <t>CAPA-18042</t>
  </si>
  <si>
    <t>CAPA-18043</t>
  </si>
  <si>
    <t>CAPA-18044</t>
  </si>
  <si>
    <t>CAPA-18045</t>
  </si>
  <si>
    <t>CAPA-18046</t>
  </si>
  <si>
    <t>CAPA-18047</t>
  </si>
  <si>
    <t>CAPA-18048</t>
  </si>
  <si>
    <t>CAPA-18049</t>
  </si>
  <si>
    <t>CAPA-18050</t>
  </si>
  <si>
    <t>CAPA-18051</t>
  </si>
  <si>
    <t>CAPA-18052</t>
  </si>
  <si>
    <t>CAPA-18053</t>
  </si>
  <si>
    <t>CAPA-18054</t>
  </si>
  <si>
    <t>CAPA-18055</t>
  </si>
  <si>
    <t>CAPA-18056</t>
  </si>
  <si>
    <t>CAPA-18057</t>
  </si>
  <si>
    <t>CAPA-18058</t>
  </si>
  <si>
    <t>CAPA-18059</t>
  </si>
  <si>
    <t>CAPA-18060</t>
  </si>
  <si>
    <t>CAPA-18061</t>
  </si>
  <si>
    <t>CAPA-18062</t>
  </si>
  <si>
    <t>CAPA-18063</t>
  </si>
  <si>
    <t>CAPA-18064</t>
  </si>
  <si>
    <t>CAPA-18065</t>
  </si>
  <si>
    <t>CAPA-18066</t>
  </si>
  <si>
    <t>CAPA-18067</t>
  </si>
  <si>
    <t>CAPA-18068</t>
  </si>
  <si>
    <t>CAPA-18069</t>
  </si>
  <si>
    <t>CAPA-18070</t>
  </si>
  <si>
    <t>CAPA-18071</t>
  </si>
  <si>
    <t>CAPA-18072</t>
  </si>
  <si>
    <t>CAPA-18073</t>
  </si>
  <si>
    <t>CAPA-18074</t>
  </si>
  <si>
    <t>CAPA-18075</t>
  </si>
  <si>
    <t>CAPA-18076</t>
  </si>
  <si>
    <t>CAPA-18077</t>
  </si>
  <si>
    <t>CAPA-18078</t>
  </si>
  <si>
    <t>CAPA-18079</t>
  </si>
  <si>
    <t>CAPA-18080</t>
  </si>
  <si>
    <t>CAPA-18081</t>
  </si>
  <si>
    <t>CAPA-18082</t>
  </si>
  <si>
    <t>CAPA-18083</t>
  </si>
  <si>
    <t>CAPA-18084</t>
  </si>
  <si>
    <t>CAPA-18085</t>
  </si>
  <si>
    <t>CAPA-18086</t>
  </si>
  <si>
    <t>CAPA-18087</t>
  </si>
  <si>
    <t>CAPA-18088</t>
  </si>
  <si>
    <t>CAPA-18089</t>
  </si>
  <si>
    <t>CAPA-18090</t>
  </si>
  <si>
    <t>CAPA-18091</t>
  </si>
  <si>
    <t>CAPA-18092</t>
  </si>
  <si>
    <t>CAPA-18093</t>
  </si>
  <si>
    <t>CAPA-18094</t>
  </si>
  <si>
    <t>CAPA-18095</t>
  </si>
  <si>
    <t>CAPA-18096</t>
  </si>
  <si>
    <t>CAPA-18097</t>
  </si>
  <si>
    <t>CAPA-18098</t>
  </si>
  <si>
    <t>CAPA-18099</t>
  </si>
  <si>
    <t>CAPA-18100</t>
  </si>
  <si>
    <t>CAPA-18101</t>
  </si>
  <si>
    <t>CAPA-18102</t>
  </si>
  <si>
    <t>CAPA-18103</t>
  </si>
  <si>
    <t>CAPA-18104</t>
  </si>
  <si>
    <t>CAPA-18105</t>
  </si>
  <si>
    <t>CAPA-18106</t>
  </si>
  <si>
    <t>CAPA-18107</t>
  </si>
  <si>
    <t>CAPA-18108</t>
  </si>
  <si>
    <t>CAPA-18109</t>
  </si>
  <si>
    <t>CAPA-18110</t>
  </si>
  <si>
    <t>CAPA-18111</t>
  </si>
  <si>
    <t>CAPA-18112</t>
  </si>
  <si>
    <t>CAPA-18113</t>
  </si>
  <si>
    <t>CAPA-18114</t>
  </si>
  <si>
    <t>CAPA-18115</t>
  </si>
  <si>
    <t>CAPA-18116</t>
  </si>
  <si>
    <t>CAPA-18117</t>
  </si>
  <si>
    <t>CAPA-18118</t>
  </si>
  <si>
    <t>CAPA-18119</t>
  </si>
  <si>
    <t>CAPA-18120</t>
  </si>
  <si>
    <t>CAPA-18121</t>
  </si>
  <si>
    <t>CAPA-18122</t>
  </si>
  <si>
    <t>CAPA-18123</t>
  </si>
  <si>
    <t>CAPA-18124</t>
  </si>
  <si>
    <t>CAPA-18125</t>
  </si>
  <si>
    <t>CAPA-18126</t>
  </si>
  <si>
    <t>CAPA-18127</t>
  </si>
  <si>
    <t>CAPA-18128</t>
  </si>
  <si>
    <t>CAPA-18129</t>
  </si>
  <si>
    <t>CAPA-18130</t>
  </si>
  <si>
    <t>CAPA-18131</t>
  </si>
  <si>
    <t>CAPA-18132</t>
  </si>
  <si>
    <t>CAPA-18133</t>
  </si>
  <si>
    <t>CAPA-18134</t>
  </si>
  <si>
    <t>CAPA-18135</t>
  </si>
  <si>
    <t>CAPA-18136</t>
  </si>
  <si>
    <t>CAPA-18137</t>
  </si>
  <si>
    <t>CAPA-18138</t>
  </si>
  <si>
    <t>CAPA-18139</t>
  </si>
  <si>
    <t>CAPA-18140</t>
  </si>
  <si>
    <t>CAPA-18141</t>
  </si>
  <si>
    <t>CAPA-18142</t>
  </si>
  <si>
    <t>CAPA-18143</t>
  </si>
  <si>
    <t>CAPA-18144</t>
  </si>
  <si>
    <t>CAPA-18145</t>
  </si>
  <si>
    <t>CAPA-18146</t>
  </si>
  <si>
    <t>CAPA-18147</t>
  </si>
  <si>
    <t>CAPA-18148</t>
  </si>
  <si>
    <t>CAPA-18149</t>
  </si>
  <si>
    <t>CAPA-18150</t>
  </si>
  <si>
    <t>CAPA-18151</t>
  </si>
  <si>
    <t>CAPA-18152</t>
  </si>
  <si>
    <t>CAPA-18153</t>
  </si>
  <si>
    <t>CAPA-18154</t>
  </si>
  <si>
    <t>CAPA-18155</t>
  </si>
  <si>
    <t>CAPA-18156</t>
  </si>
  <si>
    <t>CAPA-18157</t>
  </si>
  <si>
    <t>CAPA-18158</t>
  </si>
  <si>
    <t>CAPA-18159</t>
  </si>
  <si>
    <t>CAPA-18160</t>
  </si>
  <si>
    <t>CAPA-18161</t>
  </si>
  <si>
    <t>CAPA-18162</t>
  </si>
  <si>
    <t>CAPA-18163</t>
  </si>
  <si>
    <t>CAPA-18164</t>
  </si>
  <si>
    <t>CAPA-18165</t>
  </si>
  <si>
    <t>CAPA-18166</t>
  </si>
  <si>
    <t>CAPA-18167</t>
  </si>
  <si>
    <t>CAPA-18168</t>
  </si>
  <si>
    <t>CAPA-18169</t>
  </si>
  <si>
    <t>CAPA-18170</t>
  </si>
  <si>
    <t>CAPA-18171</t>
  </si>
  <si>
    <t>CAPA-18172</t>
  </si>
  <si>
    <t>CAPA-18173</t>
  </si>
  <si>
    <t>CAPA-18174</t>
  </si>
  <si>
    <t>CAPA-18175</t>
  </si>
  <si>
    <t>CAPA-18176</t>
  </si>
  <si>
    <t>CAPA-18177</t>
  </si>
  <si>
    <t>CAPA-18178</t>
  </si>
  <si>
    <t>CAPA-18179</t>
  </si>
  <si>
    <t>CAPA-18180</t>
  </si>
  <si>
    <t>CAPA-18181</t>
  </si>
  <si>
    <t>CAPA-18182</t>
  </si>
  <si>
    <t>CAPA-18183</t>
  </si>
  <si>
    <t>CAPA-18184</t>
  </si>
  <si>
    <t>CAPA-18185</t>
  </si>
  <si>
    <t>CAPA-18186</t>
  </si>
  <si>
    <t>CAPA-18187</t>
  </si>
  <si>
    <t>CAPA-18188</t>
  </si>
  <si>
    <t>CAPA-18189</t>
  </si>
  <si>
    <t>CAPA-18190</t>
  </si>
  <si>
    <t>CAPA-18191</t>
  </si>
  <si>
    <t>CAPA-18192</t>
  </si>
  <si>
    <t>CAPA-18193</t>
  </si>
  <si>
    <t>CAPA-18194</t>
  </si>
  <si>
    <t>CAPA-18195</t>
  </si>
  <si>
    <t>CAPA-18196</t>
  </si>
  <si>
    <t>CAPA-18197</t>
  </si>
  <si>
    <t>CAPA-18198</t>
  </si>
  <si>
    <t>CAPA-18199</t>
  </si>
  <si>
    <t>CAPA-18200</t>
  </si>
  <si>
    <t>CAPA-18201</t>
  </si>
  <si>
    <t>CAPA-18202</t>
  </si>
  <si>
    <t>CAPA-18203</t>
  </si>
  <si>
    <t>CAPA-18204</t>
  </si>
  <si>
    <t>CAPA-18205</t>
  </si>
  <si>
    <t>CAPA-18206</t>
  </si>
  <si>
    <t>CAPA-18207</t>
  </si>
  <si>
    <t>CAPA-18208</t>
  </si>
  <si>
    <t>CAPA-18209</t>
  </si>
  <si>
    <t>CAPA-18210</t>
  </si>
  <si>
    <t>CAPA-18211</t>
  </si>
  <si>
    <t>CAPA-18212</t>
  </si>
  <si>
    <t>CAPA-18213</t>
  </si>
  <si>
    <t>CAPA-18214</t>
  </si>
  <si>
    <t>CAPA-18215</t>
  </si>
  <si>
    <t>CAPA-18216</t>
  </si>
  <si>
    <t>CAPA-18217</t>
  </si>
  <si>
    <t>CAPA-18218</t>
  </si>
  <si>
    <t>CAPA-18219</t>
  </si>
  <si>
    <t>CAPA-18220</t>
  </si>
  <si>
    <t>CAPA-18221</t>
  </si>
  <si>
    <t>CAPA-18222</t>
  </si>
  <si>
    <t>CAPA-18223</t>
  </si>
  <si>
    <t>CAPA-18224</t>
  </si>
  <si>
    <t>CAPA-18225</t>
  </si>
  <si>
    <t>CAPA-18226</t>
  </si>
  <si>
    <t>CAPA-18227</t>
  </si>
  <si>
    <t>CAPA-18228</t>
  </si>
  <si>
    <t>CAPA-18229</t>
  </si>
  <si>
    <t>CAPA-18230</t>
  </si>
  <si>
    <t>CAPA-18231</t>
  </si>
  <si>
    <t>CAPA-18232</t>
  </si>
  <si>
    <t>CAPA-18233</t>
  </si>
  <si>
    <t>CAPA-18234</t>
  </si>
  <si>
    <t>CAPA-18235</t>
  </si>
  <si>
    <t>CAPA-18236</t>
  </si>
  <si>
    <t>CAPA-18237</t>
  </si>
  <si>
    <t>CAPA-18238</t>
  </si>
  <si>
    <t>CAPA-18239</t>
  </si>
  <si>
    <t>CAPA-18240</t>
  </si>
  <si>
    <t>CAPA-18241</t>
  </si>
  <si>
    <t>CAPA-18242</t>
  </si>
  <si>
    <t>CAPA-18243</t>
  </si>
  <si>
    <t>CAPA-18244</t>
  </si>
  <si>
    <t>CAPA-18245</t>
  </si>
  <si>
    <t>CAPA-18246</t>
  </si>
  <si>
    <t>CAPA-18247</t>
  </si>
  <si>
    <t>CAPA-18248</t>
  </si>
  <si>
    <t>CAPA-18249</t>
  </si>
  <si>
    <t>CAPA-18250</t>
  </si>
  <si>
    <t>CAPA-18251</t>
  </si>
  <si>
    <t>CAPA-18252</t>
  </si>
  <si>
    <t>CAPA-18253</t>
  </si>
  <si>
    <t>CAPA-18254</t>
  </si>
  <si>
    <t>CAPA-18255</t>
  </si>
  <si>
    <t>CAPA ID</t>
  </si>
  <si>
    <t>Source</t>
  </si>
  <si>
    <t>Action Type</t>
  </si>
  <si>
    <t>Owner</t>
  </si>
  <si>
    <t>Man-hours</t>
  </si>
  <si>
    <t>MASTER DATA  •  Lookup Lists &amp; Reference Tables</t>
  </si>
  <si>
    <t>Departments</t>
  </si>
  <si>
    <t>Areas</t>
  </si>
  <si>
    <t>Shifts</t>
  </si>
  <si>
    <t>Contractors</t>
  </si>
  <si>
    <t>Years</t>
  </si>
  <si>
    <t>Months</t>
  </si>
  <si>
    <t>KPI CALCULATION ENGINE  (auto-recalculates from raw registers)</t>
  </si>
  <si>
    <t>Resolved Filter Criteria</t>
  </si>
  <si>
    <t>yCrit</t>
  </si>
  <si>
    <t>mCrit</t>
  </si>
  <si>
    <t>dCrit</t>
  </si>
  <si>
    <t>aCrit</t>
  </si>
  <si>
    <t>sCrit</t>
  </si>
  <si>
    <t>DashYear</t>
  </si>
  <si>
    <t>Core KPI Values</t>
  </si>
  <si>
    <t>Manhours</t>
  </si>
  <si>
    <t>LTI</t>
  </si>
  <si>
    <t>MTC</t>
  </si>
  <si>
    <t>RWC</t>
  </si>
  <si>
    <t>Recordable</t>
  </si>
  <si>
    <t>FirstAid</t>
  </si>
  <si>
    <t>NearMiss</t>
  </si>
  <si>
    <t>HiPoNM</t>
  </si>
  <si>
    <t>SafetyObs</t>
  </si>
  <si>
    <t>UnsafeActs</t>
  </si>
  <si>
    <t>UnsafeConds</t>
  </si>
  <si>
    <t>GoodCatch</t>
  </si>
  <si>
    <t>LostDays</t>
  </si>
  <si>
    <t>TRIR</t>
  </si>
  <si>
    <t>LTIFR</t>
  </si>
  <si>
    <t>SeverityRate</t>
  </si>
  <si>
    <t>FrequencyRate</t>
  </si>
  <si>
    <t>NearMissRate</t>
  </si>
  <si>
    <t>PTWComp</t>
  </si>
  <si>
    <t>InspComp</t>
  </si>
  <si>
    <t>AuditComp</t>
  </si>
  <si>
    <t>TrainComp</t>
  </si>
  <si>
    <t>PPEComp</t>
  </si>
  <si>
    <t>StatComp</t>
  </si>
  <si>
    <t>ActionClosure</t>
  </si>
  <si>
    <t>ObsClosure</t>
  </si>
  <si>
    <t>SafetyScore</t>
  </si>
  <si>
    <t>SafetyPerfIndex</t>
  </si>
  <si>
    <t>MONTHLY TREND (Dashboard Year &amp; Dept)</t>
  </si>
  <si>
    <t>Unsafe Cond</t>
  </si>
  <si>
    <t>Safety Obs</t>
  </si>
  <si>
    <t>Total Incident</t>
  </si>
  <si>
    <t>Train %</t>
  </si>
  <si>
    <t>PTW %</t>
  </si>
  <si>
    <t>Incident Classification</t>
  </si>
  <si>
    <t>Count</t>
  </si>
  <si>
    <t>ROOT CAUSE PARETO</t>
  </si>
  <si>
    <t>Adj</t>
  </si>
  <si>
    <t>Sorted Cause</t>
  </si>
  <si>
    <t>Sorted Count</t>
  </si>
  <si>
    <t>Cumulative %</t>
  </si>
  <si>
    <t>DEPARTMENT SAFETY SCORE</t>
  </si>
  <si>
    <t>TOP: Unsafe Act</t>
  </si>
  <si>
    <t>Rank Item</t>
  </si>
  <si>
    <t>Rank Count</t>
  </si>
  <si>
    <t>TOP: Unsafe Condition</t>
  </si>
  <si>
    <t>TOP HIGH-RISK AREAS</t>
  </si>
  <si>
    <t>Rank Area</t>
  </si>
  <si>
    <t>RISK HEAT MAP (Likelihood x Severity)</t>
  </si>
  <si>
    <t>L \ S</t>
  </si>
  <si>
    <t>S1</t>
  </si>
  <si>
    <t>S2</t>
  </si>
  <si>
    <t>S3</t>
  </si>
  <si>
    <t>S4</t>
  </si>
  <si>
    <t>S5</t>
  </si>
  <si>
    <t>L1</t>
  </si>
  <si>
    <t>L2</t>
  </si>
  <si>
    <t>L3</t>
  </si>
  <si>
    <t>L4</t>
  </si>
  <si>
    <t>L5</t>
  </si>
  <si>
    <t>RADAR: Compliance Profile</t>
  </si>
  <si>
    <t>Metric</t>
  </si>
  <si>
    <t>Value</t>
  </si>
  <si>
    <t>PTW</t>
  </si>
  <si>
    <t>Training</t>
  </si>
  <si>
    <t>PPE</t>
  </si>
  <si>
    <t>Action Closure</t>
  </si>
  <si>
    <t>GAUGE HELPERS</t>
  </si>
  <si>
    <t>Gauge</t>
  </si>
  <si>
    <t>Remainder</t>
  </si>
  <si>
    <t>Hidden</t>
  </si>
  <si>
    <t>CAPA STATUS</t>
  </si>
  <si>
    <t>INSPECTION STATUS (by Type)</t>
  </si>
  <si>
    <t>Type</t>
  </si>
  <si>
    <t>Pending</t>
  </si>
  <si>
    <t>NCR</t>
  </si>
  <si>
    <t>FYear</t>
  </si>
  <si>
    <t>All</t>
  </si>
  <si>
    <t>FMonth</t>
  </si>
  <si>
    <t>FDept</t>
  </si>
  <si>
    <t>FArea</t>
  </si>
  <si>
    <t>FShift</t>
  </si>
  <si>
    <t>RCPL EXECUTIVE EHS KPI DASHBOARD</t>
  </si>
  <si>
    <t>Reliance Consumer Products Ltd  •  Campa Cola CSD Plant  •  Food &amp; Beverage Manufacturing</t>
  </si>
  <si>
    <t>Last Refresh:</t>
  </si>
  <si>
    <t>Select a dashboard below or use the ⟳ Refresh button on any page.</t>
  </si>
  <si>
    <t>DASHBOARD NAVIGATION</t>
  </si>
  <si>
    <t>EXECUTIVE</t>
  </si>
  <si>
    <t>INCIDENT</t>
  </si>
  <si>
    <t>INSPECTION</t>
  </si>
  <si>
    <t>AUDIT</t>
  </si>
  <si>
    <t>TRAINING</t>
  </si>
  <si>
    <t>STATUTORY</t>
  </si>
  <si>
    <t>CAPA</t>
  </si>
  <si>
    <t>DEPARTMENT</t>
  </si>
  <si>
    <t>DATA &amp; DOCUMENTATION</t>
  </si>
  <si>
    <t>Calculations</t>
  </si>
  <si>
    <t>Master Data</t>
  </si>
  <si>
    <t>Documentation</t>
  </si>
  <si>
    <t>Instructions</t>
  </si>
  <si>
    <t>Formula Sheet</t>
  </si>
  <si>
    <t>Incident Register</t>
  </si>
  <si>
    <t>CAPA Tracker</t>
  </si>
  <si>
    <t>Audit Register</t>
  </si>
  <si>
    <t>This workbook is fully dynamic: every KPI recalculates automatically from the 20 raw-data registers. Change the filters on the Executive Dashboard (Year / Month / Department / Area / Shift) and all cards, charts and gauges update instantly. Add new rows to any register and click ⟳ Refresh — no manual updates required.</t>
  </si>
  <si>
    <t>EXECUTIVE EHS KPI DASHBOARD</t>
  </si>
  <si>
    <t>Reliance Consumer Products Ltd  •  Campa CSD Plant  •  Executive Overview</t>
  </si>
  <si>
    <t>RCPL  campa</t>
  </si>
  <si>
    <t>⌂ Home</t>
  </si>
  <si>
    <t>Executive</t>
  </si>
  <si>
    <t>GLOBAL FILTERS  (drive every KPI, chart &amp; gauge)</t>
  </si>
  <si>
    <t>KEY PERFORMANCE INDICATORS</t>
  </si>
  <si>
    <t>TOTAL MAN-HOURS</t>
  </si>
  <si>
    <t>vs prior period</t>
  </si>
  <si>
    <t>LOST TIME INJURY</t>
  </si>
  <si>
    <t>MEDICAL TREATMENT</t>
  </si>
  <si>
    <t>FIRST AID CASES</t>
  </si>
  <si>
    <t>NEAR MISSES</t>
  </si>
  <si>
    <t>HIPO NEAR MISS</t>
  </si>
  <si>
    <t>SAFETY OBSERVATIONS</t>
  </si>
  <si>
    <t>UNSAFE ACTS</t>
  </si>
  <si>
    <t>UNSAFE CONDITIONS</t>
  </si>
  <si>
    <t>GOOD CATCH</t>
  </si>
  <si>
    <t>PTW COMPLIANCE</t>
  </si>
  <si>
    <t>INSPECTION COMPLIANCE</t>
  </si>
  <si>
    <t>AUDIT COMPLIANCE</t>
  </si>
  <si>
    <t>TRAINING COMPLIANCE</t>
  </si>
  <si>
    <t>PPE COMPLIANCE</t>
  </si>
  <si>
    <t>STATUTORY COMPLIANCE</t>
  </si>
  <si>
    <t>ACTION CLOSURE</t>
  </si>
  <si>
    <t>SAFETY SCORE</t>
  </si>
  <si>
    <t>TRENDS &amp; ANALYTICS</t>
  </si>
  <si>
    <t>COMPLIANCE GAUGES</t>
  </si>
  <si>
    <t>Reliance Consumer Products Ltd  •  Campa CSD Plant  •  Incident &amp; Injury Analysis</t>
  </si>
  <si>
    <t>INCIDENT KPIs (respond to Executive filters)</t>
  </si>
  <si>
    <t>RECORDABLE</t>
  </si>
  <si>
    <t>FIRST AID</t>
  </si>
  <si>
    <t>NEAR MISS</t>
  </si>
  <si>
    <t>SEVERITY RATE</t>
  </si>
  <si>
    <t>LOST DAYS</t>
  </si>
  <si>
    <t>ANALYTICS</t>
  </si>
  <si>
    <t>Risk Heat Map → see Calculations sheet (5×5 auto-coloured matrix)</t>
  </si>
  <si>
    <t>Reliance Consumer Products Ltd  •  Campa CSD Plant  •  Workplace Inspection Performance</t>
  </si>
  <si>
    <t>INSPECTION KPIs</t>
  </si>
  <si>
    <t>FIRE EQUIPMENT OK %</t>
  </si>
  <si>
    <t>SAFETY OBS</t>
  </si>
  <si>
    <t>Reliance Consumer Products Ltd  •  Campa CSD Plant  •  EHS Audit &amp; NCR Management</t>
  </si>
  <si>
    <t>AUDIT KPIs</t>
  </si>
  <si>
    <t>Reliance Consumer Products Ltd  •  Campa CSD Plant  •  Training &amp; Competency</t>
  </si>
  <si>
    <t>TRAINING KPIs</t>
  </si>
  <si>
    <t>NEAR MISS RATE</t>
  </si>
  <si>
    <t>Reliance Consumer Products Ltd  •  Campa CSD Plant  •  Permit To Work Compliance</t>
  </si>
  <si>
    <t>PTW KPIs</t>
  </si>
  <si>
    <t>Reliance Consumer Products Ltd  •  Campa CSD Plant  •  Statutory &amp; Legal Compliance</t>
  </si>
  <si>
    <t>STATUTORY KPIs</t>
  </si>
  <si>
    <t>Statutory Compliance Register drives this gauge. Filter by Department on the Executive Dashboard.</t>
  </si>
  <si>
    <t>Reliance Consumer Products Ltd  •  Campa CSD Plant  •  Corrective &amp; Preventive Actions</t>
  </si>
  <si>
    <t>CAPA KPIs</t>
  </si>
  <si>
    <t>OBS CLOSURE</t>
  </si>
  <si>
    <t>Reliance Consumer Products Ltd  •  Campa CSD Plant  •  Department-wise Performance</t>
  </si>
  <si>
    <t>DEPARTMENT KPIs</t>
  </si>
  <si>
    <t>RCPL Executive EHS KPI Dashboard — Documentation</t>
  </si>
  <si>
    <t>⌂ Back to Home</t>
  </si>
  <si>
    <t>Purpose</t>
  </si>
  <si>
    <t>A world-class, fully interactive Executive Safety KPI dashboard for the Reliance Consumer Products Ltd (Campa Cola) CSD plant. Every KPI, chart and gauge recalculates automatically from the 20 raw-data registers — zero manual updates.</t>
  </si>
  <si>
    <t>Workbook Structure</t>
  </si>
  <si>
    <t>Landing page with navigation buttons and last-refresh stamp.</t>
  </si>
  <si>
    <t>Executive Dashboard</t>
  </si>
  <si>
    <t>20 KPI cards, 9 charts, 4 gauges and the 5 global filters.</t>
  </si>
  <si>
    <t>Incident / Inspection / Audit / Training / PTW / Statutory / CAPA / Department Dashboards</t>
  </si>
  <si>
    <t>Focused drill-down dashboards, all driven by the same global filters.</t>
  </si>
  <si>
    <t>The KPI engine — COUNTIFS/SUMIFS over 100,000-row dynamic ranges.</t>
  </si>
  <si>
    <t>20 Registers</t>
  </si>
  <si>
    <t>Structured Excel Tables holding the raw EHS data.</t>
  </si>
  <si>
    <t>Lookup lists and filter drop-down sources.</t>
  </si>
  <si>
    <t>Every safety formula with definition and Excel implementation.</t>
  </si>
  <si>
    <t>Step-by-step user guide.</t>
  </si>
  <si>
    <t>KPI Definitions</t>
  </si>
  <si>
    <t>Total Recordable Incident Rate = Recordable cases × 200,000 / man-hours.</t>
  </si>
  <si>
    <t>Lost Time Injury Frequency Rate = LTI × 1,000,000 / man-hours.</t>
  </si>
  <si>
    <t>Severity Rate</t>
  </si>
  <si>
    <t>Lost days × 1,000,000 / man-hours.</t>
  </si>
  <si>
    <t>Weighted index of PTW, Inspection, Audit, Training, PPE, Statutory &amp; Action-closure compliance.</t>
  </si>
  <si>
    <t>Compliant records ÷ total records (or completed ÷ planned) × 100.</t>
  </si>
  <si>
    <t>Data Governance</t>
  </si>
  <si>
    <t>Registers support up to 100,000 records each. Add new rows at the bottom of any Table and click ⟳ Refresh. Keep the column structure unchanged so the engine ranges stay valid.</t>
  </si>
  <si>
    <t>How to Use This Dashboard</t>
  </si>
  <si>
    <t>Enable macros when prompted (File ▸ Options ▸ Trust Center ▸ Enable all macros) so the buttons work.</t>
  </si>
  <si>
    <t>Open the Home sheet and click any dashboard tile to navigate.</t>
  </si>
  <si>
    <t>On the Executive Dashboard use the five drop-downs (Year, Month, Department, Area, Shift) to filter.</t>
  </si>
  <si>
    <t>Every KPI card, chart and gauge updates instantly when a filter changes.</t>
  </si>
  <si>
    <t>Click ⟳ REFRESH to force a full recalculation (also refreshes any pivot tables/queries).</t>
  </si>
  <si>
    <t>Click ⟲ RESET FILTERS to return every filter to 'All'.</t>
  </si>
  <si>
    <t>Click 🖨 PRINT to print the active dashboard, or PDF to export it.</t>
  </si>
  <si>
    <t>To add data, open the relevant register, type a new row directly under the Table, then Refresh.</t>
  </si>
  <si>
    <t>Sparklines on each KPI card show the 12-month trend for the selected year &amp; department.</t>
  </si>
  <si>
    <t>The Risk Heat Map (Calculations sheet) auto-colours from green (low) to red (high).</t>
  </si>
  <si>
    <t>Tip: If the macro buttons are disabled by your security policy, every dashboard is still fully usable — the hyperlink chips at the top navigate between sheets and all KPIs remain live.</t>
  </si>
  <si>
    <t>Safety KPI Formula Reference</t>
  </si>
  <si>
    <t>KPI</t>
  </si>
  <si>
    <t>Standard Formula</t>
  </si>
  <si>
    <t>Excel Implementation (dynamic)</t>
  </si>
  <si>
    <t>Recordable × 200,000 / Man-hours</t>
  </si>
  <si>
    <t>=Recordable*200000/Manhours</t>
  </si>
  <si>
    <t>LTI × 1,000,000 / Man-hours</t>
  </si>
  <si>
    <t>=LTI*1000000/Manhours</t>
  </si>
  <si>
    <t>Lost Days × 1,000,000 / Man-hours</t>
  </si>
  <si>
    <t>=LostDays*1000000/Manhours</t>
  </si>
  <si>
    <t>Frequency Rate</t>
  </si>
  <si>
    <t>(LTI+RWC) × 1,000,000 / Man-hours</t>
  </si>
  <si>
    <t>=(LTI+RWC)*1000000/Manhours</t>
  </si>
  <si>
    <t>Near Miss Rate</t>
  </si>
  <si>
    <t>Near Miss × 200,000 / Man-hours</t>
  </si>
  <si>
    <t>=NearMiss*200000/Manhours</t>
  </si>
  <si>
    <t>Σ department man-hours</t>
  </si>
  <si>
    <t>=SUMIFS(tManhours[Man-hours],…filters)</t>
  </si>
  <si>
    <t>LTI + MTC + RWC</t>
  </si>
  <si>
    <t>=COUNTIFS(type,"Lost Time Injury",…)+…</t>
  </si>
  <si>
    <t>PTW Compliance %</t>
  </si>
  <si>
    <t>Compliant permits ÷ total permits</t>
  </si>
  <si>
    <t>=COUNTIFS(Compliance,"Compliant")/COUNTIFS(all)*100</t>
  </si>
  <si>
    <t>Inspection Compliance %</t>
  </si>
  <si>
    <t>Completed ÷ planned</t>
  </si>
  <si>
    <t>=SUMIFS(Completed)/SUMIFS(Planned)*100</t>
  </si>
  <si>
    <t>Audit Compliance %</t>
  </si>
  <si>
    <t>Average audit score</t>
  </si>
  <si>
    <t>=AVERAGEIFS(Score,…filters)</t>
  </si>
  <si>
    <t>Training Compliance %</t>
  </si>
  <si>
    <t>PPE Compliance %</t>
  </si>
  <si>
    <t>Compliant ÷ checked</t>
  </si>
  <si>
    <t>=SUMIFS(Compliant)/SUMIFS(Checked)*100</t>
  </si>
  <si>
    <t>Statutory Compliance %</t>
  </si>
  <si>
    <t>Compliant items ÷ total items</t>
  </si>
  <si>
    <t>Action Closure %</t>
  </si>
  <si>
    <t>Closed CAPA ÷ total CAPA</t>
  </si>
  <si>
    <t>=COUNTIFS(Status,"Closed")/COUNTIFS(all)*100</t>
  </si>
  <si>
    <t>Observation Closure %</t>
  </si>
  <si>
    <t>Closed obs ÷ total obs</t>
  </si>
  <si>
    <t>Weighted compliance index (0–100)</t>
  </si>
  <si>
    <t>=PTW*.18+Insp*.15+Audit*.12+Train*.15+PPE*.15+Stat*.10+Action*.15</t>
  </si>
  <si>
    <t>Safety Performance Index</t>
  </si>
  <si>
    <t>100 − TRIR×6 − LTIFR×4</t>
  </si>
  <si>
    <t>=MAX(0,MIN(100,100-TRIR*6-LTIFR*4))</t>
  </si>
</sst>
</file>

<file path=xl/styles.xml><?xml version="1.0" encoding="utf-8"?>
<styleSheet xmlns="http://schemas.openxmlformats.org/spreadsheetml/2006/main">
  <numFmts count="7">
    <numFmt numFmtId="164" formatCode="dd-mmm-yy"/>
    <numFmt numFmtId="165" formatCode="0.00"/>
    <numFmt numFmtId="166" formatCode="#,##0"/>
    <numFmt numFmtId="167" formatCode="0.0&quot;%&quot;"/>
    <numFmt numFmtId="168" formatCode="0.00000"/>
    <numFmt numFmtId="169" formatCode="0.0"/>
    <numFmt numFmtId="170" formatCode="dd-mmm-yyyy hh:mm"/>
  </numFmts>
  <fonts count="26">
    <font>
      <sz val="11"/>
      <color theme="1"/>
      <name val="Calibri"/>
      <family val="2"/>
      <scheme val="minor"/>
    </font>
    <font>
      <b/>
      <sz val="9"/>
      <color rgb="FF64748B"/>
      <name val="Segoe UI"/>
      <family val="2"/>
    </font>
    <font>
      <b/>
      <sz val="13"/>
      <color rgb="FF0F4C81"/>
      <name val="Segoe UI"/>
      <family val="2"/>
    </font>
    <font>
      <b/>
      <sz val="10"/>
      <color rgb="FFFFFFFF"/>
      <name val="Segoe UI"/>
      <family val="2"/>
    </font>
    <font>
      <sz val="10"/>
      <color theme="1"/>
      <name val="Segoe UI"/>
      <family val="2"/>
    </font>
    <font>
      <b/>
      <sz val="10"/>
      <color rgb="FF1F2937"/>
      <name val="Segoe UI"/>
      <family val="2"/>
    </font>
    <font>
      <b/>
      <sz val="9"/>
      <color rgb="FFFFFFFF"/>
      <name val="Segoe UI"/>
      <family val="2"/>
    </font>
    <font>
      <b/>
      <sz val="11"/>
      <color theme="1"/>
      <name val="Segoe UI"/>
      <family val="2"/>
    </font>
    <font>
      <b/>
      <sz val="34"/>
      <color rgb="FFFFFFFF"/>
      <name val="Segoe UI"/>
      <family val="2"/>
    </font>
    <font>
      <sz val="13"/>
      <color rgb="FFDCEBF7"/>
      <name val="Segoe UI"/>
      <family val="2"/>
    </font>
    <font>
      <sz val="10"/>
      <color rgb="FF64748B"/>
      <name val="Segoe UI"/>
      <family val="2"/>
    </font>
    <font>
      <i/>
      <sz val="10"/>
      <color rgb="FF64748B"/>
      <name val="Segoe UI"/>
      <family val="2"/>
    </font>
    <font>
      <b/>
      <sz val="10"/>
      <color rgb="FF0F4C81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F4C81"/>
      <name val="Segoe UI"/>
      <family val="2"/>
    </font>
    <font>
      <b/>
      <sz val="26"/>
      <color rgb="FFFFFFFF"/>
      <name val="Segoe UI"/>
      <family val="2"/>
    </font>
    <font>
      <b/>
      <sz val="15"/>
      <color rgb="FFD71920"/>
      <name val="Segoe UI"/>
      <family val="2"/>
    </font>
    <font>
      <sz val="11"/>
      <color rgb="FFDCEBF7"/>
      <name val="Segoe UI"/>
      <family val="2"/>
    </font>
    <font>
      <b/>
      <sz val="21"/>
      <color rgb="FF0F4C81"/>
      <name val="Segoe UI"/>
      <family val="2"/>
    </font>
    <font>
      <sz val="8"/>
      <color rgb="FF64748B"/>
      <name val="Segoe UI"/>
      <family val="2"/>
    </font>
    <font>
      <b/>
      <sz val="16"/>
      <color rgb="FF0F4C81"/>
      <name val="Segoe UI"/>
      <family val="2"/>
    </font>
    <font>
      <b/>
      <sz val="18"/>
      <color rgb="FF0F4C81"/>
      <name val="Segoe UI"/>
      <family val="2"/>
    </font>
    <font>
      <b/>
      <sz val="13"/>
      <color rgb="FF0B6EA8"/>
      <name val="Segoe UI"/>
      <family val="2"/>
    </font>
    <font>
      <sz val="11"/>
      <color rgb="FF1F2937"/>
      <name val="Segoe UI"/>
      <family val="2"/>
    </font>
    <font>
      <b/>
      <sz val="11"/>
      <color rgb="FF1F2937"/>
      <name val="Segoe UI"/>
      <family val="2"/>
    </font>
    <font>
      <b/>
      <sz val="12"/>
      <color rgb="FFFFFFFF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E8F3FB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6A34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 applyAlignment="1">
      <alignment horizontal="left" vertical="center"/>
    </xf>
    <xf numFmtId="164" fontId="0" fillId="0" borderId="0" xfId="0" applyNumberFormat="1"/>
    <xf numFmtId="0" fontId="2" fillId="0" borderId="1" xfId="0" applyFont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4" fillId="4" borderId="3" xfId="0" applyNumberFormat="1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166" fontId="4" fillId="0" borderId="3" xfId="0" applyNumberFormat="1" applyFont="1" applyBorder="1" applyAlignment="1">
      <alignment horizontal="center" vertical="center"/>
    </xf>
    <xf numFmtId="165" fontId="4" fillId="0" borderId="3" xfId="0" applyNumberFormat="1" applyFont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/>
    </xf>
    <xf numFmtId="166" fontId="4" fillId="4" borderId="3" xfId="0" applyNumberFormat="1" applyFont="1" applyFill="1" applyBorder="1" applyAlignment="1">
      <alignment horizontal="right" vertical="center"/>
    </xf>
    <xf numFmtId="1" fontId="4" fillId="4" borderId="3" xfId="0" applyNumberFormat="1" applyFont="1" applyFill="1" applyBorder="1" applyAlignment="1">
      <alignment horizontal="right" vertical="center"/>
    </xf>
    <xf numFmtId="167" fontId="4" fillId="4" borderId="3" xfId="0" applyNumberFormat="1" applyFont="1" applyFill="1" applyBorder="1" applyAlignment="1">
      <alignment horizontal="right" vertical="center"/>
    </xf>
    <xf numFmtId="168" fontId="4" fillId="0" borderId="3" xfId="0" applyNumberFormat="1" applyFont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9" fontId="4" fillId="0" borderId="3" xfId="0" applyNumberFormat="1" applyFont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7" borderId="0" xfId="0" applyFill="1"/>
    <xf numFmtId="0" fontId="10" fillId="0" borderId="0" xfId="0" applyFont="1" applyAlignment="1">
      <alignment vertical="top" wrapText="1"/>
    </xf>
    <xf numFmtId="0" fontId="11" fillId="0" borderId="0" xfId="0" applyFont="1" applyAlignment="1">
      <alignment horizontal="right" vertical="center"/>
    </xf>
    <xf numFmtId="170" fontId="12" fillId="0" borderId="0" xfId="0" applyNumberFormat="1" applyFont="1" applyAlignment="1">
      <alignment horizontal="left" vertical="center"/>
    </xf>
    <xf numFmtId="0" fontId="13" fillId="3" borderId="4" xfId="0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0" fontId="16" fillId="2" borderId="4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0" fillId="3" borderId="0" xfId="0" applyFill="1"/>
    <xf numFmtId="0" fontId="0" fillId="9" borderId="0" xfId="0" applyFill="1"/>
    <xf numFmtId="0" fontId="0" fillId="10" borderId="0" xfId="0" applyFill="1"/>
    <xf numFmtId="0" fontId="1" fillId="2" borderId="6" xfId="0" applyFont="1" applyFill="1" applyBorder="1" applyAlignment="1">
      <alignment horizontal="left" vertical="center"/>
    </xf>
    <xf numFmtId="166" fontId="18" fillId="2" borderId="6" xfId="0" applyNumberFormat="1" applyFont="1" applyFill="1" applyBorder="1" applyAlignment="1">
      <alignment horizontal="left" vertical="center"/>
    </xf>
    <xf numFmtId="165" fontId="18" fillId="2" borderId="6" xfId="0" applyNumberFormat="1" applyFont="1" applyFill="1" applyBorder="1" applyAlignment="1">
      <alignment horizontal="left" vertical="center"/>
    </xf>
    <xf numFmtId="0" fontId="19" fillId="2" borderId="7" xfId="0" applyFont="1" applyFill="1" applyBorder="1" applyAlignment="1">
      <alignment horizontal="left" vertical="center"/>
    </xf>
    <xf numFmtId="0" fontId="0" fillId="11" borderId="0" xfId="0" applyFill="1"/>
    <xf numFmtId="167" fontId="18" fillId="2" borderId="6" xfId="0" applyNumberFormat="1" applyFont="1" applyFill="1" applyBorder="1" applyAlignment="1">
      <alignment horizontal="left" vertical="center"/>
    </xf>
    <xf numFmtId="167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/>
    </xf>
    <xf numFmtId="0" fontId="25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theme" Target="theme/theme1.xml"/><Relationship Id="rId37" Type="http://schemas.openxmlformats.org/officeDocument/2006/relationships/styles" Target="styles.xml"/><Relationship Id="rId38" Type="http://schemas.openxmlformats.org/officeDocument/2006/relationships/sharedStrings" Target="sharedStrings.xml"/><Relationship Id="rId3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Total Incidents</c:v>
          </c:tx>
          <c:spPr>
            <a:ln w="28575">
              <a:solidFill>
                <a:srgbClr val="0F4C81"/>
              </a:solidFill>
            </a:ln>
          </c:spPr>
          <c:marker>
            <c:symbol val="circle"/>
            <c:size val="5"/>
            <c:spPr>
              <a:solidFill>
                <a:srgbClr val="0F4C81"/>
              </a:solidFill>
              <a:ln>
                <a:noFill/>
              </a:ln>
            </c:spPr>
          </c:marke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'Calculations'!$M$5:$M$16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TRIR &amp; LTIFR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TRIR</c:v>
          </c:tx>
          <c:spPr>
            <a:ln w="28575">
              <a:solidFill>
                <a:srgbClr val="0F4C81"/>
              </a:solidFill>
            </a:ln>
          </c:spPr>
          <c:marker>
            <c:symbol val="circle"/>
            <c:size val="5"/>
            <c:spPr>
              <a:solidFill>
                <a:srgbClr val="0F4C81"/>
              </a:solidFill>
              <a:ln>
                <a:noFill/>
              </a:ln>
            </c:spPr>
          </c:marke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'Calculations'!$O$5:$O$16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20001"/>
        <c:axId val="5002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'Calculations'!$P$5:$P$16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General" sourceLinked="1"/>
        <c:tickLblPos val="nextTo"/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tickLblPos val="none"/>
        <c:crossAx val="6002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'Calculations'!$F$21:$F$27</c:f>
              <c:strCache>
                <c:ptCount val="7"/>
                <c:pt idx="0">
                  <c:v>First Aid Case</c:v>
                </c:pt>
                <c:pt idx="1">
                  <c:v>Medical Treatment Case</c:v>
                </c:pt>
                <c:pt idx="2">
                  <c:v>Lost Time Injury</c:v>
                </c:pt>
                <c:pt idx="3">
                  <c:v>Restricted Work Case</c:v>
                </c:pt>
                <c:pt idx="4">
                  <c:v>Property Damage</c:v>
                </c:pt>
                <c:pt idx="5">
                  <c:v>Fire</c:v>
                </c:pt>
                <c:pt idx="6">
                  <c:v>Environmental Spill</c:v>
                </c:pt>
              </c:strCache>
            </c:strRef>
          </c:cat>
          <c:val>
            <c:numRef>
              <c:f>'Calculations'!$G$21:$G$27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5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'Calculations'!$J$5:$J$16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'Calculations'!$K$5:$K$16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60"/>
        <c:overlap val="100"/>
        <c:axId val="50040001"/>
        <c:axId val="50040002"/>
      </c:bar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6A34A"/>
            </a:solidFill>
            <a:ln>
              <a:noFill/>
            </a:ln>
          </c:spP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'Calculations'!$I$5:$I$16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6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'Calculations'!$L$5:$L$16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60001"/>
        <c:axId val="50060002"/>
      </c:areaChart>
      <c:catAx>
        <c:axId val="500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6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'Calculations'!$F$46:$F$55</c:f>
              <c:strCache>
                <c:ptCount val="10"/>
                <c:pt idx="0">
                  <c:v>Production-CSD</c:v>
                </c:pt>
                <c:pt idx="1">
                  <c:v>Production-Blowing</c:v>
                </c:pt>
                <c:pt idx="2">
                  <c:v>Utilities</c:v>
                </c:pt>
                <c:pt idx="3">
                  <c:v>Warehouse</c:v>
                </c:pt>
                <c:pt idx="4">
                  <c:v>Quality</c:v>
                </c:pt>
                <c:pt idx="5">
                  <c:v>Engineering</c:v>
                </c:pt>
                <c:pt idx="6">
                  <c:v>Water Treatment</c:v>
                </c:pt>
                <c:pt idx="7">
                  <c:v>Syrup Room</c:v>
                </c:pt>
                <c:pt idx="8">
                  <c:v>Packaging</c:v>
                </c:pt>
                <c:pt idx="9">
                  <c:v>Logistics</c:v>
                </c:pt>
              </c:strCache>
            </c:strRef>
          </c:cat>
          <c:val>
            <c:numRef>
              <c:f>'Calculations'!$G$46:$G$55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70001"/>
        <c:axId val="50070002"/>
      </c:barChart>
      <c:catAx>
        <c:axId val="500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Monthly Performance Profile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solidFill>
              <a:srgbClr val="E8F3FB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4C81"/>
              </a:solidFill>
            </c:spPr>
          </c:marker>
          <c:cat>
            <c:strRef>
              <c:f>'Calculations'!$F$88:$F$94</c:f>
              <c:strCache>
                <c:ptCount val="7"/>
                <c:pt idx="0">
                  <c:v>PTW</c:v>
                </c:pt>
                <c:pt idx="1">
                  <c:v>Inspection</c:v>
                </c:pt>
                <c:pt idx="2">
                  <c:v>Audit</c:v>
                </c:pt>
                <c:pt idx="3">
                  <c:v>Training</c:v>
                </c:pt>
                <c:pt idx="4">
                  <c:v>PPE</c:v>
                </c:pt>
                <c:pt idx="5">
                  <c:v>Statutory</c:v>
                </c:pt>
                <c:pt idx="6">
                  <c:v>Action Closure</c:v>
                </c:pt>
              </c:strCache>
            </c:strRef>
          </c:cat>
          <c:val>
            <c:numRef>
              <c:f>'Calculations'!$G$88:$G$94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080001"/>
        <c:axId val="50080002"/>
      </c:radarChart>
      <c:catAx>
        <c:axId val="5008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Root Cause Analysis (Pareto)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Count</c:v>
          </c:tx>
          <c:spPr>
            <a:solidFill>
              <a:srgbClr val="0B6EA8"/>
            </a:solidFill>
            <a:ln>
              <a:noFill/>
            </a:ln>
          </c:spPr>
          <c:cat>
            <c:numRef>
              <c:f>'Calculations'!$I$33:$I$42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'Calculations'!$J$33:$J$42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gapWidth val="40"/>
        <c:axId val="50090001"/>
        <c:axId val="50090002"/>
      </c:barChart>
      <c:lineChart>
        <c:grouping val="standard"/>
        <c:ser>
          <c:idx val="1"/>
          <c:order val="1"/>
          <c:tx>
            <c:v>Cumulative %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numRef>
              <c:f>'Calculations'!$I$33:$I$42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'Calculations'!$K$33:$K$42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marker val="1"/>
        <c:axId val="60090001"/>
        <c:axId val="60090002"/>
      </c:lineChart>
      <c:catAx>
        <c:axId val="5009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valAx>
        <c:axId val="60090002"/>
        <c:scaling>
          <c:orientation val="minMax"/>
        </c:scaling>
        <c:axPos val="r"/>
        <c:numFmt formatCode="General" sourceLinked="1"/>
        <c:tickLblPos val="nextTo"/>
        <c:crossAx val="60090001"/>
        <c:crosses val="max"/>
        <c:crossBetween val="between"/>
      </c:valAx>
      <c:catAx>
        <c:axId val="60090001"/>
        <c:scaling>
          <c:orientation val="minMax"/>
        </c:scaling>
        <c:delete val="1"/>
        <c:axPos val="b"/>
        <c:numFmt formatCode="General" sourceLinked="1"/>
        <c:tickLblPos val="none"/>
        <c:crossAx val="6009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Training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6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'Calculations'!$G$100:$I$100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PTW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'Calculations'!$G$101:$I$101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Statutory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'Calculations'!$G$102:$I$102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Action Closure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6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'Calculations'!$G$103:$I$103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Total Incidents</c:v>
          </c:tx>
          <c:spPr>
            <a:ln w="28575">
              <a:solidFill>
                <a:srgbClr val="0F4C81"/>
              </a:solidFill>
            </a:ln>
          </c:spPr>
          <c:marker>
            <c:symbol val="circle"/>
            <c:size val="5"/>
            <c:spPr>
              <a:solidFill>
                <a:srgbClr val="0F4C81"/>
              </a:solidFill>
              <a:ln>
                <a:noFill/>
              </a:ln>
            </c:spPr>
          </c:marke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'Calculations'!$M$5:$M$16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140001"/>
        <c:axId val="50140002"/>
      </c:lineChart>
      <c:catAx>
        <c:axId val="501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40002"/>
        <c:crosses val="autoZero"/>
        <c:auto val="1"/>
        <c:lblAlgn val="ctr"/>
        <c:lblOffset val="100"/>
      </c:catAx>
      <c:valAx>
        <c:axId val="501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'Calculations'!$H$5:$H$16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60"/>
        <c:axId val="50150001"/>
        <c:axId val="50150002"/>
      </c:barChart>
      <c:catAx>
        <c:axId val="501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50002"/>
        <c:crosses val="autoZero"/>
        <c:auto val="1"/>
        <c:lblAlgn val="ctr"/>
        <c:lblOffset val="100"/>
      </c:catAx>
      <c:valAx>
        <c:axId val="501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'Calculations'!$F$21:$F$27</c:f>
              <c:strCache>
                <c:ptCount val="7"/>
                <c:pt idx="0">
                  <c:v>First Aid Case</c:v>
                </c:pt>
                <c:pt idx="1">
                  <c:v>Medical Treatment Case</c:v>
                </c:pt>
                <c:pt idx="2">
                  <c:v>Lost Time Injury</c:v>
                </c:pt>
                <c:pt idx="3">
                  <c:v>Restricted Work Case</c:v>
                </c:pt>
                <c:pt idx="4">
                  <c:v>Property Damage</c:v>
                </c:pt>
                <c:pt idx="5">
                  <c:v>Fire</c:v>
                </c:pt>
                <c:pt idx="6">
                  <c:v>Environmental Spill</c:v>
                </c:pt>
              </c:strCache>
            </c:strRef>
          </c:cat>
          <c:val>
            <c:numRef>
              <c:f>'Calculations'!$G$21:$G$27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5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Root Cause Analysis (Pareto)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Count</c:v>
          </c:tx>
          <c:spPr>
            <a:solidFill>
              <a:srgbClr val="0B6EA8"/>
            </a:solidFill>
            <a:ln>
              <a:noFill/>
            </a:ln>
          </c:spPr>
          <c:cat>
            <c:numRef>
              <c:f>'Calculations'!$I$33:$I$42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'Calculations'!$J$33:$J$42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gapWidth val="40"/>
        <c:axId val="50170001"/>
        <c:axId val="50170002"/>
      </c:barChart>
      <c:lineChart>
        <c:grouping val="standard"/>
        <c:ser>
          <c:idx val="1"/>
          <c:order val="1"/>
          <c:tx>
            <c:v>Cumulative %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numRef>
              <c:f>'Calculations'!$I$33:$I$42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'Calculations'!$K$33:$K$42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marker val="1"/>
        <c:axId val="60170001"/>
        <c:axId val="60170002"/>
      </c:lineChart>
      <c:catAx>
        <c:axId val="5017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70002"/>
        <c:crosses val="autoZero"/>
        <c:auto val="1"/>
        <c:lblAlgn val="ctr"/>
        <c:lblOffset val="100"/>
      </c:catAx>
      <c:valAx>
        <c:axId val="501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70001"/>
        <c:crosses val="autoZero"/>
        <c:crossBetween val="between"/>
      </c:valAx>
      <c:valAx>
        <c:axId val="60170002"/>
        <c:scaling>
          <c:orientation val="minMax"/>
        </c:scaling>
        <c:axPos val="r"/>
        <c:numFmt formatCode="General" sourceLinked="1"/>
        <c:tickLblPos val="nextTo"/>
        <c:crossAx val="60170001"/>
        <c:crosses val="max"/>
        <c:crossBetween val="between"/>
      </c:valAx>
      <c:catAx>
        <c:axId val="60170001"/>
        <c:scaling>
          <c:orientation val="minMax"/>
        </c:scaling>
        <c:delete val="1"/>
        <c:axPos val="b"/>
        <c:numFmt formatCode="General" sourceLinked="1"/>
        <c:tickLblPos val="none"/>
        <c:crossAx val="6017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'Calculations'!$Q$60:$Q$69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'Calculations'!$R$60:$R$69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80001"/>
        <c:axId val="50180002"/>
      </c:barChart>
      <c:catAx>
        <c:axId val="50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80002"/>
        <c:crosses val="autoZero"/>
        <c:auto val="1"/>
        <c:lblAlgn val="ctr"/>
        <c:lblOffset val="100"/>
      </c:catAx>
      <c:valAx>
        <c:axId val="50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Inspection Status by Type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Completed</c:v>
          </c:tx>
          <c:spPr>
            <a:solidFill>
              <a:srgbClr val="16A34A"/>
            </a:solidFill>
            <a:ln>
              <a:noFill/>
            </a:ln>
          </c:spPr>
          <c:cat>
            <c:strRef>
              <c:f>'Calculations'!$F$122:$F$128</c:f>
              <c:strCache>
                <c:ptCount val="7"/>
                <c:pt idx="0">
                  <c:v>Workplace Inspection</c:v>
                </c:pt>
                <c:pt idx="1">
                  <c:v>Fire Equipment</c:v>
                </c:pt>
                <c:pt idx="2">
                  <c:v>Electrical Safety</c:v>
                </c:pt>
                <c:pt idx="3">
                  <c:v>Machine Guarding</c:v>
                </c:pt>
                <c:pt idx="4">
                  <c:v>PPE Inspection</c:v>
                </c:pt>
                <c:pt idx="5">
                  <c:v>Housekeeping</c:v>
                </c:pt>
                <c:pt idx="6">
                  <c:v>Ladder/Scaffold</c:v>
                </c:pt>
              </c:strCache>
            </c:strRef>
          </c:cat>
          <c:val>
            <c:numRef>
              <c:f>'Calculations'!$H$122:$H$128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Pending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'Calculations'!$F$122:$F$128</c:f>
              <c:strCache>
                <c:ptCount val="7"/>
                <c:pt idx="0">
                  <c:v>Workplace Inspection</c:v>
                </c:pt>
                <c:pt idx="1">
                  <c:v>Fire Equipment</c:v>
                </c:pt>
                <c:pt idx="2">
                  <c:v>Electrical Safety</c:v>
                </c:pt>
                <c:pt idx="3">
                  <c:v>Machine Guarding</c:v>
                </c:pt>
                <c:pt idx="4">
                  <c:v>PPE Inspection</c:v>
                </c:pt>
                <c:pt idx="5">
                  <c:v>Housekeeping</c:v>
                </c:pt>
                <c:pt idx="6">
                  <c:v>Ladder/Scaffold</c:v>
                </c:pt>
              </c:strCache>
            </c:strRef>
          </c:cat>
          <c:val>
            <c:numRef>
              <c:f>'Calculations'!$I$122:$I$128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60"/>
        <c:overlap val="100"/>
        <c:axId val="50190001"/>
        <c:axId val="50190002"/>
      </c:barChart>
      <c:catAx>
        <c:axId val="501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90002"/>
        <c:crosses val="autoZero"/>
        <c:auto val="1"/>
        <c:lblAlgn val="ctr"/>
        <c:lblOffset val="100"/>
      </c:catAx>
      <c:valAx>
        <c:axId val="501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Inspection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6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'Calculations'!$G$104:$I$104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Audit NCR Status by Type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Closed</c:v>
          </c:tx>
          <c:spPr>
            <a:solidFill>
              <a:srgbClr val="16A34A"/>
            </a:solidFill>
            <a:ln>
              <a:noFill/>
            </a:ln>
          </c:spPr>
          <c:cat>
            <c:strRef>
              <c:f>'Calculations'!$K$122:$K$128</c:f>
              <c:strCache>
                <c:ptCount val="7"/>
                <c:pt idx="0">
                  <c:v>Internal EHS Audit</c:v>
                </c:pt>
                <c:pt idx="1">
                  <c:v>External Audit</c:v>
                </c:pt>
                <c:pt idx="2">
                  <c:v>ISO 45001</c:v>
                </c:pt>
                <c:pt idx="3">
                  <c:v>FSSAI Safety</c:v>
                </c:pt>
                <c:pt idx="4">
                  <c:v>Legal Compliance</c:v>
                </c:pt>
                <c:pt idx="5">
                  <c:v>Fire Safety Audit</c:v>
                </c:pt>
                <c:pt idx="6">
                  <c:v>Management Walkthrough</c:v>
                </c:pt>
              </c:strCache>
            </c:strRef>
          </c:cat>
          <c:val>
            <c:numRef>
              <c:f>'Calculations'!$M$122:$M$128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Open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'Calculations'!$K$122:$K$128</c:f>
              <c:strCache>
                <c:ptCount val="7"/>
                <c:pt idx="0">
                  <c:v>Internal EHS Audit</c:v>
                </c:pt>
                <c:pt idx="1">
                  <c:v>External Audit</c:v>
                </c:pt>
                <c:pt idx="2">
                  <c:v>ISO 45001</c:v>
                </c:pt>
                <c:pt idx="3">
                  <c:v>FSSAI Safety</c:v>
                </c:pt>
                <c:pt idx="4">
                  <c:v>Legal Compliance</c:v>
                </c:pt>
                <c:pt idx="5">
                  <c:v>Fire Safety Audit</c:v>
                </c:pt>
                <c:pt idx="6">
                  <c:v>Management Walkthrough</c:v>
                </c:pt>
              </c:strCache>
            </c:strRef>
          </c:cat>
          <c:val>
            <c:numRef>
              <c:f>'Calculations'!$N$122:$N$128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60"/>
        <c:overlap val="100"/>
        <c:axId val="50210001"/>
        <c:axId val="50210002"/>
      </c:barChart>
      <c:catAx>
        <c:axId val="502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Audit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'Calculations'!$G$105:$I$105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Monthly Training Compliance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Training %</c:v>
          </c:tx>
          <c:spPr>
            <a:ln w="28575">
              <a:solidFill>
                <a:srgbClr val="16A34A"/>
              </a:solidFill>
            </a:ln>
          </c:spPr>
          <c:marker>
            <c:symbol val="circle"/>
            <c:size val="5"/>
            <c:spPr>
              <a:solidFill>
                <a:srgbClr val="16A34A"/>
              </a:solidFill>
              <a:ln>
                <a:noFill/>
              </a:ln>
            </c:spPr>
          </c:marke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'Calculations'!$Q$5:$Q$16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30001"/>
        <c:axId val="50230002"/>
      </c:lineChart>
      <c:catAx>
        <c:axId val="502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30002"/>
        <c:crosses val="autoZero"/>
        <c:auto val="1"/>
        <c:lblAlgn val="ctr"/>
        <c:lblOffset val="100"/>
      </c:catAx>
      <c:valAx>
        <c:axId val="502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Training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6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'Calculations'!$G$100:$I$100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Monthly PTW Compliance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PTW %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  <a:ln>
                <a:noFill/>
              </a:ln>
            </c:spPr>
          </c:marker>
          <c:cat>
            <c:strRef>
              <c:f>'Calculations'!$F$5:$F$16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'Calculations'!$R$5:$R$16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50001"/>
        <c:axId val="50250002"/>
      </c:lineChart>
      <c:catAx>
        <c:axId val="502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PTW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'Calculations'!$G$101:$I$101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Statutory Compliance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334155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'Calculations'!$G$102:$I$102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CAPA by Status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6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'Calculations'!$F$110:$F$113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'Calculations'!$G$110:$G$113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5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CAPA by Source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'Calculations'!$I$110:$I$115</c:f>
              <c:strCache>
                <c:ptCount val="6"/>
                <c:pt idx="0">
                  <c:v>Incident</c:v>
                </c:pt>
                <c:pt idx="1">
                  <c:v>Audit</c:v>
                </c:pt>
                <c:pt idx="2">
                  <c:v>Inspection</c:v>
                </c:pt>
                <c:pt idx="3">
                  <c:v>Near Miss</c:v>
                </c:pt>
                <c:pt idx="4">
                  <c:v>Observation</c:v>
                </c:pt>
                <c:pt idx="5">
                  <c:v>Drill</c:v>
                </c:pt>
              </c:strCache>
            </c:strRef>
          </c:cat>
          <c:val>
            <c:numRef>
              <c:f>'Calculations'!$J$110:$J$115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290001"/>
        <c:axId val="50290002"/>
      </c:barChart>
      <c:catAx>
        <c:axId val="502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0F4C81"/>
                </a:solidFill>
              </a:defRPr>
            </a:pPr>
            <a:r>
              <a:rPr lang="en-US" sz="1000" b="1" baseline="0">
                <a:solidFill>
                  <a:srgbClr val="0F4C81"/>
                </a:solidFill>
              </a:rPr>
              <a:t>Action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6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'Calculations'!$G$103:$I$103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'Calculations'!$F$46:$F$55</c:f>
              <c:strCache>
                <c:ptCount val="10"/>
                <c:pt idx="0">
                  <c:v>Production-CSD</c:v>
                </c:pt>
                <c:pt idx="1">
                  <c:v>Production-Blowing</c:v>
                </c:pt>
                <c:pt idx="2">
                  <c:v>Utilities</c:v>
                </c:pt>
                <c:pt idx="3">
                  <c:v>Warehouse</c:v>
                </c:pt>
                <c:pt idx="4">
                  <c:v>Quality</c:v>
                </c:pt>
                <c:pt idx="5">
                  <c:v>Engineering</c:v>
                </c:pt>
                <c:pt idx="6">
                  <c:v>Water Treatment</c:v>
                </c:pt>
                <c:pt idx="7">
                  <c:v>Syrup Room</c:v>
                </c:pt>
                <c:pt idx="8">
                  <c:v>Packaging</c:v>
                </c:pt>
                <c:pt idx="9">
                  <c:v>Logistics</c:v>
                </c:pt>
              </c:strCache>
            </c:strRef>
          </c:cat>
          <c:val>
            <c:numRef>
              <c:f>'Calculations'!$G$46:$G$55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10001"/>
        <c:axId val="50310002"/>
      </c:barChart>
      <c:catAx>
        <c:axId val="503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F4C81"/>
                </a:solidFill>
                <a:latin typeface="Segoe UI"/>
              </a:defRPr>
            </a:pPr>
            <a:r>
              <a:rPr lang="en-US" sz="1100" b="1" baseline="0">
                <a:solidFill>
                  <a:srgbClr val="0F4C81"/>
                </a:solidFill>
                <a:latin typeface="Segoe UI"/>
              </a:rPr>
              <a:t>Top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'Calculations'!$I$60:$I$69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'Calculations'!$J$60:$J$69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4.xml"/><Relationship Id="rId2" Type="http://schemas.openxmlformats.org/officeDocument/2006/relationships/chart" Target="../charts/chart15.xml"/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21.xml"/><Relationship Id="rId2" Type="http://schemas.openxmlformats.org/officeDocument/2006/relationships/chart" Target="../charts/chart22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25.xml"/><Relationship Id="rId2" Type="http://schemas.openxmlformats.org/officeDocument/2006/relationships/chart" Target="../charts/chart26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28.xml"/><Relationship Id="rId2" Type="http://schemas.openxmlformats.org/officeDocument/2006/relationships/chart" Target="../charts/chart29.xml"/><Relationship Id="rId3" Type="http://schemas.openxmlformats.org/officeDocument/2006/relationships/chart" Target="../charts/chart30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31.xml"/><Relationship Id="rId2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0</xdr:rowOff>
    </xdr:from>
    <xdr:to>
      <xdr:col>8</xdr:col>
      <xdr:colOff>295275</xdr:colOff>
      <xdr:row>53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40</xdr:row>
      <xdr:rowOff>0</xdr:rowOff>
    </xdr:from>
    <xdr:to>
      <xdr:col>14</xdr:col>
      <xdr:colOff>295275</xdr:colOff>
      <xdr:row>53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40</xdr:row>
      <xdr:rowOff>0</xdr:rowOff>
    </xdr:from>
    <xdr:to>
      <xdr:col>20</xdr:col>
      <xdr:colOff>304800</xdr:colOff>
      <xdr:row>53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295275</xdr:colOff>
      <xdr:row>68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55</xdr:row>
      <xdr:rowOff>0</xdr:rowOff>
    </xdr:from>
    <xdr:to>
      <xdr:col>14</xdr:col>
      <xdr:colOff>295275</xdr:colOff>
      <xdr:row>68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55</xdr:row>
      <xdr:rowOff>0</xdr:rowOff>
    </xdr:from>
    <xdr:to>
      <xdr:col>20</xdr:col>
      <xdr:colOff>304800</xdr:colOff>
      <xdr:row>68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295275</xdr:colOff>
      <xdr:row>85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70</xdr:row>
      <xdr:rowOff>0</xdr:rowOff>
    </xdr:from>
    <xdr:to>
      <xdr:col>14</xdr:col>
      <xdr:colOff>295275</xdr:colOff>
      <xdr:row>85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70</xdr:row>
      <xdr:rowOff>0</xdr:rowOff>
    </xdr:from>
    <xdr:to>
      <xdr:col>20</xdr:col>
      <xdr:colOff>304800</xdr:colOff>
      <xdr:row>85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5</xdr:col>
      <xdr:colOff>381000</xdr:colOff>
      <xdr:row>99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88</xdr:row>
      <xdr:rowOff>0</xdr:rowOff>
    </xdr:from>
    <xdr:to>
      <xdr:col>9</xdr:col>
      <xdr:colOff>381000</xdr:colOff>
      <xdr:row>99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88</xdr:row>
      <xdr:rowOff>0</xdr:rowOff>
    </xdr:from>
    <xdr:to>
      <xdr:col>13</xdr:col>
      <xdr:colOff>381000</xdr:colOff>
      <xdr:row>99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88</xdr:row>
      <xdr:rowOff>0</xdr:rowOff>
    </xdr:from>
    <xdr:to>
      <xdr:col>17</xdr:col>
      <xdr:colOff>381000</xdr:colOff>
      <xdr:row>99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295275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295275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304800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8</xdr:col>
      <xdr:colOff>295275</xdr:colOff>
      <xdr:row>54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40</xdr:row>
      <xdr:rowOff>0</xdr:rowOff>
    </xdr:from>
    <xdr:to>
      <xdr:col>14</xdr:col>
      <xdr:colOff>295275</xdr:colOff>
      <xdr:row>54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9</xdr:col>
      <xdr:colOff>381000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15</xdr:col>
      <xdr:colOff>571500</xdr:colOff>
      <xdr:row>31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9</xdr:col>
      <xdr:colOff>381000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15</xdr:col>
      <xdr:colOff>571500</xdr:colOff>
      <xdr:row>31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9</xdr:col>
      <xdr:colOff>381000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15</xdr:col>
      <xdr:colOff>571500</xdr:colOff>
      <xdr:row>31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9</xdr:col>
      <xdr:colOff>381000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15</xdr:col>
      <xdr:colOff>571500</xdr:colOff>
      <xdr:row>31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6</xdr:col>
      <xdr:colOff>142875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295275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295275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17</xdr:col>
      <xdr:colOff>571500</xdr:colOff>
      <xdr:row>31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9</xdr:col>
      <xdr:colOff>381000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18</xdr:col>
      <xdr:colOff>381000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Incident" displayName="tIncident" ref="A1:Q115" totalsRowShown="0">
  <autoFilter ref="A1:Q115"/>
  <tableColumns count="17">
    <tableColumn id="1" name="Incident ID"/>
    <tableColumn id="2" name="Date"/>
    <tableColumn id="3" name="Year"/>
    <tableColumn id="4" name="Month"/>
    <tableColumn id="5" name="Month Name"/>
    <tableColumn id="6" name="Department"/>
    <tableColumn id="7" name="Area"/>
    <tableColumn id="8" name="Shift"/>
    <tableColumn id="9" name="Incident Type"/>
    <tableColumn id="10" name="Severity"/>
    <tableColumn id="11" name="Severity Score"/>
    <tableColumn id="12" name="Root Cause"/>
    <tableColumn id="13" name="Contractor"/>
    <tableColumn id="14" name="Employee Category"/>
    <tableColumn id="15" name="Lost Days"/>
    <tableColumn id="16" name="Status"/>
    <tableColumn id="17" name="Date Clos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FirstAid" displayName="tFirstAid" ref="A1:L213" totalsRowShown="0">
  <autoFilter ref="A1:L213"/>
  <tableColumns count="12">
    <tableColumn id="1" name="FA ID"/>
    <tableColumn id="2" name="Date"/>
    <tableColumn id="3" name="Year"/>
    <tableColumn id="4" name="Month"/>
    <tableColumn id="5" name="Month Name"/>
    <tableColumn id="6" name="Department"/>
    <tableColumn id="7" name="Area"/>
    <tableColumn id="8" name="Shift"/>
    <tableColumn id="9" name="Body Part"/>
    <tableColumn id="10" name="Root Cause"/>
    <tableColumn id="11" name="Employee Category"/>
    <tableColumn id="12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NearMiss" displayName="tNearMiss" ref="A1:M572" totalsRowShown="0">
  <autoFilter ref="A1:M572"/>
  <tableColumns count="13">
    <tableColumn id="1" name="NM ID"/>
    <tableColumn id="2" name="Date"/>
    <tableColumn id="3" name="Year"/>
    <tableColumn id="4" name="Month"/>
    <tableColumn id="5" name="Month Name"/>
    <tableColumn id="6" name="Department"/>
    <tableColumn id="7" name="Area"/>
    <tableColumn id="8" name="Shift"/>
    <tableColumn id="9" name="Description"/>
    <tableColumn id="10" name="Potential"/>
    <tableColumn id="11" name="Root Cause"/>
    <tableColumn id="12" name="Employee Category"/>
    <tableColumn id="13" name="Statu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SafetyObs" displayName="tSafetyObs" ref="A1:M1127" totalsRowShown="0">
  <autoFilter ref="A1:M1127"/>
  <tableColumns count="13">
    <tableColumn id="1" name="SO ID"/>
    <tableColumn id="2" name="Date"/>
    <tableColumn id="3" name="Year"/>
    <tableColumn id="4" name="Month"/>
    <tableColumn id="5" name="Month Name"/>
    <tableColumn id="6" name="Department"/>
    <tableColumn id="7" name="Area"/>
    <tableColumn id="8" name="Shift"/>
    <tableColumn id="9" name="Category"/>
    <tableColumn id="10" name="Description"/>
    <tableColumn id="11" name="Severity"/>
    <tableColumn id="12" name="Employee Category"/>
    <tableColumn id="13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UnsafeAct" displayName="tUnsafeAct" ref="A1:K230" totalsRowShown="0">
  <autoFilter ref="A1:K230"/>
  <tableColumns count="11">
    <tableColumn id="1" name="UA ID"/>
    <tableColumn id="2" name="Date"/>
    <tableColumn id="3" name="Year"/>
    <tableColumn id="4" name="Month"/>
    <tableColumn id="5" name="Month Name"/>
    <tableColumn id="6" name="Department"/>
    <tableColumn id="7" name="Area"/>
    <tableColumn id="8" name="Unsafe Act"/>
    <tableColumn id="9" name="Severity"/>
    <tableColumn id="10" name="Shift"/>
    <tableColumn id="11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UnsafeCond" displayName="tUnsafeCond" ref="A1:K265" totalsRowShown="0">
  <autoFilter ref="A1:K265"/>
  <tableColumns count="11">
    <tableColumn id="1" name="UC ID"/>
    <tableColumn id="2" name="Date"/>
    <tableColumn id="3" name="Year"/>
    <tableColumn id="4" name="Month"/>
    <tableColumn id="5" name="Month Name"/>
    <tableColumn id="6" name="Department"/>
    <tableColumn id="7" name="Area"/>
    <tableColumn id="8" name="Unsafe Condition"/>
    <tableColumn id="9" name="Severity"/>
    <tableColumn id="10" name="Shift"/>
    <tableColumn id="11" name="Statu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Inspection" displayName="tInspection" ref="A1:M233" totalsRowShown="0">
  <autoFilter ref="A1:M233"/>
  <tableColumns count="13">
    <tableColumn id="1" name="INS ID"/>
    <tableColumn id="2" name="Date"/>
    <tableColumn id="3" name="Year"/>
    <tableColumn id="4" name="Month"/>
    <tableColumn id="5" name="Month Name"/>
    <tableColumn id="6" name="Department"/>
    <tableColumn id="7" name="Area"/>
    <tableColumn id="8" name="Inspection Type"/>
    <tableColumn id="9" name="Planned"/>
    <tableColumn id="10" name="Completed"/>
    <tableColumn id="11" name="Findings"/>
    <tableColumn id="12" name="Closed Findings"/>
    <tableColumn id="13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udit" displayName="tAudit" ref="A1:K61" totalsRowShown="0">
  <autoFilter ref="A1:K61"/>
  <tableColumns count="11">
    <tableColumn id="1" name="Audit ID"/>
    <tableColumn id="2" name="Date"/>
    <tableColumn id="3" name="Year"/>
    <tableColumn id="4" name="Month"/>
    <tableColumn id="5" name="Month Name"/>
    <tableColumn id="6" name="Department"/>
    <tableColumn id="7" name="Audit Type"/>
    <tableColumn id="8" name="Score"/>
    <tableColumn id="9" name="NCRs"/>
    <tableColumn id="10" name="NCRs Closed"/>
    <tableColumn id="11" name="Statu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Statutory" displayName="tStatutory" ref="A1:G31" totalsRowShown="0">
  <autoFilter ref="A1:G31"/>
  <tableColumns count="7">
    <tableColumn id="1" name="Ref"/>
    <tableColumn id="2" name="Compliance Item"/>
    <tableColumn id="3" name="Department"/>
    <tableColumn id="4" name="Validity"/>
    <tableColumn id="5" name="Due Date"/>
    <tableColumn id="6" name="Compliance"/>
    <tableColumn id="7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PTW" displayName="tPTW" ref="A1:L994" totalsRowShown="0">
  <autoFilter ref="A1:L994"/>
  <tableColumns count="12">
    <tableColumn id="1" name="Permit ID"/>
    <tableColumn id="2" name="Date"/>
    <tableColumn id="3" name="Year"/>
    <tableColumn id="4" name="Month"/>
    <tableColumn id="5" name="Month Name"/>
    <tableColumn id="6" name="Department"/>
    <tableColumn id="7" name="Area"/>
    <tableColumn id="8" name="Permit Type"/>
    <tableColumn id="9" name="Contractor"/>
    <tableColumn id="10" name="Shift"/>
    <tableColumn id="11" name="Compliance"/>
    <tableColumn id="12" name="Statu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Training" displayName="tTraining" ref="A1:J301" totalsRowShown="0">
  <autoFilter ref="A1:J301"/>
  <tableColumns count="10">
    <tableColumn id="1" name="Training ID"/>
    <tableColumn id="2" name="Date"/>
    <tableColumn id="3" name="Year"/>
    <tableColumn id="4" name="Month"/>
    <tableColumn id="5" name="Month Name"/>
    <tableColumn id="6" name="Department"/>
    <tableColumn id="7" name="Topic"/>
    <tableColumn id="8" name="Planned"/>
    <tableColumn id="9" name="Completed"/>
    <tableColumn id="10" name="Completion %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PPE" displayName="tPPE" ref="A1:J301" totalsRowShown="0">
  <autoFilter ref="A1:J301"/>
  <tableColumns count="10">
    <tableColumn id="1" name="PPE ID"/>
    <tableColumn id="2" name="Date"/>
    <tableColumn id="3" name="Year"/>
    <tableColumn id="4" name="Month"/>
    <tableColumn id="5" name="Month Name"/>
    <tableColumn id="6" name="Department"/>
    <tableColumn id="7" name="Area"/>
    <tableColumn id="8" name="Checked"/>
    <tableColumn id="9" name="Compliant"/>
    <tableColumn id="10" name="Compliance %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Contractor" displayName="tContractor" ref="A1:H19" totalsRowShown="0">
  <autoFilter ref="A1:H19"/>
  <tableColumns count="8">
    <tableColumn id="1" name="Ref"/>
    <tableColumn id="2" name="Contractor"/>
    <tableColumn id="3" name="Year"/>
    <tableColumn id="4" name="Workers"/>
    <tableColumn id="5" name="Trained"/>
    <tableColumn id="6" name="Trained %"/>
    <tableColumn id="7" name="Incidents"/>
    <tableColumn id="8" name="Safety Sco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Toolbox" displayName="tToolbox" ref="A1:I301" totalsRowShown="0">
  <autoFilter ref="A1:I301"/>
  <tableColumns count="9">
    <tableColumn id="1" name="TBT ID"/>
    <tableColumn id="2" name="Date"/>
    <tableColumn id="3" name="Year"/>
    <tableColumn id="4" name="Month"/>
    <tableColumn id="5" name="Month Name"/>
    <tableColumn id="6" name="Department"/>
    <tableColumn id="7" name="Topic"/>
    <tableColumn id="8" name="Attendance"/>
    <tableColumn id="9" name="Shif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BS" displayName="tBBS" ref="A1:J559" totalsRowShown="0">
  <autoFilter ref="A1:J559"/>
  <tableColumns count="10">
    <tableColumn id="1" name="BBS ID"/>
    <tableColumn id="2" name="Date"/>
    <tableColumn id="3" name="Year"/>
    <tableColumn id="4" name="Month"/>
    <tableColumn id="5" name="Month Name"/>
    <tableColumn id="6" name="Department"/>
    <tableColumn id="7" name="Area"/>
    <tableColumn id="8" name="Behaviour"/>
    <tableColumn id="9" name="Observed Act"/>
    <tableColumn id="10" name="Employee Categor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Drill" displayName="tDrill" ref="A1:I18" totalsRowShown="0">
  <autoFilter ref="A1:I18"/>
  <tableColumns count="9">
    <tableColumn id="1" name="Drill ID"/>
    <tableColumn id="2" name="Date"/>
    <tableColumn id="3" name="Year"/>
    <tableColumn id="4" name="Month"/>
    <tableColumn id="5" name="Month Name"/>
    <tableColumn id="6" name="Drill Type"/>
    <tableColumn id="7" name="Response Time (min)"/>
    <tableColumn id="8" name="Rating"/>
    <tableColumn id="9" name="Participa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FireEq" displayName="tFireEq" ref="A1:I242" totalsRowShown="0">
  <autoFilter ref="A1:I242"/>
  <tableColumns count="9">
    <tableColumn id="1" name="FE ID"/>
    <tableColumn id="2" name="Date"/>
    <tableColumn id="3" name="Year"/>
    <tableColumn id="4" name="Month"/>
    <tableColumn id="5" name="Month Name"/>
    <tableColumn id="6" name="Equipment"/>
    <tableColumn id="7" name="Area"/>
    <tableColumn id="8" name="Condition"/>
    <tableColumn id="9" name="Statu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Risk" displayName="tRisk" ref="A1:M108" totalsRowShown="0">
  <autoFilter ref="A1:M108"/>
  <tableColumns count="13">
    <tableColumn id="1" name="RA ID"/>
    <tableColumn id="2" name="Date"/>
    <tableColumn id="3" name="Year"/>
    <tableColumn id="4" name="Month"/>
    <tableColumn id="5" name="Month Name"/>
    <tableColumn id="6" name="Department"/>
    <tableColumn id="7" name="Area"/>
    <tableColumn id="8" name="Hazard"/>
    <tableColumn id="9" name="Likelihood"/>
    <tableColumn id="10" name="Severity"/>
    <tableColumn id="11" name="Risk Score"/>
    <tableColumn id="12" name="Risk Level"/>
    <tableColumn id="13" name="Statu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CAPA" displayName="tCAPA" ref="A1:M256" totalsRowShown="0">
  <autoFilter ref="A1:M256"/>
  <tableColumns count="13">
    <tableColumn id="1" name="CAPA ID"/>
    <tableColumn id="2" name="Date"/>
    <tableColumn id="3" name="Year"/>
    <tableColumn id="4" name="Month"/>
    <tableColumn id="5" name="Month Name"/>
    <tableColumn id="6" name="Source"/>
    <tableColumn id="7" name="Department"/>
    <tableColumn id="8" name="Root Cause"/>
    <tableColumn id="9" name="Action Type"/>
    <tableColumn id="10" name="Severity"/>
    <tableColumn id="11" name="Due Date"/>
    <tableColumn id="12" name="Status"/>
    <tableColumn id="13" name="Owner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Manhours" displayName="tManhours" ref="A1:E301" totalsRowShown="0">
  <autoFilter ref="A1:E301"/>
  <tableColumns count="5">
    <tableColumn id="1" name="Year"/>
    <tableColumn id="2" name="Month"/>
    <tableColumn id="3" name="Month Name"/>
    <tableColumn id="4" name="Department"/>
    <tableColumn id="5" name="Man-hou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2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2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2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2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2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</sheetPr>
  <dimension ref="A1:S115"/>
  <sheetViews>
    <sheetView tabSelected="1"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8" width="11.7109375" customWidth="1"/>
    <col min="9" max="9" width="16.7109375" customWidth="1"/>
    <col min="10" max="10" width="11.7109375" customWidth="1"/>
    <col min="11" max="11" width="17.7109375" customWidth="1"/>
    <col min="12" max="13" width="13.7109375" customWidth="1"/>
    <col min="14" max="14" width="20.7109375" customWidth="1"/>
    <col min="15" max="15" width="12.7109375" customWidth="1"/>
    <col min="16" max="16" width="11.7109375" customWidth="1"/>
    <col min="17" max="17" width="14.7109375" customWidth="1"/>
  </cols>
  <sheetData>
    <row r="1" spans="1:19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S1" s="1" t="s">
        <v>203</v>
      </c>
    </row>
    <row r="2" spans="1:19">
      <c r="A2" t="s">
        <v>0</v>
      </c>
      <c r="B2" s="2">
        <v>45302</v>
      </c>
      <c r="C2">
        <v>2024</v>
      </c>
      <c r="D2">
        <v>1</v>
      </c>
      <c r="E2" t="s">
        <v>1</v>
      </c>
      <c r="F2" t="s">
        <v>2</v>
      </c>
      <c r="G2" t="s">
        <v>3</v>
      </c>
      <c r="H2" t="s">
        <v>4</v>
      </c>
      <c r="I2" t="s">
        <v>5</v>
      </c>
      <c r="J2" t="s">
        <v>6</v>
      </c>
      <c r="K2">
        <v>4</v>
      </c>
      <c r="L2" t="s">
        <v>7</v>
      </c>
      <c r="M2" t="s">
        <v>8</v>
      </c>
      <c r="N2" t="s">
        <v>9</v>
      </c>
      <c r="O2">
        <v>0</v>
      </c>
      <c r="P2" t="s">
        <v>10</v>
      </c>
      <c r="Q2" s="2">
        <v>45306</v>
      </c>
    </row>
    <row r="3" spans="1:19">
      <c r="A3" t="s">
        <v>11</v>
      </c>
      <c r="B3" s="2">
        <v>45295</v>
      </c>
      <c r="C3">
        <v>2024</v>
      </c>
      <c r="D3">
        <v>1</v>
      </c>
      <c r="E3" t="s">
        <v>1</v>
      </c>
      <c r="F3" t="s">
        <v>2</v>
      </c>
      <c r="G3" t="s">
        <v>3</v>
      </c>
      <c r="H3" t="s">
        <v>12</v>
      </c>
      <c r="I3" t="s">
        <v>5</v>
      </c>
      <c r="J3" t="s">
        <v>13</v>
      </c>
      <c r="K3">
        <v>1</v>
      </c>
      <c r="L3" t="s">
        <v>14</v>
      </c>
      <c r="M3" t="s">
        <v>15</v>
      </c>
      <c r="N3" t="s">
        <v>16</v>
      </c>
      <c r="O3">
        <v>0</v>
      </c>
      <c r="P3" t="s">
        <v>17</v>
      </c>
    </row>
    <row r="4" spans="1:19">
      <c r="A4" t="s">
        <v>18</v>
      </c>
      <c r="B4" s="2">
        <v>45304</v>
      </c>
      <c r="C4">
        <v>2024</v>
      </c>
      <c r="D4">
        <v>1</v>
      </c>
      <c r="E4" t="s">
        <v>1</v>
      </c>
      <c r="F4" t="s">
        <v>19</v>
      </c>
      <c r="G4" t="s">
        <v>20</v>
      </c>
      <c r="H4" t="s">
        <v>4</v>
      </c>
      <c r="I4" t="s">
        <v>5</v>
      </c>
      <c r="J4" t="s">
        <v>6</v>
      </c>
      <c r="K4">
        <v>4</v>
      </c>
      <c r="L4" t="s">
        <v>21</v>
      </c>
      <c r="M4" t="s">
        <v>22</v>
      </c>
      <c r="N4" t="s">
        <v>9</v>
      </c>
      <c r="O4">
        <v>0</v>
      </c>
      <c r="P4" t="s">
        <v>23</v>
      </c>
    </row>
    <row r="5" spans="1:19">
      <c r="A5" t="s">
        <v>24</v>
      </c>
      <c r="B5" s="2">
        <v>45348</v>
      </c>
      <c r="C5">
        <v>2024</v>
      </c>
      <c r="D5">
        <v>2</v>
      </c>
      <c r="E5" t="s">
        <v>25</v>
      </c>
      <c r="F5" t="s">
        <v>26</v>
      </c>
      <c r="G5" t="s">
        <v>27</v>
      </c>
      <c r="H5" t="s">
        <v>12</v>
      </c>
      <c r="I5" t="s">
        <v>28</v>
      </c>
      <c r="J5" t="s">
        <v>6</v>
      </c>
      <c r="K5">
        <v>4</v>
      </c>
      <c r="L5" t="s">
        <v>7</v>
      </c>
      <c r="M5" t="s">
        <v>15</v>
      </c>
      <c r="N5" t="s">
        <v>29</v>
      </c>
      <c r="O5">
        <v>19</v>
      </c>
      <c r="P5" t="s">
        <v>23</v>
      </c>
    </row>
    <row r="6" spans="1:19">
      <c r="A6" t="s">
        <v>30</v>
      </c>
      <c r="B6" s="2">
        <v>45327</v>
      </c>
      <c r="C6">
        <v>2024</v>
      </c>
      <c r="D6">
        <v>2</v>
      </c>
      <c r="E6" t="s">
        <v>25</v>
      </c>
      <c r="F6" t="s">
        <v>31</v>
      </c>
      <c r="G6" t="s">
        <v>32</v>
      </c>
      <c r="H6" t="s">
        <v>33</v>
      </c>
      <c r="I6" t="s">
        <v>5</v>
      </c>
      <c r="J6" t="s">
        <v>34</v>
      </c>
      <c r="K6">
        <v>3</v>
      </c>
      <c r="L6" t="s">
        <v>7</v>
      </c>
      <c r="M6" t="s">
        <v>35</v>
      </c>
      <c r="N6" t="s">
        <v>36</v>
      </c>
      <c r="O6">
        <v>0</v>
      </c>
      <c r="P6" t="s">
        <v>10</v>
      </c>
      <c r="Q6" s="2">
        <v>45367</v>
      </c>
    </row>
    <row r="7" spans="1:19">
      <c r="A7" t="s">
        <v>37</v>
      </c>
      <c r="B7" s="2">
        <v>45344</v>
      </c>
      <c r="C7">
        <v>2024</v>
      </c>
      <c r="D7">
        <v>2</v>
      </c>
      <c r="E7" t="s">
        <v>25</v>
      </c>
      <c r="F7" t="s">
        <v>38</v>
      </c>
      <c r="G7" t="s">
        <v>27</v>
      </c>
      <c r="H7" t="s">
        <v>4</v>
      </c>
      <c r="I7" t="s">
        <v>28</v>
      </c>
      <c r="J7" t="s">
        <v>34</v>
      </c>
      <c r="K7">
        <v>3</v>
      </c>
      <c r="L7" t="s">
        <v>7</v>
      </c>
      <c r="M7" t="s">
        <v>22</v>
      </c>
      <c r="N7" t="s">
        <v>29</v>
      </c>
      <c r="O7">
        <v>6</v>
      </c>
      <c r="P7" t="s">
        <v>10</v>
      </c>
      <c r="Q7" s="2">
        <v>45362</v>
      </c>
    </row>
    <row r="8" spans="1:19">
      <c r="A8" t="s">
        <v>39</v>
      </c>
      <c r="B8" s="2">
        <v>45340</v>
      </c>
      <c r="C8">
        <v>2024</v>
      </c>
      <c r="D8">
        <v>2</v>
      </c>
      <c r="E8" t="s">
        <v>25</v>
      </c>
      <c r="F8" t="s">
        <v>40</v>
      </c>
      <c r="G8" t="s">
        <v>3</v>
      </c>
      <c r="H8" t="s">
        <v>12</v>
      </c>
      <c r="I8" t="s">
        <v>28</v>
      </c>
      <c r="J8" t="s">
        <v>34</v>
      </c>
      <c r="K8">
        <v>3</v>
      </c>
      <c r="L8" t="s">
        <v>41</v>
      </c>
      <c r="M8" t="s">
        <v>42</v>
      </c>
      <c r="N8" t="s">
        <v>29</v>
      </c>
      <c r="O8">
        <v>17</v>
      </c>
      <c r="P8" t="s">
        <v>10</v>
      </c>
      <c r="Q8" s="2">
        <v>45364</v>
      </c>
    </row>
    <row r="9" spans="1:19">
      <c r="A9" t="s">
        <v>43</v>
      </c>
      <c r="B9" s="2">
        <v>45348</v>
      </c>
      <c r="C9">
        <v>2024</v>
      </c>
      <c r="D9">
        <v>2</v>
      </c>
      <c r="E9" t="s">
        <v>25</v>
      </c>
      <c r="F9" t="s">
        <v>40</v>
      </c>
      <c r="G9" t="s">
        <v>32</v>
      </c>
      <c r="H9" t="s">
        <v>44</v>
      </c>
      <c r="I9" t="s">
        <v>45</v>
      </c>
      <c r="J9" t="s">
        <v>6</v>
      </c>
      <c r="K9">
        <v>4</v>
      </c>
      <c r="L9" t="s">
        <v>21</v>
      </c>
      <c r="M9" t="s">
        <v>15</v>
      </c>
      <c r="N9" t="s">
        <v>9</v>
      </c>
      <c r="O9">
        <v>0</v>
      </c>
      <c r="P9" t="s">
        <v>10</v>
      </c>
      <c r="Q9" s="2">
        <v>45370</v>
      </c>
    </row>
    <row r="10" spans="1:19">
      <c r="A10" t="s">
        <v>46</v>
      </c>
      <c r="B10" s="2">
        <v>45345</v>
      </c>
      <c r="C10">
        <v>2024</v>
      </c>
      <c r="D10">
        <v>2</v>
      </c>
      <c r="E10" t="s">
        <v>25</v>
      </c>
      <c r="F10" t="s">
        <v>47</v>
      </c>
      <c r="G10" t="s">
        <v>48</v>
      </c>
      <c r="H10" t="s">
        <v>12</v>
      </c>
      <c r="I10" t="s">
        <v>49</v>
      </c>
      <c r="J10" t="s">
        <v>50</v>
      </c>
      <c r="K10">
        <v>5</v>
      </c>
      <c r="L10" t="s">
        <v>51</v>
      </c>
      <c r="M10" t="s">
        <v>52</v>
      </c>
      <c r="N10" t="s">
        <v>36</v>
      </c>
      <c r="O10">
        <v>0</v>
      </c>
      <c r="P10" t="s">
        <v>10</v>
      </c>
      <c r="Q10" s="2">
        <v>45350</v>
      </c>
    </row>
    <row r="11" spans="1:19">
      <c r="A11" t="s">
        <v>53</v>
      </c>
      <c r="B11" s="2">
        <v>45323</v>
      </c>
      <c r="C11">
        <v>2024</v>
      </c>
      <c r="D11">
        <v>2</v>
      </c>
      <c r="E11" t="s">
        <v>25</v>
      </c>
      <c r="F11" t="s">
        <v>54</v>
      </c>
      <c r="G11" t="s">
        <v>55</v>
      </c>
      <c r="H11" t="s">
        <v>33</v>
      </c>
      <c r="I11" t="s">
        <v>5</v>
      </c>
      <c r="J11" t="s">
        <v>13</v>
      </c>
      <c r="K11">
        <v>1</v>
      </c>
      <c r="L11" t="s">
        <v>56</v>
      </c>
      <c r="M11" t="s">
        <v>15</v>
      </c>
      <c r="N11" t="s">
        <v>16</v>
      </c>
      <c r="O11">
        <v>0</v>
      </c>
      <c r="P11" t="s">
        <v>10</v>
      </c>
      <c r="Q11" s="2">
        <v>45363</v>
      </c>
    </row>
    <row r="12" spans="1:19">
      <c r="A12" t="s">
        <v>57</v>
      </c>
      <c r="B12" s="2">
        <v>45325</v>
      </c>
      <c r="C12">
        <v>2024</v>
      </c>
      <c r="D12">
        <v>2</v>
      </c>
      <c r="E12" t="s">
        <v>25</v>
      </c>
      <c r="F12" t="s">
        <v>19</v>
      </c>
      <c r="G12" t="s">
        <v>3</v>
      </c>
      <c r="H12" t="s">
        <v>12</v>
      </c>
      <c r="I12" t="s">
        <v>49</v>
      </c>
      <c r="J12" t="s">
        <v>13</v>
      </c>
      <c r="K12">
        <v>1</v>
      </c>
      <c r="L12" t="s">
        <v>58</v>
      </c>
      <c r="M12" t="s">
        <v>8</v>
      </c>
      <c r="N12" t="s">
        <v>16</v>
      </c>
      <c r="O12">
        <v>0</v>
      </c>
      <c r="P12" t="s">
        <v>23</v>
      </c>
    </row>
    <row r="13" spans="1:19">
      <c r="A13" t="s">
        <v>59</v>
      </c>
      <c r="B13" s="2">
        <v>45369</v>
      </c>
      <c r="C13">
        <v>2024</v>
      </c>
      <c r="D13">
        <v>3</v>
      </c>
      <c r="E13" t="s">
        <v>60</v>
      </c>
      <c r="F13" t="s">
        <v>47</v>
      </c>
      <c r="G13" t="s">
        <v>61</v>
      </c>
      <c r="H13" t="s">
        <v>4</v>
      </c>
      <c r="I13" t="s">
        <v>62</v>
      </c>
      <c r="J13" t="s">
        <v>34</v>
      </c>
      <c r="K13">
        <v>3</v>
      </c>
      <c r="L13" t="s">
        <v>14</v>
      </c>
      <c r="M13" t="s">
        <v>52</v>
      </c>
      <c r="N13" t="s">
        <v>29</v>
      </c>
      <c r="O13">
        <v>0</v>
      </c>
      <c r="P13" t="s">
        <v>23</v>
      </c>
    </row>
    <row r="14" spans="1:19">
      <c r="A14" t="s">
        <v>63</v>
      </c>
      <c r="B14" s="2">
        <v>45377</v>
      </c>
      <c r="C14">
        <v>2024</v>
      </c>
      <c r="D14">
        <v>3</v>
      </c>
      <c r="E14" t="s">
        <v>60</v>
      </c>
      <c r="F14" t="s">
        <v>47</v>
      </c>
      <c r="G14" t="s">
        <v>64</v>
      </c>
      <c r="H14" t="s">
        <v>33</v>
      </c>
      <c r="I14" t="s">
        <v>65</v>
      </c>
      <c r="J14" t="s">
        <v>34</v>
      </c>
      <c r="K14">
        <v>3</v>
      </c>
      <c r="L14" t="s">
        <v>21</v>
      </c>
      <c r="M14" t="s">
        <v>35</v>
      </c>
      <c r="N14" t="s">
        <v>16</v>
      </c>
      <c r="O14">
        <v>0</v>
      </c>
      <c r="P14" t="s">
        <v>10</v>
      </c>
      <c r="Q14" s="2">
        <v>45414</v>
      </c>
    </row>
    <row r="15" spans="1:19">
      <c r="A15" t="s">
        <v>66</v>
      </c>
      <c r="B15" s="2">
        <v>45368</v>
      </c>
      <c r="C15">
        <v>2024</v>
      </c>
      <c r="D15">
        <v>3</v>
      </c>
      <c r="E15" t="s">
        <v>60</v>
      </c>
      <c r="F15" t="s">
        <v>67</v>
      </c>
      <c r="G15" t="s">
        <v>48</v>
      </c>
      <c r="H15" t="s">
        <v>12</v>
      </c>
      <c r="I15" t="s">
        <v>5</v>
      </c>
      <c r="J15" t="s">
        <v>13</v>
      </c>
      <c r="K15">
        <v>1</v>
      </c>
      <c r="L15" t="s">
        <v>58</v>
      </c>
      <c r="M15" t="s">
        <v>22</v>
      </c>
      <c r="N15" t="s">
        <v>16</v>
      </c>
      <c r="O15">
        <v>0</v>
      </c>
      <c r="P15" t="s">
        <v>10</v>
      </c>
      <c r="Q15" s="2">
        <v>45371</v>
      </c>
    </row>
    <row r="16" spans="1:19">
      <c r="A16" t="s">
        <v>68</v>
      </c>
      <c r="B16" s="2">
        <v>45356</v>
      </c>
      <c r="C16">
        <v>2024</v>
      </c>
      <c r="D16">
        <v>3</v>
      </c>
      <c r="E16" t="s">
        <v>60</v>
      </c>
      <c r="F16" t="s">
        <v>67</v>
      </c>
      <c r="G16" t="s">
        <v>69</v>
      </c>
      <c r="H16" t="s">
        <v>33</v>
      </c>
      <c r="I16" t="s">
        <v>45</v>
      </c>
      <c r="J16" t="s">
        <v>70</v>
      </c>
      <c r="K16">
        <v>2</v>
      </c>
      <c r="L16" t="s">
        <v>71</v>
      </c>
      <c r="M16" t="s">
        <v>15</v>
      </c>
      <c r="N16" t="s">
        <v>36</v>
      </c>
      <c r="O16">
        <v>0</v>
      </c>
      <c r="P16" t="s">
        <v>17</v>
      </c>
    </row>
    <row r="17" spans="1:17">
      <c r="A17" t="s">
        <v>72</v>
      </c>
      <c r="B17" s="2">
        <v>45394</v>
      </c>
      <c r="C17">
        <v>2024</v>
      </c>
      <c r="D17">
        <v>4</v>
      </c>
      <c r="E17" t="s">
        <v>73</v>
      </c>
      <c r="F17" t="s">
        <v>31</v>
      </c>
      <c r="G17" t="s">
        <v>74</v>
      </c>
      <c r="H17" t="s">
        <v>4</v>
      </c>
      <c r="I17" t="s">
        <v>5</v>
      </c>
      <c r="J17" t="s">
        <v>13</v>
      </c>
      <c r="K17">
        <v>1</v>
      </c>
      <c r="L17" t="s">
        <v>51</v>
      </c>
      <c r="M17" t="s">
        <v>42</v>
      </c>
      <c r="N17" t="s">
        <v>29</v>
      </c>
      <c r="O17">
        <v>0</v>
      </c>
      <c r="P17" t="s">
        <v>10</v>
      </c>
      <c r="Q17" s="2">
        <v>45428</v>
      </c>
    </row>
    <row r="18" spans="1:17">
      <c r="A18" t="s">
        <v>75</v>
      </c>
      <c r="B18" s="2">
        <v>45385</v>
      </c>
      <c r="C18">
        <v>2024</v>
      </c>
      <c r="D18">
        <v>4</v>
      </c>
      <c r="E18" t="s">
        <v>73</v>
      </c>
      <c r="F18" t="s">
        <v>31</v>
      </c>
      <c r="G18" t="s">
        <v>69</v>
      </c>
      <c r="H18" t="s">
        <v>12</v>
      </c>
      <c r="I18" t="s">
        <v>62</v>
      </c>
      <c r="J18" t="s">
        <v>34</v>
      </c>
      <c r="K18">
        <v>3</v>
      </c>
      <c r="L18" t="s">
        <v>58</v>
      </c>
      <c r="M18" t="s">
        <v>42</v>
      </c>
      <c r="N18" t="s">
        <v>16</v>
      </c>
      <c r="O18">
        <v>0</v>
      </c>
      <c r="P18" t="s">
        <v>17</v>
      </c>
    </row>
    <row r="19" spans="1:17">
      <c r="A19" t="s">
        <v>76</v>
      </c>
      <c r="B19" s="2">
        <v>45399</v>
      </c>
      <c r="C19">
        <v>2024</v>
      </c>
      <c r="D19">
        <v>4</v>
      </c>
      <c r="E19" t="s">
        <v>73</v>
      </c>
      <c r="F19" t="s">
        <v>38</v>
      </c>
      <c r="G19" t="s">
        <v>61</v>
      </c>
      <c r="H19" t="s">
        <v>12</v>
      </c>
      <c r="I19" t="s">
        <v>5</v>
      </c>
      <c r="J19" t="s">
        <v>6</v>
      </c>
      <c r="K19">
        <v>4</v>
      </c>
      <c r="L19" t="s">
        <v>21</v>
      </c>
      <c r="M19" t="s">
        <v>22</v>
      </c>
      <c r="N19" t="s">
        <v>29</v>
      </c>
      <c r="O19">
        <v>0</v>
      </c>
      <c r="P19" t="s">
        <v>10</v>
      </c>
      <c r="Q19" s="2">
        <v>45422</v>
      </c>
    </row>
    <row r="20" spans="1:17">
      <c r="A20" t="s">
        <v>77</v>
      </c>
      <c r="B20" s="2">
        <v>45407</v>
      </c>
      <c r="C20">
        <v>2024</v>
      </c>
      <c r="D20">
        <v>4</v>
      </c>
      <c r="E20" t="s">
        <v>73</v>
      </c>
      <c r="F20" t="s">
        <v>78</v>
      </c>
      <c r="G20" t="s">
        <v>61</v>
      </c>
      <c r="H20" t="s">
        <v>4</v>
      </c>
      <c r="I20" t="s">
        <v>5</v>
      </c>
      <c r="J20" t="s">
        <v>34</v>
      </c>
      <c r="K20">
        <v>3</v>
      </c>
      <c r="L20" t="s">
        <v>21</v>
      </c>
      <c r="M20" t="s">
        <v>15</v>
      </c>
      <c r="N20" t="s">
        <v>16</v>
      </c>
      <c r="O20">
        <v>0</v>
      </c>
      <c r="P20" t="s">
        <v>10</v>
      </c>
      <c r="Q20" s="2">
        <v>45436</v>
      </c>
    </row>
    <row r="21" spans="1:17">
      <c r="A21" t="s">
        <v>79</v>
      </c>
      <c r="B21" s="2">
        <v>45409</v>
      </c>
      <c r="C21">
        <v>2024</v>
      </c>
      <c r="D21">
        <v>4</v>
      </c>
      <c r="E21" t="s">
        <v>73</v>
      </c>
      <c r="F21" t="s">
        <v>54</v>
      </c>
      <c r="G21" t="s">
        <v>69</v>
      </c>
      <c r="H21" t="s">
        <v>12</v>
      </c>
      <c r="I21" t="s">
        <v>45</v>
      </c>
      <c r="J21" t="s">
        <v>34</v>
      </c>
      <c r="K21">
        <v>3</v>
      </c>
      <c r="L21" t="s">
        <v>21</v>
      </c>
      <c r="M21" t="s">
        <v>52</v>
      </c>
      <c r="N21" t="s">
        <v>36</v>
      </c>
      <c r="O21">
        <v>0</v>
      </c>
      <c r="P21" t="s">
        <v>17</v>
      </c>
    </row>
    <row r="22" spans="1:17">
      <c r="A22" t="s">
        <v>80</v>
      </c>
      <c r="B22" s="2">
        <v>45400</v>
      </c>
      <c r="C22">
        <v>2024</v>
      </c>
      <c r="D22">
        <v>4</v>
      </c>
      <c r="E22" t="s">
        <v>73</v>
      </c>
      <c r="F22" t="s">
        <v>54</v>
      </c>
      <c r="G22" t="s">
        <v>55</v>
      </c>
      <c r="H22" t="s">
        <v>44</v>
      </c>
      <c r="I22" t="s">
        <v>5</v>
      </c>
      <c r="J22" t="s">
        <v>70</v>
      </c>
      <c r="K22">
        <v>2</v>
      </c>
      <c r="L22" t="s">
        <v>56</v>
      </c>
      <c r="M22" t="s">
        <v>15</v>
      </c>
      <c r="N22" t="s">
        <v>9</v>
      </c>
      <c r="O22">
        <v>0</v>
      </c>
      <c r="P22" t="s">
        <v>10</v>
      </c>
      <c r="Q22" s="2">
        <v>45420</v>
      </c>
    </row>
    <row r="23" spans="1:17">
      <c r="A23" t="s">
        <v>81</v>
      </c>
      <c r="B23" s="2">
        <v>45404</v>
      </c>
      <c r="C23">
        <v>2024</v>
      </c>
      <c r="D23">
        <v>4</v>
      </c>
      <c r="E23" t="s">
        <v>73</v>
      </c>
      <c r="F23" t="s">
        <v>38</v>
      </c>
      <c r="G23" t="s">
        <v>20</v>
      </c>
      <c r="H23" t="s">
        <v>4</v>
      </c>
      <c r="I23" t="s">
        <v>45</v>
      </c>
      <c r="J23" t="s">
        <v>34</v>
      </c>
      <c r="K23">
        <v>3</v>
      </c>
      <c r="L23" t="s">
        <v>56</v>
      </c>
      <c r="M23" t="s">
        <v>35</v>
      </c>
      <c r="N23" t="s">
        <v>36</v>
      </c>
      <c r="O23">
        <v>0</v>
      </c>
      <c r="P23" t="s">
        <v>10</v>
      </c>
      <c r="Q23" s="2">
        <v>45413</v>
      </c>
    </row>
    <row r="24" spans="1:17">
      <c r="A24" t="s">
        <v>82</v>
      </c>
      <c r="B24" s="2">
        <v>45413</v>
      </c>
      <c r="C24">
        <v>2024</v>
      </c>
      <c r="D24">
        <v>5</v>
      </c>
      <c r="E24" t="s">
        <v>83</v>
      </c>
      <c r="F24" t="s">
        <v>54</v>
      </c>
      <c r="G24" t="s">
        <v>32</v>
      </c>
      <c r="H24" t="s">
        <v>12</v>
      </c>
      <c r="I24" t="s">
        <v>65</v>
      </c>
      <c r="J24" t="s">
        <v>70</v>
      </c>
      <c r="K24">
        <v>2</v>
      </c>
      <c r="L24" t="s">
        <v>84</v>
      </c>
      <c r="M24" t="s">
        <v>42</v>
      </c>
      <c r="N24" t="s">
        <v>29</v>
      </c>
      <c r="O24">
        <v>0</v>
      </c>
      <c r="P24" t="s">
        <v>23</v>
      </c>
    </row>
    <row r="25" spans="1:17">
      <c r="A25" t="s">
        <v>85</v>
      </c>
      <c r="B25" s="2">
        <v>45440</v>
      </c>
      <c r="C25">
        <v>2024</v>
      </c>
      <c r="D25">
        <v>5</v>
      </c>
      <c r="E25" t="s">
        <v>83</v>
      </c>
      <c r="F25" t="s">
        <v>26</v>
      </c>
      <c r="G25" t="s">
        <v>27</v>
      </c>
      <c r="H25" t="s">
        <v>4</v>
      </c>
      <c r="I25" t="s">
        <v>62</v>
      </c>
      <c r="J25" t="s">
        <v>6</v>
      </c>
      <c r="K25">
        <v>4</v>
      </c>
      <c r="L25" t="s">
        <v>71</v>
      </c>
      <c r="M25" t="s">
        <v>42</v>
      </c>
      <c r="N25" t="s">
        <v>36</v>
      </c>
      <c r="O25">
        <v>0</v>
      </c>
      <c r="P25" t="s">
        <v>10</v>
      </c>
      <c r="Q25" s="2">
        <v>45464</v>
      </c>
    </row>
    <row r="26" spans="1:17">
      <c r="A26" t="s">
        <v>86</v>
      </c>
      <c r="B26" s="2">
        <v>45469</v>
      </c>
      <c r="C26">
        <v>2024</v>
      </c>
      <c r="D26">
        <v>6</v>
      </c>
      <c r="E26" t="s">
        <v>87</v>
      </c>
      <c r="F26" t="s">
        <v>78</v>
      </c>
      <c r="G26" t="s">
        <v>20</v>
      </c>
      <c r="H26" t="s">
        <v>12</v>
      </c>
      <c r="I26" t="s">
        <v>5</v>
      </c>
      <c r="J26" t="s">
        <v>70</v>
      </c>
      <c r="K26">
        <v>2</v>
      </c>
      <c r="L26" t="s">
        <v>71</v>
      </c>
      <c r="M26" t="s">
        <v>52</v>
      </c>
      <c r="N26" t="s">
        <v>16</v>
      </c>
      <c r="O26">
        <v>0</v>
      </c>
      <c r="P26" t="s">
        <v>10</v>
      </c>
      <c r="Q26" s="2">
        <v>45489</v>
      </c>
    </row>
    <row r="27" spans="1:17">
      <c r="A27" t="s">
        <v>88</v>
      </c>
      <c r="B27" s="2">
        <v>45447</v>
      </c>
      <c r="C27">
        <v>2024</v>
      </c>
      <c r="D27">
        <v>6</v>
      </c>
      <c r="E27" t="s">
        <v>87</v>
      </c>
      <c r="F27" t="s">
        <v>40</v>
      </c>
      <c r="G27" t="s">
        <v>69</v>
      </c>
      <c r="H27" t="s">
        <v>4</v>
      </c>
      <c r="I27" t="s">
        <v>45</v>
      </c>
      <c r="J27" t="s">
        <v>13</v>
      </c>
      <c r="K27">
        <v>1</v>
      </c>
      <c r="L27" t="s">
        <v>84</v>
      </c>
      <c r="M27" t="s">
        <v>42</v>
      </c>
      <c r="N27" t="s">
        <v>16</v>
      </c>
      <c r="O27">
        <v>0</v>
      </c>
      <c r="P27" t="s">
        <v>23</v>
      </c>
    </row>
    <row r="28" spans="1:17">
      <c r="A28" t="s">
        <v>89</v>
      </c>
      <c r="B28" s="2">
        <v>45457</v>
      </c>
      <c r="C28">
        <v>2024</v>
      </c>
      <c r="D28">
        <v>6</v>
      </c>
      <c r="E28" t="s">
        <v>87</v>
      </c>
      <c r="F28" t="s">
        <v>2</v>
      </c>
      <c r="G28" t="s">
        <v>32</v>
      </c>
      <c r="H28" t="s">
        <v>33</v>
      </c>
      <c r="I28" t="s">
        <v>28</v>
      </c>
      <c r="J28" t="s">
        <v>34</v>
      </c>
      <c r="K28">
        <v>3</v>
      </c>
      <c r="L28" t="s">
        <v>14</v>
      </c>
      <c r="M28" t="s">
        <v>35</v>
      </c>
      <c r="N28" t="s">
        <v>29</v>
      </c>
      <c r="O28">
        <v>39</v>
      </c>
      <c r="P28" t="s">
        <v>10</v>
      </c>
      <c r="Q28" s="2">
        <v>45497</v>
      </c>
    </row>
    <row r="29" spans="1:17">
      <c r="A29" t="s">
        <v>90</v>
      </c>
      <c r="B29" s="2">
        <v>45467</v>
      </c>
      <c r="C29">
        <v>2024</v>
      </c>
      <c r="D29">
        <v>6</v>
      </c>
      <c r="E29" t="s">
        <v>87</v>
      </c>
      <c r="F29" t="s">
        <v>38</v>
      </c>
      <c r="G29" t="s">
        <v>20</v>
      </c>
      <c r="H29" t="s">
        <v>12</v>
      </c>
      <c r="I29" t="s">
        <v>5</v>
      </c>
      <c r="J29" t="s">
        <v>50</v>
      </c>
      <c r="K29">
        <v>5</v>
      </c>
      <c r="L29" t="s">
        <v>51</v>
      </c>
      <c r="M29" t="s">
        <v>35</v>
      </c>
      <c r="N29" t="s">
        <v>36</v>
      </c>
      <c r="O29">
        <v>0</v>
      </c>
      <c r="P29" t="s">
        <v>10</v>
      </c>
      <c r="Q29" s="2">
        <v>45484</v>
      </c>
    </row>
    <row r="30" spans="1:17">
      <c r="A30" t="s">
        <v>91</v>
      </c>
      <c r="B30" s="2">
        <v>45459</v>
      </c>
      <c r="C30">
        <v>2024</v>
      </c>
      <c r="D30">
        <v>6</v>
      </c>
      <c r="E30" t="s">
        <v>87</v>
      </c>
      <c r="F30" t="s">
        <v>26</v>
      </c>
      <c r="G30" t="s">
        <v>20</v>
      </c>
      <c r="H30" t="s">
        <v>44</v>
      </c>
      <c r="I30" t="s">
        <v>45</v>
      </c>
      <c r="J30" t="s">
        <v>34</v>
      </c>
      <c r="K30">
        <v>3</v>
      </c>
      <c r="L30" t="s">
        <v>21</v>
      </c>
      <c r="M30" t="s">
        <v>8</v>
      </c>
      <c r="N30" t="s">
        <v>29</v>
      </c>
      <c r="O30">
        <v>0</v>
      </c>
      <c r="P30" t="s">
        <v>10</v>
      </c>
      <c r="Q30" s="2">
        <v>45478</v>
      </c>
    </row>
    <row r="31" spans="1:17">
      <c r="A31" t="s">
        <v>92</v>
      </c>
      <c r="B31" s="2">
        <v>45480</v>
      </c>
      <c r="C31">
        <v>2024</v>
      </c>
      <c r="D31">
        <v>7</v>
      </c>
      <c r="E31" t="s">
        <v>93</v>
      </c>
      <c r="F31" t="s">
        <v>19</v>
      </c>
      <c r="G31" t="s">
        <v>94</v>
      </c>
      <c r="H31" t="s">
        <v>4</v>
      </c>
      <c r="I31" t="s">
        <v>5</v>
      </c>
      <c r="J31" t="s">
        <v>6</v>
      </c>
      <c r="K31">
        <v>4</v>
      </c>
      <c r="L31" t="s">
        <v>84</v>
      </c>
      <c r="M31" t="s">
        <v>8</v>
      </c>
      <c r="N31" t="s">
        <v>29</v>
      </c>
      <c r="O31">
        <v>0</v>
      </c>
      <c r="P31" t="s">
        <v>10</v>
      </c>
      <c r="Q31" s="2">
        <v>45515</v>
      </c>
    </row>
    <row r="32" spans="1:17">
      <c r="A32" t="s">
        <v>95</v>
      </c>
      <c r="B32" s="2">
        <v>45495</v>
      </c>
      <c r="C32">
        <v>2024</v>
      </c>
      <c r="D32">
        <v>7</v>
      </c>
      <c r="E32" t="s">
        <v>93</v>
      </c>
      <c r="F32" t="s">
        <v>38</v>
      </c>
      <c r="G32" t="s">
        <v>55</v>
      </c>
      <c r="H32" t="s">
        <v>33</v>
      </c>
      <c r="I32" t="s">
        <v>62</v>
      </c>
      <c r="J32" t="s">
        <v>50</v>
      </c>
      <c r="K32">
        <v>5</v>
      </c>
      <c r="L32" t="s">
        <v>7</v>
      </c>
      <c r="M32" t="s">
        <v>52</v>
      </c>
      <c r="N32" t="s">
        <v>36</v>
      </c>
      <c r="O32">
        <v>0</v>
      </c>
      <c r="P32" t="s">
        <v>10</v>
      </c>
      <c r="Q32" s="2">
        <v>45517</v>
      </c>
    </row>
    <row r="33" spans="1:17">
      <c r="A33" t="s">
        <v>96</v>
      </c>
      <c r="B33" s="2">
        <v>45485</v>
      </c>
      <c r="C33">
        <v>2024</v>
      </c>
      <c r="D33">
        <v>7</v>
      </c>
      <c r="E33" t="s">
        <v>93</v>
      </c>
      <c r="F33" t="s">
        <v>2</v>
      </c>
      <c r="G33" t="s">
        <v>32</v>
      </c>
      <c r="H33" t="s">
        <v>12</v>
      </c>
      <c r="I33" t="s">
        <v>45</v>
      </c>
      <c r="J33" t="s">
        <v>34</v>
      </c>
      <c r="K33">
        <v>3</v>
      </c>
      <c r="L33" t="s">
        <v>7</v>
      </c>
      <c r="M33" t="s">
        <v>52</v>
      </c>
      <c r="N33" t="s">
        <v>29</v>
      </c>
      <c r="O33">
        <v>0</v>
      </c>
      <c r="P33" t="s">
        <v>23</v>
      </c>
    </row>
    <row r="34" spans="1:17">
      <c r="A34" t="s">
        <v>97</v>
      </c>
      <c r="B34" s="2">
        <v>45474</v>
      </c>
      <c r="C34">
        <v>2024</v>
      </c>
      <c r="D34">
        <v>7</v>
      </c>
      <c r="E34" t="s">
        <v>93</v>
      </c>
      <c r="F34" t="s">
        <v>19</v>
      </c>
      <c r="G34" t="s">
        <v>74</v>
      </c>
      <c r="H34" t="s">
        <v>4</v>
      </c>
      <c r="I34" t="s">
        <v>28</v>
      </c>
      <c r="J34" t="s">
        <v>50</v>
      </c>
      <c r="K34">
        <v>5</v>
      </c>
      <c r="L34" t="s">
        <v>7</v>
      </c>
      <c r="M34" t="s">
        <v>22</v>
      </c>
      <c r="N34" t="s">
        <v>36</v>
      </c>
      <c r="O34">
        <v>16</v>
      </c>
      <c r="P34" t="s">
        <v>10</v>
      </c>
      <c r="Q34" s="2">
        <v>45490</v>
      </c>
    </row>
    <row r="35" spans="1:17">
      <c r="A35" t="s">
        <v>98</v>
      </c>
      <c r="B35" s="2">
        <v>45491</v>
      </c>
      <c r="C35">
        <v>2024</v>
      </c>
      <c r="D35">
        <v>7</v>
      </c>
      <c r="E35" t="s">
        <v>93</v>
      </c>
      <c r="F35" t="s">
        <v>67</v>
      </c>
      <c r="G35" t="s">
        <v>20</v>
      </c>
      <c r="H35" t="s">
        <v>44</v>
      </c>
      <c r="I35" t="s">
        <v>99</v>
      </c>
      <c r="J35" t="s">
        <v>6</v>
      </c>
      <c r="K35">
        <v>4</v>
      </c>
      <c r="L35" t="s">
        <v>7</v>
      </c>
      <c r="M35" t="s">
        <v>52</v>
      </c>
      <c r="N35" t="s">
        <v>16</v>
      </c>
      <c r="O35">
        <v>3</v>
      </c>
      <c r="P35" t="s">
        <v>10</v>
      </c>
      <c r="Q35" s="2">
        <v>45514</v>
      </c>
    </row>
    <row r="36" spans="1:17">
      <c r="A36" t="s">
        <v>100</v>
      </c>
      <c r="B36" s="2">
        <v>45528</v>
      </c>
      <c r="C36">
        <v>2024</v>
      </c>
      <c r="D36">
        <v>8</v>
      </c>
      <c r="E36" t="s">
        <v>101</v>
      </c>
      <c r="F36" t="s">
        <v>78</v>
      </c>
      <c r="G36" t="s">
        <v>27</v>
      </c>
      <c r="H36" t="s">
        <v>33</v>
      </c>
      <c r="I36" t="s">
        <v>45</v>
      </c>
      <c r="J36" t="s">
        <v>70</v>
      </c>
      <c r="K36">
        <v>2</v>
      </c>
      <c r="L36" t="s">
        <v>58</v>
      </c>
      <c r="M36" t="s">
        <v>35</v>
      </c>
      <c r="N36" t="s">
        <v>16</v>
      </c>
      <c r="O36">
        <v>0</v>
      </c>
      <c r="P36" t="s">
        <v>23</v>
      </c>
    </row>
    <row r="37" spans="1:17">
      <c r="A37" t="s">
        <v>102</v>
      </c>
      <c r="B37" s="2">
        <v>45527</v>
      </c>
      <c r="C37">
        <v>2024</v>
      </c>
      <c r="D37">
        <v>8</v>
      </c>
      <c r="E37" t="s">
        <v>101</v>
      </c>
      <c r="F37" t="s">
        <v>47</v>
      </c>
      <c r="G37" t="s">
        <v>32</v>
      </c>
      <c r="H37" t="s">
        <v>33</v>
      </c>
      <c r="I37" t="s">
        <v>5</v>
      </c>
      <c r="J37" t="s">
        <v>50</v>
      </c>
      <c r="K37">
        <v>5</v>
      </c>
      <c r="L37" t="s">
        <v>21</v>
      </c>
      <c r="M37" t="s">
        <v>42</v>
      </c>
      <c r="N37" t="s">
        <v>16</v>
      </c>
      <c r="O37">
        <v>0</v>
      </c>
      <c r="P37" t="s">
        <v>10</v>
      </c>
      <c r="Q37" s="2">
        <v>45559</v>
      </c>
    </row>
    <row r="38" spans="1:17">
      <c r="A38" t="s">
        <v>103</v>
      </c>
      <c r="B38" s="2">
        <v>45520</v>
      </c>
      <c r="C38">
        <v>2024</v>
      </c>
      <c r="D38">
        <v>8</v>
      </c>
      <c r="E38" t="s">
        <v>101</v>
      </c>
      <c r="F38" t="s">
        <v>54</v>
      </c>
      <c r="G38" t="s">
        <v>38</v>
      </c>
      <c r="H38" t="s">
        <v>12</v>
      </c>
      <c r="I38" t="s">
        <v>5</v>
      </c>
      <c r="J38" t="s">
        <v>50</v>
      </c>
      <c r="K38">
        <v>5</v>
      </c>
      <c r="L38" t="s">
        <v>7</v>
      </c>
      <c r="M38" t="s">
        <v>8</v>
      </c>
      <c r="N38" t="s">
        <v>29</v>
      </c>
      <c r="O38">
        <v>0</v>
      </c>
      <c r="P38" t="s">
        <v>10</v>
      </c>
      <c r="Q38" s="2">
        <v>45524</v>
      </c>
    </row>
    <row r="39" spans="1:17">
      <c r="A39" t="s">
        <v>104</v>
      </c>
      <c r="B39" s="2">
        <v>45540</v>
      </c>
      <c r="C39">
        <v>2024</v>
      </c>
      <c r="D39">
        <v>9</v>
      </c>
      <c r="E39" t="s">
        <v>105</v>
      </c>
      <c r="F39" t="s">
        <v>38</v>
      </c>
      <c r="G39" t="s">
        <v>27</v>
      </c>
      <c r="H39" t="s">
        <v>33</v>
      </c>
      <c r="I39" t="s">
        <v>5</v>
      </c>
      <c r="J39" t="s">
        <v>34</v>
      </c>
      <c r="K39">
        <v>3</v>
      </c>
      <c r="L39" t="s">
        <v>71</v>
      </c>
      <c r="M39" t="s">
        <v>35</v>
      </c>
      <c r="N39" t="s">
        <v>36</v>
      </c>
      <c r="O39">
        <v>0</v>
      </c>
      <c r="P39" t="s">
        <v>10</v>
      </c>
      <c r="Q39" s="2">
        <v>45545</v>
      </c>
    </row>
    <row r="40" spans="1:17">
      <c r="A40" t="s">
        <v>106</v>
      </c>
      <c r="B40" s="2">
        <v>45541</v>
      </c>
      <c r="C40">
        <v>2024</v>
      </c>
      <c r="D40">
        <v>9</v>
      </c>
      <c r="E40" t="s">
        <v>105</v>
      </c>
      <c r="F40" t="s">
        <v>19</v>
      </c>
      <c r="G40" t="s">
        <v>20</v>
      </c>
      <c r="H40" t="s">
        <v>44</v>
      </c>
      <c r="I40" t="s">
        <v>5</v>
      </c>
      <c r="J40" t="s">
        <v>13</v>
      </c>
      <c r="K40">
        <v>1</v>
      </c>
      <c r="L40" t="s">
        <v>107</v>
      </c>
      <c r="M40" t="s">
        <v>22</v>
      </c>
      <c r="N40" t="s">
        <v>16</v>
      </c>
      <c r="O40">
        <v>0</v>
      </c>
      <c r="P40" t="s">
        <v>10</v>
      </c>
      <c r="Q40" s="2">
        <v>45549</v>
      </c>
    </row>
    <row r="41" spans="1:17">
      <c r="A41" t="s">
        <v>108</v>
      </c>
      <c r="B41" s="2">
        <v>45542</v>
      </c>
      <c r="C41">
        <v>2024</v>
      </c>
      <c r="D41">
        <v>9</v>
      </c>
      <c r="E41" t="s">
        <v>105</v>
      </c>
      <c r="F41" t="s">
        <v>19</v>
      </c>
      <c r="G41" t="s">
        <v>64</v>
      </c>
      <c r="H41" t="s">
        <v>44</v>
      </c>
      <c r="I41" t="s">
        <v>5</v>
      </c>
      <c r="J41" t="s">
        <v>6</v>
      </c>
      <c r="K41">
        <v>4</v>
      </c>
      <c r="L41" t="s">
        <v>41</v>
      </c>
      <c r="M41" t="s">
        <v>35</v>
      </c>
      <c r="N41" t="s">
        <v>16</v>
      </c>
      <c r="O41">
        <v>0</v>
      </c>
      <c r="P41" t="s">
        <v>10</v>
      </c>
      <c r="Q41" s="2">
        <v>45579</v>
      </c>
    </row>
    <row r="42" spans="1:17">
      <c r="A42" t="s">
        <v>109</v>
      </c>
      <c r="B42" s="2">
        <v>45553</v>
      </c>
      <c r="C42">
        <v>2024</v>
      </c>
      <c r="D42">
        <v>9</v>
      </c>
      <c r="E42" t="s">
        <v>105</v>
      </c>
      <c r="F42" t="s">
        <v>40</v>
      </c>
      <c r="G42" t="s">
        <v>64</v>
      </c>
      <c r="H42" t="s">
        <v>4</v>
      </c>
      <c r="I42" t="s">
        <v>49</v>
      </c>
      <c r="J42" t="s">
        <v>6</v>
      </c>
      <c r="K42">
        <v>4</v>
      </c>
      <c r="L42" t="s">
        <v>71</v>
      </c>
      <c r="M42" t="s">
        <v>8</v>
      </c>
      <c r="N42" t="s">
        <v>36</v>
      </c>
      <c r="O42">
        <v>0</v>
      </c>
      <c r="P42" t="s">
        <v>10</v>
      </c>
      <c r="Q42" s="2">
        <v>45561</v>
      </c>
    </row>
    <row r="43" spans="1:17">
      <c r="A43" t="s">
        <v>110</v>
      </c>
      <c r="B43" s="2">
        <v>45539</v>
      </c>
      <c r="C43">
        <v>2024</v>
      </c>
      <c r="D43">
        <v>9</v>
      </c>
      <c r="E43" t="s">
        <v>105</v>
      </c>
      <c r="F43" t="s">
        <v>19</v>
      </c>
      <c r="G43" t="s">
        <v>38</v>
      </c>
      <c r="H43" t="s">
        <v>44</v>
      </c>
      <c r="I43" t="s">
        <v>28</v>
      </c>
      <c r="J43" t="s">
        <v>50</v>
      </c>
      <c r="K43">
        <v>5</v>
      </c>
      <c r="L43" t="s">
        <v>14</v>
      </c>
      <c r="M43" t="s">
        <v>52</v>
      </c>
      <c r="N43" t="s">
        <v>16</v>
      </c>
      <c r="O43">
        <v>13</v>
      </c>
      <c r="P43" t="s">
        <v>23</v>
      </c>
    </row>
    <row r="44" spans="1:17">
      <c r="A44" t="s">
        <v>111</v>
      </c>
      <c r="B44" s="2">
        <v>45559</v>
      </c>
      <c r="C44">
        <v>2024</v>
      </c>
      <c r="D44">
        <v>9</v>
      </c>
      <c r="E44" t="s">
        <v>105</v>
      </c>
      <c r="F44" t="s">
        <v>38</v>
      </c>
      <c r="G44" t="s">
        <v>74</v>
      </c>
      <c r="H44" t="s">
        <v>44</v>
      </c>
      <c r="I44" t="s">
        <v>28</v>
      </c>
      <c r="J44" t="s">
        <v>34</v>
      </c>
      <c r="K44">
        <v>3</v>
      </c>
      <c r="L44" t="s">
        <v>58</v>
      </c>
      <c r="M44" t="s">
        <v>35</v>
      </c>
      <c r="N44" t="s">
        <v>29</v>
      </c>
      <c r="O44">
        <v>21</v>
      </c>
      <c r="P44" t="s">
        <v>10</v>
      </c>
      <c r="Q44" s="2">
        <v>45562</v>
      </c>
    </row>
    <row r="45" spans="1:17">
      <c r="A45" t="s">
        <v>112</v>
      </c>
      <c r="B45" s="2">
        <v>45583</v>
      </c>
      <c r="C45">
        <v>2024</v>
      </c>
      <c r="D45">
        <v>10</v>
      </c>
      <c r="E45" t="s">
        <v>113</v>
      </c>
      <c r="F45" t="s">
        <v>67</v>
      </c>
      <c r="G45" t="s">
        <v>69</v>
      </c>
      <c r="H45" t="s">
        <v>44</v>
      </c>
      <c r="I45" t="s">
        <v>5</v>
      </c>
      <c r="J45" t="s">
        <v>70</v>
      </c>
      <c r="K45">
        <v>2</v>
      </c>
      <c r="L45" t="s">
        <v>84</v>
      </c>
      <c r="M45" t="s">
        <v>42</v>
      </c>
      <c r="N45" t="s">
        <v>9</v>
      </c>
      <c r="O45">
        <v>0</v>
      </c>
      <c r="P45" t="s">
        <v>23</v>
      </c>
    </row>
    <row r="46" spans="1:17">
      <c r="A46" t="s">
        <v>114</v>
      </c>
      <c r="B46" s="2">
        <v>45576</v>
      </c>
      <c r="C46">
        <v>2024</v>
      </c>
      <c r="D46">
        <v>10</v>
      </c>
      <c r="E46" t="s">
        <v>113</v>
      </c>
      <c r="F46" t="s">
        <v>38</v>
      </c>
      <c r="G46" t="s">
        <v>69</v>
      </c>
      <c r="H46" t="s">
        <v>12</v>
      </c>
      <c r="I46" t="s">
        <v>65</v>
      </c>
      <c r="J46" t="s">
        <v>50</v>
      </c>
      <c r="K46">
        <v>5</v>
      </c>
      <c r="L46" t="s">
        <v>7</v>
      </c>
      <c r="M46" t="s">
        <v>52</v>
      </c>
      <c r="N46" t="s">
        <v>9</v>
      </c>
      <c r="O46">
        <v>0</v>
      </c>
      <c r="P46" t="s">
        <v>10</v>
      </c>
      <c r="Q46" s="2">
        <v>45584</v>
      </c>
    </row>
    <row r="47" spans="1:17">
      <c r="A47" t="s">
        <v>115</v>
      </c>
      <c r="B47" s="2">
        <v>45568</v>
      </c>
      <c r="C47">
        <v>2024</v>
      </c>
      <c r="D47">
        <v>10</v>
      </c>
      <c r="E47" t="s">
        <v>113</v>
      </c>
      <c r="F47" t="s">
        <v>2</v>
      </c>
      <c r="G47" t="s">
        <v>69</v>
      </c>
      <c r="H47" t="s">
        <v>33</v>
      </c>
      <c r="I47" t="s">
        <v>99</v>
      </c>
      <c r="J47" t="s">
        <v>34</v>
      </c>
      <c r="K47">
        <v>3</v>
      </c>
      <c r="L47" t="s">
        <v>56</v>
      </c>
      <c r="M47" t="s">
        <v>42</v>
      </c>
      <c r="N47" t="s">
        <v>29</v>
      </c>
      <c r="O47">
        <v>1</v>
      </c>
      <c r="P47" t="s">
        <v>10</v>
      </c>
      <c r="Q47" s="2">
        <v>45575</v>
      </c>
    </row>
    <row r="48" spans="1:17">
      <c r="A48" t="s">
        <v>116</v>
      </c>
      <c r="B48" s="2">
        <v>45601</v>
      </c>
      <c r="C48">
        <v>2024</v>
      </c>
      <c r="D48">
        <v>11</v>
      </c>
      <c r="E48" t="s">
        <v>117</v>
      </c>
      <c r="F48" t="s">
        <v>26</v>
      </c>
      <c r="G48" t="s">
        <v>48</v>
      </c>
      <c r="H48" t="s">
        <v>44</v>
      </c>
      <c r="I48" t="s">
        <v>45</v>
      </c>
      <c r="J48" t="s">
        <v>13</v>
      </c>
      <c r="K48">
        <v>1</v>
      </c>
      <c r="L48" t="s">
        <v>71</v>
      </c>
      <c r="M48" t="s">
        <v>22</v>
      </c>
      <c r="N48" t="s">
        <v>36</v>
      </c>
      <c r="O48">
        <v>0</v>
      </c>
      <c r="P48" t="s">
        <v>10</v>
      </c>
      <c r="Q48" s="2">
        <v>45612</v>
      </c>
    </row>
    <row r="49" spans="1:17">
      <c r="A49" t="s">
        <v>118</v>
      </c>
      <c r="B49" s="2">
        <v>45620</v>
      </c>
      <c r="C49">
        <v>2024</v>
      </c>
      <c r="D49">
        <v>11</v>
      </c>
      <c r="E49" t="s">
        <v>117</v>
      </c>
      <c r="F49" t="s">
        <v>31</v>
      </c>
      <c r="G49" t="s">
        <v>64</v>
      </c>
      <c r="H49" t="s">
        <v>12</v>
      </c>
      <c r="I49" t="s">
        <v>5</v>
      </c>
      <c r="J49" t="s">
        <v>13</v>
      </c>
      <c r="K49">
        <v>1</v>
      </c>
      <c r="L49" t="s">
        <v>21</v>
      </c>
      <c r="M49" t="s">
        <v>35</v>
      </c>
      <c r="N49" t="s">
        <v>29</v>
      </c>
      <c r="O49">
        <v>0</v>
      </c>
      <c r="P49" t="s">
        <v>10</v>
      </c>
      <c r="Q49" s="2">
        <v>45656</v>
      </c>
    </row>
    <row r="50" spans="1:17">
      <c r="A50" t="s">
        <v>119</v>
      </c>
      <c r="B50" s="2">
        <v>45619</v>
      </c>
      <c r="C50">
        <v>2024</v>
      </c>
      <c r="D50">
        <v>11</v>
      </c>
      <c r="E50" t="s">
        <v>117</v>
      </c>
      <c r="F50" t="s">
        <v>40</v>
      </c>
      <c r="G50" t="s">
        <v>74</v>
      </c>
      <c r="H50" t="s">
        <v>12</v>
      </c>
      <c r="I50" t="s">
        <v>5</v>
      </c>
      <c r="J50" t="s">
        <v>6</v>
      </c>
      <c r="K50">
        <v>4</v>
      </c>
      <c r="L50" t="s">
        <v>56</v>
      </c>
      <c r="M50" t="s">
        <v>8</v>
      </c>
      <c r="N50" t="s">
        <v>29</v>
      </c>
      <c r="O50">
        <v>0</v>
      </c>
      <c r="P50" t="s">
        <v>23</v>
      </c>
    </row>
    <row r="51" spans="1:17">
      <c r="A51" t="s">
        <v>120</v>
      </c>
      <c r="B51" s="2">
        <v>45611</v>
      </c>
      <c r="C51">
        <v>2024</v>
      </c>
      <c r="D51">
        <v>11</v>
      </c>
      <c r="E51" t="s">
        <v>117</v>
      </c>
      <c r="F51" t="s">
        <v>31</v>
      </c>
      <c r="G51" t="s">
        <v>55</v>
      </c>
      <c r="H51" t="s">
        <v>44</v>
      </c>
      <c r="I51" t="s">
        <v>5</v>
      </c>
      <c r="J51" t="s">
        <v>70</v>
      </c>
      <c r="K51">
        <v>2</v>
      </c>
      <c r="L51" t="s">
        <v>84</v>
      </c>
      <c r="M51" t="s">
        <v>15</v>
      </c>
      <c r="N51" t="s">
        <v>29</v>
      </c>
      <c r="O51">
        <v>0</v>
      </c>
      <c r="P51" t="s">
        <v>23</v>
      </c>
    </row>
    <row r="52" spans="1:17">
      <c r="A52" t="s">
        <v>121</v>
      </c>
      <c r="B52" s="2">
        <v>45603</v>
      </c>
      <c r="C52">
        <v>2024</v>
      </c>
      <c r="D52">
        <v>11</v>
      </c>
      <c r="E52" t="s">
        <v>117</v>
      </c>
      <c r="F52" t="s">
        <v>2</v>
      </c>
      <c r="G52" t="s">
        <v>69</v>
      </c>
      <c r="H52" t="s">
        <v>4</v>
      </c>
      <c r="I52" t="s">
        <v>45</v>
      </c>
      <c r="J52" t="s">
        <v>6</v>
      </c>
      <c r="K52">
        <v>4</v>
      </c>
      <c r="L52" t="s">
        <v>58</v>
      </c>
      <c r="M52" t="s">
        <v>22</v>
      </c>
      <c r="N52" t="s">
        <v>36</v>
      </c>
      <c r="O52">
        <v>0</v>
      </c>
      <c r="P52" t="s">
        <v>10</v>
      </c>
      <c r="Q52" s="2">
        <v>45608</v>
      </c>
    </row>
    <row r="53" spans="1:17">
      <c r="A53" t="s">
        <v>122</v>
      </c>
      <c r="B53" s="2">
        <v>45624</v>
      </c>
      <c r="C53">
        <v>2024</v>
      </c>
      <c r="D53">
        <v>11</v>
      </c>
      <c r="E53" t="s">
        <v>117</v>
      </c>
      <c r="F53" t="s">
        <v>67</v>
      </c>
      <c r="G53" t="s">
        <v>55</v>
      </c>
      <c r="H53" t="s">
        <v>4</v>
      </c>
      <c r="I53" t="s">
        <v>5</v>
      </c>
      <c r="J53" t="s">
        <v>6</v>
      </c>
      <c r="K53">
        <v>4</v>
      </c>
      <c r="L53" t="s">
        <v>7</v>
      </c>
      <c r="M53" t="s">
        <v>8</v>
      </c>
      <c r="N53" t="s">
        <v>36</v>
      </c>
      <c r="O53">
        <v>0</v>
      </c>
      <c r="P53" t="s">
        <v>10</v>
      </c>
      <c r="Q53" s="2">
        <v>45628</v>
      </c>
    </row>
    <row r="54" spans="1:17">
      <c r="A54" t="s">
        <v>123</v>
      </c>
      <c r="B54" s="2">
        <v>45632</v>
      </c>
      <c r="C54">
        <v>2024</v>
      </c>
      <c r="D54">
        <v>12</v>
      </c>
      <c r="E54" t="s">
        <v>124</v>
      </c>
      <c r="F54" t="s">
        <v>31</v>
      </c>
      <c r="G54" t="s">
        <v>61</v>
      </c>
      <c r="H54" t="s">
        <v>44</v>
      </c>
      <c r="I54" t="s">
        <v>45</v>
      </c>
      <c r="J54" t="s">
        <v>50</v>
      </c>
      <c r="K54">
        <v>5</v>
      </c>
      <c r="L54" t="s">
        <v>14</v>
      </c>
      <c r="M54" t="s">
        <v>22</v>
      </c>
      <c r="N54" t="s">
        <v>16</v>
      </c>
      <c r="O54">
        <v>0</v>
      </c>
      <c r="P54" t="s">
        <v>10</v>
      </c>
      <c r="Q54" s="2">
        <v>45642</v>
      </c>
    </row>
    <row r="55" spans="1:17">
      <c r="A55" t="s">
        <v>125</v>
      </c>
      <c r="B55" s="2">
        <v>45643</v>
      </c>
      <c r="C55">
        <v>2024</v>
      </c>
      <c r="D55">
        <v>12</v>
      </c>
      <c r="E55" t="s">
        <v>124</v>
      </c>
      <c r="F55" t="s">
        <v>67</v>
      </c>
      <c r="G55" t="s">
        <v>48</v>
      </c>
      <c r="H55" t="s">
        <v>12</v>
      </c>
      <c r="I55" t="s">
        <v>5</v>
      </c>
      <c r="J55" t="s">
        <v>70</v>
      </c>
      <c r="K55">
        <v>2</v>
      </c>
      <c r="L55" t="s">
        <v>21</v>
      </c>
      <c r="M55" t="s">
        <v>8</v>
      </c>
      <c r="N55" t="s">
        <v>16</v>
      </c>
      <c r="O55">
        <v>0</v>
      </c>
      <c r="P55" t="s">
        <v>23</v>
      </c>
    </row>
    <row r="56" spans="1:17">
      <c r="A56" t="s">
        <v>126</v>
      </c>
      <c r="B56" s="2">
        <v>45641</v>
      </c>
      <c r="C56">
        <v>2024</v>
      </c>
      <c r="D56">
        <v>12</v>
      </c>
      <c r="E56" t="s">
        <v>124</v>
      </c>
      <c r="F56" t="s">
        <v>67</v>
      </c>
      <c r="G56" t="s">
        <v>64</v>
      </c>
      <c r="H56" t="s">
        <v>44</v>
      </c>
      <c r="I56" t="s">
        <v>28</v>
      </c>
      <c r="J56" t="s">
        <v>50</v>
      </c>
      <c r="K56">
        <v>5</v>
      </c>
      <c r="L56" t="s">
        <v>7</v>
      </c>
      <c r="M56" t="s">
        <v>42</v>
      </c>
      <c r="N56" t="s">
        <v>9</v>
      </c>
      <c r="O56">
        <v>10</v>
      </c>
      <c r="P56" t="s">
        <v>10</v>
      </c>
      <c r="Q56" s="2">
        <v>45646</v>
      </c>
    </row>
    <row r="57" spans="1:17">
      <c r="A57" t="s">
        <v>127</v>
      </c>
      <c r="B57" s="2">
        <v>45667</v>
      </c>
      <c r="C57">
        <v>2025</v>
      </c>
      <c r="D57">
        <v>1</v>
      </c>
      <c r="E57" t="s">
        <v>1</v>
      </c>
      <c r="F57" t="s">
        <v>31</v>
      </c>
      <c r="G57" t="s">
        <v>94</v>
      </c>
      <c r="H57" t="s">
        <v>4</v>
      </c>
      <c r="I57" t="s">
        <v>28</v>
      </c>
      <c r="J57" t="s">
        <v>6</v>
      </c>
      <c r="K57">
        <v>4</v>
      </c>
      <c r="L57" t="s">
        <v>14</v>
      </c>
      <c r="M57" t="s">
        <v>35</v>
      </c>
      <c r="N57" t="s">
        <v>9</v>
      </c>
      <c r="O57">
        <v>6</v>
      </c>
      <c r="P57" t="s">
        <v>17</v>
      </c>
    </row>
    <row r="58" spans="1:17">
      <c r="A58" t="s">
        <v>128</v>
      </c>
      <c r="B58" s="2">
        <v>45660</v>
      </c>
      <c r="C58">
        <v>2025</v>
      </c>
      <c r="D58">
        <v>1</v>
      </c>
      <c r="E58" t="s">
        <v>1</v>
      </c>
      <c r="F58" t="s">
        <v>47</v>
      </c>
      <c r="G58" t="s">
        <v>74</v>
      </c>
      <c r="H58" t="s">
        <v>4</v>
      </c>
      <c r="I58" t="s">
        <v>45</v>
      </c>
      <c r="J58" t="s">
        <v>34</v>
      </c>
      <c r="K58">
        <v>3</v>
      </c>
      <c r="L58" t="s">
        <v>41</v>
      </c>
      <c r="M58" t="s">
        <v>8</v>
      </c>
      <c r="N58" t="s">
        <v>36</v>
      </c>
      <c r="O58">
        <v>0</v>
      </c>
      <c r="P58" t="s">
        <v>10</v>
      </c>
      <c r="Q58" s="2">
        <v>45697</v>
      </c>
    </row>
    <row r="59" spans="1:17">
      <c r="A59" t="s">
        <v>129</v>
      </c>
      <c r="B59" s="2">
        <v>45672</v>
      </c>
      <c r="C59">
        <v>2025</v>
      </c>
      <c r="D59">
        <v>1</v>
      </c>
      <c r="E59" t="s">
        <v>1</v>
      </c>
      <c r="F59" t="s">
        <v>26</v>
      </c>
      <c r="G59" t="s">
        <v>27</v>
      </c>
      <c r="H59" t="s">
        <v>44</v>
      </c>
      <c r="I59" t="s">
        <v>5</v>
      </c>
      <c r="J59" t="s">
        <v>6</v>
      </c>
      <c r="K59">
        <v>4</v>
      </c>
      <c r="L59" t="s">
        <v>56</v>
      </c>
      <c r="M59" t="s">
        <v>52</v>
      </c>
      <c r="N59" t="s">
        <v>9</v>
      </c>
      <c r="O59">
        <v>0</v>
      </c>
      <c r="P59" t="s">
        <v>17</v>
      </c>
    </row>
    <row r="60" spans="1:17">
      <c r="A60" t="s">
        <v>130</v>
      </c>
      <c r="B60" s="2">
        <v>45696</v>
      </c>
      <c r="C60">
        <v>2025</v>
      </c>
      <c r="D60">
        <v>2</v>
      </c>
      <c r="E60" t="s">
        <v>25</v>
      </c>
      <c r="F60" t="s">
        <v>40</v>
      </c>
      <c r="G60" t="s">
        <v>74</v>
      </c>
      <c r="H60" t="s">
        <v>12</v>
      </c>
      <c r="I60" t="s">
        <v>28</v>
      </c>
      <c r="J60" t="s">
        <v>34</v>
      </c>
      <c r="K60">
        <v>3</v>
      </c>
      <c r="L60" t="s">
        <v>56</v>
      </c>
      <c r="M60" t="s">
        <v>35</v>
      </c>
      <c r="N60" t="s">
        <v>16</v>
      </c>
      <c r="O60">
        <v>13</v>
      </c>
      <c r="P60" t="s">
        <v>23</v>
      </c>
    </row>
    <row r="61" spans="1:17">
      <c r="A61" t="s">
        <v>131</v>
      </c>
      <c r="B61" s="2">
        <v>45700</v>
      </c>
      <c r="C61">
        <v>2025</v>
      </c>
      <c r="D61">
        <v>2</v>
      </c>
      <c r="E61" t="s">
        <v>25</v>
      </c>
      <c r="F61" t="s">
        <v>47</v>
      </c>
      <c r="G61" t="s">
        <v>55</v>
      </c>
      <c r="H61" t="s">
        <v>4</v>
      </c>
      <c r="I61" t="s">
        <v>45</v>
      </c>
      <c r="J61" t="s">
        <v>13</v>
      </c>
      <c r="K61">
        <v>1</v>
      </c>
      <c r="L61" t="s">
        <v>41</v>
      </c>
      <c r="M61" t="s">
        <v>42</v>
      </c>
      <c r="N61" t="s">
        <v>16</v>
      </c>
      <c r="O61">
        <v>0</v>
      </c>
      <c r="P61" t="s">
        <v>17</v>
      </c>
    </row>
    <row r="62" spans="1:17">
      <c r="A62" t="s">
        <v>132</v>
      </c>
      <c r="B62" s="2">
        <v>45704</v>
      </c>
      <c r="C62">
        <v>2025</v>
      </c>
      <c r="D62">
        <v>2</v>
      </c>
      <c r="E62" t="s">
        <v>25</v>
      </c>
      <c r="F62" t="s">
        <v>26</v>
      </c>
      <c r="G62" t="s">
        <v>61</v>
      </c>
      <c r="H62" t="s">
        <v>33</v>
      </c>
      <c r="I62" t="s">
        <v>28</v>
      </c>
      <c r="J62" t="s">
        <v>34</v>
      </c>
      <c r="K62">
        <v>3</v>
      </c>
      <c r="L62" t="s">
        <v>41</v>
      </c>
      <c r="M62" t="s">
        <v>42</v>
      </c>
      <c r="N62" t="s">
        <v>29</v>
      </c>
      <c r="O62">
        <v>14</v>
      </c>
      <c r="P62" t="s">
        <v>10</v>
      </c>
      <c r="Q62" s="2">
        <v>45715</v>
      </c>
    </row>
    <row r="63" spans="1:17">
      <c r="A63" t="s">
        <v>133</v>
      </c>
      <c r="B63" s="2">
        <v>45700</v>
      </c>
      <c r="C63">
        <v>2025</v>
      </c>
      <c r="D63">
        <v>2</v>
      </c>
      <c r="E63" t="s">
        <v>25</v>
      </c>
      <c r="F63" t="s">
        <v>78</v>
      </c>
      <c r="G63" t="s">
        <v>27</v>
      </c>
      <c r="H63" t="s">
        <v>12</v>
      </c>
      <c r="I63" t="s">
        <v>28</v>
      </c>
      <c r="J63" t="s">
        <v>34</v>
      </c>
      <c r="K63">
        <v>3</v>
      </c>
      <c r="L63" t="s">
        <v>107</v>
      </c>
      <c r="M63" t="s">
        <v>8</v>
      </c>
      <c r="N63" t="s">
        <v>29</v>
      </c>
      <c r="O63">
        <v>35</v>
      </c>
      <c r="P63" t="s">
        <v>17</v>
      </c>
    </row>
    <row r="64" spans="1:17">
      <c r="A64" t="s">
        <v>134</v>
      </c>
      <c r="B64" s="2">
        <v>45708</v>
      </c>
      <c r="C64">
        <v>2025</v>
      </c>
      <c r="D64">
        <v>2</v>
      </c>
      <c r="E64" t="s">
        <v>25</v>
      </c>
      <c r="F64" t="s">
        <v>47</v>
      </c>
      <c r="G64" t="s">
        <v>94</v>
      </c>
      <c r="H64" t="s">
        <v>33</v>
      </c>
      <c r="I64" t="s">
        <v>62</v>
      </c>
      <c r="J64" t="s">
        <v>34</v>
      </c>
      <c r="K64">
        <v>3</v>
      </c>
      <c r="L64" t="s">
        <v>14</v>
      </c>
      <c r="M64" t="s">
        <v>35</v>
      </c>
      <c r="N64" t="s">
        <v>16</v>
      </c>
      <c r="O64">
        <v>0</v>
      </c>
      <c r="P64" t="s">
        <v>10</v>
      </c>
      <c r="Q64" s="2">
        <v>45747</v>
      </c>
    </row>
    <row r="65" spans="1:17">
      <c r="A65" t="s">
        <v>135</v>
      </c>
      <c r="B65" s="2">
        <v>45738</v>
      </c>
      <c r="C65">
        <v>2025</v>
      </c>
      <c r="D65">
        <v>3</v>
      </c>
      <c r="E65" t="s">
        <v>60</v>
      </c>
      <c r="F65" t="s">
        <v>78</v>
      </c>
      <c r="G65" t="s">
        <v>74</v>
      </c>
      <c r="H65" t="s">
        <v>44</v>
      </c>
      <c r="I65" t="s">
        <v>45</v>
      </c>
      <c r="J65" t="s">
        <v>70</v>
      </c>
      <c r="K65">
        <v>2</v>
      </c>
      <c r="L65" t="s">
        <v>71</v>
      </c>
      <c r="M65" t="s">
        <v>8</v>
      </c>
      <c r="N65" t="s">
        <v>16</v>
      </c>
      <c r="O65">
        <v>0</v>
      </c>
      <c r="P65" t="s">
        <v>10</v>
      </c>
      <c r="Q65" s="2">
        <v>45751</v>
      </c>
    </row>
    <row r="66" spans="1:17">
      <c r="A66" t="s">
        <v>136</v>
      </c>
      <c r="B66" s="2">
        <v>45726</v>
      </c>
      <c r="C66">
        <v>2025</v>
      </c>
      <c r="D66">
        <v>3</v>
      </c>
      <c r="E66" t="s">
        <v>60</v>
      </c>
      <c r="F66" t="s">
        <v>54</v>
      </c>
      <c r="G66" t="s">
        <v>27</v>
      </c>
      <c r="H66" t="s">
        <v>44</v>
      </c>
      <c r="I66" t="s">
        <v>5</v>
      </c>
      <c r="J66" t="s">
        <v>50</v>
      </c>
      <c r="K66">
        <v>5</v>
      </c>
      <c r="L66" t="s">
        <v>84</v>
      </c>
      <c r="M66" t="s">
        <v>35</v>
      </c>
      <c r="N66" t="s">
        <v>16</v>
      </c>
      <c r="O66">
        <v>0</v>
      </c>
      <c r="P66" t="s">
        <v>23</v>
      </c>
    </row>
    <row r="67" spans="1:17">
      <c r="A67" t="s">
        <v>137</v>
      </c>
      <c r="B67" s="2">
        <v>45731</v>
      </c>
      <c r="C67">
        <v>2025</v>
      </c>
      <c r="D67">
        <v>3</v>
      </c>
      <c r="E67" t="s">
        <v>60</v>
      </c>
      <c r="F67" t="s">
        <v>40</v>
      </c>
      <c r="G67" t="s">
        <v>3</v>
      </c>
      <c r="H67" t="s">
        <v>44</v>
      </c>
      <c r="I67" t="s">
        <v>5</v>
      </c>
      <c r="J67" t="s">
        <v>13</v>
      </c>
      <c r="K67">
        <v>1</v>
      </c>
      <c r="L67" t="s">
        <v>71</v>
      </c>
      <c r="M67" t="s">
        <v>15</v>
      </c>
      <c r="N67" t="s">
        <v>36</v>
      </c>
      <c r="O67">
        <v>0</v>
      </c>
      <c r="P67" t="s">
        <v>10</v>
      </c>
      <c r="Q67" s="2">
        <v>45740</v>
      </c>
    </row>
    <row r="68" spans="1:17">
      <c r="A68" t="s">
        <v>138</v>
      </c>
      <c r="B68" s="2">
        <v>45740</v>
      </c>
      <c r="C68">
        <v>2025</v>
      </c>
      <c r="D68">
        <v>3</v>
      </c>
      <c r="E68" t="s">
        <v>60</v>
      </c>
      <c r="F68" t="s">
        <v>54</v>
      </c>
      <c r="G68" t="s">
        <v>69</v>
      </c>
      <c r="H68" t="s">
        <v>44</v>
      </c>
      <c r="I68" t="s">
        <v>45</v>
      </c>
      <c r="J68" t="s">
        <v>6</v>
      </c>
      <c r="K68">
        <v>4</v>
      </c>
      <c r="L68" t="s">
        <v>41</v>
      </c>
      <c r="M68" t="s">
        <v>35</v>
      </c>
      <c r="N68" t="s">
        <v>36</v>
      </c>
      <c r="O68">
        <v>0</v>
      </c>
      <c r="P68" t="s">
        <v>10</v>
      </c>
      <c r="Q68" s="2">
        <v>45762</v>
      </c>
    </row>
    <row r="69" spans="1:17">
      <c r="A69" t="s">
        <v>139</v>
      </c>
      <c r="B69" s="2">
        <v>45734</v>
      </c>
      <c r="C69">
        <v>2025</v>
      </c>
      <c r="D69">
        <v>3</v>
      </c>
      <c r="E69" t="s">
        <v>60</v>
      </c>
      <c r="F69" t="s">
        <v>40</v>
      </c>
      <c r="G69" t="s">
        <v>64</v>
      </c>
      <c r="H69" t="s">
        <v>12</v>
      </c>
      <c r="I69" t="s">
        <v>99</v>
      </c>
      <c r="J69" t="s">
        <v>13</v>
      </c>
      <c r="K69">
        <v>1</v>
      </c>
      <c r="L69" t="s">
        <v>56</v>
      </c>
      <c r="M69" t="s">
        <v>22</v>
      </c>
      <c r="N69" t="s">
        <v>36</v>
      </c>
      <c r="O69">
        <v>10</v>
      </c>
      <c r="P69" t="s">
        <v>17</v>
      </c>
    </row>
    <row r="70" spans="1:17">
      <c r="A70" t="s">
        <v>140</v>
      </c>
      <c r="B70" s="2">
        <v>45752</v>
      </c>
      <c r="C70">
        <v>2025</v>
      </c>
      <c r="D70">
        <v>4</v>
      </c>
      <c r="E70" t="s">
        <v>73</v>
      </c>
      <c r="F70" t="s">
        <v>19</v>
      </c>
      <c r="G70" t="s">
        <v>38</v>
      </c>
      <c r="H70" t="s">
        <v>12</v>
      </c>
      <c r="I70" t="s">
        <v>99</v>
      </c>
      <c r="J70" t="s">
        <v>70</v>
      </c>
      <c r="K70">
        <v>2</v>
      </c>
      <c r="L70" t="s">
        <v>7</v>
      </c>
      <c r="M70" t="s">
        <v>52</v>
      </c>
      <c r="N70" t="s">
        <v>29</v>
      </c>
      <c r="O70">
        <v>7</v>
      </c>
      <c r="P70" t="s">
        <v>10</v>
      </c>
      <c r="Q70" s="2">
        <v>45789</v>
      </c>
    </row>
    <row r="71" spans="1:17">
      <c r="A71" t="s">
        <v>141</v>
      </c>
      <c r="B71" s="2">
        <v>45755</v>
      </c>
      <c r="C71">
        <v>2025</v>
      </c>
      <c r="D71">
        <v>4</v>
      </c>
      <c r="E71" t="s">
        <v>73</v>
      </c>
      <c r="F71" t="s">
        <v>54</v>
      </c>
      <c r="G71" t="s">
        <v>27</v>
      </c>
      <c r="H71" t="s">
        <v>4</v>
      </c>
      <c r="I71" t="s">
        <v>28</v>
      </c>
      <c r="J71" t="s">
        <v>34</v>
      </c>
      <c r="K71">
        <v>3</v>
      </c>
      <c r="L71" t="s">
        <v>58</v>
      </c>
      <c r="M71" t="s">
        <v>22</v>
      </c>
      <c r="N71" t="s">
        <v>29</v>
      </c>
      <c r="O71">
        <v>31</v>
      </c>
      <c r="P71" t="s">
        <v>23</v>
      </c>
    </row>
    <row r="72" spans="1:17">
      <c r="A72" t="s">
        <v>142</v>
      </c>
      <c r="B72" s="2">
        <v>45760</v>
      </c>
      <c r="C72">
        <v>2025</v>
      </c>
      <c r="D72">
        <v>4</v>
      </c>
      <c r="E72" t="s">
        <v>73</v>
      </c>
      <c r="F72" t="s">
        <v>78</v>
      </c>
      <c r="G72" t="s">
        <v>94</v>
      </c>
      <c r="H72" t="s">
        <v>33</v>
      </c>
      <c r="I72" t="s">
        <v>28</v>
      </c>
      <c r="J72" t="s">
        <v>34</v>
      </c>
      <c r="K72">
        <v>3</v>
      </c>
      <c r="L72" t="s">
        <v>84</v>
      </c>
      <c r="M72" t="s">
        <v>52</v>
      </c>
      <c r="N72" t="s">
        <v>36</v>
      </c>
      <c r="O72">
        <v>31</v>
      </c>
      <c r="P72" t="s">
        <v>10</v>
      </c>
      <c r="Q72" s="2">
        <v>45766</v>
      </c>
    </row>
    <row r="73" spans="1:17">
      <c r="A73" t="s">
        <v>143</v>
      </c>
      <c r="B73" s="2">
        <v>45785</v>
      </c>
      <c r="C73">
        <v>2025</v>
      </c>
      <c r="D73">
        <v>5</v>
      </c>
      <c r="E73" t="s">
        <v>83</v>
      </c>
      <c r="F73" t="s">
        <v>2</v>
      </c>
      <c r="G73" t="s">
        <v>94</v>
      </c>
      <c r="H73" t="s">
        <v>12</v>
      </c>
      <c r="I73" t="s">
        <v>5</v>
      </c>
      <c r="J73" t="s">
        <v>6</v>
      </c>
      <c r="K73">
        <v>4</v>
      </c>
      <c r="L73" t="s">
        <v>51</v>
      </c>
      <c r="M73" t="s">
        <v>15</v>
      </c>
      <c r="N73" t="s">
        <v>16</v>
      </c>
      <c r="O73">
        <v>0</v>
      </c>
      <c r="P73" t="s">
        <v>10</v>
      </c>
      <c r="Q73" s="2">
        <v>45822</v>
      </c>
    </row>
    <row r="74" spans="1:17">
      <c r="A74" t="s">
        <v>144</v>
      </c>
      <c r="B74" s="2">
        <v>45791</v>
      </c>
      <c r="C74">
        <v>2025</v>
      </c>
      <c r="D74">
        <v>5</v>
      </c>
      <c r="E74" t="s">
        <v>83</v>
      </c>
      <c r="F74" t="s">
        <v>40</v>
      </c>
      <c r="G74" t="s">
        <v>74</v>
      </c>
      <c r="H74" t="s">
        <v>44</v>
      </c>
      <c r="I74" t="s">
        <v>5</v>
      </c>
      <c r="J74" t="s">
        <v>50</v>
      </c>
      <c r="K74">
        <v>5</v>
      </c>
      <c r="L74" t="s">
        <v>51</v>
      </c>
      <c r="M74" t="s">
        <v>42</v>
      </c>
      <c r="N74" t="s">
        <v>9</v>
      </c>
      <c r="O74">
        <v>0</v>
      </c>
      <c r="P74" t="s">
        <v>10</v>
      </c>
      <c r="Q74" s="2">
        <v>45817</v>
      </c>
    </row>
    <row r="75" spans="1:17">
      <c r="A75" t="s">
        <v>145</v>
      </c>
      <c r="B75" s="2">
        <v>45783</v>
      </c>
      <c r="C75">
        <v>2025</v>
      </c>
      <c r="D75">
        <v>5</v>
      </c>
      <c r="E75" t="s">
        <v>83</v>
      </c>
      <c r="F75" t="s">
        <v>38</v>
      </c>
      <c r="G75" t="s">
        <v>32</v>
      </c>
      <c r="H75" t="s">
        <v>44</v>
      </c>
      <c r="I75" t="s">
        <v>5</v>
      </c>
      <c r="J75" t="s">
        <v>70</v>
      </c>
      <c r="K75">
        <v>2</v>
      </c>
      <c r="L75" t="s">
        <v>7</v>
      </c>
      <c r="M75" t="s">
        <v>22</v>
      </c>
      <c r="N75" t="s">
        <v>36</v>
      </c>
      <c r="O75">
        <v>0</v>
      </c>
      <c r="P75" t="s">
        <v>10</v>
      </c>
      <c r="Q75" s="2">
        <v>45811</v>
      </c>
    </row>
    <row r="76" spans="1:17">
      <c r="A76" t="s">
        <v>146</v>
      </c>
      <c r="B76" s="2">
        <v>45781</v>
      </c>
      <c r="C76">
        <v>2025</v>
      </c>
      <c r="D76">
        <v>5</v>
      </c>
      <c r="E76" t="s">
        <v>83</v>
      </c>
      <c r="F76" t="s">
        <v>19</v>
      </c>
      <c r="G76" t="s">
        <v>48</v>
      </c>
      <c r="H76" t="s">
        <v>44</v>
      </c>
      <c r="I76" t="s">
        <v>5</v>
      </c>
      <c r="J76" t="s">
        <v>13</v>
      </c>
      <c r="K76">
        <v>1</v>
      </c>
      <c r="L76" t="s">
        <v>84</v>
      </c>
      <c r="M76" t="s">
        <v>35</v>
      </c>
      <c r="N76" t="s">
        <v>9</v>
      </c>
      <c r="O76">
        <v>0</v>
      </c>
      <c r="P76" t="s">
        <v>17</v>
      </c>
    </row>
    <row r="77" spans="1:17">
      <c r="A77" t="s">
        <v>147</v>
      </c>
      <c r="B77" s="2">
        <v>45787</v>
      </c>
      <c r="C77">
        <v>2025</v>
      </c>
      <c r="D77">
        <v>5</v>
      </c>
      <c r="E77" t="s">
        <v>83</v>
      </c>
      <c r="F77" t="s">
        <v>31</v>
      </c>
      <c r="G77" t="s">
        <v>3</v>
      </c>
      <c r="H77" t="s">
        <v>4</v>
      </c>
      <c r="I77" t="s">
        <v>5</v>
      </c>
      <c r="J77" t="s">
        <v>34</v>
      </c>
      <c r="K77">
        <v>3</v>
      </c>
      <c r="L77" t="s">
        <v>41</v>
      </c>
      <c r="M77" t="s">
        <v>42</v>
      </c>
      <c r="N77" t="s">
        <v>29</v>
      </c>
      <c r="O77">
        <v>0</v>
      </c>
      <c r="P77" t="s">
        <v>10</v>
      </c>
      <c r="Q77" s="2">
        <v>45796</v>
      </c>
    </row>
    <row r="78" spans="1:17">
      <c r="A78" t="s">
        <v>148</v>
      </c>
      <c r="B78" s="2">
        <v>45804</v>
      </c>
      <c r="C78">
        <v>2025</v>
      </c>
      <c r="D78">
        <v>5</v>
      </c>
      <c r="E78" t="s">
        <v>83</v>
      </c>
      <c r="F78" t="s">
        <v>38</v>
      </c>
      <c r="G78" t="s">
        <v>3</v>
      </c>
      <c r="H78" t="s">
        <v>4</v>
      </c>
      <c r="I78" t="s">
        <v>5</v>
      </c>
      <c r="J78" t="s">
        <v>13</v>
      </c>
      <c r="K78">
        <v>1</v>
      </c>
      <c r="L78" t="s">
        <v>71</v>
      </c>
      <c r="M78" t="s">
        <v>8</v>
      </c>
      <c r="N78" t="s">
        <v>36</v>
      </c>
      <c r="O78">
        <v>0</v>
      </c>
      <c r="P78" t="s">
        <v>10</v>
      </c>
      <c r="Q78" s="2">
        <v>45842</v>
      </c>
    </row>
    <row r="79" spans="1:17">
      <c r="A79" t="s">
        <v>149</v>
      </c>
      <c r="B79" s="2">
        <v>45836</v>
      </c>
      <c r="C79">
        <v>2025</v>
      </c>
      <c r="D79">
        <v>6</v>
      </c>
      <c r="E79" t="s">
        <v>87</v>
      </c>
      <c r="F79" t="s">
        <v>19</v>
      </c>
      <c r="G79" t="s">
        <v>32</v>
      </c>
      <c r="H79" t="s">
        <v>33</v>
      </c>
      <c r="I79" t="s">
        <v>5</v>
      </c>
      <c r="J79" t="s">
        <v>6</v>
      </c>
      <c r="K79">
        <v>4</v>
      </c>
      <c r="L79" t="s">
        <v>14</v>
      </c>
      <c r="M79" t="s">
        <v>42</v>
      </c>
      <c r="N79" t="s">
        <v>29</v>
      </c>
      <c r="O79">
        <v>0</v>
      </c>
      <c r="P79" t="s">
        <v>10</v>
      </c>
      <c r="Q79" s="2">
        <v>45874</v>
      </c>
    </row>
    <row r="80" spans="1:17">
      <c r="A80" t="s">
        <v>150</v>
      </c>
      <c r="B80" s="2">
        <v>45823</v>
      </c>
      <c r="C80">
        <v>2025</v>
      </c>
      <c r="D80">
        <v>6</v>
      </c>
      <c r="E80" t="s">
        <v>87</v>
      </c>
      <c r="F80" t="s">
        <v>38</v>
      </c>
      <c r="G80" t="s">
        <v>3</v>
      </c>
      <c r="H80" t="s">
        <v>33</v>
      </c>
      <c r="I80" t="s">
        <v>45</v>
      </c>
      <c r="J80" t="s">
        <v>13</v>
      </c>
      <c r="K80">
        <v>1</v>
      </c>
      <c r="L80" t="s">
        <v>14</v>
      </c>
      <c r="M80" t="s">
        <v>15</v>
      </c>
      <c r="N80" t="s">
        <v>16</v>
      </c>
      <c r="O80">
        <v>0</v>
      </c>
      <c r="P80" t="s">
        <v>10</v>
      </c>
      <c r="Q80" s="2">
        <v>45854</v>
      </c>
    </row>
    <row r="81" spans="1:17">
      <c r="A81" t="s">
        <v>151</v>
      </c>
      <c r="B81" s="2">
        <v>45817</v>
      </c>
      <c r="C81">
        <v>2025</v>
      </c>
      <c r="D81">
        <v>6</v>
      </c>
      <c r="E81" t="s">
        <v>87</v>
      </c>
      <c r="F81" t="s">
        <v>40</v>
      </c>
      <c r="G81" t="s">
        <v>61</v>
      </c>
      <c r="H81" t="s">
        <v>33</v>
      </c>
      <c r="I81" t="s">
        <v>45</v>
      </c>
      <c r="J81" t="s">
        <v>13</v>
      </c>
      <c r="K81">
        <v>1</v>
      </c>
      <c r="L81" t="s">
        <v>51</v>
      </c>
      <c r="M81" t="s">
        <v>22</v>
      </c>
      <c r="N81" t="s">
        <v>9</v>
      </c>
      <c r="O81">
        <v>0</v>
      </c>
      <c r="P81" t="s">
        <v>10</v>
      </c>
      <c r="Q81" s="2">
        <v>45853</v>
      </c>
    </row>
    <row r="82" spans="1:17">
      <c r="A82" t="s">
        <v>152</v>
      </c>
      <c r="B82" s="2">
        <v>45847</v>
      </c>
      <c r="C82">
        <v>2025</v>
      </c>
      <c r="D82">
        <v>7</v>
      </c>
      <c r="E82" t="s">
        <v>93</v>
      </c>
      <c r="F82" t="s">
        <v>31</v>
      </c>
      <c r="G82" t="s">
        <v>64</v>
      </c>
      <c r="H82" t="s">
        <v>4</v>
      </c>
      <c r="I82" t="s">
        <v>45</v>
      </c>
      <c r="J82" t="s">
        <v>34</v>
      </c>
      <c r="K82">
        <v>3</v>
      </c>
      <c r="L82" t="s">
        <v>51</v>
      </c>
      <c r="M82" t="s">
        <v>8</v>
      </c>
      <c r="N82" t="s">
        <v>29</v>
      </c>
      <c r="O82">
        <v>0</v>
      </c>
      <c r="P82" t="s">
        <v>10</v>
      </c>
      <c r="Q82" s="2">
        <v>45877</v>
      </c>
    </row>
    <row r="83" spans="1:17">
      <c r="A83" t="s">
        <v>153</v>
      </c>
      <c r="B83" s="2">
        <v>45857</v>
      </c>
      <c r="C83">
        <v>2025</v>
      </c>
      <c r="D83">
        <v>7</v>
      </c>
      <c r="E83" t="s">
        <v>93</v>
      </c>
      <c r="F83" t="s">
        <v>67</v>
      </c>
      <c r="G83" t="s">
        <v>61</v>
      </c>
      <c r="H83" t="s">
        <v>12</v>
      </c>
      <c r="I83" t="s">
        <v>62</v>
      </c>
      <c r="J83" t="s">
        <v>13</v>
      </c>
      <c r="K83">
        <v>1</v>
      </c>
      <c r="L83" t="s">
        <v>107</v>
      </c>
      <c r="M83" t="s">
        <v>42</v>
      </c>
      <c r="N83" t="s">
        <v>16</v>
      </c>
      <c r="O83">
        <v>0</v>
      </c>
      <c r="P83" t="s">
        <v>10</v>
      </c>
      <c r="Q83" s="2">
        <v>45876</v>
      </c>
    </row>
    <row r="84" spans="1:17">
      <c r="A84" t="s">
        <v>154</v>
      </c>
      <c r="B84" s="2">
        <v>45840</v>
      </c>
      <c r="C84">
        <v>2025</v>
      </c>
      <c r="D84">
        <v>7</v>
      </c>
      <c r="E84" t="s">
        <v>93</v>
      </c>
      <c r="F84" t="s">
        <v>2</v>
      </c>
      <c r="G84" t="s">
        <v>69</v>
      </c>
      <c r="H84" t="s">
        <v>12</v>
      </c>
      <c r="I84" t="s">
        <v>45</v>
      </c>
      <c r="J84" t="s">
        <v>34</v>
      </c>
      <c r="K84">
        <v>3</v>
      </c>
      <c r="L84" t="s">
        <v>56</v>
      </c>
      <c r="M84" t="s">
        <v>42</v>
      </c>
      <c r="N84" t="s">
        <v>36</v>
      </c>
      <c r="O84">
        <v>0</v>
      </c>
      <c r="P84" t="s">
        <v>10</v>
      </c>
      <c r="Q84" s="2">
        <v>45859</v>
      </c>
    </row>
    <row r="85" spans="1:17">
      <c r="A85" t="s">
        <v>155</v>
      </c>
      <c r="B85" s="2">
        <v>45875</v>
      </c>
      <c r="C85">
        <v>2025</v>
      </c>
      <c r="D85">
        <v>8</v>
      </c>
      <c r="E85" t="s">
        <v>101</v>
      </c>
      <c r="F85" t="s">
        <v>54</v>
      </c>
      <c r="G85" t="s">
        <v>94</v>
      </c>
      <c r="H85" t="s">
        <v>12</v>
      </c>
      <c r="I85" t="s">
        <v>28</v>
      </c>
      <c r="J85" t="s">
        <v>50</v>
      </c>
      <c r="K85">
        <v>5</v>
      </c>
      <c r="L85" t="s">
        <v>71</v>
      </c>
      <c r="M85" t="s">
        <v>52</v>
      </c>
      <c r="N85" t="s">
        <v>16</v>
      </c>
      <c r="O85">
        <v>31</v>
      </c>
      <c r="P85" t="s">
        <v>10</v>
      </c>
      <c r="Q85" s="2">
        <v>45911</v>
      </c>
    </row>
    <row r="86" spans="1:17">
      <c r="A86" t="s">
        <v>156</v>
      </c>
      <c r="B86" s="2">
        <v>45889</v>
      </c>
      <c r="C86">
        <v>2025</v>
      </c>
      <c r="D86">
        <v>8</v>
      </c>
      <c r="E86" t="s">
        <v>101</v>
      </c>
      <c r="F86" t="s">
        <v>31</v>
      </c>
      <c r="G86" t="s">
        <v>20</v>
      </c>
      <c r="H86" t="s">
        <v>12</v>
      </c>
      <c r="I86" t="s">
        <v>5</v>
      </c>
      <c r="J86" t="s">
        <v>70</v>
      </c>
      <c r="K86">
        <v>2</v>
      </c>
      <c r="L86" t="s">
        <v>56</v>
      </c>
      <c r="M86" t="s">
        <v>42</v>
      </c>
      <c r="N86" t="s">
        <v>29</v>
      </c>
      <c r="O86">
        <v>0</v>
      </c>
      <c r="P86" t="s">
        <v>10</v>
      </c>
      <c r="Q86" s="2">
        <v>45912</v>
      </c>
    </row>
    <row r="87" spans="1:17">
      <c r="A87" t="s">
        <v>157</v>
      </c>
      <c r="B87" s="2">
        <v>45882</v>
      </c>
      <c r="C87">
        <v>2025</v>
      </c>
      <c r="D87">
        <v>8</v>
      </c>
      <c r="E87" t="s">
        <v>101</v>
      </c>
      <c r="F87" t="s">
        <v>19</v>
      </c>
      <c r="G87" t="s">
        <v>20</v>
      </c>
      <c r="H87" t="s">
        <v>44</v>
      </c>
      <c r="I87" t="s">
        <v>45</v>
      </c>
      <c r="J87" t="s">
        <v>50</v>
      </c>
      <c r="K87">
        <v>5</v>
      </c>
      <c r="L87" t="s">
        <v>84</v>
      </c>
      <c r="M87" t="s">
        <v>35</v>
      </c>
      <c r="N87" t="s">
        <v>29</v>
      </c>
      <c r="O87">
        <v>0</v>
      </c>
      <c r="P87" t="s">
        <v>10</v>
      </c>
      <c r="Q87" s="2">
        <v>45908</v>
      </c>
    </row>
    <row r="88" spans="1:17">
      <c r="A88" t="s">
        <v>158</v>
      </c>
      <c r="B88" s="2">
        <v>45913</v>
      </c>
      <c r="C88">
        <v>2025</v>
      </c>
      <c r="D88">
        <v>9</v>
      </c>
      <c r="E88" t="s">
        <v>105</v>
      </c>
      <c r="F88" t="s">
        <v>38</v>
      </c>
      <c r="G88" t="s">
        <v>27</v>
      </c>
      <c r="H88" t="s">
        <v>12</v>
      </c>
      <c r="I88" t="s">
        <v>5</v>
      </c>
      <c r="J88" t="s">
        <v>34</v>
      </c>
      <c r="K88">
        <v>3</v>
      </c>
      <c r="L88" t="s">
        <v>56</v>
      </c>
      <c r="M88" t="s">
        <v>15</v>
      </c>
      <c r="N88" t="s">
        <v>9</v>
      </c>
      <c r="O88">
        <v>0</v>
      </c>
      <c r="P88" t="s">
        <v>10</v>
      </c>
      <c r="Q88" s="2">
        <v>45932</v>
      </c>
    </row>
    <row r="89" spans="1:17">
      <c r="A89" t="s">
        <v>159</v>
      </c>
      <c r="B89" s="2">
        <v>45918</v>
      </c>
      <c r="C89">
        <v>2025</v>
      </c>
      <c r="D89">
        <v>9</v>
      </c>
      <c r="E89" t="s">
        <v>105</v>
      </c>
      <c r="F89" t="s">
        <v>31</v>
      </c>
      <c r="G89" t="s">
        <v>3</v>
      </c>
      <c r="H89" t="s">
        <v>44</v>
      </c>
      <c r="I89" t="s">
        <v>45</v>
      </c>
      <c r="J89" t="s">
        <v>34</v>
      </c>
      <c r="K89">
        <v>3</v>
      </c>
      <c r="L89" t="s">
        <v>58</v>
      </c>
      <c r="M89" t="s">
        <v>15</v>
      </c>
      <c r="N89" t="s">
        <v>36</v>
      </c>
      <c r="O89">
        <v>0</v>
      </c>
      <c r="P89" t="s">
        <v>10</v>
      </c>
      <c r="Q89" s="2">
        <v>45924</v>
      </c>
    </row>
    <row r="90" spans="1:17">
      <c r="A90" t="s">
        <v>160</v>
      </c>
      <c r="B90" s="2">
        <v>45901</v>
      </c>
      <c r="C90">
        <v>2025</v>
      </c>
      <c r="D90">
        <v>9</v>
      </c>
      <c r="E90" t="s">
        <v>105</v>
      </c>
      <c r="F90" t="s">
        <v>26</v>
      </c>
      <c r="G90" t="s">
        <v>48</v>
      </c>
      <c r="H90" t="s">
        <v>4</v>
      </c>
      <c r="I90" t="s">
        <v>62</v>
      </c>
      <c r="J90" t="s">
        <v>34</v>
      </c>
      <c r="K90">
        <v>3</v>
      </c>
      <c r="L90" t="s">
        <v>21</v>
      </c>
      <c r="M90" t="s">
        <v>8</v>
      </c>
      <c r="N90" t="s">
        <v>36</v>
      </c>
      <c r="O90">
        <v>0</v>
      </c>
      <c r="P90" t="s">
        <v>23</v>
      </c>
    </row>
    <row r="91" spans="1:17">
      <c r="A91" t="s">
        <v>161</v>
      </c>
      <c r="B91" s="2">
        <v>45952</v>
      </c>
      <c r="C91">
        <v>2025</v>
      </c>
      <c r="D91">
        <v>10</v>
      </c>
      <c r="E91" t="s">
        <v>113</v>
      </c>
      <c r="F91" t="s">
        <v>78</v>
      </c>
      <c r="G91" t="s">
        <v>27</v>
      </c>
      <c r="H91" t="s">
        <v>12</v>
      </c>
      <c r="I91" t="s">
        <v>45</v>
      </c>
      <c r="J91" t="s">
        <v>13</v>
      </c>
      <c r="K91">
        <v>1</v>
      </c>
      <c r="L91" t="s">
        <v>21</v>
      </c>
      <c r="M91" t="s">
        <v>8</v>
      </c>
      <c r="N91" t="s">
        <v>29</v>
      </c>
      <c r="O91">
        <v>0</v>
      </c>
      <c r="P91" t="s">
        <v>10</v>
      </c>
      <c r="Q91" s="2">
        <v>45988</v>
      </c>
    </row>
    <row r="92" spans="1:17">
      <c r="A92" t="s">
        <v>162</v>
      </c>
      <c r="B92" s="2">
        <v>45934</v>
      </c>
      <c r="C92">
        <v>2025</v>
      </c>
      <c r="D92">
        <v>10</v>
      </c>
      <c r="E92" t="s">
        <v>113</v>
      </c>
      <c r="F92" t="s">
        <v>78</v>
      </c>
      <c r="G92" t="s">
        <v>64</v>
      </c>
      <c r="H92" t="s">
        <v>44</v>
      </c>
      <c r="I92" t="s">
        <v>5</v>
      </c>
      <c r="J92" t="s">
        <v>13</v>
      </c>
      <c r="K92">
        <v>1</v>
      </c>
      <c r="L92" t="s">
        <v>14</v>
      </c>
      <c r="M92" t="s">
        <v>22</v>
      </c>
      <c r="N92" t="s">
        <v>29</v>
      </c>
      <c r="O92">
        <v>0</v>
      </c>
      <c r="P92" t="s">
        <v>10</v>
      </c>
      <c r="Q92" s="2">
        <v>45941</v>
      </c>
    </row>
    <row r="93" spans="1:17">
      <c r="A93" t="s">
        <v>163</v>
      </c>
      <c r="B93" s="2">
        <v>45954</v>
      </c>
      <c r="C93">
        <v>2025</v>
      </c>
      <c r="D93">
        <v>10</v>
      </c>
      <c r="E93" t="s">
        <v>113</v>
      </c>
      <c r="F93" t="s">
        <v>54</v>
      </c>
      <c r="G93" t="s">
        <v>61</v>
      </c>
      <c r="H93" t="s">
        <v>12</v>
      </c>
      <c r="I93" t="s">
        <v>49</v>
      </c>
      <c r="J93" t="s">
        <v>50</v>
      </c>
      <c r="K93">
        <v>5</v>
      </c>
      <c r="L93" t="s">
        <v>7</v>
      </c>
      <c r="M93" t="s">
        <v>42</v>
      </c>
      <c r="N93" t="s">
        <v>29</v>
      </c>
      <c r="O93">
        <v>0</v>
      </c>
      <c r="P93" t="s">
        <v>17</v>
      </c>
    </row>
    <row r="94" spans="1:17">
      <c r="A94" t="s">
        <v>164</v>
      </c>
      <c r="B94" s="2">
        <v>45944</v>
      </c>
      <c r="C94">
        <v>2025</v>
      </c>
      <c r="D94">
        <v>10</v>
      </c>
      <c r="E94" t="s">
        <v>113</v>
      </c>
      <c r="F94" t="s">
        <v>2</v>
      </c>
      <c r="G94" t="s">
        <v>32</v>
      </c>
      <c r="H94" t="s">
        <v>44</v>
      </c>
      <c r="I94" t="s">
        <v>5</v>
      </c>
      <c r="J94" t="s">
        <v>13</v>
      </c>
      <c r="K94">
        <v>1</v>
      </c>
      <c r="L94" t="s">
        <v>14</v>
      </c>
      <c r="M94" t="s">
        <v>8</v>
      </c>
      <c r="N94" t="s">
        <v>29</v>
      </c>
      <c r="O94">
        <v>0</v>
      </c>
      <c r="P94" t="s">
        <v>10</v>
      </c>
      <c r="Q94" s="2">
        <v>45964</v>
      </c>
    </row>
    <row r="95" spans="1:17">
      <c r="A95" t="s">
        <v>165</v>
      </c>
      <c r="B95" s="2">
        <v>45957</v>
      </c>
      <c r="C95">
        <v>2025</v>
      </c>
      <c r="D95">
        <v>10</v>
      </c>
      <c r="E95" t="s">
        <v>113</v>
      </c>
      <c r="F95" t="s">
        <v>26</v>
      </c>
      <c r="G95" t="s">
        <v>94</v>
      </c>
      <c r="H95" t="s">
        <v>33</v>
      </c>
      <c r="I95" t="s">
        <v>49</v>
      </c>
      <c r="J95" t="s">
        <v>6</v>
      </c>
      <c r="K95">
        <v>4</v>
      </c>
      <c r="L95" t="s">
        <v>21</v>
      </c>
      <c r="M95" t="s">
        <v>15</v>
      </c>
      <c r="N95" t="s">
        <v>16</v>
      </c>
      <c r="O95">
        <v>0</v>
      </c>
      <c r="P95" t="s">
        <v>10</v>
      </c>
      <c r="Q95" s="2">
        <v>45969</v>
      </c>
    </row>
    <row r="96" spans="1:17">
      <c r="A96" t="s">
        <v>166</v>
      </c>
      <c r="B96" s="2">
        <v>45978</v>
      </c>
      <c r="C96">
        <v>2025</v>
      </c>
      <c r="D96">
        <v>11</v>
      </c>
      <c r="E96" t="s">
        <v>117</v>
      </c>
      <c r="F96" t="s">
        <v>67</v>
      </c>
      <c r="G96" t="s">
        <v>32</v>
      </c>
      <c r="H96" t="s">
        <v>12</v>
      </c>
      <c r="I96" t="s">
        <v>49</v>
      </c>
      <c r="J96" t="s">
        <v>6</v>
      </c>
      <c r="K96">
        <v>4</v>
      </c>
      <c r="L96" t="s">
        <v>14</v>
      </c>
      <c r="M96" t="s">
        <v>8</v>
      </c>
      <c r="N96" t="s">
        <v>16</v>
      </c>
      <c r="O96">
        <v>0</v>
      </c>
      <c r="P96" t="s">
        <v>10</v>
      </c>
      <c r="Q96" s="2">
        <v>45994</v>
      </c>
    </row>
    <row r="97" spans="1:17">
      <c r="A97" t="s">
        <v>167</v>
      </c>
      <c r="B97" s="2">
        <v>45973</v>
      </c>
      <c r="C97">
        <v>2025</v>
      </c>
      <c r="D97">
        <v>11</v>
      </c>
      <c r="E97" t="s">
        <v>117</v>
      </c>
      <c r="F97" t="s">
        <v>26</v>
      </c>
      <c r="G97" t="s">
        <v>3</v>
      </c>
      <c r="H97" t="s">
        <v>33</v>
      </c>
      <c r="I97" t="s">
        <v>45</v>
      </c>
      <c r="J97" t="s">
        <v>13</v>
      </c>
      <c r="K97">
        <v>1</v>
      </c>
      <c r="L97" t="s">
        <v>58</v>
      </c>
      <c r="M97" t="s">
        <v>52</v>
      </c>
      <c r="N97" t="s">
        <v>16</v>
      </c>
      <c r="O97">
        <v>0</v>
      </c>
      <c r="P97" t="s">
        <v>10</v>
      </c>
      <c r="Q97" s="2">
        <v>45980</v>
      </c>
    </row>
    <row r="98" spans="1:17">
      <c r="A98" t="s">
        <v>168</v>
      </c>
      <c r="B98" s="2">
        <v>45964</v>
      </c>
      <c r="C98">
        <v>2025</v>
      </c>
      <c r="D98">
        <v>11</v>
      </c>
      <c r="E98" t="s">
        <v>117</v>
      </c>
      <c r="F98" t="s">
        <v>31</v>
      </c>
      <c r="G98" t="s">
        <v>74</v>
      </c>
      <c r="H98" t="s">
        <v>33</v>
      </c>
      <c r="I98" t="s">
        <v>5</v>
      </c>
      <c r="J98" t="s">
        <v>34</v>
      </c>
      <c r="K98">
        <v>3</v>
      </c>
      <c r="L98" t="s">
        <v>107</v>
      </c>
      <c r="M98" t="s">
        <v>15</v>
      </c>
      <c r="N98" t="s">
        <v>36</v>
      </c>
      <c r="O98">
        <v>0</v>
      </c>
      <c r="P98" t="s">
        <v>10</v>
      </c>
      <c r="Q98" s="2">
        <v>46002</v>
      </c>
    </row>
    <row r="99" spans="1:17">
      <c r="A99" t="s">
        <v>169</v>
      </c>
      <c r="B99" s="2">
        <v>46009</v>
      </c>
      <c r="C99">
        <v>2025</v>
      </c>
      <c r="D99">
        <v>12</v>
      </c>
      <c r="E99" t="s">
        <v>124</v>
      </c>
      <c r="F99" t="s">
        <v>31</v>
      </c>
      <c r="G99" t="s">
        <v>61</v>
      </c>
      <c r="H99" t="s">
        <v>12</v>
      </c>
      <c r="I99" t="s">
        <v>5</v>
      </c>
      <c r="J99" t="s">
        <v>70</v>
      </c>
      <c r="K99">
        <v>2</v>
      </c>
      <c r="L99" t="s">
        <v>84</v>
      </c>
      <c r="M99" t="s">
        <v>42</v>
      </c>
      <c r="N99" t="s">
        <v>29</v>
      </c>
      <c r="O99">
        <v>0</v>
      </c>
      <c r="P99" t="s">
        <v>23</v>
      </c>
    </row>
    <row r="100" spans="1:17">
      <c r="A100" t="s">
        <v>170</v>
      </c>
      <c r="B100" s="2">
        <v>46016</v>
      </c>
      <c r="C100">
        <v>2025</v>
      </c>
      <c r="D100">
        <v>12</v>
      </c>
      <c r="E100" t="s">
        <v>124</v>
      </c>
      <c r="F100" t="s">
        <v>67</v>
      </c>
      <c r="G100" t="s">
        <v>69</v>
      </c>
      <c r="H100" t="s">
        <v>33</v>
      </c>
      <c r="I100" t="s">
        <v>5</v>
      </c>
      <c r="J100" t="s">
        <v>70</v>
      </c>
      <c r="K100">
        <v>2</v>
      </c>
      <c r="L100" t="s">
        <v>84</v>
      </c>
      <c r="M100" t="s">
        <v>22</v>
      </c>
      <c r="N100" t="s">
        <v>36</v>
      </c>
      <c r="O100">
        <v>0</v>
      </c>
      <c r="P100" t="s">
        <v>23</v>
      </c>
    </row>
    <row r="101" spans="1:17">
      <c r="A101" t="s">
        <v>171</v>
      </c>
      <c r="B101" s="2">
        <v>46034</v>
      </c>
      <c r="C101">
        <v>2026</v>
      </c>
      <c r="D101">
        <v>1</v>
      </c>
      <c r="E101" t="s">
        <v>1</v>
      </c>
      <c r="F101" t="s">
        <v>54</v>
      </c>
      <c r="G101" t="s">
        <v>69</v>
      </c>
      <c r="H101" t="s">
        <v>33</v>
      </c>
      <c r="I101" t="s">
        <v>5</v>
      </c>
      <c r="J101" t="s">
        <v>50</v>
      </c>
      <c r="K101">
        <v>5</v>
      </c>
      <c r="L101" t="s">
        <v>58</v>
      </c>
      <c r="M101" t="s">
        <v>22</v>
      </c>
      <c r="N101" t="s">
        <v>36</v>
      </c>
      <c r="O101">
        <v>0</v>
      </c>
      <c r="P101" t="s">
        <v>10</v>
      </c>
      <c r="Q101" s="2">
        <v>46051</v>
      </c>
    </row>
    <row r="102" spans="1:17">
      <c r="A102" t="s">
        <v>172</v>
      </c>
      <c r="B102" s="2">
        <v>46029</v>
      </c>
      <c r="C102">
        <v>2026</v>
      </c>
      <c r="D102">
        <v>1</v>
      </c>
      <c r="E102" t="s">
        <v>1</v>
      </c>
      <c r="F102" t="s">
        <v>19</v>
      </c>
      <c r="G102" t="s">
        <v>48</v>
      </c>
      <c r="H102" t="s">
        <v>44</v>
      </c>
      <c r="I102" t="s">
        <v>45</v>
      </c>
      <c r="J102" t="s">
        <v>13</v>
      </c>
      <c r="K102">
        <v>1</v>
      </c>
      <c r="L102" t="s">
        <v>51</v>
      </c>
      <c r="M102" t="s">
        <v>35</v>
      </c>
      <c r="N102" t="s">
        <v>36</v>
      </c>
      <c r="O102">
        <v>0</v>
      </c>
      <c r="P102" t="s">
        <v>10</v>
      </c>
      <c r="Q102" s="2">
        <v>46048</v>
      </c>
    </row>
    <row r="103" spans="1:17">
      <c r="A103" t="s">
        <v>173</v>
      </c>
      <c r="B103" s="2">
        <v>46025</v>
      </c>
      <c r="C103">
        <v>2026</v>
      </c>
      <c r="D103">
        <v>1</v>
      </c>
      <c r="E103" t="s">
        <v>1</v>
      </c>
      <c r="F103" t="s">
        <v>19</v>
      </c>
      <c r="G103" t="s">
        <v>48</v>
      </c>
      <c r="H103" t="s">
        <v>4</v>
      </c>
      <c r="I103" t="s">
        <v>5</v>
      </c>
      <c r="J103" t="s">
        <v>13</v>
      </c>
      <c r="K103">
        <v>1</v>
      </c>
      <c r="L103" t="s">
        <v>107</v>
      </c>
      <c r="M103" t="s">
        <v>52</v>
      </c>
      <c r="N103" t="s">
        <v>9</v>
      </c>
      <c r="O103">
        <v>0</v>
      </c>
      <c r="P103" t="s">
        <v>23</v>
      </c>
    </row>
    <row r="104" spans="1:17">
      <c r="A104" t="s">
        <v>174</v>
      </c>
      <c r="B104" s="2">
        <v>46029</v>
      </c>
      <c r="C104">
        <v>2026</v>
      </c>
      <c r="D104">
        <v>1</v>
      </c>
      <c r="E104" t="s">
        <v>1</v>
      </c>
      <c r="F104" t="s">
        <v>67</v>
      </c>
      <c r="G104" t="s">
        <v>48</v>
      </c>
      <c r="H104" t="s">
        <v>12</v>
      </c>
      <c r="I104" t="s">
        <v>5</v>
      </c>
      <c r="J104" t="s">
        <v>34</v>
      </c>
      <c r="K104">
        <v>3</v>
      </c>
      <c r="L104" t="s">
        <v>41</v>
      </c>
      <c r="M104" t="s">
        <v>52</v>
      </c>
      <c r="N104" t="s">
        <v>29</v>
      </c>
      <c r="O104">
        <v>0</v>
      </c>
      <c r="P104" t="s">
        <v>17</v>
      </c>
    </row>
    <row r="105" spans="1:17">
      <c r="A105" t="s">
        <v>175</v>
      </c>
      <c r="B105" s="2">
        <v>46061</v>
      </c>
      <c r="C105">
        <v>2026</v>
      </c>
      <c r="D105">
        <v>2</v>
      </c>
      <c r="E105" t="s">
        <v>25</v>
      </c>
      <c r="F105" t="s">
        <v>78</v>
      </c>
      <c r="G105" t="s">
        <v>64</v>
      </c>
      <c r="H105" t="s">
        <v>44</v>
      </c>
      <c r="I105" t="s">
        <v>45</v>
      </c>
      <c r="J105" t="s">
        <v>50</v>
      </c>
      <c r="K105">
        <v>5</v>
      </c>
      <c r="L105" t="s">
        <v>41</v>
      </c>
      <c r="M105" t="s">
        <v>42</v>
      </c>
      <c r="N105" t="s">
        <v>29</v>
      </c>
      <c r="O105">
        <v>0</v>
      </c>
      <c r="P105" t="s">
        <v>17</v>
      </c>
    </row>
    <row r="106" spans="1:17">
      <c r="A106" t="s">
        <v>176</v>
      </c>
      <c r="B106" s="2">
        <v>46081</v>
      </c>
      <c r="C106">
        <v>2026</v>
      </c>
      <c r="D106">
        <v>2</v>
      </c>
      <c r="E106" t="s">
        <v>25</v>
      </c>
      <c r="F106" t="s">
        <v>54</v>
      </c>
      <c r="G106" t="s">
        <v>74</v>
      </c>
      <c r="H106" t="s">
        <v>12</v>
      </c>
      <c r="I106" t="s">
        <v>5</v>
      </c>
      <c r="J106" t="s">
        <v>34</v>
      </c>
      <c r="K106">
        <v>3</v>
      </c>
      <c r="L106" t="s">
        <v>56</v>
      </c>
      <c r="M106" t="s">
        <v>52</v>
      </c>
      <c r="N106" t="s">
        <v>9</v>
      </c>
      <c r="O106">
        <v>0</v>
      </c>
      <c r="P106" t="s">
        <v>10</v>
      </c>
      <c r="Q106" s="2">
        <v>46118</v>
      </c>
    </row>
    <row r="107" spans="1:17">
      <c r="A107" t="s">
        <v>177</v>
      </c>
      <c r="B107" s="2">
        <v>46068</v>
      </c>
      <c r="C107">
        <v>2026</v>
      </c>
      <c r="D107">
        <v>2</v>
      </c>
      <c r="E107" t="s">
        <v>25</v>
      </c>
      <c r="F107" t="s">
        <v>78</v>
      </c>
      <c r="G107" t="s">
        <v>27</v>
      </c>
      <c r="H107" t="s">
        <v>44</v>
      </c>
      <c r="I107" t="s">
        <v>28</v>
      </c>
      <c r="J107" t="s">
        <v>34</v>
      </c>
      <c r="K107">
        <v>3</v>
      </c>
      <c r="L107" t="s">
        <v>21</v>
      </c>
      <c r="M107" t="s">
        <v>42</v>
      </c>
      <c r="N107" t="s">
        <v>29</v>
      </c>
      <c r="O107">
        <v>30</v>
      </c>
      <c r="P107" t="s">
        <v>10</v>
      </c>
      <c r="Q107" s="2">
        <v>46074</v>
      </c>
    </row>
    <row r="108" spans="1:17">
      <c r="A108" t="s">
        <v>178</v>
      </c>
      <c r="B108" s="2">
        <v>46085</v>
      </c>
      <c r="C108">
        <v>2026</v>
      </c>
      <c r="D108">
        <v>3</v>
      </c>
      <c r="E108" t="s">
        <v>60</v>
      </c>
      <c r="F108" t="s">
        <v>40</v>
      </c>
      <c r="G108" t="s">
        <v>61</v>
      </c>
      <c r="H108" t="s">
        <v>4</v>
      </c>
      <c r="I108" t="s">
        <v>5</v>
      </c>
      <c r="J108" t="s">
        <v>34</v>
      </c>
      <c r="K108">
        <v>3</v>
      </c>
      <c r="L108" t="s">
        <v>107</v>
      </c>
      <c r="M108" t="s">
        <v>35</v>
      </c>
      <c r="N108" t="s">
        <v>16</v>
      </c>
      <c r="O108">
        <v>0</v>
      </c>
      <c r="P108" t="s">
        <v>23</v>
      </c>
    </row>
    <row r="109" spans="1:17">
      <c r="A109" t="s">
        <v>179</v>
      </c>
      <c r="B109" s="2">
        <v>46085</v>
      </c>
      <c r="C109">
        <v>2026</v>
      </c>
      <c r="D109">
        <v>3</v>
      </c>
      <c r="E109" t="s">
        <v>60</v>
      </c>
      <c r="F109" t="s">
        <v>2</v>
      </c>
      <c r="G109" t="s">
        <v>69</v>
      </c>
      <c r="H109" t="s">
        <v>12</v>
      </c>
      <c r="I109" t="s">
        <v>45</v>
      </c>
      <c r="J109" t="s">
        <v>13</v>
      </c>
      <c r="K109">
        <v>1</v>
      </c>
      <c r="L109" t="s">
        <v>21</v>
      </c>
      <c r="M109" t="s">
        <v>15</v>
      </c>
      <c r="N109" t="s">
        <v>16</v>
      </c>
      <c r="O109">
        <v>0</v>
      </c>
      <c r="P109" t="s">
        <v>17</v>
      </c>
    </row>
    <row r="110" spans="1:17">
      <c r="A110" t="s">
        <v>180</v>
      </c>
      <c r="B110" s="2">
        <v>46087</v>
      </c>
      <c r="C110">
        <v>2026</v>
      </c>
      <c r="D110">
        <v>3</v>
      </c>
      <c r="E110" t="s">
        <v>60</v>
      </c>
      <c r="F110" t="s">
        <v>54</v>
      </c>
      <c r="G110" t="s">
        <v>61</v>
      </c>
      <c r="H110" t="s">
        <v>44</v>
      </c>
      <c r="I110" t="s">
        <v>99</v>
      </c>
      <c r="J110" t="s">
        <v>50</v>
      </c>
      <c r="K110">
        <v>5</v>
      </c>
      <c r="L110" t="s">
        <v>7</v>
      </c>
      <c r="M110" t="s">
        <v>15</v>
      </c>
      <c r="N110" t="s">
        <v>16</v>
      </c>
      <c r="O110">
        <v>5</v>
      </c>
      <c r="P110" t="s">
        <v>10</v>
      </c>
      <c r="Q110" s="2">
        <v>46117</v>
      </c>
    </row>
    <row r="111" spans="1:17">
      <c r="A111" t="s">
        <v>181</v>
      </c>
      <c r="B111" s="2">
        <v>46140</v>
      </c>
      <c r="C111">
        <v>2026</v>
      </c>
      <c r="D111">
        <v>4</v>
      </c>
      <c r="E111" t="s">
        <v>73</v>
      </c>
      <c r="F111" t="s">
        <v>2</v>
      </c>
      <c r="G111" t="s">
        <v>64</v>
      </c>
      <c r="H111" t="s">
        <v>44</v>
      </c>
      <c r="I111" t="s">
        <v>5</v>
      </c>
      <c r="J111" t="s">
        <v>34</v>
      </c>
      <c r="K111">
        <v>3</v>
      </c>
      <c r="L111" t="s">
        <v>58</v>
      </c>
      <c r="M111" t="s">
        <v>35</v>
      </c>
      <c r="N111" t="s">
        <v>16</v>
      </c>
      <c r="O111">
        <v>0</v>
      </c>
      <c r="P111" t="s">
        <v>23</v>
      </c>
    </row>
    <row r="112" spans="1:17">
      <c r="A112" t="s">
        <v>182</v>
      </c>
      <c r="B112" s="2">
        <v>46166</v>
      </c>
      <c r="C112">
        <v>2026</v>
      </c>
      <c r="D112">
        <v>5</v>
      </c>
      <c r="E112" t="s">
        <v>83</v>
      </c>
      <c r="F112" t="s">
        <v>31</v>
      </c>
      <c r="G112" t="s">
        <v>69</v>
      </c>
      <c r="H112" t="s">
        <v>4</v>
      </c>
      <c r="I112" t="s">
        <v>45</v>
      </c>
      <c r="J112" t="s">
        <v>70</v>
      </c>
      <c r="K112">
        <v>2</v>
      </c>
      <c r="L112" t="s">
        <v>107</v>
      </c>
      <c r="M112" t="s">
        <v>42</v>
      </c>
      <c r="N112" t="s">
        <v>16</v>
      </c>
      <c r="O112">
        <v>0</v>
      </c>
      <c r="P112" t="s">
        <v>23</v>
      </c>
    </row>
    <row r="113" spans="1:17">
      <c r="A113" t="s">
        <v>183</v>
      </c>
      <c r="B113" s="2">
        <v>46156</v>
      </c>
      <c r="C113">
        <v>2026</v>
      </c>
      <c r="D113">
        <v>5</v>
      </c>
      <c r="E113" t="s">
        <v>83</v>
      </c>
      <c r="F113" t="s">
        <v>26</v>
      </c>
      <c r="G113" t="s">
        <v>94</v>
      </c>
      <c r="H113" t="s">
        <v>12</v>
      </c>
      <c r="I113" t="s">
        <v>65</v>
      </c>
      <c r="J113" t="s">
        <v>50</v>
      </c>
      <c r="K113">
        <v>5</v>
      </c>
      <c r="L113" t="s">
        <v>71</v>
      </c>
      <c r="M113" t="s">
        <v>42</v>
      </c>
      <c r="N113" t="s">
        <v>9</v>
      </c>
      <c r="O113">
        <v>0</v>
      </c>
      <c r="P113" t="s">
        <v>10</v>
      </c>
      <c r="Q113" s="2">
        <v>46188</v>
      </c>
    </row>
    <row r="114" spans="1:17">
      <c r="A114" t="s">
        <v>184</v>
      </c>
      <c r="B114" s="2">
        <v>46153</v>
      </c>
      <c r="C114">
        <v>2026</v>
      </c>
      <c r="D114">
        <v>5</v>
      </c>
      <c r="E114" t="s">
        <v>83</v>
      </c>
      <c r="F114" t="s">
        <v>19</v>
      </c>
      <c r="G114" t="s">
        <v>74</v>
      </c>
      <c r="H114" t="s">
        <v>44</v>
      </c>
      <c r="I114" t="s">
        <v>5</v>
      </c>
      <c r="J114" t="s">
        <v>6</v>
      </c>
      <c r="K114">
        <v>4</v>
      </c>
      <c r="L114" t="s">
        <v>51</v>
      </c>
      <c r="M114" t="s">
        <v>15</v>
      </c>
      <c r="N114" t="s">
        <v>9</v>
      </c>
      <c r="O114">
        <v>0</v>
      </c>
      <c r="P114" t="s">
        <v>10</v>
      </c>
      <c r="Q114" s="2">
        <v>46160</v>
      </c>
    </row>
    <row r="115" spans="1:17">
      <c r="A115" t="s">
        <v>185</v>
      </c>
      <c r="B115" s="2">
        <v>46196</v>
      </c>
      <c r="C115">
        <v>2026</v>
      </c>
      <c r="D115">
        <v>6</v>
      </c>
      <c r="E115" t="s">
        <v>87</v>
      </c>
      <c r="F115" t="s">
        <v>47</v>
      </c>
      <c r="G115" t="s">
        <v>38</v>
      </c>
      <c r="H115" t="s">
        <v>12</v>
      </c>
      <c r="I115" t="s">
        <v>28</v>
      </c>
      <c r="J115" t="s">
        <v>34</v>
      </c>
      <c r="K115">
        <v>3</v>
      </c>
      <c r="L115" t="s">
        <v>84</v>
      </c>
      <c r="M115" t="s">
        <v>35</v>
      </c>
      <c r="N115" t="s">
        <v>16</v>
      </c>
      <c r="O115">
        <v>10</v>
      </c>
      <c r="P115" t="s">
        <v>17</v>
      </c>
    </row>
  </sheetData>
  <hyperlinks>
    <hyperlink ref="S1" location="'Home'!A1" display="Home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</sheetPr>
  <dimension ref="A1:N213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8" width="11.7109375" customWidth="1"/>
    <col min="9" max="9" width="12.7109375" customWidth="1"/>
    <col min="10" max="10" width="13.7109375" customWidth="1"/>
    <col min="11" max="11" width="20.7109375" customWidth="1"/>
    <col min="12" max="12" width="11.7109375" customWidth="1"/>
  </cols>
  <sheetData>
    <row r="1" spans="1:14">
      <c r="A1" t="s">
        <v>425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426</v>
      </c>
      <c r="J1" t="s">
        <v>197</v>
      </c>
      <c r="K1" t="s">
        <v>199</v>
      </c>
      <c r="L1" t="s">
        <v>201</v>
      </c>
      <c r="N1" s="1" t="s">
        <v>203</v>
      </c>
    </row>
    <row r="2" spans="1:14">
      <c r="A2" t="s">
        <v>204</v>
      </c>
      <c r="B2" s="2">
        <v>45311</v>
      </c>
      <c r="C2">
        <v>2024</v>
      </c>
      <c r="D2">
        <v>1</v>
      </c>
      <c r="E2" t="s">
        <v>1</v>
      </c>
      <c r="F2" t="s">
        <v>54</v>
      </c>
      <c r="G2" t="s">
        <v>27</v>
      </c>
      <c r="H2" t="s">
        <v>12</v>
      </c>
      <c r="I2" t="s">
        <v>205</v>
      </c>
      <c r="J2" t="s">
        <v>84</v>
      </c>
      <c r="K2" t="s">
        <v>36</v>
      </c>
      <c r="L2" t="s">
        <v>10</v>
      </c>
    </row>
    <row r="3" spans="1:14">
      <c r="A3" t="s">
        <v>206</v>
      </c>
      <c r="B3" s="2">
        <v>45316</v>
      </c>
      <c r="C3">
        <v>2024</v>
      </c>
      <c r="D3">
        <v>1</v>
      </c>
      <c r="E3" t="s">
        <v>1</v>
      </c>
      <c r="F3" t="s">
        <v>38</v>
      </c>
      <c r="G3" t="s">
        <v>94</v>
      </c>
      <c r="H3" t="s">
        <v>44</v>
      </c>
      <c r="I3" t="s">
        <v>207</v>
      </c>
      <c r="J3" t="s">
        <v>71</v>
      </c>
      <c r="K3" t="s">
        <v>16</v>
      </c>
      <c r="L3" t="s">
        <v>10</v>
      </c>
    </row>
    <row r="4" spans="1:14">
      <c r="A4" t="s">
        <v>208</v>
      </c>
      <c r="B4" s="2">
        <v>45300</v>
      </c>
      <c r="C4">
        <v>2024</v>
      </c>
      <c r="D4">
        <v>1</v>
      </c>
      <c r="E4" t="s">
        <v>1</v>
      </c>
      <c r="F4" t="s">
        <v>54</v>
      </c>
      <c r="G4" t="s">
        <v>61</v>
      </c>
      <c r="H4" t="s">
        <v>33</v>
      </c>
      <c r="I4" t="s">
        <v>205</v>
      </c>
      <c r="J4" t="s">
        <v>56</v>
      </c>
      <c r="K4" t="s">
        <v>9</v>
      </c>
      <c r="L4" t="s">
        <v>10</v>
      </c>
    </row>
    <row r="5" spans="1:14">
      <c r="A5" t="s">
        <v>209</v>
      </c>
      <c r="B5" s="2">
        <v>45311</v>
      </c>
      <c r="C5">
        <v>2024</v>
      </c>
      <c r="D5">
        <v>1</v>
      </c>
      <c r="E5" t="s">
        <v>1</v>
      </c>
      <c r="F5" t="s">
        <v>67</v>
      </c>
      <c r="G5" t="s">
        <v>61</v>
      </c>
      <c r="H5" t="s">
        <v>33</v>
      </c>
      <c r="I5" t="s">
        <v>207</v>
      </c>
      <c r="J5" t="s">
        <v>14</v>
      </c>
      <c r="K5" t="s">
        <v>9</v>
      </c>
      <c r="L5" t="s">
        <v>10</v>
      </c>
    </row>
    <row r="6" spans="1:14">
      <c r="A6" t="s">
        <v>210</v>
      </c>
      <c r="B6" s="2">
        <v>45293</v>
      </c>
      <c r="C6">
        <v>2024</v>
      </c>
      <c r="D6">
        <v>1</v>
      </c>
      <c r="E6" t="s">
        <v>1</v>
      </c>
      <c r="F6" t="s">
        <v>26</v>
      </c>
      <c r="G6" t="s">
        <v>64</v>
      </c>
      <c r="H6" t="s">
        <v>33</v>
      </c>
      <c r="I6" t="s">
        <v>211</v>
      </c>
      <c r="J6" t="s">
        <v>21</v>
      </c>
      <c r="K6" t="s">
        <v>9</v>
      </c>
      <c r="L6" t="s">
        <v>10</v>
      </c>
    </row>
    <row r="7" spans="1:14">
      <c r="A7" t="s">
        <v>212</v>
      </c>
      <c r="B7" s="2">
        <v>45292</v>
      </c>
      <c r="C7">
        <v>2024</v>
      </c>
      <c r="D7">
        <v>1</v>
      </c>
      <c r="E7" t="s">
        <v>1</v>
      </c>
      <c r="F7" t="s">
        <v>38</v>
      </c>
      <c r="G7" t="s">
        <v>27</v>
      </c>
      <c r="H7" t="s">
        <v>33</v>
      </c>
      <c r="I7" t="s">
        <v>213</v>
      </c>
      <c r="J7" t="s">
        <v>41</v>
      </c>
      <c r="K7" t="s">
        <v>9</v>
      </c>
      <c r="L7" t="s">
        <v>10</v>
      </c>
    </row>
    <row r="8" spans="1:14">
      <c r="A8" t="s">
        <v>214</v>
      </c>
      <c r="B8" s="2">
        <v>45298</v>
      </c>
      <c r="C8">
        <v>2024</v>
      </c>
      <c r="D8">
        <v>1</v>
      </c>
      <c r="E8" t="s">
        <v>1</v>
      </c>
      <c r="F8" t="s">
        <v>78</v>
      </c>
      <c r="G8" t="s">
        <v>32</v>
      </c>
      <c r="H8" t="s">
        <v>44</v>
      </c>
      <c r="I8" t="s">
        <v>215</v>
      </c>
      <c r="J8" t="s">
        <v>107</v>
      </c>
      <c r="K8" t="s">
        <v>9</v>
      </c>
      <c r="L8" t="s">
        <v>10</v>
      </c>
    </row>
    <row r="9" spans="1:14">
      <c r="A9" t="s">
        <v>216</v>
      </c>
      <c r="B9" s="2">
        <v>45303</v>
      </c>
      <c r="C9">
        <v>2024</v>
      </c>
      <c r="D9">
        <v>1</v>
      </c>
      <c r="E9" t="s">
        <v>1</v>
      </c>
      <c r="F9" t="s">
        <v>38</v>
      </c>
      <c r="G9" t="s">
        <v>27</v>
      </c>
      <c r="H9" t="s">
        <v>4</v>
      </c>
      <c r="I9" t="s">
        <v>217</v>
      </c>
      <c r="J9" t="s">
        <v>58</v>
      </c>
      <c r="K9" t="s">
        <v>29</v>
      </c>
      <c r="L9" t="s">
        <v>10</v>
      </c>
    </row>
    <row r="10" spans="1:14">
      <c r="A10" t="s">
        <v>218</v>
      </c>
      <c r="B10" s="2">
        <v>45345</v>
      </c>
      <c r="C10">
        <v>2024</v>
      </c>
      <c r="D10">
        <v>2</v>
      </c>
      <c r="E10" t="s">
        <v>25</v>
      </c>
      <c r="F10" t="s">
        <v>2</v>
      </c>
      <c r="G10" t="s">
        <v>64</v>
      </c>
      <c r="H10" t="s">
        <v>33</v>
      </c>
      <c r="I10" t="s">
        <v>219</v>
      </c>
      <c r="J10" t="s">
        <v>56</v>
      </c>
      <c r="K10" t="s">
        <v>9</v>
      </c>
      <c r="L10" t="s">
        <v>10</v>
      </c>
    </row>
    <row r="11" spans="1:14">
      <c r="A11" t="s">
        <v>220</v>
      </c>
      <c r="B11" s="2">
        <v>45326</v>
      </c>
      <c r="C11">
        <v>2024</v>
      </c>
      <c r="D11">
        <v>2</v>
      </c>
      <c r="E11" t="s">
        <v>25</v>
      </c>
      <c r="F11" t="s">
        <v>54</v>
      </c>
      <c r="G11" t="s">
        <v>61</v>
      </c>
      <c r="H11" t="s">
        <v>4</v>
      </c>
      <c r="I11" t="s">
        <v>211</v>
      </c>
      <c r="J11" t="s">
        <v>71</v>
      </c>
      <c r="K11" t="s">
        <v>9</v>
      </c>
      <c r="L11" t="s">
        <v>10</v>
      </c>
    </row>
    <row r="12" spans="1:14">
      <c r="A12" t="s">
        <v>221</v>
      </c>
      <c r="B12" s="2">
        <v>45323</v>
      </c>
      <c r="C12">
        <v>2024</v>
      </c>
      <c r="D12">
        <v>2</v>
      </c>
      <c r="E12" t="s">
        <v>25</v>
      </c>
      <c r="F12" t="s">
        <v>47</v>
      </c>
      <c r="G12" t="s">
        <v>27</v>
      </c>
      <c r="H12" t="s">
        <v>4</v>
      </c>
      <c r="I12" t="s">
        <v>207</v>
      </c>
      <c r="J12" t="s">
        <v>107</v>
      </c>
      <c r="K12" t="s">
        <v>9</v>
      </c>
      <c r="L12" t="s">
        <v>10</v>
      </c>
    </row>
    <row r="13" spans="1:14">
      <c r="A13" t="s">
        <v>222</v>
      </c>
      <c r="B13" s="2">
        <v>45324</v>
      </c>
      <c r="C13">
        <v>2024</v>
      </c>
      <c r="D13">
        <v>2</v>
      </c>
      <c r="E13" t="s">
        <v>25</v>
      </c>
      <c r="F13" t="s">
        <v>54</v>
      </c>
      <c r="G13" t="s">
        <v>27</v>
      </c>
      <c r="H13" t="s">
        <v>4</v>
      </c>
      <c r="I13" t="s">
        <v>217</v>
      </c>
      <c r="J13" t="s">
        <v>14</v>
      </c>
      <c r="K13" t="s">
        <v>36</v>
      </c>
      <c r="L13" t="s">
        <v>10</v>
      </c>
    </row>
    <row r="14" spans="1:14">
      <c r="A14" t="s">
        <v>223</v>
      </c>
      <c r="B14" s="2">
        <v>45328</v>
      </c>
      <c r="C14">
        <v>2024</v>
      </c>
      <c r="D14">
        <v>2</v>
      </c>
      <c r="E14" t="s">
        <v>25</v>
      </c>
      <c r="F14" t="s">
        <v>19</v>
      </c>
      <c r="G14" t="s">
        <v>38</v>
      </c>
      <c r="H14" t="s">
        <v>44</v>
      </c>
      <c r="I14" t="s">
        <v>213</v>
      </c>
      <c r="J14" t="s">
        <v>56</v>
      </c>
      <c r="K14" t="s">
        <v>29</v>
      </c>
      <c r="L14" t="s">
        <v>10</v>
      </c>
    </row>
    <row r="15" spans="1:14">
      <c r="A15" t="s">
        <v>224</v>
      </c>
      <c r="B15" s="2">
        <v>45326</v>
      </c>
      <c r="C15">
        <v>2024</v>
      </c>
      <c r="D15">
        <v>2</v>
      </c>
      <c r="E15" t="s">
        <v>25</v>
      </c>
      <c r="F15" t="s">
        <v>67</v>
      </c>
      <c r="G15" t="s">
        <v>3</v>
      </c>
      <c r="H15" t="s">
        <v>4</v>
      </c>
      <c r="I15" t="s">
        <v>215</v>
      </c>
      <c r="J15" t="s">
        <v>14</v>
      </c>
      <c r="K15" t="s">
        <v>9</v>
      </c>
      <c r="L15" t="s">
        <v>10</v>
      </c>
    </row>
    <row r="16" spans="1:14">
      <c r="A16" t="s">
        <v>225</v>
      </c>
      <c r="B16" s="2">
        <v>45327</v>
      </c>
      <c r="C16">
        <v>2024</v>
      </c>
      <c r="D16">
        <v>2</v>
      </c>
      <c r="E16" t="s">
        <v>25</v>
      </c>
      <c r="F16" t="s">
        <v>19</v>
      </c>
      <c r="G16" t="s">
        <v>69</v>
      </c>
      <c r="H16" t="s">
        <v>33</v>
      </c>
      <c r="I16" t="s">
        <v>207</v>
      </c>
      <c r="J16" t="s">
        <v>71</v>
      </c>
      <c r="K16" t="s">
        <v>16</v>
      </c>
      <c r="L16" t="s">
        <v>10</v>
      </c>
    </row>
    <row r="17" spans="1:12">
      <c r="A17" t="s">
        <v>226</v>
      </c>
      <c r="B17" s="2">
        <v>45347</v>
      </c>
      <c r="C17">
        <v>2024</v>
      </c>
      <c r="D17">
        <v>2</v>
      </c>
      <c r="E17" t="s">
        <v>25</v>
      </c>
      <c r="F17" t="s">
        <v>78</v>
      </c>
      <c r="G17" t="s">
        <v>69</v>
      </c>
      <c r="H17" t="s">
        <v>44</v>
      </c>
      <c r="I17" t="s">
        <v>217</v>
      </c>
      <c r="J17" t="s">
        <v>51</v>
      </c>
      <c r="K17" t="s">
        <v>29</v>
      </c>
      <c r="L17" t="s">
        <v>10</v>
      </c>
    </row>
    <row r="18" spans="1:12">
      <c r="A18" t="s">
        <v>227</v>
      </c>
      <c r="B18" s="2">
        <v>45342</v>
      </c>
      <c r="C18">
        <v>2024</v>
      </c>
      <c r="D18">
        <v>2</v>
      </c>
      <c r="E18" t="s">
        <v>25</v>
      </c>
      <c r="F18" t="s">
        <v>47</v>
      </c>
      <c r="G18" t="s">
        <v>55</v>
      </c>
      <c r="H18" t="s">
        <v>4</v>
      </c>
      <c r="I18" t="s">
        <v>215</v>
      </c>
      <c r="J18" t="s">
        <v>84</v>
      </c>
      <c r="K18" t="s">
        <v>9</v>
      </c>
      <c r="L18" t="s">
        <v>10</v>
      </c>
    </row>
    <row r="19" spans="1:12">
      <c r="A19" t="s">
        <v>228</v>
      </c>
      <c r="B19" s="2">
        <v>45358</v>
      </c>
      <c r="C19">
        <v>2024</v>
      </c>
      <c r="D19">
        <v>3</v>
      </c>
      <c r="E19" t="s">
        <v>60</v>
      </c>
      <c r="F19" t="s">
        <v>40</v>
      </c>
      <c r="G19" t="s">
        <v>69</v>
      </c>
      <c r="H19" t="s">
        <v>33</v>
      </c>
      <c r="I19" t="s">
        <v>205</v>
      </c>
      <c r="J19" t="s">
        <v>41</v>
      </c>
      <c r="K19" t="s">
        <v>9</v>
      </c>
      <c r="L19" t="s">
        <v>10</v>
      </c>
    </row>
    <row r="20" spans="1:12">
      <c r="A20" t="s">
        <v>229</v>
      </c>
      <c r="B20" s="2">
        <v>45368</v>
      </c>
      <c r="C20">
        <v>2024</v>
      </c>
      <c r="D20">
        <v>3</v>
      </c>
      <c r="E20" t="s">
        <v>60</v>
      </c>
      <c r="F20" t="s">
        <v>19</v>
      </c>
      <c r="G20" t="s">
        <v>48</v>
      </c>
      <c r="H20" t="s">
        <v>12</v>
      </c>
      <c r="I20" t="s">
        <v>207</v>
      </c>
      <c r="J20" t="s">
        <v>71</v>
      </c>
      <c r="K20" t="s">
        <v>16</v>
      </c>
      <c r="L20" t="s">
        <v>10</v>
      </c>
    </row>
    <row r="21" spans="1:12">
      <c r="A21" t="s">
        <v>230</v>
      </c>
      <c r="B21" s="2">
        <v>45378</v>
      </c>
      <c r="C21">
        <v>2024</v>
      </c>
      <c r="D21">
        <v>3</v>
      </c>
      <c r="E21" t="s">
        <v>60</v>
      </c>
      <c r="F21" t="s">
        <v>78</v>
      </c>
      <c r="G21" t="s">
        <v>55</v>
      </c>
      <c r="H21" t="s">
        <v>33</v>
      </c>
      <c r="I21" t="s">
        <v>231</v>
      </c>
      <c r="J21" t="s">
        <v>41</v>
      </c>
      <c r="K21" t="s">
        <v>9</v>
      </c>
      <c r="L21" t="s">
        <v>10</v>
      </c>
    </row>
    <row r="22" spans="1:12">
      <c r="A22" t="s">
        <v>232</v>
      </c>
      <c r="B22" s="2">
        <v>45373</v>
      </c>
      <c r="C22">
        <v>2024</v>
      </c>
      <c r="D22">
        <v>3</v>
      </c>
      <c r="E22" t="s">
        <v>60</v>
      </c>
      <c r="F22" t="s">
        <v>19</v>
      </c>
      <c r="G22" t="s">
        <v>69</v>
      </c>
      <c r="H22" t="s">
        <v>12</v>
      </c>
      <c r="I22" t="s">
        <v>211</v>
      </c>
      <c r="J22" t="s">
        <v>58</v>
      </c>
      <c r="K22" t="s">
        <v>36</v>
      </c>
      <c r="L22" t="s">
        <v>10</v>
      </c>
    </row>
    <row r="23" spans="1:12">
      <c r="A23" t="s">
        <v>233</v>
      </c>
      <c r="B23" s="2">
        <v>45353</v>
      </c>
      <c r="C23">
        <v>2024</v>
      </c>
      <c r="D23">
        <v>3</v>
      </c>
      <c r="E23" t="s">
        <v>60</v>
      </c>
      <c r="F23" t="s">
        <v>19</v>
      </c>
      <c r="G23" t="s">
        <v>61</v>
      </c>
      <c r="H23" t="s">
        <v>4</v>
      </c>
      <c r="I23" t="s">
        <v>211</v>
      </c>
      <c r="J23" t="s">
        <v>71</v>
      </c>
      <c r="K23" t="s">
        <v>29</v>
      </c>
      <c r="L23" t="s">
        <v>10</v>
      </c>
    </row>
    <row r="24" spans="1:12">
      <c r="A24" t="s">
        <v>234</v>
      </c>
      <c r="B24" s="2">
        <v>45367</v>
      </c>
      <c r="C24">
        <v>2024</v>
      </c>
      <c r="D24">
        <v>3</v>
      </c>
      <c r="E24" t="s">
        <v>60</v>
      </c>
      <c r="F24" t="s">
        <v>19</v>
      </c>
      <c r="G24" t="s">
        <v>74</v>
      </c>
      <c r="H24" t="s">
        <v>4</v>
      </c>
      <c r="I24" t="s">
        <v>211</v>
      </c>
      <c r="J24" t="s">
        <v>84</v>
      </c>
      <c r="K24" t="s">
        <v>29</v>
      </c>
      <c r="L24" t="s">
        <v>10</v>
      </c>
    </row>
    <row r="25" spans="1:12">
      <c r="A25" t="s">
        <v>235</v>
      </c>
      <c r="B25" s="2">
        <v>45358</v>
      </c>
      <c r="C25">
        <v>2024</v>
      </c>
      <c r="D25">
        <v>3</v>
      </c>
      <c r="E25" t="s">
        <v>60</v>
      </c>
      <c r="F25" t="s">
        <v>54</v>
      </c>
      <c r="G25" t="s">
        <v>74</v>
      </c>
      <c r="H25" t="s">
        <v>33</v>
      </c>
      <c r="I25" t="s">
        <v>205</v>
      </c>
      <c r="J25" t="s">
        <v>58</v>
      </c>
      <c r="K25" t="s">
        <v>9</v>
      </c>
      <c r="L25" t="s">
        <v>10</v>
      </c>
    </row>
    <row r="26" spans="1:12">
      <c r="A26" t="s">
        <v>236</v>
      </c>
      <c r="B26" s="2">
        <v>45366</v>
      </c>
      <c r="C26">
        <v>2024</v>
      </c>
      <c r="D26">
        <v>3</v>
      </c>
      <c r="E26" t="s">
        <v>60</v>
      </c>
      <c r="F26" t="s">
        <v>47</v>
      </c>
      <c r="G26" t="s">
        <v>61</v>
      </c>
      <c r="H26" t="s">
        <v>12</v>
      </c>
      <c r="I26" t="s">
        <v>215</v>
      </c>
      <c r="J26" t="s">
        <v>56</v>
      </c>
      <c r="K26" t="s">
        <v>29</v>
      </c>
      <c r="L26" t="s">
        <v>10</v>
      </c>
    </row>
    <row r="27" spans="1:12">
      <c r="A27" t="s">
        <v>237</v>
      </c>
      <c r="B27" s="2">
        <v>45377</v>
      </c>
      <c r="C27">
        <v>2024</v>
      </c>
      <c r="D27">
        <v>3</v>
      </c>
      <c r="E27" t="s">
        <v>60</v>
      </c>
      <c r="F27" t="s">
        <v>47</v>
      </c>
      <c r="G27" t="s">
        <v>74</v>
      </c>
      <c r="H27" t="s">
        <v>4</v>
      </c>
      <c r="I27" t="s">
        <v>217</v>
      </c>
      <c r="J27" t="s">
        <v>84</v>
      </c>
      <c r="K27" t="s">
        <v>16</v>
      </c>
      <c r="L27" t="s">
        <v>10</v>
      </c>
    </row>
    <row r="28" spans="1:12">
      <c r="A28" t="s">
        <v>238</v>
      </c>
      <c r="B28" s="2">
        <v>45352</v>
      </c>
      <c r="C28">
        <v>2024</v>
      </c>
      <c r="D28">
        <v>3</v>
      </c>
      <c r="E28" t="s">
        <v>60</v>
      </c>
      <c r="F28" t="s">
        <v>2</v>
      </c>
      <c r="G28" t="s">
        <v>64</v>
      </c>
      <c r="H28" t="s">
        <v>4</v>
      </c>
      <c r="I28" t="s">
        <v>231</v>
      </c>
      <c r="J28" t="s">
        <v>21</v>
      </c>
      <c r="K28" t="s">
        <v>16</v>
      </c>
      <c r="L28" t="s">
        <v>10</v>
      </c>
    </row>
    <row r="29" spans="1:12">
      <c r="A29" t="s">
        <v>239</v>
      </c>
      <c r="B29" s="2">
        <v>45352</v>
      </c>
      <c r="C29">
        <v>2024</v>
      </c>
      <c r="D29">
        <v>3</v>
      </c>
      <c r="E29" t="s">
        <v>60</v>
      </c>
      <c r="F29" t="s">
        <v>54</v>
      </c>
      <c r="G29" t="s">
        <v>32</v>
      </c>
      <c r="H29" t="s">
        <v>44</v>
      </c>
      <c r="I29" t="s">
        <v>205</v>
      </c>
      <c r="J29" t="s">
        <v>7</v>
      </c>
      <c r="K29" t="s">
        <v>16</v>
      </c>
      <c r="L29" t="s">
        <v>10</v>
      </c>
    </row>
    <row r="30" spans="1:12">
      <c r="A30" t="s">
        <v>240</v>
      </c>
      <c r="B30" s="2">
        <v>45405</v>
      </c>
      <c r="C30">
        <v>2024</v>
      </c>
      <c r="D30">
        <v>4</v>
      </c>
      <c r="E30" t="s">
        <v>73</v>
      </c>
      <c r="F30" t="s">
        <v>26</v>
      </c>
      <c r="G30" t="s">
        <v>20</v>
      </c>
      <c r="H30" t="s">
        <v>12</v>
      </c>
      <c r="I30" t="s">
        <v>217</v>
      </c>
      <c r="J30" t="s">
        <v>56</v>
      </c>
      <c r="K30" t="s">
        <v>9</v>
      </c>
      <c r="L30" t="s">
        <v>10</v>
      </c>
    </row>
    <row r="31" spans="1:12">
      <c r="A31" t="s">
        <v>241</v>
      </c>
      <c r="B31" s="2">
        <v>45403</v>
      </c>
      <c r="C31">
        <v>2024</v>
      </c>
      <c r="D31">
        <v>4</v>
      </c>
      <c r="E31" t="s">
        <v>73</v>
      </c>
      <c r="F31" t="s">
        <v>31</v>
      </c>
      <c r="G31" t="s">
        <v>74</v>
      </c>
      <c r="H31" t="s">
        <v>44</v>
      </c>
      <c r="I31" t="s">
        <v>217</v>
      </c>
      <c r="J31" t="s">
        <v>58</v>
      </c>
      <c r="K31" t="s">
        <v>9</v>
      </c>
      <c r="L31" t="s">
        <v>10</v>
      </c>
    </row>
    <row r="32" spans="1:12">
      <c r="A32" t="s">
        <v>242</v>
      </c>
      <c r="B32" s="2">
        <v>45393</v>
      </c>
      <c r="C32">
        <v>2024</v>
      </c>
      <c r="D32">
        <v>4</v>
      </c>
      <c r="E32" t="s">
        <v>73</v>
      </c>
      <c r="F32" t="s">
        <v>31</v>
      </c>
      <c r="G32" t="s">
        <v>69</v>
      </c>
      <c r="H32" t="s">
        <v>33</v>
      </c>
      <c r="I32" t="s">
        <v>213</v>
      </c>
      <c r="J32" t="s">
        <v>107</v>
      </c>
      <c r="K32" t="s">
        <v>16</v>
      </c>
      <c r="L32" t="s">
        <v>10</v>
      </c>
    </row>
    <row r="33" spans="1:12">
      <c r="A33" t="s">
        <v>243</v>
      </c>
      <c r="B33" s="2">
        <v>45406</v>
      </c>
      <c r="C33">
        <v>2024</v>
      </c>
      <c r="D33">
        <v>4</v>
      </c>
      <c r="E33" t="s">
        <v>73</v>
      </c>
      <c r="F33" t="s">
        <v>47</v>
      </c>
      <c r="G33" t="s">
        <v>3</v>
      </c>
      <c r="H33" t="s">
        <v>4</v>
      </c>
      <c r="I33" t="s">
        <v>219</v>
      </c>
      <c r="J33" t="s">
        <v>84</v>
      </c>
      <c r="K33" t="s">
        <v>36</v>
      </c>
      <c r="L33" t="s">
        <v>10</v>
      </c>
    </row>
    <row r="34" spans="1:12">
      <c r="A34" t="s">
        <v>244</v>
      </c>
      <c r="B34" s="2">
        <v>45406</v>
      </c>
      <c r="C34">
        <v>2024</v>
      </c>
      <c r="D34">
        <v>4</v>
      </c>
      <c r="E34" t="s">
        <v>73</v>
      </c>
      <c r="F34" t="s">
        <v>19</v>
      </c>
      <c r="G34" t="s">
        <v>64</v>
      </c>
      <c r="H34" t="s">
        <v>4</v>
      </c>
      <c r="I34" t="s">
        <v>245</v>
      </c>
      <c r="J34" t="s">
        <v>7</v>
      </c>
      <c r="K34" t="s">
        <v>16</v>
      </c>
      <c r="L34" t="s">
        <v>10</v>
      </c>
    </row>
    <row r="35" spans="1:12">
      <c r="A35" t="s">
        <v>246</v>
      </c>
      <c r="B35" s="2">
        <v>45397</v>
      </c>
      <c r="C35">
        <v>2024</v>
      </c>
      <c r="D35">
        <v>4</v>
      </c>
      <c r="E35" t="s">
        <v>73</v>
      </c>
      <c r="F35" t="s">
        <v>19</v>
      </c>
      <c r="G35" t="s">
        <v>64</v>
      </c>
      <c r="H35" t="s">
        <v>33</v>
      </c>
      <c r="I35" t="s">
        <v>207</v>
      </c>
      <c r="J35" t="s">
        <v>21</v>
      </c>
      <c r="K35" t="s">
        <v>9</v>
      </c>
      <c r="L35" t="s">
        <v>10</v>
      </c>
    </row>
    <row r="36" spans="1:12">
      <c r="A36" t="s">
        <v>247</v>
      </c>
      <c r="B36" s="2">
        <v>45405</v>
      </c>
      <c r="C36">
        <v>2024</v>
      </c>
      <c r="D36">
        <v>4</v>
      </c>
      <c r="E36" t="s">
        <v>73</v>
      </c>
      <c r="F36" t="s">
        <v>78</v>
      </c>
      <c r="G36" t="s">
        <v>61</v>
      </c>
      <c r="H36" t="s">
        <v>33</v>
      </c>
      <c r="I36" t="s">
        <v>205</v>
      </c>
      <c r="J36" t="s">
        <v>71</v>
      </c>
      <c r="K36" t="s">
        <v>16</v>
      </c>
      <c r="L36" t="s">
        <v>10</v>
      </c>
    </row>
    <row r="37" spans="1:12">
      <c r="A37" t="s">
        <v>248</v>
      </c>
      <c r="B37" s="2">
        <v>45399</v>
      </c>
      <c r="C37">
        <v>2024</v>
      </c>
      <c r="D37">
        <v>4</v>
      </c>
      <c r="E37" t="s">
        <v>73</v>
      </c>
      <c r="F37" t="s">
        <v>67</v>
      </c>
      <c r="G37" t="s">
        <v>61</v>
      </c>
      <c r="H37" t="s">
        <v>33</v>
      </c>
      <c r="I37" t="s">
        <v>245</v>
      </c>
      <c r="J37" t="s">
        <v>14</v>
      </c>
      <c r="K37" t="s">
        <v>9</v>
      </c>
      <c r="L37" t="s">
        <v>10</v>
      </c>
    </row>
    <row r="38" spans="1:12">
      <c r="A38" t="s">
        <v>249</v>
      </c>
      <c r="B38" s="2">
        <v>45388</v>
      </c>
      <c r="C38">
        <v>2024</v>
      </c>
      <c r="D38">
        <v>4</v>
      </c>
      <c r="E38" t="s">
        <v>73</v>
      </c>
      <c r="F38" t="s">
        <v>47</v>
      </c>
      <c r="G38" t="s">
        <v>38</v>
      </c>
      <c r="H38" t="s">
        <v>44</v>
      </c>
      <c r="I38" t="s">
        <v>219</v>
      </c>
      <c r="J38" t="s">
        <v>84</v>
      </c>
      <c r="K38" t="s">
        <v>36</v>
      </c>
      <c r="L38" t="s">
        <v>10</v>
      </c>
    </row>
    <row r="39" spans="1:12">
      <c r="A39" t="s">
        <v>250</v>
      </c>
      <c r="B39" s="2">
        <v>45421</v>
      </c>
      <c r="C39">
        <v>2024</v>
      </c>
      <c r="D39">
        <v>5</v>
      </c>
      <c r="E39" t="s">
        <v>83</v>
      </c>
      <c r="F39" t="s">
        <v>40</v>
      </c>
      <c r="G39" t="s">
        <v>32</v>
      </c>
      <c r="H39" t="s">
        <v>44</v>
      </c>
      <c r="I39" t="s">
        <v>231</v>
      </c>
      <c r="J39" t="s">
        <v>56</v>
      </c>
      <c r="K39" t="s">
        <v>36</v>
      </c>
      <c r="L39" t="s">
        <v>10</v>
      </c>
    </row>
    <row r="40" spans="1:12">
      <c r="A40" t="s">
        <v>251</v>
      </c>
      <c r="B40" s="2">
        <v>45440</v>
      </c>
      <c r="C40">
        <v>2024</v>
      </c>
      <c r="D40">
        <v>5</v>
      </c>
      <c r="E40" t="s">
        <v>83</v>
      </c>
      <c r="F40" t="s">
        <v>67</v>
      </c>
      <c r="G40" t="s">
        <v>27</v>
      </c>
      <c r="H40" t="s">
        <v>33</v>
      </c>
      <c r="I40" t="s">
        <v>215</v>
      </c>
      <c r="J40" t="s">
        <v>51</v>
      </c>
      <c r="K40" t="s">
        <v>9</v>
      </c>
      <c r="L40" t="s">
        <v>10</v>
      </c>
    </row>
    <row r="41" spans="1:12">
      <c r="A41" t="s">
        <v>252</v>
      </c>
      <c r="B41" s="2">
        <v>45414</v>
      </c>
      <c r="C41">
        <v>2024</v>
      </c>
      <c r="D41">
        <v>5</v>
      </c>
      <c r="E41" t="s">
        <v>83</v>
      </c>
      <c r="F41" t="s">
        <v>26</v>
      </c>
      <c r="G41" t="s">
        <v>61</v>
      </c>
      <c r="H41" t="s">
        <v>4</v>
      </c>
      <c r="I41" t="s">
        <v>245</v>
      </c>
      <c r="J41" t="s">
        <v>71</v>
      </c>
      <c r="K41" t="s">
        <v>29</v>
      </c>
      <c r="L41" t="s">
        <v>10</v>
      </c>
    </row>
    <row r="42" spans="1:12">
      <c r="A42" t="s">
        <v>253</v>
      </c>
      <c r="B42" s="2">
        <v>45415</v>
      </c>
      <c r="C42">
        <v>2024</v>
      </c>
      <c r="D42">
        <v>5</v>
      </c>
      <c r="E42" t="s">
        <v>83</v>
      </c>
      <c r="F42" t="s">
        <v>31</v>
      </c>
      <c r="G42" t="s">
        <v>32</v>
      </c>
      <c r="H42" t="s">
        <v>12</v>
      </c>
      <c r="I42" t="s">
        <v>215</v>
      </c>
      <c r="J42" t="s">
        <v>107</v>
      </c>
      <c r="K42" t="s">
        <v>36</v>
      </c>
      <c r="L42" t="s">
        <v>10</v>
      </c>
    </row>
    <row r="43" spans="1:12">
      <c r="A43" t="s">
        <v>254</v>
      </c>
      <c r="B43" s="2">
        <v>45415</v>
      </c>
      <c r="C43">
        <v>2024</v>
      </c>
      <c r="D43">
        <v>5</v>
      </c>
      <c r="E43" t="s">
        <v>83</v>
      </c>
      <c r="F43" t="s">
        <v>19</v>
      </c>
      <c r="G43" t="s">
        <v>3</v>
      </c>
      <c r="H43" t="s">
        <v>12</v>
      </c>
      <c r="I43" t="s">
        <v>217</v>
      </c>
      <c r="J43" t="s">
        <v>84</v>
      </c>
      <c r="K43" t="s">
        <v>29</v>
      </c>
      <c r="L43" t="s">
        <v>10</v>
      </c>
    </row>
    <row r="44" spans="1:12">
      <c r="A44" t="s">
        <v>255</v>
      </c>
      <c r="B44" s="2">
        <v>45430</v>
      </c>
      <c r="C44">
        <v>2024</v>
      </c>
      <c r="D44">
        <v>5</v>
      </c>
      <c r="E44" t="s">
        <v>83</v>
      </c>
      <c r="F44" t="s">
        <v>26</v>
      </c>
      <c r="G44" t="s">
        <v>48</v>
      </c>
      <c r="H44" t="s">
        <v>12</v>
      </c>
      <c r="I44" t="s">
        <v>231</v>
      </c>
      <c r="J44" t="s">
        <v>107</v>
      </c>
      <c r="K44" t="s">
        <v>9</v>
      </c>
      <c r="L44" t="s">
        <v>10</v>
      </c>
    </row>
    <row r="45" spans="1:12">
      <c r="A45" t="s">
        <v>256</v>
      </c>
      <c r="B45" s="2">
        <v>45446</v>
      </c>
      <c r="C45">
        <v>2024</v>
      </c>
      <c r="D45">
        <v>6</v>
      </c>
      <c r="E45" t="s">
        <v>87</v>
      </c>
      <c r="F45" t="s">
        <v>26</v>
      </c>
      <c r="G45" t="s">
        <v>38</v>
      </c>
      <c r="H45" t="s">
        <v>33</v>
      </c>
      <c r="I45" t="s">
        <v>205</v>
      </c>
      <c r="J45" t="s">
        <v>21</v>
      </c>
      <c r="K45" t="s">
        <v>36</v>
      </c>
      <c r="L45" t="s">
        <v>10</v>
      </c>
    </row>
    <row r="46" spans="1:12">
      <c r="A46" t="s">
        <v>257</v>
      </c>
      <c r="B46" s="2">
        <v>45444</v>
      </c>
      <c r="C46">
        <v>2024</v>
      </c>
      <c r="D46">
        <v>6</v>
      </c>
      <c r="E46" t="s">
        <v>87</v>
      </c>
      <c r="F46" t="s">
        <v>47</v>
      </c>
      <c r="G46" t="s">
        <v>48</v>
      </c>
      <c r="H46" t="s">
        <v>12</v>
      </c>
      <c r="I46" t="s">
        <v>205</v>
      </c>
      <c r="J46" t="s">
        <v>14</v>
      </c>
      <c r="K46" t="s">
        <v>36</v>
      </c>
      <c r="L46" t="s">
        <v>10</v>
      </c>
    </row>
    <row r="47" spans="1:12">
      <c r="A47" t="s">
        <v>258</v>
      </c>
      <c r="B47" s="2">
        <v>45466</v>
      </c>
      <c r="C47">
        <v>2024</v>
      </c>
      <c r="D47">
        <v>6</v>
      </c>
      <c r="E47" t="s">
        <v>87</v>
      </c>
      <c r="F47" t="s">
        <v>31</v>
      </c>
      <c r="G47" t="s">
        <v>48</v>
      </c>
      <c r="H47" t="s">
        <v>12</v>
      </c>
      <c r="I47" t="s">
        <v>207</v>
      </c>
      <c r="J47" t="s">
        <v>21</v>
      </c>
      <c r="K47" t="s">
        <v>36</v>
      </c>
      <c r="L47" t="s">
        <v>10</v>
      </c>
    </row>
    <row r="48" spans="1:12">
      <c r="A48" t="s">
        <v>259</v>
      </c>
      <c r="B48" s="2">
        <v>45470</v>
      </c>
      <c r="C48">
        <v>2024</v>
      </c>
      <c r="D48">
        <v>6</v>
      </c>
      <c r="E48" t="s">
        <v>87</v>
      </c>
      <c r="F48" t="s">
        <v>31</v>
      </c>
      <c r="G48" t="s">
        <v>74</v>
      </c>
      <c r="H48" t="s">
        <v>4</v>
      </c>
      <c r="I48" t="s">
        <v>231</v>
      </c>
      <c r="J48" t="s">
        <v>71</v>
      </c>
      <c r="K48" t="s">
        <v>9</v>
      </c>
      <c r="L48" t="s">
        <v>10</v>
      </c>
    </row>
    <row r="49" spans="1:12">
      <c r="A49" t="s">
        <v>260</v>
      </c>
      <c r="B49" s="2">
        <v>45471</v>
      </c>
      <c r="C49">
        <v>2024</v>
      </c>
      <c r="D49">
        <v>6</v>
      </c>
      <c r="E49" t="s">
        <v>87</v>
      </c>
      <c r="F49" t="s">
        <v>2</v>
      </c>
      <c r="G49" t="s">
        <v>32</v>
      </c>
      <c r="H49" t="s">
        <v>4</v>
      </c>
      <c r="I49" t="s">
        <v>207</v>
      </c>
      <c r="J49" t="s">
        <v>56</v>
      </c>
      <c r="K49" t="s">
        <v>9</v>
      </c>
      <c r="L49" t="s">
        <v>10</v>
      </c>
    </row>
    <row r="50" spans="1:12">
      <c r="A50" t="s">
        <v>261</v>
      </c>
      <c r="B50" s="2">
        <v>45470</v>
      </c>
      <c r="C50">
        <v>2024</v>
      </c>
      <c r="D50">
        <v>6</v>
      </c>
      <c r="E50" t="s">
        <v>87</v>
      </c>
      <c r="F50" t="s">
        <v>40</v>
      </c>
      <c r="G50" t="s">
        <v>3</v>
      </c>
      <c r="H50" t="s">
        <v>4</v>
      </c>
      <c r="I50" t="s">
        <v>213</v>
      </c>
      <c r="J50" t="s">
        <v>21</v>
      </c>
      <c r="K50" t="s">
        <v>16</v>
      </c>
      <c r="L50" t="s">
        <v>10</v>
      </c>
    </row>
    <row r="51" spans="1:12">
      <c r="A51" t="s">
        <v>262</v>
      </c>
      <c r="B51" s="2">
        <v>45449</v>
      </c>
      <c r="C51">
        <v>2024</v>
      </c>
      <c r="D51">
        <v>6</v>
      </c>
      <c r="E51" t="s">
        <v>87</v>
      </c>
      <c r="F51" t="s">
        <v>40</v>
      </c>
      <c r="G51" t="s">
        <v>64</v>
      </c>
      <c r="H51" t="s">
        <v>44</v>
      </c>
      <c r="I51" t="s">
        <v>215</v>
      </c>
      <c r="J51" t="s">
        <v>41</v>
      </c>
      <c r="K51" t="s">
        <v>29</v>
      </c>
      <c r="L51" t="s">
        <v>10</v>
      </c>
    </row>
    <row r="52" spans="1:12">
      <c r="A52" t="s">
        <v>263</v>
      </c>
      <c r="B52" s="2">
        <v>45459</v>
      </c>
      <c r="C52">
        <v>2024</v>
      </c>
      <c r="D52">
        <v>6</v>
      </c>
      <c r="E52" t="s">
        <v>87</v>
      </c>
      <c r="F52" t="s">
        <v>19</v>
      </c>
      <c r="G52" t="s">
        <v>27</v>
      </c>
      <c r="H52" t="s">
        <v>12</v>
      </c>
      <c r="I52" t="s">
        <v>217</v>
      </c>
      <c r="J52" t="s">
        <v>51</v>
      </c>
      <c r="K52" t="s">
        <v>36</v>
      </c>
      <c r="L52" t="s">
        <v>10</v>
      </c>
    </row>
    <row r="53" spans="1:12">
      <c r="A53" t="s">
        <v>264</v>
      </c>
      <c r="B53" s="2">
        <v>45483</v>
      </c>
      <c r="C53">
        <v>2024</v>
      </c>
      <c r="D53">
        <v>7</v>
      </c>
      <c r="E53" t="s">
        <v>93</v>
      </c>
      <c r="F53" t="s">
        <v>19</v>
      </c>
      <c r="G53" t="s">
        <v>74</v>
      </c>
      <c r="H53" t="s">
        <v>12</v>
      </c>
      <c r="I53" t="s">
        <v>231</v>
      </c>
      <c r="J53" t="s">
        <v>21</v>
      </c>
      <c r="K53" t="s">
        <v>36</v>
      </c>
      <c r="L53" t="s">
        <v>10</v>
      </c>
    </row>
    <row r="54" spans="1:12">
      <c r="A54" t="s">
        <v>265</v>
      </c>
      <c r="B54" s="2">
        <v>45478</v>
      </c>
      <c r="C54">
        <v>2024</v>
      </c>
      <c r="D54">
        <v>7</v>
      </c>
      <c r="E54" t="s">
        <v>93</v>
      </c>
      <c r="F54" t="s">
        <v>38</v>
      </c>
      <c r="G54" t="s">
        <v>61</v>
      </c>
      <c r="H54" t="s">
        <v>12</v>
      </c>
      <c r="I54" t="s">
        <v>213</v>
      </c>
      <c r="J54" t="s">
        <v>21</v>
      </c>
      <c r="K54" t="s">
        <v>29</v>
      </c>
      <c r="L54" t="s">
        <v>10</v>
      </c>
    </row>
    <row r="55" spans="1:12">
      <c r="A55" t="s">
        <v>266</v>
      </c>
      <c r="B55" s="2">
        <v>45483</v>
      </c>
      <c r="C55">
        <v>2024</v>
      </c>
      <c r="D55">
        <v>7</v>
      </c>
      <c r="E55" t="s">
        <v>93</v>
      </c>
      <c r="F55" t="s">
        <v>54</v>
      </c>
      <c r="G55" t="s">
        <v>64</v>
      </c>
      <c r="H55" t="s">
        <v>44</v>
      </c>
      <c r="I55" t="s">
        <v>219</v>
      </c>
      <c r="J55" t="s">
        <v>56</v>
      </c>
      <c r="K55" t="s">
        <v>9</v>
      </c>
      <c r="L55" t="s">
        <v>10</v>
      </c>
    </row>
    <row r="56" spans="1:12">
      <c r="A56" t="s">
        <v>267</v>
      </c>
      <c r="B56" s="2">
        <v>45482</v>
      </c>
      <c r="C56">
        <v>2024</v>
      </c>
      <c r="D56">
        <v>7</v>
      </c>
      <c r="E56" t="s">
        <v>93</v>
      </c>
      <c r="F56" t="s">
        <v>38</v>
      </c>
      <c r="G56" t="s">
        <v>48</v>
      </c>
      <c r="H56" t="s">
        <v>4</v>
      </c>
      <c r="I56" t="s">
        <v>215</v>
      </c>
      <c r="J56" t="s">
        <v>56</v>
      </c>
      <c r="K56" t="s">
        <v>9</v>
      </c>
      <c r="L56" t="s">
        <v>10</v>
      </c>
    </row>
    <row r="57" spans="1:12">
      <c r="A57" t="s">
        <v>268</v>
      </c>
      <c r="B57" s="2">
        <v>45495</v>
      </c>
      <c r="C57">
        <v>2024</v>
      </c>
      <c r="D57">
        <v>7</v>
      </c>
      <c r="E57" t="s">
        <v>93</v>
      </c>
      <c r="F57" t="s">
        <v>67</v>
      </c>
      <c r="G57" t="s">
        <v>3</v>
      </c>
      <c r="H57" t="s">
        <v>33</v>
      </c>
      <c r="I57" t="s">
        <v>231</v>
      </c>
      <c r="J57" t="s">
        <v>84</v>
      </c>
      <c r="K57" t="s">
        <v>29</v>
      </c>
      <c r="L57" t="s">
        <v>10</v>
      </c>
    </row>
    <row r="58" spans="1:12">
      <c r="A58" t="s">
        <v>269</v>
      </c>
      <c r="B58" s="2">
        <v>45485</v>
      </c>
      <c r="C58">
        <v>2024</v>
      </c>
      <c r="D58">
        <v>7</v>
      </c>
      <c r="E58" t="s">
        <v>93</v>
      </c>
      <c r="F58" t="s">
        <v>38</v>
      </c>
      <c r="G58" t="s">
        <v>27</v>
      </c>
      <c r="H58" t="s">
        <v>44</v>
      </c>
      <c r="I58" t="s">
        <v>217</v>
      </c>
      <c r="J58" t="s">
        <v>51</v>
      </c>
      <c r="K58" t="s">
        <v>29</v>
      </c>
      <c r="L58" t="s">
        <v>10</v>
      </c>
    </row>
    <row r="59" spans="1:12">
      <c r="A59" t="s">
        <v>270</v>
      </c>
      <c r="B59" s="2">
        <v>45527</v>
      </c>
      <c r="C59">
        <v>2024</v>
      </c>
      <c r="D59">
        <v>8</v>
      </c>
      <c r="E59" t="s">
        <v>101</v>
      </c>
      <c r="F59" t="s">
        <v>40</v>
      </c>
      <c r="G59" t="s">
        <v>38</v>
      </c>
      <c r="H59" t="s">
        <v>4</v>
      </c>
      <c r="I59" t="s">
        <v>207</v>
      </c>
      <c r="J59" t="s">
        <v>41</v>
      </c>
      <c r="K59" t="s">
        <v>16</v>
      </c>
      <c r="L59" t="s">
        <v>10</v>
      </c>
    </row>
    <row r="60" spans="1:12">
      <c r="A60" t="s">
        <v>271</v>
      </c>
      <c r="B60" s="2">
        <v>45517</v>
      </c>
      <c r="C60">
        <v>2024</v>
      </c>
      <c r="D60">
        <v>8</v>
      </c>
      <c r="E60" t="s">
        <v>101</v>
      </c>
      <c r="F60" t="s">
        <v>2</v>
      </c>
      <c r="G60" t="s">
        <v>69</v>
      </c>
      <c r="H60" t="s">
        <v>44</v>
      </c>
      <c r="I60" t="s">
        <v>213</v>
      </c>
      <c r="J60" t="s">
        <v>14</v>
      </c>
      <c r="K60" t="s">
        <v>29</v>
      </c>
      <c r="L60" t="s">
        <v>10</v>
      </c>
    </row>
    <row r="61" spans="1:12">
      <c r="A61" t="s">
        <v>272</v>
      </c>
      <c r="B61" s="2">
        <v>45514</v>
      </c>
      <c r="C61">
        <v>2024</v>
      </c>
      <c r="D61">
        <v>8</v>
      </c>
      <c r="E61" t="s">
        <v>101</v>
      </c>
      <c r="F61" t="s">
        <v>54</v>
      </c>
      <c r="G61" t="s">
        <v>94</v>
      </c>
      <c r="H61" t="s">
        <v>44</v>
      </c>
      <c r="I61" t="s">
        <v>231</v>
      </c>
      <c r="J61" t="s">
        <v>14</v>
      </c>
      <c r="K61" t="s">
        <v>16</v>
      </c>
      <c r="L61" t="s">
        <v>10</v>
      </c>
    </row>
    <row r="62" spans="1:12">
      <c r="A62" t="s">
        <v>273</v>
      </c>
      <c r="B62" s="2">
        <v>45519</v>
      </c>
      <c r="C62">
        <v>2024</v>
      </c>
      <c r="D62">
        <v>8</v>
      </c>
      <c r="E62" t="s">
        <v>101</v>
      </c>
      <c r="F62" t="s">
        <v>47</v>
      </c>
      <c r="G62" t="s">
        <v>27</v>
      </c>
      <c r="H62" t="s">
        <v>12</v>
      </c>
      <c r="I62" t="s">
        <v>219</v>
      </c>
      <c r="J62" t="s">
        <v>7</v>
      </c>
      <c r="K62" t="s">
        <v>16</v>
      </c>
      <c r="L62" t="s">
        <v>10</v>
      </c>
    </row>
    <row r="63" spans="1:12">
      <c r="A63" t="s">
        <v>274</v>
      </c>
      <c r="B63" s="2">
        <v>45531</v>
      </c>
      <c r="C63">
        <v>2024</v>
      </c>
      <c r="D63">
        <v>8</v>
      </c>
      <c r="E63" t="s">
        <v>101</v>
      </c>
      <c r="F63" t="s">
        <v>47</v>
      </c>
      <c r="G63" t="s">
        <v>61</v>
      </c>
      <c r="H63" t="s">
        <v>44</v>
      </c>
      <c r="I63" t="s">
        <v>217</v>
      </c>
      <c r="J63" t="s">
        <v>41</v>
      </c>
      <c r="K63" t="s">
        <v>36</v>
      </c>
      <c r="L63" t="s">
        <v>10</v>
      </c>
    </row>
    <row r="64" spans="1:12">
      <c r="A64" t="s">
        <v>275</v>
      </c>
      <c r="B64" s="2">
        <v>45517</v>
      </c>
      <c r="C64">
        <v>2024</v>
      </c>
      <c r="D64">
        <v>8</v>
      </c>
      <c r="E64" t="s">
        <v>101</v>
      </c>
      <c r="F64" t="s">
        <v>2</v>
      </c>
      <c r="G64" t="s">
        <v>55</v>
      </c>
      <c r="H64" t="s">
        <v>44</v>
      </c>
      <c r="I64" t="s">
        <v>211</v>
      </c>
      <c r="J64" t="s">
        <v>71</v>
      </c>
      <c r="K64" t="s">
        <v>29</v>
      </c>
      <c r="L64" t="s">
        <v>10</v>
      </c>
    </row>
    <row r="65" spans="1:12">
      <c r="A65" t="s">
        <v>276</v>
      </c>
      <c r="B65" s="2">
        <v>45528</v>
      </c>
      <c r="C65">
        <v>2024</v>
      </c>
      <c r="D65">
        <v>8</v>
      </c>
      <c r="E65" t="s">
        <v>101</v>
      </c>
      <c r="F65" t="s">
        <v>54</v>
      </c>
      <c r="G65" t="s">
        <v>74</v>
      </c>
      <c r="H65" t="s">
        <v>33</v>
      </c>
      <c r="I65" t="s">
        <v>245</v>
      </c>
      <c r="J65" t="s">
        <v>7</v>
      </c>
      <c r="K65" t="s">
        <v>16</v>
      </c>
      <c r="L65" t="s">
        <v>10</v>
      </c>
    </row>
    <row r="66" spans="1:12">
      <c r="A66" t="s">
        <v>277</v>
      </c>
      <c r="B66" s="2">
        <v>45557</v>
      </c>
      <c r="C66">
        <v>2024</v>
      </c>
      <c r="D66">
        <v>9</v>
      </c>
      <c r="E66" t="s">
        <v>105</v>
      </c>
      <c r="F66" t="s">
        <v>40</v>
      </c>
      <c r="G66" t="s">
        <v>55</v>
      </c>
      <c r="H66" t="s">
        <v>44</v>
      </c>
      <c r="I66" t="s">
        <v>205</v>
      </c>
      <c r="J66" t="s">
        <v>21</v>
      </c>
      <c r="K66" t="s">
        <v>9</v>
      </c>
      <c r="L66" t="s">
        <v>10</v>
      </c>
    </row>
    <row r="67" spans="1:12">
      <c r="A67" t="s">
        <v>278</v>
      </c>
      <c r="B67" s="2">
        <v>45554</v>
      </c>
      <c r="C67">
        <v>2024</v>
      </c>
      <c r="D67">
        <v>9</v>
      </c>
      <c r="E67" t="s">
        <v>105</v>
      </c>
      <c r="F67" t="s">
        <v>2</v>
      </c>
      <c r="G67" t="s">
        <v>69</v>
      </c>
      <c r="H67" t="s">
        <v>44</v>
      </c>
      <c r="I67" t="s">
        <v>211</v>
      </c>
      <c r="J67" t="s">
        <v>107</v>
      </c>
      <c r="K67" t="s">
        <v>29</v>
      </c>
      <c r="L67" t="s">
        <v>10</v>
      </c>
    </row>
    <row r="68" spans="1:12">
      <c r="A68" t="s">
        <v>279</v>
      </c>
      <c r="B68" s="2">
        <v>45538</v>
      </c>
      <c r="C68">
        <v>2024</v>
      </c>
      <c r="D68">
        <v>9</v>
      </c>
      <c r="E68" t="s">
        <v>105</v>
      </c>
      <c r="F68" t="s">
        <v>31</v>
      </c>
      <c r="G68" t="s">
        <v>27</v>
      </c>
      <c r="H68" t="s">
        <v>33</v>
      </c>
      <c r="I68" t="s">
        <v>207</v>
      </c>
      <c r="J68" t="s">
        <v>84</v>
      </c>
      <c r="K68" t="s">
        <v>29</v>
      </c>
      <c r="L68" t="s">
        <v>10</v>
      </c>
    </row>
    <row r="69" spans="1:12">
      <c r="A69" t="s">
        <v>280</v>
      </c>
      <c r="B69" s="2">
        <v>45549</v>
      </c>
      <c r="C69">
        <v>2024</v>
      </c>
      <c r="D69">
        <v>9</v>
      </c>
      <c r="E69" t="s">
        <v>105</v>
      </c>
      <c r="F69" t="s">
        <v>26</v>
      </c>
      <c r="G69" t="s">
        <v>27</v>
      </c>
      <c r="H69" t="s">
        <v>4</v>
      </c>
      <c r="I69" t="s">
        <v>207</v>
      </c>
      <c r="J69" t="s">
        <v>21</v>
      </c>
      <c r="K69" t="s">
        <v>16</v>
      </c>
      <c r="L69" t="s">
        <v>10</v>
      </c>
    </row>
    <row r="70" spans="1:12">
      <c r="A70" t="s">
        <v>281</v>
      </c>
      <c r="B70" s="2">
        <v>45566</v>
      </c>
      <c r="C70">
        <v>2024</v>
      </c>
      <c r="D70">
        <v>10</v>
      </c>
      <c r="E70" t="s">
        <v>113</v>
      </c>
      <c r="F70" t="s">
        <v>38</v>
      </c>
      <c r="G70" t="s">
        <v>27</v>
      </c>
      <c r="H70" t="s">
        <v>33</v>
      </c>
      <c r="I70" t="s">
        <v>219</v>
      </c>
      <c r="J70" t="s">
        <v>84</v>
      </c>
      <c r="K70" t="s">
        <v>16</v>
      </c>
      <c r="L70" t="s">
        <v>10</v>
      </c>
    </row>
    <row r="71" spans="1:12">
      <c r="A71" t="s">
        <v>282</v>
      </c>
      <c r="B71" s="2">
        <v>45585</v>
      </c>
      <c r="C71">
        <v>2024</v>
      </c>
      <c r="D71">
        <v>10</v>
      </c>
      <c r="E71" t="s">
        <v>113</v>
      </c>
      <c r="F71" t="s">
        <v>2</v>
      </c>
      <c r="G71" t="s">
        <v>94</v>
      </c>
      <c r="H71" t="s">
        <v>12</v>
      </c>
      <c r="I71" t="s">
        <v>205</v>
      </c>
      <c r="J71" t="s">
        <v>41</v>
      </c>
      <c r="K71" t="s">
        <v>16</v>
      </c>
      <c r="L71" t="s">
        <v>10</v>
      </c>
    </row>
    <row r="72" spans="1:12">
      <c r="A72" t="s">
        <v>283</v>
      </c>
      <c r="B72" s="2">
        <v>45567</v>
      </c>
      <c r="C72">
        <v>2024</v>
      </c>
      <c r="D72">
        <v>10</v>
      </c>
      <c r="E72" t="s">
        <v>113</v>
      </c>
      <c r="F72" t="s">
        <v>19</v>
      </c>
      <c r="G72" t="s">
        <v>64</v>
      </c>
      <c r="H72" t="s">
        <v>4</v>
      </c>
      <c r="I72" t="s">
        <v>231</v>
      </c>
      <c r="J72" t="s">
        <v>58</v>
      </c>
      <c r="K72" t="s">
        <v>16</v>
      </c>
      <c r="L72" t="s">
        <v>10</v>
      </c>
    </row>
    <row r="73" spans="1:12">
      <c r="A73" t="s">
        <v>284</v>
      </c>
      <c r="B73" s="2">
        <v>45568</v>
      </c>
      <c r="C73">
        <v>2024</v>
      </c>
      <c r="D73">
        <v>10</v>
      </c>
      <c r="E73" t="s">
        <v>113</v>
      </c>
      <c r="F73" t="s">
        <v>38</v>
      </c>
      <c r="G73" t="s">
        <v>69</v>
      </c>
      <c r="H73" t="s">
        <v>12</v>
      </c>
      <c r="I73" t="s">
        <v>219</v>
      </c>
      <c r="J73" t="s">
        <v>56</v>
      </c>
      <c r="K73" t="s">
        <v>36</v>
      </c>
      <c r="L73" t="s">
        <v>10</v>
      </c>
    </row>
    <row r="74" spans="1:12">
      <c r="A74" t="s">
        <v>285</v>
      </c>
      <c r="B74" s="2">
        <v>45572</v>
      </c>
      <c r="C74">
        <v>2024</v>
      </c>
      <c r="D74">
        <v>10</v>
      </c>
      <c r="E74" t="s">
        <v>113</v>
      </c>
      <c r="F74" t="s">
        <v>47</v>
      </c>
      <c r="G74" t="s">
        <v>20</v>
      </c>
      <c r="H74" t="s">
        <v>4</v>
      </c>
      <c r="I74" t="s">
        <v>213</v>
      </c>
      <c r="J74" t="s">
        <v>56</v>
      </c>
      <c r="K74" t="s">
        <v>29</v>
      </c>
      <c r="L74" t="s">
        <v>10</v>
      </c>
    </row>
    <row r="75" spans="1:12">
      <c r="A75" t="s">
        <v>286</v>
      </c>
      <c r="B75" s="2">
        <v>45580</v>
      </c>
      <c r="C75">
        <v>2024</v>
      </c>
      <c r="D75">
        <v>10</v>
      </c>
      <c r="E75" t="s">
        <v>113</v>
      </c>
      <c r="F75" t="s">
        <v>38</v>
      </c>
      <c r="G75" t="s">
        <v>55</v>
      </c>
      <c r="H75" t="s">
        <v>4</v>
      </c>
      <c r="I75" t="s">
        <v>213</v>
      </c>
      <c r="J75" t="s">
        <v>58</v>
      </c>
      <c r="K75" t="s">
        <v>9</v>
      </c>
      <c r="L75" t="s">
        <v>10</v>
      </c>
    </row>
    <row r="76" spans="1:12">
      <c r="A76" t="s">
        <v>287</v>
      </c>
      <c r="B76" s="2">
        <v>45588</v>
      </c>
      <c r="C76">
        <v>2024</v>
      </c>
      <c r="D76">
        <v>10</v>
      </c>
      <c r="E76" t="s">
        <v>113</v>
      </c>
      <c r="F76" t="s">
        <v>67</v>
      </c>
      <c r="G76" t="s">
        <v>38</v>
      </c>
      <c r="H76" t="s">
        <v>12</v>
      </c>
      <c r="I76" t="s">
        <v>231</v>
      </c>
      <c r="J76" t="s">
        <v>41</v>
      </c>
      <c r="K76" t="s">
        <v>29</v>
      </c>
      <c r="L76" t="s">
        <v>10</v>
      </c>
    </row>
    <row r="77" spans="1:12">
      <c r="A77" t="s">
        <v>288</v>
      </c>
      <c r="B77" s="2">
        <v>45580</v>
      </c>
      <c r="C77">
        <v>2024</v>
      </c>
      <c r="D77">
        <v>10</v>
      </c>
      <c r="E77" t="s">
        <v>113</v>
      </c>
      <c r="F77" t="s">
        <v>47</v>
      </c>
      <c r="G77" t="s">
        <v>20</v>
      </c>
      <c r="H77" t="s">
        <v>12</v>
      </c>
      <c r="I77" t="s">
        <v>205</v>
      </c>
      <c r="J77" t="s">
        <v>71</v>
      </c>
      <c r="K77" t="s">
        <v>9</v>
      </c>
      <c r="L77" t="s">
        <v>10</v>
      </c>
    </row>
    <row r="78" spans="1:12">
      <c r="A78" t="s">
        <v>289</v>
      </c>
      <c r="B78" s="2">
        <v>45591</v>
      </c>
      <c r="C78">
        <v>2024</v>
      </c>
      <c r="D78">
        <v>10</v>
      </c>
      <c r="E78" t="s">
        <v>113</v>
      </c>
      <c r="F78" t="s">
        <v>40</v>
      </c>
      <c r="G78" t="s">
        <v>38</v>
      </c>
      <c r="H78" t="s">
        <v>4</v>
      </c>
      <c r="I78" t="s">
        <v>213</v>
      </c>
      <c r="J78" t="s">
        <v>21</v>
      </c>
      <c r="K78" t="s">
        <v>29</v>
      </c>
      <c r="L78" t="s">
        <v>10</v>
      </c>
    </row>
    <row r="79" spans="1:12">
      <c r="A79" t="s">
        <v>290</v>
      </c>
      <c r="B79" s="2">
        <v>45588</v>
      </c>
      <c r="C79">
        <v>2024</v>
      </c>
      <c r="D79">
        <v>10</v>
      </c>
      <c r="E79" t="s">
        <v>113</v>
      </c>
      <c r="F79" t="s">
        <v>19</v>
      </c>
      <c r="G79" t="s">
        <v>74</v>
      </c>
      <c r="H79" t="s">
        <v>44</v>
      </c>
      <c r="I79" t="s">
        <v>205</v>
      </c>
      <c r="J79" t="s">
        <v>21</v>
      </c>
      <c r="K79" t="s">
        <v>29</v>
      </c>
      <c r="L79" t="s">
        <v>10</v>
      </c>
    </row>
    <row r="80" spans="1:12">
      <c r="A80" t="s">
        <v>291</v>
      </c>
      <c r="B80" s="2">
        <v>45592</v>
      </c>
      <c r="C80">
        <v>2024</v>
      </c>
      <c r="D80">
        <v>10</v>
      </c>
      <c r="E80" t="s">
        <v>113</v>
      </c>
      <c r="F80" t="s">
        <v>31</v>
      </c>
      <c r="G80" t="s">
        <v>38</v>
      </c>
      <c r="H80" t="s">
        <v>4</v>
      </c>
      <c r="I80" t="s">
        <v>213</v>
      </c>
      <c r="J80" t="s">
        <v>21</v>
      </c>
      <c r="K80" t="s">
        <v>36</v>
      </c>
      <c r="L80" t="s">
        <v>10</v>
      </c>
    </row>
    <row r="81" spans="1:12">
      <c r="A81" t="s">
        <v>292</v>
      </c>
      <c r="B81" s="2">
        <v>45612</v>
      </c>
      <c r="C81">
        <v>2024</v>
      </c>
      <c r="D81">
        <v>11</v>
      </c>
      <c r="E81" t="s">
        <v>117</v>
      </c>
      <c r="F81" t="s">
        <v>31</v>
      </c>
      <c r="G81" t="s">
        <v>3</v>
      </c>
      <c r="H81" t="s">
        <v>33</v>
      </c>
      <c r="I81" t="s">
        <v>205</v>
      </c>
      <c r="J81" t="s">
        <v>84</v>
      </c>
      <c r="K81" t="s">
        <v>36</v>
      </c>
      <c r="L81" t="s">
        <v>10</v>
      </c>
    </row>
    <row r="82" spans="1:12">
      <c r="A82" t="s">
        <v>293</v>
      </c>
      <c r="B82" s="2">
        <v>45601</v>
      </c>
      <c r="C82">
        <v>2024</v>
      </c>
      <c r="D82">
        <v>11</v>
      </c>
      <c r="E82" t="s">
        <v>117</v>
      </c>
      <c r="F82" t="s">
        <v>78</v>
      </c>
      <c r="G82" t="s">
        <v>32</v>
      </c>
      <c r="H82" t="s">
        <v>33</v>
      </c>
      <c r="I82" t="s">
        <v>245</v>
      </c>
      <c r="J82" t="s">
        <v>58</v>
      </c>
      <c r="K82" t="s">
        <v>16</v>
      </c>
      <c r="L82" t="s">
        <v>10</v>
      </c>
    </row>
    <row r="83" spans="1:12">
      <c r="A83" t="s">
        <v>294</v>
      </c>
      <c r="B83" s="2">
        <v>45607</v>
      </c>
      <c r="C83">
        <v>2024</v>
      </c>
      <c r="D83">
        <v>11</v>
      </c>
      <c r="E83" t="s">
        <v>117</v>
      </c>
      <c r="F83" t="s">
        <v>19</v>
      </c>
      <c r="G83" t="s">
        <v>3</v>
      </c>
      <c r="H83" t="s">
        <v>44</v>
      </c>
      <c r="I83" t="s">
        <v>207</v>
      </c>
      <c r="J83" t="s">
        <v>107</v>
      </c>
      <c r="K83" t="s">
        <v>29</v>
      </c>
      <c r="L83" t="s">
        <v>10</v>
      </c>
    </row>
    <row r="84" spans="1:12">
      <c r="A84" t="s">
        <v>295</v>
      </c>
      <c r="B84" s="2">
        <v>45600</v>
      </c>
      <c r="C84">
        <v>2024</v>
      </c>
      <c r="D84">
        <v>11</v>
      </c>
      <c r="E84" t="s">
        <v>117</v>
      </c>
      <c r="F84" t="s">
        <v>38</v>
      </c>
      <c r="G84" t="s">
        <v>64</v>
      </c>
      <c r="H84" t="s">
        <v>44</v>
      </c>
      <c r="I84" t="s">
        <v>215</v>
      </c>
      <c r="J84" t="s">
        <v>58</v>
      </c>
      <c r="K84" t="s">
        <v>36</v>
      </c>
      <c r="L84" t="s">
        <v>10</v>
      </c>
    </row>
    <row r="85" spans="1:12">
      <c r="A85" t="s">
        <v>296</v>
      </c>
      <c r="B85" s="2">
        <v>45601</v>
      </c>
      <c r="C85">
        <v>2024</v>
      </c>
      <c r="D85">
        <v>11</v>
      </c>
      <c r="E85" t="s">
        <v>117</v>
      </c>
      <c r="F85" t="s">
        <v>19</v>
      </c>
      <c r="G85" t="s">
        <v>27</v>
      </c>
      <c r="H85" t="s">
        <v>44</v>
      </c>
      <c r="I85" t="s">
        <v>231</v>
      </c>
      <c r="J85" t="s">
        <v>51</v>
      </c>
      <c r="K85" t="s">
        <v>9</v>
      </c>
      <c r="L85" t="s">
        <v>10</v>
      </c>
    </row>
    <row r="86" spans="1:12">
      <c r="A86" t="s">
        <v>297</v>
      </c>
      <c r="B86" s="2">
        <v>45624</v>
      </c>
      <c r="C86">
        <v>2024</v>
      </c>
      <c r="D86">
        <v>11</v>
      </c>
      <c r="E86" t="s">
        <v>117</v>
      </c>
      <c r="F86" t="s">
        <v>31</v>
      </c>
      <c r="G86" t="s">
        <v>48</v>
      </c>
      <c r="H86" t="s">
        <v>12</v>
      </c>
      <c r="I86" t="s">
        <v>211</v>
      </c>
      <c r="J86" t="s">
        <v>84</v>
      </c>
      <c r="K86" t="s">
        <v>36</v>
      </c>
      <c r="L86" t="s">
        <v>10</v>
      </c>
    </row>
    <row r="87" spans="1:12">
      <c r="A87" t="s">
        <v>298</v>
      </c>
      <c r="B87" s="2">
        <v>45610</v>
      </c>
      <c r="C87">
        <v>2024</v>
      </c>
      <c r="D87">
        <v>11</v>
      </c>
      <c r="E87" t="s">
        <v>117</v>
      </c>
      <c r="F87" t="s">
        <v>26</v>
      </c>
      <c r="G87" t="s">
        <v>55</v>
      </c>
      <c r="H87" t="s">
        <v>44</v>
      </c>
      <c r="I87" t="s">
        <v>211</v>
      </c>
      <c r="J87" t="s">
        <v>7</v>
      </c>
      <c r="K87" t="s">
        <v>36</v>
      </c>
      <c r="L87" t="s">
        <v>10</v>
      </c>
    </row>
    <row r="88" spans="1:12">
      <c r="A88" t="s">
        <v>299</v>
      </c>
      <c r="B88" s="2">
        <v>45607</v>
      </c>
      <c r="C88">
        <v>2024</v>
      </c>
      <c r="D88">
        <v>11</v>
      </c>
      <c r="E88" t="s">
        <v>117</v>
      </c>
      <c r="F88" t="s">
        <v>26</v>
      </c>
      <c r="G88" t="s">
        <v>27</v>
      </c>
      <c r="H88" t="s">
        <v>44</v>
      </c>
      <c r="I88" t="s">
        <v>231</v>
      </c>
      <c r="J88" t="s">
        <v>7</v>
      </c>
      <c r="K88" t="s">
        <v>36</v>
      </c>
      <c r="L88" t="s">
        <v>10</v>
      </c>
    </row>
    <row r="89" spans="1:12">
      <c r="A89" t="s">
        <v>300</v>
      </c>
      <c r="B89" s="2">
        <v>45600</v>
      </c>
      <c r="C89">
        <v>2024</v>
      </c>
      <c r="D89">
        <v>11</v>
      </c>
      <c r="E89" t="s">
        <v>117</v>
      </c>
      <c r="F89" t="s">
        <v>54</v>
      </c>
      <c r="G89" t="s">
        <v>74</v>
      </c>
      <c r="H89" t="s">
        <v>33</v>
      </c>
      <c r="I89" t="s">
        <v>217</v>
      </c>
      <c r="J89" t="s">
        <v>71</v>
      </c>
      <c r="K89" t="s">
        <v>16</v>
      </c>
      <c r="L89" t="s">
        <v>10</v>
      </c>
    </row>
    <row r="90" spans="1:12">
      <c r="A90" t="s">
        <v>301</v>
      </c>
      <c r="B90" s="2">
        <v>45622</v>
      </c>
      <c r="C90">
        <v>2024</v>
      </c>
      <c r="D90">
        <v>11</v>
      </c>
      <c r="E90" t="s">
        <v>117</v>
      </c>
      <c r="F90" t="s">
        <v>40</v>
      </c>
      <c r="G90" t="s">
        <v>48</v>
      </c>
      <c r="H90" t="s">
        <v>12</v>
      </c>
      <c r="I90" t="s">
        <v>219</v>
      </c>
      <c r="J90" t="s">
        <v>14</v>
      </c>
      <c r="K90" t="s">
        <v>36</v>
      </c>
      <c r="L90" t="s">
        <v>10</v>
      </c>
    </row>
    <row r="91" spans="1:12">
      <c r="A91" t="s">
        <v>302</v>
      </c>
      <c r="B91" s="2">
        <v>45648</v>
      </c>
      <c r="C91">
        <v>2024</v>
      </c>
      <c r="D91">
        <v>12</v>
      </c>
      <c r="E91" t="s">
        <v>124</v>
      </c>
      <c r="F91" t="s">
        <v>26</v>
      </c>
      <c r="G91" t="s">
        <v>74</v>
      </c>
      <c r="H91" t="s">
        <v>4</v>
      </c>
      <c r="I91" t="s">
        <v>245</v>
      </c>
      <c r="J91" t="s">
        <v>7</v>
      </c>
      <c r="K91" t="s">
        <v>9</v>
      </c>
      <c r="L91" t="s">
        <v>10</v>
      </c>
    </row>
    <row r="92" spans="1:12">
      <c r="A92" t="s">
        <v>303</v>
      </c>
      <c r="B92" s="2">
        <v>45646</v>
      </c>
      <c r="C92">
        <v>2024</v>
      </c>
      <c r="D92">
        <v>12</v>
      </c>
      <c r="E92" t="s">
        <v>124</v>
      </c>
      <c r="F92" t="s">
        <v>67</v>
      </c>
      <c r="G92" t="s">
        <v>20</v>
      </c>
      <c r="H92" t="s">
        <v>44</v>
      </c>
      <c r="I92" t="s">
        <v>213</v>
      </c>
      <c r="J92" t="s">
        <v>14</v>
      </c>
      <c r="K92" t="s">
        <v>9</v>
      </c>
      <c r="L92" t="s">
        <v>10</v>
      </c>
    </row>
    <row r="93" spans="1:12">
      <c r="A93" t="s">
        <v>304</v>
      </c>
      <c r="B93" s="2">
        <v>45628</v>
      </c>
      <c r="C93">
        <v>2024</v>
      </c>
      <c r="D93">
        <v>12</v>
      </c>
      <c r="E93" t="s">
        <v>124</v>
      </c>
      <c r="F93" t="s">
        <v>31</v>
      </c>
      <c r="G93" t="s">
        <v>55</v>
      </c>
      <c r="H93" t="s">
        <v>12</v>
      </c>
      <c r="I93" t="s">
        <v>231</v>
      </c>
      <c r="J93" t="s">
        <v>58</v>
      </c>
      <c r="K93" t="s">
        <v>36</v>
      </c>
      <c r="L93" t="s">
        <v>10</v>
      </c>
    </row>
    <row r="94" spans="1:12">
      <c r="A94" t="s">
        <v>305</v>
      </c>
      <c r="B94" s="2">
        <v>45639</v>
      </c>
      <c r="C94">
        <v>2024</v>
      </c>
      <c r="D94">
        <v>12</v>
      </c>
      <c r="E94" t="s">
        <v>124</v>
      </c>
      <c r="F94" t="s">
        <v>31</v>
      </c>
      <c r="G94" t="s">
        <v>3</v>
      </c>
      <c r="H94" t="s">
        <v>33</v>
      </c>
      <c r="I94" t="s">
        <v>211</v>
      </c>
      <c r="J94" t="s">
        <v>41</v>
      </c>
      <c r="K94" t="s">
        <v>36</v>
      </c>
      <c r="L94" t="s">
        <v>10</v>
      </c>
    </row>
    <row r="95" spans="1:12">
      <c r="A95" t="s">
        <v>306</v>
      </c>
      <c r="B95" s="2">
        <v>45650</v>
      </c>
      <c r="C95">
        <v>2024</v>
      </c>
      <c r="D95">
        <v>12</v>
      </c>
      <c r="E95" t="s">
        <v>124</v>
      </c>
      <c r="F95" t="s">
        <v>40</v>
      </c>
      <c r="G95" t="s">
        <v>55</v>
      </c>
      <c r="H95" t="s">
        <v>4</v>
      </c>
      <c r="I95" t="s">
        <v>213</v>
      </c>
      <c r="J95" t="s">
        <v>14</v>
      </c>
      <c r="K95" t="s">
        <v>16</v>
      </c>
      <c r="L95" t="s">
        <v>10</v>
      </c>
    </row>
    <row r="96" spans="1:12">
      <c r="A96" t="s">
        <v>307</v>
      </c>
      <c r="B96" s="2">
        <v>45638</v>
      </c>
      <c r="C96">
        <v>2024</v>
      </c>
      <c r="D96">
        <v>12</v>
      </c>
      <c r="E96" t="s">
        <v>124</v>
      </c>
      <c r="F96" t="s">
        <v>54</v>
      </c>
      <c r="G96" t="s">
        <v>55</v>
      </c>
      <c r="H96" t="s">
        <v>33</v>
      </c>
      <c r="I96" t="s">
        <v>205</v>
      </c>
      <c r="J96" t="s">
        <v>71</v>
      </c>
      <c r="K96" t="s">
        <v>9</v>
      </c>
      <c r="L96" t="s">
        <v>10</v>
      </c>
    </row>
    <row r="97" spans="1:12">
      <c r="A97" t="s">
        <v>308</v>
      </c>
      <c r="B97" s="2">
        <v>45636</v>
      </c>
      <c r="C97">
        <v>2024</v>
      </c>
      <c r="D97">
        <v>12</v>
      </c>
      <c r="E97" t="s">
        <v>124</v>
      </c>
      <c r="F97" t="s">
        <v>78</v>
      </c>
      <c r="G97" t="s">
        <v>55</v>
      </c>
      <c r="H97" t="s">
        <v>12</v>
      </c>
      <c r="I97" t="s">
        <v>215</v>
      </c>
      <c r="J97" t="s">
        <v>71</v>
      </c>
      <c r="K97" t="s">
        <v>36</v>
      </c>
      <c r="L97" t="s">
        <v>10</v>
      </c>
    </row>
    <row r="98" spans="1:12">
      <c r="A98" t="s">
        <v>309</v>
      </c>
      <c r="B98" s="2">
        <v>45632</v>
      </c>
      <c r="C98">
        <v>2024</v>
      </c>
      <c r="D98">
        <v>12</v>
      </c>
      <c r="E98" t="s">
        <v>124</v>
      </c>
      <c r="F98" t="s">
        <v>40</v>
      </c>
      <c r="G98" t="s">
        <v>69</v>
      </c>
      <c r="H98" t="s">
        <v>4</v>
      </c>
      <c r="I98" t="s">
        <v>215</v>
      </c>
      <c r="J98" t="s">
        <v>56</v>
      </c>
      <c r="K98" t="s">
        <v>29</v>
      </c>
      <c r="L98" t="s">
        <v>10</v>
      </c>
    </row>
    <row r="99" spans="1:12">
      <c r="A99" t="s">
        <v>310</v>
      </c>
      <c r="B99" s="2">
        <v>45645</v>
      </c>
      <c r="C99">
        <v>2024</v>
      </c>
      <c r="D99">
        <v>12</v>
      </c>
      <c r="E99" t="s">
        <v>124</v>
      </c>
      <c r="F99" t="s">
        <v>67</v>
      </c>
      <c r="G99" t="s">
        <v>48</v>
      </c>
      <c r="H99" t="s">
        <v>44</v>
      </c>
      <c r="I99" t="s">
        <v>207</v>
      </c>
      <c r="J99" t="s">
        <v>51</v>
      </c>
      <c r="K99" t="s">
        <v>36</v>
      </c>
      <c r="L99" t="s">
        <v>10</v>
      </c>
    </row>
    <row r="100" spans="1:12">
      <c r="A100" t="s">
        <v>311</v>
      </c>
      <c r="B100" s="2">
        <v>45631</v>
      </c>
      <c r="C100">
        <v>2024</v>
      </c>
      <c r="D100">
        <v>12</v>
      </c>
      <c r="E100" t="s">
        <v>124</v>
      </c>
      <c r="F100" t="s">
        <v>54</v>
      </c>
      <c r="G100" t="s">
        <v>69</v>
      </c>
      <c r="H100" t="s">
        <v>12</v>
      </c>
      <c r="I100" t="s">
        <v>231</v>
      </c>
      <c r="J100" t="s">
        <v>7</v>
      </c>
      <c r="K100" t="s">
        <v>9</v>
      </c>
      <c r="L100" t="s">
        <v>10</v>
      </c>
    </row>
    <row r="101" spans="1:12">
      <c r="A101" t="s">
        <v>312</v>
      </c>
      <c r="B101" s="2">
        <v>45676</v>
      </c>
      <c r="C101">
        <v>2025</v>
      </c>
      <c r="D101">
        <v>1</v>
      </c>
      <c r="E101" t="s">
        <v>1</v>
      </c>
      <c r="F101" t="s">
        <v>54</v>
      </c>
      <c r="G101" t="s">
        <v>55</v>
      </c>
      <c r="H101" t="s">
        <v>33</v>
      </c>
      <c r="I101" t="s">
        <v>219</v>
      </c>
      <c r="J101" t="s">
        <v>51</v>
      </c>
      <c r="K101" t="s">
        <v>36</v>
      </c>
      <c r="L101" t="s">
        <v>10</v>
      </c>
    </row>
    <row r="102" spans="1:12">
      <c r="A102" t="s">
        <v>313</v>
      </c>
      <c r="B102" s="2">
        <v>45674</v>
      </c>
      <c r="C102">
        <v>2025</v>
      </c>
      <c r="D102">
        <v>1</v>
      </c>
      <c r="E102" t="s">
        <v>1</v>
      </c>
      <c r="F102" t="s">
        <v>67</v>
      </c>
      <c r="G102" t="s">
        <v>61</v>
      </c>
      <c r="H102" t="s">
        <v>4</v>
      </c>
      <c r="I102" t="s">
        <v>211</v>
      </c>
      <c r="J102" t="s">
        <v>21</v>
      </c>
      <c r="K102" t="s">
        <v>36</v>
      </c>
      <c r="L102" t="s">
        <v>10</v>
      </c>
    </row>
    <row r="103" spans="1:12">
      <c r="A103" t="s">
        <v>314</v>
      </c>
      <c r="B103" s="2">
        <v>45668</v>
      </c>
      <c r="C103">
        <v>2025</v>
      </c>
      <c r="D103">
        <v>1</v>
      </c>
      <c r="E103" t="s">
        <v>1</v>
      </c>
      <c r="F103" t="s">
        <v>19</v>
      </c>
      <c r="G103" t="s">
        <v>48</v>
      </c>
      <c r="H103" t="s">
        <v>44</v>
      </c>
      <c r="I103" t="s">
        <v>215</v>
      </c>
      <c r="J103" t="s">
        <v>58</v>
      </c>
      <c r="K103" t="s">
        <v>9</v>
      </c>
      <c r="L103" t="s">
        <v>10</v>
      </c>
    </row>
    <row r="104" spans="1:12">
      <c r="A104" t="s">
        <v>315</v>
      </c>
      <c r="B104" s="2">
        <v>45678</v>
      </c>
      <c r="C104">
        <v>2025</v>
      </c>
      <c r="D104">
        <v>1</v>
      </c>
      <c r="E104" t="s">
        <v>1</v>
      </c>
      <c r="F104" t="s">
        <v>67</v>
      </c>
      <c r="G104" t="s">
        <v>61</v>
      </c>
      <c r="H104" t="s">
        <v>33</v>
      </c>
      <c r="I104" t="s">
        <v>215</v>
      </c>
      <c r="J104" t="s">
        <v>51</v>
      </c>
      <c r="K104" t="s">
        <v>29</v>
      </c>
      <c r="L104" t="s">
        <v>10</v>
      </c>
    </row>
    <row r="105" spans="1:12">
      <c r="A105" t="s">
        <v>316</v>
      </c>
      <c r="B105" s="2">
        <v>45683</v>
      </c>
      <c r="C105">
        <v>2025</v>
      </c>
      <c r="D105">
        <v>1</v>
      </c>
      <c r="E105" t="s">
        <v>1</v>
      </c>
      <c r="F105" t="s">
        <v>67</v>
      </c>
      <c r="G105" t="s">
        <v>27</v>
      </c>
      <c r="H105" t="s">
        <v>44</v>
      </c>
      <c r="I105" t="s">
        <v>231</v>
      </c>
      <c r="J105" t="s">
        <v>21</v>
      </c>
      <c r="K105" t="s">
        <v>29</v>
      </c>
      <c r="L105" t="s">
        <v>10</v>
      </c>
    </row>
    <row r="106" spans="1:12">
      <c r="A106" t="s">
        <v>317</v>
      </c>
      <c r="B106" s="2">
        <v>45678</v>
      </c>
      <c r="C106">
        <v>2025</v>
      </c>
      <c r="D106">
        <v>1</v>
      </c>
      <c r="E106" t="s">
        <v>1</v>
      </c>
      <c r="F106" t="s">
        <v>19</v>
      </c>
      <c r="G106" t="s">
        <v>20</v>
      </c>
      <c r="H106" t="s">
        <v>33</v>
      </c>
      <c r="I106" t="s">
        <v>231</v>
      </c>
      <c r="J106" t="s">
        <v>107</v>
      </c>
      <c r="K106" t="s">
        <v>16</v>
      </c>
      <c r="L106" t="s">
        <v>10</v>
      </c>
    </row>
    <row r="107" spans="1:12">
      <c r="A107" t="s">
        <v>318</v>
      </c>
      <c r="B107" s="2">
        <v>45703</v>
      </c>
      <c r="C107">
        <v>2025</v>
      </c>
      <c r="D107">
        <v>2</v>
      </c>
      <c r="E107" t="s">
        <v>25</v>
      </c>
      <c r="F107" t="s">
        <v>78</v>
      </c>
      <c r="G107" t="s">
        <v>48</v>
      </c>
      <c r="H107" t="s">
        <v>12</v>
      </c>
      <c r="I107" t="s">
        <v>215</v>
      </c>
      <c r="J107" t="s">
        <v>14</v>
      </c>
      <c r="K107" t="s">
        <v>29</v>
      </c>
      <c r="L107" t="s">
        <v>10</v>
      </c>
    </row>
    <row r="108" spans="1:12">
      <c r="A108" t="s">
        <v>319</v>
      </c>
      <c r="B108" s="2">
        <v>45697</v>
      </c>
      <c r="C108">
        <v>2025</v>
      </c>
      <c r="D108">
        <v>2</v>
      </c>
      <c r="E108" t="s">
        <v>25</v>
      </c>
      <c r="F108" t="s">
        <v>38</v>
      </c>
      <c r="G108" t="s">
        <v>69</v>
      </c>
      <c r="H108" t="s">
        <v>44</v>
      </c>
      <c r="I108" t="s">
        <v>219</v>
      </c>
      <c r="J108" t="s">
        <v>107</v>
      </c>
      <c r="K108" t="s">
        <v>29</v>
      </c>
      <c r="L108" t="s">
        <v>10</v>
      </c>
    </row>
    <row r="109" spans="1:12">
      <c r="A109" t="s">
        <v>320</v>
      </c>
      <c r="B109" s="2">
        <v>45709</v>
      </c>
      <c r="C109">
        <v>2025</v>
      </c>
      <c r="D109">
        <v>2</v>
      </c>
      <c r="E109" t="s">
        <v>25</v>
      </c>
      <c r="F109" t="s">
        <v>78</v>
      </c>
      <c r="G109" t="s">
        <v>48</v>
      </c>
      <c r="H109" t="s">
        <v>33</v>
      </c>
      <c r="I109" t="s">
        <v>231</v>
      </c>
      <c r="J109" t="s">
        <v>58</v>
      </c>
      <c r="K109" t="s">
        <v>9</v>
      </c>
      <c r="L109" t="s">
        <v>10</v>
      </c>
    </row>
    <row r="110" spans="1:12">
      <c r="A110" t="s">
        <v>321</v>
      </c>
      <c r="B110" s="2">
        <v>45705</v>
      </c>
      <c r="C110">
        <v>2025</v>
      </c>
      <c r="D110">
        <v>2</v>
      </c>
      <c r="E110" t="s">
        <v>25</v>
      </c>
      <c r="F110" t="s">
        <v>19</v>
      </c>
      <c r="G110" t="s">
        <v>48</v>
      </c>
      <c r="H110" t="s">
        <v>4</v>
      </c>
      <c r="I110" t="s">
        <v>231</v>
      </c>
      <c r="J110" t="s">
        <v>14</v>
      </c>
      <c r="K110" t="s">
        <v>29</v>
      </c>
      <c r="L110" t="s">
        <v>10</v>
      </c>
    </row>
    <row r="111" spans="1:12">
      <c r="A111" t="s">
        <v>322</v>
      </c>
      <c r="B111" s="2">
        <v>45737</v>
      </c>
      <c r="C111">
        <v>2025</v>
      </c>
      <c r="D111">
        <v>3</v>
      </c>
      <c r="E111" t="s">
        <v>60</v>
      </c>
      <c r="F111" t="s">
        <v>67</v>
      </c>
      <c r="G111" t="s">
        <v>61</v>
      </c>
      <c r="H111" t="s">
        <v>4</v>
      </c>
      <c r="I111" t="s">
        <v>213</v>
      </c>
      <c r="J111" t="s">
        <v>58</v>
      </c>
      <c r="K111" t="s">
        <v>16</v>
      </c>
      <c r="L111" t="s">
        <v>10</v>
      </c>
    </row>
    <row r="112" spans="1:12">
      <c r="A112" t="s">
        <v>323</v>
      </c>
      <c r="B112" s="2">
        <v>45743</v>
      </c>
      <c r="C112">
        <v>2025</v>
      </c>
      <c r="D112">
        <v>3</v>
      </c>
      <c r="E112" t="s">
        <v>60</v>
      </c>
      <c r="F112" t="s">
        <v>78</v>
      </c>
      <c r="G112" t="s">
        <v>20</v>
      </c>
      <c r="H112" t="s">
        <v>12</v>
      </c>
      <c r="I112" t="s">
        <v>231</v>
      </c>
      <c r="J112" t="s">
        <v>56</v>
      </c>
      <c r="K112" t="s">
        <v>9</v>
      </c>
      <c r="L112" t="s">
        <v>10</v>
      </c>
    </row>
    <row r="113" spans="1:12">
      <c r="A113" t="s">
        <v>324</v>
      </c>
      <c r="B113" s="2">
        <v>45733</v>
      </c>
      <c r="C113">
        <v>2025</v>
      </c>
      <c r="D113">
        <v>3</v>
      </c>
      <c r="E113" t="s">
        <v>60</v>
      </c>
      <c r="F113" t="s">
        <v>26</v>
      </c>
      <c r="G113" t="s">
        <v>64</v>
      </c>
      <c r="H113" t="s">
        <v>44</v>
      </c>
      <c r="I113" t="s">
        <v>211</v>
      </c>
      <c r="J113" t="s">
        <v>56</v>
      </c>
      <c r="K113" t="s">
        <v>29</v>
      </c>
      <c r="L113" t="s">
        <v>10</v>
      </c>
    </row>
    <row r="114" spans="1:12">
      <c r="A114" t="s">
        <v>325</v>
      </c>
      <c r="B114" s="2">
        <v>45734</v>
      </c>
      <c r="C114">
        <v>2025</v>
      </c>
      <c r="D114">
        <v>3</v>
      </c>
      <c r="E114" t="s">
        <v>60</v>
      </c>
      <c r="F114" t="s">
        <v>31</v>
      </c>
      <c r="G114" t="s">
        <v>69</v>
      </c>
      <c r="H114" t="s">
        <v>4</v>
      </c>
      <c r="I114" t="s">
        <v>231</v>
      </c>
      <c r="J114" t="s">
        <v>56</v>
      </c>
      <c r="K114" t="s">
        <v>29</v>
      </c>
      <c r="L114" t="s">
        <v>10</v>
      </c>
    </row>
    <row r="115" spans="1:12">
      <c r="A115" t="s">
        <v>326</v>
      </c>
      <c r="B115" s="2">
        <v>45726</v>
      </c>
      <c r="C115">
        <v>2025</v>
      </c>
      <c r="D115">
        <v>3</v>
      </c>
      <c r="E115" t="s">
        <v>60</v>
      </c>
      <c r="F115" t="s">
        <v>31</v>
      </c>
      <c r="G115" t="s">
        <v>32</v>
      </c>
      <c r="H115" t="s">
        <v>4</v>
      </c>
      <c r="I115" t="s">
        <v>217</v>
      </c>
      <c r="J115" t="s">
        <v>21</v>
      </c>
      <c r="K115" t="s">
        <v>36</v>
      </c>
      <c r="L115" t="s">
        <v>10</v>
      </c>
    </row>
    <row r="116" spans="1:12">
      <c r="A116" t="s">
        <v>327</v>
      </c>
      <c r="B116" s="2">
        <v>45734</v>
      </c>
      <c r="C116">
        <v>2025</v>
      </c>
      <c r="D116">
        <v>3</v>
      </c>
      <c r="E116" t="s">
        <v>60</v>
      </c>
      <c r="F116" t="s">
        <v>67</v>
      </c>
      <c r="G116" t="s">
        <v>32</v>
      </c>
      <c r="H116" t="s">
        <v>12</v>
      </c>
      <c r="I116" t="s">
        <v>207</v>
      </c>
      <c r="J116" t="s">
        <v>14</v>
      </c>
      <c r="K116" t="s">
        <v>16</v>
      </c>
      <c r="L116" t="s">
        <v>10</v>
      </c>
    </row>
    <row r="117" spans="1:12">
      <c r="A117" t="s">
        <v>328</v>
      </c>
      <c r="B117" s="2">
        <v>45738</v>
      </c>
      <c r="C117">
        <v>2025</v>
      </c>
      <c r="D117">
        <v>3</v>
      </c>
      <c r="E117" t="s">
        <v>60</v>
      </c>
      <c r="F117" t="s">
        <v>67</v>
      </c>
      <c r="G117" t="s">
        <v>20</v>
      </c>
      <c r="H117" t="s">
        <v>44</v>
      </c>
      <c r="I117" t="s">
        <v>245</v>
      </c>
      <c r="J117" t="s">
        <v>7</v>
      </c>
      <c r="K117" t="s">
        <v>9</v>
      </c>
      <c r="L117" t="s">
        <v>10</v>
      </c>
    </row>
    <row r="118" spans="1:12">
      <c r="A118" t="s">
        <v>329</v>
      </c>
      <c r="B118" s="2">
        <v>45743</v>
      </c>
      <c r="C118">
        <v>2025</v>
      </c>
      <c r="D118">
        <v>3</v>
      </c>
      <c r="E118" t="s">
        <v>60</v>
      </c>
      <c r="F118" t="s">
        <v>38</v>
      </c>
      <c r="G118" t="s">
        <v>61</v>
      </c>
      <c r="H118" t="s">
        <v>44</v>
      </c>
      <c r="I118" t="s">
        <v>207</v>
      </c>
      <c r="J118" t="s">
        <v>58</v>
      </c>
      <c r="K118" t="s">
        <v>29</v>
      </c>
      <c r="L118" t="s">
        <v>10</v>
      </c>
    </row>
    <row r="119" spans="1:12">
      <c r="A119" t="s">
        <v>330</v>
      </c>
      <c r="B119" s="2">
        <v>45769</v>
      </c>
      <c r="C119">
        <v>2025</v>
      </c>
      <c r="D119">
        <v>4</v>
      </c>
      <c r="E119" t="s">
        <v>73</v>
      </c>
      <c r="F119" t="s">
        <v>31</v>
      </c>
      <c r="G119" t="s">
        <v>69</v>
      </c>
      <c r="H119" t="s">
        <v>44</v>
      </c>
      <c r="I119" t="s">
        <v>207</v>
      </c>
      <c r="J119" t="s">
        <v>51</v>
      </c>
      <c r="K119" t="s">
        <v>36</v>
      </c>
      <c r="L119" t="s">
        <v>10</v>
      </c>
    </row>
    <row r="120" spans="1:12">
      <c r="A120" t="s">
        <v>331</v>
      </c>
      <c r="B120" s="2">
        <v>45763</v>
      </c>
      <c r="C120">
        <v>2025</v>
      </c>
      <c r="D120">
        <v>4</v>
      </c>
      <c r="E120" t="s">
        <v>73</v>
      </c>
      <c r="F120" t="s">
        <v>67</v>
      </c>
      <c r="G120" t="s">
        <v>61</v>
      </c>
      <c r="H120" t="s">
        <v>44</v>
      </c>
      <c r="I120" t="s">
        <v>217</v>
      </c>
      <c r="J120" t="s">
        <v>51</v>
      </c>
      <c r="K120" t="s">
        <v>36</v>
      </c>
      <c r="L120" t="s">
        <v>10</v>
      </c>
    </row>
    <row r="121" spans="1:12">
      <c r="A121" t="s">
        <v>332</v>
      </c>
      <c r="B121" s="2">
        <v>45772</v>
      </c>
      <c r="C121">
        <v>2025</v>
      </c>
      <c r="D121">
        <v>4</v>
      </c>
      <c r="E121" t="s">
        <v>73</v>
      </c>
      <c r="F121" t="s">
        <v>54</v>
      </c>
      <c r="G121" t="s">
        <v>20</v>
      </c>
      <c r="H121" t="s">
        <v>4</v>
      </c>
      <c r="I121" t="s">
        <v>219</v>
      </c>
      <c r="J121" t="s">
        <v>41</v>
      </c>
      <c r="K121" t="s">
        <v>9</v>
      </c>
      <c r="L121" t="s">
        <v>10</v>
      </c>
    </row>
    <row r="122" spans="1:12">
      <c r="A122" t="s">
        <v>333</v>
      </c>
      <c r="B122" s="2">
        <v>45765</v>
      </c>
      <c r="C122">
        <v>2025</v>
      </c>
      <c r="D122">
        <v>4</v>
      </c>
      <c r="E122" t="s">
        <v>73</v>
      </c>
      <c r="F122" t="s">
        <v>2</v>
      </c>
      <c r="G122" t="s">
        <v>64</v>
      </c>
      <c r="H122" t="s">
        <v>44</v>
      </c>
      <c r="I122" t="s">
        <v>207</v>
      </c>
      <c r="J122" t="s">
        <v>51</v>
      </c>
      <c r="K122" t="s">
        <v>16</v>
      </c>
      <c r="L122" t="s">
        <v>10</v>
      </c>
    </row>
    <row r="123" spans="1:12">
      <c r="A123" t="s">
        <v>334</v>
      </c>
      <c r="B123" s="2">
        <v>45750</v>
      </c>
      <c r="C123">
        <v>2025</v>
      </c>
      <c r="D123">
        <v>4</v>
      </c>
      <c r="E123" t="s">
        <v>73</v>
      </c>
      <c r="F123" t="s">
        <v>19</v>
      </c>
      <c r="G123" t="s">
        <v>32</v>
      </c>
      <c r="H123" t="s">
        <v>12</v>
      </c>
      <c r="I123" t="s">
        <v>231</v>
      </c>
      <c r="J123" t="s">
        <v>7</v>
      </c>
      <c r="K123" t="s">
        <v>29</v>
      </c>
      <c r="L123" t="s">
        <v>10</v>
      </c>
    </row>
    <row r="124" spans="1:12">
      <c r="A124" t="s">
        <v>335</v>
      </c>
      <c r="B124" s="2">
        <v>45750</v>
      </c>
      <c r="C124">
        <v>2025</v>
      </c>
      <c r="D124">
        <v>4</v>
      </c>
      <c r="E124" t="s">
        <v>73</v>
      </c>
      <c r="F124" t="s">
        <v>38</v>
      </c>
      <c r="G124" t="s">
        <v>69</v>
      </c>
      <c r="H124" t="s">
        <v>12</v>
      </c>
      <c r="I124" t="s">
        <v>207</v>
      </c>
      <c r="J124" t="s">
        <v>107</v>
      </c>
      <c r="K124" t="s">
        <v>29</v>
      </c>
      <c r="L124" t="s">
        <v>10</v>
      </c>
    </row>
    <row r="125" spans="1:12">
      <c r="A125" t="s">
        <v>336</v>
      </c>
      <c r="B125" s="2">
        <v>45768</v>
      </c>
      <c r="C125">
        <v>2025</v>
      </c>
      <c r="D125">
        <v>4</v>
      </c>
      <c r="E125" t="s">
        <v>73</v>
      </c>
      <c r="F125" t="s">
        <v>54</v>
      </c>
      <c r="G125" t="s">
        <v>27</v>
      </c>
      <c r="H125" t="s">
        <v>4</v>
      </c>
      <c r="I125" t="s">
        <v>205</v>
      </c>
      <c r="J125" t="s">
        <v>14</v>
      </c>
      <c r="K125" t="s">
        <v>9</v>
      </c>
      <c r="L125" t="s">
        <v>10</v>
      </c>
    </row>
    <row r="126" spans="1:12">
      <c r="A126" t="s">
        <v>337</v>
      </c>
      <c r="B126" s="2">
        <v>45766</v>
      </c>
      <c r="C126">
        <v>2025</v>
      </c>
      <c r="D126">
        <v>4</v>
      </c>
      <c r="E126" t="s">
        <v>73</v>
      </c>
      <c r="F126" t="s">
        <v>31</v>
      </c>
      <c r="G126" t="s">
        <v>69</v>
      </c>
      <c r="H126" t="s">
        <v>4</v>
      </c>
      <c r="I126" t="s">
        <v>205</v>
      </c>
      <c r="J126" t="s">
        <v>84</v>
      </c>
      <c r="K126" t="s">
        <v>9</v>
      </c>
      <c r="L126" t="s">
        <v>10</v>
      </c>
    </row>
    <row r="127" spans="1:12">
      <c r="A127" t="s">
        <v>338</v>
      </c>
      <c r="B127" s="2">
        <v>45754</v>
      </c>
      <c r="C127">
        <v>2025</v>
      </c>
      <c r="D127">
        <v>4</v>
      </c>
      <c r="E127" t="s">
        <v>73</v>
      </c>
      <c r="F127" t="s">
        <v>67</v>
      </c>
      <c r="G127" t="s">
        <v>69</v>
      </c>
      <c r="H127" t="s">
        <v>12</v>
      </c>
      <c r="I127" t="s">
        <v>217</v>
      </c>
      <c r="J127" t="s">
        <v>51</v>
      </c>
      <c r="K127" t="s">
        <v>9</v>
      </c>
      <c r="L127" t="s">
        <v>10</v>
      </c>
    </row>
    <row r="128" spans="1:12">
      <c r="A128" t="s">
        <v>339</v>
      </c>
      <c r="B128" s="2">
        <v>45763</v>
      </c>
      <c r="C128">
        <v>2025</v>
      </c>
      <c r="D128">
        <v>4</v>
      </c>
      <c r="E128" t="s">
        <v>73</v>
      </c>
      <c r="F128" t="s">
        <v>38</v>
      </c>
      <c r="G128" t="s">
        <v>69</v>
      </c>
      <c r="H128" t="s">
        <v>12</v>
      </c>
      <c r="I128" t="s">
        <v>231</v>
      </c>
      <c r="J128" t="s">
        <v>51</v>
      </c>
      <c r="K128" t="s">
        <v>29</v>
      </c>
      <c r="L128" t="s">
        <v>10</v>
      </c>
    </row>
    <row r="129" spans="1:12">
      <c r="A129" t="s">
        <v>340</v>
      </c>
      <c r="B129" s="2">
        <v>45780</v>
      </c>
      <c r="C129">
        <v>2025</v>
      </c>
      <c r="D129">
        <v>5</v>
      </c>
      <c r="E129" t="s">
        <v>83</v>
      </c>
      <c r="F129" t="s">
        <v>26</v>
      </c>
      <c r="G129" t="s">
        <v>48</v>
      </c>
      <c r="H129" t="s">
        <v>44</v>
      </c>
      <c r="I129" t="s">
        <v>205</v>
      </c>
      <c r="J129" t="s">
        <v>84</v>
      </c>
      <c r="K129" t="s">
        <v>16</v>
      </c>
      <c r="L129" t="s">
        <v>10</v>
      </c>
    </row>
    <row r="130" spans="1:12">
      <c r="A130" t="s">
        <v>341</v>
      </c>
      <c r="B130" s="2">
        <v>45801</v>
      </c>
      <c r="C130">
        <v>2025</v>
      </c>
      <c r="D130">
        <v>5</v>
      </c>
      <c r="E130" t="s">
        <v>83</v>
      </c>
      <c r="F130" t="s">
        <v>2</v>
      </c>
      <c r="G130" t="s">
        <v>38</v>
      </c>
      <c r="H130" t="s">
        <v>4</v>
      </c>
      <c r="I130" t="s">
        <v>245</v>
      </c>
      <c r="J130" t="s">
        <v>71</v>
      </c>
      <c r="K130" t="s">
        <v>29</v>
      </c>
      <c r="L130" t="s">
        <v>10</v>
      </c>
    </row>
    <row r="131" spans="1:12">
      <c r="A131" t="s">
        <v>342</v>
      </c>
      <c r="B131" s="2">
        <v>45805</v>
      </c>
      <c r="C131">
        <v>2025</v>
      </c>
      <c r="D131">
        <v>5</v>
      </c>
      <c r="E131" t="s">
        <v>83</v>
      </c>
      <c r="F131" t="s">
        <v>54</v>
      </c>
      <c r="G131" t="s">
        <v>3</v>
      </c>
      <c r="H131" t="s">
        <v>33</v>
      </c>
      <c r="I131" t="s">
        <v>231</v>
      </c>
      <c r="J131" t="s">
        <v>107</v>
      </c>
      <c r="K131" t="s">
        <v>36</v>
      </c>
      <c r="L131" t="s">
        <v>10</v>
      </c>
    </row>
    <row r="132" spans="1:12">
      <c r="A132" t="s">
        <v>343</v>
      </c>
      <c r="B132" s="2">
        <v>45805</v>
      </c>
      <c r="C132">
        <v>2025</v>
      </c>
      <c r="D132">
        <v>5</v>
      </c>
      <c r="E132" t="s">
        <v>83</v>
      </c>
      <c r="F132" t="s">
        <v>31</v>
      </c>
      <c r="G132" t="s">
        <v>48</v>
      </c>
      <c r="H132" t="s">
        <v>12</v>
      </c>
      <c r="I132" t="s">
        <v>215</v>
      </c>
      <c r="J132" t="s">
        <v>41</v>
      </c>
      <c r="K132" t="s">
        <v>29</v>
      </c>
      <c r="L132" t="s">
        <v>10</v>
      </c>
    </row>
    <row r="133" spans="1:12">
      <c r="A133" t="s">
        <v>344</v>
      </c>
      <c r="B133" s="2">
        <v>45784</v>
      </c>
      <c r="C133">
        <v>2025</v>
      </c>
      <c r="D133">
        <v>5</v>
      </c>
      <c r="E133" t="s">
        <v>83</v>
      </c>
      <c r="F133" t="s">
        <v>19</v>
      </c>
      <c r="G133" t="s">
        <v>61</v>
      </c>
      <c r="H133" t="s">
        <v>44</v>
      </c>
      <c r="I133" t="s">
        <v>231</v>
      </c>
      <c r="J133" t="s">
        <v>41</v>
      </c>
      <c r="K133" t="s">
        <v>9</v>
      </c>
      <c r="L133" t="s">
        <v>10</v>
      </c>
    </row>
    <row r="134" spans="1:12">
      <c r="A134" t="s">
        <v>345</v>
      </c>
      <c r="B134" s="2">
        <v>45787</v>
      </c>
      <c r="C134">
        <v>2025</v>
      </c>
      <c r="D134">
        <v>5</v>
      </c>
      <c r="E134" t="s">
        <v>83</v>
      </c>
      <c r="F134" t="s">
        <v>38</v>
      </c>
      <c r="G134" t="s">
        <v>38</v>
      </c>
      <c r="H134" t="s">
        <v>4</v>
      </c>
      <c r="I134" t="s">
        <v>215</v>
      </c>
      <c r="J134" t="s">
        <v>71</v>
      </c>
      <c r="K134" t="s">
        <v>16</v>
      </c>
      <c r="L134" t="s">
        <v>10</v>
      </c>
    </row>
    <row r="135" spans="1:12">
      <c r="A135" t="s">
        <v>346</v>
      </c>
      <c r="B135" s="2">
        <v>45802</v>
      </c>
      <c r="C135">
        <v>2025</v>
      </c>
      <c r="D135">
        <v>5</v>
      </c>
      <c r="E135" t="s">
        <v>83</v>
      </c>
      <c r="F135" t="s">
        <v>54</v>
      </c>
      <c r="G135" t="s">
        <v>3</v>
      </c>
      <c r="H135" t="s">
        <v>4</v>
      </c>
      <c r="I135" t="s">
        <v>207</v>
      </c>
      <c r="J135" t="s">
        <v>41</v>
      </c>
      <c r="K135" t="s">
        <v>29</v>
      </c>
      <c r="L135" t="s">
        <v>10</v>
      </c>
    </row>
    <row r="136" spans="1:12">
      <c r="A136" t="s">
        <v>347</v>
      </c>
      <c r="B136" s="2">
        <v>45816</v>
      </c>
      <c r="C136">
        <v>2025</v>
      </c>
      <c r="D136">
        <v>6</v>
      </c>
      <c r="E136" t="s">
        <v>87</v>
      </c>
      <c r="F136" t="s">
        <v>47</v>
      </c>
      <c r="G136" t="s">
        <v>64</v>
      </c>
      <c r="H136" t="s">
        <v>44</v>
      </c>
      <c r="I136" t="s">
        <v>231</v>
      </c>
      <c r="J136" t="s">
        <v>58</v>
      </c>
      <c r="K136" t="s">
        <v>9</v>
      </c>
      <c r="L136" t="s">
        <v>10</v>
      </c>
    </row>
    <row r="137" spans="1:12">
      <c r="A137" t="s">
        <v>348</v>
      </c>
      <c r="B137" s="2">
        <v>45818</v>
      </c>
      <c r="C137">
        <v>2025</v>
      </c>
      <c r="D137">
        <v>6</v>
      </c>
      <c r="E137" t="s">
        <v>87</v>
      </c>
      <c r="F137" t="s">
        <v>40</v>
      </c>
      <c r="G137" t="s">
        <v>27</v>
      </c>
      <c r="H137" t="s">
        <v>44</v>
      </c>
      <c r="I137" t="s">
        <v>231</v>
      </c>
      <c r="J137" t="s">
        <v>21</v>
      </c>
      <c r="K137" t="s">
        <v>16</v>
      </c>
      <c r="L137" t="s">
        <v>10</v>
      </c>
    </row>
    <row r="138" spans="1:12">
      <c r="A138" t="s">
        <v>349</v>
      </c>
      <c r="B138" s="2">
        <v>45818</v>
      </c>
      <c r="C138">
        <v>2025</v>
      </c>
      <c r="D138">
        <v>6</v>
      </c>
      <c r="E138" t="s">
        <v>87</v>
      </c>
      <c r="F138" t="s">
        <v>40</v>
      </c>
      <c r="G138" t="s">
        <v>48</v>
      </c>
      <c r="H138" t="s">
        <v>12</v>
      </c>
      <c r="I138" t="s">
        <v>215</v>
      </c>
      <c r="J138" t="s">
        <v>107</v>
      </c>
      <c r="K138" t="s">
        <v>36</v>
      </c>
      <c r="L138" t="s">
        <v>10</v>
      </c>
    </row>
    <row r="139" spans="1:12">
      <c r="A139" t="s">
        <v>350</v>
      </c>
      <c r="B139" s="2">
        <v>45827</v>
      </c>
      <c r="C139">
        <v>2025</v>
      </c>
      <c r="D139">
        <v>6</v>
      </c>
      <c r="E139" t="s">
        <v>87</v>
      </c>
      <c r="F139" t="s">
        <v>31</v>
      </c>
      <c r="G139" t="s">
        <v>74</v>
      </c>
      <c r="H139" t="s">
        <v>4</v>
      </c>
      <c r="I139" t="s">
        <v>207</v>
      </c>
      <c r="J139" t="s">
        <v>71</v>
      </c>
      <c r="K139" t="s">
        <v>36</v>
      </c>
      <c r="L139" t="s">
        <v>10</v>
      </c>
    </row>
    <row r="140" spans="1:12">
      <c r="A140" t="s">
        <v>351</v>
      </c>
      <c r="B140" s="2">
        <v>45858</v>
      </c>
      <c r="C140">
        <v>2025</v>
      </c>
      <c r="D140">
        <v>7</v>
      </c>
      <c r="E140" t="s">
        <v>93</v>
      </c>
      <c r="F140" t="s">
        <v>67</v>
      </c>
      <c r="G140" t="s">
        <v>69</v>
      </c>
      <c r="H140" t="s">
        <v>12</v>
      </c>
      <c r="I140" t="s">
        <v>231</v>
      </c>
      <c r="J140" t="s">
        <v>71</v>
      </c>
      <c r="K140" t="s">
        <v>36</v>
      </c>
      <c r="L140" t="s">
        <v>10</v>
      </c>
    </row>
    <row r="141" spans="1:12">
      <c r="A141" t="s">
        <v>352</v>
      </c>
      <c r="B141" s="2">
        <v>45856</v>
      </c>
      <c r="C141">
        <v>2025</v>
      </c>
      <c r="D141">
        <v>7</v>
      </c>
      <c r="E141" t="s">
        <v>93</v>
      </c>
      <c r="F141" t="s">
        <v>19</v>
      </c>
      <c r="G141" t="s">
        <v>61</v>
      </c>
      <c r="H141" t="s">
        <v>4</v>
      </c>
      <c r="I141" t="s">
        <v>245</v>
      </c>
      <c r="J141" t="s">
        <v>71</v>
      </c>
      <c r="K141" t="s">
        <v>16</v>
      </c>
      <c r="L141" t="s">
        <v>10</v>
      </c>
    </row>
    <row r="142" spans="1:12">
      <c r="A142" t="s">
        <v>353</v>
      </c>
      <c r="B142" s="2">
        <v>45850</v>
      </c>
      <c r="C142">
        <v>2025</v>
      </c>
      <c r="D142">
        <v>7</v>
      </c>
      <c r="E142" t="s">
        <v>93</v>
      </c>
      <c r="F142" t="s">
        <v>47</v>
      </c>
      <c r="G142" t="s">
        <v>27</v>
      </c>
      <c r="H142" t="s">
        <v>12</v>
      </c>
      <c r="I142" t="s">
        <v>205</v>
      </c>
      <c r="J142" t="s">
        <v>56</v>
      </c>
      <c r="K142" t="s">
        <v>36</v>
      </c>
      <c r="L142" t="s">
        <v>10</v>
      </c>
    </row>
    <row r="143" spans="1:12">
      <c r="A143" t="s">
        <v>354</v>
      </c>
      <c r="B143" s="2">
        <v>45841</v>
      </c>
      <c r="C143">
        <v>2025</v>
      </c>
      <c r="D143">
        <v>7</v>
      </c>
      <c r="E143" t="s">
        <v>93</v>
      </c>
      <c r="F143" t="s">
        <v>31</v>
      </c>
      <c r="G143" t="s">
        <v>20</v>
      </c>
      <c r="H143" t="s">
        <v>44</v>
      </c>
      <c r="I143" t="s">
        <v>205</v>
      </c>
      <c r="J143" t="s">
        <v>56</v>
      </c>
      <c r="K143" t="s">
        <v>36</v>
      </c>
      <c r="L143" t="s">
        <v>10</v>
      </c>
    </row>
    <row r="144" spans="1:12">
      <c r="A144" t="s">
        <v>355</v>
      </c>
      <c r="B144" s="2">
        <v>45856</v>
      </c>
      <c r="C144">
        <v>2025</v>
      </c>
      <c r="D144">
        <v>7</v>
      </c>
      <c r="E144" t="s">
        <v>93</v>
      </c>
      <c r="F144" t="s">
        <v>40</v>
      </c>
      <c r="G144" t="s">
        <v>3</v>
      </c>
      <c r="H144" t="s">
        <v>33</v>
      </c>
      <c r="I144" t="s">
        <v>205</v>
      </c>
      <c r="J144" t="s">
        <v>41</v>
      </c>
      <c r="K144" t="s">
        <v>9</v>
      </c>
      <c r="L144" t="s">
        <v>10</v>
      </c>
    </row>
    <row r="145" spans="1:12">
      <c r="A145" t="s">
        <v>356</v>
      </c>
      <c r="B145" s="2">
        <v>45840</v>
      </c>
      <c r="C145">
        <v>2025</v>
      </c>
      <c r="D145">
        <v>7</v>
      </c>
      <c r="E145" t="s">
        <v>93</v>
      </c>
      <c r="F145" t="s">
        <v>67</v>
      </c>
      <c r="G145" t="s">
        <v>32</v>
      </c>
      <c r="H145" t="s">
        <v>44</v>
      </c>
      <c r="I145" t="s">
        <v>211</v>
      </c>
      <c r="J145" t="s">
        <v>84</v>
      </c>
      <c r="K145" t="s">
        <v>36</v>
      </c>
      <c r="L145" t="s">
        <v>10</v>
      </c>
    </row>
    <row r="146" spans="1:12">
      <c r="A146" t="s">
        <v>357</v>
      </c>
      <c r="B146" s="2">
        <v>45852</v>
      </c>
      <c r="C146">
        <v>2025</v>
      </c>
      <c r="D146">
        <v>7</v>
      </c>
      <c r="E146" t="s">
        <v>93</v>
      </c>
      <c r="F146" t="s">
        <v>26</v>
      </c>
      <c r="G146" t="s">
        <v>3</v>
      </c>
      <c r="H146" t="s">
        <v>12</v>
      </c>
      <c r="I146" t="s">
        <v>213</v>
      </c>
      <c r="J146" t="s">
        <v>7</v>
      </c>
      <c r="K146" t="s">
        <v>16</v>
      </c>
      <c r="L146" t="s">
        <v>10</v>
      </c>
    </row>
    <row r="147" spans="1:12">
      <c r="A147" t="s">
        <v>358</v>
      </c>
      <c r="B147" s="2">
        <v>45840</v>
      </c>
      <c r="C147">
        <v>2025</v>
      </c>
      <c r="D147">
        <v>7</v>
      </c>
      <c r="E147" t="s">
        <v>93</v>
      </c>
      <c r="F147" t="s">
        <v>26</v>
      </c>
      <c r="G147" t="s">
        <v>20</v>
      </c>
      <c r="H147" t="s">
        <v>33</v>
      </c>
      <c r="I147" t="s">
        <v>245</v>
      </c>
      <c r="J147" t="s">
        <v>71</v>
      </c>
      <c r="K147" t="s">
        <v>36</v>
      </c>
      <c r="L147" t="s">
        <v>10</v>
      </c>
    </row>
    <row r="148" spans="1:12">
      <c r="A148" t="s">
        <v>359</v>
      </c>
      <c r="B148" s="2">
        <v>45882</v>
      </c>
      <c r="C148">
        <v>2025</v>
      </c>
      <c r="D148">
        <v>8</v>
      </c>
      <c r="E148" t="s">
        <v>101</v>
      </c>
      <c r="F148" t="s">
        <v>67</v>
      </c>
      <c r="G148" t="s">
        <v>3</v>
      </c>
      <c r="H148" t="s">
        <v>12</v>
      </c>
      <c r="I148" t="s">
        <v>245</v>
      </c>
      <c r="J148" t="s">
        <v>21</v>
      </c>
      <c r="K148" t="s">
        <v>16</v>
      </c>
      <c r="L148" t="s">
        <v>10</v>
      </c>
    </row>
    <row r="149" spans="1:12">
      <c r="A149" t="s">
        <v>360</v>
      </c>
      <c r="B149" s="2">
        <v>45876</v>
      </c>
      <c r="C149">
        <v>2025</v>
      </c>
      <c r="D149">
        <v>8</v>
      </c>
      <c r="E149" t="s">
        <v>101</v>
      </c>
      <c r="F149" t="s">
        <v>54</v>
      </c>
      <c r="G149" t="s">
        <v>74</v>
      </c>
      <c r="H149" t="s">
        <v>4</v>
      </c>
      <c r="I149" t="s">
        <v>217</v>
      </c>
      <c r="J149" t="s">
        <v>21</v>
      </c>
      <c r="K149" t="s">
        <v>16</v>
      </c>
      <c r="L149" t="s">
        <v>10</v>
      </c>
    </row>
    <row r="150" spans="1:12">
      <c r="A150" t="s">
        <v>361</v>
      </c>
      <c r="B150" s="2">
        <v>45882</v>
      </c>
      <c r="C150">
        <v>2025</v>
      </c>
      <c r="D150">
        <v>8</v>
      </c>
      <c r="E150" t="s">
        <v>101</v>
      </c>
      <c r="F150" t="s">
        <v>67</v>
      </c>
      <c r="G150" t="s">
        <v>94</v>
      </c>
      <c r="H150" t="s">
        <v>33</v>
      </c>
      <c r="I150" t="s">
        <v>207</v>
      </c>
      <c r="J150" t="s">
        <v>84</v>
      </c>
      <c r="K150" t="s">
        <v>16</v>
      </c>
      <c r="L150" t="s">
        <v>10</v>
      </c>
    </row>
    <row r="151" spans="1:12">
      <c r="A151" t="s">
        <v>362</v>
      </c>
      <c r="B151" s="2">
        <v>45877</v>
      </c>
      <c r="C151">
        <v>2025</v>
      </c>
      <c r="D151">
        <v>8</v>
      </c>
      <c r="E151" t="s">
        <v>101</v>
      </c>
      <c r="F151" t="s">
        <v>40</v>
      </c>
      <c r="G151" t="s">
        <v>74</v>
      </c>
      <c r="H151" t="s">
        <v>12</v>
      </c>
      <c r="I151" t="s">
        <v>215</v>
      </c>
      <c r="J151" t="s">
        <v>14</v>
      </c>
      <c r="K151" t="s">
        <v>36</v>
      </c>
      <c r="L151" t="s">
        <v>10</v>
      </c>
    </row>
    <row r="152" spans="1:12">
      <c r="A152" t="s">
        <v>363</v>
      </c>
      <c r="B152" s="2">
        <v>45897</v>
      </c>
      <c r="C152">
        <v>2025</v>
      </c>
      <c r="D152">
        <v>8</v>
      </c>
      <c r="E152" t="s">
        <v>101</v>
      </c>
      <c r="F152" t="s">
        <v>78</v>
      </c>
      <c r="G152" t="s">
        <v>64</v>
      </c>
      <c r="H152" t="s">
        <v>33</v>
      </c>
      <c r="I152" t="s">
        <v>219</v>
      </c>
      <c r="J152" t="s">
        <v>71</v>
      </c>
      <c r="K152" t="s">
        <v>16</v>
      </c>
      <c r="L152" t="s">
        <v>10</v>
      </c>
    </row>
    <row r="153" spans="1:12">
      <c r="A153" t="s">
        <v>364</v>
      </c>
      <c r="B153" s="2">
        <v>45874</v>
      </c>
      <c r="C153">
        <v>2025</v>
      </c>
      <c r="D153">
        <v>8</v>
      </c>
      <c r="E153" t="s">
        <v>101</v>
      </c>
      <c r="F153" t="s">
        <v>38</v>
      </c>
      <c r="G153" t="s">
        <v>3</v>
      </c>
      <c r="H153" t="s">
        <v>12</v>
      </c>
      <c r="I153" t="s">
        <v>215</v>
      </c>
      <c r="J153" t="s">
        <v>51</v>
      </c>
      <c r="K153" t="s">
        <v>36</v>
      </c>
      <c r="L153" t="s">
        <v>10</v>
      </c>
    </row>
    <row r="154" spans="1:12">
      <c r="A154" t="s">
        <v>365</v>
      </c>
      <c r="B154" s="2">
        <v>45887</v>
      </c>
      <c r="C154">
        <v>2025</v>
      </c>
      <c r="D154">
        <v>8</v>
      </c>
      <c r="E154" t="s">
        <v>101</v>
      </c>
      <c r="F154" t="s">
        <v>40</v>
      </c>
      <c r="G154" t="s">
        <v>94</v>
      </c>
      <c r="H154" t="s">
        <v>12</v>
      </c>
      <c r="I154" t="s">
        <v>245</v>
      </c>
      <c r="J154" t="s">
        <v>58</v>
      </c>
      <c r="K154" t="s">
        <v>36</v>
      </c>
      <c r="L154" t="s">
        <v>10</v>
      </c>
    </row>
    <row r="155" spans="1:12">
      <c r="A155" t="s">
        <v>366</v>
      </c>
      <c r="B155" s="2">
        <v>45891</v>
      </c>
      <c r="C155">
        <v>2025</v>
      </c>
      <c r="D155">
        <v>8</v>
      </c>
      <c r="E155" t="s">
        <v>101</v>
      </c>
      <c r="F155" t="s">
        <v>67</v>
      </c>
      <c r="G155" t="s">
        <v>48</v>
      </c>
      <c r="H155" t="s">
        <v>12</v>
      </c>
      <c r="I155" t="s">
        <v>211</v>
      </c>
      <c r="J155" t="s">
        <v>84</v>
      </c>
      <c r="K155" t="s">
        <v>16</v>
      </c>
      <c r="L155" t="s">
        <v>10</v>
      </c>
    </row>
    <row r="156" spans="1:12">
      <c r="A156" t="s">
        <v>367</v>
      </c>
      <c r="B156" s="2">
        <v>45893</v>
      </c>
      <c r="C156">
        <v>2025</v>
      </c>
      <c r="D156">
        <v>8</v>
      </c>
      <c r="E156" t="s">
        <v>101</v>
      </c>
      <c r="F156" t="s">
        <v>78</v>
      </c>
      <c r="G156" t="s">
        <v>32</v>
      </c>
      <c r="H156" t="s">
        <v>33</v>
      </c>
      <c r="I156" t="s">
        <v>245</v>
      </c>
      <c r="J156" t="s">
        <v>14</v>
      </c>
      <c r="K156" t="s">
        <v>16</v>
      </c>
      <c r="L156" t="s">
        <v>10</v>
      </c>
    </row>
    <row r="157" spans="1:12">
      <c r="A157" t="s">
        <v>368</v>
      </c>
      <c r="B157" s="2">
        <v>45914</v>
      </c>
      <c r="C157">
        <v>2025</v>
      </c>
      <c r="D157">
        <v>9</v>
      </c>
      <c r="E157" t="s">
        <v>105</v>
      </c>
      <c r="F157" t="s">
        <v>31</v>
      </c>
      <c r="G157" t="s">
        <v>20</v>
      </c>
      <c r="H157" t="s">
        <v>4</v>
      </c>
      <c r="I157" t="s">
        <v>207</v>
      </c>
      <c r="J157" t="s">
        <v>41</v>
      </c>
      <c r="K157" t="s">
        <v>16</v>
      </c>
      <c r="L157" t="s">
        <v>10</v>
      </c>
    </row>
    <row r="158" spans="1:12">
      <c r="A158" t="s">
        <v>369</v>
      </c>
      <c r="B158" s="2">
        <v>45901</v>
      </c>
      <c r="C158">
        <v>2025</v>
      </c>
      <c r="D158">
        <v>9</v>
      </c>
      <c r="E158" t="s">
        <v>105</v>
      </c>
      <c r="F158" t="s">
        <v>40</v>
      </c>
      <c r="G158" t="s">
        <v>69</v>
      </c>
      <c r="H158" t="s">
        <v>12</v>
      </c>
      <c r="I158" t="s">
        <v>205</v>
      </c>
      <c r="J158" t="s">
        <v>56</v>
      </c>
      <c r="K158" t="s">
        <v>9</v>
      </c>
      <c r="L158" t="s">
        <v>10</v>
      </c>
    </row>
    <row r="159" spans="1:12">
      <c r="A159" t="s">
        <v>370</v>
      </c>
      <c r="B159" s="2">
        <v>45911</v>
      </c>
      <c r="C159">
        <v>2025</v>
      </c>
      <c r="D159">
        <v>9</v>
      </c>
      <c r="E159" t="s">
        <v>105</v>
      </c>
      <c r="F159" t="s">
        <v>38</v>
      </c>
      <c r="G159" t="s">
        <v>74</v>
      </c>
      <c r="H159" t="s">
        <v>44</v>
      </c>
      <c r="I159" t="s">
        <v>217</v>
      </c>
      <c r="J159" t="s">
        <v>51</v>
      </c>
      <c r="K159" t="s">
        <v>9</v>
      </c>
      <c r="L159" t="s">
        <v>10</v>
      </c>
    </row>
    <row r="160" spans="1:12">
      <c r="A160" t="s">
        <v>371</v>
      </c>
      <c r="B160" s="2">
        <v>45922</v>
      </c>
      <c r="C160">
        <v>2025</v>
      </c>
      <c r="D160">
        <v>9</v>
      </c>
      <c r="E160" t="s">
        <v>105</v>
      </c>
      <c r="F160" t="s">
        <v>2</v>
      </c>
      <c r="G160" t="s">
        <v>38</v>
      </c>
      <c r="H160" t="s">
        <v>44</v>
      </c>
      <c r="I160" t="s">
        <v>219</v>
      </c>
      <c r="J160" t="s">
        <v>71</v>
      </c>
      <c r="K160" t="s">
        <v>16</v>
      </c>
      <c r="L160" t="s">
        <v>10</v>
      </c>
    </row>
    <row r="161" spans="1:12">
      <c r="A161" t="s">
        <v>372</v>
      </c>
      <c r="B161" s="2">
        <v>45911</v>
      </c>
      <c r="C161">
        <v>2025</v>
      </c>
      <c r="D161">
        <v>9</v>
      </c>
      <c r="E161" t="s">
        <v>105</v>
      </c>
      <c r="F161" t="s">
        <v>40</v>
      </c>
      <c r="G161" t="s">
        <v>55</v>
      </c>
      <c r="H161" t="s">
        <v>4</v>
      </c>
      <c r="I161" t="s">
        <v>211</v>
      </c>
      <c r="J161" t="s">
        <v>41</v>
      </c>
      <c r="K161" t="s">
        <v>36</v>
      </c>
      <c r="L161" t="s">
        <v>10</v>
      </c>
    </row>
    <row r="162" spans="1:12">
      <c r="A162" t="s">
        <v>373</v>
      </c>
      <c r="B162" s="2">
        <v>45923</v>
      </c>
      <c r="C162">
        <v>2025</v>
      </c>
      <c r="D162">
        <v>9</v>
      </c>
      <c r="E162" t="s">
        <v>105</v>
      </c>
      <c r="F162" t="s">
        <v>40</v>
      </c>
      <c r="G162" t="s">
        <v>69</v>
      </c>
      <c r="H162" t="s">
        <v>33</v>
      </c>
      <c r="I162" t="s">
        <v>245</v>
      </c>
      <c r="J162" t="s">
        <v>107</v>
      </c>
      <c r="K162" t="s">
        <v>9</v>
      </c>
      <c r="L162" t="s">
        <v>10</v>
      </c>
    </row>
    <row r="163" spans="1:12">
      <c r="A163" t="s">
        <v>374</v>
      </c>
      <c r="B163" s="2">
        <v>45917</v>
      </c>
      <c r="C163">
        <v>2025</v>
      </c>
      <c r="D163">
        <v>9</v>
      </c>
      <c r="E163" t="s">
        <v>105</v>
      </c>
      <c r="F163" t="s">
        <v>26</v>
      </c>
      <c r="G163" t="s">
        <v>55</v>
      </c>
      <c r="H163" t="s">
        <v>33</v>
      </c>
      <c r="I163" t="s">
        <v>207</v>
      </c>
      <c r="J163" t="s">
        <v>56</v>
      </c>
      <c r="K163" t="s">
        <v>16</v>
      </c>
      <c r="L163" t="s">
        <v>10</v>
      </c>
    </row>
    <row r="164" spans="1:12">
      <c r="A164" t="s">
        <v>375</v>
      </c>
      <c r="B164" s="2">
        <v>45915</v>
      </c>
      <c r="C164">
        <v>2025</v>
      </c>
      <c r="D164">
        <v>9</v>
      </c>
      <c r="E164" t="s">
        <v>105</v>
      </c>
      <c r="F164" t="s">
        <v>38</v>
      </c>
      <c r="G164" t="s">
        <v>38</v>
      </c>
      <c r="H164" t="s">
        <v>4</v>
      </c>
      <c r="I164" t="s">
        <v>219</v>
      </c>
      <c r="J164" t="s">
        <v>58</v>
      </c>
      <c r="K164" t="s">
        <v>36</v>
      </c>
      <c r="L164" t="s">
        <v>10</v>
      </c>
    </row>
    <row r="165" spans="1:12">
      <c r="A165" t="s">
        <v>376</v>
      </c>
      <c r="B165" s="2">
        <v>45936</v>
      </c>
      <c r="C165">
        <v>2025</v>
      </c>
      <c r="D165">
        <v>10</v>
      </c>
      <c r="E165" t="s">
        <v>113</v>
      </c>
      <c r="F165" t="s">
        <v>38</v>
      </c>
      <c r="G165" t="s">
        <v>94</v>
      </c>
      <c r="H165" t="s">
        <v>4</v>
      </c>
      <c r="I165" t="s">
        <v>219</v>
      </c>
      <c r="J165" t="s">
        <v>7</v>
      </c>
      <c r="K165" t="s">
        <v>9</v>
      </c>
      <c r="L165" t="s">
        <v>10</v>
      </c>
    </row>
    <row r="166" spans="1:12">
      <c r="A166" t="s">
        <v>377</v>
      </c>
      <c r="B166" s="2">
        <v>45939</v>
      </c>
      <c r="C166">
        <v>2025</v>
      </c>
      <c r="D166">
        <v>10</v>
      </c>
      <c r="E166" t="s">
        <v>113</v>
      </c>
      <c r="F166" t="s">
        <v>40</v>
      </c>
      <c r="G166" t="s">
        <v>48</v>
      </c>
      <c r="H166" t="s">
        <v>33</v>
      </c>
      <c r="I166" t="s">
        <v>231</v>
      </c>
      <c r="J166" t="s">
        <v>71</v>
      </c>
      <c r="K166" t="s">
        <v>29</v>
      </c>
      <c r="L166" t="s">
        <v>10</v>
      </c>
    </row>
    <row r="167" spans="1:12">
      <c r="A167" t="s">
        <v>378</v>
      </c>
      <c r="B167" s="2">
        <v>45936</v>
      </c>
      <c r="C167">
        <v>2025</v>
      </c>
      <c r="D167">
        <v>10</v>
      </c>
      <c r="E167" t="s">
        <v>113</v>
      </c>
      <c r="F167" t="s">
        <v>19</v>
      </c>
      <c r="G167" t="s">
        <v>48</v>
      </c>
      <c r="H167" t="s">
        <v>12</v>
      </c>
      <c r="I167" t="s">
        <v>205</v>
      </c>
      <c r="J167" t="s">
        <v>21</v>
      </c>
      <c r="K167" t="s">
        <v>36</v>
      </c>
      <c r="L167" t="s">
        <v>10</v>
      </c>
    </row>
    <row r="168" spans="1:12">
      <c r="A168" t="s">
        <v>379</v>
      </c>
      <c r="B168" s="2">
        <v>45934</v>
      </c>
      <c r="C168">
        <v>2025</v>
      </c>
      <c r="D168">
        <v>10</v>
      </c>
      <c r="E168" t="s">
        <v>113</v>
      </c>
      <c r="F168" t="s">
        <v>67</v>
      </c>
      <c r="G168" t="s">
        <v>32</v>
      </c>
      <c r="H168" t="s">
        <v>33</v>
      </c>
      <c r="I168" t="s">
        <v>219</v>
      </c>
      <c r="J168" t="s">
        <v>51</v>
      </c>
      <c r="K168" t="s">
        <v>29</v>
      </c>
      <c r="L168" t="s">
        <v>10</v>
      </c>
    </row>
    <row r="169" spans="1:12">
      <c r="A169" t="s">
        <v>380</v>
      </c>
      <c r="B169" s="2">
        <v>45943</v>
      </c>
      <c r="C169">
        <v>2025</v>
      </c>
      <c r="D169">
        <v>10</v>
      </c>
      <c r="E169" t="s">
        <v>113</v>
      </c>
      <c r="F169" t="s">
        <v>38</v>
      </c>
      <c r="G169" t="s">
        <v>64</v>
      </c>
      <c r="H169" t="s">
        <v>12</v>
      </c>
      <c r="I169" t="s">
        <v>205</v>
      </c>
      <c r="J169" t="s">
        <v>56</v>
      </c>
      <c r="K169" t="s">
        <v>9</v>
      </c>
      <c r="L169" t="s">
        <v>10</v>
      </c>
    </row>
    <row r="170" spans="1:12">
      <c r="A170" t="s">
        <v>381</v>
      </c>
      <c r="B170" s="2">
        <v>45979</v>
      </c>
      <c r="C170">
        <v>2025</v>
      </c>
      <c r="D170">
        <v>11</v>
      </c>
      <c r="E170" t="s">
        <v>117</v>
      </c>
      <c r="F170" t="s">
        <v>31</v>
      </c>
      <c r="G170" t="s">
        <v>74</v>
      </c>
      <c r="H170" t="s">
        <v>12</v>
      </c>
      <c r="I170" t="s">
        <v>207</v>
      </c>
      <c r="J170" t="s">
        <v>84</v>
      </c>
      <c r="K170" t="s">
        <v>16</v>
      </c>
      <c r="L170" t="s">
        <v>10</v>
      </c>
    </row>
    <row r="171" spans="1:12">
      <c r="A171" t="s">
        <v>382</v>
      </c>
      <c r="B171" s="2">
        <v>45978</v>
      </c>
      <c r="C171">
        <v>2025</v>
      </c>
      <c r="D171">
        <v>11</v>
      </c>
      <c r="E171" t="s">
        <v>117</v>
      </c>
      <c r="F171" t="s">
        <v>40</v>
      </c>
      <c r="G171" t="s">
        <v>32</v>
      </c>
      <c r="H171" t="s">
        <v>33</v>
      </c>
      <c r="I171" t="s">
        <v>245</v>
      </c>
      <c r="J171" t="s">
        <v>41</v>
      </c>
      <c r="K171" t="s">
        <v>9</v>
      </c>
      <c r="L171" t="s">
        <v>10</v>
      </c>
    </row>
    <row r="172" spans="1:12">
      <c r="A172" t="s">
        <v>383</v>
      </c>
      <c r="B172" s="2">
        <v>45981</v>
      </c>
      <c r="C172">
        <v>2025</v>
      </c>
      <c r="D172">
        <v>11</v>
      </c>
      <c r="E172" t="s">
        <v>117</v>
      </c>
      <c r="F172" t="s">
        <v>31</v>
      </c>
      <c r="G172" t="s">
        <v>38</v>
      </c>
      <c r="H172" t="s">
        <v>33</v>
      </c>
      <c r="I172" t="s">
        <v>245</v>
      </c>
      <c r="J172" t="s">
        <v>51</v>
      </c>
      <c r="K172" t="s">
        <v>29</v>
      </c>
      <c r="L172" t="s">
        <v>10</v>
      </c>
    </row>
    <row r="173" spans="1:12">
      <c r="A173" t="s">
        <v>384</v>
      </c>
      <c r="B173" s="2">
        <v>45962</v>
      </c>
      <c r="C173">
        <v>2025</v>
      </c>
      <c r="D173">
        <v>11</v>
      </c>
      <c r="E173" t="s">
        <v>117</v>
      </c>
      <c r="F173" t="s">
        <v>19</v>
      </c>
      <c r="G173" t="s">
        <v>27</v>
      </c>
      <c r="H173" t="s">
        <v>33</v>
      </c>
      <c r="I173" t="s">
        <v>219</v>
      </c>
      <c r="J173" t="s">
        <v>84</v>
      </c>
      <c r="K173" t="s">
        <v>29</v>
      </c>
      <c r="L173" t="s">
        <v>10</v>
      </c>
    </row>
    <row r="174" spans="1:12">
      <c r="A174" t="s">
        <v>385</v>
      </c>
      <c r="B174" s="2">
        <v>45977</v>
      </c>
      <c r="C174">
        <v>2025</v>
      </c>
      <c r="D174">
        <v>11</v>
      </c>
      <c r="E174" t="s">
        <v>117</v>
      </c>
      <c r="F174" t="s">
        <v>19</v>
      </c>
      <c r="G174" t="s">
        <v>94</v>
      </c>
      <c r="H174" t="s">
        <v>12</v>
      </c>
      <c r="I174" t="s">
        <v>245</v>
      </c>
      <c r="J174" t="s">
        <v>84</v>
      </c>
      <c r="K174" t="s">
        <v>29</v>
      </c>
      <c r="L174" t="s">
        <v>10</v>
      </c>
    </row>
    <row r="175" spans="1:12">
      <c r="A175" t="s">
        <v>386</v>
      </c>
      <c r="B175" s="2">
        <v>45999</v>
      </c>
      <c r="C175">
        <v>2025</v>
      </c>
      <c r="D175">
        <v>12</v>
      </c>
      <c r="E175" t="s">
        <v>124</v>
      </c>
      <c r="F175" t="s">
        <v>38</v>
      </c>
      <c r="G175" t="s">
        <v>61</v>
      </c>
      <c r="H175" t="s">
        <v>33</v>
      </c>
      <c r="I175" t="s">
        <v>245</v>
      </c>
      <c r="J175" t="s">
        <v>41</v>
      </c>
      <c r="K175" t="s">
        <v>29</v>
      </c>
      <c r="L175" t="s">
        <v>10</v>
      </c>
    </row>
    <row r="176" spans="1:12">
      <c r="A176" t="s">
        <v>387</v>
      </c>
      <c r="B176" s="2">
        <v>46014</v>
      </c>
      <c r="C176">
        <v>2025</v>
      </c>
      <c r="D176">
        <v>12</v>
      </c>
      <c r="E176" t="s">
        <v>124</v>
      </c>
      <c r="F176" t="s">
        <v>26</v>
      </c>
      <c r="G176" t="s">
        <v>38</v>
      </c>
      <c r="H176" t="s">
        <v>12</v>
      </c>
      <c r="I176" t="s">
        <v>205</v>
      </c>
      <c r="J176" t="s">
        <v>107</v>
      </c>
      <c r="K176" t="s">
        <v>29</v>
      </c>
      <c r="L176" t="s">
        <v>10</v>
      </c>
    </row>
    <row r="177" spans="1:12">
      <c r="A177" t="s">
        <v>388</v>
      </c>
      <c r="B177" s="2">
        <v>46002</v>
      </c>
      <c r="C177">
        <v>2025</v>
      </c>
      <c r="D177">
        <v>12</v>
      </c>
      <c r="E177" t="s">
        <v>124</v>
      </c>
      <c r="F177" t="s">
        <v>78</v>
      </c>
      <c r="G177" t="s">
        <v>61</v>
      </c>
      <c r="H177" t="s">
        <v>44</v>
      </c>
      <c r="I177" t="s">
        <v>217</v>
      </c>
      <c r="J177" t="s">
        <v>21</v>
      </c>
      <c r="K177" t="s">
        <v>29</v>
      </c>
      <c r="L177" t="s">
        <v>10</v>
      </c>
    </row>
    <row r="178" spans="1:12">
      <c r="A178" t="s">
        <v>389</v>
      </c>
      <c r="B178" s="2">
        <v>46013</v>
      </c>
      <c r="C178">
        <v>2025</v>
      </c>
      <c r="D178">
        <v>12</v>
      </c>
      <c r="E178" t="s">
        <v>124</v>
      </c>
      <c r="F178" t="s">
        <v>2</v>
      </c>
      <c r="G178" t="s">
        <v>38</v>
      </c>
      <c r="H178" t="s">
        <v>44</v>
      </c>
      <c r="I178" t="s">
        <v>211</v>
      </c>
      <c r="J178" t="s">
        <v>58</v>
      </c>
      <c r="K178" t="s">
        <v>29</v>
      </c>
      <c r="L178" t="s">
        <v>10</v>
      </c>
    </row>
    <row r="179" spans="1:12">
      <c r="A179" t="s">
        <v>390</v>
      </c>
      <c r="B179" s="2">
        <v>46000</v>
      </c>
      <c r="C179">
        <v>2025</v>
      </c>
      <c r="D179">
        <v>12</v>
      </c>
      <c r="E179" t="s">
        <v>124</v>
      </c>
      <c r="F179" t="s">
        <v>31</v>
      </c>
      <c r="G179" t="s">
        <v>3</v>
      </c>
      <c r="H179" t="s">
        <v>12</v>
      </c>
      <c r="I179" t="s">
        <v>245</v>
      </c>
      <c r="J179" t="s">
        <v>41</v>
      </c>
      <c r="K179" t="s">
        <v>16</v>
      </c>
      <c r="L179" t="s">
        <v>10</v>
      </c>
    </row>
    <row r="180" spans="1:12">
      <c r="A180" t="s">
        <v>391</v>
      </c>
      <c r="B180" s="2">
        <v>45998</v>
      </c>
      <c r="C180">
        <v>2025</v>
      </c>
      <c r="D180">
        <v>12</v>
      </c>
      <c r="E180" t="s">
        <v>124</v>
      </c>
      <c r="F180" t="s">
        <v>40</v>
      </c>
      <c r="G180" t="s">
        <v>69</v>
      </c>
      <c r="H180" t="s">
        <v>12</v>
      </c>
      <c r="I180" t="s">
        <v>215</v>
      </c>
      <c r="J180" t="s">
        <v>56</v>
      </c>
      <c r="K180" t="s">
        <v>29</v>
      </c>
      <c r="L180" t="s">
        <v>10</v>
      </c>
    </row>
    <row r="181" spans="1:12">
      <c r="A181" t="s">
        <v>392</v>
      </c>
      <c r="B181" s="2">
        <v>46049</v>
      </c>
      <c r="C181">
        <v>2026</v>
      </c>
      <c r="D181">
        <v>1</v>
      </c>
      <c r="E181" t="s">
        <v>1</v>
      </c>
      <c r="F181" t="s">
        <v>40</v>
      </c>
      <c r="G181" t="s">
        <v>27</v>
      </c>
      <c r="H181" t="s">
        <v>12</v>
      </c>
      <c r="I181" t="s">
        <v>231</v>
      </c>
      <c r="J181" t="s">
        <v>56</v>
      </c>
      <c r="K181" t="s">
        <v>9</v>
      </c>
      <c r="L181" t="s">
        <v>10</v>
      </c>
    </row>
    <row r="182" spans="1:12">
      <c r="A182" t="s">
        <v>393</v>
      </c>
      <c r="B182" s="2">
        <v>46040</v>
      </c>
      <c r="C182">
        <v>2026</v>
      </c>
      <c r="D182">
        <v>1</v>
      </c>
      <c r="E182" t="s">
        <v>1</v>
      </c>
      <c r="F182" t="s">
        <v>31</v>
      </c>
      <c r="G182" t="s">
        <v>48</v>
      </c>
      <c r="H182" t="s">
        <v>4</v>
      </c>
      <c r="I182" t="s">
        <v>215</v>
      </c>
      <c r="J182" t="s">
        <v>71</v>
      </c>
      <c r="K182" t="s">
        <v>29</v>
      </c>
      <c r="L182" t="s">
        <v>10</v>
      </c>
    </row>
    <row r="183" spans="1:12">
      <c r="A183" t="s">
        <v>394</v>
      </c>
      <c r="B183" s="2">
        <v>46040</v>
      </c>
      <c r="C183">
        <v>2026</v>
      </c>
      <c r="D183">
        <v>1</v>
      </c>
      <c r="E183" t="s">
        <v>1</v>
      </c>
      <c r="F183" t="s">
        <v>47</v>
      </c>
      <c r="G183" t="s">
        <v>27</v>
      </c>
      <c r="H183" t="s">
        <v>12</v>
      </c>
      <c r="I183" t="s">
        <v>231</v>
      </c>
      <c r="J183" t="s">
        <v>14</v>
      </c>
      <c r="K183" t="s">
        <v>36</v>
      </c>
      <c r="L183" t="s">
        <v>10</v>
      </c>
    </row>
    <row r="184" spans="1:12">
      <c r="A184" t="s">
        <v>395</v>
      </c>
      <c r="B184" s="2">
        <v>46041</v>
      </c>
      <c r="C184">
        <v>2026</v>
      </c>
      <c r="D184">
        <v>1</v>
      </c>
      <c r="E184" t="s">
        <v>1</v>
      </c>
      <c r="F184" t="s">
        <v>31</v>
      </c>
      <c r="G184" t="s">
        <v>3</v>
      </c>
      <c r="H184" t="s">
        <v>4</v>
      </c>
      <c r="I184" t="s">
        <v>205</v>
      </c>
      <c r="J184" t="s">
        <v>71</v>
      </c>
      <c r="K184" t="s">
        <v>29</v>
      </c>
      <c r="L184" t="s">
        <v>10</v>
      </c>
    </row>
    <row r="185" spans="1:12">
      <c r="A185" t="s">
        <v>396</v>
      </c>
      <c r="B185" s="2">
        <v>46044</v>
      </c>
      <c r="C185">
        <v>2026</v>
      </c>
      <c r="D185">
        <v>1</v>
      </c>
      <c r="E185" t="s">
        <v>1</v>
      </c>
      <c r="F185" t="s">
        <v>2</v>
      </c>
      <c r="G185" t="s">
        <v>69</v>
      </c>
      <c r="H185" t="s">
        <v>33</v>
      </c>
      <c r="I185" t="s">
        <v>245</v>
      </c>
      <c r="J185" t="s">
        <v>7</v>
      </c>
      <c r="K185" t="s">
        <v>36</v>
      </c>
      <c r="L185" t="s">
        <v>10</v>
      </c>
    </row>
    <row r="186" spans="1:12">
      <c r="A186" t="s">
        <v>397</v>
      </c>
      <c r="B186" s="2">
        <v>46031</v>
      </c>
      <c r="C186">
        <v>2026</v>
      </c>
      <c r="D186">
        <v>1</v>
      </c>
      <c r="E186" t="s">
        <v>1</v>
      </c>
      <c r="F186" t="s">
        <v>40</v>
      </c>
      <c r="G186" t="s">
        <v>20</v>
      </c>
      <c r="H186" t="s">
        <v>33</v>
      </c>
      <c r="I186" t="s">
        <v>245</v>
      </c>
      <c r="J186" t="s">
        <v>107</v>
      </c>
      <c r="K186" t="s">
        <v>29</v>
      </c>
      <c r="L186" t="s">
        <v>10</v>
      </c>
    </row>
    <row r="187" spans="1:12">
      <c r="A187" t="s">
        <v>398</v>
      </c>
      <c r="B187" s="2">
        <v>46047</v>
      </c>
      <c r="C187">
        <v>2026</v>
      </c>
      <c r="D187">
        <v>1</v>
      </c>
      <c r="E187" t="s">
        <v>1</v>
      </c>
      <c r="F187" t="s">
        <v>38</v>
      </c>
      <c r="G187" t="s">
        <v>3</v>
      </c>
      <c r="H187" t="s">
        <v>33</v>
      </c>
      <c r="I187" t="s">
        <v>205</v>
      </c>
      <c r="J187" t="s">
        <v>41</v>
      </c>
      <c r="K187" t="s">
        <v>16</v>
      </c>
      <c r="L187" t="s">
        <v>10</v>
      </c>
    </row>
    <row r="188" spans="1:12">
      <c r="A188" t="s">
        <v>399</v>
      </c>
      <c r="B188" s="2">
        <v>46065</v>
      </c>
      <c r="C188">
        <v>2026</v>
      </c>
      <c r="D188">
        <v>2</v>
      </c>
      <c r="E188" t="s">
        <v>25</v>
      </c>
      <c r="F188" t="s">
        <v>67</v>
      </c>
      <c r="G188" t="s">
        <v>64</v>
      </c>
      <c r="H188" t="s">
        <v>44</v>
      </c>
      <c r="I188" t="s">
        <v>211</v>
      </c>
      <c r="J188" t="s">
        <v>71</v>
      </c>
      <c r="K188" t="s">
        <v>29</v>
      </c>
      <c r="L188" t="s">
        <v>10</v>
      </c>
    </row>
    <row r="189" spans="1:12">
      <c r="A189" t="s">
        <v>400</v>
      </c>
      <c r="B189" s="2">
        <v>46063</v>
      </c>
      <c r="C189">
        <v>2026</v>
      </c>
      <c r="D189">
        <v>2</v>
      </c>
      <c r="E189" t="s">
        <v>25</v>
      </c>
      <c r="F189" t="s">
        <v>38</v>
      </c>
      <c r="G189" t="s">
        <v>32</v>
      </c>
      <c r="H189" t="s">
        <v>44</v>
      </c>
      <c r="I189" t="s">
        <v>217</v>
      </c>
      <c r="J189" t="s">
        <v>14</v>
      </c>
      <c r="K189" t="s">
        <v>9</v>
      </c>
      <c r="L189" t="s">
        <v>10</v>
      </c>
    </row>
    <row r="190" spans="1:12">
      <c r="A190" t="s">
        <v>401</v>
      </c>
      <c r="B190" s="2">
        <v>46058</v>
      </c>
      <c r="C190">
        <v>2026</v>
      </c>
      <c r="D190">
        <v>2</v>
      </c>
      <c r="E190" t="s">
        <v>25</v>
      </c>
      <c r="F190" t="s">
        <v>26</v>
      </c>
      <c r="G190" t="s">
        <v>20</v>
      </c>
      <c r="H190" t="s">
        <v>4</v>
      </c>
      <c r="I190" t="s">
        <v>219</v>
      </c>
      <c r="J190" t="s">
        <v>56</v>
      </c>
      <c r="K190" t="s">
        <v>16</v>
      </c>
      <c r="L190" t="s">
        <v>10</v>
      </c>
    </row>
    <row r="191" spans="1:12">
      <c r="A191" t="s">
        <v>402</v>
      </c>
      <c r="B191" s="2">
        <v>46068</v>
      </c>
      <c r="C191">
        <v>2026</v>
      </c>
      <c r="D191">
        <v>2</v>
      </c>
      <c r="E191" t="s">
        <v>25</v>
      </c>
      <c r="F191" t="s">
        <v>78</v>
      </c>
      <c r="G191" t="s">
        <v>69</v>
      </c>
      <c r="H191" t="s">
        <v>4</v>
      </c>
      <c r="I191" t="s">
        <v>219</v>
      </c>
      <c r="J191" t="s">
        <v>41</v>
      </c>
      <c r="K191" t="s">
        <v>29</v>
      </c>
      <c r="L191" t="s">
        <v>10</v>
      </c>
    </row>
    <row r="192" spans="1:12">
      <c r="A192" t="s">
        <v>403</v>
      </c>
      <c r="B192" s="2">
        <v>46095</v>
      </c>
      <c r="C192">
        <v>2026</v>
      </c>
      <c r="D192">
        <v>3</v>
      </c>
      <c r="E192" t="s">
        <v>60</v>
      </c>
      <c r="F192" t="s">
        <v>78</v>
      </c>
      <c r="G192" t="s">
        <v>69</v>
      </c>
      <c r="H192" t="s">
        <v>33</v>
      </c>
      <c r="I192" t="s">
        <v>219</v>
      </c>
      <c r="J192" t="s">
        <v>84</v>
      </c>
      <c r="K192" t="s">
        <v>29</v>
      </c>
      <c r="L192" t="s">
        <v>10</v>
      </c>
    </row>
    <row r="193" spans="1:12">
      <c r="A193" t="s">
        <v>404</v>
      </c>
      <c r="B193" s="2">
        <v>46106</v>
      </c>
      <c r="C193">
        <v>2026</v>
      </c>
      <c r="D193">
        <v>3</v>
      </c>
      <c r="E193" t="s">
        <v>60</v>
      </c>
      <c r="F193" t="s">
        <v>40</v>
      </c>
      <c r="G193" t="s">
        <v>48</v>
      </c>
      <c r="H193" t="s">
        <v>44</v>
      </c>
      <c r="I193" t="s">
        <v>231</v>
      </c>
      <c r="J193" t="s">
        <v>7</v>
      </c>
      <c r="K193" t="s">
        <v>9</v>
      </c>
      <c r="L193" t="s">
        <v>10</v>
      </c>
    </row>
    <row r="194" spans="1:12">
      <c r="A194" t="s">
        <v>405</v>
      </c>
      <c r="B194" s="2">
        <v>46100</v>
      </c>
      <c r="C194">
        <v>2026</v>
      </c>
      <c r="D194">
        <v>3</v>
      </c>
      <c r="E194" t="s">
        <v>60</v>
      </c>
      <c r="F194" t="s">
        <v>2</v>
      </c>
      <c r="G194" t="s">
        <v>20</v>
      </c>
      <c r="H194" t="s">
        <v>12</v>
      </c>
      <c r="I194" t="s">
        <v>217</v>
      </c>
      <c r="J194" t="s">
        <v>84</v>
      </c>
      <c r="K194" t="s">
        <v>16</v>
      </c>
      <c r="L194" t="s">
        <v>10</v>
      </c>
    </row>
    <row r="195" spans="1:12">
      <c r="A195" t="s">
        <v>406</v>
      </c>
      <c r="B195" s="2">
        <v>46107</v>
      </c>
      <c r="C195">
        <v>2026</v>
      </c>
      <c r="D195">
        <v>3</v>
      </c>
      <c r="E195" t="s">
        <v>60</v>
      </c>
      <c r="F195" t="s">
        <v>38</v>
      </c>
      <c r="G195" t="s">
        <v>55</v>
      </c>
      <c r="H195" t="s">
        <v>44</v>
      </c>
      <c r="I195" t="s">
        <v>231</v>
      </c>
      <c r="J195" t="s">
        <v>84</v>
      </c>
      <c r="K195" t="s">
        <v>29</v>
      </c>
      <c r="L195" t="s">
        <v>10</v>
      </c>
    </row>
    <row r="196" spans="1:12">
      <c r="A196" t="s">
        <v>407</v>
      </c>
      <c r="B196" s="2">
        <v>46087</v>
      </c>
      <c r="C196">
        <v>2026</v>
      </c>
      <c r="D196">
        <v>3</v>
      </c>
      <c r="E196" t="s">
        <v>60</v>
      </c>
      <c r="F196" t="s">
        <v>47</v>
      </c>
      <c r="G196" t="s">
        <v>94</v>
      </c>
      <c r="H196" t="s">
        <v>12</v>
      </c>
      <c r="I196" t="s">
        <v>217</v>
      </c>
      <c r="J196" t="s">
        <v>14</v>
      </c>
      <c r="K196" t="s">
        <v>36</v>
      </c>
      <c r="L196" t="s">
        <v>10</v>
      </c>
    </row>
    <row r="197" spans="1:12">
      <c r="A197" t="s">
        <v>408</v>
      </c>
      <c r="B197" s="2">
        <v>46116</v>
      </c>
      <c r="C197">
        <v>2026</v>
      </c>
      <c r="D197">
        <v>4</v>
      </c>
      <c r="E197" t="s">
        <v>73</v>
      </c>
      <c r="F197" t="s">
        <v>2</v>
      </c>
      <c r="G197" t="s">
        <v>94</v>
      </c>
      <c r="H197" t="s">
        <v>33</v>
      </c>
      <c r="I197" t="s">
        <v>245</v>
      </c>
      <c r="J197" t="s">
        <v>7</v>
      </c>
      <c r="K197" t="s">
        <v>16</v>
      </c>
      <c r="L197" t="s">
        <v>10</v>
      </c>
    </row>
    <row r="198" spans="1:12">
      <c r="A198" t="s">
        <v>409</v>
      </c>
      <c r="B198" s="2">
        <v>46126</v>
      </c>
      <c r="C198">
        <v>2026</v>
      </c>
      <c r="D198">
        <v>4</v>
      </c>
      <c r="E198" t="s">
        <v>73</v>
      </c>
      <c r="F198" t="s">
        <v>78</v>
      </c>
      <c r="G198" t="s">
        <v>3</v>
      </c>
      <c r="H198" t="s">
        <v>12</v>
      </c>
      <c r="I198" t="s">
        <v>217</v>
      </c>
      <c r="J198" t="s">
        <v>58</v>
      </c>
      <c r="K198" t="s">
        <v>16</v>
      </c>
      <c r="L198" t="s">
        <v>10</v>
      </c>
    </row>
    <row r="199" spans="1:12">
      <c r="A199" t="s">
        <v>410</v>
      </c>
      <c r="B199" s="2">
        <v>46132</v>
      </c>
      <c r="C199">
        <v>2026</v>
      </c>
      <c r="D199">
        <v>4</v>
      </c>
      <c r="E199" t="s">
        <v>73</v>
      </c>
      <c r="F199" t="s">
        <v>38</v>
      </c>
      <c r="G199" t="s">
        <v>94</v>
      </c>
      <c r="H199" t="s">
        <v>12</v>
      </c>
      <c r="I199" t="s">
        <v>217</v>
      </c>
      <c r="J199" t="s">
        <v>21</v>
      </c>
      <c r="K199" t="s">
        <v>36</v>
      </c>
      <c r="L199" t="s">
        <v>10</v>
      </c>
    </row>
    <row r="200" spans="1:12">
      <c r="A200" t="s">
        <v>411</v>
      </c>
      <c r="B200" s="2">
        <v>46118</v>
      </c>
      <c r="C200">
        <v>2026</v>
      </c>
      <c r="D200">
        <v>4</v>
      </c>
      <c r="E200" t="s">
        <v>73</v>
      </c>
      <c r="F200" t="s">
        <v>31</v>
      </c>
      <c r="G200" t="s">
        <v>55</v>
      </c>
      <c r="H200" t="s">
        <v>44</v>
      </c>
      <c r="I200" t="s">
        <v>217</v>
      </c>
      <c r="J200" t="s">
        <v>41</v>
      </c>
      <c r="K200" t="s">
        <v>29</v>
      </c>
      <c r="L200" t="s">
        <v>10</v>
      </c>
    </row>
    <row r="201" spans="1:12">
      <c r="A201" t="s">
        <v>412</v>
      </c>
      <c r="B201" s="2">
        <v>46120</v>
      </c>
      <c r="C201">
        <v>2026</v>
      </c>
      <c r="D201">
        <v>4</v>
      </c>
      <c r="E201" t="s">
        <v>73</v>
      </c>
      <c r="F201" t="s">
        <v>2</v>
      </c>
      <c r="G201" t="s">
        <v>61</v>
      </c>
      <c r="H201" t="s">
        <v>12</v>
      </c>
      <c r="I201" t="s">
        <v>215</v>
      </c>
      <c r="J201" t="s">
        <v>51</v>
      </c>
      <c r="K201" t="s">
        <v>9</v>
      </c>
      <c r="L201" t="s">
        <v>10</v>
      </c>
    </row>
    <row r="202" spans="1:12">
      <c r="A202" t="s">
        <v>413</v>
      </c>
      <c r="B202" s="2">
        <v>46162</v>
      </c>
      <c r="C202">
        <v>2026</v>
      </c>
      <c r="D202">
        <v>5</v>
      </c>
      <c r="E202" t="s">
        <v>83</v>
      </c>
      <c r="F202" t="s">
        <v>26</v>
      </c>
      <c r="G202" t="s">
        <v>94</v>
      </c>
      <c r="H202" t="s">
        <v>44</v>
      </c>
      <c r="I202" t="s">
        <v>217</v>
      </c>
      <c r="J202" t="s">
        <v>7</v>
      </c>
      <c r="K202" t="s">
        <v>29</v>
      </c>
      <c r="L202" t="s">
        <v>10</v>
      </c>
    </row>
    <row r="203" spans="1:12">
      <c r="A203" t="s">
        <v>414</v>
      </c>
      <c r="B203" s="2">
        <v>46156</v>
      </c>
      <c r="C203">
        <v>2026</v>
      </c>
      <c r="D203">
        <v>5</v>
      </c>
      <c r="E203" t="s">
        <v>83</v>
      </c>
      <c r="F203" t="s">
        <v>31</v>
      </c>
      <c r="G203" t="s">
        <v>64</v>
      </c>
      <c r="H203" t="s">
        <v>4</v>
      </c>
      <c r="I203" t="s">
        <v>245</v>
      </c>
      <c r="J203" t="s">
        <v>51</v>
      </c>
      <c r="K203" t="s">
        <v>9</v>
      </c>
      <c r="L203" t="s">
        <v>10</v>
      </c>
    </row>
    <row r="204" spans="1:12">
      <c r="A204" t="s">
        <v>415</v>
      </c>
      <c r="B204" s="2">
        <v>46151</v>
      </c>
      <c r="C204">
        <v>2026</v>
      </c>
      <c r="D204">
        <v>5</v>
      </c>
      <c r="E204" t="s">
        <v>83</v>
      </c>
      <c r="F204" t="s">
        <v>78</v>
      </c>
      <c r="G204" t="s">
        <v>20</v>
      </c>
      <c r="H204" t="s">
        <v>44</v>
      </c>
      <c r="I204" t="s">
        <v>213</v>
      </c>
      <c r="J204" t="s">
        <v>56</v>
      </c>
      <c r="K204" t="s">
        <v>16</v>
      </c>
      <c r="L204" t="s">
        <v>10</v>
      </c>
    </row>
    <row r="205" spans="1:12">
      <c r="A205" t="s">
        <v>416</v>
      </c>
      <c r="B205" s="2">
        <v>46164</v>
      </c>
      <c r="C205">
        <v>2026</v>
      </c>
      <c r="D205">
        <v>5</v>
      </c>
      <c r="E205" t="s">
        <v>83</v>
      </c>
      <c r="F205" t="s">
        <v>47</v>
      </c>
      <c r="G205" t="s">
        <v>61</v>
      </c>
      <c r="H205" t="s">
        <v>4</v>
      </c>
      <c r="I205" t="s">
        <v>231</v>
      </c>
      <c r="J205" t="s">
        <v>84</v>
      </c>
      <c r="K205" t="s">
        <v>16</v>
      </c>
      <c r="L205" t="s">
        <v>10</v>
      </c>
    </row>
    <row r="206" spans="1:12">
      <c r="A206" t="s">
        <v>417</v>
      </c>
      <c r="B206" s="2">
        <v>46146</v>
      </c>
      <c r="C206">
        <v>2026</v>
      </c>
      <c r="D206">
        <v>5</v>
      </c>
      <c r="E206" t="s">
        <v>83</v>
      </c>
      <c r="F206" t="s">
        <v>38</v>
      </c>
      <c r="G206" t="s">
        <v>20</v>
      </c>
      <c r="H206" t="s">
        <v>33</v>
      </c>
      <c r="I206" t="s">
        <v>245</v>
      </c>
      <c r="J206" t="s">
        <v>7</v>
      </c>
      <c r="K206" t="s">
        <v>29</v>
      </c>
      <c r="L206" t="s">
        <v>10</v>
      </c>
    </row>
    <row r="207" spans="1:12">
      <c r="A207" t="s">
        <v>418</v>
      </c>
      <c r="B207" s="2">
        <v>46152</v>
      </c>
      <c r="C207">
        <v>2026</v>
      </c>
      <c r="D207">
        <v>5</v>
      </c>
      <c r="E207" t="s">
        <v>83</v>
      </c>
      <c r="F207" t="s">
        <v>67</v>
      </c>
      <c r="G207" t="s">
        <v>64</v>
      </c>
      <c r="H207" t="s">
        <v>12</v>
      </c>
      <c r="I207" t="s">
        <v>205</v>
      </c>
      <c r="J207" t="s">
        <v>7</v>
      </c>
      <c r="K207" t="s">
        <v>36</v>
      </c>
      <c r="L207" t="s">
        <v>10</v>
      </c>
    </row>
    <row r="208" spans="1:12">
      <c r="A208" t="s">
        <v>419</v>
      </c>
      <c r="B208" s="2">
        <v>46184</v>
      </c>
      <c r="C208">
        <v>2026</v>
      </c>
      <c r="D208">
        <v>6</v>
      </c>
      <c r="E208" t="s">
        <v>87</v>
      </c>
      <c r="F208" t="s">
        <v>47</v>
      </c>
      <c r="G208" t="s">
        <v>32</v>
      </c>
      <c r="H208" t="s">
        <v>4</v>
      </c>
      <c r="I208" t="s">
        <v>211</v>
      </c>
      <c r="J208" t="s">
        <v>14</v>
      </c>
      <c r="K208" t="s">
        <v>36</v>
      </c>
      <c r="L208" t="s">
        <v>10</v>
      </c>
    </row>
    <row r="209" spans="1:12">
      <c r="A209" t="s">
        <v>420</v>
      </c>
      <c r="B209" s="2">
        <v>46181</v>
      </c>
      <c r="C209">
        <v>2026</v>
      </c>
      <c r="D209">
        <v>6</v>
      </c>
      <c r="E209" t="s">
        <v>87</v>
      </c>
      <c r="F209" t="s">
        <v>67</v>
      </c>
      <c r="G209" t="s">
        <v>48</v>
      </c>
      <c r="H209" t="s">
        <v>44</v>
      </c>
      <c r="I209" t="s">
        <v>219</v>
      </c>
      <c r="J209" t="s">
        <v>14</v>
      </c>
      <c r="K209" t="s">
        <v>36</v>
      </c>
      <c r="L209" t="s">
        <v>10</v>
      </c>
    </row>
    <row r="210" spans="1:12">
      <c r="A210" t="s">
        <v>421</v>
      </c>
      <c r="B210" s="2">
        <v>46180</v>
      </c>
      <c r="C210">
        <v>2026</v>
      </c>
      <c r="D210">
        <v>6</v>
      </c>
      <c r="E210" t="s">
        <v>87</v>
      </c>
      <c r="F210" t="s">
        <v>54</v>
      </c>
      <c r="G210" t="s">
        <v>38</v>
      </c>
      <c r="H210" t="s">
        <v>33</v>
      </c>
      <c r="I210" t="s">
        <v>245</v>
      </c>
      <c r="J210" t="s">
        <v>21</v>
      </c>
      <c r="K210" t="s">
        <v>9</v>
      </c>
      <c r="L210" t="s">
        <v>10</v>
      </c>
    </row>
    <row r="211" spans="1:12">
      <c r="A211" t="s">
        <v>422</v>
      </c>
      <c r="B211" s="2">
        <v>46186</v>
      </c>
      <c r="C211">
        <v>2026</v>
      </c>
      <c r="D211">
        <v>6</v>
      </c>
      <c r="E211" t="s">
        <v>87</v>
      </c>
      <c r="F211" t="s">
        <v>2</v>
      </c>
      <c r="G211" t="s">
        <v>38</v>
      </c>
      <c r="H211" t="s">
        <v>12</v>
      </c>
      <c r="I211" t="s">
        <v>219</v>
      </c>
      <c r="J211" t="s">
        <v>7</v>
      </c>
      <c r="K211" t="s">
        <v>9</v>
      </c>
      <c r="L211" t="s">
        <v>10</v>
      </c>
    </row>
    <row r="212" spans="1:12">
      <c r="A212" t="s">
        <v>423</v>
      </c>
      <c r="B212" s="2">
        <v>46198</v>
      </c>
      <c r="C212">
        <v>2026</v>
      </c>
      <c r="D212">
        <v>6</v>
      </c>
      <c r="E212" t="s">
        <v>87</v>
      </c>
      <c r="F212" t="s">
        <v>19</v>
      </c>
      <c r="G212" t="s">
        <v>32</v>
      </c>
      <c r="H212" t="s">
        <v>33</v>
      </c>
      <c r="I212" t="s">
        <v>217</v>
      </c>
      <c r="J212" t="s">
        <v>58</v>
      </c>
      <c r="K212" t="s">
        <v>9</v>
      </c>
      <c r="L212" t="s">
        <v>10</v>
      </c>
    </row>
    <row r="213" spans="1:12">
      <c r="A213" t="s">
        <v>424</v>
      </c>
      <c r="B213" s="2">
        <v>46175</v>
      </c>
      <c r="C213">
        <v>2026</v>
      </c>
      <c r="D213">
        <v>6</v>
      </c>
      <c r="E213" t="s">
        <v>87</v>
      </c>
      <c r="F213" t="s">
        <v>40</v>
      </c>
      <c r="G213" t="s">
        <v>3</v>
      </c>
      <c r="H213" t="s">
        <v>4</v>
      </c>
      <c r="I213" t="s">
        <v>231</v>
      </c>
      <c r="J213" t="s">
        <v>41</v>
      </c>
      <c r="K213" t="s">
        <v>29</v>
      </c>
      <c r="L213" t="s">
        <v>10</v>
      </c>
    </row>
  </sheetData>
  <hyperlinks>
    <hyperlink ref="N1" location="'Home'!A1" display="Home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</sheetPr>
  <dimension ref="A1:O572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8" width="11.7109375" customWidth="1"/>
    <col min="9" max="9" width="14.7109375" customWidth="1"/>
    <col min="10" max="10" width="12.7109375" customWidth="1"/>
    <col min="11" max="11" width="13.7109375" customWidth="1"/>
    <col min="12" max="12" width="20.7109375" customWidth="1"/>
    <col min="13" max="13" width="11.7109375" customWidth="1"/>
  </cols>
  <sheetData>
    <row r="1" spans="1:15">
      <c r="A1" t="s">
        <v>1019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1020</v>
      </c>
      <c r="J1" t="s">
        <v>1021</v>
      </c>
      <c r="K1" t="s">
        <v>197</v>
      </c>
      <c r="L1" t="s">
        <v>199</v>
      </c>
      <c r="M1" t="s">
        <v>201</v>
      </c>
      <c r="O1" s="1" t="s">
        <v>203</v>
      </c>
    </row>
    <row r="2" spans="1:15">
      <c r="A2" t="s">
        <v>427</v>
      </c>
      <c r="B2" s="2">
        <v>45293</v>
      </c>
      <c r="C2">
        <v>2024</v>
      </c>
      <c r="D2">
        <v>1</v>
      </c>
      <c r="E2" t="s">
        <v>1</v>
      </c>
      <c r="F2" t="s">
        <v>47</v>
      </c>
      <c r="G2" t="s">
        <v>64</v>
      </c>
      <c r="H2" t="s">
        <v>44</v>
      </c>
      <c r="I2" t="s">
        <v>428</v>
      </c>
      <c r="J2" t="s">
        <v>429</v>
      </c>
      <c r="K2" t="s">
        <v>51</v>
      </c>
      <c r="L2" t="s">
        <v>29</v>
      </c>
      <c r="M2" t="s">
        <v>17</v>
      </c>
    </row>
    <row r="3" spans="1:15">
      <c r="A3" t="s">
        <v>430</v>
      </c>
      <c r="B3" s="2">
        <v>45309</v>
      </c>
      <c r="C3">
        <v>2024</v>
      </c>
      <c r="D3">
        <v>1</v>
      </c>
      <c r="E3" t="s">
        <v>1</v>
      </c>
      <c r="F3" t="s">
        <v>31</v>
      </c>
      <c r="G3" t="s">
        <v>27</v>
      </c>
      <c r="H3" t="s">
        <v>33</v>
      </c>
      <c r="I3" t="s">
        <v>431</v>
      </c>
      <c r="J3" t="s">
        <v>429</v>
      </c>
      <c r="K3" t="s">
        <v>7</v>
      </c>
      <c r="L3" t="s">
        <v>9</v>
      </c>
      <c r="M3" t="s">
        <v>10</v>
      </c>
    </row>
    <row r="4" spans="1:15">
      <c r="A4" t="s">
        <v>432</v>
      </c>
      <c r="B4" s="2">
        <v>45296</v>
      </c>
      <c r="C4">
        <v>2024</v>
      </c>
      <c r="D4">
        <v>1</v>
      </c>
      <c r="E4" t="s">
        <v>1</v>
      </c>
      <c r="F4" t="s">
        <v>26</v>
      </c>
      <c r="G4" t="s">
        <v>55</v>
      </c>
      <c r="H4" t="s">
        <v>4</v>
      </c>
      <c r="I4" t="s">
        <v>84</v>
      </c>
      <c r="J4" t="s">
        <v>433</v>
      </c>
      <c r="K4" t="s">
        <v>56</v>
      </c>
      <c r="L4" t="s">
        <v>36</v>
      </c>
      <c r="M4" t="s">
        <v>10</v>
      </c>
    </row>
    <row r="5" spans="1:15">
      <c r="A5" t="s">
        <v>434</v>
      </c>
      <c r="B5" s="2">
        <v>45307</v>
      </c>
      <c r="C5">
        <v>2024</v>
      </c>
      <c r="D5">
        <v>1</v>
      </c>
      <c r="E5" t="s">
        <v>1</v>
      </c>
      <c r="F5" t="s">
        <v>38</v>
      </c>
      <c r="G5" t="s">
        <v>48</v>
      </c>
      <c r="H5" t="s">
        <v>4</v>
      </c>
      <c r="I5" t="s">
        <v>435</v>
      </c>
      <c r="J5" t="s">
        <v>429</v>
      </c>
      <c r="K5" t="s">
        <v>41</v>
      </c>
      <c r="L5" t="s">
        <v>29</v>
      </c>
      <c r="M5" t="s">
        <v>10</v>
      </c>
    </row>
    <row r="6" spans="1:15">
      <c r="A6" t="s">
        <v>436</v>
      </c>
      <c r="B6" s="2">
        <v>45309</v>
      </c>
      <c r="C6">
        <v>2024</v>
      </c>
      <c r="D6">
        <v>1</v>
      </c>
      <c r="E6" t="s">
        <v>1</v>
      </c>
      <c r="F6" t="s">
        <v>38</v>
      </c>
      <c r="G6" t="s">
        <v>20</v>
      </c>
      <c r="H6" t="s">
        <v>4</v>
      </c>
      <c r="I6" t="s">
        <v>84</v>
      </c>
      <c r="J6" t="s">
        <v>433</v>
      </c>
      <c r="K6" t="s">
        <v>58</v>
      </c>
      <c r="L6" t="s">
        <v>36</v>
      </c>
      <c r="M6" t="s">
        <v>10</v>
      </c>
    </row>
    <row r="7" spans="1:15">
      <c r="A7" t="s">
        <v>437</v>
      </c>
      <c r="B7" s="2">
        <v>45294</v>
      </c>
      <c r="C7">
        <v>2024</v>
      </c>
      <c r="D7">
        <v>1</v>
      </c>
      <c r="E7" t="s">
        <v>1</v>
      </c>
      <c r="F7" t="s">
        <v>19</v>
      </c>
      <c r="G7" t="s">
        <v>48</v>
      </c>
      <c r="H7" t="s">
        <v>33</v>
      </c>
      <c r="I7" t="s">
        <v>438</v>
      </c>
      <c r="J7" t="s">
        <v>429</v>
      </c>
      <c r="K7" t="s">
        <v>58</v>
      </c>
      <c r="L7" t="s">
        <v>16</v>
      </c>
      <c r="M7" t="s">
        <v>23</v>
      </c>
    </row>
    <row r="8" spans="1:15">
      <c r="A8" t="s">
        <v>439</v>
      </c>
      <c r="B8" s="2">
        <v>45319</v>
      </c>
      <c r="C8">
        <v>2024</v>
      </c>
      <c r="D8">
        <v>1</v>
      </c>
      <c r="E8" t="s">
        <v>1</v>
      </c>
      <c r="F8" t="s">
        <v>26</v>
      </c>
      <c r="G8" t="s">
        <v>27</v>
      </c>
      <c r="H8" t="s">
        <v>33</v>
      </c>
      <c r="I8" t="s">
        <v>440</v>
      </c>
      <c r="J8" t="s">
        <v>429</v>
      </c>
      <c r="K8" t="s">
        <v>71</v>
      </c>
      <c r="L8" t="s">
        <v>16</v>
      </c>
      <c r="M8" t="s">
        <v>10</v>
      </c>
    </row>
    <row r="9" spans="1:15">
      <c r="A9" t="s">
        <v>441</v>
      </c>
      <c r="B9" s="2">
        <v>45304</v>
      </c>
      <c r="C9">
        <v>2024</v>
      </c>
      <c r="D9">
        <v>1</v>
      </c>
      <c r="E9" t="s">
        <v>1</v>
      </c>
      <c r="F9" t="s">
        <v>19</v>
      </c>
      <c r="G9" t="s">
        <v>61</v>
      </c>
      <c r="H9" t="s">
        <v>33</v>
      </c>
      <c r="I9" t="s">
        <v>442</v>
      </c>
      <c r="J9" t="s">
        <v>429</v>
      </c>
      <c r="K9" t="s">
        <v>14</v>
      </c>
      <c r="L9" t="s">
        <v>36</v>
      </c>
      <c r="M9" t="s">
        <v>17</v>
      </c>
    </row>
    <row r="10" spans="1:15">
      <c r="A10" t="s">
        <v>443</v>
      </c>
      <c r="B10" s="2">
        <v>45312</v>
      </c>
      <c r="C10">
        <v>2024</v>
      </c>
      <c r="D10">
        <v>1</v>
      </c>
      <c r="E10" t="s">
        <v>1</v>
      </c>
      <c r="F10" t="s">
        <v>40</v>
      </c>
      <c r="G10" t="s">
        <v>64</v>
      </c>
      <c r="H10" t="s">
        <v>4</v>
      </c>
      <c r="I10" t="s">
        <v>444</v>
      </c>
      <c r="J10" t="s">
        <v>429</v>
      </c>
      <c r="K10" t="s">
        <v>21</v>
      </c>
      <c r="L10" t="s">
        <v>36</v>
      </c>
      <c r="M10" t="s">
        <v>10</v>
      </c>
    </row>
    <row r="11" spans="1:15">
      <c r="A11" t="s">
        <v>445</v>
      </c>
      <c r="B11" s="2">
        <v>45313</v>
      </c>
      <c r="C11">
        <v>2024</v>
      </c>
      <c r="D11">
        <v>1</v>
      </c>
      <c r="E11" t="s">
        <v>1</v>
      </c>
      <c r="F11" t="s">
        <v>26</v>
      </c>
      <c r="G11" t="s">
        <v>48</v>
      </c>
      <c r="H11" t="s">
        <v>12</v>
      </c>
      <c r="I11" t="s">
        <v>446</v>
      </c>
      <c r="J11" t="s">
        <v>429</v>
      </c>
      <c r="K11" t="s">
        <v>51</v>
      </c>
      <c r="L11" t="s">
        <v>29</v>
      </c>
      <c r="M11" t="s">
        <v>17</v>
      </c>
    </row>
    <row r="12" spans="1:15">
      <c r="A12" t="s">
        <v>447</v>
      </c>
      <c r="B12" s="2">
        <v>45305</v>
      </c>
      <c r="C12">
        <v>2024</v>
      </c>
      <c r="D12">
        <v>1</v>
      </c>
      <c r="E12" t="s">
        <v>1</v>
      </c>
      <c r="F12" t="s">
        <v>67</v>
      </c>
      <c r="G12" t="s">
        <v>64</v>
      </c>
      <c r="H12" t="s">
        <v>4</v>
      </c>
      <c r="I12" t="s">
        <v>438</v>
      </c>
      <c r="J12" t="s">
        <v>429</v>
      </c>
      <c r="K12" t="s">
        <v>84</v>
      </c>
      <c r="L12" t="s">
        <v>9</v>
      </c>
      <c r="M12" t="s">
        <v>23</v>
      </c>
    </row>
    <row r="13" spans="1:15">
      <c r="A13" t="s">
        <v>448</v>
      </c>
      <c r="B13" s="2">
        <v>45295</v>
      </c>
      <c r="C13">
        <v>2024</v>
      </c>
      <c r="D13">
        <v>1</v>
      </c>
      <c r="E13" t="s">
        <v>1</v>
      </c>
      <c r="F13" t="s">
        <v>31</v>
      </c>
      <c r="G13" t="s">
        <v>94</v>
      </c>
      <c r="H13" t="s">
        <v>44</v>
      </c>
      <c r="I13" t="s">
        <v>440</v>
      </c>
      <c r="J13" t="s">
        <v>429</v>
      </c>
      <c r="K13" t="s">
        <v>14</v>
      </c>
      <c r="L13" t="s">
        <v>16</v>
      </c>
      <c r="M13" t="s">
        <v>10</v>
      </c>
    </row>
    <row r="14" spans="1:15">
      <c r="A14" t="s">
        <v>449</v>
      </c>
      <c r="B14" s="2">
        <v>45316</v>
      </c>
      <c r="C14">
        <v>2024</v>
      </c>
      <c r="D14">
        <v>1</v>
      </c>
      <c r="E14" t="s">
        <v>1</v>
      </c>
      <c r="F14" t="s">
        <v>2</v>
      </c>
      <c r="G14" t="s">
        <v>74</v>
      </c>
      <c r="H14" t="s">
        <v>4</v>
      </c>
      <c r="I14" t="s">
        <v>442</v>
      </c>
      <c r="J14" t="s">
        <v>433</v>
      </c>
      <c r="K14" t="s">
        <v>41</v>
      </c>
      <c r="L14" t="s">
        <v>9</v>
      </c>
      <c r="M14" t="s">
        <v>10</v>
      </c>
    </row>
    <row r="15" spans="1:15">
      <c r="A15" t="s">
        <v>450</v>
      </c>
      <c r="B15" s="2">
        <v>45329</v>
      </c>
      <c r="C15">
        <v>2024</v>
      </c>
      <c r="D15">
        <v>2</v>
      </c>
      <c r="E15" t="s">
        <v>25</v>
      </c>
      <c r="F15" t="s">
        <v>40</v>
      </c>
      <c r="G15" t="s">
        <v>55</v>
      </c>
      <c r="H15" t="s">
        <v>4</v>
      </c>
      <c r="I15" t="s">
        <v>444</v>
      </c>
      <c r="J15" t="s">
        <v>429</v>
      </c>
      <c r="K15" t="s">
        <v>51</v>
      </c>
      <c r="L15" t="s">
        <v>9</v>
      </c>
      <c r="M15" t="s">
        <v>10</v>
      </c>
    </row>
    <row r="16" spans="1:15">
      <c r="A16" t="s">
        <v>451</v>
      </c>
      <c r="B16" s="2">
        <v>45341</v>
      </c>
      <c r="C16">
        <v>2024</v>
      </c>
      <c r="D16">
        <v>2</v>
      </c>
      <c r="E16" t="s">
        <v>25</v>
      </c>
      <c r="F16" t="s">
        <v>54</v>
      </c>
      <c r="G16" t="s">
        <v>64</v>
      </c>
      <c r="H16" t="s">
        <v>4</v>
      </c>
      <c r="I16" t="s">
        <v>452</v>
      </c>
      <c r="J16" t="s">
        <v>433</v>
      </c>
      <c r="K16" t="s">
        <v>58</v>
      </c>
      <c r="L16" t="s">
        <v>16</v>
      </c>
      <c r="M16" t="s">
        <v>17</v>
      </c>
    </row>
    <row r="17" spans="1:13">
      <c r="A17" t="s">
        <v>453</v>
      </c>
      <c r="B17" s="2">
        <v>45330</v>
      </c>
      <c r="C17">
        <v>2024</v>
      </c>
      <c r="D17">
        <v>2</v>
      </c>
      <c r="E17" t="s">
        <v>25</v>
      </c>
      <c r="F17" t="s">
        <v>31</v>
      </c>
      <c r="G17" t="s">
        <v>38</v>
      </c>
      <c r="H17" t="s">
        <v>12</v>
      </c>
      <c r="I17" t="s">
        <v>454</v>
      </c>
      <c r="J17" t="s">
        <v>429</v>
      </c>
      <c r="K17" t="s">
        <v>41</v>
      </c>
      <c r="L17" t="s">
        <v>16</v>
      </c>
      <c r="M17" t="s">
        <v>10</v>
      </c>
    </row>
    <row r="18" spans="1:13">
      <c r="A18" t="s">
        <v>455</v>
      </c>
      <c r="B18" s="2">
        <v>45340</v>
      </c>
      <c r="C18">
        <v>2024</v>
      </c>
      <c r="D18">
        <v>2</v>
      </c>
      <c r="E18" t="s">
        <v>25</v>
      </c>
      <c r="F18" t="s">
        <v>40</v>
      </c>
      <c r="G18" t="s">
        <v>64</v>
      </c>
      <c r="H18" t="s">
        <v>12</v>
      </c>
      <c r="I18" t="s">
        <v>428</v>
      </c>
      <c r="J18" t="s">
        <v>433</v>
      </c>
      <c r="K18" t="s">
        <v>84</v>
      </c>
      <c r="L18" t="s">
        <v>29</v>
      </c>
      <c r="M18" t="s">
        <v>10</v>
      </c>
    </row>
    <row r="19" spans="1:13">
      <c r="A19" t="s">
        <v>456</v>
      </c>
      <c r="B19" s="2">
        <v>45345</v>
      </c>
      <c r="C19">
        <v>2024</v>
      </c>
      <c r="D19">
        <v>2</v>
      </c>
      <c r="E19" t="s">
        <v>25</v>
      </c>
      <c r="F19" t="s">
        <v>67</v>
      </c>
      <c r="G19" t="s">
        <v>38</v>
      </c>
      <c r="H19" t="s">
        <v>33</v>
      </c>
      <c r="I19" t="s">
        <v>457</v>
      </c>
      <c r="J19" t="s">
        <v>433</v>
      </c>
      <c r="K19" t="s">
        <v>51</v>
      </c>
      <c r="L19" t="s">
        <v>36</v>
      </c>
      <c r="M19" t="s">
        <v>10</v>
      </c>
    </row>
    <row r="20" spans="1:13">
      <c r="A20" t="s">
        <v>458</v>
      </c>
      <c r="B20" s="2">
        <v>45343</v>
      </c>
      <c r="C20">
        <v>2024</v>
      </c>
      <c r="D20">
        <v>2</v>
      </c>
      <c r="E20" t="s">
        <v>25</v>
      </c>
      <c r="F20" t="s">
        <v>31</v>
      </c>
      <c r="G20" t="s">
        <v>48</v>
      </c>
      <c r="H20" t="s">
        <v>33</v>
      </c>
      <c r="I20" t="s">
        <v>446</v>
      </c>
      <c r="J20" t="s">
        <v>433</v>
      </c>
      <c r="K20" t="s">
        <v>7</v>
      </c>
      <c r="L20" t="s">
        <v>29</v>
      </c>
      <c r="M20" t="s">
        <v>23</v>
      </c>
    </row>
    <row r="21" spans="1:13">
      <c r="A21" t="s">
        <v>459</v>
      </c>
      <c r="B21" s="2">
        <v>45333</v>
      </c>
      <c r="C21">
        <v>2024</v>
      </c>
      <c r="D21">
        <v>2</v>
      </c>
      <c r="E21" t="s">
        <v>25</v>
      </c>
      <c r="F21" t="s">
        <v>54</v>
      </c>
      <c r="G21" t="s">
        <v>27</v>
      </c>
      <c r="H21" t="s">
        <v>33</v>
      </c>
      <c r="I21" t="s">
        <v>460</v>
      </c>
      <c r="J21" t="s">
        <v>429</v>
      </c>
      <c r="K21" t="s">
        <v>56</v>
      </c>
      <c r="L21" t="s">
        <v>29</v>
      </c>
      <c r="M21" t="s">
        <v>10</v>
      </c>
    </row>
    <row r="22" spans="1:13">
      <c r="A22" t="s">
        <v>461</v>
      </c>
      <c r="B22" s="2">
        <v>45350</v>
      </c>
      <c r="C22">
        <v>2024</v>
      </c>
      <c r="D22">
        <v>2</v>
      </c>
      <c r="E22" t="s">
        <v>25</v>
      </c>
      <c r="F22" t="s">
        <v>31</v>
      </c>
      <c r="G22" t="s">
        <v>48</v>
      </c>
      <c r="H22" t="s">
        <v>4</v>
      </c>
      <c r="I22" t="s">
        <v>462</v>
      </c>
      <c r="J22" t="s">
        <v>429</v>
      </c>
      <c r="K22" t="s">
        <v>71</v>
      </c>
      <c r="L22" t="s">
        <v>29</v>
      </c>
      <c r="M22" t="s">
        <v>10</v>
      </c>
    </row>
    <row r="23" spans="1:13">
      <c r="A23" t="s">
        <v>463</v>
      </c>
      <c r="B23" s="2">
        <v>45334</v>
      </c>
      <c r="C23">
        <v>2024</v>
      </c>
      <c r="D23">
        <v>2</v>
      </c>
      <c r="E23" t="s">
        <v>25</v>
      </c>
      <c r="F23" t="s">
        <v>2</v>
      </c>
      <c r="G23" t="s">
        <v>20</v>
      </c>
      <c r="H23" t="s">
        <v>12</v>
      </c>
      <c r="I23" t="s">
        <v>464</v>
      </c>
      <c r="J23" t="s">
        <v>429</v>
      </c>
      <c r="K23" t="s">
        <v>84</v>
      </c>
      <c r="L23" t="s">
        <v>36</v>
      </c>
      <c r="M23" t="s">
        <v>10</v>
      </c>
    </row>
    <row r="24" spans="1:13">
      <c r="A24" t="s">
        <v>465</v>
      </c>
      <c r="B24" s="2">
        <v>45329</v>
      </c>
      <c r="C24">
        <v>2024</v>
      </c>
      <c r="D24">
        <v>2</v>
      </c>
      <c r="E24" t="s">
        <v>25</v>
      </c>
      <c r="F24" t="s">
        <v>54</v>
      </c>
      <c r="G24" t="s">
        <v>27</v>
      </c>
      <c r="H24" t="s">
        <v>4</v>
      </c>
      <c r="I24" t="s">
        <v>466</v>
      </c>
      <c r="J24" t="s">
        <v>429</v>
      </c>
      <c r="K24" t="s">
        <v>58</v>
      </c>
      <c r="L24" t="s">
        <v>16</v>
      </c>
      <c r="M24" t="s">
        <v>10</v>
      </c>
    </row>
    <row r="25" spans="1:13">
      <c r="A25" t="s">
        <v>467</v>
      </c>
      <c r="B25" s="2">
        <v>45342</v>
      </c>
      <c r="C25">
        <v>2024</v>
      </c>
      <c r="D25">
        <v>2</v>
      </c>
      <c r="E25" t="s">
        <v>25</v>
      </c>
      <c r="F25" t="s">
        <v>31</v>
      </c>
      <c r="G25" t="s">
        <v>20</v>
      </c>
      <c r="H25" t="s">
        <v>33</v>
      </c>
      <c r="I25" t="s">
        <v>466</v>
      </c>
      <c r="J25" t="s">
        <v>429</v>
      </c>
      <c r="K25" t="s">
        <v>14</v>
      </c>
      <c r="L25" t="s">
        <v>29</v>
      </c>
      <c r="M25" t="s">
        <v>10</v>
      </c>
    </row>
    <row r="26" spans="1:13">
      <c r="A26" t="s">
        <v>468</v>
      </c>
      <c r="B26" s="2">
        <v>45338</v>
      </c>
      <c r="C26">
        <v>2024</v>
      </c>
      <c r="D26">
        <v>2</v>
      </c>
      <c r="E26" t="s">
        <v>25</v>
      </c>
      <c r="F26" t="s">
        <v>2</v>
      </c>
      <c r="G26" t="s">
        <v>94</v>
      </c>
      <c r="H26" t="s">
        <v>4</v>
      </c>
      <c r="I26" t="s">
        <v>84</v>
      </c>
      <c r="J26" t="s">
        <v>433</v>
      </c>
      <c r="K26" t="s">
        <v>58</v>
      </c>
      <c r="L26" t="s">
        <v>9</v>
      </c>
      <c r="M26" t="s">
        <v>10</v>
      </c>
    </row>
    <row r="27" spans="1:13">
      <c r="A27" t="s">
        <v>469</v>
      </c>
      <c r="B27" s="2">
        <v>45345</v>
      </c>
      <c r="C27">
        <v>2024</v>
      </c>
      <c r="D27">
        <v>2</v>
      </c>
      <c r="E27" t="s">
        <v>25</v>
      </c>
      <c r="F27" t="s">
        <v>78</v>
      </c>
      <c r="G27" t="s">
        <v>48</v>
      </c>
      <c r="H27" t="s">
        <v>33</v>
      </c>
      <c r="I27" t="s">
        <v>470</v>
      </c>
      <c r="J27" t="s">
        <v>429</v>
      </c>
      <c r="K27" t="s">
        <v>107</v>
      </c>
      <c r="L27" t="s">
        <v>36</v>
      </c>
      <c r="M27" t="s">
        <v>10</v>
      </c>
    </row>
    <row r="28" spans="1:13">
      <c r="A28" t="s">
        <v>471</v>
      </c>
      <c r="B28" s="2">
        <v>45341</v>
      </c>
      <c r="C28">
        <v>2024</v>
      </c>
      <c r="D28">
        <v>2</v>
      </c>
      <c r="E28" t="s">
        <v>25</v>
      </c>
      <c r="F28" t="s">
        <v>31</v>
      </c>
      <c r="G28" t="s">
        <v>55</v>
      </c>
      <c r="H28" t="s">
        <v>44</v>
      </c>
      <c r="I28" t="s">
        <v>460</v>
      </c>
      <c r="J28" t="s">
        <v>429</v>
      </c>
      <c r="K28" t="s">
        <v>21</v>
      </c>
      <c r="L28" t="s">
        <v>9</v>
      </c>
      <c r="M28" t="s">
        <v>17</v>
      </c>
    </row>
    <row r="29" spans="1:13">
      <c r="A29" t="s">
        <v>472</v>
      </c>
      <c r="B29" s="2">
        <v>45368</v>
      </c>
      <c r="C29">
        <v>2024</v>
      </c>
      <c r="D29">
        <v>3</v>
      </c>
      <c r="E29" t="s">
        <v>60</v>
      </c>
      <c r="F29" t="s">
        <v>54</v>
      </c>
      <c r="G29" t="s">
        <v>32</v>
      </c>
      <c r="H29" t="s">
        <v>33</v>
      </c>
      <c r="I29" t="s">
        <v>473</v>
      </c>
      <c r="J29" t="s">
        <v>429</v>
      </c>
      <c r="K29" t="s">
        <v>58</v>
      </c>
      <c r="L29" t="s">
        <v>9</v>
      </c>
      <c r="M29" t="s">
        <v>10</v>
      </c>
    </row>
    <row r="30" spans="1:13">
      <c r="A30" t="s">
        <v>474</v>
      </c>
      <c r="B30" s="2">
        <v>45355</v>
      </c>
      <c r="C30">
        <v>2024</v>
      </c>
      <c r="D30">
        <v>3</v>
      </c>
      <c r="E30" t="s">
        <v>60</v>
      </c>
      <c r="F30" t="s">
        <v>67</v>
      </c>
      <c r="G30" t="s">
        <v>32</v>
      </c>
      <c r="H30" t="s">
        <v>12</v>
      </c>
      <c r="I30" t="s">
        <v>466</v>
      </c>
      <c r="J30" t="s">
        <v>429</v>
      </c>
      <c r="K30" t="s">
        <v>41</v>
      </c>
      <c r="L30" t="s">
        <v>29</v>
      </c>
      <c r="M30" t="s">
        <v>10</v>
      </c>
    </row>
    <row r="31" spans="1:13">
      <c r="A31" t="s">
        <v>475</v>
      </c>
      <c r="B31" s="2">
        <v>45364</v>
      </c>
      <c r="C31">
        <v>2024</v>
      </c>
      <c r="D31">
        <v>3</v>
      </c>
      <c r="E31" t="s">
        <v>60</v>
      </c>
      <c r="F31" t="s">
        <v>67</v>
      </c>
      <c r="G31" t="s">
        <v>61</v>
      </c>
      <c r="H31" t="s">
        <v>4</v>
      </c>
      <c r="I31" t="s">
        <v>84</v>
      </c>
      <c r="J31" t="s">
        <v>433</v>
      </c>
      <c r="K31" t="s">
        <v>14</v>
      </c>
      <c r="L31" t="s">
        <v>9</v>
      </c>
      <c r="M31" t="s">
        <v>23</v>
      </c>
    </row>
    <row r="32" spans="1:13">
      <c r="A32" t="s">
        <v>476</v>
      </c>
      <c r="B32" s="2">
        <v>45379</v>
      </c>
      <c r="C32">
        <v>2024</v>
      </c>
      <c r="D32">
        <v>3</v>
      </c>
      <c r="E32" t="s">
        <v>60</v>
      </c>
      <c r="F32" t="s">
        <v>38</v>
      </c>
      <c r="G32" t="s">
        <v>3</v>
      </c>
      <c r="H32" t="s">
        <v>4</v>
      </c>
      <c r="I32" t="s">
        <v>84</v>
      </c>
      <c r="J32" t="s">
        <v>429</v>
      </c>
      <c r="K32" t="s">
        <v>41</v>
      </c>
      <c r="L32" t="s">
        <v>9</v>
      </c>
      <c r="M32" t="s">
        <v>17</v>
      </c>
    </row>
    <row r="33" spans="1:13">
      <c r="A33" t="s">
        <v>477</v>
      </c>
      <c r="B33" s="2">
        <v>45374</v>
      </c>
      <c r="C33">
        <v>2024</v>
      </c>
      <c r="D33">
        <v>3</v>
      </c>
      <c r="E33" t="s">
        <v>60</v>
      </c>
      <c r="F33" t="s">
        <v>31</v>
      </c>
      <c r="G33" t="s">
        <v>3</v>
      </c>
      <c r="H33" t="s">
        <v>4</v>
      </c>
      <c r="I33" t="s">
        <v>454</v>
      </c>
      <c r="J33" t="s">
        <v>429</v>
      </c>
      <c r="K33" t="s">
        <v>84</v>
      </c>
      <c r="L33" t="s">
        <v>9</v>
      </c>
      <c r="M33" t="s">
        <v>10</v>
      </c>
    </row>
    <row r="34" spans="1:13">
      <c r="A34" t="s">
        <v>478</v>
      </c>
      <c r="B34" s="2">
        <v>45367</v>
      </c>
      <c r="C34">
        <v>2024</v>
      </c>
      <c r="D34">
        <v>3</v>
      </c>
      <c r="E34" t="s">
        <v>60</v>
      </c>
      <c r="F34" t="s">
        <v>31</v>
      </c>
      <c r="G34" t="s">
        <v>69</v>
      </c>
      <c r="H34" t="s">
        <v>4</v>
      </c>
      <c r="I34" t="s">
        <v>442</v>
      </c>
      <c r="J34" t="s">
        <v>433</v>
      </c>
      <c r="K34" t="s">
        <v>58</v>
      </c>
      <c r="L34" t="s">
        <v>36</v>
      </c>
      <c r="M34" t="s">
        <v>10</v>
      </c>
    </row>
    <row r="35" spans="1:13">
      <c r="A35" t="s">
        <v>479</v>
      </c>
      <c r="B35" s="2">
        <v>45361</v>
      </c>
      <c r="C35">
        <v>2024</v>
      </c>
      <c r="D35">
        <v>3</v>
      </c>
      <c r="E35" t="s">
        <v>60</v>
      </c>
      <c r="F35" t="s">
        <v>78</v>
      </c>
      <c r="G35" t="s">
        <v>27</v>
      </c>
      <c r="H35" t="s">
        <v>12</v>
      </c>
      <c r="I35" t="s">
        <v>470</v>
      </c>
      <c r="J35" t="s">
        <v>429</v>
      </c>
      <c r="K35" t="s">
        <v>21</v>
      </c>
      <c r="L35" t="s">
        <v>16</v>
      </c>
      <c r="M35" t="s">
        <v>10</v>
      </c>
    </row>
    <row r="36" spans="1:13">
      <c r="A36" t="s">
        <v>480</v>
      </c>
      <c r="B36" s="2">
        <v>45354</v>
      </c>
      <c r="C36">
        <v>2024</v>
      </c>
      <c r="D36">
        <v>3</v>
      </c>
      <c r="E36" t="s">
        <v>60</v>
      </c>
      <c r="F36" t="s">
        <v>40</v>
      </c>
      <c r="G36" t="s">
        <v>55</v>
      </c>
      <c r="H36" t="s">
        <v>33</v>
      </c>
      <c r="I36" t="s">
        <v>431</v>
      </c>
      <c r="J36" t="s">
        <v>429</v>
      </c>
      <c r="K36" t="s">
        <v>21</v>
      </c>
      <c r="L36" t="s">
        <v>29</v>
      </c>
      <c r="M36" t="s">
        <v>10</v>
      </c>
    </row>
    <row r="37" spans="1:13">
      <c r="A37" t="s">
        <v>481</v>
      </c>
      <c r="B37" s="2">
        <v>45400</v>
      </c>
      <c r="C37">
        <v>2024</v>
      </c>
      <c r="D37">
        <v>4</v>
      </c>
      <c r="E37" t="s">
        <v>73</v>
      </c>
      <c r="F37" t="s">
        <v>31</v>
      </c>
      <c r="G37" t="s">
        <v>74</v>
      </c>
      <c r="H37" t="s">
        <v>44</v>
      </c>
      <c r="I37" t="s">
        <v>457</v>
      </c>
      <c r="J37" t="s">
        <v>429</v>
      </c>
      <c r="K37" t="s">
        <v>51</v>
      </c>
      <c r="L37" t="s">
        <v>16</v>
      </c>
      <c r="M37" t="s">
        <v>17</v>
      </c>
    </row>
    <row r="38" spans="1:13">
      <c r="A38" t="s">
        <v>482</v>
      </c>
      <c r="B38" s="2">
        <v>45410</v>
      </c>
      <c r="C38">
        <v>2024</v>
      </c>
      <c r="D38">
        <v>4</v>
      </c>
      <c r="E38" t="s">
        <v>73</v>
      </c>
      <c r="F38" t="s">
        <v>19</v>
      </c>
      <c r="G38" t="s">
        <v>48</v>
      </c>
      <c r="H38" t="s">
        <v>4</v>
      </c>
      <c r="I38" t="s">
        <v>440</v>
      </c>
      <c r="J38" t="s">
        <v>429</v>
      </c>
      <c r="K38" t="s">
        <v>58</v>
      </c>
      <c r="L38" t="s">
        <v>29</v>
      </c>
      <c r="M38" t="s">
        <v>10</v>
      </c>
    </row>
    <row r="39" spans="1:13">
      <c r="A39" t="s">
        <v>483</v>
      </c>
      <c r="B39" s="2">
        <v>45409</v>
      </c>
      <c r="C39">
        <v>2024</v>
      </c>
      <c r="D39">
        <v>4</v>
      </c>
      <c r="E39" t="s">
        <v>73</v>
      </c>
      <c r="F39" t="s">
        <v>19</v>
      </c>
      <c r="G39" t="s">
        <v>20</v>
      </c>
      <c r="H39" t="s">
        <v>44</v>
      </c>
      <c r="I39" t="s">
        <v>466</v>
      </c>
      <c r="J39" t="s">
        <v>429</v>
      </c>
      <c r="K39" t="s">
        <v>84</v>
      </c>
      <c r="L39" t="s">
        <v>36</v>
      </c>
      <c r="M39" t="s">
        <v>10</v>
      </c>
    </row>
    <row r="40" spans="1:13">
      <c r="A40" t="s">
        <v>484</v>
      </c>
      <c r="B40" s="2">
        <v>45391</v>
      </c>
      <c r="C40">
        <v>2024</v>
      </c>
      <c r="D40">
        <v>4</v>
      </c>
      <c r="E40" t="s">
        <v>73</v>
      </c>
      <c r="F40" t="s">
        <v>19</v>
      </c>
      <c r="G40" t="s">
        <v>94</v>
      </c>
      <c r="H40" t="s">
        <v>4</v>
      </c>
      <c r="I40" t="s">
        <v>442</v>
      </c>
      <c r="J40" t="s">
        <v>429</v>
      </c>
      <c r="K40" t="s">
        <v>71</v>
      </c>
      <c r="L40" t="s">
        <v>9</v>
      </c>
      <c r="M40" t="s">
        <v>10</v>
      </c>
    </row>
    <row r="41" spans="1:13">
      <c r="A41" t="s">
        <v>485</v>
      </c>
      <c r="B41" s="2">
        <v>45387</v>
      </c>
      <c r="C41">
        <v>2024</v>
      </c>
      <c r="D41">
        <v>4</v>
      </c>
      <c r="E41" t="s">
        <v>73</v>
      </c>
      <c r="F41" t="s">
        <v>67</v>
      </c>
      <c r="G41" t="s">
        <v>69</v>
      </c>
      <c r="H41" t="s">
        <v>12</v>
      </c>
      <c r="I41" t="s">
        <v>470</v>
      </c>
      <c r="J41" t="s">
        <v>429</v>
      </c>
      <c r="K41" t="s">
        <v>14</v>
      </c>
      <c r="L41" t="s">
        <v>9</v>
      </c>
      <c r="M41" t="s">
        <v>10</v>
      </c>
    </row>
    <row r="42" spans="1:13">
      <c r="A42" t="s">
        <v>486</v>
      </c>
      <c r="B42" s="2">
        <v>45390</v>
      </c>
      <c r="C42">
        <v>2024</v>
      </c>
      <c r="D42">
        <v>4</v>
      </c>
      <c r="E42" t="s">
        <v>73</v>
      </c>
      <c r="F42" t="s">
        <v>26</v>
      </c>
      <c r="G42" t="s">
        <v>38</v>
      </c>
      <c r="H42" t="s">
        <v>12</v>
      </c>
      <c r="I42" t="s">
        <v>470</v>
      </c>
      <c r="J42" t="s">
        <v>433</v>
      </c>
      <c r="K42" t="s">
        <v>58</v>
      </c>
      <c r="L42" t="s">
        <v>16</v>
      </c>
      <c r="M42" t="s">
        <v>10</v>
      </c>
    </row>
    <row r="43" spans="1:13">
      <c r="A43" t="s">
        <v>487</v>
      </c>
      <c r="B43" s="2">
        <v>45397</v>
      </c>
      <c r="C43">
        <v>2024</v>
      </c>
      <c r="D43">
        <v>4</v>
      </c>
      <c r="E43" t="s">
        <v>73</v>
      </c>
      <c r="F43" t="s">
        <v>67</v>
      </c>
      <c r="G43" t="s">
        <v>27</v>
      </c>
      <c r="H43" t="s">
        <v>44</v>
      </c>
      <c r="I43" t="s">
        <v>428</v>
      </c>
      <c r="J43" t="s">
        <v>429</v>
      </c>
      <c r="K43" t="s">
        <v>41</v>
      </c>
      <c r="L43" t="s">
        <v>16</v>
      </c>
      <c r="M43" t="s">
        <v>10</v>
      </c>
    </row>
    <row r="44" spans="1:13">
      <c r="A44" t="s">
        <v>488</v>
      </c>
      <c r="B44" s="2">
        <v>45408</v>
      </c>
      <c r="C44">
        <v>2024</v>
      </c>
      <c r="D44">
        <v>4</v>
      </c>
      <c r="E44" t="s">
        <v>73</v>
      </c>
      <c r="F44" t="s">
        <v>26</v>
      </c>
      <c r="G44" t="s">
        <v>3</v>
      </c>
      <c r="H44" t="s">
        <v>33</v>
      </c>
      <c r="I44" t="s">
        <v>452</v>
      </c>
      <c r="J44" t="s">
        <v>429</v>
      </c>
      <c r="K44" t="s">
        <v>107</v>
      </c>
      <c r="L44" t="s">
        <v>9</v>
      </c>
      <c r="M44" t="s">
        <v>10</v>
      </c>
    </row>
    <row r="45" spans="1:13">
      <c r="A45" t="s">
        <v>489</v>
      </c>
      <c r="B45" s="2">
        <v>45405</v>
      </c>
      <c r="C45">
        <v>2024</v>
      </c>
      <c r="D45">
        <v>4</v>
      </c>
      <c r="E45" t="s">
        <v>73</v>
      </c>
      <c r="F45" t="s">
        <v>31</v>
      </c>
      <c r="G45" t="s">
        <v>27</v>
      </c>
      <c r="H45" t="s">
        <v>4</v>
      </c>
      <c r="I45" t="s">
        <v>438</v>
      </c>
      <c r="J45" t="s">
        <v>429</v>
      </c>
      <c r="K45" t="s">
        <v>14</v>
      </c>
      <c r="L45" t="s">
        <v>29</v>
      </c>
      <c r="M45" t="s">
        <v>10</v>
      </c>
    </row>
    <row r="46" spans="1:13">
      <c r="A46" t="s">
        <v>490</v>
      </c>
      <c r="B46" s="2">
        <v>45400</v>
      </c>
      <c r="C46">
        <v>2024</v>
      </c>
      <c r="D46">
        <v>4</v>
      </c>
      <c r="E46" t="s">
        <v>73</v>
      </c>
      <c r="F46" t="s">
        <v>26</v>
      </c>
      <c r="G46" t="s">
        <v>74</v>
      </c>
      <c r="H46" t="s">
        <v>12</v>
      </c>
      <c r="I46" t="s">
        <v>446</v>
      </c>
      <c r="J46" t="s">
        <v>429</v>
      </c>
      <c r="K46" t="s">
        <v>84</v>
      </c>
      <c r="L46" t="s">
        <v>9</v>
      </c>
      <c r="M46" t="s">
        <v>23</v>
      </c>
    </row>
    <row r="47" spans="1:13">
      <c r="A47" t="s">
        <v>491</v>
      </c>
      <c r="B47" s="2">
        <v>45390</v>
      </c>
      <c r="C47">
        <v>2024</v>
      </c>
      <c r="D47">
        <v>4</v>
      </c>
      <c r="E47" t="s">
        <v>73</v>
      </c>
      <c r="F47" t="s">
        <v>54</v>
      </c>
      <c r="G47" t="s">
        <v>3</v>
      </c>
      <c r="H47" t="s">
        <v>12</v>
      </c>
      <c r="I47" t="s">
        <v>446</v>
      </c>
      <c r="J47" t="s">
        <v>429</v>
      </c>
      <c r="K47" t="s">
        <v>21</v>
      </c>
      <c r="L47" t="s">
        <v>29</v>
      </c>
      <c r="M47" t="s">
        <v>10</v>
      </c>
    </row>
    <row r="48" spans="1:13">
      <c r="A48" t="s">
        <v>492</v>
      </c>
      <c r="B48" s="2">
        <v>45406</v>
      </c>
      <c r="C48">
        <v>2024</v>
      </c>
      <c r="D48">
        <v>4</v>
      </c>
      <c r="E48" t="s">
        <v>73</v>
      </c>
      <c r="F48" t="s">
        <v>38</v>
      </c>
      <c r="G48" t="s">
        <v>32</v>
      </c>
      <c r="H48" t="s">
        <v>33</v>
      </c>
      <c r="I48" t="s">
        <v>473</v>
      </c>
      <c r="J48" t="s">
        <v>429</v>
      </c>
      <c r="K48" t="s">
        <v>14</v>
      </c>
      <c r="L48" t="s">
        <v>36</v>
      </c>
      <c r="M48" t="s">
        <v>10</v>
      </c>
    </row>
    <row r="49" spans="1:13">
      <c r="A49" t="s">
        <v>493</v>
      </c>
      <c r="B49" s="2">
        <v>45403</v>
      </c>
      <c r="C49">
        <v>2024</v>
      </c>
      <c r="D49">
        <v>4</v>
      </c>
      <c r="E49" t="s">
        <v>73</v>
      </c>
      <c r="F49" t="s">
        <v>31</v>
      </c>
      <c r="G49" t="s">
        <v>61</v>
      </c>
      <c r="H49" t="s">
        <v>44</v>
      </c>
      <c r="I49" t="s">
        <v>494</v>
      </c>
      <c r="J49" t="s">
        <v>433</v>
      </c>
      <c r="K49" t="s">
        <v>51</v>
      </c>
      <c r="L49" t="s">
        <v>9</v>
      </c>
      <c r="M49" t="s">
        <v>10</v>
      </c>
    </row>
    <row r="50" spans="1:13">
      <c r="A50" t="s">
        <v>495</v>
      </c>
      <c r="B50" s="2">
        <v>45415</v>
      </c>
      <c r="C50">
        <v>2024</v>
      </c>
      <c r="D50">
        <v>5</v>
      </c>
      <c r="E50" t="s">
        <v>83</v>
      </c>
      <c r="F50" t="s">
        <v>38</v>
      </c>
      <c r="G50" t="s">
        <v>27</v>
      </c>
      <c r="H50" t="s">
        <v>4</v>
      </c>
      <c r="I50" t="s">
        <v>435</v>
      </c>
      <c r="J50" t="s">
        <v>429</v>
      </c>
      <c r="K50" t="s">
        <v>56</v>
      </c>
      <c r="L50" t="s">
        <v>29</v>
      </c>
      <c r="M50" t="s">
        <v>10</v>
      </c>
    </row>
    <row r="51" spans="1:13">
      <c r="A51" t="s">
        <v>496</v>
      </c>
      <c r="B51" s="2">
        <v>45422</v>
      </c>
      <c r="C51">
        <v>2024</v>
      </c>
      <c r="D51">
        <v>5</v>
      </c>
      <c r="E51" t="s">
        <v>83</v>
      </c>
      <c r="F51" t="s">
        <v>2</v>
      </c>
      <c r="G51" t="s">
        <v>32</v>
      </c>
      <c r="H51" t="s">
        <v>4</v>
      </c>
      <c r="I51" t="s">
        <v>454</v>
      </c>
      <c r="J51" t="s">
        <v>429</v>
      </c>
      <c r="K51" t="s">
        <v>56</v>
      </c>
      <c r="L51" t="s">
        <v>36</v>
      </c>
      <c r="M51" t="s">
        <v>10</v>
      </c>
    </row>
    <row r="52" spans="1:13">
      <c r="A52" t="s">
        <v>497</v>
      </c>
      <c r="B52" s="2">
        <v>45419</v>
      </c>
      <c r="C52">
        <v>2024</v>
      </c>
      <c r="D52">
        <v>5</v>
      </c>
      <c r="E52" t="s">
        <v>83</v>
      </c>
      <c r="F52" t="s">
        <v>54</v>
      </c>
      <c r="G52" t="s">
        <v>32</v>
      </c>
      <c r="H52" t="s">
        <v>44</v>
      </c>
      <c r="I52" t="s">
        <v>460</v>
      </c>
      <c r="J52" t="s">
        <v>429</v>
      </c>
      <c r="K52" t="s">
        <v>51</v>
      </c>
      <c r="L52" t="s">
        <v>29</v>
      </c>
      <c r="M52" t="s">
        <v>10</v>
      </c>
    </row>
    <row r="53" spans="1:13">
      <c r="A53" t="s">
        <v>498</v>
      </c>
      <c r="B53" s="2">
        <v>45437</v>
      </c>
      <c r="C53">
        <v>2024</v>
      </c>
      <c r="D53">
        <v>5</v>
      </c>
      <c r="E53" t="s">
        <v>83</v>
      </c>
      <c r="F53" t="s">
        <v>54</v>
      </c>
      <c r="G53" t="s">
        <v>55</v>
      </c>
      <c r="H53" t="s">
        <v>44</v>
      </c>
      <c r="I53" t="s">
        <v>84</v>
      </c>
      <c r="J53" t="s">
        <v>433</v>
      </c>
      <c r="K53" t="s">
        <v>21</v>
      </c>
      <c r="L53" t="s">
        <v>16</v>
      </c>
      <c r="M53" t="s">
        <v>10</v>
      </c>
    </row>
    <row r="54" spans="1:13">
      <c r="A54" t="s">
        <v>499</v>
      </c>
      <c r="B54" s="2">
        <v>45435</v>
      </c>
      <c r="C54">
        <v>2024</v>
      </c>
      <c r="D54">
        <v>5</v>
      </c>
      <c r="E54" t="s">
        <v>83</v>
      </c>
      <c r="F54" t="s">
        <v>78</v>
      </c>
      <c r="G54" t="s">
        <v>61</v>
      </c>
      <c r="H54" t="s">
        <v>33</v>
      </c>
      <c r="I54" t="s">
        <v>435</v>
      </c>
      <c r="J54" t="s">
        <v>429</v>
      </c>
      <c r="K54" t="s">
        <v>71</v>
      </c>
      <c r="L54" t="s">
        <v>29</v>
      </c>
      <c r="M54" t="s">
        <v>23</v>
      </c>
    </row>
    <row r="55" spans="1:13">
      <c r="A55" t="s">
        <v>500</v>
      </c>
      <c r="B55" s="2">
        <v>45415</v>
      </c>
      <c r="C55">
        <v>2024</v>
      </c>
      <c r="D55">
        <v>5</v>
      </c>
      <c r="E55" t="s">
        <v>83</v>
      </c>
      <c r="F55" t="s">
        <v>26</v>
      </c>
      <c r="G55" t="s">
        <v>94</v>
      </c>
      <c r="H55" t="s">
        <v>4</v>
      </c>
      <c r="I55" t="s">
        <v>438</v>
      </c>
      <c r="J55" t="s">
        <v>429</v>
      </c>
      <c r="K55" t="s">
        <v>84</v>
      </c>
      <c r="L55" t="s">
        <v>9</v>
      </c>
      <c r="M55" t="s">
        <v>10</v>
      </c>
    </row>
    <row r="56" spans="1:13">
      <c r="A56" t="s">
        <v>501</v>
      </c>
      <c r="B56" s="2">
        <v>45429</v>
      </c>
      <c r="C56">
        <v>2024</v>
      </c>
      <c r="D56">
        <v>5</v>
      </c>
      <c r="E56" t="s">
        <v>83</v>
      </c>
      <c r="F56" t="s">
        <v>67</v>
      </c>
      <c r="G56" t="s">
        <v>3</v>
      </c>
      <c r="H56" t="s">
        <v>4</v>
      </c>
      <c r="I56" t="s">
        <v>442</v>
      </c>
      <c r="J56" t="s">
        <v>429</v>
      </c>
      <c r="K56" t="s">
        <v>7</v>
      </c>
      <c r="L56" t="s">
        <v>36</v>
      </c>
      <c r="M56" t="s">
        <v>10</v>
      </c>
    </row>
    <row r="57" spans="1:13">
      <c r="A57" t="s">
        <v>502</v>
      </c>
      <c r="B57" s="2">
        <v>45431</v>
      </c>
      <c r="C57">
        <v>2024</v>
      </c>
      <c r="D57">
        <v>5</v>
      </c>
      <c r="E57" t="s">
        <v>83</v>
      </c>
      <c r="F57" t="s">
        <v>2</v>
      </c>
      <c r="G57" t="s">
        <v>55</v>
      </c>
      <c r="H57" t="s">
        <v>4</v>
      </c>
      <c r="I57" t="s">
        <v>440</v>
      </c>
      <c r="J57" t="s">
        <v>429</v>
      </c>
      <c r="K57" t="s">
        <v>21</v>
      </c>
      <c r="L57" t="s">
        <v>29</v>
      </c>
      <c r="M57" t="s">
        <v>10</v>
      </c>
    </row>
    <row r="58" spans="1:13">
      <c r="A58" t="s">
        <v>503</v>
      </c>
      <c r="B58" s="2">
        <v>45414</v>
      </c>
      <c r="C58">
        <v>2024</v>
      </c>
      <c r="D58">
        <v>5</v>
      </c>
      <c r="E58" t="s">
        <v>83</v>
      </c>
      <c r="F58" t="s">
        <v>78</v>
      </c>
      <c r="G58" t="s">
        <v>3</v>
      </c>
      <c r="H58" t="s">
        <v>33</v>
      </c>
      <c r="I58" t="s">
        <v>464</v>
      </c>
      <c r="J58" t="s">
        <v>429</v>
      </c>
      <c r="K58" t="s">
        <v>41</v>
      </c>
      <c r="L58" t="s">
        <v>9</v>
      </c>
      <c r="M58" t="s">
        <v>23</v>
      </c>
    </row>
    <row r="59" spans="1:13">
      <c r="A59" t="s">
        <v>504</v>
      </c>
      <c r="B59" s="2">
        <v>45440</v>
      </c>
      <c r="C59">
        <v>2024</v>
      </c>
      <c r="D59">
        <v>5</v>
      </c>
      <c r="E59" t="s">
        <v>83</v>
      </c>
      <c r="F59" t="s">
        <v>67</v>
      </c>
      <c r="G59" t="s">
        <v>32</v>
      </c>
      <c r="H59" t="s">
        <v>33</v>
      </c>
      <c r="I59" t="s">
        <v>446</v>
      </c>
      <c r="J59" t="s">
        <v>429</v>
      </c>
      <c r="K59" t="s">
        <v>21</v>
      </c>
      <c r="L59" t="s">
        <v>9</v>
      </c>
      <c r="M59" t="s">
        <v>10</v>
      </c>
    </row>
    <row r="60" spans="1:13">
      <c r="A60" t="s">
        <v>505</v>
      </c>
      <c r="B60" s="2">
        <v>45426</v>
      </c>
      <c r="C60">
        <v>2024</v>
      </c>
      <c r="D60">
        <v>5</v>
      </c>
      <c r="E60" t="s">
        <v>83</v>
      </c>
      <c r="F60" t="s">
        <v>31</v>
      </c>
      <c r="G60" t="s">
        <v>38</v>
      </c>
      <c r="H60" t="s">
        <v>12</v>
      </c>
      <c r="I60" t="s">
        <v>473</v>
      </c>
      <c r="J60" t="s">
        <v>429</v>
      </c>
      <c r="K60" t="s">
        <v>84</v>
      </c>
      <c r="L60" t="s">
        <v>36</v>
      </c>
      <c r="M60" t="s">
        <v>10</v>
      </c>
    </row>
    <row r="61" spans="1:13">
      <c r="A61" t="s">
        <v>506</v>
      </c>
      <c r="B61" s="2">
        <v>45421</v>
      </c>
      <c r="C61">
        <v>2024</v>
      </c>
      <c r="D61">
        <v>5</v>
      </c>
      <c r="E61" t="s">
        <v>83</v>
      </c>
      <c r="F61" t="s">
        <v>19</v>
      </c>
      <c r="G61" t="s">
        <v>32</v>
      </c>
      <c r="H61" t="s">
        <v>33</v>
      </c>
      <c r="I61" t="s">
        <v>470</v>
      </c>
      <c r="J61" t="s">
        <v>429</v>
      </c>
      <c r="K61" t="s">
        <v>51</v>
      </c>
      <c r="L61" t="s">
        <v>36</v>
      </c>
      <c r="M61" t="s">
        <v>10</v>
      </c>
    </row>
    <row r="62" spans="1:13">
      <c r="A62" t="s">
        <v>507</v>
      </c>
      <c r="B62" s="2">
        <v>45437</v>
      </c>
      <c r="C62">
        <v>2024</v>
      </c>
      <c r="D62">
        <v>5</v>
      </c>
      <c r="E62" t="s">
        <v>83</v>
      </c>
      <c r="F62" t="s">
        <v>2</v>
      </c>
      <c r="G62" t="s">
        <v>61</v>
      </c>
      <c r="H62" t="s">
        <v>12</v>
      </c>
      <c r="I62" t="s">
        <v>442</v>
      </c>
      <c r="J62" t="s">
        <v>429</v>
      </c>
      <c r="K62" t="s">
        <v>21</v>
      </c>
      <c r="L62" t="s">
        <v>16</v>
      </c>
      <c r="M62" t="s">
        <v>10</v>
      </c>
    </row>
    <row r="63" spans="1:13">
      <c r="A63" t="s">
        <v>508</v>
      </c>
      <c r="B63" s="2">
        <v>45416</v>
      </c>
      <c r="C63">
        <v>2024</v>
      </c>
      <c r="D63">
        <v>5</v>
      </c>
      <c r="E63" t="s">
        <v>83</v>
      </c>
      <c r="F63" t="s">
        <v>19</v>
      </c>
      <c r="G63" t="s">
        <v>20</v>
      </c>
      <c r="H63" t="s">
        <v>4</v>
      </c>
      <c r="I63" t="s">
        <v>460</v>
      </c>
      <c r="J63" t="s">
        <v>429</v>
      </c>
      <c r="K63" t="s">
        <v>7</v>
      </c>
      <c r="L63" t="s">
        <v>29</v>
      </c>
      <c r="M63" t="s">
        <v>10</v>
      </c>
    </row>
    <row r="64" spans="1:13">
      <c r="A64" t="s">
        <v>509</v>
      </c>
      <c r="B64" s="2">
        <v>45462</v>
      </c>
      <c r="C64">
        <v>2024</v>
      </c>
      <c r="D64">
        <v>6</v>
      </c>
      <c r="E64" t="s">
        <v>87</v>
      </c>
      <c r="F64" t="s">
        <v>67</v>
      </c>
      <c r="G64" t="s">
        <v>27</v>
      </c>
      <c r="H64" t="s">
        <v>44</v>
      </c>
      <c r="I64" t="s">
        <v>464</v>
      </c>
      <c r="J64" t="s">
        <v>429</v>
      </c>
      <c r="K64" t="s">
        <v>107</v>
      </c>
      <c r="L64" t="s">
        <v>36</v>
      </c>
      <c r="M64" t="s">
        <v>10</v>
      </c>
    </row>
    <row r="65" spans="1:13">
      <c r="A65" t="s">
        <v>510</v>
      </c>
      <c r="B65" s="2">
        <v>45462</v>
      </c>
      <c r="C65">
        <v>2024</v>
      </c>
      <c r="D65">
        <v>6</v>
      </c>
      <c r="E65" t="s">
        <v>87</v>
      </c>
      <c r="F65" t="s">
        <v>40</v>
      </c>
      <c r="G65" t="s">
        <v>61</v>
      </c>
      <c r="H65" t="s">
        <v>44</v>
      </c>
      <c r="I65" t="s">
        <v>435</v>
      </c>
      <c r="J65" t="s">
        <v>429</v>
      </c>
      <c r="K65" t="s">
        <v>56</v>
      </c>
      <c r="L65" t="s">
        <v>29</v>
      </c>
      <c r="M65" t="s">
        <v>10</v>
      </c>
    </row>
    <row r="66" spans="1:13">
      <c r="A66" t="s">
        <v>511</v>
      </c>
      <c r="B66" s="2">
        <v>45445</v>
      </c>
      <c r="C66">
        <v>2024</v>
      </c>
      <c r="D66">
        <v>6</v>
      </c>
      <c r="E66" t="s">
        <v>87</v>
      </c>
      <c r="F66" t="s">
        <v>26</v>
      </c>
      <c r="G66" t="s">
        <v>61</v>
      </c>
      <c r="H66" t="s">
        <v>12</v>
      </c>
      <c r="I66" t="s">
        <v>462</v>
      </c>
      <c r="J66" t="s">
        <v>429</v>
      </c>
      <c r="K66" t="s">
        <v>41</v>
      </c>
      <c r="L66" t="s">
        <v>16</v>
      </c>
      <c r="M66" t="s">
        <v>10</v>
      </c>
    </row>
    <row r="67" spans="1:13">
      <c r="A67" t="s">
        <v>512</v>
      </c>
      <c r="B67" s="2">
        <v>45457</v>
      </c>
      <c r="C67">
        <v>2024</v>
      </c>
      <c r="D67">
        <v>6</v>
      </c>
      <c r="E67" t="s">
        <v>87</v>
      </c>
      <c r="F67" t="s">
        <v>54</v>
      </c>
      <c r="G67" t="s">
        <v>74</v>
      </c>
      <c r="H67" t="s">
        <v>12</v>
      </c>
      <c r="I67" t="s">
        <v>442</v>
      </c>
      <c r="J67" t="s">
        <v>429</v>
      </c>
      <c r="K67" t="s">
        <v>56</v>
      </c>
      <c r="L67" t="s">
        <v>9</v>
      </c>
      <c r="M67" t="s">
        <v>10</v>
      </c>
    </row>
    <row r="68" spans="1:13">
      <c r="A68" t="s">
        <v>513</v>
      </c>
      <c r="B68" s="2">
        <v>45446</v>
      </c>
      <c r="C68">
        <v>2024</v>
      </c>
      <c r="D68">
        <v>6</v>
      </c>
      <c r="E68" t="s">
        <v>87</v>
      </c>
      <c r="F68" t="s">
        <v>47</v>
      </c>
      <c r="G68" t="s">
        <v>27</v>
      </c>
      <c r="H68" t="s">
        <v>44</v>
      </c>
      <c r="I68" t="s">
        <v>438</v>
      </c>
      <c r="J68" t="s">
        <v>429</v>
      </c>
      <c r="K68" t="s">
        <v>71</v>
      </c>
      <c r="L68" t="s">
        <v>29</v>
      </c>
      <c r="M68" t="s">
        <v>10</v>
      </c>
    </row>
    <row r="69" spans="1:13">
      <c r="A69" t="s">
        <v>514</v>
      </c>
      <c r="B69" s="2">
        <v>45444</v>
      </c>
      <c r="C69">
        <v>2024</v>
      </c>
      <c r="D69">
        <v>6</v>
      </c>
      <c r="E69" t="s">
        <v>87</v>
      </c>
      <c r="F69" t="s">
        <v>26</v>
      </c>
      <c r="G69" t="s">
        <v>3</v>
      </c>
      <c r="H69" t="s">
        <v>4</v>
      </c>
      <c r="I69" t="s">
        <v>438</v>
      </c>
      <c r="J69" t="s">
        <v>433</v>
      </c>
      <c r="K69" t="s">
        <v>84</v>
      </c>
      <c r="L69" t="s">
        <v>9</v>
      </c>
      <c r="M69" t="s">
        <v>10</v>
      </c>
    </row>
    <row r="70" spans="1:13">
      <c r="A70" t="s">
        <v>515</v>
      </c>
      <c r="B70" s="2">
        <v>45447</v>
      </c>
      <c r="C70">
        <v>2024</v>
      </c>
      <c r="D70">
        <v>6</v>
      </c>
      <c r="E70" t="s">
        <v>87</v>
      </c>
      <c r="F70" t="s">
        <v>54</v>
      </c>
      <c r="G70" t="s">
        <v>64</v>
      </c>
      <c r="H70" t="s">
        <v>4</v>
      </c>
      <c r="I70" t="s">
        <v>457</v>
      </c>
      <c r="J70" t="s">
        <v>433</v>
      </c>
      <c r="K70" t="s">
        <v>107</v>
      </c>
      <c r="L70" t="s">
        <v>9</v>
      </c>
      <c r="M70" t="s">
        <v>10</v>
      </c>
    </row>
    <row r="71" spans="1:13">
      <c r="A71" t="s">
        <v>516</v>
      </c>
      <c r="B71" s="2">
        <v>45453</v>
      </c>
      <c r="C71">
        <v>2024</v>
      </c>
      <c r="D71">
        <v>6</v>
      </c>
      <c r="E71" t="s">
        <v>87</v>
      </c>
      <c r="F71" t="s">
        <v>31</v>
      </c>
      <c r="G71" t="s">
        <v>27</v>
      </c>
      <c r="H71" t="s">
        <v>33</v>
      </c>
      <c r="I71" t="s">
        <v>452</v>
      </c>
      <c r="J71" t="s">
        <v>429</v>
      </c>
      <c r="K71" t="s">
        <v>14</v>
      </c>
      <c r="L71" t="s">
        <v>36</v>
      </c>
      <c r="M71" t="s">
        <v>23</v>
      </c>
    </row>
    <row r="72" spans="1:13">
      <c r="A72" t="s">
        <v>517</v>
      </c>
      <c r="B72" s="2">
        <v>45453</v>
      </c>
      <c r="C72">
        <v>2024</v>
      </c>
      <c r="D72">
        <v>6</v>
      </c>
      <c r="E72" t="s">
        <v>87</v>
      </c>
      <c r="F72" t="s">
        <v>2</v>
      </c>
      <c r="G72" t="s">
        <v>61</v>
      </c>
      <c r="H72" t="s">
        <v>33</v>
      </c>
      <c r="I72" t="s">
        <v>454</v>
      </c>
      <c r="J72" t="s">
        <v>429</v>
      </c>
      <c r="K72" t="s">
        <v>71</v>
      </c>
      <c r="L72" t="s">
        <v>29</v>
      </c>
      <c r="M72" t="s">
        <v>10</v>
      </c>
    </row>
    <row r="73" spans="1:13">
      <c r="A73" t="s">
        <v>518</v>
      </c>
      <c r="B73" s="2">
        <v>45468</v>
      </c>
      <c r="C73">
        <v>2024</v>
      </c>
      <c r="D73">
        <v>6</v>
      </c>
      <c r="E73" t="s">
        <v>87</v>
      </c>
      <c r="F73" t="s">
        <v>2</v>
      </c>
      <c r="G73" t="s">
        <v>38</v>
      </c>
      <c r="H73" t="s">
        <v>33</v>
      </c>
      <c r="I73" t="s">
        <v>519</v>
      </c>
      <c r="J73" t="s">
        <v>429</v>
      </c>
      <c r="K73" t="s">
        <v>58</v>
      </c>
      <c r="L73" t="s">
        <v>36</v>
      </c>
      <c r="M73" t="s">
        <v>10</v>
      </c>
    </row>
    <row r="74" spans="1:13">
      <c r="A74" t="s">
        <v>520</v>
      </c>
      <c r="B74" s="2">
        <v>45466</v>
      </c>
      <c r="C74">
        <v>2024</v>
      </c>
      <c r="D74">
        <v>6</v>
      </c>
      <c r="E74" t="s">
        <v>87</v>
      </c>
      <c r="F74" t="s">
        <v>31</v>
      </c>
      <c r="G74" t="s">
        <v>94</v>
      </c>
      <c r="H74" t="s">
        <v>12</v>
      </c>
      <c r="I74" t="s">
        <v>435</v>
      </c>
      <c r="J74" t="s">
        <v>429</v>
      </c>
      <c r="K74" t="s">
        <v>14</v>
      </c>
      <c r="L74" t="s">
        <v>16</v>
      </c>
      <c r="M74" t="s">
        <v>10</v>
      </c>
    </row>
    <row r="75" spans="1:13">
      <c r="A75" t="s">
        <v>521</v>
      </c>
      <c r="B75" s="2">
        <v>45464</v>
      </c>
      <c r="C75">
        <v>2024</v>
      </c>
      <c r="D75">
        <v>6</v>
      </c>
      <c r="E75" t="s">
        <v>87</v>
      </c>
      <c r="F75" t="s">
        <v>47</v>
      </c>
      <c r="G75" t="s">
        <v>48</v>
      </c>
      <c r="H75" t="s">
        <v>33</v>
      </c>
      <c r="I75" t="s">
        <v>454</v>
      </c>
      <c r="J75" t="s">
        <v>429</v>
      </c>
      <c r="K75" t="s">
        <v>58</v>
      </c>
      <c r="L75" t="s">
        <v>9</v>
      </c>
      <c r="M75" t="s">
        <v>10</v>
      </c>
    </row>
    <row r="76" spans="1:13">
      <c r="A76" t="s">
        <v>522</v>
      </c>
      <c r="B76" s="2">
        <v>45461</v>
      </c>
      <c r="C76">
        <v>2024</v>
      </c>
      <c r="D76">
        <v>6</v>
      </c>
      <c r="E76" t="s">
        <v>87</v>
      </c>
      <c r="F76" t="s">
        <v>78</v>
      </c>
      <c r="G76" t="s">
        <v>32</v>
      </c>
      <c r="H76" t="s">
        <v>33</v>
      </c>
      <c r="I76" t="s">
        <v>452</v>
      </c>
      <c r="J76" t="s">
        <v>429</v>
      </c>
      <c r="K76" t="s">
        <v>21</v>
      </c>
      <c r="L76" t="s">
        <v>9</v>
      </c>
      <c r="M76" t="s">
        <v>10</v>
      </c>
    </row>
    <row r="77" spans="1:13">
      <c r="A77" t="s">
        <v>523</v>
      </c>
      <c r="B77" s="2">
        <v>45463</v>
      </c>
      <c r="C77">
        <v>2024</v>
      </c>
      <c r="D77">
        <v>6</v>
      </c>
      <c r="E77" t="s">
        <v>87</v>
      </c>
      <c r="F77" t="s">
        <v>26</v>
      </c>
      <c r="G77" t="s">
        <v>48</v>
      </c>
      <c r="H77" t="s">
        <v>33</v>
      </c>
      <c r="I77" t="s">
        <v>442</v>
      </c>
      <c r="J77" t="s">
        <v>429</v>
      </c>
      <c r="K77" t="s">
        <v>51</v>
      </c>
      <c r="L77" t="s">
        <v>9</v>
      </c>
      <c r="M77" t="s">
        <v>10</v>
      </c>
    </row>
    <row r="78" spans="1:13">
      <c r="A78" t="s">
        <v>524</v>
      </c>
      <c r="B78" s="2">
        <v>45471</v>
      </c>
      <c r="C78">
        <v>2024</v>
      </c>
      <c r="D78">
        <v>6</v>
      </c>
      <c r="E78" t="s">
        <v>87</v>
      </c>
      <c r="F78" t="s">
        <v>2</v>
      </c>
      <c r="G78" t="s">
        <v>55</v>
      </c>
      <c r="H78" t="s">
        <v>44</v>
      </c>
      <c r="I78" t="s">
        <v>466</v>
      </c>
      <c r="J78" t="s">
        <v>429</v>
      </c>
      <c r="K78" t="s">
        <v>58</v>
      </c>
      <c r="L78" t="s">
        <v>29</v>
      </c>
      <c r="M78" t="s">
        <v>10</v>
      </c>
    </row>
    <row r="79" spans="1:13">
      <c r="A79" t="s">
        <v>525</v>
      </c>
      <c r="B79" s="2">
        <v>45469</v>
      </c>
      <c r="C79">
        <v>2024</v>
      </c>
      <c r="D79">
        <v>6</v>
      </c>
      <c r="E79" t="s">
        <v>87</v>
      </c>
      <c r="F79" t="s">
        <v>19</v>
      </c>
      <c r="G79" t="s">
        <v>69</v>
      </c>
      <c r="H79" t="s">
        <v>33</v>
      </c>
      <c r="I79" t="s">
        <v>444</v>
      </c>
      <c r="J79" t="s">
        <v>429</v>
      </c>
      <c r="K79" t="s">
        <v>56</v>
      </c>
      <c r="L79" t="s">
        <v>36</v>
      </c>
      <c r="M79" t="s">
        <v>17</v>
      </c>
    </row>
    <row r="80" spans="1:13">
      <c r="A80" t="s">
        <v>526</v>
      </c>
      <c r="B80" s="2">
        <v>45460</v>
      </c>
      <c r="C80">
        <v>2024</v>
      </c>
      <c r="D80">
        <v>6</v>
      </c>
      <c r="E80" t="s">
        <v>87</v>
      </c>
      <c r="F80" t="s">
        <v>67</v>
      </c>
      <c r="G80" t="s">
        <v>55</v>
      </c>
      <c r="H80" t="s">
        <v>44</v>
      </c>
      <c r="I80" t="s">
        <v>466</v>
      </c>
      <c r="J80" t="s">
        <v>429</v>
      </c>
      <c r="K80" t="s">
        <v>14</v>
      </c>
      <c r="L80" t="s">
        <v>16</v>
      </c>
      <c r="M80" t="s">
        <v>10</v>
      </c>
    </row>
    <row r="81" spans="1:13">
      <c r="A81" t="s">
        <v>527</v>
      </c>
      <c r="B81" s="2">
        <v>45460</v>
      </c>
      <c r="C81">
        <v>2024</v>
      </c>
      <c r="D81">
        <v>6</v>
      </c>
      <c r="E81" t="s">
        <v>87</v>
      </c>
      <c r="F81" t="s">
        <v>78</v>
      </c>
      <c r="G81" t="s">
        <v>55</v>
      </c>
      <c r="H81" t="s">
        <v>33</v>
      </c>
      <c r="I81" t="s">
        <v>457</v>
      </c>
      <c r="J81" t="s">
        <v>433</v>
      </c>
      <c r="K81" t="s">
        <v>41</v>
      </c>
      <c r="L81" t="s">
        <v>36</v>
      </c>
      <c r="M81" t="s">
        <v>10</v>
      </c>
    </row>
    <row r="82" spans="1:13">
      <c r="A82" t="s">
        <v>528</v>
      </c>
      <c r="B82" s="2">
        <v>45455</v>
      </c>
      <c r="C82">
        <v>2024</v>
      </c>
      <c r="D82">
        <v>6</v>
      </c>
      <c r="E82" t="s">
        <v>87</v>
      </c>
      <c r="F82" t="s">
        <v>54</v>
      </c>
      <c r="G82" t="s">
        <v>61</v>
      </c>
      <c r="H82" t="s">
        <v>12</v>
      </c>
      <c r="I82" t="s">
        <v>457</v>
      </c>
      <c r="J82" t="s">
        <v>433</v>
      </c>
      <c r="K82" t="s">
        <v>7</v>
      </c>
      <c r="L82" t="s">
        <v>29</v>
      </c>
      <c r="M82" t="s">
        <v>17</v>
      </c>
    </row>
    <row r="83" spans="1:13">
      <c r="A83" t="s">
        <v>529</v>
      </c>
      <c r="B83" s="2">
        <v>45453</v>
      </c>
      <c r="C83">
        <v>2024</v>
      </c>
      <c r="D83">
        <v>6</v>
      </c>
      <c r="E83" t="s">
        <v>87</v>
      </c>
      <c r="F83" t="s">
        <v>19</v>
      </c>
      <c r="G83" t="s">
        <v>48</v>
      </c>
      <c r="H83" t="s">
        <v>12</v>
      </c>
      <c r="I83" t="s">
        <v>454</v>
      </c>
      <c r="J83" t="s">
        <v>429</v>
      </c>
      <c r="K83" t="s">
        <v>107</v>
      </c>
      <c r="L83" t="s">
        <v>36</v>
      </c>
      <c r="M83" t="s">
        <v>10</v>
      </c>
    </row>
    <row r="84" spans="1:13">
      <c r="A84" t="s">
        <v>530</v>
      </c>
      <c r="B84" s="2">
        <v>45458</v>
      </c>
      <c r="C84">
        <v>2024</v>
      </c>
      <c r="D84">
        <v>6</v>
      </c>
      <c r="E84" t="s">
        <v>87</v>
      </c>
      <c r="F84" t="s">
        <v>2</v>
      </c>
      <c r="G84" t="s">
        <v>3</v>
      </c>
      <c r="H84" t="s">
        <v>4</v>
      </c>
      <c r="I84" t="s">
        <v>444</v>
      </c>
      <c r="J84" t="s">
        <v>429</v>
      </c>
      <c r="K84" t="s">
        <v>71</v>
      </c>
      <c r="L84" t="s">
        <v>16</v>
      </c>
      <c r="M84" t="s">
        <v>23</v>
      </c>
    </row>
    <row r="85" spans="1:13">
      <c r="A85" t="s">
        <v>531</v>
      </c>
      <c r="B85" s="2">
        <v>45488</v>
      </c>
      <c r="C85">
        <v>2024</v>
      </c>
      <c r="D85">
        <v>7</v>
      </c>
      <c r="E85" t="s">
        <v>93</v>
      </c>
      <c r="F85" t="s">
        <v>19</v>
      </c>
      <c r="G85" t="s">
        <v>20</v>
      </c>
      <c r="H85" t="s">
        <v>44</v>
      </c>
      <c r="I85" t="s">
        <v>431</v>
      </c>
      <c r="J85" t="s">
        <v>429</v>
      </c>
      <c r="K85" t="s">
        <v>58</v>
      </c>
      <c r="L85" t="s">
        <v>9</v>
      </c>
      <c r="M85" t="s">
        <v>23</v>
      </c>
    </row>
    <row r="86" spans="1:13">
      <c r="A86" t="s">
        <v>532</v>
      </c>
      <c r="B86" s="2">
        <v>45477</v>
      </c>
      <c r="C86">
        <v>2024</v>
      </c>
      <c r="D86">
        <v>7</v>
      </c>
      <c r="E86" t="s">
        <v>93</v>
      </c>
      <c r="F86" t="s">
        <v>54</v>
      </c>
      <c r="G86" t="s">
        <v>74</v>
      </c>
      <c r="H86" t="s">
        <v>44</v>
      </c>
      <c r="I86" t="s">
        <v>464</v>
      </c>
      <c r="J86" t="s">
        <v>429</v>
      </c>
      <c r="K86" t="s">
        <v>21</v>
      </c>
      <c r="L86" t="s">
        <v>36</v>
      </c>
      <c r="M86" t="s">
        <v>10</v>
      </c>
    </row>
    <row r="87" spans="1:13">
      <c r="A87" t="s">
        <v>533</v>
      </c>
      <c r="B87" s="2">
        <v>45485</v>
      </c>
      <c r="C87">
        <v>2024</v>
      </c>
      <c r="D87">
        <v>7</v>
      </c>
      <c r="E87" t="s">
        <v>93</v>
      </c>
      <c r="F87" t="s">
        <v>38</v>
      </c>
      <c r="G87" t="s">
        <v>94</v>
      </c>
      <c r="H87" t="s">
        <v>4</v>
      </c>
      <c r="I87" t="s">
        <v>519</v>
      </c>
      <c r="J87" t="s">
        <v>429</v>
      </c>
      <c r="K87" t="s">
        <v>84</v>
      </c>
      <c r="L87" t="s">
        <v>9</v>
      </c>
      <c r="M87" t="s">
        <v>10</v>
      </c>
    </row>
    <row r="88" spans="1:13">
      <c r="A88" t="s">
        <v>534</v>
      </c>
      <c r="B88" s="2">
        <v>45489</v>
      </c>
      <c r="C88">
        <v>2024</v>
      </c>
      <c r="D88">
        <v>7</v>
      </c>
      <c r="E88" t="s">
        <v>93</v>
      </c>
      <c r="F88" t="s">
        <v>26</v>
      </c>
      <c r="G88" t="s">
        <v>61</v>
      </c>
      <c r="H88" t="s">
        <v>4</v>
      </c>
      <c r="I88" t="s">
        <v>438</v>
      </c>
      <c r="J88" t="s">
        <v>429</v>
      </c>
      <c r="K88" t="s">
        <v>71</v>
      </c>
      <c r="L88" t="s">
        <v>9</v>
      </c>
      <c r="M88" t="s">
        <v>10</v>
      </c>
    </row>
    <row r="89" spans="1:13">
      <c r="A89" t="s">
        <v>535</v>
      </c>
      <c r="B89" s="2">
        <v>45479</v>
      </c>
      <c r="C89">
        <v>2024</v>
      </c>
      <c r="D89">
        <v>7</v>
      </c>
      <c r="E89" t="s">
        <v>93</v>
      </c>
      <c r="F89" t="s">
        <v>38</v>
      </c>
      <c r="G89" t="s">
        <v>48</v>
      </c>
      <c r="H89" t="s">
        <v>4</v>
      </c>
      <c r="I89" t="s">
        <v>454</v>
      </c>
      <c r="J89" t="s">
        <v>429</v>
      </c>
      <c r="K89" t="s">
        <v>21</v>
      </c>
      <c r="L89" t="s">
        <v>36</v>
      </c>
      <c r="M89" t="s">
        <v>10</v>
      </c>
    </row>
    <row r="90" spans="1:13">
      <c r="A90" t="s">
        <v>536</v>
      </c>
      <c r="B90" s="2">
        <v>45479</v>
      </c>
      <c r="C90">
        <v>2024</v>
      </c>
      <c r="D90">
        <v>7</v>
      </c>
      <c r="E90" t="s">
        <v>93</v>
      </c>
      <c r="F90" t="s">
        <v>78</v>
      </c>
      <c r="G90" t="s">
        <v>74</v>
      </c>
      <c r="H90" t="s">
        <v>44</v>
      </c>
      <c r="I90" t="s">
        <v>519</v>
      </c>
      <c r="J90" t="s">
        <v>429</v>
      </c>
      <c r="K90" t="s">
        <v>56</v>
      </c>
      <c r="L90" t="s">
        <v>29</v>
      </c>
      <c r="M90" t="s">
        <v>10</v>
      </c>
    </row>
    <row r="91" spans="1:13">
      <c r="A91" t="s">
        <v>537</v>
      </c>
      <c r="B91" s="2">
        <v>45486</v>
      </c>
      <c r="C91">
        <v>2024</v>
      </c>
      <c r="D91">
        <v>7</v>
      </c>
      <c r="E91" t="s">
        <v>93</v>
      </c>
      <c r="F91" t="s">
        <v>54</v>
      </c>
      <c r="G91" t="s">
        <v>32</v>
      </c>
      <c r="H91" t="s">
        <v>44</v>
      </c>
      <c r="I91" t="s">
        <v>84</v>
      </c>
      <c r="J91" t="s">
        <v>433</v>
      </c>
      <c r="K91" t="s">
        <v>51</v>
      </c>
      <c r="L91" t="s">
        <v>29</v>
      </c>
      <c r="M91" t="s">
        <v>10</v>
      </c>
    </row>
    <row r="92" spans="1:13">
      <c r="A92" t="s">
        <v>538</v>
      </c>
      <c r="B92" s="2">
        <v>45474</v>
      </c>
      <c r="C92">
        <v>2024</v>
      </c>
      <c r="D92">
        <v>7</v>
      </c>
      <c r="E92" t="s">
        <v>93</v>
      </c>
      <c r="F92" t="s">
        <v>2</v>
      </c>
      <c r="G92" t="s">
        <v>48</v>
      </c>
      <c r="H92" t="s">
        <v>12</v>
      </c>
      <c r="I92" t="s">
        <v>431</v>
      </c>
      <c r="J92" t="s">
        <v>429</v>
      </c>
      <c r="K92" t="s">
        <v>41</v>
      </c>
      <c r="L92" t="s">
        <v>16</v>
      </c>
      <c r="M92" t="s">
        <v>10</v>
      </c>
    </row>
    <row r="93" spans="1:13">
      <c r="A93" t="s">
        <v>539</v>
      </c>
      <c r="B93" s="2">
        <v>45500</v>
      </c>
      <c r="C93">
        <v>2024</v>
      </c>
      <c r="D93">
        <v>7</v>
      </c>
      <c r="E93" t="s">
        <v>93</v>
      </c>
      <c r="F93" t="s">
        <v>47</v>
      </c>
      <c r="G93" t="s">
        <v>38</v>
      </c>
      <c r="H93" t="s">
        <v>33</v>
      </c>
      <c r="I93" t="s">
        <v>462</v>
      </c>
      <c r="J93" t="s">
        <v>429</v>
      </c>
      <c r="K93" t="s">
        <v>107</v>
      </c>
      <c r="L93" t="s">
        <v>9</v>
      </c>
      <c r="M93" t="s">
        <v>23</v>
      </c>
    </row>
    <row r="94" spans="1:13">
      <c r="A94" t="s">
        <v>540</v>
      </c>
      <c r="B94" s="2">
        <v>45493</v>
      </c>
      <c r="C94">
        <v>2024</v>
      </c>
      <c r="D94">
        <v>7</v>
      </c>
      <c r="E94" t="s">
        <v>93</v>
      </c>
      <c r="F94" t="s">
        <v>26</v>
      </c>
      <c r="G94" t="s">
        <v>64</v>
      </c>
      <c r="H94" t="s">
        <v>12</v>
      </c>
      <c r="I94" t="s">
        <v>454</v>
      </c>
      <c r="J94" t="s">
        <v>429</v>
      </c>
      <c r="K94" t="s">
        <v>58</v>
      </c>
      <c r="L94" t="s">
        <v>29</v>
      </c>
      <c r="M94" t="s">
        <v>17</v>
      </c>
    </row>
    <row r="95" spans="1:13">
      <c r="A95" t="s">
        <v>541</v>
      </c>
      <c r="B95" s="2">
        <v>45495</v>
      </c>
      <c r="C95">
        <v>2024</v>
      </c>
      <c r="D95">
        <v>7</v>
      </c>
      <c r="E95" t="s">
        <v>93</v>
      </c>
      <c r="F95" t="s">
        <v>19</v>
      </c>
      <c r="G95" t="s">
        <v>74</v>
      </c>
      <c r="H95" t="s">
        <v>4</v>
      </c>
      <c r="I95" t="s">
        <v>462</v>
      </c>
      <c r="J95" t="s">
        <v>429</v>
      </c>
      <c r="K95" t="s">
        <v>58</v>
      </c>
      <c r="L95" t="s">
        <v>36</v>
      </c>
      <c r="M95" t="s">
        <v>10</v>
      </c>
    </row>
    <row r="96" spans="1:13">
      <c r="A96" t="s">
        <v>542</v>
      </c>
      <c r="B96" s="2">
        <v>45480</v>
      </c>
      <c r="C96">
        <v>2024</v>
      </c>
      <c r="D96">
        <v>7</v>
      </c>
      <c r="E96" t="s">
        <v>93</v>
      </c>
      <c r="F96" t="s">
        <v>54</v>
      </c>
      <c r="G96" t="s">
        <v>20</v>
      </c>
      <c r="H96" t="s">
        <v>4</v>
      </c>
      <c r="I96" t="s">
        <v>473</v>
      </c>
      <c r="J96" t="s">
        <v>433</v>
      </c>
      <c r="K96" t="s">
        <v>14</v>
      </c>
      <c r="L96" t="s">
        <v>36</v>
      </c>
      <c r="M96" t="s">
        <v>10</v>
      </c>
    </row>
    <row r="97" spans="1:13">
      <c r="A97" t="s">
        <v>543</v>
      </c>
      <c r="B97" s="2">
        <v>45476</v>
      </c>
      <c r="C97">
        <v>2024</v>
      </c>
      <c r="D97">
        <v>7</v>
      </c>
      <c r="E97" t="s">
        <v>93</v>
      </c>
      <c r="F97" t="s">
        <v>2</v>
      </c>
      <c r="G97" t="s">
        <v>69</v>
      </c>
      <c r="H97" t="s">
        <v>4</v>
      </c>
      <c r="I97" t="s">
        <v>470</v>
      </c>
      <c r="J97" t="s">
        <v>433</v>
      </c>
      <c r="K97" t="s">
        <v>84</v>
      </c>
      <c r="L97" t="s">
        <v>16</v>
      </c>
      <c r="M97" t="s">
        <v>10</v>
      </c>
    </row>
    <row r="98" spans="1:13">
      <c r="A98" t="s">
        <v>544</v>
      </c>
      <c r="B98" s="2">
        <v>45487</v>
      </c>
      <c r="C98">
        <v>2024</v>
      </c>
      <c r="D98">
        <v>7</v>
      </c>
      <c r="E98" t="s">
        <v>93</v>
      </c>
      <c r="F98" t="s">
        <v>40</v>
      </c>
      <c r="G98" t="s">
        <v>48</v>
      </c>
      <c r="H98" t="s">
        <v>4</v>
      </c>
      <c r="I98" t="s">
        <v>464</v>
      </c>
      <c r="J98" t="s">
        <v>429</v>
      </c>
      <c r="K98" t="s">
        <v>21</v>
      </c>
      <c r="L98" t="s">
        <v>29</v>
      </c>
      <c r="M98" t="s">
        <v>10</v>
      </c>
    </row>
    <row r="99" spans="1:13">
      <c r="A99" t="s">
        <v>545</v>
      </c>
      <c r="B99" s="2">
        <v>45479</v>
      </c>
      <c r="C99">
        <v>2024</v>
      </c>
      <c r="D99">
        <v>7</v>
      </c>
      <c r="E99" t="s">
        <v>93</v>
      </c>
      <c r="F99" t="s">
        <v>19</v>
      </c>
      <c r="G99" t="s">
        <v>32</v>
      </c>
      <c r="H99" t="s">
        <v>44</v>
      </c>
      <c r="I99" t="s">
        <v>84</v>
      </c>
      <c r="J99" t="s">
        <v>429</v>
      </c>
      <c r="K99" t="s">
        <v>71</v>
      </c>
      <c r="L99" t="s">
        <v>9</v>
      </c>
      <c r="M99" t="s">
        <v>10</v>
      </c>
    </row>
    <row r="100" spans="1:13">
      <c r="A100" t="s">
        <v>546</v>
      </c>
      <c r="B100" s="2">
        <v>45500</v>
      </c>
      <c r="C100">
        <v>2024</v>
      </c>
      <c r="D100">
        <v>7</v>
      </c>
      <c r="E100" t="s">
        <v>93</v>
      </c>
      <c r="F100" t="s">
        <v>54</v>
      </c>
      <c r="G100" t="s">
        <v>94</v>
      </c>
      <c r="H100" t="s">
        <v>44</v>
      </c>
      <c r="I100" t="s">
        <v>470</v>
      </c>
      <c r="J100" t="s">
        <v>429</v>
      </c>
      <c r="K100" t="s">
        <v>71</v>
      </c>
      <c r="L100" t="s">
        <v>16</v>
      </c>
      <c r="M100" t="s">
        <v>10</v>
      </c>
    </row>
    <row r="101" spans="1:13">
      <c r="A101" t="s">
        <v>547</v>
      </c>
      <c r="B101" s="2">
        <v>45485</v>
      </c>
      <c r="C101">
        <v>2024</v>
      </c>
      <c r="D101">
        <v>7</v>
      </c>
      <c r="E101" t="s">
        <v>93</v>
      </c>
      <c r="F101" t="s">
        <v>38</v>
      </c>
      <c r="G101" t="s">
        <v>55</v>
      </c>
      <c r="H101" t="s">
        <v>33</v>
      </c>
      <c r="I101" t="s">
        <v>519</v>
      </c>
      <c r="J101" t="s">
        <v>429</v>
      </c>
      <c r="K101" t="s">
        <v>71</v>
      </c>
      <c r="L101" t="s">
        <v>29</v>
      </c>
      <c r="M101" t="s">
        <v>10</v>
      </c>
    </row>
    <row r="102" spans="1:13">
      <c r="A102" t="s">
        <v>548</v>
      </c>
      <c r="B102" s="2">
        <v>45476</v>
      </c>
      <c r="C102">
        <v>2024</v>
      </c>
      <c r="D102">
        <v>7</v>
      </c>
      <c r="E102" t="s">
        <v>93</v>
      </c>
      <c r="F102" t="s">
        <v>2</v>
      </c>
      <c r="G102" t="s">
        <v>94</v>
      </c>
      <c r="H102" t="s">
        <v>33</v>
      </c>
      <c r="I102" t="s">
        <v>460</v>
      </c>
      <c r="J102" t="s">
        <v>429</v>
      </c>
      <c r="K102" t="s">
        <v>51</v>
      </c>
      <c r="L102" t="s">
        <v>36</v>
      </c>
      <c r="M102" t="s">
        <v>10</v>
      </c>
    </row>
    <row r="103" spans="1:13">
      <c r="A103" t="s">
        <v>549</v>
      </c>
      <c r="B103" s="2">
        <v>45474</v>
      </c>
      <c r="C103">
        <v>2024</v>
      </c>
      <c r="D103">
        <v>7</v>
      </c>
      <c r="E103" t="s">
        <v>93</v>
      </c>
      <c r="F103" t="s">
        <v>2</v>
      </c>
      <c r="G103" t="s">
        <v>27</v>
      </c>
      <c r="H103" t="s">
        <v>4</v>
      </c>
      <c r="I103" t="s">
        <v>440</v>
      </c>
      <c r="J103" t="s">
        <v>429</v>
      </c>
      <c r="K103" t="s">
        <v>21</v>
      </c>
      <c r="L103" t="s">
        <v>16</v>
      </c>
      <c r="M103" t="s">
        <v>10</v>
      </c>
    </row>
    <row r="104" spans="1:13">
      <c r="A104" t="s">
        <v>550</v>
      </c>
      <c r="B104" s="2">
        <v>45518</v>
      </c>
      <c r="C104">
        <v>2024</v>
      </c>
      <c r="D104">
        <v>8</v>
      </c>
      <c r="E104" t="s">
        <v>101</v>
      </c>
      <c r="F104" t="s">
        <v>67</v>
      </c>
      <c r="G104" t="s">
        <v>27</v>
      </c>
      <c r="H104" t="s">
        <v>12</v>
      </c>
      <c r="I104" t="s">
        <v>438</v>
      </c>
      <c r="J104" t="s">
        <v>429</v>
      </c>
      <c r="K104" t="s">
        <v>107</v>
      </c>
      <c r="L104" t="s">
        <v>36</v>
      </c>
      <c r="M104" t="s">
        <v>10</v>
      </c>
    </row>
    <row r="105" spans="1:13">
      <c r="A105" t="s">
        <v>551</v>
      </c>
      <c r="B105" s="2">
        <v>45508</v>
      </c>
      <c r="C105">
        <v>2024</v>
      </c>
      <c r="D105">
        <v>8</v>
      </c>
      <c r="E105" t="s">
        <v>101</v>
      </c>
      <c r="F105" t="s">
        <v>47</v>
      </c>
      <c r="G105" t="s">
        <v>27</v>
      </c>
      <c r="H105" t="s">
        <v>33</v>
      </c>
      <c r="I105" t="s">
        <v>452</v>
      </c>
      <c r="J105" t="s">
        <v>429</v>
      </c>
      <c r="K105" t="s">
        <v>71</v>
      </c>
      <c r="L105" t="s">
        <v>16</v>
      </c>
      <c r="M105" t="s">
        <v>10</v>
      </c>
    </row>
    <row r="106" spans="1:13">
      <c r="A106" t="s">
        <v>552</v>
      </c>
      <c r="B106" s="2">
        <v>45527</v>
      </c>
      <c r="C106">
        <v>2024</v>
      </c>
      <c r="D106">
        <v>8</v>
      </c>
      <c r="E106" t="s">
        <v>101</v>
      </c>
      <c r="F106" t="s">
        <v>31</v>
      </c>
      <c r="G106" t="s">
        <v>94</v>
      </c>
      <c r="H106" t="s">
        <v>12</v>
      </c>
      <c r="I106" t="s">
        <v>460</v>
      </c>
      <c r="J106" t="s">
        <v>429</v>
      </c>
      <c r="K106" t="s">
        <v>56</v>
      </c>
      <c r="L106" t="s">
        <v>36</v>
      </c>
      <c r="M106" t="s">
        <v>23</v>
      </c>
    </row>
    <row r="107" spans="1:13">
      <c r="A107" t="s">
        <v>553</v>
      </c>
      <c r="B107" s="2">
        <v>45527</v>
      </c>
      <c r="C107">
        <v>2024</v>
      </c>
      <c r="D107">
        <v>8</v>
      </c>
      <c r="E107" t="s">
        <v>101</v>
      </c>
      <c r="F107" t="s">
        <v>2</v>
      </c>
      <c r="G107" t="s">
        <v>32</v>
      </c>
      <c r="H107" t="s">
        <v>4</v>
      </c>
      <c r="I107" t="s">
        <v>440</v>
      </c>
      <c r="J107" t="s">
        <v>429</v>
      </c>
      <c r="K107" t="s">
        <v>7</v>
      </c>
      <c r="L107" t="s">
        <v>16</v>
      </c>
      <c r="M107" t="s">
        <v>10</v>
      </c>
    </row>
    <row r="108" spans="1:13">
      <c r="A108" t="s">
        <v>554</v>
      </c>
      <c r="B108" s="2">
        <v>45521</v>
      </c>
      <c r="C108">
        <v>2024</v>
      </c>
      <c r="D108">
        <v>8</v>
      </c>
      <c r="E108" t="s">
        <v>101</v>
      </c>
      <c r="F108" t="s">
        <v>67</v>
      </c>
      <c r="G108" t="s">
        <v>27</v>
      </c>
      <c r="H108" t="s">
        <v>33</v>
      </c>
      <c r="I108" t="s">
        <v>440</v>
      </c>
      <c r="J108" t="s">
        <v>429</v>
      </c>
      <c r="K108" t="s">
        <v>21</v>
      </c>
      <c r="L108" t="s">
        <v>16</v>
      </c>
      <c r="M108" t="s">
        <v>10</v>
      </c>
    </row>
    <row r="109" spans="1:13">
      <c r="A109" t="s">
        <v>555</v>
      </c>
      <c r="B109" s="2">
        <v>45514</v>
      </c>
      <c r="C109">
        <v>2024</v>
      </c>
      <c r="D109">
        <v>8</v>
      </c>
      <c r="E109" t="s">
        <v>101</v>
      </c>
      <c r="F109" t="s">
        <v>78</v>
      </c>
      <c r="G109" t="s">
        <v>74</v>
      </c>
      <c r="H109" t="s">
        <v>33</v>
      </c>
      <c r="I109" t="s">
        <v>428</v>
      </c>
      <c r="J109" t="s">
        <v>433</v>
      </c>
      <c r="K109" t="s">
        <v>107</v>
      </c>
      <c r="L109" t="s">
        <v>9</v>
      </c>
      <c r="M109" t="s">
        <v>10</v>
      </c>
    </row>
    <row r="110" spans="1:13">
      <c r="A110" t="s">
        <v>556</v>
      </c>
      <c r="B110" s="2">
        <v>45525</v>
      </c>
      <c r="C110">
        <v>2024</v>
      </c>
      <c r="D110">
        <v>8</v>
      </c>
      <c r="E110" t="s">
        <v>101</v>
      </c>
      <c r="F110" t="s">
        <v>67</v>
      </c>
      <c r="G110" t="s">
        <v>32</v>
      </c>
      <c r="H110" t="s">
        <v>4</v>
      </c>
      <c r="I110" t="s">
        <v>466</v>
      </c>
      <c r="J110" t="s">
        <v>429</v>
      </c>
      <c r="K110" t="s">
        <v>14</v>
      </c>
      <c r="L110" t="s">
        <v>16</v>
      </c>
      <c r="M110" t="s">
        <v>10</v>
      </c>
    </row>
    <row r="111" spans="1:13">
      <c r="A111" t="s">
        <v>557</v>
      </c>
      <c r="B111" s="2">
        <v>45522</v>
      </c>
      <c r="C111">
        <v>2024</v>
      </c>
      <c r="D111">
        <v>8</v>
      </c>
      <c r="E111" t="s">
        <v>101</v>
      </c>
      <c r="F111" t="s">
        <v>67</v>
      </c>
      <c r="G111" t="s">
        <v>3</v>
      </c>
      <c r="H111" t="s">
        <v>12</v>
      </c>
      <c r="I111" t="s">
        <v>428</v>
      </c>
      <c r="J111" t="s">
        <v>429</v>
      </c>
      <c r="K111" t="s">
        <v>84</v>
      </c>
      <c r="L111" t="s">
        <v>9</v>
      </c>
      <c r="M111" t="s">
        <v>17</v>
      </c>
    </row>
    <row r="112" spans="1:13">
      <c r="A112" t="s">
        <v>558</v>
      </c>
      <c r="B112" s="2">
        <v>45513</v>
      </c>
      <c r="C112">
        <v>2024</v>
      </c>
      <c r="D112">
        <v>8</v>
      </c>
      <c r="E112" t="s">
        <v>101</v>
      </c>
      <c r="F112" t="s">
        <v>40</v>
      </c>
      <c r="G112" t="s">
        <v>38</v>
      </c>
      <c r="H112" t="s">
        <v>4</v>
      </c>
      <c r="I112" t="s">
        <v>457</v>
      </c>
      <c r="J112" t="s">
        <v>429</v>
      </c>
      <c r="K112" t="s">
        <v>84</v>
      </c>
      <c r="L112" t="s">
        <v>9</v>
      </c>
      <c r="M112" t="s">
        <v>10</v>
      </c>
    </row>
    <row r="113" spans="1:13">
      <c r="A113" t="s">
        <v>559</v>
      </c>
      <c r="B113" s="2">
        <v>45518</v>
      </c>
      <c r="C113">
        <v>2024</v>
      </c>
      <c r="D113">
        <v>8</v>
      </c>
      <c r="E113" t="s">
        <v>101</v>
      </c>
      <c r="F113" t="s">
        <v>54</v>
      </c>
      <c r="G113" t="s">
        <v>94</v>
      </c>
      <c r="H113" t="s">
        <v>33</v>
      </c>
      <c r="I113" t="s">
        <v>473</v>
      </c>
      <c r="J113" t="s">
        <v>429</v>
      </c>
      <c r="K113" t="s">
        <v>21</v>
      </c>
      <c r="L113" t="s">
        <v>9</v>
      </c>
      <c r="M113" t="s">
        <v>10</v>
      </c>
    </row>
    <row r="114" spans="1:13">
      <c r="A114" t="s">
        <v>560</v>
      </c>
      <c r="B114" s="2">
        <v>45512</v>
      </c>
      <c r="C114">
        <v>2024</v>
      </c>
      <c r="D114">
        <v>8</v>
      </c>
      <c r="E114" t="s">
        <v>101</v>
      </c>
      <c r="F114" t="s">
        <v>19</v>
      </c>
      <c r="G114" t="s">
        <v>94</v>
      </c>
      <c r="H114" t="s">
        <v>44</v>
      </c>
      <c r="I114" t="s">
        <v>84</v>
      </c>
      <c r="J114" t="s">
        <v>429</v>
      </c>
      <c r="K114" t="s">
        <v>58</v>
      </c>
      <c r="L114" t="s">
        <v>29</v>
      </c>
      <c r="M114" t="s">
        <v>10</v>
      </c>
    </row>
    <row r="115" spans="1:13">
      <c r="A115" t="s">
        <v>561</v>
      </c>
      <c r="B115" s="2">
        <v>45531</v>
      </c>
      <c r="C115">
        <v>2024</v>
      </c>
      <c r="D115">
        <v>8</v>
      </c>
      <c r="E115" t="s">
        <v>101</v>
      </c>
      <c r="F115" t="s">
        <v>2</v>
      </c>
      <c r="G115" t="s">
        <v>94</v>
      </c>
      <c r="H115" t="s">
        <v>33</v>
      </c>
      <c r="I115" t="s">
        <v>438</v>
      </c>
      <c r="J115" t="s">
        <v>429</v>
      </c>
      <c r="K115" t="s">
        <v>71</v>
      </c>
      <c r="L115" t="s">
        <v>36</v>
      </c>
      <c r="M115" t="s">
        <v>17</v>
      </c>
    </row>
    <row r="116" spans="1:13">
      <c r="A116" t="s">
        <v>562</v>
      </c>
      <c r="B116" s="2">
        <v>45544</v>
      </c>
      <c r="C116">
        <v>2024</v>
      </c>
      <c r="D116">
        <v>9</v>
      </c>
      <c r="E116" t="s">
        <v>105</v>
      </c>
      <c r="F116" t="s">
        <v>47</v>
      </c>
      <c r="G116" t="s">
        <v>61</v>
      </c>
      <c r="H116" t="s">
        <v>33</v>
      </c>
      <c r="I116" t="s">
        <v>454</v>
      </c>
      <c r="J116" t="s">
        <v>433</v>
      </c>
      <c r="K116" t="s">
        <v>107</v>
      </c>
      <c r="L116" t="s">
        <v>36</v>
      </c>
      <c r="M116" t="s">
        <v>10</v>
      </c>
    </row>
    <row r="117" spans="1:13">
      <c r="A117" t="s">
        <v>563</v>
      </c>
      <c r="B117" s="2">
        <v>45560</v>
      </c>
      <c r="C117">
        <v>2024</v>
      </c>
      <c r="D117">
        <v>9</v>
      </c>
      <c r="E117" t="s">
        <v>105</v>
      </c>
      <c r="F117" t="s">
        <v>31</v>
      </c>
      <c r="G117" t="s">
        <v>69</v>
      </c>
      <c r="H117" t="s">
        <v>12</v>
      </c>
      <c r="I117" t="s">
        <v>466</v>
      </c>
      <c r="J117" t="s">
        <v>429</v>
      </c>
      <c r="K117" t="s">
        <v>71</v>
      </c>
      <c r="L117" t="s">
        <v>9</v>
      </c>
      <c r="M117" t="s">
        <v>10</v>
      </c>
    </row>
    <row r="118" spans="1:13">
      <c r="A118" t="s">
        <v>564</v>
      </c>
      <c r="B118" s="2">
        <v>45537</v>
      </c>
      <c r="C118">
        <v>2024</v>
      </c>
      <c r="D118">
        <v>9</v>
      </c>
      <c r="E118" t="s">
        <v>105</v>
      </c>
      <c r="F118" t="s">
        <v>19</v>
      </c>
      <c r="G118" t="s">
        <v>27</v>
      </c>
      <c r="H118" t="s">
        <v>4</v>
      </c>
      <c r="I118" t="s">
        <v>464</v>
      </c>
      <c r="J118" t="s">
        <v>429</v>
      </c>
      <c r="K118" t="s">
        <v>107</v>
      </c>
      <c r="L118" t="s">
        <v>16</v>
      </c>
      <c r="M118" t="s">
        <v>10</v>
      </c>
    </row>
    <row r="119" spans="1:13">
      <c r="A119" t="s">
        <v>565</v>
      </c>
      <c r="B119" s="2">
        <v>45544</v>
      </c>
      <c r="C119">
        <v>2024</v>
      </c>
      <c r="D119">
        <v>9</v>
      </c>
      <c r="E119" t="s">
        <v>105</v>
      </c>
      <c r="F119" t="s">
        <v>67</v>
      </c>
      <c r="G119" t="s">
        <v>94</v>
      </c>
      <c r="H119" t="s">
        <v>12</v>
      </c>
      <c r="I119" t="s">
        <v>460</v>
      </c>
      <c r="J119" t="s">
        <v>433</v>
      </c>
      <c r="K119" t="s">
        <v>84</v>
      </c>
      <c r="L119" t="s">
        <v>29</v>
      </c>
      <c r="M119" t="s">
        <v>23</v>
      </c>
    </row>
    <row r="120" spans="1:13">
      <c r="A120" t="s">
        <v>566</v>
      </c>
      <c r="B120" s="2">
        <v>45545</v>
      </c>
      <c r="C120">
        <v>2024</v>
      </c>
      <c r="D120">
        <v>9</v>
      </c>
      <c r="E120" t="s">
        <v>105</v>
      </c>
      <c r="F120" t="s">
        <v>38</v>
      </c>
      <c r="G120" t="s">
        <v>38</v>
      </c>
      <c r="H120" t="s">
        <v>4</v>
      </c>
      <c r="I120" t="s">
        <v>431</v>
      </c>
      <c r="J120" t="s">
        <v>433</v>
      </c>
      <c r="K120" t="s">
        <v>7</v>
      </c>
      <c r="L120" t="s">
        <v>29</v>
      </c>
      <c r="M120" t="s">
        <v>17</v>
      </c>
    </row>
    <row r="121" spans="1:13">
      <c r="A121" t="s">
        <v>567</v>
      </c>
      <c r="B121" s="2">
        <v>45541</v>
      </c>
      <c r="C121">
        <v>2024</v>
      </c>
      <c r="D121">
        <v>9</v>
      </c>
      <c r="E121" t="s">
        <v>105</v>
      </c>
      <c r="F121" t="s">
        <v>78</v>
      </c>
      <c r="G121" t="s">
        <v>64</v>
      </c>
      <c r="H121" t="s">
        <v>12</v>
      </c>
      <c r="I121" t="s">
        <v>438</v>
      </c>
      <c r="J121" t="s">
        <v>429</v>
      </c>
      <c r="K121" t="s">
        <v>58</v>
      </c>
      <c r="L121" t="s">
        <v>29</v>
      </c>
      <c r="M121" t="s">
        <v>10</v>
      </c>
    </row>
    <row r="122" spans="1:13">
      <c r="A122" t="s">
        <v>568</v>
      </c>
      <c r="B122" s="2">
        <v>45551</v>
      </c>
      <c r="C122">
        <v>2024</v>
      </c>
      <c r="D122">
        <v>9</v>
      </c>
      <c r="E122" t="s">
        <v>105</v>
      </c>
      <c r="F122" t="s">
        <v>26</v>
      </c>
      <c r="G122" t="s">
        <v>3</v>
      </c>
      <c r="H122" t="s">
        <v>33</v>
      </c>
      <c r="I122" t="s">
        <v>431</v>
      </c>
      <c r="J122" t="s">
        <v>429</v>
      </c>
      <c r="K122" t="s">
        <v>56</v>
      </c>
      <c r="L122" t="s">
        <v>16</v>
      </c>
      <c r="M122" t="s">
        <v>10</v>
      </c>
    </row>
    <row r="123" spans="1:13">
      <c r="A123" t="s">
        <v>569</v>
      </c>
      <c r="B123" s="2">
        <v>45539</v>
      </c>
      <c r="C123">
        <v>2024</v>
      </c>
      <c r="D123">
        <v>9</v>
      </c>
      <c r="E123" t="s">
        <v>105</v>
      </c>
      <c r="F123" t="s">
        <v>40</v>
      </c>
      <c r="G123" t="s">
        <v>55</v>
      </c>
      <c r="H123" t="s">
        <v>33</v>
      </c>
      <c r="I123" t="s">
        <v>452</v>
      </c>
      <c r="J123" t="s">
        <v>429</v>
      </c>
      <c r="K123" t="s">
        <v>71</v>
      </c>
      <c r="L123" t="s">
        <v>16</v>
      </c>
      <c r="M123" t="s">
        <v>17</v>
      </c>
    </row>
    <row r="124" spans="1:13">
      <c r="A124" t="s">
        <v>570</v>
      </c>
      <c r="B124" s="2">
        <v>45547</v>
      </c>
      <c r="C124">
        <v>2024</v>
      </c>
      <c r="D124">
        <v>9</v>
      </c>
      <c r="E124" t="s">
        <v>105</v>
      </c>
      <c r="F124" t="s">
        <v>26</v>
      </c>
      <c r="G124" t="s">
        <v>48</v>
      </c>
      <c r="H124" t="s">
        <v>44</v>
      </c>
      <c r="I124" t="s">
        <v>519</v>
      </c>
      <c r="J124" t="s">
        <v>429</v>
      </c>
      <c r="K124" t="s">
        <v>107</v>
      </c>
      <c r="L124" t="s">
        <v>16</v>
      </c>
      <c r="M124" t="s">
        <v>23</v>
      </c>
    </row>
    <row r="125" spans="1:13">
      <c r="A125" t="s">
        <v>571</v>
      </c>
      <c r="B125" s="2">
        <v>45559</v>
      </c>
      <c r="C125">
        <v>2024</v>
      </c>
      <c r="D125">
        <v>9</v>
      </c>
      <c r="E125" t="s">
        <v>105</v>
      </c>
      <c r="F125" t="s">
        <v>40</v>
      </c>
      <c r="G125" t="s">
        <v>38</v>
      </c>
      <c r="H125" t="s">
        <v>44</v>
      </c>
      <c r="I125" t="s">
        <v>444</v>
      </c>
      <c r="J125" t="s">
        <v>429</v>
      </c>
      <c r="K125" t="s">
        <v>41</v>
      </c>
      <c r="L125" t="s">
        <v>29</v>
      </c>
      <c r="M125" t="s">
        <v>10</v>
      </c>
    </row>
    <row r="126" spans="1:13">
      <c r="A126" t="s">
        <v>572</v>
      </c>
      <c r="B126" s="2">
        <v>45560</v>
      </c>
      <c r="C126">
        <v>2024</v>
      </c>
      <c r="D126">
        <v>9</v>
      </c>
      <c r="E126" t="s">
        <v>105</v>
      </c>
      <c r="F126" t="s">
        <v>26</v>
      </c>
      <c r="G126" t="s">
        <v>69</v>
      </c>
      <c r="H126" t="s">
        <v>44</v>
      </c>
      <c r="I126" t="s">
        <v>464</v>
      </c>
      <c r="J126" t="s">
        <v>429</v>
      </c>
      <c r="K126" t="s">
        <v>107</v>
      </c>
      <c r="L126" t="s">
        <v>36</v>
      </c>
      <c r="M126" t="s">
        <v>10</v>
      </c>
    </row>
    <row r="127" spans="1:13">
      <c r="A127" t="s">
        <v>573</v>
      </c>
      <c r="B127" s="2">
        <v>45550</v>
      </c>
      <c r="C127">
        <v>2024</v>
      </c>
      <c r="D127">
        <v>9</v>
      </c>
      <c r="E127" t="s">
        <v>105</v>
      </c>
      <c r="F127" t="s">
        <v>78</v>
      </c>
      <c r="G127" t="s">
        <v>94</v>
      </c>
      <c r="H127" t="s">
        <v>33</v>
      </c>
      <c r="I127" t="s">
        <v>494</v>
      </c>
      <c r="J127" t="s">
        <v>433</v>
      </c>
      <c r="K127" t="s">
        <v>51</v>
      </c>
      <c r="L127" t="s">
        <v>36</v>
      </c>
      <c r="M127" t="s">
        <v>10</v>
      </c>
    </row>
    <row r="128" spans="1:13">
      <c r="A128" t="s">
        <v>574</v>
      </c>
      <c r="B128" s="2">
        <v>45544</v>
      </c>
      <c r="C128">
        <v>2024</v>
      </c>
      <c r="D128">
        <v>9</v>
      </c>
      <c r="E128" t="s">
        <v>105</v>
      </c>
      <c r="F128" t="s">
        <v>38</v>
      </c>
      <c r="G128" t="s">
        <v>61</v>
      </c>
      <c r="H128" t="s">
        <v>44</v>
      </c>
      <c r="I128" t="s">
        <v>454</v>
      </c>
      <c r="J128" t="s">
        <v>429</v>
      </c>
      <c r="K128" t="s">
        <v>41</v>
      </c>
      <c r="L128" t="s">
        <v>29</v>
      </c>
      <c r="M128" t="s">
        <v>10</v>
      </c>
    </row>
    <row r="129" spans="1:13">
      <c r="A129" t="s">
        <v>575</v>
      </c>
      <c r="B129" s="2">
        <v>45544</v>
      </c>
      <c r="C129">
        <v>2024</v>
      </c>
      <c r="D129">
        <v>9</v>
      </c>
      <c r="E129" t="s">
        <v>105</v>
      </c>
      <c r="F129" t="s">
        <v>2</v>
      </c>
      <c r="G129" t="s">
        <v>74</v>
      </c>
      <c r="H129" t="s">
        <v>33</v>
      </c>
      <c r="I129" t="s">
        <v>431</v>
      </c>
      <c r="J129" t="s">
        <v>429</v>
      </c>
      <c r="K129" t="s">
        <v>21</v>
      </c>
      <c r="L129" t="s">
        <v>16</v>
      </c>
      <c r="M129" t="s">
        <v>10</v>
      </c>
    </row>
    <row r="130" spans="1:13">
      <c r="A130" t="s">
        <v>576</v>
      </c>
      <c r="B130" s="2">
        <v>45560</v>
      </c>
      <c r="C130">
        <v>2024</v>
      </c>
      <c r="D130">
        <v>9</v>
      </c>
      <c r="E130" t="s">
        <v>105</v>
      </c>
      <c r="F130" t="s">
        <v>31</v>
      </c>
      <c r="G130" t="s">
        <v>20</v>
      </c>
      <c r="H130" t="s">
        <v>44</v>
      </c>
      <c r="I130" t="s">
        <v>435</v>
      </c>
      <c r="J130" t="s">
        <v>429</v>
      </c>
      <c r="K130" t="s">
        <v>51</v>
      </c>
      <c r="L130" t="s">
        <v>36</v>
      </c>
      <c r="M130" t="s">
        <v>23</v>
      </c>
    </row>
    <row r="131" spans="1:13">
      <c r="A131" t="s">
        <v>577</v>
      </c>
      <c r="B131" s="2">
        <v>45563</v>
      </c>
      <c r="C131">
        <v>2024</v>
      </c>
      <c r="D131">
        <v>9</v>
      </c>
      <c r="E131" t="s">
        <v>105</v>
      </c>
      <c r="F131" t="s">
        <v>40</v>
      </c>
      <c r="G131" t="s">
        <v>38</v>
      </c>
      <c r="H131" t="s">
        <v>4</v>
      </c>
      <c r="I131" t="s">
        <v>466</v>
      </c>
      <c r="J131" t="s">
        <v>429</v>
      </c>
      <c r="K131" t="s">
        <v>58</v>
      </c>
      <c r="L131" t="s">
        <v>16</v>
      </c>
      <c r="M131" t="s">
        <v>10</v>
      </c>
    </row>
    <row r="132" spans="1:13">
      <c r="A132" t="s">
        <v>578</v>
      </c>
      <c r="B132" s="2">
        <v>45544</v>
      </c>
      <c r="C132">
        <v>2024</v>
      </c>
      <c r="D132">
        <v>9</v>
      </c>
      <c r="E132" t="s">
        <v>105</v>
      </c>
      <c r="F132" t="s">
        <v>78</v>
      </c>
      <c r="G132" t="s">
        <v>94</v>
      </c>
      <c r="H132" t="s">
        <v>33</v>
      </c>
      <c r="I132" t="s">
        <v>454</v>
      </c>
      <c r="J132" t="s">
        <v>429</v>
      </c>
      <c r="K132" t="s">
        <v>107</v>
      </c>
      <c r="L132" t="s">
        <v>36</v>
      </c>
      <c r="M132" t="s">
        <v>23</v>
      </c>
    </row>
    <row r="133" spans="1:13">
      <c r="A133" t="s">
        <v>579</v>
      </c>
      <c r="B133" s="2">
        <v>45566</v>
      </c>
      <c r="C133">
        <v>2024</v>
      </c>
      <c r="D133">
        <v>10</v>
      </c>
      <c r="E133" t="s">
        <v>113</v>
      </c>
      <c r="F133" t="s">
        <v>38</v>
      </c>
      <c r="G133" t="s">
        <v>48</v>
      </c>
      <c r="H133" t="s">
        <v>33</v>
      </c>
      <c r="I133" t="s">
        <v>464</v>
      </c>
      <c r="J133" t="s">
        <v>429</v>
      </c>
      <c r="K133" t="s">
        <v>107</v>
      </c>
      <c r="L133" t="s">
        <v>29</v>
      </c>
      <c r="M133" t="s">
        <v>10</v>
      </c>
    </row>
    <row r="134" spans="1:13">
      <c r="A134" t="s">
        <v>580</v>
      </c>
      <c r="B134" s="2">
        <v>45566</v>
      </c>
      <c r="C134">
        <v>2024</v>
      </c>
      <c r="D134">
        <v>10</v>
      </c>
      <c r="E134" t="s">
        <v>113</v>
      </c>
      <c r="F134" t="s">
        <v>40</v>
      </c>
      <c r="G134" t="s">
        <v>27</v>
      </c>
      <c r="H134" t="s">
        <v>12</v>
      </c>
      <c r="I134" t="s">
        <v>494</v>
      </c>
      <c r="J134" t="s">
        <v>429</v>
      </c>
      <c r="K134" t="s">
        <v>71</v>
      </c>
      <c r="L134" t="s">
        <v>29</v>
      </c>
      <c r="M134" t="s">
        <v>23</v>
      </c>
    </row>
    <row r="135" spans="1:13">
      <c r="A135" t="s">
        <v>581</v>
      </c>
      <c r="B135" s="2">
        <v>45576</v>
      </c>
      <c r="C135">
        <v>2024</v>
      </c>
      <c r="D135">
        <v>10</v>
      </c>
      <c r="E135" t="s">
        <v>113</v>
      </c>
      <c r="F135" t="s">
        <v>67</v>
      </c>
      <c r="G135" t="s">
        <v>38</v>
      </c>
      <c r="H135" t="s">
        <v>44</v>
      </c>
      <c r="I135" t="s">
        <v>473</v>
      </c>
      <c r="J135" t="s">
        <v>429</v>
      </c>
      <c r="K135" t="s">
        <v>51</v>
      </c>
      <c r="L135" t="s">
        <v>36</v>
      </c>
      <c r="M135" t="s">
        <v>10</v>
      </c>
    </row>
    <row r="136" spans="1:13">
      <c r="A136" t="s">
        <v>582</v>
      </c>
      <c r="B136" s="2">
        <v>45567</v>
      </c>
      <c r="C136">
        <v>2024</v>
      </c>
      <c r="D136">
        <v>10</v>
      </c>
      <c r="E136" t="s">
        <v>113</v>
      </c>
      <c r="F136" t="s">
        <v>2</v>
      </c>
      <c r="G136" t="s">
        <v>74</v>
      </c>
      <c r="H136" t="s">
        <v>44</v>
      </c>
      <c r="I136" t="s">
        <v>440</v>
      </c>
      <c r="J136" t="s">
        <v>429</v>
      </c>
      <c r="K136" t="s">
        <v>71</v>
      </c>
      <c r="L136" t="s">
        <v>36</v>
      </c>
      <c r="M136" t="s">
        <v>10</v>
      </c>
    </row>
    <row r="137" spans="1:13">
      <c r="A137" t="s">
        <v>583</v>
      </c>
      <c r="B137" s="2">
        <v>45581</v>
      </c>
      <c r="C137">
        <v>2024</v>
      </c>
      <c r="D137">
        <v>10</v>
      </c>
      <c r="E137" t="s">
        <v>113</v>
      </c>
      <c r="F137" t="s">
        <v>31</v>
      </c>
      <c r="G137" t="s">
        <v>32</v>
      </c>
      <c r="H137" t="s">
        <v>44</v>
      </c>
      <c r="I137" t="s">
        <v>452</v>
      </c>
      <c r="J137" t="s">
        <v>429</v>
      </c>
      <c r="K137" t="s">
        <v>56</v>
      </c>
      <c r="L137" t="s">
        <v>16</v>
      </c>
      <c r="M137" t="s">
        <v>10</v>
      </c>
    </row>
    <row r="138" spans="1:13">
      <c r="A138" t="s">
        <v>584</v>
      </c>
      <c r="B138" s="2">
        <v>45571</v>
      </c>
      <c r="C138">
        <v>2024</v>
      </c>
      <c r="D138">
        <v>10</v>
      </c>
      <c r="E138" t="s">
        <v>113</v>
      </c>
      <c r="F138" t="s">
        <v>47</v>
      </c>
      <c r="G138" t="s">
        <v>55</v>
      </c>
      <c r="H138" t="s">
        <v>12</v>
      </c>
      <c r="I138" t="s">
        <v>444</v>
      </c>
      <c r="J138" t="s">
        <v>433</v>
      </c>
      <c r="K138" t="s">
        <v>7</v>
      </c>
      <c r="L138" t="s">
        <v>36</v>
      </c>
      <c r="M138" t="s">
        <v>23</v>
      </c>
    </row>
    <row r="139" spans="1:13">
      <c r="A139" t="s">
        <v>585</v>
      </c>
      <c r="B139" s="2">
        <v>45570</v>
      </c>
      <c r="C139">
        <v>2024</v>
      </c>
      <c r="D139">
        <v>10</v>
      </c>
      <c r="E139" t="s">
        <v>113</v>
      </c>
      <c r="F139" t="s">
        <v>2</v>
      </c>
      <c r="G139" t="s">
        <v>38</v>
      </c>
      <c r="H139" t="s">
        <v>4</v>
      </c>
      <c r="I139" t="s">
        <v>460</v>
      </c>
      <c r="J139" t="s">
        <v>433</v>
      </c>
      <c r="K139" t="s">
        <v>84</v>
      </c>
      <c r="L139" t="s">
        <v>36</v>
      </c>
      <c r="M139" t="s">
        <v>10</v>
      </c>
    </row>
    <row r="140" spans="1:13">
      <c r="A140" t="s">
        <v>586</v>
      </c>
      <c r="B140" s="2">
        <v>45585</v>
      </c>
      <c r="C140">
        <v>2024</v>
      </c>
      <c r="D140">
        <v>10</v>
      </c>
      <c r="E140" t="s">
        <v>113</v>
      </c>
      <c r="F140" t="s">
        <v>40</v>
      </c>
      <c r="G140" t="s">
        <v>20</v>
      </c>
      <c r="H140" t="s">
        <v>12</v>
      </c>
      <c r="I140" t="s">
        <v>452</v>
      </c>
      <c r="J140" t="s">
        <v>429</v>
      </c>
      <c r="K140" t="s">
        <v>84</v>
      </c>
      <c r="L140" t="s">
        <v>9</v>
      </c>
      <c r="M140" t="s">
        <v>10</v>
      </c>
    </row>
    <row r="141" spans="1:13">
      <c r="A141" t="s">
        <v>587</v>
      </c>
      <c r="B141" s="2">
        <v>45570</v>
      </c>
      <c r="C141">
        <v>2024</v>
      </c>
      <c r="D141">
        <v>10</v>
      </c>
      <c r="E141" t="s">
        <v>113</v>
      </c>
      <c r="F141" t="s">
        <v>67</v>
      </c>
      <c r="G141" t="s">
        <v>74</v>
      </c>
      <c r="H141" t="s">
        <v>4</v>
      </c>
      <c r="I141" t="s">
        <v>440</v>
      </c>
      <c r="J141" t="s">
        <v>429</v>
      </c>
      <c r="K141" t="s">
        <v>58</v>
      </c>
      <c r="L141" t="s">
        <v>16</v>
      </c>
      <c r="M141" t="s">
        <v>10</v>
      </c>
    </row>
    <row r="142" spans="1:13">
      <c r="A142" t="s">
        <v>588</v>
      </c>
      <c r="B142" s="2">
        <v>45583</v>
      </c>
      <c r="C142">
        <v>2024</v>
      </c>
      <c r="D142">
        <v>10</v>
      </c>
      <c r="E142" t="s">
        <v>113</v>
      </c>
      <c r="F142" t="s">
        <v>54</v>
      </c>
      <c r="G142" t="s">
        <v>64</v>
      </c>
      <c r="H142" t="s">
        <v>44</v>
      </c>
      <c r="I142" t="s">
        <v>494</v>
      </c>
      <c r="J142" t="s">
        <v>429</v>
      </c>
      <c r="K142" t="s">
        <v>7</v>
      </c>
      <c r="L142" t="s">
        <v>36</v>
      </c>
      <c r="M142" t="s">
        <v>23</v>
      </c>
    </row>
    <row r="143" spans="1:13">
      <c r="A143" t="s">
        <v>589</v>
      </c>
      <c r="B143" s="2">
        <v>45576</v>
      </c>
      <c r="C143">
        <v>2024</v>
      </c>
      <c r="D143">
        <v>10</v>
      </c>
      <c r="E143" t="s">
        <v>113</v>
      </c>
      <c r="F143" t="s">
        <v>2</v>
      </c>
      <c r="G143" t="s">
        <v>74</v>
      </c>
      <c r="H143" t="s">
        <v>33</v>
      </c>
      <c r="I143" t="s">
        <v>444</v>
      </c>
      <c r="J143" t="s">
        <v>433</v>
      </c>
      <c r="K143" t="s">
        <v>71</v>
      </c>
      <c r="L143" t="s">
        <v>9</v>
      </c>
      <c r="M143" t="s">
        <v>10</v>
      </c>
    </row>
    <row r="144" spans="1:13">
      <c r="A144" t="s">
        <v>590</v>
      </c>
      <c r="B144" s="2">
        <v>45587</v>
      </c>
      <c r="C144">
        <v>2024</v>
      </c>
      <c r="D144">
        <v>10</v>
      </c>
      <c r="E144" t="s">
        <v>113</v>
      </c>
      <c r="F144" t="s">
        <v>38</v>
      </c>
      <c r="G144" t="s">
        <v>20</v>
      </c>
      <c r="H144" t="s">
        <v>44</v>
      </c>
      <c r="I144" t="s">
        <v>462</v>
      </c>
      <c r="J144" t="s">
        <v>429</v>
      </c>
      <c r="K144" t="s">
        <v>71</v>
      </c>
      <c r="L144" t="s">
        <v>29</v>
      </c>
      <c r="M144" t="s">
        <v>10</v>
      </c>
    </row>
    <row r="145" spans="1:13">
      <c r="A145" t="s">
        <v>591</v>
      </c>
      <c r="B145" s="2">
        <v>45592</v>
      </c>
      <c r="C145">
        <v>2024</v>
      </c>
      <c r="D145">
        <v>10</v>
      </c>
      <c r="E145" t="s">
        <v>113</v>
      </c>
      <c r="F145" t="s">
        <v>54</v>
      </c>
      <c r="G145" t="s">
        <v>32</v>
      </c>
      <c r="H145" t="s">
        <v>12</v>
      </c>
      <c r="I145" t="s">
        <v>494</v>
      </c>
      <c r="J145" t="s">
        <v>433</v>
      </c>
      <c r="K145" t="s">
        <v>58</v>
      </c>
      <c r="L145" t="s">
        <v>16</v>
      </c>
      <c r="M145" t="s">
        <v>10</v>
      </c>
    </row>
    <row r="146" spans="1:13">
      <c r="A146" t="s">
        <v>592</v>
      </c>
      <c r="B146" s="2">
        <v>45577</v>
      </c>
      <c r="C146">
        <v>2024</v>
      </c>
      <c r="D146">
        <v>10</v>
      </c>
      <c r="E146" t="s">
        <v>113</v>
      </c>
      <c r="F146" t="s">
        <v>67</v>
      </c>
      <c r="G146" t="s">
        <v>20</v>
      </c>
      <c r="H146" t="s">
        <v>44</v>
      </c>
      <c r="I146" t="s">
        <v>440</v>
      </c>
      <c r="J146" t="s">
        <v>429</v>
      </c>
      <c r="K146" t="s">
        <v>14</v>
      </c>
      <c r="L146" t="s">
        <v>29</v>
      </c>
      <c r="M146" t="s">
        <v>10</v>
      </c>
    </row>
    <row r="147" spans="1:13">
      <c r="A147" t="s">
        <v>593</v>
      </c>
      <c r="B147" s="2">
        <v>45572</v>
      </c>
      <c r="C147">
        <v>2024</v>
      </c>
      <c r="D147">
        <v>10</v>
      </c>
      <c r="E147" t="s">
        <v>113</v>
      </c>
      <c r="F147" t="s">
        <v>38</v>
      </c>
      <c r="G147" t="s">
        <v>94</v>
      </c>
      <c r="H147" t="s">
        <v>12</v>
      </c>
      <c r="I147" t="s">
        <v>457</v>
      </c>
      <c r="J147" t="s">
        <v>429</v>
      </c>
      <c r="K147" t="s">
        <v>21</v>
      </c>
      <c r="L147" t="s">
        <v>29</v>
      </c>
      <c r="M147" t="s">
        <v>10</v>
      </c>
    </row>
    <row r="148" spans="1:13">
      <c r="A148" t="s">
        <v>594</v>
      </c>
      <c r="B148" s="2">
        <v>45573</v>
      </c>
      <c r="C148">
        <v>2024</v>
      </c>
      <c r="D148">
        <v>10</v>
      </c>
      <c r="E148" t="s">
        <v>113</v>
      </c>
      <c r="F148" t="s">
        <v>47</v>
      </c>
      <c r="G148" t="s">
        <v>3</v>
      </c>
      <c r="H148" t="s">
        <v>4</v>
      </c>
      <c r="I148" t="s">
        <v>444</v>
      </c>
      <c r="J148" t="s">
        <v>433</v>
      </c>
      <c r="K148" t="s">
        <v>51</v>
      </c>
      <c r="L148" t="s">
        <v>9</v>
      </c>
      <c r="M148" t="s">
        <v>10</v>
      </c>
    </row>
    <row r="149" spans="1:13">
      <c r="A149" t="s">
        <v>595</v>
      </c>
      <c r="B149" s="2">
        <v>45574</v>
      </c>
      <c r="C149">
        <v>2024</v>
      </c>
      <c r="D149">
        <v>10</v>
      </c>
      <c r="E149" t="s">
        <v>113</v>
      </c>
      <c r="F149" t="s">
        <v>2</v>
      </c>
      <c r="G149" t="s">
        <v>20</v>
      </c>
      <c r="H149" t="s">
        <v>4</v>
      </c>
      <c r="I149" t="s">
        <v>519</v>
      </c>
      <c r="J149" t="s">
        <v>429</v>
      </c>
      <c r="K149" t="s">
        <v>56</v>
      </c>
      <c r="L149" t="s">
        <v>36</v>
      </c>
      <c r="M149" t="s">
        <v>10</v>
      </c>
    </row>
    <row r="150" spans="1:13">
      <c r="A150" t="s">
        <v>596</v>
      </c>
      <c r="B150" s="2">
        <v>45571</v>
      </c>
      <c r="C150">
        <v>2024</v>
      </c>
      <c r="D150">
        <v>10</v>
      </c>
      <c r="E150" t="s">
        <v>113</v>
      </c>
      <c r="F150" t="s">
        <v>2</v>
      </c>
      <c r="G150" t="s">
        <v>55</v>
      </c>
      <c r="H150" t="s">
        <v>12</v>
      </c>
      <c r="I150" t="s">
        <v>440</v>
      </c>
      <c r="J150" t="s">
        <v>429</v>
      </c>
      <c r="K150" t="s">
        <v>84</v>
      </c>
      <c r="L150" t="s">
        <v>29</v>
      </c>
      <c r="M150" t="s">
        <v>10</v>
      </c>
    </row>
    <row r="151" spans="1:13">
      <c r="A151" t="s">
        <v>597</v>
      </c>
      <c r="B151" s="2">
        <v>45610</v>
      </c>
      <c r="C151">
        <v>2024</v>
      </c>
      <c r="D151">
        <v>11</v>
      </c>
      <c r="E151" t="s">
        <v>117</v>
      </c>
      <c r="F151" t="s">
        <v>19</v>
      </c>
      <c r="G151" t="s">
        <v>32</v>
      </c>
      <c r="H151" t="s">
        <v>33</v>
      </c>
      <c r="I151" t="s">
        <v>440</v>
      </c>
      <c r="J151" t="s">
        <v>429</v>
      </c>
      <c r="K151" t="s">
        <v>21</v>
      </c>
      <c r="L151" t="s">
        <v>16</v>
      </c>
      <c r="M151" t="s">
        <v>10</v>
      </c>
    </row>
    <row r="152" spans="1:13">
      <c r="A152" t="s">
        <v>598</v>
      </c>
      <c r="B152" s="2">
        <v>45618</v>
      </c>
      <c r="C152">
        <v>2024</v>
      </c>
      <c r="D152">
        <v>11</v>
      </c>
      <c r="E152" t="s">
        <v>117</v>
      </c>
      <c r="F152" t="s">
        <v>47</v>
      </c>
      <c r="G152" t="s">
        <v>55</v>
      </c>
      <c r="H152" t="s">
        <v>44</v>
      </c>
      <c r="I152" t="s">
        <v>444</v>
      </c>
      <c r="J152" t="s">
        <v>429</v>
      </c>
      <c r="K152" t="s">
        <v>71</v>
      </c>
      <c r="L152" t="s">
        <v>36</v>
      </c>
      <c r="M152" t="s">
        <v>17</v>
      </c>
    </row>
    <row r="153" spans="1:13">
      <c r="A153" t="s">
        <v>599</v>
      </c>
      <c r="B153" s="2">
        <v>45598</v>
      </c>
      <c r="C153">
        <v>2024</v>
      </c>
      <c r="D153">
        <v>11</v>
      </c>
      <c r="E153" t="s">
        <v>117</v>
      </c>
      <c r="F153" t="s">
        <v>54</v>
      </c>
      <c r="G153" t="s">
        <v>32</v>
      </c>
      <c r="H153" t="s">
        <v>33</v>
      </c>
      <c r="I153" t="s">
        <v>431</v>
      </c>
      <c r="J153" t="s">
        <v>429</v>
      </c>
      <c r="K153" t="s">
        <v>107</v>
      </c>
      <c r="L153" t="s">
        <v>29</v>
      </c>
      <c r="M153" t="s">
        <v>10</v>
      </c>
    </row>
    <row r="154" spans="1:13">
      <c r="A154" t="s">
        <v>600</v>
      </c>
      <c r="B154" s="2">
        <v>45624</v>
      </c>
      <c r="C154">
        <v>2024</v>
      </c>
      <c r="D154">
        <v>11</v>
      </c>
      <c r="E154" t="s">
        <v>117</v>
      </c>
      <c r="F154" t="s">
        <v>38</v>
      </c>
      <c r="G154" t="s">
        <v>38</v>
      </c>
      <c r="H154" t="s">
        <v>4</v>
      </c>
      <c r="I154" t="s">
        <v>428</v>
      </c>
      <c r="J154" t="s">
        <v>429</v>
      </c>
      <c r="K154" t="s">
        <v>71</v>
      </c>
      <c r="L154" t="s">
        <v>9</v>
      </c>
      <c r="M154" t="s">
        <v>10</v>
      </c>
    </row>
    <row r="155" spans="1:13">
      <c r="A155" t="s">
        <v>601</v>
      </c>
      <c r="B155" s="2">
        <v>45598</v>
      </c>
      <c r="C155">
        <v>2024</v>
      </c>
      <c r="D155">
        <v>11</v>
      </c>
      <c r="E155" t="s">
        <v>117</v>
      </c>
      <c r="F155" t="s">
        <v>31</v>
      </c>
      <c r="G155" t="s">
        <v>20</v>
      </c>
      <c r="H155" t="s">
        <v>44</v>
      </c>
      <c r="I155" t="s">
        <v>462</v>
      </c>
      <c r="J155" t="s">
        <v>429</v>
      </c>
      <c r="K155" t="s">
        <v>51</v>
      </c>
      <c r="L155" t="s">
        <v>36</v>
      </c>
      <c r="M155" t="s">
        <v>10</v>
      </c>
    </row>
    <row r="156" spans="1:13">
      <c r="A156" t="s">
        <v>602</v>
      </c>
      <c r="B156" s="2">
        <v>45610</v>
      </c>
      <c r="C156">
        <v>2024</v>
      </c>
      <c r="D156">
        <v>11</v>
      </c>
      <c r="E156" t="s">
        <v>117</v>
      </c>
      <c r="F156" t="s">
        <v>2</v>
      </c>
      <c r="G156" t="s">
        <v>64</v>
      </c>
      <c r="H156" t="s">
        <v>4</v>
      </c>
      <c r="I156" t="s">
        <v>470</v>
      </c>
      <c r="J156" t="s">
        <v>429</v>
      </c>
      <c r="K156" t="s">
        <v>14</v>
      </c>
      <c r="L156" t="s">
        <v>36</v>
      </c>
      <c r="M156" t="s">
        <v>10</v>
      </c>
    </row>
    <row r="157" spans="1:13">
      <c r="A157" t="s">
        <v>603</v>
      </c>
      <c r="B157" s="2">
        <v>45613</v>
      </c>
      <c r="C157">
        <v>2024</v>
      </c>
      <c r="D157">
        <v>11</v>
      </c>
      <c r="E157" t="s">
        <v>117</v>
      </c>
      <c r="F157" t="s">
        <v>38</v>
      </c>
      <c r="G157" t="s">
        <v>32</v>
      </c>
      <c r="H157" t="s">
        <v>12</v>
      </c>
      <c r="I157" t="s">
        <v>442</v>
      </c>
      <c r="J157" t="s">
        <v>433</v>
      </c>
      <c r="K157" t="s">
        <v>58</v>
      </c>
      <c r="L157" t="s">
        <v>9</v>
      </c>
      <c r="M157" t="s">
        <v>10</v>
      </c>
    </row>
    <row r="158" spans="1:13">
      <c r="A158" t="s">
        <v>604</v>
      </c>
      <c r="B158" s="2">
        <v>45604</v>
      </c>
      <c r="C158">
        <v>2024</v>
      </c>
      <c r="D158">
        <v>11</v>
      </c>
      <c r="E158" t="s">
        <v>117</v>
      </c>
      <c r="F158" t="s">
        <v>26</v>
      </c>
      <c r="G158" t="s">
        <v>38</v>
      </c>
      <c r="H158" t="s">
        <v>44</v>
      </c>
      <c r="I158" t="s">
        <v>452</v>
      </c>
      <c r="J158" t="s">
        <v>429</v>
      </c>
      <c r="K158" t="s">
        <v>7</v>
      </c>
      <c r="L158" t="s">
        <v>36</v>
      </c>
      <c r="M158" t="s">
        <v>10</v>
      </c>
    </row>
    <row r="159" spans="1:13">
      <c r="A159" t="s">
        <v>605</v>
      </c>
      <c r="B159" s="2">
        <v>45597</v>
      </c>
      <c r="C159">
        <v>2024</v>
      </c>
      <c r="D159">
        <v>11</v>
      </c>
      <c r="E159" t="s">
        <v>117</v>
      </c>
      <c r="F159" t="s">
        <v>67</v>
      </c>
      <c r="G159" t="s">
        <v>55</v>
      </c>
      <c r="H159" t="s">
        <v>33</v>
      </c>
      <c r="I159" t="s">
        <v>473</v>
      </c>
      <c r="J159" t="s">
        <v>429</v>
      </c>
      <c r="K159" t="s">
        <v>58</v>
      </c>
      <c r="L159" t="s">
        <v>9</v>
      </c>
      <c r="M159" t="s">
        <v>10</v>
      </c>
    </row>
    <row r="160" spans="1:13">
      <c r="A160" t="s">
        <v>606</v>
      </c>
      <c r="B160" s="2">
        <v>45599</v>
      </c>
      <c r="C160">
        <v>2024</v>
      </c>
      <c r="D160">
        <v>11</v>
      </c>
      <c r="E160" t="s">
        <v>117</v>
      </c>
      <c r="F160" t="s">
        <v>40</v>
      </c>
      <c r="G160" t="s">
        <v>61</v>
      </c>
      <c r="H160" t="s">
        <v>4</v>
      </c>
      <c r="I160" t="s">
        <v>452</v>
      </c>
      <c r="J160" t="s">
        <v>429</v>
      </c>
      <c r="K160" t="s">
        <v>84</v>
      </c>
      <c r="L160" t="s">
        <v>16</v>
      </c>
      <c r="M160" t="s">
        <v>23</v>
      </c>
    </row>
    <row r="161" spans="1:13">
      <c r="A161" t="s">
        <v>607</v>
      </c>
      <c r="B161" s="2">
        <v>45621</v>
      </c>
      <c r="C161">
        <v>2024</v>
      </c>
      <c r="D161">
        <v>11</v>
      </c>
      <c r="E161" t="s">
        <v>117</v>
      </c>
      <c r="F161" t="s">
        <v>26</v>
      </c>
      <c r="G161" t="s">
        <v>38</v>
      </c>
      <c r="H161" t="s">
        <v>33</v>
      </c>
      <c r="I161" t="s">
        <v>444</v>
      </c>
      <c r="J161" t="s">
        <v>433</v>
      </c>
      <c r="K161" t="s">
        <v>51</v>
      </c>
      <c r="L161" t="s">
        <v>29</v>
      </c>
      <c r="M161" t="s">
        <v>10</v>
      </c>
    </row>
    <row r="162" spans="1:13">
      <c r="A162" t="s">
        <v>608</v>
      </c>
      <c r="B162" s="2">
        <v>45604</v>
      </c>
      <c r="C162">
        <v>2024</v>
      </c>
      <c r="D162">
        <v>11</v>
      </c>
      <c r="E162" t="s">
        <v>117</v>
      </c>
      <c r="F162" t="s">
        <v>40</v>
      </c>
      <c r="G162" t="s">
        <v>69</v>
      </c>
      <c r="H162" t="s">
        <v>12</v>
      </c>
      <c r="I162" t="s">
        <v>470</v>
      </c>
      <c r="J162" t="s">
        <v>429</v>
      </c>
      <c r="K162" t="s">
        <v>41</v>
      </c>
      <c r="L162" t="s">
        <v>29</v>
      </c>
      <c r="M162" t="s">
        <v>10</v>
      </c>
    </row>
    <row r="163" spans="1:13">
      <c r="A163" t="s">
        <v>609</v>
      </c>
      <c r="B163" s="2">
        <v>45617</v>
      </c>
      <c r="C163">
        <v>2024</v>
      </c>
      <c r="D163">
        <v>11</v>
      </c>
      <c r="E163" t="s">
        <v>117</v>
      </c>
      <c r="F163" t="s">
        <v>47</v>
      </c>
      <c r="G163" t="s">
        <v>94</v>
      </c>
      <c r="H163" t="s">
        <v>33</v>
      </c>
      <c r="I163" t="s">
        <v>473</v>
      </c>
      <c r="J163" t="s">
        <v>433</v>
      </c>
      <c r="K163" t="s">
        <v>21</v>
      </c>
      <c r="L163" t="s">
        <v>36</v>
      </c>
      <c r="M163" t="s">
        <v>10</v>
      </c>
    </row>
    <row r="164" spans="1:13">
      <c r="A164" t="s">
        <v>610</v>
      </c>
      <c r="B164" s="2">
        <v>45623</v>
      </c>
      <c r="C164">
        <v>2024</v>
      </c>
      <c r="D164">
        <v>11</v>
      </c>
      <c r="E164" t="s">
        <v>117</v>
      </c>
      <c r="F164" t="s">
        <v>54</v>
      </c>
      <c r="G164" t="s">
        <v>27</v>
      </c>
      <c r="H164" t="s">
        <v>44</v>
      </c>
      <c r="I164" t="s">
        <v>519</v>
      </c>
      <c r="J164" t="s">
        <v>429</v>
      </c>
      <c r="K164" t="s">
        <v>107</v>
      </c>
      <c r="L164" t="s">
        <v>36</v>
      </c>
      <c r="M164" t="s">
        <v>10</v>
      </c>
    </row>
    <row r="165" spans="1:13">
      <c r="A165" t="s">
        <v>611</v>
      </c>
      <c r="B165" s="2">
        <v>45651</v>
      </c>
      <c r="C165">
        <v>2024</v>
      </c>
      <c r="D165">
        <v>12</v>
      </c>
      <c r="E165" t="s">
        <v>124</v>
      </c>
      <c r="F165" t="s">
        <v>54</v>
      </c>
      <c r="G165" t="s">
        <v>61</v>
      </c>
      <c r="H165" t="s">
        <v>4</v>
      </c>
      <c r="I165" t="s">
        <v>428</v>
      </c>
      <c r="J165" t="s">
        <v>433</v>
      </c>
      <c r="K165" t="s">
        <v>7</v>
      </c>
      <c r="L165" t="s">
        <v>16</v>
      </c>
      <c r="M165" t="s">
        <v>17</v>
      </c>
    </row>
    <row r="166" spans="1:13">
      <c r="A166" t="s">
        <v>612</v>
      </c>
      <c r="B166" s="2">
        <v>45638</v>
      </c>
      <c r="C166">
        <v>2024</v>
      </c>
      <c r="D166">
        <v>12</v>
      </c>
      <c r="E166" t="s">
        <v>124</v>
      </c>
      <c r="F166" t="s">
        <v>40</v>
      </c>
      <c r="G166" t="s">
        <v>69</v>
      </c>
      <c r="H166" t="s">
        <v>4</v>
      </c>
      <c r="I166" t="s">
        <v>454</v>
      </c>
      <c r="J166" t="s">
        <v>429</v>
      </c>
      <c r="K166" t="s">
        <v>58</v>
      </c>
      <c r="L166" t="s">
        <v>9</v>
      </c>
      <c r="M166" t="s">
        <v>10</v>
      </c>
    </row>
    <row r="167" spans="1:13">
      <c r="A167" t="s">
        <v>613</v>
      </c>
      <c r="B167" s="2">
        <v>45628</v>
      </c>
      <c r="C167">
        <v>2024</v>
      </c>
      <c r="D167">
        <v>12</v>
      </c>
      <c r="E167" t="s">
        <v>124</v>
      </c>
      <c r="F167" t="s">
        <v>78</v>
      </c>
      <c r="G167" t="s">
        <v>94</v>
      </c>
      <c r="H167" t="s">
        <v>12</v>
      </c>
      <c r="I167" t="s">
        <v>84</v>
      </c>
      <c r="J167" t="s">
        <v>429</v>
      </c>
      <c r="K167" t="s">
        <v>41</v>
      </c>
      <c r="L167" t="s">
        <v>36</v>
      </c>
      <c r="M167" t="s">
        <v>23</v>
      </c>
    </row>
    <row r="168" spans="1:13">
      <c r="A168" t="s">
        <v>614</v>
      </c>
      <c r="B168" s="2">
        <v>45642</v>
      </c>
      <c r="C168">
        <v>2024</v>
      </c>
      <c r="D168">
        <v>12</v>
      </c>
      <c r="E168" t="s">
        <v>124</v>
      </c>
      <c r="F168" t="s">
        <v>54</v>
      </c>
      <c r="G168" t="s">
        <v>48</v>
      </c>
      <c r="H168" t="s">
        <v>12</v>
      </c>
      <c r="I168" t="s">
        <v>431</v>
      </c>
      <c r="J168" t="s">
        <v>433</v>
      </c>
      <c r="K168" t="s">
        <v>51</v>
      </c>
      <c r="L168" t="s">
        <v>9</v>
      </c>
      <c r="M168" t="s">
        <v>23</v>
      </c>
    </row>
    <row r="169" spans="1:13">
      <c r="A169" t="s">
        <v>615</v>
      </c>
      <c r="B169" s="2">
        <v>45636</v>
      </c>
      <c r="C169">
        <v>2024</v>
      </c>
      <c r="D169">
        <v>12</v>
      </c>
      <c r="E169" t="s">
        <v>124</v>
      </c>
      <c r="F169" t="s">
        <v>31</v>
      </c>
      <c r="G169" t="s">
        <v>64</v>
      </c>
      <c r="H169" t="s">
        <v>44</v>
      </c>
      <c r="I169" t="s">
        <v>446</v>
      </c>
      <c r="J169" t="s">
        <v>433</v>
      </c>
      <c r="K169" t="s">
        <v>51</v>
      </c>
      <c r="L169" t="s">
        <v>9</v>
      </c>
      <c r="M169" t="s">
        <v>10</v>
      </c>
    </row>
    <row r="170" spans="1:13">
      <c r="A170" t="s">
        <v>616</v>
      </c>
      <c r="B170" s="2">
        <v>45645</v>
      </c>
      <c r="C170">
        <v>2024</v>
      </c>
      <c r="D170">
        <v>12</v>
      </c>
      <c r="E170" t="s">
        <v>124</v>
      </c>
      <c r="F170" t="s">
        <v>54</v>
      </c>
      <c r="G170" t="s">
        <v>32</v>
      </c>
      <c r="H170" t="s">
        <v>12</v>
      </c>
      <c r="I170" t="s">
        <v>470</v>
      </c>
      <c r="J170" t="s">
        <v>429</v>
      </c>
      <c r="K170" t="s">
        <v>21</v>
      </c>
      <c r="L170" t="s">
        <v>29</v>
      </c>
      <c r="M170" t="s">
        <v>10</v>
      </c>
    </row>
    <row r="171" spans="1:13">
      <c r="A171" t="s">
        <v>617</v>
      </c>
      <c r="B171" s="2">
        <v>45640</v>
      </c>
      <c r="C171">
        <v>2024</v>
      </c>
      <c r="D171">
        <v>12</v>
      </c>
      <c r="E171" t="s">
        <v>124</v>
      </c>
      <c r="F171" t="s">
        <v>2</v>
      </c>
      <c r="G171" t="s">
        <v>38</v>
      </c>
      <c r="H171" t="s">
        <v>44</v>
      </c>
      <c r="I171" t="s">
        <v>84</v>
      </c>
      <c r="J171" t="s">
        <v>429</v>
      </c>
      <c r="K171" t="s">
        <v>7</v>
      </c>
      <c r="L171" t="s">
        <v>16</v>
      </c>
      <c r="M171" t="s">
        <v>10</v>
      </c>
    </row>
    <row r="172" spans="1:13">
      <c r="A172" t="s">
        <v>618</v>
      </c>
      <c r="B172" s="2">
        <v>45640</v>
      </c>
      <c r="C172">
        <v>2024</v>
      </c>
      <c r="D172">
        <v>12</v>
      </c>
      <c r="E172" t="s">
        <v>124</v>
      </c>
      <c r="F172" t="s">
        <v>54</v>
      </c>
      <c r="G172" t="s">
        <v>74</v>
      </c>
      <c r="H172" t="s">
        <v>4</v>
      </c>
      <c r="I172" t="s">
        <v>444</v>
      </c>
      <c r="J172" t="s">
        <v>429</v>
      </c>
      <c r="K172" t="s">
        <v>51</v>
      </c>
      <c r="L172" t="s">
        <v>29</v>
      </c>
      <c r="M172" t="s">
        <v>10</v>
      </c>
    </row>
    <row r="173" spans="1:13">
      <c r="A173" t="s">
        <v>619</v>
      </c>
      <c r="B173" s="2">
        <v>45645</v>
      </c>
      <c r="C173">
        <v>2024</v>
      </c>
      <c r="D173">
        <v>12</v>
      </c>
      <c r="E173" t="s">
        <v>124</v>
      </c>
      <c r="F173" t="s">
        <v>67</v>
      </c>
      <c r="G173" t="s">
        <v>74</v>
      </c>
      <c r="H173" t="s">
        <v>12</v>
      </c>
      <c r="I173" t="s">
        <v>454</v>
      </c>
      <c r="J173" t="s">
        <v>429</v>
      </c>
      <c r="K173" t="s">
        <v>14</v>
      </c>
      <c r="L173" t="s">
        <v>16</v>
      </c>
      <c r="M173" t="s">
        <v>10</v>
      </c>
    </row>
    <row r="174" spans="1:13">
      <c r="A174" t="s">
        <v>620</v>
      </c>
      <c r="B174" s="2">
        <v>45636</v>
      </c>
      <c r="C174">
        <v>2024</v>
      </c>
      <c r="D174">
        <v>12</v>
      </c>
      <c r="E174" t="s">
        <v>124</v>
      </c>
      <c r="F174" t="s">
        <v>40</v>
      </c>
      <c r="G174" t="s">
        <v>64</v>
      </c>
      <c r="H174" t="s">
        <v>4</v>
      </c>
      <c r="I174" t="s">
        <v>438</v>
      </c>
      <c r="J174" t="s">
        <v>429</v>
      </c>
      <c r="K174" t="s">
        <v>51</v>
      </c>
      <c r="L174" t="s">
        <v>9</v>
      </c>
      <c r="M174" t="s">
        <v>10</v>
      </c>
    </row>
    <row r="175" spans="1:13">
      <c r="A175" t="s">
        <v>621</v>
      </c>
      <c r="B175" s="2">
        <v>45639</v>
      </c>
      <c r="C175">
        <v>2024</v>
      </c>
      <c r="D175">
        <v>12</v>
      </c>
      <c r="E175" t="s">
        <v>124</v>
      </c>
      <c r="F175" t="s">
        <v>26</v>
      </c>
      <c r="G175" t="s">
        <v>94</v>
      </c>
      <c r="H175" t="s">
        <v>44</v>
      </c>
      <c r="I175" t="s">
        <v>438</v>
      </c>
      <c r="J175" t="s">
        <v>429</v>
      </c>
      <c r="K175" t="s">
        <v>21</v>
      </c>
      <c r="L175" t="s">
        <v>29</v>
      </c>
      <c r="M175" t="s">
        <v>10</v>
      </c>
    </row>
    <row r="176" spans="1:13">
      <c r="A176" t="s">
        <v>622</v>
      </c>
      <c r="B176" s="2">
        <v>45649</v>
      </c>
      <c r="C176">
        <v>2024</v>
      </c>
      <c r="D176">
        <v>12</v>
      </c>
      <c r="E176" t="s">
        <v>124</v>
      </c>
      <c r="F176" t="s">
        <v>67</v>
      </c>
      <c r="G176" t="s">
        <v>48</v>
      </c>
      <c r="H176" t="s">
        <v>12</v>
      </c>
      <c r="I176" t="s">
        <v>464</v>
      </c>
      <c r="J176" t="s">
        <v>429</v>
      </c>
      <c r="K176" t="s">
        <v>84</v>
      </c>
      <c r="L176" t="s">
        <v>29</v>
      </c>
      <c r="M176" t="s">
        <v>10</v>
      </c>
    </row>
    <row r="177" spans="1:13">
      <c r="A177" t="s">
        <v>623</v>
      </c>
      <c r="B177" s="2">
        <v>45632</v>
      </c>
      <c r="C177">
        <v>2024</v>
      </c>
      <c r="D177">
        <v>12</v>
      </c>
      <c r="E177" t="s">
        <v>124</v>
      </c>
      <c r="F177" t="s">
        <v>38</v>
      </c>
      <c r="G177" t="s">
        <v>69</v>
      </c>
      <c r="H177" t="s">
        <v>12</v>
      </c>
      <c r="I177" t="s">
        <v>466</v>
      </c>
      <c r="J177" t="s">
        <v>429</v>
      </c>
      <c r="K177" t="s">
        <v>107</v>
      </c>
      <c r="L177" t="s">
        <v>16</v>
      </c>
      <c r="M177" t="s">
        <v>10</v>
      </c>
    </row>
    <row r="178" spans="1:13">
      <c r="A178" t="s">
        <v>624</v>
      </c>
      <c r="B178" s="2">
        <v>45646</v>
      </c>
      <c r="C178">
        <v>2024</v>
      </c>
      <c r="D178">
        <v>12</v>
      </c>
      <c r="E178" t="s">
        <v>124</v>
      </c>
      <c r="F178" t="s">
        <v>67</v>
      </c>
      <c r="G178" t="s">
        <v>48</v>
      </c>
      <c r="H178" t="s">
        <v>4</v>
      </c>
      <c r="I178" t="s">
        <v>470</v>
      </c>
      <c r="J178" t="s">
        <v>433</v>
      </c>
      <c r="K178" t="s">
        <v>14</v>
      </c>
      <c r="L178" t="s">
        <v>36</v>
      </c>
      <c r="M178" t="s">
        <v>10</v>
      </c>
    </row>
    <row r="179" spans="1:13">
      <c r="A179" t="s">
        <v>625</v>
      </c>
      <c r="B179" s="2">
        <v>45634</v>
      </c>
      <c r="C179">
        <v>2024</v>
      </c>
      <c r="D179">
        <v>12</v>
      </c>
      <c r="E179" t="s">
        <v>124</v>
      </c>
      <c r="F179" t="s">
        <v>2</v>
      </c>
      <c r="G179" t="s">
        <v>69</v>
      </c>
      <c r="H179" t="s">
        <v>4</v>
      </c>
      <c r="I179" t="s">
        <v>473</v>
      </c>
      <c r="J179" t="s">
        <v>429</v>
      </c>
      <c r="K179" t="s">
        <v>51</v>
      </c>
      <c r="L179" t="s">
        <v>36</v>
      </c>
      <c r="M179" t="s">
        <v>10</v>
      </c>
    </row>
    <row r="180" spans="1:13">
      <c r="A180" t="s">
        <v>626</v>
      </c>
      <c r="B180" s="2">
        <v>45630</v>
      </c>
      <c r="C180">
        <v>2024</v>
      </c>
      <c r="D180">
        <v>12</v>
      </c>
      <c r="E180" t="s">
        <v>124</v>
      </c>
      <c r="F180" t="s">
        <v>47</v>
      </c>
      <c r="G180" t="s">
        <v>64</v>
      </c>
      <c r="H180" t="s">
        <v>12</v>
      </c>
      <c r="I180" t="s">
        <v>460</v>
      </c>
      <c r="J180" t="s">
        <v>429</v>
      </c>
      <c r="K180" t="s">
        <v>84</v>
      </c>
      <c r="L180" t="s">
        <v>9</v>
      </c>
      <c r="M180" t="s">
        <v>10</v>
      </c>
    </row>
    <row r="181" spans="1:13">
      <c r="A181" t="s">
        <v>627</v>
      </c>
      <c r="B181" s="2">
        <v>45645</v>
      </c>
      <c r="C181">
        <v>2024</v>
      </c>
      <c r="D181">
        <v>12</v>
      </c>
      <c r="E181" t="s">
        <v>124</v>
      </c>
      <c r="F181" t="s">
        <v>38</v>
      </c>
      <c r="G181" t="s">
        <v>69</v>
      </c>
      <c r="H181" t="s">
        <v>44</v>
      </c>
      <c r="I181" t="s">
        <v>466</v>
      </c>
      <c r="J181" t="s">
        <v>433</v>
      </c>
      <c r="K181" t="s">
        <v>41</v>
      </c>
      <c r="L181" t="s">
        <v>29</v>
      </c>
      <c r="M181" t="s">
        <v>23</v>
      </c>
    </row>
    <row r="182" spans="1:13">
      <c r="A182" t="s">
        <v>628</v>
      </c>
      <c r="B182" s="2">
        <v>45638</v>
      </c>
      <c r="C182">
        <v>2024</v>
      </c>
      <c r="D182">
        <v>12</v>
      </c>
      <c r="E182" t="s">
        <v>124</v>
      </c>
      <c r="F182" t="s">
        <v>67</v>
      </c>
      <c r="G182" t="s">
        <v>94</v>
      </c>
      <c r="H182" t="s">
        <v>44</v>
      </c>
      <c r="I182" t="s">
        <v>440</v>
      </c>
      <c r="J182" t="s">
        <v>429</v>
      </c>
      <c r="K182" t="s">
        <v>21</v>
      </c>
      <c r="L182" t="s">
        <v>36</v>
      </c>
      <c r="M182" t="s">
        <v>10</v>
      </c>
    </row>
    <row r="183" spans="1:13">
      <c r="A183" t="s">
        <v>629</v>
      </c>
      <c r="B183" s="2">
        <v>45629</v>
      </c>
      <c r="C183">
        <v>2024</v>
      </c>
      <c r="D183">
        <v>12</v>
      </c>
      <c r="E183" t="s">
        <v>124</v>
      </c>
      <c r="F183" t="s">
        <v>2</v>
      </c>
      <c r="G183" t="s">
        <v>69</v>
      </c>
      <c r="H183" t="s">
        <v>44</v>
      </c>
      <c r="I183" t="s">
        <v>431</v>
      </c>
      <c r="J183" t="s">
        <v>429</v>
      </c>
      <c r="K183" t="s">
        <v>71</v>
      </c>
      <c r="L183" t="s">
        <v>16</v>
      </c>
      <c r="M183" t="s">
        <v>10</v>
      </c>
    </row>
    <row r="184" spans="1:13">
      <c r="A184" t="s">
        <v>630</v>
      </c>
      <c r="B184" s="2">
        <v>45631</v>
      </c>
      <c r="C184">
        <v>2024</v>
      </c>
      <c r="D184">
        <v>12</v>
      </c>
      <c r="E184" t="s">
        <v>124</v>
      </c>
      <c r="F184" t="s">
        <v>78</v>
      </c>
      <c r="G184" t="s">
        <v>55</v>
      </c>
      <c r="H184" t="s">
        <v>4</v>
      </c>
      <c r="I184" t="s">
        <v>473</v>
      </c>
      <c r="J184" t="s">
        <v>429</v>
      </c>
      <c r="K184" t="s">
        <v>51</v>
      </c>
      <c r="L184" t="s">
        <v>9</v>
      </c>
      <c r="M184" t="s">
        <v>10</v>
      </c>
    </row>
    <row r="185" spans="1:13">
      <c r="A185" t="s">
        <v>631</v>
      </c>
      <c r="B185" s="2">
        <v>45641</v>
      </c>
      <c r="C185">
        <v>2024</v>
      </c>
      <c r="D185">
        <v>12</v>
      </c>
      <c r="E185" t="s">
        <v>124</v>
      </c>
      <c r="F185" t="s">
        <v>54</v>
      </c>
      <c r="G185" t="s">
        <v>3</v>
      </c>
      <c r="H185" t="s">
        <v>44</v>
      </c>
      <c r="I185" t="s">
        <v>460</v>
      </c>
      <c r="J185" t="s">
        <v>429</v>
      </c>
      <c r="K185" t="s">
        <v>14</v>
      </c>
      <c r="L185" t="s">
        <v>9</v>
      </c>
      <c r="M185" t="s">
        <v>10</v>
      </c>
    </row>
    <row r="186" spans="1:13">
      <c r="A186" t="s">
        <v>632</v>
      </c>
      <c r="B186" s="2">
        <v>45645</v>
      </c>
      <c r="C186">
        <v>2024</v>
      </c>
      <c r="D186">
        <v>12</v>
      </c>
      <c r="E186" t="s">
        <v>124</v>
      </c>
      <c r="F186" t="s">
        <v>38</v>
      </c>
      <c r="G186" t="s">
        <v>61</v>
      </c>
      <c r="H186" t="s">
        <v>33</v>
      </c>
      <c r="I186" t="s">
        <v>462</v>
      </c>
      <c r="J186" t="s">
        <v>433</v>
      </c>
      <c r="K186" t="s">
        <v>84</v>
      </c>
      <c r="L186" t="s">
        <v>9</v>
      </c>
      <c r="M186" t="s">
        <v>10</v>
      </c>
    </row>
    <row r="187" spans="1:13">
      <c r="A187" t="s">
        <v>633</v>
      </c>
      <c r="B187" s="2">
        <v>45632</v>
      </c>
      <c r="C187">
        <v>2024</v>
      </c>
      <c r="D187">
        <v>12</v>
      </c>
      <c r="E187" t="s">
        <v>124</v>
      </c>
      <c r="F187" t="s">
        <v>38</v>
      </c>
      <c r="G187" t="s">
        <v>55</v>
      </c>
      <c r="H187" t="s">
        <v>4</v>
      </c>
      <c r="I187" t="s">
        <v>464</v>
      </c>
      <c r="J187" t="s">
        <v>429</v>
      </c>
      <c r="K187" t="s">
        <v>51</v>
      </c>
      <c r="L187" t="s">
        <v>16</v>
      </c>
      <c r="M187" t="s">
        <v>17</v>
      </c>
    </row>
    <row r="188" spans="1:13">
      <c r="A188" t="s">
        <v>634</v>
      </c>
      <c r="B188" s="2">
        <v>45628</v>
      </c>
      <c r="C188">
        <v>2024</v>
      </c>
      <c r="D188">
        <v>12</v>
      </c>
      <c r="E188" t="s">
        <v>124</v>
      </c>
      <c r="F188" t="s">
        <v>67</v>
      </c>
      <c r="G188" t="s">
        <v>69</v>
      </c>
      <c r="H188" t="s">
        <v>33</v>
      </c>
      <c r="I188" t="s">
        <v>454</v>
      </c>
      <c r="J188" t="s">
        <v>433</v>
      </c>
      <c r="K188" t="s">
        <v>7</v>
      </c>
      <c r="L188" t="s">
        <v>29</v>
      </c>
      <c r="M188" t="s">
        <v>23</v>
      </c>
    </row>
    <row r="189" spans="1:13">
      <c r="A189" t="s">
        <v>635</v>
      </c>
      <c r="B189" s="2">
        <v>45639</v>
      </c>
      <c r="C189">
        <v>2024</v>
      </c>
      <c r="D189">
        <v>12</v>
      </c>
      <c r="E189" t="s">
        <v>124</v>
      </c>
      <c r="F189" t="s">
        <v>31</v>
      </c>
      <c r="G189" t="s">
        <v>27</v>
      </c>
      <c r="H189" t="s">
        <v>33</v>
      </c>
      <c r="I189" t="s">
        <v>494</v>
      </c>
      <c r="J189" t="s">
        <v>429</v>
      </c>
      <c r="K189" t="s">
        <v>56</v>
      </c>
      <c r="L189" t="s">
        <v>16</v>
      </c>
      <c r="M189" t="s">
        <v>10</v>
      </c>
    </row>
    <row r="190" spans="1:13">
      <c r="A190" t="s">
        <v>636</v>
      </c>
      <c r="B190" s="2">
        <v>45668</v>
      </c>
      <c r="C190">
        <v>2025</v>
      </c>
      <c r="D190">
        <v>1</v>
      </c>
      <c r="E190" t="s">
        <v>1</v>
      </c>
      <c r="F190" t="s">
        <v>67</v>
      </c>
      <c r="G190" t="s">
        <v>48</v>
      </c>
      <c r="H190" t="s">
        <v>4</v>
      </c>
      <c r="I190" t="s">
        <v>428</v>
      </c>
      <c r="J190" t="s">
        <v>429</v>
      </c>
      <c r="K190" t="s">
        <v>21</v>
      </c>
      <c r="L190" t="s">
        <v>9</v>
      </c>
      <c r="M190" t="s">
        <v>10</v>
      </c>
    </row>
    <row r="191" spans="1:13">
      <c r="A191" t="s">
        <v>637</v>
      </c>
      <c r="B191" s="2">
        <v>45665</v>
      </c>
      <c r="C191">
        <v>2025</v>
      </c>
      <c r="D191">
        <v>1</v>
      </c>
      <c r="E191" t="s">
        <v>1</v>
      </c>
      <c r="F191" t="s">
        <v>47</v>
      </c>
      <c r="G191" t="s">
        <v>3</v>
      </c>
      <c r="H191" t="s">
        <v>44</v>
      </c>
      <c r="I191" t="s">
        <v>84</v>
      </c>
      <c r="J191" t="s">
        <v>429</v>
      </c>
      <c r="K191" t="s">
        <v>7</v>
      </c>
      <c r="L191" t="s">
        <v>29</v>
      </c>
      <c r="M191" t="s">
        <v>10</v>
      </c>
    </row>
    <row r="192" spans="1:13">
      <c r="A192" t="s">
        <v>638</v>
      </c>
      <c r="B192" s="2">
        <v>45666</v>
      </c>
      <c r="C192">
        <v>2025</v>
      </c>
      <c r="D192">
        <v>1</v>
      </c>
      <c r="E192" t="s">
        <v>1</v>
      </c>
      <c r="F192" t="s">
        <v>26</v>
      </c>
      <c r="G192" t="s">
        <v>69</v>
      </c>
      <c r="H192" t="s">
        <v>44</v>
      </c>
      <c r="I192" t="s">
        <v>440</v>
      </c>
      <c r="J192" t="s">
        <v>429</v>
      </c>
      <c r="K192" t="s">
        <v>7</v>
      </c>
      <c r="L192" t="s">
        <v>16</v>
      </c>
      <c r="M192" t="s">
        <v>17</v>
      </c>
    </row>
    <row r="193" spans="1:13">
      <c r="A193" t="s">
        <v>639</v>
      </c>
      <c r="B193" s="2">
        <v>45685</v>
      </c>
      <c r="C193">
        <v>2025</v>
      </c>
      <c r="D193">
        <v>1</v>
      </c>
      <c r="E193" t="s">
        <v>1</v>
      </c>
      <c r="F193" t="s">
        <v>38</v>
      </c>
      <c r="G193" t="s">
        <v>32</v>
      </c>
      <c r="H193" t="s">
        <v>4</v>
      </c>
      <c r="I193" t="s">
        <v>466</v>
      </c>
      <c r="J193" t="s">
        <v>429</v>
      </c>
      <c r="K193" t="s">
        <v>41</v>
      </c>
      <c r="L193" t="s">
        <v>16</v>
      </c>
      <c r="M193" t="s">
        <v>10</v>
      </c>
    </row>
    <row r="194" spans="1:13">
      <c r="A194" t="s">
        <v>640</v>
      </c>
      <c r="B194" s="2">
        <v>45677</v>
      </c>
      <c r="C194">
        <v>2025</v>
      </c>
      <c r="D194">
        <v>1</v>
      </c>
      <c r="E194" t="s">
        <v>1</v>
      </c>
      <c r="F194" t="s">
        <v>19</v>
      </c>
      <c r="G194" t="s">
        <v>27</v>
      </c>
      <c r="H194" t="s">
        <v>33</v>
      </c>
      <c r="I194" t="s">
        <v>473</v>
      </c>
      <c r="J194" t="s">
        <v>429</v>
      </c>
      <c r="K194" t="s">
        <v>58</v>
      </c>
      <c r="L194" t="s">
        <v>9</v>
      </c>
      <c r="M194" t="s">
        <v>23</v>
      </c>
    </row>
    <row r="195" spans="1:13">
      <c r="A195" t="s">
        <v>641</v>
      </c>
      <c r="B195" s="2">
        <v>45673</v>
      </c>
      <c r="C195">
        <v>2025</v>
      </c>
      <c r="D195">
        <v>1</v>
      </c>
      <c r="E195" t="s">
        <v>1</v>
      </c>
      <c r="F195" t="s">
        <v>19</v>
      </c>
      <c r="G195" t="s">
        <v>3</v>
      </c>
      <c r="H195" t="s">
        <v>44</v>
      </c>
      <c r="I195" t="s">
        <v>519</v>
      </c>
      <c r="J195" t="s">
        <v>429</v>
      </c>
      <c r="K195" t="s">
        <v>7</v>
      </c>
      <c r="L195" t="s">
        <v>36</v>
      </c>
      <c r="M195" t="s">
        <v>10</v>
      </c>
    </row>
    <row r="196" spans="1:13">
      <c r="A196" t="s">
        <v>642</v>
      </c>
      <c r="B196" s="2">
        <v>45678</v>
      </c>
      <c r="C196">
        <v>2025</v>
      </c>
      <c r="D196">
        <v>1</v>
      </c>
      <c r="E196" t="s">
        <v>1</v>
      </c>
      <c r="F196" t="s">
        <v>19</v>
      </c>
      <c r="G196" t="s">
        <v>69</v>
      </c>
      <c r="H196" t="s">
        <v>44</v>
      </c>
      <c r="I196" t="s">
        <v>519</v>
      </c>
      <c r="J196" t="s">
        <v>429</v>
      </c>
      <c r="K196" t="s">
        <v>14</v>
      </c>
      <c r="L196" t="s">
        <v>36</v>
      </c>
      <c r="M196" t="s">
        <v>10</v>
      </c>
    </row>
    <row r="197" spans="1:13">
      <c r="A197" t="s">
        <v>643</v>
      </c>
      <c r="B197" s="2">
        <v>45666</v>
      </c>
      <c r="C197">
        <v>2025</v>
      </c>
      <c r="D197">
        <v>1</v>
      </c>
      <c r="E197" t="s">
        <v>1</v>
      </c>
      <c r="F197" t="s">
        <v>31</v>
      </c>
      <c r="G197" t="s">
        <v>74</v>
      </c>
      <c r="H197" t="s">
        <v>33</v>
      </c>
      <c r="I197" t="s">
        <v>84</v>
      </c>
      <c r="J197" t="s">
        <v>429</v>
      </c>
      <c r="K197" t="s">
        <v>107</v>
      </c>
      <c r="L197" t="s">
        <v>36</v>
      </c>
      <c r="M197" t="s">
        <v>10</v>
      </c>
    </row>
    <row r="198" spans="1:13">
      <c r="A198" t="s">
        <v>644</v>
      </c>
      <c r="B198" s="2">
        <v>45671</v>
      </c>
      <c r="C198">
        <v>2025</v>
      </c>
      <c r="D198">
        <v>1</v>
      </c>
      <c r="E198" t="s">
        <v>1</v>
      </c>
      <c r="F198" t="s">
        <v>47</v>
      </c>
      <c r="G198" t="s">
        <v>64</v>
      </c>
      <c r="H198" t="s">
        <v>12</v>
      </c>
      <c r="I198" t="s">
        <v>446</v>
      </c>
      <c r="J198" t="s">
        <v>429</v>
      </c>
      <c r="K198" t="s">
        <v>84</v>
      </c>
      <c r="L198" t="s">
        <v>9</v>
      </c>
      <c r="M198" t="s">
        <v>10</v>
      </c>
    </row>
    <row r="199" spans="1:13">
      <c r="A199" t="s">
        <v>645</v>
      </c>
      <c r="B199" s="2">
        <v>45668</v>
      </c>
      <c r="C199">
        <v>2025</v>
      </c>
      <c r="D199">
        <v>1</v>
      </c>
      <c r="E199" t="s">
        <v>1</v>
      </c>
      <c r="F199" t="s">
        <v>26</v>
      </c>
      <c r="G199" t="s">
        <v>64</v>
      </c>
      <c r="H199" t="s">
        <v>44</v>
      </c>
      <c r="I199" t="s">
        <v>460</v>
      </c>
      <c r="J199" t="s">
        <v>429</v>
      </c>
      <c r="K199" t="s">
        <v>41</v>
      </c>
      <c r="L199" t="s">
        <v>16</v>
      </c>
      <c r="M199" t="s">
        <v>17</v>
      </c>
    </row>
    <row r="200" spans="1:13">
      <c r="A200" t="s">
        <v>646</v>
      </c>
      <c r="B200" s="2">
        <v>45667</v>
      </c>
      <c r="C200">
        <v>2025</v>
      </c>
      <c r="D200">
        <v>1</v>
      </c>
      <c r="E200" t="s">
        <v>1</v>
      </c>
      <c r="F200" t="s">
        <v>40</v>
      </c>
      <c r="G200" t="s">
        <v>64</v>
      </c>
      <c r="H200" t="s">
        <v>44</v>
      </c>
      <c r="I200" t="s">
        <v>494</v>
      </c>
      <c r="J200" t="s">
        <v>433</v>
      </c>
      <c r="K200" t="s">
        <v>41</v>
      </c>
      <c r="L200" t="s">
        <v>36</v>
      </c>
      <c r="M200" t="s">
        <v>10</v>
      </c>
    </row>
    <row r="201" spans="1:13">
      <c r="A201" t="s">
        <v>647</v>
      </c>
      <c r="B201" s="2">
        <v>45679</v>
      </c>
      <c r="C201">
        <v>2025</v>
      </c>
      <c r="D201">
        <v>1</v>
      </c>
      <c r="E201" t="s">
        <v>1</v>
      </c>
      <c r="F201" t="s">
        <v>2</v>
      </c>
      <c r="G201" t="s">
        <v>61</v>
      </c>
      <c r="H201" t="s">
        <v>44</v>
      </c>
      <c r="I201" t="s">
        <v>440</v>
      </c>
      <c r="J201" t="s">
        <v>429</v>
      </c>
      <c r="K201" t="s">
        <v>7</v>
      </c>
      <c r="L201" t="s">
        <v>16</v>
      </c>
      <c r="M201" t="s">
        <v>10</v>
      </c>
    </row>
    <row r="202" spans="1:13">
      <c r="A202" t="s">
        <v>648</v>
      </c>
      <c r="B202" s="2">
        <v>45674</v>
      </c>
      <c r="C202">
        <v>2025</v>
      </c>
      <c r="D202">
        <v>1</v>
      </c>
      <c r="E202" t="s">
        <v>1</v>
      </c>
      <c r="F202" t="s">
        <v>31</v>
      </c>
      <c r="G202" t="s">
        <v>69</v>
      </c>
      <c r="H202" t="s">
        <v>44</v>
      </c>
      <c r="I202" t="s">
        <v>446</v>
      </c>
      <c r="J202" t="s">
        <v>433</v>
      </c>
      <c r="K202" t="s">
        <v>14</v>
      </c>
      <c r="L202" t="s">
        <v>16</v>
      </c>
      <c r="M202" t="s">
        <v>10</v>
      </c>
    </row>
    <row r="203" spans="1:13">
      <c r="A203" t="s">
        <v>649</v>
      </c>
      <c r="B203" s="2">
        <v>45679</v>
      </c>
      <c r="C203">
        <v>2025</v>
      </c>
      <c r="D203">
        <v>1</v>
      </c>
      <c r="E203" t="s">
        <v>1</v>
      </c>
      <c r="F203" t="s">
        <v>38</v>
      </c>
      <c r="G203" t="s">
        <v>32</v>
      </c>
      <c r="H203" t="s">
        <v>12</v>
      </c>
      <c r="I203" t="s">
        <v>494</v>
      </c>
      <c r="J203" t="s">
        <v>429</v>
      </c>
      <c r="K203" t="s">
        <v>107</v>
      </c>
      <c r="L203" t="s">
        <v>29</v>
      </c>
      <c r="M203" t="s">
        <v>10</v>
      </c>
    </row>
    <row r="204" spans="1:13">
      <c r="A204" t="s">
        <v>650</v>
      </c>
      <c r="B204" s="2">
        <v>45665</v>
      </c>
      <c r="C204">
        <v>2025</v>
      </c>
      <c r="D204">
        <v>1</v>
      </c>
      <c r="E204" t="s">
        <v>1</v>
      </c>
      <c r="F204" t="s">
        <v>38</v>
      </c>
      <c r="G204" t="s">
        <v>64</v>
      </c>
      <c r="H204" t="s">
        <v>12</v>
      </c>
      <c r="I204" t="s">
        <v>473</v>
      </c>
      <c r="J204" t="s">
        <v>429</v>
      </c>
      <c r="K204" t="s">
        <v>14</v>
      </c>
      <c r="L204" t="s">
        <v>36</v>
      </c>
      <c r="M204" t="s">
        <v>10</v>
      </c>
    </row>
    <row r="205" spans="1:13">
      <c r="A205" t="s">
        <v>651</v>
      </c>
      <c r="B205" s="2">
        <v>45662</v>
      </c>
      <c r="C205">
        <v>2025</v>
      </c>
      <c r="D205">
        <v>1</v>
      </c>
      <c r="E205" t="s">
        <v>1</v>
      </c>
      <c r="F205" t="s">
        <v>26</v>
      </c>
      <c r="G205" t="s">
        <v>55</v>
      </c>
      <c r="H205" t="s">
        <v>4</v>
      </c>
      <c r="I205" t="s">
        <v>442</v>
      </c>
      <c r="J205" t="s">
        <v>429</v>
      </c>
      <c r="K205" t="s">
        <v>56</v>
      </c>
      <c r="L205" t="s">
        <v>36</v>
      </c>
      <c r="M205" t="s">
        <v>10</v>
      </c>
    </row>
    <row r="206" spans="1:13">
      <c r="A206" t="s">
        <v>652</v>
      </c>
      <c r="B206" s="2">
        <v>45679</v>
      </c>
      <c r="C206">
        <v>2025</v>
      </c>
      <c r="D206">
        <v>1</v>
      </c>
      <c r="E206" t="s">
        <v>1</v>
      </c>
      <c r="F206" t="s">
        <v>67</v>
      </c>
      <c r="G206" t="s">
        <v>48</v>
      </c>
      <c r="H206" t="s">
        <v>44</v>
      </c>
      <c r="I206" t="s">
        <v>84</v>
      </c>
      <c r="J206" t="s">
        <v>433</v>
      </c>
      <c r="K206" t="s">
        <v>58</v>
      </c>
      <c r="L206" t="s">
        <v>16</v>
      </c>
      <c r="M206" t="s">
        <v>17</v>
      </c>
    </row>
    <row r="207" spans="1:13">
      <c r="A207" t="s">
        <v>653</v>
      </c>
      <c r="B207" s="2">
        <v>45665</v>
      </c>
      <c r="C207">
        <v>2025</v>
      </c>
      <c r="D207">
        <v>1</v>
      </c>
      <c r="E207" t="s">
        <v>1</v>
      </c>
      <c r="F207" t="s">
        <v>2</v>
      </c>
      <c r="G207" t="s">
        <v>32</v>
      </c>
      <c r="H207" t="s">
        <v>33</v>
      </c>
      <c r="I207" t="s">
        <v>444</v>
      </c>
      <c r="J207" t="s">
        <v>429</v>
      </c>
      <c r="K207" t="s">
        <v>14</v>
      </c>
      <c r="L207" t="s">
        <v>9</v>
      </c>
      <c r="M207" t="s">
        <v>10</v>
      </c>
    </row>
    <row r="208" spans="1:13">
      <c r="A208" t="s">
        <v>654</v>
      </c>
      <c r="B208" s="2">
        <v>45679</v>
      </c>
      <c r="C208">
        <v>2025</v>
      </c>
      <c r="D208">
        <v>1</v>
      </c>
      <c r="E208" t="s">
        <v>1</v>
      </c>
      <c r="F208" t="s">
        <v>47</v>
      </c>
      <c r="G208" t="s">
        <v>3</v>
      </c>
      <c r="H208" t="s">
        <v>33</v>
      </c>
      <c r="I208" t="s">
        <v>431</v>
      </c>
      <c r="J208" t="s">
        <v>429</v>
      </c>
      <c r="K208" t="s">
        <v>56</v>
      </c>
      <c r="L208" t="s">
        <v>36</v>
      </c>
      <c r="M208" t="s">
        <v>17</v>
      </c>
    </row>
    <row r="209" spans="1:13">
      <c r="A209" t="s">
        <v>655</v>
      </c>
      <c r="B209" s="2">
        <v>45675</v>
      </c>
      <c r="C209">
        <v>2025</v>
      </c>
      <c r="D209">
        <v>1</v>
      </c>
      <c r="E209" t="s">
        <v>1</v>
      </c>
      <c r="F209" t="s">
        <v>47</v>
      </c>
      <c r="G209" t="s">
        <v>74</v>
      </c>
      <c r="H209" t="s">
        <v>33</v>
      </c>
      <c r="I209" t="s">
        <v>519</v>
      </c>
      <c r="J209" t="s">
        <v>429</v>
      </c>
      <c r="K209" t="s">
        <v>7</v>
      </c>
      <c r="L209" t="s">
        <v>29</v>
      </c>
      <c r="M209" t="s">
        <v>17</v>
      </c>
    </row>
    <row r="210" spans="1:13">
      <c r="A210" t="s">
        <v>656</v>
      </c>
      <c r="B210" s="2">
        <v>45669</v>
      </c>
      <c r="C210">
        <v>2025</v>
      </c>
      <c r="D210">
        <v>1</v>
      </c>
      <c r="E210" t="s">
        <v>1</v>
      </c>
      <c r="F210" t="s">
        <v>47</v>
      </c>
      <c r="G210" t="s">
        <v>61</v>
      </c>
      <c r="H210" t="s">
        <v>4</v>
      </c>
      <c r="I210" t="s">
        <v>460</v>
      </c>
      <c r="J210" t="s">
        <v>429</v>
      </c>
      <c r="K210" t="s">
        <v>21</v>
      </c>
      <c r="L210" t="s">
        <v>16</v>
      </c>
      <c r="M210" t="s">
        <v>23</v>
      </c>
    </row>
    <row r="211" spans="1:13">
      <c r="A211" t="s">
        <v>657</v>
      </c>
      <c r="B211" s="2">
        <v>45670</v>
      </c>
      <c r="C211">
        <v>2025</v>
      </c>
      <c r="D211">
        <v>1</v>
      </c>
      <c r="E211" t="s">
        <v>1</v>
      </c>
      <c r="F211" t="s">
        <v>78</v>
      </c>
      <c r="G211" t="s">
        <v>74</v>
      </c>
      <c r="H211" t="s">
        <v>12</v>
      </c>
      <c r="I211" t="s">
        <v>84</v>
      </c>
      <c r="J211" t="s">
        <v>433</v>
      </c>
      <c r="K211" t="s">
        <v>41</v>
      </c>
      <c r="L211" t="s">
        <v>16</v>
      </c>
      <c r="M211" t="s">
        <v>10</v>
      </c>
    </row>
    <row r="212" spans="1:13">
      <c r="A212" t="s">
        <v>658</v>
      </c>
      <c r="B212" s="2">
        <v>45670</v>
      </c>
      <c r="C212">
        <v>2025</v>
      </c>
      <c r="D212">
        <v>1</v>
      </c>
      <c r="E212" t="s">
        <v>1</v>
      </c>
      <c r="F212" t="s">
        <v>31</v>
      </c>
      <c r="G212" t="s">
        <v>69</v>
      </c>
      <c r="H212" t="s">
        <v>44</v>
      </c>
      <c r="I212" t="s">
        <v>446</v>
      </c>
      <c r="J212" t="s">
        <v>429</v>
      </c>
      <c r="K212" t="s">
        <v>41</v>
      </c>
      <c r="L212" t="s">
        <v>36</v>
      </c>
      <c r="M212" t="s">
        <v>23</v>
      </c>
    </row>
    <row r="213" spans="1:13">
      <c r="A213" t="s">
        <v>659</v>
      </c>
      <c r="B213" s="2">
        <v>45669</v>
      </c>
      <c r="C213">
        <v>2025</v>
      </c>
      <c r="D213">
        <v>1</v>
      </c>
      <c r="E213" t="s">
        <v>1</v>
      </c>
      <c r="F213" t="s">
        <v>78</v>
      </c>
      <c r="G213" t="s">
        <v>27</v>
      </c>
      <c r="H213" t="s">
        <v>44</v>
      </c>
      <c r="I213" t="s">
        <v>462</v>
      </c>
      <c r="J213" t="s">
        <v>429</v>
      </c>
      <c r="K213" t="s">
        <v>41</v>
      </c>
      <c r="L213" t="s">
        <v>29</v>
      </c>
      <c r="M213" t="s">
        <v>10</v>
      </c>
    </row>
    <row r="214" spans="1:13">
      <c r="A214" t="s">
        <v>660</v>
      </c>
      <c r="B214" s="2">
        <v>45699</v>
      </c>
      <c r="C214">
        <v>2025</v>
      </c>
      <c r="D214">
        <v>2</v>
      </c>
      <c r="E214" t="s">
        <v>25</v>
      </c>
      <c r="F214" t="s">
        <v>38</v>
      </c>
      <c r="G214" t="s">
        <v>69</v>
      </c>
      <c r="H214" t="s">
        <v>44</v>
      </c>
      <c r="I214" t="s">
        <v>435</v>
      </c>
      <c r="J214" t="s">
        <v>429</v>
      </c>
      <c r="K214" t="s">
        <v>71</v>
      </c>
      <c r="L214" t="s">
        <v>9</v>
      </c>
      <c r="M214" t="s">
        <v>17</v>
      </c>
    </row>
    <row r="215" spans="1:13">
      <c r="A215" t="s">
        <v>661</v>
      </c>
      <c r="B215" s="2">
        <v>45692</v>
      </c>
      <c r="C215">
        <v>2025</v>
      </c>
      <c r="D215">
        <v>2</v>
      </c>
      <c r="E215" t="s">
        <v>25</v>
      </c>
      <c r="F215" t="s">
        <v>47</v>
      </c>
      <c r="G215" t="s">
        <v>64</v>
      </c>
      <c r="H215" t="s">
        <v>44</v>
      </c>
      <c r="I215" t="s">
        <v>442</v>
      </c>
      <c r="J215" t="s">
        <v>429</v>
      </c>
      <c r="K215" t="s">
        <v>84</v>
      </c>
      <c r="L215" t="s">
        <v>36</v>
      </c>
      <c r="M215" t="s">
        <v>10</v>
      </c>
    </row>
    <row r="216" spans="1:13">
      <c r="A216" t="s">
        <v>662</v>
      </c>
      <c r="B216" s="2">
        <v>45696</v>
      </c>
      <c r="C216">
        <v>2025</v>
      </c>
      <c r="D216">
        <v>2</v>
      </c>
      <c r="E216" t="s">
        <v>25</v>
      </c>
      <c r="F216" t="s">
        <v>2</v>
      </c>
      <c r="G216" t="s">
        <v>20</v>
      </c>
      <c r="H216" t="s">
        <v>44</v>
      </c>
      <c r="I216" t="s">
        <v>457</v>
      </c>
      <c r="J216" t="s">
        <v>429</v>
      </c>
      <c r="K216" t="s">
        <v>51</v>
      </c>
      <c r="L216" t="s">
        <v>16</v>
      </c>
      <c r="M216" t="s">
        <v>10</v>
      </c>
    </row>
    <row r="217" spans="1:13">
      <c r="A217" t="s">
        <v>663</v>
      </c>
      <c r="B217" s="2">
        <v>45704</v>
      </c>
      <c r="C217">
        <v>2025</v>
      </c>
      <c r="D217">
        <v>2</v>
      </c>
      <c r="E217" t="s">
        <v>25</v>
      </c>
      <c r="F217" t="s">
        <v>38</v>
      </c>
      <c r="G217" t="s">
        <v>69</v>
      </c>
      <c r="H217" t="s">
        <v>44</v>
      </c>
      <c r="I217" t="s">
        <v>442</v>
      </c>
      <c r="J217" t="s">
        <v>433</v>
      </c>
      <c r="K217" t="s">
        <v>7</v>
      </c>
      <c r="L217" t="s">
        <v>36</v>
      </c>
      <c r="M217" t="s">
        <v>10</v>
      </c>
    </row>
    <row r="218" spans="1:13">
      <c r="A218" t="s">
        <v>664</v>
      </c>
      <c r="B218" s="2">
        <v>45690</v>
      </c>
      <c r="C218">
        <v>2025</v>
      </c>
      <c r="D218">
        <v>2</v>
      </c>
      <c r="E218" t="s">
        <v>25</v>
      </c>
      <c r="F218" t="s">
        <v>67</v>
      </c>
      <c r="G218" t="s">
        <v>38</v>
      </c>
      <c r="H218" t="s">
        <v>12</v>
      </c>
      <c r="I218" t="s">
        <v>460</v>
      </c>
      <c r="J218" t="s">
        <v>433</v>
      </c>
      <c r="K218" t="s">
        <v>58</v>
      </c>
      <c r="L218" t="s">
        <v>29</v>
      </c>
      <c r="M218" t="s">
        <v>10</v>
      </c>
    </row>
    <row r="219" spans="1:13">
      <c r="A219" t="s">
        <v>665</v>
      </c>
      <c r="B219" s="2">
        <v>45709</v>
      </c>
      <c r="C219">
        <v>2025</v>
      </c>
      <c r="D219">
        <v>2</v>
      </c>
      <c r="E219" t="s">
        <v>25</v>
      </c>
      <c r="F219" t="s">
        <v>31</v>
      </c>
      <c r="G219" t="s">
        <v>32</v>
      </c>
      <c r="H219" t="s">
        <v>12</v>
      </c>
      <c r="I219" t="s">
        <v>428</v>
      </c>
      <c r="J219" t="s">
        <v>433</v>
      </c>
      <c r="K219" t="s">
        <v>107</v>
      </c>
      <c r="L219" t="s">
        <v>29</v>
      </c>
      <c r="M219" t="s">
        <v>17</v>
      </c>
    </row>
    <row r="220" spans="1:13">
      <c r="A220" t="s">
        <v>666</v>
      </c>
      <c r="B220" s="2">
        <v>45715</v>
      </c>
      <c r="C220">
        <v>2025</v>
      </c>
      <c r="D220">
        <v>2</v>
      </c>
      <c r="E220" t="s">
        <v>25</v>
      </c>
      <c r="F220" t="s">
        <v>67</v>
      </c>
      <c r="G220" t="s">
        <v>94</v>
      </c>
      <c r="H220" t="s">
        <v>4</v>
      </c>
      <c r="I220" t="s">
        <v>464</v>
      </c>
      <c r="J220" t="s">
        <v>433</v>
      </c>
      <c r="K220" t="s">
        <v>21</v>
      </c>
      <c r="L220" t="s">
        <v>9</v>
      </c>
      <c r="M220" t="s">
        <v>10</v>
      </c>
    </row>
    <row r="221" spans="1:13">
      <c r="A221" t="s">
        <v>667</v>
      </c>
      <c r="B221" s="2">
        <v>45706</v>
      </c>
      <c r="C221">
        <v>2025</v>
      </c>
      <c r="D221">
        <v>2</v>
      </c>
      <c r="E221" t="s">
        <v>25</v>
      </c>
      <c r="F221" t="s">
        <v>40</v>
      </c>
      <c r="G221" t="s">
        <v>38</v>
      </c>
      <c r="H221" t="s">
        <v>4</v>
      </c>
      <c r="I221" t="s">
        <v>442</v>
      </c>
      <c r="J221" t="s">
        <v>429</v>
      </c>
      <c r="K221" t="s">
        <v>107</v>
      </c>
      <c r="L221" t="s">
        <v>9</v>
      </c>
      <c r="M221" t="s">
        <v>10</v>
      </c>
    </row>
    <row r="222" spans="1:13">
      <c r="A222" t="s">
        <v>668</v>
      </c>
      <c r="B222" s="2">
        <v>45704</v>
      </c>
      <c r="C222">
        <v>2025</v>
      </c>
      <c r="D222">
        <v>2</v>
      </c>
      <c r="E222" t="s">
        <v>25</v>
      </c>
      <c r="F222" t="s">
        <v>26</v>
      </c>
      <c r="G222" t="s">
        <v>69</v>
      </c>
      <c r="H222" t="s">
        <v>12</v>
      </c>
      <c r="I222" t="s">
        <v>438</v>
      </c>
      <c r="J222" t="s">
        <v>429</v>
      </c>
      <c r="K222" t="s">
        <v>14</v>
      </c>
      <c r="L222" t="s">
        <v>9</v>
      </c>
      <c r="M222" t="s">
        <v>10</v>
      </c>
    </row>
    <row r="223" spans="1:13">
      <c r="A223" t="s">
        <v>669</v>
      </c>
      <c r="B223" s="2">
        <v>45699</v>
      </c>
      <c r="C223">
        <v>2025</v>
      </c>
      <c r="D223">
        <v>2</v>
      </c>
      <c r="E223" t="s">
        <v>25</v>
      </c>
      <c r="F223" t="s">
        <v>78</v>
      </c>
      <c r="G223" t="s">
        <v>69</v>
      </c>
      <c r="H223" t="s">
        <v>33</v>
      </c>
      <c r="I223" t="s">
        <v>440</v>
      </c>
      <c r="J223" t="s">
        <v>429</v>
      </c>
      <c r="K223" t="s">
        <v>84</v>
      </c>
      <c r="L223" t="s">
        <v>36</v>
      </c>
      <c r="M223" t="s">
        <v>10</v>
      </c>
    </row>
    <row r="224" spans="1:13">
      <c r="A224" t="s">
        <v>670</v>
      </c>
      <c r="B224" s="2">
        <v>45698</v>
      </c>
      <c r="C224">
        <v>2025</v>
      </c>
      <c r="D224">
        <v>2</v>
      </c>
      <c r="E224" t="s">
        <v>25</v>
      </c>
      <c r="F224" t="s">
        <v>78</v>
      </c>
      <c r="G224" t="s">
        <v>32</v>
      </c>
      <c r="H224" t="s">
        <v>4</v>
      </c>
      <c r="I224" t="s">
        <v>444</v>
      </c>
      <c r="J224" t="s">
        <v>433</v>
      </c>
      <c r="K224" t="s">
        <v>84</v>
      </c>
      <c r="L224" t="s">
        <v>29</v>
      </c>
      <c r="M224" t="s">
        <v>10</v>
      </c>
    </row>
    <row r="225" spans="1:13">
      <c r="A225" t="s">
        <v>671</v>
      </c>
      <c r="B225" s="2">
        <v>45702</v>
      </c>
      <c r="C225">
        <v>2025</v>
      </c>
      <c r="D225">
        <v>2</v>
      </c>
      <c r="E225" t="s">
        <v>25</v>
      </c>
      <c r="F225" t="s">
        <v>40</v>
      </c>
      <c r="G225" t="s">
        <v>94</v>
      </c>
      <c r="H225" t="s">
        <v>33</v>
      </c>
      <c r="I225" t="s">
        <v>446</v>
      </c>
      <c r="J225" t="s">
        <v>429</v>
      </c>
      <c r="K225" t="s">
        <v>14</v>
      </c>
      <c r="L225" t="s">
        <v>9</v>
      </c>
      <c r="M225" t="s">
        <v>10</v>
      </c>
    </row>
    <row r="226" spans="1:13">
      <c r="A226" t="s">
        <v>672</v>
      </c>
      <c r="B226" s="2">
        <v>45703</v>
      </c>
      <c r="C226">
        <v>2025</v>
      </c>
      <c r="D226">
        <v>2</v>
      </c>
      <c r="E226" t="s">
        <v>25</v>
      </c>
      <c r="F226" t="s">
        <v>47</v>
      </c>
      <c r="G226" t="s">
        <v>74</v>
      </c>
      <c r="H226" t="s">
        <v>44</v>
      </c>
      <c r="I226" t="s">
        <v>457</v>
      </c>
      <c r="J226" t="s">
        <v>429</v>
      </c>
      <c r="K226" t="s">
        <v>14</v>
      </c>
      <c r="L226" t="s">
        <v>9</v>
      </c>
      <c r="M226" t="s">
        <v>10</v>
      </c>
    </row>
    <row r="227" spans="1:13">
      <c r="A227" t="s">
        <v>673</v>
      </c>
      <c r="B227" s="2">
        <v>45699</v>
      </c>
      <c r="C227">
        <v>2025</v>
      </c>
      <c r="D227">
        <v>2</v>
      </c>
      <c r="E227" t="s">
        <v>25</v>
      </c>
      <c r="F227" t="s">
        <v>19</v>
      </c>
      <c r="G227" t="s">
        <v>3</v>
      </c>
      <c r="H227" t="s">
        <v>44</v>
      </c>
      <c r="I227" t="s">
        <v>431</v>
      </c>
      <c r="J227" t="s">
        <v>429</v>
      </c>
      <c r="K227" t="s">
        <v>7</v>
      </c>
      <c r="L227" t="s">
        <v>36</v>
      </c>
      <c r="M227" t="s">
        <v>23</v>
      </c>
    </row>
    <row r="228" spans="1:13">
      <c r="A228" t="s">
        <v>674</v>
      </c>
      <c r="B228" s="2">
        <v>45712</v>
      </c>
      <c r="C228">
        <v>2025</v>
      </c>
      <c r="D228">
        <v>2</v>
      </c>
      <c r="E228" t="s">
        <v>25</v>
      </c>
      <c r="F228" t="s">
        <v>54</v>
      </c>
      <c r="G228" t="s">
        <v>64</v>
      </c>
      <c r="H228" t="s">
        <v>33</v>
      </c>
      <c r="I228" t="s">
        <v>460</v>
      </c>
      <c r="J228" t="s">
        <v>433</v>
      </c>
      <c r="K228" t="s">
        <v>107</v>
      </c>
      <c r="L228" t="s">
        <v>29</v>
      </c>
      <c r="M228" t="s">
        <v>10</v>
      </c>
    </row>
    <row r="229" spans="1:13">
      <c r="A229" t="s">
        <v>675</v>
      </c>
      <c r="B229" s="2">
        <v>45710</v>
      </c>
      <c r="C229">
        <v>2025</v>
      </c>
      <c r="D229">
        <v>2</v>
      </c>
      <c r="E229" t="s">
        <v>25</v>
      </c>
      <c r="F229" t="s">
        <v>40</v>
      </c>
      <c r="G229" t="s">
        <v>69</v>
      </c>
      <c r="H229" t="s">
        <v>33</v>
      </c>
      <c r="I229" t="s">
        <v>84</v>
      </c>
      <c r="J229" t="s">
        <v>429</v>
      </c>
      <c r="K229" t="s">
        <v>21</v>
      </c>
      <c r="L229" t="s">
        <v>16</v>
      </c>
      <c r="M229" t="s">
        <v>10</v>
      </c>
    </row>
    <row r="230" spans="1:13">
      <c r="A230" t="s">
        <v>676</v>
      </c>
      <c r="B230" s="2">
        <v>45732</v>
      </c>
      <c r="C230">
        <v>2025</v>
      </c>
      <c r="D230">
        <v>3</v>
      </c>
      <c r="E230" t="s">
        <v>60</v>
      </c>
      <c r="F230" t="s">
        <v>31</v>
      </c>
      <c r="G230" t="s">
        <v>48</v>
      </c>
      <c r="H230" t="s">
        <v>44</v>
      </c>
      <c r="I230" t="s">
        <v>494</v>
      </c>
      <c r="J230" t="s">
        <v>429</v>
      </c>
      <c r="K230" t="s">
        <v>58</v>
      </c>
      <c r="L230" t="s">
        <v>36</v>
      </c>
      <c r="M230" t="s">
        <v>23</v>
      </c>
    </row>
    <row r="231" spans="1:13">
      <c r="A231" t="s">
        <v>677</v>
      </c>
      <c r="B231" s="2">
        <v>45717</v>
      </c>
      <c r="C231">
        <v>2025</v>
      </c>
      <c r="D231">
        <v>3</v>
      </c>
      <c r="E231" t="s">
        <v>60</v>
      </c>
      <c r="F231" t="s">
        <v>40</v>
      </c>
      <c r="G231" t="s">
        <v>55</v>
      </c>
      <c r="H231" t="s">
        <v>12</v>
      </c>
      <c r="I231" t="s">
        <v>431</v>
      </c>
      <c r="J231" t="s">
        <v>429</v>
      </c>
      <c r="K231" t="s">
        <v>56</v>
      </c>
      <c r="L231" t="s">
        <v>9</v>
      </c>
      <c r="M231" t="s">
        <v>10</v>
      </c>
    </row>
    <row r="232" spans="1:13">
      <c r="A232" t="s">
        <v>678</v>
      </c>
      <c r="B232" s="2">
        <v>45737</v>
      </c>
      <c r="C232">
        <v>2025</v>
      </c>
      <c r="D232">
        <v>3</v>
      </c>
      <c r="E232" t="s">
        <v>60</v>
      </c>
      <c r="F232" t="s">
        <v>31</v>
      </c>
      <c r="G232" t="s">
        <v>20</v>
      </c>
      <c r="H232" t="s">
        <v>4</v>
      </c>
      <c r="I232" t="s">
        <v>442</v>
      </c>
      <c r="J232" t="s">
        <v>429</v>
      </c>
      <c r="K232" t="s">
        <v>51</v>
      </c>
      <c r="L232" t="s">
        <v>16</v>
      </c>
      <c r="M232" t="s">
        <v>17</v>
      </c>
    </row>
    <row r="233" spans="1:13">
      <c r="A233" t="s">
        <v>679</v>
      </c>
      <c r="B233" s="2">
        <v>45733</v>
      </c>
      <c r="C233">
        <v>2025</v>
      </c>
      <c r="D233">
        <v>3</v>
      </c>
      <c r="E233" t="s">
        <v>60</v>
      </c>
      <c r="F233" t="s">
        <v>31</v>
      </c>
      <c r="G233" t="s">
        <v>94</v>
      </c>
      <c r="H233" t="s">
        <v>44</v>
      </c>
      <c r="I233" t="s">
        <v>519</v>
      </c>
      <c r="J233" t="s">
        <v>429</v>
      </c>
      <c r="K233" t="s">
        <v>107</v>
      </c>
      <c r="L233" t="s">
        <v>36</v>
      </c>
      <c r="M233" t="s">
        <v>10</v>
      </c>
    </row>
    <row r="234" spans="1:13">
      <c r="A234" t="s">
        <v>680</v>
      </c>
      <c r="B234" s="2">
        <v>45737</v>
      </c>
      <c r="C234">
        <v>2025</v>
      </c>
      <c r="D234">
        <v>3</v>
      </c>
      <c r="E234" t="s">
        <v>60</v>
      </c>
      <c r="F234" t="s">
        <v>19</v>
      </c>
      <c r="G234" t="s">
        <v>69</v>
      </c>
      <c r="H234" t="s">
        <v>44</v>
      </c>
      <c r="I234" t="s">
        <v>494</v>
      </c>
      <c r="J234" t="s">
        <v>433</v>
      </c>
      <c r="K234" t="s">
        <v>84</v>
      </c>
      <c r="L234" t="s">
        <v>36</v>
      </c>
      <c r="M234" t="s">
        <v>10</v>
      </c>
    </row>
    <row r="235" spans="1:13">
      <c r="A235" t="s">
        <v>681</v>
      </c>
      <c r="B235" s="2">
        <v>45738</v>
      </c>
      <c r="C235">
        <v>2025</v>
      </c>
      <c r="D235">
        <v>3</v>
      </c>
      <c r="E235" t="s">
        <v>60</v>
      </c>
      <c r="F235" t="s">
        <v>67</v>
      </c>
      <c r="G235" t="s">
        <v>27</v>
      </c>
      <c r="H235" t="s">
        <v>4</v>
      </c>
      <c r="I235" t="s">
        <v>470</v>
      </c>
      <c r="J235" t="s">
        <v>429</v>
      </c>
      <c r="K235" t="s">
        <v>71</v>
      </c>
      <c r="L235" t="s">
        <v>29</v>
      </c>
      <c r="M235" t="s">
        <v>10</v>
      </c>
    </row>
    <row r="236" spans="1:13">
      <c r="A236" t="s">
        <v>682</v>
      </c>
      <c r="B236" s="2">
        <v>45738</v>
      </c>
      <c r="C236">
        <v>2025</v>
      </c>
      <c r="D236">
        <v>3</v>
      </c>
      <c r="E236" t="s">
        <v>60</v>
      </c>
      <c r="F236" t="s">
        <v>31</v>
      </c>
      <c r="G236" t="s">
        <v>64</v>
      </c>
      <c r="H236" t="s">
        <v>33</v>
      </c>
      <c r="I236" t="s">
        <v>519</v>
      </c>
      <c r="J236" t="s">
        <v>429</v>
      </c>
      <c r="K236" t="s">
        <v>84</v>
      </c>
      <c r="L236" t="s">
        <v>36</v>
      </c>
      <c r="M236" t="s">
        <v>10</v>
      </c>
    </row>
    <row r="237" spans="1:13">
      <c r="A237" t="s">
        <v>683</v>
      </c>
      <c r="B237" s="2">
        <v>45742</v>
      </c>
      <c r="C237">
        <v>2025</v>
      </c>
      <c r="D237">
        <v>3</v>
      </c>
      <c r="E237" t="s">
        <v>60</v>
      </c>
      <c r="F237" t="s">
        <v>31</v>
      </c>
      <c r="G237" t="s">
        <v>48</v>
      </c>
      <c r="H237" t="s">
        <v>12</v>
      </c>
      <c r="I237" t="s">
        <v>519</v>
      </c>
      <c r="J237" t="s">
        <v>429</v>
      </c>
      <c r="K237" t="s">
        <v>51</v>
      </c>
      <c r="L237" t="s">
        <v>29</v>
      </c>
      <c r="M237" t="s">
        <v>10</v>
      </c>
    </row>
    <row r="238" spans="1:13">
      <c r="A238" t="s">
        <v>684</v>
      </c>
      <c r="B238" s="2">
        <v>45721</v>
      </c>
      <c r="C238">
        <v>2025</v>
      </c>
      <c r="D238">
        <v>3</v>
      </c>
      <c r="E238" t="s">
        <v>60</v>
      </c>
      <c r="F238" t="s">
        <v>67</v>
      </c>
      <c r="G238" t="s">
        <v>32</v>
      </c>
      <c r="H238" t="s">
        <v>44</v>
      </c>
      <c r="I238" t="s">
        <v>84</v>
      </c>
      <c r="J238" t="s">
        <v>433</v>
      </c>
      <c r="K238" t="s">
        <v>58</v>
      </c>
      <c r="L238" t="s">
        <v>9</v>
      </c>
      <c r="M238" t="s">
        <v>23</v>
      </c>
    </row>
    <row r="239" spans="1:13">
      <c r="A239" t="s">
        <v>685</v>
      </c>
      <c r="B239" s="2">
        <v>45738</v>
      </c>
      <c r="C239">
        <v>2025</v>
      </c>
      <c r="D239">
        <v>3</v>
      </c>
      <c r="E239" t="s">
        <v>60</v>
      </c>
      <c r="F239" t="s">
        <v>54</v>
      </c>
      <c r="G239" t="s">
        <v>94</v>
      </c>
      <c r="H239" t="s">
        <v>12</v>
      </c>
      <c r="I239" t="s">
        <v>452</v>
      </c>
      <c r="J239" t="s">
        <v>433</v>
      </c>
      <c r="K239" t="s">
        <v>71</v>
      </c>
      <c r="L239" t="s">
        <v>36</v>
      </c>
      <c r="M239" t="s">
        <v>10</v>
      </c>
    </row>
    <row r="240" spans="1:13">
      <c r="A240" t="s">
        <v>686</v>
      </c>
      <c r="B240" s="2">
        <v>45727</v>
      </c>
      <c r="C240">
        <v>2025</v>
      </c>
      <c r="D240">
        <v>3</v>
      </c>
      <c r="E240" t="s">
        <v>60</v>
      </c>
      <c r="F240" t="s">
        <v>54</v>
      </c>
      <c r="G240" t="s">
        <v>55</v>
      </c>
      <c r="H240" t="s">
        <v>4</v>
      </c>
      <c r="I240" t="s">
        <v>84</v>
      </c>
      <c r="J240" t="s">
        <v>429</v>
      </c>
      <c r="K240" t="s">
        <v>107</v>
      </c>
      <c r="L240" t="s">
        <v>16</v>
      </c>
      <c r="M240" t="s">
        <v>10</v>
      </c>
    </row>
    <row r="241" spans="1:13">
      <c r="A241" t="s">
        <v>687</v>
      </c>
      <c r="B241" s="2">
        <v>45723</v>
      </c>
      <c r="C241">
        <v>2025</v>
      </c>
      <c r="D241">
        <v>3</v>
      </c>
      <c r="E241" t="s">
        <v>60</v>
      </c>
      <c r="F241" t="s">
        <v>47</v>
      </c>
      <c r="G241" t="s">
        <v>74</v>
      </c>
      <c r="H241" t="s">
        <v>4</v>
      </c>
      <c r="I241" t="s">
        <v>440</v>
      </c>
      <c r="J241" t="s">
        <v>433</v>
      </c>
      <c r="K241" t="s">
        <v>56</v>
      </c>
      <c r="L241" t="s">
        <v>29</v>
      </c>
      <c r="M241" t="s">
        <v>10</v>
      </c>
    </row>
    <row r="242" spans="1:13">
      <c r="A242" t="s">
        <v>688</v>
      </c>
      <c r="B242" s="2">
        <v>45728</v>
      </c>
      <c r="C242">
        <v>2025</v>
      </c>
      <c r="D242">
        <v>3</v>
      </c>
      <c r="E242" t="s">
        <v>60</v>
      </c>
      <c r="F242" t="s">
        <v>38</v>
      </c>
      <c r="G242" t="s">
        <v>55</v>
      </c>
      <c r="H242" t="s">
        <v>44</v>
      </c>
      <c r="I242" t="s">
        <v>435</v>
      </c>
      <c r="J242" t="s">
        <v>429</v>
      </c>
      <c r="K242" t="s">
        <v>41</v>
      </c>
      <c r="L242" t="s">
        <v>9</v>
      </c>
      <c r="M242" t="s">
        <v>10</v>
      </c>
    </row>
    <row r="243" spans="1:13">
      <c r="A243" t="s">
        <v>689</v>
      </c>
      <c r="B243" s="2">
        <v>45728</v>
      </c>
      <c r="C243">
        <v>2025</v>
      </c>
      <c r="D243">
        <v>3</v>
      </c>
      <c r="E243" t="s">
        <v>60</v>
      </c>
      <c r="F243" t="s">
        <v>47</v>
      </c>
      <c r="G243" t="s">
        <v>48</v>
      </c>
      <c r="H243" t="s">
        <v>44</v>
      </c>
      <c r="I243" t="s">
        <v>84</v>
      </c>
      <c r="J243" t="s">
        <v>433</v>
      </c>
      <c r="K243" t="s">
        <v>56</v>
      </c>
      <c r="L243" t="s">
        <v>36</v>
      </c>
      <c r="M243" t="s">
        <v>23</v>
      </c>
    </row>
    <row r="244" spans="1:13">
      <c r="A244" t="s">
        <v>690</v>
      </c>
      <c r="B244" s="2">
        <v>45726</v>
      </c>
      <c r="C244">
        <v>2025</v>
      </c>
      <c r="D244">
        <v>3</v>
      </c>
      <c r="E244" t="s">
        <v>60</v>
      </c>
      <c r="F244" t="s">
        <v>78</v>
      </c>
      <c r="G244" t="s">
        <v>94</v>
      </c>
      <c r="H244" t="s">
        <v>33</v>
      </c>
      <c r="I244" t="s">
        <v>460</v>
      </c>
      <c r="J244" t="s">
        <v>429</v>
      </c>
      <c r="K244" t="s">
        <v>7</v>
      </c>
      <c r="L244" t="s">
        <v>29</v>
      </c>
      <c r="M244" t="s">
        <v>10</v>
      </c>
    </row>
    <row r="245" spans="1:13">
      <c r="A245" t="s">
        <v>691</v>
      </c>
      <c r="B245" s="2">
        <v>45734</v>
      </c>
      <c r="C245">
        <v>2025</v>
      </c>
      <c r="D245">
        <v>3</v>
      </c>
      <c r="E245" t="s">
        <v>60</v>
      </c>
      <c r="F245" t="s">
        <v>78</v>
      </c>
      <c r="G245" t="s">
        <v>38</v>
      </c>
      <c r="H245" t="s">
        <v>44</v>
      </c>
      <c r="I245" t="s">
        <v>460</v>
      </c>
      <c r="J245" t="s">
        <v>429</v>
      </c>
      <c r="K245" t="s">
        <v>56</v>
      </c>
      <c r="L245" t="s">
        <v>29</v>
      </c>
      <c r="M245" t="s">
        <v>10</v>
      </c>
    </row>
    <row r="246" spans="1:13">
      <c r="A246" t="s">
        <v>692</v>
      </c>
      <c r="B246" s="2">
        <v>45721</v>
      </c>
      <c r="C246">
        <v>2025</v>
      </c>
      <c r="D246">
        <v>3</v>
      </c>
      <c r="E246" t="s">
        <v>60</v>
      </c>
      <c r="F246" t="s">
        <v>54</v>
      </c>
      <c r="G246" t="s">
        <v>64</v>
      </c>
      <c r="H246" t="s">
        <v>44</v>
      </c>
      <c r="I246" t="s">
        <v>438</v>
      </c>
      <c r="J246" t="s">
        <v>429</v>
      </c>
      <c r="K246" t="s">
        <v>14</v>
      </c>
      <c r="L246" t="s">
        <v>29</v>
      </c>
      <c r="M246" t="s">
        <v>10</v>
      </c>
    </row>
    <row r="247" spans="1:13">
      <c r="A247" t="s">
        <v>693</v>
      </c>
      <c r="B247" s="2">
        <v>45719</v>
      </c>
      <c r="C247">
        <v>2025</v>
      </c>
      <c r="D247">
        <v>3</v>
      </c>
      <c r="E247" t="s">
        <v>60</v>
      </c>
      <c r="F247" t="s">
        <v>31</v>
      </c>
      <c r="G247" t="s">
        <v>32</v>
      </c>
      <c r="H247" t="s">
        <v>33</v>
      </c>
      <c r="I247" t="s">
        <v>444</v>
      </c>
      <c r="J247" t="s">
        <v>433</v>
      </c>
      <c r="K247" t="s">
        <v>107</v>
      </c>
      <c r="L247" t="s">
        <v>9</v>
      </c>
      <c r="M247" t="s">
        <v>17</v>
      </c>
    </row>
    <row r="248" spans="1:13">
      <c r="A248" t="s">
        <v>694</v>
      </c>
      <c r="B248" s="2">
        <v>45718</v>
      </c>
      <c r="C248">
        <v>2025</v>
      </c>
      <c r="D248">
        <v>3</v>
      </c>
      <c r="E248" t="s">
        <v>60</v>
      </c>
      <c r="F248" t="s">
        <v>54</v>
      </c>
      <c r="G248" t="s">
        <v>20</v>
      </c>
      <c r="H248" t="s">
        <v>4</v>
      </c>
      <c r="I248" t="s">
        <v>435</v>
      </c>
      <c r="J248" t="s">
        <v>433</v>
      </c>
      <c r="K248" t="s">
        <v>56</v>
      </c>
      <c r="L248" t="s">
        <v>9</v>
      </c>
      <c r="M248" t="s">
        <v>10</v>
      </c>
    </row>
    <row r="249" spans="1:13">
      <c r="A249" t="s">
        <v>695</v>
      </c>
      <c r="B249" s="2">
        <v>45739</v>
      </c>
      <c r="C249">
        <v>2025</v>
      </c>
      <c r="D249">
        <v>3</v>
      </c>
      <c r="E249" t="s">
        <v>60</v>
      </c>
      <c r="F249" t="s">
        <v>54</v>
      </c>
      <c r="G249" t="s">
        <v>94</v>
      </c>
      <c r="H249" t="s">
        <v>44</v>
      </c>
      <c r="I249" t="s">
        <v>464</v>
      </c>
      <c r="J249" t="s">
        <v>429</v>
      </c>
      <c r="K249" t="s">
        <v>51</v>
      </c>
      <c r="L249" t="s">
        <v>16</v>
      </c>
      <c r="M249" t="s">
        <v>10</v>
      </c>
    </row>
    <row r="250" spans="1:13">
      <c r="A250" t="s">
        <v>696</v>
      </c>
      <c r="B250" s="2">
        <v>45731</v>
      </c>
      <c r="C250">
        <v>2025</v>
      </c>
      <c r="D250">
        <v>3</v>
      </c>
      <c r="E250" t="s">
        <v>60</v>
      </c>
      <c r="F250" t="s">
        <v>78</v>
      </c>
      <c r="G250" t="s">
        <v>94</v>
      </c>
      <c r="H250" t="s">
        <v>44</v>
      </c>
      <c r="I250" t="s">
        <v>438</v>
      </c>
      <c r="J250" t="s">
        <v>429</v>
      </c>
      <c r="K250" t="s">
        <v>58</v>
      </c>
      <c r="L250" t="s">
        <v>36</v>
      </c>
      <c r="M250" t="s">
        <v>10</v>
      </c>
    </row>
    <row r="251" spans="1:13">
      <c r="A251" t="s">
        <v>697</v>
      </c>
      <c r="B251" s="2">
        <v>45739</v>
      </c>
      <c r="C251">
        <v>2025</v>
      </c>
      <c r="D251">
        <v>3</v>
      </c>
      <c r="E251" t="s">
        <v>60</v>
      </c>
      <c r="F251" t="s">
        <v>26</v>
      </c>
      <c r="G251" t="s">
        <v>20</v>
      </c>
      <c r="H251" t="s">
        <v>12</v>
      </c>
      <c r="I251" t="s">
        <v>494</v>
      </c>
      <c r="J251" t="s">
        <v>429</v>
      </c>
      <c r="K251" t="s">
        <v>21</v>
      </c>
      <c r="L251" t="s">
        <v>29</v>
      </c>
      <c r="M251" t="s">
        <v>10</v>
      </c>
    </row>
    <row r="252" spans="1:13">
      <c r="A252" t="s">
        <v>698</v>
      </c>
      <c r="B252" s="2">
        <v>45738</v>
      </c>
      <c r="C252">
        <v>2025</v>
      </c>
      <c r="D252">
        <v>3</v>
      </c>
      <c r="E252" t="s">
        <v>60</v>
      </c>
      <c r="F252" t="s">
        <v>54</v>
      </c>
      <c r="G252" t="s">
        <v>38</v>
      </c>
      <c r="H252" t="s">
        <v>44</v>
      </c>
      <c r="I252" t="s">
        <v>464</v>
      </c>
      <c r="J252" t="s">
        <v>433</v>
      </c>
      <c r="K252" t="s">
        <v>51</v>
      </c>
      <c r="L252" t="s">
        <v>9</v>
      </c>
      <c r="M252" t="s">
        <v>10</v>
      </c>
    </row>
    <row r="253" spans="1:13">
      <c r="A253" t="s">
        <v>699</v>
      </c>
      <c r="B253" s="2">
        <v>45731</v>
      </c>
      <c r="C253">
        <v>2025</v>
      </c>
      <c r="D253">
        <v>3</v>
      </c>
      <c r="E253" t="s">
        <v>60</v>
      </c>
      <c r="F253" t="s">
        <v>47</v>
      </c>
      <c r="G253" t="s">
        <v>48</v>
      </c>
      <c r="H253" t="s">
        <v>12</v>
      </c>
      <c r="I253" t="s">
        <v>466</v>
      </c>
      <c r="J253" t="s">
        <v>429</v>
      </c>
      <c r="K253" t="s">
        <v>56</v>
      </c>
      <c r="L253" t="s">
        <v>36</v>
      </c>
      <c r="M253" t="s">
        <v>10</v>
      </c>
    </row>
    <row r="254" spans="1:13">
      <c r="A254" t="s">
        <v>700</v>
      </c>
      <c r="B254" s="2">
        <v>45731</v>
      </c>
      <c r="C254">
        <v>2025</v>
      </c>
      <c r="D254">
        <v>3</v>
      </c>
      <c r="E254" t="s">
        <v>60</v>
      </c>
      <c r="F254" t="s">
        <v>78</v>
      </c>
      <c r="G254" t="s">
        <v>32</v>
      </c>
      <c r="H254" t="s">
        <v>33</v>
      </c>
      <c r="I254" t="s">
        <v>462</v>
      </c>
      <c r="J254" t="s">
        <v>429</v>
      </c>
      <c r="K254" t="s">
        <v>21</v>
      </c>
      <c r="L254" t="s">
        <v>36</v>
      </c>
      <c r="M254" t="s">
        <v>10</v>
      </c>
    </row>
    <row r="255" spans="1:13">
      <c r="A255" t="s">
        <v>701</v>
      </c>
      <c r="B255" s="2">
        <v>45765</v>
      </c>
      <c r="C255">
        <v>2025</v>
      </c>
      <c r="D255">
        <v>4</v>
      </c>
      <c r="E255" t="s">
        <v>73</v>
      </c>
      <c r="F255" t="s">
        <v>78</v>
      </c>
      <c r="G255" t="s">
        <v>27</v>
      </c>
      <c r="H255" t="s">
        <v>33</v>
      </c>
      <c r="I255" t="s">
        <v>464</v>
      </c>
      <c r="J255" t="s">
        <v>433</v>
      </c>
      <c r="K255" t="s">
        <v>21</v>
      </c>
      <c r="L255" t="s">
        <v>36</v>
      </c>
      <c r="M255" t="s">
        <v>23</v>
      </c>
    </row>
    <row r="256" spans="1:13">
      <c r="A256" t="s">
        <v>702</v>
      </c>
      <c r="B256" s="2">
        <v>45757</v>
      </c>
      <c r="C256">
        <v>2025</v>
      </c>
      <c r="D256">
        <v>4</v>
      </c>
      <c r="E256" t="s">
        <v>73</v>
      </c>
      <c r="F256" t="s">
        <v>2</v>
      </c>
      <c r="G256" t="s">
        <v>74</v>
      </c>
      <c r="H256" t="s">
        <v>12</v>
      </c>
      <c r="I256" t="s">
        <v>464</v>
      </c>
      <c r="J256" t="s">
        <v>429</v>
      </c>
      <c r="K256" t="s">
        <v>14</v>
      </c>
      <c r="L256" t="s">
        <v>36</v>
      </c>
      <c r="M256" t="s">
        <v>10</v>
      </c>
    </row>
    <row r="257" spans="1:13">
      <c r="A257" t="s">
        <v>703</v>
      </c>
      <c r="B257" s="2">
        <v>45767</v>
      </c>
      <c r="C257">
        <v>2025</v>
      </c>
      <c r="D257">
        <v>4</v>
      </c>
      <c r="E257" t="s">
        <v>73</v>
      </c>
      <c r="F257" t="s">
        <v>67</v>
      </c>
      <c r="G257" t="s">
        <v>20</v>
      </c>
      <c r="H257" t="s">
        <v>44</v>
      </c>
      <c r="I257" t="s">
        <v>431</v>
      </c>
      <c r="J257" t="s">
        <v>429</v>
      </c>
      <c r="K257" t="s">
        <v>21</v>
      </c>
      <c r="L257" t="s">
        <v>9</v>
      </c>
      <c r="M257" t="s">
        <v>23</v>
      </c>
    </row>
    <row r="258" spans="1:13">
      <c r="A258" t="s">
        <v>704</v>
      </c>
      <c r="B258" s="2">
        <v>45768</v>
      </c>
      <c r="C258">
        <v>2025</v>
      </c>
      <c r="D258">
        <v>4</v>
      </c>
      <c r="E258" t="s">
        <v>73</v>
      </c>
      <c r="F258" t="s">
        <v>54</v>
      </c>
      <c r="G258" t="s">
        <v>55</v>
      </c>
      <c r="H258" t="s">
        <v>44</v>
      </c>
      <c r="I258" t="s">
        <v>435</v>
      </c>
      <c r="J258" t="s">
        <v>433</v>
      </c>
      <c r="K258" t="s">
        <v>51</v>
      </c>
      <c r="L258" t="s">
        <v>36</v>
      </c>
      <c r="M258" t="s">
        <v>10</v>
      </c>
    </row>
    <row r="259" spans="1:13">
      <c r="A259" t="s">
        <v>705</v>
      </c>
      <c r="B259" s="2">
        <v>45757</v>
      </c>
      <c r="C259">
        <v>2025</v>
      </c>
      <c r="D259">
        <v>4</v>
      </c>
      <c r="E259" t="s">
        <v>73</v>
      </c>
      <c r="F259" t="s">
        <v>19</v>
      </c>
      <c r="G259" t="s">
        <v>94</v>
      </c>
      <c r="H259" t="s">
        <v>33</v>
      </c>
      <c r="I259" t="s">
        <v>440</v>
      </c>
      <c r="J259" t="s">
        <v>429</v>
      </c>
      <c r="K259" t="s">
        <v>51</v>
      </c>
      <c r="L259" t="s">
        <v>36</v>
      </c>
      <c r="M259" t="s">
        <v>10</v>
      </c>
    </row>
    <row r="260" spans="1:13">
      <c r="A260" t="s">
        <v>706</v>
      </c>
      <c r="B260" s="2">
        <v>45761</v>
      </c>
      <c r="C260">
        <v>2025</v>
      </c>
      <c r="D260">
        <v>4</v>
      </c>
      <c r="E260" t="s">
        <v>73</v>
      </c>
      <c r="F260" t="s">
        <v>78</v>
      </c>
      <c r="G260" t="s">
        <v>32</v>
      </c>
      <c r="H260" t="s">
        <v>12</v>
      </c>
      <c r="I260" t="s">
        <v>442</v>
      </c>
      <c r="J260" t="s">
        <v>429</v>
      </c>
      <c r="K260" t="s">
        <v>58</v>
      </c>
      <c r="L260" t="s">
        <v>36</v>
      </c>
      <c r="M260" t="s">
        <v>10</v>
      </c>
    </row>
    <row r="261" spans="1:13">
      <c r="A261" t="s">
        <v>707</v>
      </c>
      <c r="B261" s="2">
        <v>45756</v>
      </c>
      <c r="C261">
        <v>2025</v>
      </c>
      <c r="D261">
        <v>4</v>
      </c>
      <c r="E261" t="s">
        <v>73</v>
      </c>
      <c r="F261" t="s">
        <v>38</v>
      </c>
      <c r="G261" t="s">
        <v>3</v>
      </c>
      <c r="H261" t="s">
        <v>12</v>
      </c>
      <c r="I261" t="s">
        <v>435</v>
      </c>
      <c r="J261" t="s">
        <v>429</v>
      </c>
      <c r="K261" t="s">
        <v>71</v>
      </c>
      <c r="L261" t="s">
        <v>16</v>
      </c>
      <c r="M261" t="s">
        <v>23</v>
      </c>
    </row>
    <row r="262" spans="1:13">
      <c r="A262" t="s">
        <v>708</v>
      </c>
      <c r="B262" s="2">
        <v>45773</v>
      </c>
      <c r="C262">
        <v>2025</v>
      </c>
      <c r="D262">
        <v>4</v>
      </c>
      <c r="E262" t="s">
        <v>73</v>
      </c>
      <c r="F262" t="s">
        <v>78</v>
      </c>
      <c r="G262" t="s">
        <v>55</v>
      </c>
      <c r="H262" t="s">
        <v>44</v>
      </c>
      <c r="I262" t="s">
        <v>464</v>
      </c>
      <c r="J262" t="s">
        <v>433</v>
      </c>
      <c r="K262" t="s">
        <v>21</v>
      </c>
      <c r="L262" t="s">
        <v>9</v>
      </c>
      <c r="M262" t="s">
        <v>10</v>
      </c>
    </row>
    <row r="263" spans="1:13">
      <c r="A263" t="s">
        <v>709</v>
      </c>
      <c r="B263" s="2">
        <v>45768</v>
      </c>
      <c r="C263">
        <v>2025</v>
      </c>
      <c r="D263">
        <v>4</v>
      </c>
      <c r="E263" t="s">
        <v>73</v>
      </c>
      <c r="F263" t="s">
        <v>31</v>
      </c>
      <c r="G263" t="s">
        <v>61</v>
      </c>
      <c r="H263" t="s">
        <v>33</v>
      </c>
      <c r="I263" t="s">
        <v>470</v>
      </c>
      <c r="J263" t="s">
        <v>433</v>
      </c>
      <c r="K263" t="s">
        <v>84</v>
      </c>
      <c r="L263" t="s">
        <v>29</v>
      </c>
      <c r="M263" t="s">
        <v>23</v>
      </c>
    </row>
    <row r="264" spans="1:13">
      <c r="A264" t="s">
        <v>710</v>
      </c>
      <c r="B264" s="2">
        <v>45772</v>
      </c>
      <c r="C264">
        <v>2025</v>
      </c>
      <c r="D264">
        <v>4</v>
      </c>
      <c r="E264" t="s">
        <v>73</v>
      </c>
      <c r="F264" t="s">
        <v>31</v>
      </c>
      <c r="G264" t="s">
        <v>38</v>
      </c>
      <c r="H264" t="s">
        <v>44</v>
      </c>
      <c r="I264" t="s">
        <v>466</v>
      </c>
      <c r="J264" t="s">
        <v>429</v>
      </c>
      <c r="K264" t="s">
        <v>58</v>
      </c>
      <c r="L264" t="s">
        <v>9</v>
      </c>
      <c r="M264" t="s">
        <v>10</v>
      </c>
    </row>
    <row r="265" spans="1:13">
      <c r="A265" t="s">
        <v>711</v>
      </c>
      <c r="B265" s="2">
        <v>45772</v>
      </c>
      <c r="C265">
        <v>2025</v>
      </c>
      <c r="D265">
        <v>4</v>
      </c>
      <c r="E265" t="s">
        <v>73</v>
      </c>
      <c r="F265" t="s">
        <v>31</v>
      </c>
      <c r="G265" t="s">
        <v>61</v>
      </c>
      <c r="H265" t="s">
        <v>12</v>
      </c>
      <c r="I265" t="s">
        <v>431</v>
      </c>
      <c r="J265" t="s">
        <v>429</v>
      </c>
      <c r="K265" t="s">
        <v>51</v>
      </c>
      <c r="L265" t="s">
        <v>9</v>
      </c>
      <c r="M265" t="s">
        <v>10</v>
      </c>
    </row>
    <row r="266" spans="1:13">
      <c r="A266" t="s">
        <v>712</v>
      </c>
      <c r="B266" s="2">
        <v>45761</v>
      </c>
      <c r="C266">
        <v>2025</v>
      </c>
      <c r="D266">
        <v>4</v>
      </c>
      <c r="E266" t="s">
        <v>73</v>
      </c>
      <c r="F266" t="s">
        <v>67</v>
      </c>
      <c r="G266" t="s">
        <v>55</v>
      </c>
      <c r="H266" t="s">
        <v>4</v>
      </c>
      <c r="I266" t="s">
        <v>460</v>
      </c>
      <c r="J266" t="s">
        <v>433</v>
      </c>
      <c r="K266" t="s">
        <v>58</v>
      </c>
      <c r="L266" t="s">
        <v>9</v>
      </c>
      <c r="M266" t="s">
        <v>10</v>
      </c>
    </row>
    <row r="267" spans="1:13">
      <c r="A267" t="s">
        <v>713</v>
      </c>
      <c r="B267" s="2">
        <v>45748</v>
      </c>
      <c r="C267">
        <v>2025</v>
      </c>
      <c r="D267">
        <v>4</v>
      </c>
      <c r="E267" t="s">
        <v>73</v>
      </c>
      <c r="F267" t="s">
        <v>47</v>
      </c>
      <c r="G267" t="s">
        <v>3</v>
      </c>
      <c r="H267" t="s">
        <v>4</v>
      </c>
      <c r="I267" t="s">
        <v>460</v>
      </c>
      <c r="J267" t="s">
        <v>429</v>
      </c>
      <c r="K267" t="s">
        <v>56</v>
      </c>
      <c r="L267" t="s">
        <v>36</v>
      </c>
      <c r="M267" t="s">
        <v>10</v>
      </c>
    </row>
    <row r="268" spans="1:13">
      <c r="A268" t="s">
        <v>714</v>
      </c>
      <c r="B268" s="2">
        <v>45758</v>
      </c>
      <c r="C268">
        <v>2025</v>
      </c>
      <c r="D268">
        <v>4</v>
      </c>
      <c r="E268" t="s">
        <v>73</v>
      </c>
      <c r="F268" t="s">
        <v>67</v>
      </c>
      <c r="G268" t="s">
        <v>94</v>
      </c>
      <c r="H268" t="s">
        <v>44</v>
      </c>
      <c r="I268" t="s">
        <v>446</v>
      </c>
      <c r="J268" t="s">
        <v>429</v>
      </c>
      <c r="K268" t="s">
        <v>107</v>
      </c>
      <c r="L268" t="s">
        <v>16</v>
      </c>
      <c r="M268" t="s">
        <v>17</v>
      </c>
    </row>
    <row r="269" spans="1:13">
      <c r="A269" t="s">
        <v>715</v>
      </c>
      <c r="B269" s="2">
        <v>45773</v>
      </c>
      <c r="C269">
        <v>2025</v>
      </c>
      <c r="D269">
        <v>4</v>
      </c>
      <c r="E269" t="s">
        <v>73</v>
      </c>
      <c r="F269" t="s">
        <v>40</v>
      </c>
      <c r="G269" t="s">
        <v>3</v>
      </c>
      <c r="H269" t="s">
        <v>33</v>
      </c>
      <c r="I269" t="s">
        <v>84</v>
      </c>
      <c r="J269" t="s">
        <v>429</v>
      </c>
      <c r="K269" t="s">
        <v>51</v>
      </c>
      <c r="L269" t="s">
        <v>36</v>
      </c>
      <c r="M269" t="s">
        <v>10</v>
      </c>
    </row>
    <row r="270" spans="1:13">
      <c r="A270" t="s">
        <v>716</v>
      </c>
      <c r="B270" s="2">
        <v>45773</v>
      </c>
      <c r="C270">
        <v>2025</v>
      </c>
      <c r="D270">
        <v>4</v>
      </c>
      <c r="E270" t="s">
        <v>73</v>
      </c>
      <c r="F270" t="s">
        <v>40</v>
      </c>
      <c r="G270" t="s">
        <v>64</v>
      </c>
      <c r="H270" t="s">
        <v>4</v>
      </c>
      <c r="I270" t="s">
        <v>442</v>
      </c>
      <c r="J270" t="s">
        <v>429</v>
      </c>
      <c r="K270" t="s">
        <v>51</v>
      </c>
      <c r="L270" t="s">
        <v>29</v>
      </c>
      <c r="M270" t="s">
        <v>10</v>
      </c>
    </row>
    <row r="271" spans="1:13">
      <c r="A271" t="s">
        <v>717</v>
      </c>
      <c r="B271" s="2">
        <v>45756</v>
      </c>
      <c r="C271">
        <v>2025</v>
      </c>
      <c r="D271">
        <v>4</v>
      </c>
      <c r="E271" t="s">
        <v>73</v>
      </c>
      <c r="F271" t="s">
        <v>47</v>
      </c>
      <c r="G271" t="s">
        <v>48</v>
      </c>
      <c r="H271" t="s">
        <v>33</v>
      </c>
      <c r="I271" t="s">
        <v>470</v>
      </c>
      <c r="J271" t="s">
        <v>429</v>
      </c>
      <c r="K271" t="s">
        <v>21</v>
      </c>
      <c r="L271" t="s">
        <v>29</v>
      </c>
      <c r="M271" t="s">
        <v>10</v>
      </c>
    </row>
    <row r="272" spans="1:13">
      <c r="A272" t="s">
        <v>718</v>
      </c>
      <c r="B272" s="2">
        <v>45756</v>
      </c>
      <c r="C272">
        <v>2025</v>
      </c>
      <c r="D272">
        <v>4</v>
      </c>
      <c r="E272" t="s">
        <v>73</v>
      </c>
      <c r="F272" t="s">
        <v>40</v>
      </c>
      <c r="G272" t="s">
        <v>74</v>
      </c>
      <c r="H272" t="s">
        <v>12</v>
      </c>
      <c r="I272" t="s">
        <v>519</v>
      </c>
      <c r="J272" t="s">
        <v>433</v>
      </c>
      <c r="K272" t="s">
        <v>41</v>
      </c>
      <c r="L272" t="s">
        <v>9</v>
      </c>
      <c r="M272" t="s">
        <v>10</v>
      </c>
    </row>
    <row r="273" spans="1:13">
      <c r="A273" t="s">
        <v>719</v>
      </c>
      <c r="B273" s="2">
        <v>45759</v>
      </c>
      <c r="C273">
        <v>2025</v>
      </c>
      <c r="D273">
        <v>4</v>
      </c>
      <c r="E273" t="s">
        <v>73</v>
      </c>
      <c r="F273" t="s">
        <v>38</v>
      </c>
      <c r="G273" t="s">
        <v>69</v>
      </c>
      <c r="H273" t="s">
        <v>44</v>
      </c>
      <c r="I273" t="s">
        <v>84</v>
      </c>
      <c r="J273" t="s">
        <v>429</v>
      </c>
      <c r="K273" t="s">
        <v>84</v>
      </c>
      <c r="L273" t="s">
        <v>29</v>
      </c>
      <c r="M273" t="s">
        <v>10</v>
      </c>
    </row>
    <row r="274" spans="1:13">
      <c r="A274" t="s">
        <v>720</v>
      </c>
      <c r="B274" s="2">
        <v>45749</v>
      </c>
      <c r="C274">
        <v>2025</v>
      </c>
      <c r="D274">
        <v>4</v>
      </c>
      <c r="E274" t="s">
        <v>73</v>
      </c>
      <c r="F274" t="s">
        <v>47</v>
      </c>
      <c r="G274" t="s">
        <v>64</v>
      </c>
      <c r="H274" t="s">
        <v>33</v>
      </c>
      <c r="I274" t="s">
        <v>446</v>
      </c>
      <c r="J274" t="s">
        <v>429</v>
      </c>
      <c r="K274" t="s">
        <v>51</v>
      </c>
      <c r="L274" t="s">
        <v>16</v>
      </c>
      <c r="M274" t="s">
        <v>10</v>
      </c>
    </row>
    <row r="275" spans="1:13">
      <c r="A275" t="s">
        <v>721</v>
      </c>
      <c r="B275" s="2">
        <v>45759</v>
      </c>
      <c r="C275">
        <v>2025</v>
      </c>
      <c r="D275">
        <v>4</v>
      </c>
      <c r="E275" t="s">
        <v>73</v>
      </c>
      <c r="F275" t="s">
        <v>47</v>
      </c>
      <c r="G275" t="s">
        <v>74</v>
      </c>
      <c r="H275" t="s">
        <v>33</v>
      </c>
      <c r="I275" t="s">
        <v>84</v>
      </c>
      <c r="J275" t="s">
        <v>429</v>
      </c>
      <c r="K275" t="s">
        <v>21</v>
      </c>
      <c r="L275" t="s">
        <v>36</v>
      </c>
      <c r="M275" t="s">
        <v>10</v>
      </c>
    </row>
    <row r="276" spans="1:13">
      <c r="A276" t="s">
        <v>722</v>
      </c>
      <c r="B276" s="2">
        <v>45757</v>
      </c>
      <c r="C276">
        <v>2025</v>
      </c>
      <c r="D276">
        <v>4</v>
      </c>
      <c r="E276" t="s">
        <v>73</v>
      </c>
      <c r="F276" t="s">
        <v>54</v>
      </c>
      <c r="G276" t="s">
        <v>48</v>
      </c>
      <c r="H276" t="s">
        <v>4</v>
      </c>
      <c r="I276" t="s">
        <v>438</v>
      </c>
      <c r="J276" t="s">
        <v>429</v>
      </c>
      <c r="K276" t="s">
        <v>51</v>
      </c>
      <c r="L276" t="s">
        <v>36</v>
      </c>
      <c r="M276" t="s">
        <v>10</v>
      </c>
    </row>
    <row r="277" spans="1:13">
      <c r="A277" t="s">
        <v>723</v>
      </c>
      <c r="B277" s="2">
        <v>45756</v>
      </c>
      <c r="C277">
        <v>2025</v>
      </c>
      <c r="D277">
        <v>4</v>
      </c>
      <c r="E277" t="s">
        <v>73</v>
      </c>
      <c r="F277" t="s">
        <v>40</v>
      </c>
      <c r="G277" t="s">
        <v>32</v>
      </c>
      <c r="H277" t="s">
        <v>4</v>
      </c>
      <c r="I277" t="s">
        <v>438</v>
      </c>
      <c r="J277" t="s">
        <v>433</v>
      </c>
      <c r="K277" t="s">
        <v>7</v>
      </c>
      <c r="L277" t="s">
        <v>16</v>
      </c>
      <c r="M277" t="s">
        <v>10</v>
      </c>
    </row>
    <row r="278" spans="1:13">
      <c r="A278" t="s">
        <v>724</v>
      </c>
      <c r="B278" s="2">
        <v>45788</v>
      </c>
      <c r="C278">
        <v>2025</v>
      </c>
      <c r="D278">
        <v>5</v>
      </c>
      <c r="E278" t="s">
        <v>83</v>
      </c>
      <c r="F278" t="s">
        <v>31</v>
      </c>
      <c r="G278" t="s">
        <v>32</v>
      </c>
      <c r="H278" t="s">
        <v>4</v>
      </c>
      <c r="I278" t="s">
        <v>440</v>
      </c>
      <c r="J278" t="s">
        <v>429</v>
      </c>
      <c r="K278" t="s">
        <v>71</v>
      </c>
      <c r="L278" t="s">
        <v>9</v>
      </c>
      <c r="M278" t="s">
        <v>10</v>
      </c>
    </row>
    <row r="279" spans="1:13">
      <c r="A279" t="s">
        <v>725</v>
      </c>
      <c r="B279" s="2">
        <v>45798</v>
      </c>
      <c r="C279">
        <v>2025</v>
      </c>
      <c r="D279">
        <v>5</v>
      </c>
      <c r="E279" t="s">
        <v>83</v>
      </c>
      <c r="F279" t="s">
        <v>78</v>
      </c>
      <c r="G279" t="s">
        <v>64</v>
      </c>
      <c r="H279" t="s">
        <v>44</v>
      </c>
      <c r="I279" t="s">
        <v>457</v>
      </c>
      <c r="J279" t="s">
        <v>429</v>
      </c>
      <c r="K279" t="s">
        <v>84</v>
      </c>
      <c r="L279" t="s">
        <v>9</v>
      </c>
      <c r="M279" t="s">
        <v>10</v>
      </c>
    </row>
    <row r="280" spans="1:13">
      <c r="A280" t="s">
        <v>726</v>
      </c>
      <c r="B280" s="2">
        <v>45789</v>
      </c>
      <c r="C280">
        <v>2025</v>
      </c>
      <c r="D280">
        <v>5</v>
      </c>
      <c r="E280" t="s">
        <v>83</v>
      </c>
      <c r="F280" t="s">
        <v>38</v>
      </c>
      <c r="G280" t="s">
        <v>27</v>
      </c>
      <c r="H280" t="s">
        <v>33</v>
      </c>
      <c r="I280" t="s">
        <v>473</v>
      </c>
      <c r="J280" t="s">
        <v>429</v>
      </c>
      <c r="K280" t="s">
        <v>58</v>
      </c>
      <c r="L280" t="s">
        <v>29</v>
      </c>
      <c r="M280" t="s">
        <v>23</v>
      </c>
    </row>
    <row r="281" spans="1:13">
      <c r="A281" t="s">
        <v>727</v>
      </c>
      <c r="B281" s="2">
        <v>45798</v>
      </c>
      <c r="C281">
        <v>2025</v>
      </c>
      <c r="D281">
        <v>5</v>
      </c>
      <c r="E281" t="s">
        <v>83</v>
      </c>
      <c r="F281" t="s">
        <v>26</v>
      </c>
      <c r="G281" t="s">
        <v>69</v>
      </c>
      <c r="H281" t="s">
        <v>4</v>
      </c>
      <c r="I281" t="s">
        <v>470</v>
      </c>
      <c r="J281" t="s">
        <v>429</v>
      </c>
      <c r="K281" t="s">
        <v>14</v>
      </c>
      <c r="L281" t="s">
        <v>9</v>
      </c>
      <c r="M281" t="s">
        <v>23</v>
      </c>
    </row>
    <row r="282" spans="1:13">
      <c r="A282" t="s">
        <v>728</v>
      </c>
      <c r="B282" s="2">
        <v>45780</v>
      </c>
      <c r="C282">
        <v>2025</v>
      </c>
      <c r="D282">
        <v>5</v>
      </c>
      <c r="E282" t="s">
        <v>83</v>
      </c>
      <c r="F282" t="s">
        <v>31</v>
      </c>
      <c r="G282" t="s">
        <v>20</v>
      </c>
      <c r="H282" t="s">
        <v>33</v>
      </c>
      <c r="I282" t="s">
        <v>446</v>
      </c>
      <c r="J282" t="s">
        <v>429</v>
      </c>
      <c r="K282" t="s">
        <v>107</v>
      </c>
      <c r="L282" t="s">
        <v>9</v>
      </c>
      <c r="M282" t="s">
        <v>10</v>
      </c>
    </row>
    <row r="283" spans="1:13">
      <c r="A283" t="s">
        <v>729</v>
      </c>
      <c r="B283" s="2">
        <v>45781</v>
      </c>
      <c r="C283">
        <v>2025</v>
      </c>
      <c r="D283">
        <v>5</v>
      </c>
      <c r="E283" t="s">
        <v>83</v>
      </c>
      <c r="F283" t="s">
        <v>40</v>
      </c>
      <c r="G283" t="s">
        <v>55</v>
      </c>
      <c r="H283" t="s">
        <v>12</v>
      </c>
      <c r="I283" t="s">
        <v>438</v>
      </c>
      <c r="J283" t="s">
        <v>429</v>
      </c>
      <c r="K283" t="s">
        <v>21</v>
      </c>
      <c r="L283" t="s">
        <v>16</v>
      </c>
      <c r="M283" t="s">
        <v>23</v>
      </c>
    </row>
    <row r="284" spans="1:13">
      <c r="A284" t="s">
        <v>730</v>
      </c>
      <c r="B284" s="2">
        <v>45778</v>
      </c>
      <c r="C284">
        <v>2025</v>
      </c>
      <c r="D284">
        <v>5</v>
      </c>
      <c r="E284" t="s">
        <v>83</v>
      </c>
      <c r="F284" t="s">
        <v>19</v>
      </c>
      <c r="G284" t="s">
        <v>48</v>
      </c>
      <c r="H284" t="s">
        <v>44</v>
      </c>
      <c r="I284" t="s">
        <v>464</v>
      </c>
      <c r="J284" t="s">
        <v>429</v>
      </c>
      <c r="K284" t="s">
        <v>7</v>
      </c>
      <c r="L284" t="s">
        <v>29</v>
      </c>
      <c r="M284" t="s">
        <v>10</v>
      </c>
    </row>
    <row r="285" spans="1:13">
      <c r="A285" t="s">
        <v>731</v>
      </c>
      <c r="B285" s="2">
        <v>45805</v>
      </c>
      <c r="C285">
        <v>2025</v>
      </c>
      <c r="D285">
        <v>5</v>
      </c>
      <c r="E285" t="s">
        <v>83</v>
      </c>
      <c r="F285" t="s">
        <v>38</v>
      </c>
      <c r="G285" t="s">
        <v>27</v>
      </c>
      <c r="H285" t="s">
        <v>33</v>
      </c>
      <c r="I285" t="s">
        <v>452</v>
      </c>
      <c r="J285" t="s">
        <v>429</v>
      </c>
      <c r="K285" t="s">
        <v>84</v>
      </c>
      <c r="L285" t="s">
        <v>29</v>
      </c>
      <c r="M285" t="s">
        <v>17</v>
      </c>
    </row>
    <row r="286" spans="1:13">
      <c r="A286" t="s">
        <v>732</v>
      </c>
      <c r="B286" s="2">
        <v>45805</v>
      </c>
      <c r="C286">
        <v>2025</v>
      </c>
      <c r="D286">
        <v>5</v>
      </c>
      <c r="E286" t="s">
        <v>83</v>
      </c>
      <c r="F286" t="s">
        <v>67</v>
      </c>
      <c r="G286" t="s">
        <v>27</v>
      </c>
      <c r="H286" t="s">
        <v>44</v>
      </c>
      <c r="I286" t="s">
        <v>464</v>
      </c>
      <c r="J286" t="s">
        <v>429</v>
      </c>
      <c r="K286" t="s">
        <v>14</v>
      </c>
      <c r="L286" t="s">
        <v>9</v>
      </c>
      <c r="M286" t="s">
        <v>10</v>
      </c>
    </row>
    <row r="287" spans="1:13">
      <c r="A287" t="s">
        <v>733</v>
      </c>
      <c r="B287" s="2">
        <v>45780</v>
      </c>
      <c r="C287">
        <v>2025</v>
      </c>
      <c r="D287">
        <v>5</v>
      </c>
      <c r="E287" t="s">
        <v>83</v>
      </c>
      <c r="F287" t="s">
        <v>2</v>
      </c>
      <c r="G287" t="s">
        <v>20</v>
      </c>
      <c r="H287" t="s">
        <v>44</v>
      </c>
      <c r="I287" t="s">
        <v>442</v>
      </c>
      <c r="J287" t="s">
        <v>429</v>
      </c>
      <c r="K287" t="s">
        <v>21</v>
      </c>
      <c r="L287" t="s">
        <v>16</v>
      </c>
      <c r="M287" t="s">
        <v>10</v>
      </c>
    </row>
    <row r="288" spans="1:13">
      <c r="A288" t="s">
        <v>734</v>
      </c>
      <c r="B288" s="2">
        <v>45799</v>
      </c>
      <c r="C288">
        <v>2025</v>
      </c>
      <c r="D288">
        <v>5</v>
      </c>
      <c r="E288" t="s">
        <v>83</v>
      </c>
      <c r="F288" t="s">
        <v>54</v>
      </c>
      <c r="G288" t="s">
        <v>20</v>
      </c>
      <c r="H288" t="s">
        <v>33</v>
      </c>
      <c r="I288" t="s">
        <v>435</v>
      </c>
      <c r="J288" t="s">
        <v>429</v>
      </c>
      <c r="K288" t="s">
        <v>84</v>
      </c>
      <c r="L288" t="s">
        <v>16</v>
      </c>
      <c r="M288" t="s">
        <v>10</v>
      </c>
    </row>
    <row r="289" spans="1:13">
      <c r="A289" t="s">
        <v>735</v>
      </c>
      <c r="B289" s="2">
        <v>45791</v>
      </c>
      <c r="C289">
        <v>2025</v>
      </c>
      <c r="D289">
        <v>5</v>
      </c>
      <c r="E289" t="s">
        <v>83</v>
      </c>
      <c r="F289" t="s">
        <v>78</v>
      </c>
      <c r="G289" t="s">
        <v>94</v>
      </c>
      <c r="H289" t="s">
        <v>4</v>
      </c>
      <c r="I289" t="s">
        <v>494</v>
      </c>
      <c r="J289" t="s">
        <v>429</v>
      </c>
      <c r="K289" t="s">
        <v>51</v>
      </c>
      <c r="L289" t="s">
        <v>9</v>
      </c>
      <c r="M289" t="s">
        <v>10</v>
      </c>
    </row>
    <row r="290" spans="1:13">
      <c r="A290" t="s">
        <v>736</v>
      </c>
      <c r="B290" s="2">
        <v>45781</v>
      </c>
      <c r="C290">
        <v>2025</v>
      </c>
      <c r="D290">
        <v>5</v>
      </c>
      <c r="E290" t="s">
        <v>83</v>
      </c>
      <c r="F290" t="s">
        <v>40</v>
      </c>
      <c r="G290" t="s">
        <v>27</v>
      </c>
      <c r="H290" t="s">
        <v>44</v>
      </c>
      <c r="I290" t="s">
        <v>473</v>
      </c>
      <c r="J290" t="s">
        <v>429</v>
      </c>
      <c r="K290" t="s">
        <v>56</v>
      </c>
      <c r="L290" t="s">
        <v>16</v>
      </c>
      <c r="M290" t="s">
        <v>10</v>
      </c>
    </row>
    <row r="291" spans="1:13">
      <c r="A291" t="s">
        <v>737</v>
      </c>
      <c r="B291" s="2">
        <v>45778</v>
      </c>
      <c r="C291">
        <v>2025</v>
      </c>
      <c r="D291">
        <v>5</v>
      </c>
      <c r="E291" t="s">
        <v>83</v>
      </c>
      <c r="F291" t="s">
        <v>26</v>
      </c>
      <c r="G291" t="s">
        <v>64</v>
      </c>
      <c r="H291" t="s">
        <v>33</v>
      </c>
      <c r="I291" t="s">
        <v>428</v>
      </c>
      <c r="J291" t="s">
        <v>429</v>
      </c>
      <c r="K291" t="s">
        <v>21</v>
      </c>
      <c r="L291" t="s">
        <v>29</v>
      </c>
      <c r="M291" t="s">
        <v>10</v>
      </c>
    </row>
    <row r="292" spans="1:13">
      <c r="A292" t="s">
        <v>738</v>
      </c>
      <c r="B292" s="2">
        <v>45795</v>
      </c>
      <c r="C292">
        <v>2025</v>
      </c>
      <c r="D292">
        <v>5</v>
      </c>
      <c r="E292" t="s">
        <v>83</v>
      </c>
      <c r="F292" t="s">
        <v>31</v>
      </c>
      <c r="G292" t="s">
        <v>69</v>
      </c>
      <c r="H292" t="s">
        <v>12</v>
      </c>
      <c r="I292" t="s">
        <v>466</v>
      </c>
      <c r="J292" t="s">
        <v>433</v>
      </c>
      <c r="K292" t="s">
        <v>51</v>
      </c>
      <c r="L292" t="s">
        <v>29</v>
      </c>
      <c r="M292" t="s">
        <v>10</v>
      </c>
    </row>
    <row r="293" spans="1:13">
      <c r="A293" t="s">
        <v>739</v>
      </c>
      <c r="B293" s="2">
        <v>45786</v>
      </c>
      <c r="C293">
        <v>2025</v>
      </c>
      <c r="D293">
        <v>5</v>
      </c>
      <c r="E293" t="s">
        <v>83</v>
      </c>
      <c r="F293" t="s">
        <v>54</v>
      </c>
      <c r="G293" t="s">
        <v>74</v>
      </c>
      <c r="H293" t="s">
        <v>33</v>
      </c>
      <c r="I293" t="s">
        <v>452</v>
      </c>
      <c r="J293" t="s">
        <v>433</v>
      </c>
      <c r="K293" t="s">
        <v>84</v>
      </c>
      <c r="L293" t="s">
        <v>9</v>
      </c>
      <c r="M293" t="s">
        <v>10</v>
      </c>
    </row>
    <row r="294" spans="1:13">
      <c r="A294" t="s">
        <v>740</v>
      </c>
      <c r="B294" s="2">
        <v>45783</v>
      </c>
      <c r="C294">
        <v>2025</v>
      </c>
      <c r="D294">
        <v>5</v>
      </c>
      <c r="E294" t="s">
        <v>83</v>
      </c>
      <c r="F294" t="s">
        <v>47</v>
      </c>
      <c r="G294" t="s">
        <v>3</v>
      </c>
      <c r="H294" t="s">
        <v>4</v>
      </c>
      <c r="I294" t="s">
        <v>494</v>
      </c>
      <c r="J294" t="s">
        <v>429</v>
      </c>
      <c r="K294" t="s">
        <v>51</v>
      </c>
      <c r="L294" t="s">
        <v>16</v>
      </c>
      <c r="M294" t="s">
        <v>23</v>
      </c>
    </row>
    <row r="295" spans="1:13">
      <c r="A295" t="s">
        <v>741</v>
      </c>
      <c r="B295" s="2">
        <v>45786</v>
      </c>
      <c r="C295">
        <v>2025</v>
      </c>
      <c r="D295">
        <v>5</v>
      </c>
      <c r="E295" t="s">
        <v>83</v>
      </c>
      <c r="F295" t="s">
        <v>26</v>
      </c>
      <c r="G295" t="s">
        <v>48</v>
      </c>
      <c r="H295" t="s">
        <v>44</v>
      </c>
      <c r="I295" t="s">
        <v>464</v>
      </c>
      <c r="J295" t="s">
        <v>429</v>
      </c>
      <c r="K295" t="s">
        <v>14</v>
      </c>
      <c r="L295" t="s">
        <v>36</v>
      </c>
      <c r="M295" t="s">
        <v>10</v>
      </c>
    </row>
    <row r="296" spans="1:13">
      <c r="A296" t="s">
        <v>742</v>
      </c>
      <c r="B296" s="2">
        <v>45797</v>
      </c>
      <c r="C296">
        <v>2025</v>
      </c>
      <c r="D296">
        <v>5</v>
      </c>
      <c r="E296" t="s">
        <v>83</v>
      </c>
      <c r="F296" t="s">
        <v>31</v>
      </c>
      <c r="G296" t="s">
        <v>64</v>
      </c>
      <c r="H296" t="s">
        <v>12</v>
      </c>
      <c r="I296" t="s">
        <v>442</v>
      </c>
      <c r="J296" t="s">
        <v>429</v>
      </c>
      <c r="K296" t="s">
        <v>51</v>
      </c>
      <c r="L296" t="s">
        <v>9</v>
      </c>
      <c r="M296" t="s">
        <v>10</v>
      </c>
    </row>
    <row r="297" spans="1:13">
      <c r="A297" t="s">
        <v>743</v>
      </c>
      <c r="B297" s="2">
        <v>45805</v>
      </c>
      <c r="C297">
        <v>2025</v>
      </c>
      <c r="D297">
        <v>5</v>
      </c>
      <c r="E297" t="s">
        <v>83</v>
      </c>
      <c r="F297" t="s">
        <v>67</v>
      </c>
      <c r="G297" t="s">
        <v>55</v>
      </c>
      <c r="H297" t="s">
        <v>44</v>
      </c>
      <c r="I297" t="s">
        <v>466</v>
      </c>
      <c r="J297" t="s">
        <v>429</v>
      </c>
      <c r="K297" t="s">
        <v>7</v>
      </c>
      <c r="L297" t="s">
        <v>9</v>
      </c>
      <c r="M297" t="s">
        <v>17</v>
      </c>
    </row>
    <row r="298" spans="1:13">
      <c r="A298" t="s">
        <v>744</v>
      </c>
      <c r="B298" s="2">
        <v>45786</v>
      </c>
      <c r="C298">
        <v>2025</v>
      </c>
      <c r="D298">
        <v>5</v>
      </c>
      <c r="E298" t="s">
        <v>83</v>
      </c>
      <c r="F298" t="s">
        <v>40</v>
      </c>
      <c r="G298" t="s">
        <v>38</v>
      </c>
      <c r="H298" t="s">
        <v>44</v>
      </c>
      <c r="I298" t="s">
        <v>428</v>
      </c>
      <c r="J298" t="s">
        <v>429</v>
      </c>
      <c r="K298" t="s">
        <v>58</v>
      </c>
      <c r="L298" t="s">
        <v>16</v>
      </c>
      <c r="M298" t="s">
        <v>10</v>
      </c>
    </row>
    <row r="299" spans="1:13">
      <c r="A299" t="s">
        <v>745</v>
      </c>
      <c r="B299" s="2">
        <v>45826</v>
      </c>
      <c r="C299">
        <v>2025</v>
      </c>
      <c r="D299">
        <v>6</v>
      </c>
      <c r="E299" t="s">
        <v>87</v>
      </c>
      <c r="F299" t="s">
        <v>40</v>
      </c>
      <c r="G299" t="s">
        <v>94</v>
      </c>
      <c r="H299" t="s">
        <v>44</v>
      </c>
      <c r="I299" t="s">
        <v>440</v>
      </c>
      <c r="J299" t="s">
        <v>429</v>
      </c>
      <c r="K299" t="s">
        <v>21</v>
      </c>
      <c r="L299" t="s">
        <v>9</v>
      </c>
      <c r="M299" t="s">
        <v>10</v>
      </c>
    </row>
    <row r="300" spans="1:13">
      <c r="A300" t="s">
        <v>746</v>
      </c>
      <c r="B300" s="2">
        <v>45834</v>
      </c>
      <c r="C300">
        <v>2025</v>
      </c>
      <c r="D300">
        <v>6</v>
      </c>
      <c r="E300" t="s">
        <v>87</v>
      </c>
      <c r="F300" t="s">
        <v>38</v>
      </c>
      <c r="G300" t="s">
        <v>94</v>
      </c>
      <c r="H300" t="s">
        <v>33</v>
      </c>
      <c r="I300" t="s">
        <v>428</v>
      </c>
      <c r="J300" t="s">
        <v>429</v>
      </c>
      <c r="K300" t="s">
        <v>107</v>
      </c>
      <c r="L300" t="s">
        <v>29</v>
      </c>
      <c r="M300" t="s">
        <v>10</v>
      </c>
    </row>
    <row r="301" spans="1:13">
      <c r="A301" t="s">
        <v>747</v>
      </c>
      <c r="B301" s="2">
        <v>45816</v>
      </c>
      <c r="C301">
        <v>2025</v>
      </c>
      <c r="D301">
        <v>6</v>
      </c>
      <c r="E301" t="s">
        <v>87</v>
      </c>
      <c r="F301" t="s">
        <v>54</v>
      </c>
      <c r="G301" t="s">
        <v>64</v>
      </c>
      <c r="H301" t="s">
        <v>44</v>
      </c>
      <c r="I301" t="s">
        <v>440</v>
      </c>
      <c r="J301" t="s">
        <v>429</v>
      </c>
      <c r="K301" t="s">
        <v>58</v>
      </c>
      <c r="L301" t="s">
        <v>9</v>
      </c>
      <c r="M301" t="s">
        <v>10</v>
      </c>
    </row>
    <row r="302" spans="1:13">
      <c r="A302" t="s">
        <v>748</v>
      </c>
      <c r="B302" s="2">
        <v>45821</v>
      </c>
      <c r="C302">
        <v>2025</v>
      </c>
      <c r="D302">
        <v>6</v>
      </c>
      <c r="E302" t="s">
        <v>87</v>
      </c>
      <c r="F302" t="s">
        <v>38</v>
      </c>
      <c r="G302" t="s">
        <v>48</v>
      </c>
      <c r="H302" t="s">
        <v>33</v>
      </c>
      <c r="I302" t="s">
        <v>431</v>
      </c>
      <c r="J302" t="s">
        <v>433</v>
      </c>
      <c r="K302" t="s">
        <v>71</v>
      </c>
      <c r="L302" t="s">
        <v>29</v>
      </c>
      <c r="M302" t="s">
        <v>10</v>
      </c>
    </row>
    <row r="303" spans="1:13">
      <c r="A303" t="s">
        <v>749</v>
      </c>
      <c r="B303" s="2">
        <v>45835</v>
      </c>
      <c r="C303">
        <v>2025</v>
      </c>
      <c r="D303">
        <v>6</v>
      </c>
      <c r="E303" t="s">
        <v>87</v>
      </c>
      <c r="F303" t="s">
        <v>47</v>
      </c>
      <c r="G303" t="s">
        <v>48</v>
      </c>
      <c r="H303" t="s">
        <v>12</v>
      </c>
      <c r="I303" t="s">
        <v>440</v>
      </c>
      <c r="J303" t="s">
        <v>429</v>
      </c>
      <c r="K303" t="s">
        <v>21</v>
      </c>
      <c r="L303" t="s">
        <v>9</v>
      </c>
      <c r="M303" t="s">
        <v>10</v>
      </c>
    </row>
    <row r="304" spans="1:13">
      <c r="A304" t="s">
        <v>750</v>
      </c>
      <c r="B304" s="2">
        <v>45822</v>
      </c>
      <c r="C304">
        <v>2025</v>
      </c>
      <c r="D304">
        <v>6</v>
      </c>
      <c r="E304" t="s">
        <v>87</v>
      </c>
      <c r="F304" t="s">
        <v>67</v>
      </c>
      <c r="G304" t="s">
        <v>48</v>
      </c>
      <c r="H304" t="s">
        <v>33</v>
      </c>
      <c r="I304" t="s">
        <v>444</v>
      </c>
      <c r="J304" t="s">
        <v>429</v>
      </c>
      <c r="K304" t="s">
        <v>51</v>
      </c>
      <c r="L304" t="s">
        <v>9</v>
      </c>
      <c r="M304" t="s">
        <v>10</v>
      </c>
    </row>
    <row r="305" spans="1:13">
      <c r="A305" t="s">
        <v>751</v>
      </c>
      <c r="B305" s="2">
        <v>45833</v>
      </c>
      <c r="C305">
        <v>2025</v>
      </c>
      <c r="D305">
        <v>6</v>
      </c>
      <c r="E305" t="s">
        <v>87</v>
      </c>
      <c r="F305" t="s">
        <v>67</v>
      </c>
      <c r="G305" t="s">
        <v>94</v>
      </c>
      <c r="H305" t="s">
        <v>33</v>
      </c>
      <c r="I305" t="s">
        <v>438</v>
      </c>
      <c r="J305" t="s">
        <v>429</v>
      </c>
      <c r="K305" t="s">
        <v>7</v>
      </c>
      <c r="L305" t="s">
        <v>36</v>
      </c>
      <c r="M305" t="s">
        <v>10</v>
      </c>
    </row>
    <row r="306" spans="1:13">
      <c r="A306" t="s">
        <v>752</v>
      </c>
      <c r="B306" s="2">
        <v>45817</v>
      </c>
      <c r="C306">
        <v>2025</v>
      </c>
      <c r="D306">
        <v>6</v>
      </c>
      <c r="E306" t="s">
        <v>87</v>
      </c>
      <c r="F306" t="s">
        <v>54</v>
      </c>
      <c r="G306" t="s">
        <v>20</v>
      </c>
      <c r="H306" t="s">
        <v>12</v>
      </c>
      <c r="I306" t="s">
        <v>444</v>
      </c>
      <c r="J306" t="s">
        <v>433</v>
      </c>
      <c r="K306" t="s">
        <v>14</v>
      </c>
      <c r="L306" t="s">
        <v>16</v>
      </c>
      <c r="M306" t="s">
        <v>17</v>
      </c>
    </row>
    <row r="307" spans="1:13">
      <c r="A307" t="s">
        <v>753</v>
      </c>
      <c r="B307" s="2">
        <v>45825</v>
      </c>
      <c r="C307">
        <v>2025</v>
      </c>
      <c r="D307">
        <v>6</v>
      </c>
      <c r="E307" t="s">
        <v>87</v>
      </c>
      <c r="F307" t="s">
        <v>19</v>
      </c>
      <c r="G307" t="s">
        <v>32</v>
      </c>
      <c r="H307" t="s">
        <v>33</v>
      </c>
      <c r="I307" t="s">
        <v>442</v>
      </c>
      <c r="J307" t="s">
        <v>433</v>
      </c>
      <c r="K307" t="s">
        <v>107</v>
      </c>
      <c r="L307" t="s">
        <v>36</v>
      </c>
      <c r="M307" t="s">
        <v>17</v>
      </c>
    </row>
    <row r="308" spans="1:13">
      <c r="A308" t="s">
        <v>754</v>
      </c>
      <c r="B308" s="2">
        <v>45813</v>
      </c>
      <c r="C308">
        <v>2025</v>
      </c>
      <c r="D308">
        <v>6</v>
      </c>
      <c r="E308" t="s">
        <v>87</v>
      </c>
      <c r="F308" t="s">
        <v>19</v>
      </c>
      <c r="G308" t="s">
        <v>55</v>
      </c>
      <c r="H308" t="s">
        <v>4</v>
      </c>
      <c r="I308" t="s">
        <v>84</v>
      </c>
      <c r="J308" t="s">
        <v>429</v>
      </c>
      <c r="K308" t="s">
        <v>71</v>
      </c>
      <c r="L308" t="s">
        <v>9</v>
      </c>
      <c r="M308" t="s">
        <v>10</v>
      </c>
    </row>
    <row r="309" spans="1:13">
      <c r="A309" t="s">
        <v>755</v>
      </c>
      <c r="B309" s="2">
        <v>45819</v>
      </c>
      <c r="C309">
        <v>2025</v>
      </c>
      <c r="D309">
        <v>6</v>
      </c>
      <c r="E309" t="s">
        <v>87</v>
      </c>
      <c r="F309" t="s">
        <v>78</v>
      </c>
      <c r="G309" t="s">
        <v>74</v>
      </c>
      <c r="H309" t="s">
        <v>12</v>
      </c>
      <c r="I309" t="s">
        <v>440</v>
      </c>
      <c r="J309" t="s">
        <v>429</v>
      </c>
      <c r="K309" t="s">
        <v>7</v>
      </c>
      <c r="L309" t="s">
        <v>29</v>
      </c>
      <c r="M309" t="s">
        <v>10</v>
      </c>
    </row>
    <row r="310" spans="1:13">
      <c r="A310" t="s">
        <v>756</v>
      </c>
      <c r="B310" s="2">
        <v>45824</v>
      </c>
      <c r="C310">
        <v>2025</v>
      </c>
      <c r="D310">
        <v>6</v>
      </c>
      <c r="E310" t="s">
        <v>87</v>
      </c>
      <c r="F310" t="s">
        <v>38</v>
      </c>
      <c r="G310" t="s">
        <v>32</v>
      </c>
      <c r="H310" t="s">
        <v>33</v>
      </c>
      <c r="I310" t="s">
        <v>464</v>
      </c>
      <c r="J310" t="s">
        <v>429</v>
      </c>
      <c r="K310" t="s">
        <v>14</v>
      </c>
      <c r="L310" t="s">
        <v>36</v>
      </c>
      <c r="M310" t="s">
        <v>10</v>
      </c>
    </row>
    <row r="311" spans="1:13">
      <c r="A311" t="s">
        <v>757</v>
      </c>
      <c r="B311" s="2">
        <v>45828</v>
      </c>
      <c r="C311">
        <v>2025</v>
      </c>
      <c r="D311">
        <v>6</v>
      </c>
      <c r="E311" t="s">
        <v>87</v>
      </c>
      <c r="F311" t="s">
        <v>40</v>
      </c>
      <c r="G311" t="s">
        <v>27</v>
      </c>
      <c r="H311" t="s">
        <v>33</v>
      </c>
      <c r="I311" t="s">
        <v>466</v>
      </c>
      <c r="J311" t="s">
        <v>429</v>
      </c>
      <c r="K311" t="s">
        <v>107</v>
      </c>
      <c r="L311" t="s">
        <v>9</v>
      </c>
      <c r="M311" t="s">
        <v>10</v>
      </c>
    </row>
    <row r="312" spans="1:13">
      <c r="A312" t="s">
        <v>758</v>
      </c>
      <c r="B312" s="2">
        <v>45816</v>
      </c>
      <c r="C312">
        <v>2025</v>
      </c>
      <c r="D312">
        <v>6</v>
      </c>
      <c r="E312" t="s">
        <v>87</v>
      </c>
      <c r="F312" t="s">
        <v>40</v>
      </c>
      <c r="G312" t="s">
        <v>61</v>
      </c>
      <c r="H312" t="s">
        <v>33</v>
      </c>
      <c r="I312" t="s">
        <v>464</v>
      </c>
      <c r="J312" t="s">
        <v>429</v>
      </c>
      <c r="K312" t="s">
        <v>107</v>
      </c>
      <c r="L312" t="s">
        <v>16</v>
      </c>
      <c r="M312" t="s">
        <v>10</v>
      </c>
    </row>
    <row r="313" spans="1:13">
      <c r="A313" t="s">
        <v>759</v>
      </c>
      <c r="B313" s="2">
        <v>45860</v>
      </c>
      <c r="C313">
        <v>2025</v>
      </c>
      <c r="D313">
        <v>7</v>
      </c>
      <c r="E313" t="s">
        <v>93</v>
      </c>
      <c r="F313" t="s">
        <v>78</v>
      </c>
      <c r="G313" t="s">
        <v>3</v>
      </c>
      <c r="H313" t="s">
        <v>44</v>
      </c>
      <c r="I313" t="s">
        <v>428</v>
      </c>
      <c r="J313" t="s">
        <v>429</v>
      </c>
      <c r="K313" t="s">
        <v>107</v>
      </c>
      <c r="L313" t="s">
        <v>16</v>
      </c>
      <c r="M313" t="s">
        <v>23</v>
      </c>
    </row>
    <row r="314" spans="1:13">
      <c r="A314" t="s">
        <v>760</v>
      </c>
      <c r="B314" s="2">
        <v>45851</v>
      </c>
      <c r="C314">
        <v>2025</v>
      </c>
      <c r="D314">
        <v>7</v>
      </c>
      <c r="E314" t="s">
        <v>93</v>
      </c>
      <c r="F314" t="s">
        <v>31</v>
      </c>
      <c r="G314" t="s">
        <v>69</v>
      </c>
      <c r="H314" t="s">
        <v>44</v>
      </c>
      <c r="I314" t="s">
        <v>446</v>
      </c>
      <c r="J314" t="s">
        <v>429</v>
      </c>
      <c r="K314" t="s">
        <v>41</v>
      </c>
      <c r="L314" t="s">
        <v>36</v>
      </c>
      <c r="M314" t="s">
        <v>10</v>
      </c>
    </row>
    <row r="315" spans="1:13">
      <c r="A315" t="s">
        <v>761</v>
      </c>
      <c r="B315" s="2">
        <v>45847</v>
      </c>
      <c r="C315">
        <v>2025</v>
      </c>
      <c r="D315">
        <v>7</v>
      </c>
      <c r="E315" t="s">
        <v>93</v>
      </c>
      <c r="F315" t="s">
        <v>2</v>
      </c>
      <c r="G315" t="s">
        <v>61</v>
      </c>
      <c r="H315" t="s">
        <v>12</v>
      </c>
      <c r="I315" t="s">
        <v>442</v>
      </c>
      <c r="J315" t="s">
        <v>429</v>
      </c>
      <c r="K315" t="s">
        <v>71</v>
      </c>
      <c r="L315" t="s">
        <v>16</v>
      </c>
      <c r="M315" t="s">
        <v>10</v>
      </c>
    </row>
    <row r="316" spans="1:13">
      <c r="A316" t="s">
        <v>762</v>
      </c>
      <c r="B316" s="2">
        <v>45866</v>
      </c>
      <c r="C316">
        <v>2025</v>
      </c>
      <c r="D316">
        <v>7</v>
      </c>
      <c r="E316" t="s">
        <v>93</v>
      </c>
      <c r="F316" t="s">
        <v>26</v>
      </c>
      <c r="G316" t="s">
        <v>61</v>
      </c>
      <c r="H316" t="s">
        <v>4</v>
      </c>
      <c r="I316" t="s">
        <v>519</v>
      </c>
      <c r="J316" t="s">
        <v>429</v>
      </c>
      <c r="K316" t="s">
        <v>51</v>
      </c>
      <c r="L316" t="s">
        <v>36</v>
      </c>
      <c r="M316" t="s">
        <v>10</v>
      </c>
    </row>
    <row r="317" spans="1:13">
      <c r="A317" t="s">
        <v>763</v>
      </c>
      <c r="B317" s="2">
        <v>45864</v>
      </c>
      <c r="C317">
        <v>2025</v>
      </c>
      <c r="D317">
        <v>7</v>
      </c>
      <c r="E317" t="s">
        <v>93</v>
      </c>
      <c r="F317" t="s">
        <v>31</v>
      </c>
      <c r="G317" t="s">
        <v>94</v>
      </c>
      <c r="H317" t="s">
        <v>12</v>
      </c>
      <c r="I317" t="s">
        <v>444</v>
      </c>
      <c r="J317" t="s">
        <v>429</v>
      </c>
      <c r="K317" t="s">
        <v>21</v>
      </c>
      <c r="L317" t="s">
        <v>9</v>
      </c>
      <c r="M317" t="s">
        <v>10</v>
      </c>
    </row>
    <row r="318" spans="1:13">
      <c r="A318" t="s">
        <v>764</v>
      </c>
      <c r="B318" s="2">
        <v>45858</v>
      </c>
      <c r="C318">
        <v>2025</v>
      </c>
      <c r="D318">
        <v>7</v>
      </c>
      <c r="E318" t="s">
        <v>93</v>
      </c>
      <c r="F318" t="s">
        <v>47</v>
      </c>
      <c r="G318" t="s">
        <v>74</v>
      </c>
      <c r="H318" t="s">
        <v>44</v>
      </c>
      <c r="I318" t="s">
        <v>473</v>
      </c>
      <c r="J318" t="s">
        <v>433</v>
      </c>
      <c r="K318" t="s">
        <v>51</v>
      </c>
      <c r="L318" t="s">
        <v>9</v>
      </c>
      <c r="M318" t="s">
        <v>10</v>
      </c>
    </row>
    <row r="319" spans="1:13">
      <c r="A319" t="s">
        <v>765</v>
      </c>
      <c r="B319" s="2">
        <v>45839</v>
      </c>
      <c r="C319">
        <v>2025</v>
      </c>
      <c r="D319">
        <v>7</v>
      </c>
      <c r="E319" t="s">
        <v>93</v>
      </c>
      <c r="F319" t="s">
        <v>47</v>
      </c>
      <c r="G319" t="s">
        <v>38</v>
      </c>
      <c r="H319" t="s">
        <v>4</v>
      </c>
      <c r="I319" t="s">
        <v>435</v>
      </c>
      <c r="J319" t="s">
        <v>429</v>
      </c>
      <c r="K319" t="s">
        <v>21</v>
      </c>
      <c r="L319" t="s">
        <v>16</v>
      </c>
      <c r="M319" t="s">
        <v>10</v>
      </c>
    </row>
    <row r="320" spans="1:13">
      <c r="A320" t="s">
        <v>766</v>
      </c>
      <c r="B320" s="2">
        <v>45866</v>
      </c>
      <c r="C320">
        <v>2025</v>
      </c>
      <c r="D320">
        <v>7</v>
      </c>
      <c r="E320" t="s">
        <v>93</v>
      </c>
      <c r="F320" t="s">
        <v>47</v>
      </c>
      <c r="G320" t="s">
        <v>69</v>
      </c>
      <c r="H320" t="s">
        <v>33</v>
      </c>
      <c r="I320" t="s">
        <v>444</v>
      </c>
      <c r="J320" t="s">
        <v>429</v>
      </c>
      <c r="K320" t="s">
        <v>41</v>
      </c>
      <c r="L320" t="s">
        <v>16</v>
      </c>
      <c r="M320" t="s">
        <v>17</v>
      </c>
    </row>
    <row r="321" spans="1:13">
      <c r="A321" t="s">
        <v>767</v>
      </c>
      <c r="B321" s="2">
        <v>45846</v>
      </c>
      <c r="C321">
        <v>2025</v>
      </c>
      <c r="D321">
        <v>7</v>
      </c>
      <c r="E321" t="s">
        <v>93</v>
      </c>
      <c r="F321" t="s">
        <v>67</v>
      </c>
      <c r="G321" t="s">
        <v>55</v>
      </c>
      <c r="H321" t="s">
        <v>4</v>
      </c>
      <c r="I321" t="s">
        <v>519</v>
      </c>
      <c r="J321" t="s">
        <v>429</v>
      </c>
      <c r="K321" t="s">
        <v>84</v>
      </c>
      <c r="L321" t="s">
        <v>9</v>
      </c>
      <c r="M321" t="s">
        <v>17</v>
      </c>
    </row>
    <row r="322" spans="1:13">
      <c r="A322" t="s">
        <v>768</v>
      </c>
      <c r="B322" s="2">
        <v>45852</v>
      </c>
      <c r="C322">
        <v>2025</v>
      </c>
      <c r="D322">
        <v>7</v>
      </c>
      <c r="E322" t="s">
        <v>93</v>
      </c>
      <c r="F322" t="s">
        <v>47</v>
      </c>
      <c r="G322" t="s">
        <v>3</v>
      </c>
      <c r="H322" t="s">
        <v>4</v>
      </c>
      <c r="I322" t="s">
        <v>84</v>
      </c>
      <c r="J322" t="s">
        <v>429</v>
      </c>
      <c r="K322" t="s">
        <v>14</v>
      </c>
      <c r="L322" t="s">
        <v>16</v>
      </c>
      <c r="M322" t="s">
        <v>10</v>
      </c>
    </row>
    <row r="323" spans="1:13">
      <c r="A323" t="s">
        <v>769</v>
      </c>
      <c r="B323" s="2">
        <v>45866</v>
      </c>
      <c r="C323">
        <v>2025</v>
      </c>
      <c r="D323">
        <v>7</v>
      </c>
      <c r="E323" t="s">
        <v>93</v>
      </c>
      <c r="F323" t="s">
        <v>78</v>
      </c>
      <c r="G323" t="s">
        <v>27</v>
      </c>
      <c r="H323" t="s">
        <v>4</v>
      </c>
      <c r="I323" t="s">
        <v>462</v>
      </c>
      <c r="J323" t="s">
        <v>429</v>
      </c>
      <c r="K323" t="s">
        <v>14</v>
      </c>
      <c r="L323" t="s">
        <v>16</v>
      </c>
      <c r="M323" t="s">
        <v>17</v>
      </c>
    </row>
    <row r="324" spans="1:13">
      <c r="A324" t="s">
        <v>770</v>
      </c>
      <c r="B324" s="2">
        <v>45853</v>
      </c>
      <c r="C324">
        <v>2025</v>
      </c>
      <c r="D324">
        <v>7</v>
      </c>
      <c r="E324" t="s">
        <v>93</v>
      </c>
      <c r="F324" t="s">
        <v>67</v>
      </c>
      <c r="G324" t="s">
        <v>3</v>
      </c>
      <c r="H324" t="s">
        <v>44</v>
      </c>
      <c r="I324" t="s">
        <v>446</v>
      </c>
      <c r="J324" t="s">
        <v>433</v>
      </c>
      <c r="K324" t="s">
        <v>51</v>
      </c>
      <c r="L324" t="s">
        <v>29</v>
      </c>
      <c r="M324" t="s">
        <v>10</v>
      </c>
    </row>
    <row r="325" spans="1:13">
      <c r="A325" t="s">
        <v>771</v>
      </c>
      <c r="B325" s="2">
        <v>45851</v>
      </c>
      <c r="C325">
        <v>2025</v>
      </c>
      <c r="D325">
        <v>7</v>
      </c>
      <c r="E325" t="s">
        <v>93</v>
      </c>
      <c r="F325" t="s">
        <v>26</v>
      </c>
      <c r="G325" t="s">
        <v>94</v>
      </c>
      <c r="H325" t="s">
        <v>33</v>
      </c>
      <c r="I325" t="s">
        <v>84</v>
      </c>
      <c r="J325" t="s">
        <v>429</v>
      </c>
      <c r="K325" t="s">
        <v>7</v>
      </c>
      <c r="L325" t="s">
        <v>29</v>
      </c>
      <c r="M325" t="s">
        <v>17</v>
      </c>
    </row>
    <row r="326" spans="1:13">
      <c r="A326" t="s">
        <v>772</v>
      </c>
      <c r="B326" s="2">
        <v>45866</v>
      </c>
      <c r="C326">
        <v>2025</v>
      </c>
      <c r="D326">
        <v>7</v>
      </c>
      <c r="E326" t="s">
        <v>93</v>
      </c>
      <c r="F326" t="s">
        <v>38</v>
      </c>
      <c r="G326" t="s">
        <v>38</v>
      </c>
      <c r="H326" t="s">
        <v>33</v>
      </c>
      <c r="I326" t="s">
        <v>84</v>
      </c>
      <c r="J326" t="s">
        <v>429</v>
      </c>
      <c r="K326" t="s">
        <v>56</v>
      </c>
      <c r="L326" t="s">
        <v>36</v>
      </c>
      <c r="M326" t="s">
        <v>23</v>
      </c>
    </row>
    <row r="327" spans="1:13">
      <c r="A327" t="s">
        <v>773</v>
      </c>
      <c r="B327" s="2">
        <v>45863</v>
      </c>
      <c r="C327">
        <v>2025</v>
      </c>
      <c r="D327">
        <v>7</v>
      </c>
      <c r="E327" t="s">
        <v>93</v>
      </c>
      <c r="F327" t="s">
        <v>26</v>
      </c>
      <c r="G327" t="s">
        <v>32</v>
      </c>
      <c r="H327" t="s">
        <v>33</v>
      </c>
      <c r="I327" t="s">
        <v>519</v>
      </c>
      <c r="J327" t="s">
        <v>429</v>
      </c>
      <c r="K327" t="s">
        <v>58</v>
      </c>
      <c r="L327" t="s">
        <v>16</v>
      </c>
      <c r="M327" t="s">
        <v>10</v>
      </c>
    </row>
    <row r="328" spans="1:13">
      <c r="A328" t="s">
        <v>774</v>
      </c>
      <c r="B328" s="2">
        <v>45866</v>
      </c>
      <c r="C328">
        <v>2025</v>
      </c>
      <c r="D328">
        <v>7</v>
      </c>
      <c r="E328" t="s">
        <v>93</v>
      </c>
      <c r="F328" t="s">
        <v>67</v>
      </c>
      <c r="G328" t="s">
        <v>48</v>
      </c>
      <c r="H328" t="s">
        <v>4</v>
      </c>
      <c r="I328" t="s">
        <v>519</v>
      </c>
      <c r="J328" t="s">
        <v>429</v>
      </c>
      <c r="K328" t="s">
        <v>21</v>
      </c>
      <c r="L328" t="s">
        <v>29</v>
      </c>
      <c r="M328" t="s">
        <v>23</v>
      </c>
    </row>
    <row r="329" spans="1:13">
      <c r="A329" t="s">
        <v>775</v>
      </c>
      <c r="B329" s="2">
        <v>45848</v>
      </c>
      <c r="C329">
        <v>2025</v>
      </c>
      <c r="D329">
        <v>7</v>
      </c>
      <c r="E329" t="s">
        <v>93</v>
      </c>
      <c r="F329" t="s">
        <v>38</v>
      </c>
      <c r="G329" t="s">
        <v>48</v>
      </c>
      <c r="H329" t="s">
        <v>4</v>
      </c>
      <c r="I329" t="s">
        <v>442</v>
      </c>
      <c r="J329" t="s">
        <v>429</v>
      </c>
      <c r="K329" t="s">
        <v>7</v>
      </c>
      <c r="L329" t="s">
        <v>9</v>
      </c>
      <c r="M329" t="s">
        <v>17</v>
      </c>
    </row>
    <row r="330" spans="1:13">
      <c r="A330" t="s">
        <v>776</v>
      </c>
      <c r="B330" s="2">
        <v>45847</v>
      </c>
      <c r="C330">
        <v>2025</v>
      </c>
      <c r="D330">
        <v>7</v>
      </c>
      <c r="E330" t="s">
        <v>93</v>
      </c>
      <c r="F330" t="s">
        <v>19</v>
      </c>
      <c r="G330" t="s">
        <v>64</v>
      </c>
      <c r="H330" t="s">
        <v>4</v>
      </c>
      <c r="I330" t="s">
        <v>84</v>
      </c>
      <c r="J330" t="s">
        <v>429</v>
      </c>
      <c r="K330" t="s">
        <v>84</v>
      </c>
      <c r="L330" t="s">
        <v>29</v>
      </c>
      <c r="M330" t="s">
        <v>17</v>
      </c>
    </row>
    <row r="331" spans="1:13">
      <c r="A331" t="s">
        <v>777</v>
      </c>
      <c r="B331" s="2">
        <v>45878</v>
      </c>
      <c r="C331">
        <v>2025</v>
      </c>
      <c r="D331">
        <v>8</v>
      </c>
      <c r="E331" t="s">
        <v>101</v>
      </c>
      <c r="F331" t="s">
        <v>26</v>
      </c>
      <c r="G331" t="s">
        <v>94</v>
      </c>
      <c r="H331" t="s">
        <v>44</v>
      </c>
      <c r="I331" t="s">
        <v>435</v>
      </c>
      <c r="J331" t="s">
        <v>429</v>
      </c>
      <c r="K331" t="s">
        <v>51</v>
      </c>
      <c r="L331" t="s">
        <v>16</v>
      </c>
      <c r="M331" t="s">
        <v>10</v>
      </c>
    </row>
    <row r="332" spans="1:13">
      <c r="A332" t="s">
        <v>778</v>
      </c>
      <c r="B332" s="2">
        <v>45891</v>
      </c>
      <c r="C332">
        <v>2025</v>
      </c>
      <c r="D332">
        <v>8</v>
      </c>
      <c r="E332" t="s">
        <v>101</v>
      </c>
      <c r="F332" t="s">
        <v>26</v>
      </c>
      <c r="G332" t="s">
        <v>32</v>
      </c>
      <c r="H332" t="s">
        <v>33</v>
      </c>
      <c r="I332" t="s">
        <v>446</v>
      </c>
      <c r="J332" t="s">
        <v>429</v>
      </c>
      <c r="K332" t="s">
        <v>41</v>
      </c>
      <c r="L332" t="s">
        <v>16</v>
      </c>
      <c r="M332" t="s">
        <v>10</v>
      </c>
    </row>
    <row r="333" spans="1:13">
      <c r="A333" t="s">
        <v>779</v>
      </c>
      <c r="B333" s="2">
        <v>45878</v>
      </c>
      <c r="C333">
        <v>2025</v>
      </c>
      <c r="D333">
        <v>8</v>
      </c>
      <c r="E333" t="s">
        <v>101</v>
      </c>
      <c r="F333" t="s">
        <v>78</v>
      </c>
      <c r="G333" t="s">
        <v>74</v>
      </c>
      <c r="H333" t="s">
        <v>12</v>
      </c>
      <c r="I333" t="s">
        <v>454</v>
      </c>
      <c r="J333" t="s">
        <v>433</v>
      </c>
      <c r="K333" t="s">
        <v>51</v>
      </c>
      <c r="L333" t="s">
        <v>29</v>
      </c>
      <c r="M333" t="s">
        <v>10</v>
      </c>
    </row>
    <row r="334" spans="1:13">
      <c r="A334" t="s">
        <v>780</v>
      </c>
      <c r="B334" s="2">
        <v>45883</v>
      </c>
      <c r="C334">
        <v>2025</v>
      </c>
      <c r="D334">
        <v>8</v>
      </c>
      <c r="E334" t="s">
        <v>101</v>
      </c>
      <c r="F334" t="s">
        <v>2</v>
      </c>
      <c r="G334" t="s">
        <v>48</v>
      </c>
      <c r="H334" t="s">
        <v>44</v>
      </c>
      <c r="I334" t="s">
        <v>457</v>
      </c>
      <c r="J334" t="s">
        <v>429</v>
      </c>
      <c r="K334" t="s">
        <v>51</v>
      </c>
      <c r="L334" t="s">
        <v>36</v>
      </c>
      <c r="M334" t="s">
        <v>10</v>
      </c>
    </row>
    <row r="335" spans="1:13">
      <c r="A335" t="s">
        <v>781</v>
      </c>
      <c r="B335" s="2">
        <v>45897</v>
      </c>
      <c r="C335">
        <v>2025</v>
      </c>
      <c r="D335">
        <v>8</v>
      </c>
      <c r="E335" t="s">
        <v>101</v>
      </c>
      <c r="F335" t="s">
        <v>40</v>
      </c>
      <c r="G335" t="s">
        <v>55</v>
      </c>
      <c r="H335" t="s">
        <v>33</v>
      </c>
      <c r="I335" t="s">
        <v>464</v>
      </c>
      <c r="J335" t="s">
        <v>429</v>
      </c>
      <c r="K335" t="s">
        <v>14</v>
      </c>
      <c r="L335" t="s">
        <v>36</v>
      </c>
      <c r="M335" t="s">
        <v>17</v>
      </c>
    </row>
    <row r="336" spans="1:13">
      <c r="A336" t="s">
        <v>782</v>
      </c>
      <c r="B336" s="2">
        <v>45882</v>
      </c>
      <c r="C336">
        <v>2025</v>
      </c>
      <c r="D336">
        <v>8</v>
      </c>
      <c r="E336" t="s">
        <v>101</v>
      </c>
      <c r="F336" t="s">
        <v>26</v>
      </c>
      <c r="G336" t="s">
        <v>69</v>
      </c>
      <c r="H336" t="s">
        <v>12</v>
      </c>
      <c r="I336" t="s">
        <v>438</v>
      </c>
      <c r="J336" t="s">
        <v>429</v>
      </c>
      <c r="K336" t="s">
        <v>71</v>
      </c>
      <c r="L336" t="s">
        <v>16</v>
      </c>
      <c r="M336" t="s">
        <v>10</v>
      </c>
    </row>
    <row r="337" spans="1:13">
      <c r="A337" t="s">
        <v>783</v>
      </c>
      <c r="B337" s="2">
        <v>45884</v>
      </c>
      <c r="C337">
        <v>2025</v>
      </c>
      <c r="D337">
        <v>8</v>
      </c>
      <c r="E337" t="s">
        <v>101</v>
      </c>
      <c r="F337" t="s">
        <v>54</v>
      </c>
      <c r="G337" t="s">
        <v>38</v>
      </c>
      <c r="H337" t="s">
        <v>12</v>
      </c>
      <c r="I337" t="s">
        <v>452</v>
      </c>
      <c r="J337" t="s">
        <v>433</v>
      </c>
      <c r="K337" t="s">
        <v>58</v>
      </c>
      <c r="L337" t="s">
        <v>9</v>
      </c>
      <c r="M337" t="s">
        <v>17</v>
      </c>
    </row>
    <row r="338" spans="1:13">
      <c r="A338" t="s">
        <v>784</v>
      </c>
      <c r="B338" s="2">
        <v>45886</v>
      </c>
      <c r="C338">
        <v>2025</v>
      </c>
      <c r="D338">
        <v>8</v>
      </c>
      <c r="E338" t="s">
        <v>101</v>
      </c>
      <c r="F338" t="s">
        <v>26</v>
      </c>
      <c r="G338" t="s">
        <v>64</v>
      </c>
      <c r="H338" t="s">
        <v>33</v>
      </c>
      <c r="I338" t="s">
        <v>440</v>
      </c>
      <c r="J338" t="s">
        <v>429</v>
      </c>
      <c r="K338" t="s">
        <v>51</v>
      </c>
      <c r="L338" t="s">
        <v>9</v>
      </c>
      <c r="M338" t="s">
        <v>23</v>
      </c>
    </row>
    <row r="339" spans="1:13">
      <c r="A339" t="s">
        <v>785</v>
      </c>
      <c r="B339" s="2">
        <v>45875</v>
      </c>
      <c r="C339">
        <v>2025</v>
      </c>
      <c r="D339">
        <v>8</v>
      </c>
      <c r="E339" t="s">
        <v>101</v>
      </c>
      <c r="F339" t="s">
        <v>40</v>
      </c>
      <c r="G339" t="s">
        <v>3</v>
      </c>
      <c r="H339" t="s">
        <v>33</v>
      </c>
      <c r="I339" t="s">
        <v>494</v>
      </c>
      <c r="J339" t="s">
        <v>433</v>
      </c>
      <c r="K339" t="s">
        <v>41</v>
      </c>
      <c r="L339" t="s">
        <v>29</v>
      </c>
      <c r="M339" t="s">
        <v>10</v>
      </c>
    </row>
    <row r="340" spans="1:13">
      <c r="A340" t="s">
        <v>786</v>
      </c>
      <c r="B340" s="2">
        <v>45883</v>
      </c>
      <c r="C340">
        <v>2025</v>
      </c>
      <c r="D340">
        <v>8</v>
      </c>
      <c r="E340" t="s">
        <v>101</v>
      </c>
      <c r="F340" t="s">
        <v>78</v>
      </c>
      <c r="G340" t="s">
        <v>38</v>
      </c>
      <c r="H340" t="s">
        <v>4</v>
      </c>
      <c r="I340" t="s">
        <v>446</v>
      </c>
      <c r="J340" t="s">
        <v>429</v>
      </c>
      <c r="K340" t="s">
        <v>51</v>
      </c>
      <c r="L340" t="s">
        <v>9</v>
      </c>
      <c r="M340" t="s">
        <v>10</v>
      </c>
    </row>
    <row r="341" spans="1:13">
      <c r="A341" t="s">
        <v>787</v>
      </c>
      <c r="B341" s="2">
        <v>45873</v>
      </c>
      <c r="C341">
        <v>2025</v>
      </c>
      <c r="D341">
        <v>8</v>
      </c>
      <c r="E341" t="s">
        <v>101</v>
      </c>
      <c r="F341" t="s">
        <v>40</v>
      </c>
      <c r="G341" t="s">
        <v>32</v>
      </c>
      <c r="H341" t="s">
        <v>33</v>
      </c>
      <c r="I341" t="s">
        <v>428</v>
      </c>
      <c r="J341" t="s">
        <v>429</v>
      </c>
      <c r="K341" t="s">
        <v>56</v>
      </c>
      <c r="L341" t="s">
        <v>36</v>
      </c>
      <c r="M341" t="s">
        <v>10</v>
      </c>
    </row>
    <row r="342" spans="1:13">
      <c r="A342" t="s">
        <v>788</v>
      </c>
      <c r="B342" s="2">
        <v>45890</v>
      </c>
      <c r="C342">
        <v>2025</v>
      </c>
      <c r="D342">
        <v>8</v>
      </c>
      <c r="E342" t="s">
        <v>101</v>
      </c>
      <c r="F342" t="s">
        <v>2</v>
      </c>
      <c r="G342" t="s">
        <v>38</v>
      </c>
      <c r="H342" t="s">
        <v>33</v>
      </c>
      <c r="I342" t="s">
        <v>460</v>
      </c>
      <c r="J342" t="s">
        <v>433</v>
      </c>
      <c r="K342" t="s">
        <v>58</v>
      </c>
      <c r="L342" t="s">
        <v>29</v>
      </c>
      <c r="M342" t="s">
        <v>10</v>
      </c>
    </row>
    <row r="343" spans="1:13">
      <c r="A343" t="s">
        <v>789</v>
      </c>
      <c r="B343" s="2">
        <v>45884</v>
      </c>
      <c r="C343">
        <v>2025</v>
      </c>
      <c r="D343">
        <v>8</v>
      </c>
      <c r="E343" t="s">
        <v>101</v>
      </c>
      <c r="F343" t="s">
        <v>54</v>
      </c>
      <c r="G343" t="s">
        <v>61</v>
      </c>
      <c r="H343" t="s">
        <v>44</v>
      </c>
      <c r="I343" t="s">
        <v>494</v>
      </c>
      <c r="J343" t="s">
        <v>429</v>
      </c>
      <c r="K343" t="s">
        <v>51</v>
      </c>
      <c r="L343" t="s">
        <v>9</v>
      </c>
      <c r="M343" t="s">
        <v>10</v>
      </c>
    </row>
    <row r="344" spans="1:13">
      <c r="A344" t="s">
        <v>790</v>
      </c>
      <c r="B344" s="2">
        <v>45891</v>
      </c>
      <c r="C344">
        <v>2025</v>
      </c>
      <c r="D344">
        <v>8</v>
      </c>
      <c r="E344" t="s">
        <v>101</v>
      </c>
      <c r="F344" t="s">
        <v>40</v>
      </c>
      <c r="G344" t="s">
        <v>69</v>
      </c>
      <c r="H344" t="s">
        <v>4</v>
      </c>
      <c r="I344" t="s">
        <v>84</v>
      </c>
      <c r="J344" t="s">
        <v>429</v>
      </c>
      <c r="K344" t="s">
        <v>51</v>
      </c>
      <c r="L344" t="s">
        <v>16</v>
      </c>
      <c r="M344" t="s">
        <v>10</v>
      </c>
    </row>
    <row r="345" spans="1:13">
      <c r="A345" t="s">
        <v>791</v>
      </c>
      <c r="B345" s="2">
        <v>45894</v>
      </c>
      <c r="C345">
        <v>2025</v>
      </c>
      <c r="D345">
        <v>8</v>
      </c>
      <c r="E345" t="s">
        <v>101</v>
      </c>
      <c r="F345" t="s">
        <v>19</v>
      </c>
      <c r="G345" t="s">
        <v>55</v>
      </c>
      <c r="H345" t="s">
        <v>44</v>
      </c>
      <c r="I345" t="s">
        <v>446</v>
      </c>
      <c r="J345" t="s">
        <v>429</v>
      </c>
      <c r="K345" t="s">
        <v>56</v>
      </c>
      <c r="L345" t="s">
        <v>16</v>
      </c>
      <c r="M345" t="s">
        <v>10</v>
      </c>
    </row>
    <row r="346" spans="1:13">
      <c r="A346" t="s">
        <v>792</v>
      </c>
      <c r="B346" s="2">
        <v>45896</v>
      </c>
      <c r="C346">
        <v>2025</v>
      </c>
      <c r="D346">
        <v>8</v>
      </c>
      <c r="E346" t="s">
        <v>101</v>
      </c>
      <c r="F346" t="s">
        <v>54</v>
      </c>
      <c r="G346" t="s">
        <v>61</v>
      </c>
      <c r="H346" t="s">
        <v>33</v>
      </c>
      <c r="I346" t="s">
        <v>454</v>
      </c>
      <c r="J346" t="s">
        <v>429</v>
      </c>
      <c r="K346" t="s">
        <v>14</v>
      </c>
      <c r="L346" t="s">
        <v>36</v>
      </c>
      <c r="M346" t="s">
        <v>10</v>
      </c>
    </row>
    <row r="347" spans="1:13">
      <c r="A347" t="s">
        <v>793</v>
      </c>
      <c r="B347" s="2">
        <v>45895</v>
      </c>
      <c r="C347">
        <v>2025</v>
      </c>
      <c r="D347">
        <v>8</v>
      </c>
      <c r="E347" t="s">
        <v>101</v>
      </c>
      <c r="F347" t="s">
        <v>31</v>
      </c>
      <c r="G347" t="s">
        <v>74</v>
      </c>
      <c r="H347" t="s">
        <v>4</v>
      </c>
      <c r="I347" t="s">
        <v>470</v>
      </c>
      <c r="J347" t="s">
        <v>429</v>
      </c>
      <c r="K347" t="s">
        <v>14</v>
      </c>
      <c r="L347" t="s">
        <v>9</v>
      </c>
      <c r="M347" t="s">
        <v>10</v>
      </c>
    </row>
    <row r="348" spans="1:13">
      <c r="A348" t="s">
        <v>794</v>
      </c>
      <c r="B348" s="2">
        <v>45885</v>
      </c>
      <c r="C348">
        <v>2025</v>
      </c>
      <c r="D348">
        <v>8</v>
      </c>
      <c r="E348" t="s">
        <v>101</v>
      </c>
      <c r="F348" t="s">
        <v>26</v>
      </c>
      <c r="G348" t="s">
        <v>32</v>
      </c>
      <c r="H348" t="s">
        <v>44</v>
      </c>
      <c r="I348" t="s">
        <v>442</v>
      </c>
      <c r="J348" t="s">
        <v>429</v>
      </c>
      <c r="K348" t="s">
        <v>41</v>
      </c>
      <c r="L348" t="s">
        <v>16</v>
      </c>
      <c r="M348" t="s">
        <v>10</v>
      </c>
    </row>
    <row r="349" spans="1:13">
      <c r="A349" t="s">
        <v>795</v>
      </c>
      <c r="B349" s="2">
        <v>45879</v>
      </c>
      <c r="C349">
        <v>2025</v>
      </c>
      <c r="D349">
        <v>8</v>
      </c>
      <c r="E349" t="s">
        <v>101</v>
      </c>
      <c r="F349" t="s">
        <v>67</v>
      </c>
      <c r="G349" t="s">
        <v>27</v>
      </c>
      <c r="H349" t="s">
        <v>12</v>
      </c>
      <c r="I349" t="s">
        <v>519</v>
      </c>
      <c r="J349" t="s">
        <v>429</v>
      </c>
      <c r="K349" t="s">
        <v>51</v>
      </c>
      <c r="L349" t="s">
        <v>36</v>
      </c>
      <c r="M349" t="s">
        <v>10</v>
      </c>
    </row>
    <row r="350" spans="1:13">
      <c r="A350" t="s">
        <v>796</v>
      </c>
      <c r="B350" s="2">
        <v>45883</v>
      </c>
      <c r="C350">
        <v>2025</v>
      </c>
      <c r="D350">
        <v>8</v>
      </c>
      <c r="E350" t="s">
        <v>101</v>
      </c>
      <c r="F350" t="s">
        <v>54</v>
      </c>
      <c r="G350" t="s">
        <v>3</v>
      </c>
      <c r="H350" t="s">
        <v>33</v>
      </c>
      <c r="I350" t="s">
        <v>473</v>
      </c>
      <c r="J350" t="s">
        <v>429</v>
      </c>
      <c r="K350" t="s">
        <v>7</v>
      </c>
      <c r="L350" t="s">
        <v>36</v>
      </c>
      <c r="M350" t="s">
        <v>17</v>
      </c>
    </row>
    <row r="351" spans="1:13">
      <c r="A351" t="s">
        <v>797</v>
      </c>
      <c r="B351" s="2">
        <v>45878</v>
      </c>
      <c r="C351">
        <v>2025</v>
      </c>
      <c r="D351">
        <v>8</v>
      </c>
      <c r="E351" t="s">
        <v>101</v>
      </c>
      <c r="F351" t="s">
        <v>78</v>
      </c>
      <c r="G351" t="s">
        <v>3</v>
      </c>
      <c r="H351" t="s">
        <v>12</v>
      </c>
      <c r="I351" t="s">
        <v>440</v>
      </c>
      <c r="J351" t="s">
        <v>433</v>
      </c>
      <c r="K351" t="s">
        <v>107</v>
      </c>
      <c r="L351" t="s">
        <v>9</v>
      </c>
      <c r="M351" t="s">
        <v>10</v>
      </c>
    </row>
    <row r="352" spans="1:13">
      <c r="A352" t="s">
        <v>798</v>
      </c>
      <c r="B352" s="2">
        <v>45883</v>
      </c>
      <c r="C352">
        <v>2025</v>
      </c>
      <c r="D352">
        <v>8</v>
      </c>
      <c r="E352" t="s">
        <v>101</v>
      </c>
      <c r="F352" t="s">
        <v>2</v>
      </c>
      <c r="G352" t="s">
        <v>38</v>
      </c>
      <c r="H352" t="s">
        <v>4</v>
      </c>
      <c r="I352" t="s">
        <v>431</v>
      </c>
      <c r="J352" t="s">
        <v>429</v>
      </c>
      <c r="K352" t="s">
        <v>51</v>
      </c>
      <c r="L352" t="s">
        <v>9</v>
      </c>
      <c r="M352" t="s">
        <v>23</v>
      </c>
    </row>
    <row r="353" spans="1:13">
      <c r="A353" t="s">
        <v>799</v>
      </c>
      <c r="B353" s="2">
        <v>45875</v>
      </c>
      <c r="C353">
        <v>2025</v>
      </c>
      <c r="D353">
        <v>8</v>
      </c>
      <c r="E353" t="s">
        <v>101</v>
      </c>
      <c r="F353" t="s">
        <v>47</v>
      </c>
      <c r="G353" t="s">
        <v>32</v>
      </c>
      <c r="H353" t="s">
        <v>33</v>
      </c>
      <c r="I353" t="s">
        <v>452</v>
      </c>
      <c r="J353" t="s">
        <v>429</v>
      </c>
      <c r="K353" t="s">
        <v>51</v>
      </c>
      <c r="L353" t="s">
        <v>16</v>
      </c>
      <c r="M353" t="s">
        <v>10</v>
      </c>
    </row>
    <row r="354" spans="1:13">
      <c r="A354" t="s">
        <v>800</v>
      </c>
      <c r="B354" s="2">
        <v>45918</v>
      </c>
      <c r="C354">
        <v>2025</v>
      </c>
      <c r="D354">
        <v>9</v>
      </c>
      <c r="E354" t="s">
        <v>105</v>
      </c>
      <c r="F354" t="s">
        <v>40</v>
      </c>
      <c r="G354" t="s">
        <v>27</v>
      </c>
      <c r="H354" t="s">
        <v>12</v>
      </c>
      <c r="I354" t="s">
        <v>462</v>
      </c>
      <c r="J354" t="s">
        <v>429</v>
      </c>
      <c r="K354" t="s">
        <v>21</v>
      </c>
      <c r="L354" t="s">
        <v>29</v>
      </c>
      <c r="M354" t="s">
        <v>23</v>
      </c>
    </row>
    <row r="355" spans="1:13">
      <c r="A355" t="s">
        <v>801</v>
      </c>
      <c r="B355" s="2">
        <v>45915</v>
      </c>
      <c r="C355">
        <v>2025</v>
      </c>
      <c r="D355">
        <v>9</v>
      </c>
      <c r="E355" t="s">
        <v>105</v>
      </c>
      <c r="F355" t="s">
        <v>40</v>
      </c>
      <c r="G355" t="s">
        <v>3</v>
      </c>
      <c r="H355" t="s">
        <v>44</v>
      </c>
      <c r="I355" t="s">
        <v>454</v>
      </c>
      <c r="J355" t="s">
        <v>429</v>
      </c>
      <c r="K355" t="s">
        <v>71</v>
      </c>
      <c r="L355" t="s">
        <v>36</v>
      </c>
      <c r="M355" t="s">
        <v>17</v>
      </c>
    </row>
    <row r="356" spans="1:13">
      <c r="A356" t="s">
        <v>802</v>
      </c>
      <c r="B356" s="2">
        <v>45906</v>
      </c>
      <c r="C356">
        <v>2025</v>
      </c>
      <c r="D356">
        <v>9</v>
      </c>
      <c r="E356" t="s">
        <v>105</v>
      </c>
      <c r="F356" t="s">
        <v>54</v>
      </c>
      <c r="G356" t="s">
        <v>20</v>
      </c>
      <c r="H356" t="s">
        <v>44</v>
      </c>
      <c r="I356" t="s">
        <v>473</v>
      </c>
      <c r="J356" t="s">
        <v>429</v>
      </c>
      <c r="K356" t="s">
        <v>107</v>
      </c>
      <c r="L356" t="s">
        <v>9</v>
      </c>
      <c r="M356" t="s">
        <v>10</v>
      </c>
    </row>
    <row r="357" spans="1:13">
      <c r="A357" t="s">
        <v>803</v>
      </c>
      <c r="B357" s="2">
        <v>45916</v>
      </c>
      <c r="C357">
        <v>2025</v>
      </c>
      <c r="D357">
        <v>9</v>
      </c>
      <c r="E357" t="s">
        <v>105</v>
      </c>
      <c r="F357" t="s">
        <v>54</v>
      </c>
      <c r="G357" t="s">
        <v>69</v>
      </c>
      <c r="H357" t="s">
        <v>33</v>
      </c>
      <c r="I357" t="s">
        <v>464</v>
      </c>
      <c r="J357" t="s">
        <v>433</v>
      </c>
      <c r="K357" t="s">
        <v>84</v>
      </c>
      <c r="L357" t="s">
        <v>29</v>
      </c>
      <c r="M357" t="s">
        <v>17</v>
      </c>
    </row>
    <row r="358" spans="1:13">
      <c r="A358" t="s">
        <v>804</v>
      </c>
      <c r="B358" s="2">
        <v>45919</v>
      </c>
      <c r="C358">
        <v>2025</v>
      </c>
      <c r="D358">
        <v>9</v>
      </c>
      <c r="E358" t="s">
        <v>105</v>
      </c>
      <c r="F358" t="s">
        <v>78</v>
      </c>
      <c r="G358" t="s">
        <v>61</v>
      </c>
      <c r="H358" t="s">
        <v>33</v>
      </c>
      <c r="I358" t="s">
        <v>454</v>
      </c>
      <c r="J358" t="s">
        <v>429</v>
      </c>
      <c r="K358" t="s">
        <v>84</v>
      </c>
      <c r="L358" t="s">
        <v>36</v>
      </c>
      <c r="M358" t="s">
        <v>17</v>
      </c>
    </row>
    <row r="359" spans="1:13">
      <c r="A359" t="s">
        <v>805</v>
      </c>
      <c r="B359" s="2">
        <v>45914</v>
      </c>
      <c r="C359">
        <v>2025</v>
      </c>
      <c r="D359">
        <v>9</v>
      </c>
      <c r="E359" t="s">
        <v>105</v>
      </c>
      <c r="F359" t="s">
        <v>47</v>
      </c>
      <c r="G359" t="s">
        <v>20</v>
      </c>
      <c r="H359" t="s">
        <v>12</v>
      </c>
      <c r="I359" t="s">
        <v>431</v>
      </c>
      <c r="J359" t="s">
        <v>433</v>
      </c>
      <c r="K359" t="s">
        <v>56</v>
      </c>
      <c r="L359" t="s">
        <v>36</v>
      </c>
      <c r="M359" t="s">
        <v>10</v>
      </c>
    </row>
    <row r="360" spans="1:13">
      <c r="A360" t="s">
        <v>806</v>
      </c>
      <c r="B360" s="2">
        <v>45904</v>
      </c>
      <c r="C360">
        <v>2025</v>
      </c>
      <c r="D360">
        <v>9</v>
      </c>
      <c r="E360" t="s">
        <v>105</v>
      </c>
      <c r="F360" t="s">
        <v>40</v>
      </c>
      <c r="G360" t="s">
        <v>3</v>
      </c>
      <c r="H360" t="s">
        <v>4</v>
      </c>
      <c r="I360" t="s">
        <v>444</v>
      </c>
      <c r="J360" t="s">
        <v>433</v>
      </c>
      <c r="K360" t="s">
        <v>7</v>
      </c>
      <c r="L360" t="s">
        <v>16</v>
      </c>
      <c r="M360" t="s">
        <v>10</v>
      </c>
    </row>
    <row r="361" spans="1:13">
      <c r="A361" t="s">
        <v>807</v>
      </c>
      <c r="B361" s="2">
        <v>45926</v>
      </c>
      <c r="C361">
        <v>2025</v>
      </c>
      <c r="D361">
        <v>9</v>
      </c>
      <c r="E361" t="s">
        <v>105</v>
      </c>
      <c r="F361" t="s">
        <v>2</v>
      </c>
      <c r="G361" t="s">
        <v>55</v>
      </c>
      <c r="H361" t="s">
        <v>33</v>
      </c>
      <c r="I361" t="s">
        <v>446</v>
      </c>
      <c r="J361" t="s">
        <v>429</v>
      </c>
      <c r="K361" t="s">
        <v>58</v>
      </c>
      <c r="L361" t="s">
        <v>16</v>
      </c>
      <c r="M361" t="s">
        <v>23</v>
      </c>
    </row>
    <row r="362" spans="1:13">
      <c r="A362" t="s">
        <v>808</v>
      </c>
      <c r="B362" s="2">
        <v>45914</v>
      </c>
      <c r="C362">
        <v>2025</v>
      </c>
      <c r="D362">
        <v>9</v>
      </c>
      <c r="E362" t="s">
        <v>105</v>
      </c>
      <c r="F362" t="s">
        <v>47</v>
      </c>
      <c r="G362" t="s">
        <v>74</v>
      </c>
      <c r="H362" t="s">
        <v>4</v>
      </c>
      <c r="I362" t="s">
        <v>460</v>
      </c>
      <c r="J362" t="s">
        <v>429</v>
      </c>
      <c r="K362" t="s">
        <v>107</v>
      </c>
      <c r="L362" t="s">
        <v>16</v>
      </c>
      <c r="M362" t="s">
        <v>23</v>
      </c>
    </row>
    <row r="363" spans="1:13">
      <c r="A363" t="s">
        <v>809</v>
      </c>
      <c r="B363" s="2">
        <v>45916</v>
      </c>
      <c r="C363">
        <v>2025</v>
      </c>
      <c r="D363">
        <v>9</v>
      </c>
      <c r="E363" t="s">
        <v>105</v>
      </c>
      <c r="F363" t="s">
        <v>19</v>
      </c>
      <c r="G363" t="s">
        <v>64</v>
      </c>
      <c r="H363" t="s">
        <v>12</v>
      </c>
      <c r="I363" t="s">
        <v>454</v>
      </c>
      <c r="J363" t="s">
        <v>429</v>
      </c>
      <c r="K363" t="s">
        <v>21</v>
      </c>
      <c r="L363" t="s">
        <v>16</v>
      </c>
      <c r="M363" t="s">
        <v>17</v>
      </c>
    </row>
    <row r="364" spans="1:13">
      <c r="A364" t="s">
        <v>810</v>
      </c>
      <c r="B364" s="2">
        <v>45912</v>
      </c>
      <c r="C364">
        <v>2025</v>
      </c>
      <c r="D364">
        <v>9</v>
      </c>
      <c r="E364" t="s">
        <v>105</v>
      </c>
      <c r="F364" t="s">
        <v>67</v>
      </c>
      <c r="G364" t="s">
        <v>32</v>
      </c>
      <c r="H364" t="s">
        <v>12</v>
      </c>
      <c r="I364" t="s">
        <v>462</v>
      </c>
      <c r="J364" t="s">
        <v>433</v>
      </c>
      <c r="K364" t="s">
        <v>7</v>
      </c>
      <c r="L364" t="s">
        <v>36</v>
      </c>
      <c r="M364" t="s">
        <v>10</v>
      </c>
    </row>
    <row r="365" spans="1:13">
      <c r="A365" t="s">
        <v>811</v>
      </c>
      <c r="B365" s="2">
        <v>45918</v>
      </c>
      <c r="C365">
        <v>2025</v>
      </c>
      <c r="D365">
        <v>9</v>
      </c>
      <c r="E365" t="s">
        <v>105</v>
      </c>
      <c r="F365" t="s">
        <v>38</v>
      </c>
      <c r="G365" t="s">
        <v>94</v>
      </c>
      <c r="H365" t="s">
        <v>4</v>
      </c>
      <c r="I365" t="s">
        <v>435</v>
      </c>
      <c r="J365" t="s">
        <v>429</v>
      </c>
      <c r="K365" t="s">
        <v>71</v>
      </c>
      <c r="L365" t="s">
        <v>9</v>
      </c>
      <c r="M365" t="s">
        <v>10</v>
      </c>
    </row>
    <row r="366" spans="1:13">
      <c r="A366" t="s">
        <v>812</v>
      </c>
      <c r="B366" s="2">
        <v>45915</v>
      </c>
      <c r="C366">
        <v>2025</v>
      </c>
      <c r="D366">
        <v>9</v>
      </c>
      <c r="E366" t="s">
        <v>105</v>
      </c>
      <c r="F366" t="s">
        <v>54</v>
      </c>
      <c r="G366" t="s">
        <v>32</v>
      </c>
      <c r="H366" t="s">
        <v>12</v>
      </c>
      <c r="I366" t="s">
        <v>442</v>
      </c>
      <c r="J366" t="s">
        <v>429</v>
      </c>
      <c r="K366" t="s">
        <v>51</v>
      </c>
      <c r="L366" t="s">
        <v>36</v>
      </c>
      <c r="M366" t="s">
        <v>10</v>
      </c>
    </row>
    <row r="367" spans="1:13">
      <c r="A367" t="s">
        <v>813</v>
      </c>
      <c r="B367" s="2">
        <v>45912</v>
      </c>
      <c r="C367">
        <v>2025</v>
      </c>
      <c r="D367">
        <v>9</v>
      </c>
      <c r="E367" t="s">
        <v>105</v>
      </c>
      <c r="F367" t="s">
        <v>40</v>
      </c>
      <c r="G367" t="s">
        <v>20</v>
      </c>
      <c r="H367" t="s">
        <v>44</v>
      </c>
      <c r="I367" t="s">
        <v>457</v>
      </c>
      <c r="J367" t="s">
        <v>429</v>
      </c>
      <c r="K367" t="s">
        <v>58</v>
      </c>
      <c r="L367" t="s">
        <v>9</v>
      </c>
      <c r="M367" t="s">
        <v>10</v>
      </c>
    </row>
    <row r="368" spans="1:13">
      <c r="A368" t="s">
        <v>814</v>
      </c>
      <c r="B368" s="2">
        <v>45901</v>
      </c>
      <c r="C368">
        <v>2025</v>
      </c>
      <c r="D368">
        <v>9</v>
      </c>
      <c r="E368" t="s">
        <v>105</v>
      </c>
      <c r="F368" t="s">
        <v>26</v>
      </c>
      <c r="G368" t="s">
        <v>61</v>
      </c>
      <c r="H368" t="s">
        <v>4</v>
      </c>
      <c r="I368" t="s">
        <v>84</v>
      </c>
      <c r="J368" t="s">
        <v>429</v>
      </c>
      <c r="K368" t="s">
        <v>51</v>
      </c>
      <c r="L368" t="s">
        <v>36</v>
      </c>
      <c r="M368" t="s">
        <v>10</v>
      </c>
    </row>
    <row r="369" spans="1:13">
      <c r="A369" t="s">
        <v>815</v>
      </c>
      <c r="B369" s="2">
        <v>45912</v>
      </c>
      <c r="C369">
        <v>2025</v>
      </c>
      <c r="D369">
        <v>9</v>
      </c>
      <c r="E369" t="s">
        <v>105</v>
      </c>
      <c r="F369" t="s">
        <v>40</v>
      </c>
      <c r="G369" t="s">
        <v>74</v>
      </c>
      <c r="H369" t="s">
        <v>12</v>
      </c>
      <c r="I369" t="s">
        <v>446</v>
      </c>
      <c r="J369" t="s">
        <v>429</v>
      </c>
      <c r="K369" t="s">
        <v>107</v>
      </c>
      <c r="L369" t="s">
        <v>36</v>
      </c>
      <c r="M369" t="s">
        <v>10</v>
      </c>
    </row>
    <row r="370" spans="1:13">
      <c r="A370" t="s">
        <v>816</v>
      </c>
      <c r="B370" s="2">
        <v>45926</v>
      </c>
      <c r="C370">
        <v>2025</v>
      </c>
      <c r="D370">
        <v>9</v>
      </c>
      <c r="E370" t="s">
        <v>105</v>
      </c>
      <c r="F370" t="s">
        <v>38</v>
      </c>
      <c r="G370" t="s">
        <v>32</v>
      </c>
      <c r="H370" t="s">
        <v>44</v>
      </c>
      <c r="I370" t="s">
        <v>470</v>
      </c>
      <c r="J370" t="s">
        <v>429</v>
      </c>
      <c r="K370" t="s">
        <v>14</v>
      </c>
      <c r="L370" t="s">
        <v>16</v>
      </c>
      <c r="M370" t="s">
        <v>10</v>
      </c>
    </row>
    <row r="371" spans="1:13">
      <c r="A371" t="s">
        <v>817</v>
      </c>
      <c r="B371" s="2">
        <v>45926</v>
      </c>
      <c r="C371">
        <v>2025</v>
      </c>
      <c r="D371">
        <v>9</v>
      </c>
      <c r="E371" t="s">
        <v>105</v>
      </c>
      <c r="F371" t="s">
        <v>26</v>
      </c>
      <c r="G371" t="s">
        <v>20</v>
      </c>
      <c r="H371" t="s">
        <v>44</v>
      </c>
      <c r="I371" t="s">
        <v>438</v>
      </c>
      <c r="J371" t="s">
        <v>429</v>
      </c>
      <c r="K371" t="s">
        <v>51</v>
      </c>
      <c r="L371" t="s">
        <v>29</v>
      </c>
      <c r="M371" t="s">
        <v>10</v>
      </c>
    </row>
    <row r="372" spans="1:13">
      <c r="A372" t="s">
        <v>818</v>
      </c>
      <c r="B372" s="2">
        <v>45908</v>
      </c>
      <c r="C372">
        <v>2025</v>
      </c>
      <c r="D372">
        <v>9</v>
      </c>
      <c r="E372" t="s">
        <v>105</v>
      </c>
      <c r="F372" t="s">
        <v>2</v>
      </c>
      <c r="G372" t="s">
        <v>61</v>
      </c>
      <c r="H372" t="s">
        <v>12</v>
      </c>
      <c r="I372" t="s">
        <v>466</v>
      </c>
      <c r="J372" t="s">
        <v>429</v>
      </c>
      <c r="K372" t="s">
        <v>14</v>
      </c>
      <c r="L372" t="s">
        <v>9</v>
      </c>
      <c r="M372" t="s">
        <v>10</v>
      </c>
    </row>
    <row r="373" spans="1:13">
      <c r="A373" t="s">
        <v>819</v>
      </c>
      <c r="B373" s="2">
        <v>45908</v>
      </c>
      <c r="C373">
        <v>2025</v>
      </c>
      <c r="D373">
        <v>9</v>
      </c>
      <c r="E373" t="s">
        <v>105</v>
      </c>
      <c r="F373" t="s">
        <v>78</v>
      </c>
      <c r="G373" t="s">
        <v>48</v>
      </c>
      <c r="H373" t="s">
        <v>12</v>
      </c>
      <c r="I373" t="s">
        <v>460</v>
      </c>
      <c r="J373" t="s">
        <v>429</v>
      </c>
      <c r="K373" t="s">
        <v>71</v>
      </c>
      <c r="L373" t="s">
        <v>9</v>
      </c>
      <c r="M373" t="s">
        <v>10</v>
      </c>
    </row>
    <row r="374" spans="1:13">
      <c r="A374" t="s">
        <v>820</v>
      </c>
      <c r="B374" s="2">
        <v>45925</v>
      </c>
      <c r="C374">
        <v>2025</v>
      </c>
      <c r="D374">
        <v>9</v>
      </c>
      <c r="E374" t="s">
        <v>105</v>
      </c>
      <c r="F374" t="s">
        <v>38</v>
      </c>
      <c r="G374" t="s">
        <v>61</v>
      </c>
      <c r="H374" t="s">
        <v>4</v>
      </c>
      <c r="I374" t="s">
        <v>466</v>
      </c>
      <c r="J374" t="s">
        <v>429</v>
      </c>
      <c r="K374" t="s">
        <v>41</v>
      </c>
      <c r="L374" t="s">
        <v>9</v>
      </c>
      <c r="M374" t="s">
        <v>10</v>
      </c>
    </row>
    <row r="375" spans="1:13">
      <c r="A375" t="s">
        <v>821</v>
      </c>
      <c r="B375" s="2">
        <v>45912</v>
      </c>
      <c r="C375">
        <v>2025</v>
      </c>
      <c r="D375">
        <v>9</v>
      </c>
      <c r="E375" t="s">
        <v>105</v>
      </c>
      <c r="F375" t="s">
        <v>67</v>
      </c>
      <c r="G375" t="s">
        <v>74</v>
      </c>
      <c r="H375" t="s">
        <v>44</v>
      </c>
      <c r="I375" t="s">
        <v>438</v>
      </c>
      <c r="J375" t="s">
        <v>429</v>
      </c>
      <c r="K375" t="s">
        <v>56</v>
      </c>
      <c r="L375" t="s">
        <v>9</v>
      </c>
      <c r="M375" t="s">
        <v>10</v>
      </c>
    </row>
    <row r="376" spans="1:13">
      <c r="A376" t="s">
        <v>822</v>
      </c>
      <c r="B376" s="2">
        <v>45921</v>
      </c>
      <c r="C376">
        <v>2025</v>
      </c>
      <c r="D376">
        <v>9</v>
      </c>
      <c r="E376" t="s">
        <v>105</v>
      </c>
      <c r="F376" t="s">
        <v>31</v>
      </c>
      <c r="G376" t="s">
        <v>69</v>
      </c>
      <c r="H376" t="s">
        <v>12</v>
      </c>
      <c r="I376" t="s">
        <v>464</v>
      </c>
      <c r="J376" t="s">
        <v>429</v>
      </c>
      <c r="K376" t="s">
        <v>71</v>
      </c>
      <c r="L376" t="s">
        <v>9</v>
      </c>
      <c r="M376" t="s">
        <v>23</v>
      </c>
    </row>
    <row r="377" spans="1:13">
      <c r="A377" t="s">
        <v>823</v>
      </c>
      <c r="B377" s="2">
        <v>45915</v>
      </c>
      <c r="C377">
        <v>2025</v>
      </c>
      <c r="D377">
        <v>9</v>
      </c>
      <c r="E377" t="s">
        <v>105</v>
      </c>
      <c r="F377" t="s">
        <v>47</v>
      </c>
      <c r="G377" t="s">
        <v>74</v>
      </c>
      <c r="H377" t="s">
        <v>12</v>
      </c>
      <c r="I377" t="s">
        <v>457</v>
      </c>
      <c r="J377" t="s">
        <v>429</v>
      </c>
      <c r="K377" t="s">
        <v>84</v>
      </c>
      <c r="L377" t="s">
        <v>16</v>
      </c>
      <c r="M377" t="s">
        <v>23</v>
      </c>
    </row>
    <row r="378" spans="1:13">
      <c r="A378" t="s">
        <v>824</v>
      </c>
      <c r="B378" s="2">
        <v>45928</v>
      </c>
      <c r="C378">
        <v>2025</v>
      </c>
      <c r="D378">
        <v>9</v>
      </c>
      <c r="E378" t="s">
        <v>105</v>
      </c>
      <c r="F378" t="s">
        <v>31</v>
      </c>
      <c r="G378" t="s">
        <v>48</v>
      </c>
      <c r="H378" t="s">
        <v>44</v>
      </c>
      <c r="I378" t="s">
        <v>462</v>
      </c>
      <c r="J378" t="s">
        <v>429</v>
      </c>
      <c r="K378" t="s">
        <v>58</v>
      </c>
      <c r="L378" t="s">
        <v>16</v>
      </c>
      <c r="M378" t="s">
        <v>17</v>
      </c>
    </row>
    <row r="379" spans="1:13">
      <c r="A379" t="s">
        <v>825</v>
      </c>
      <c r="B379" s="2">
        <v>45908</v>
      </c>
      <c r="C379">
        <v>2025</v>
      </c>
      <c r="D379">
        <v>9</v>
      </c>
      <c r="E379" t="s">
        <v>105</v>
      </c>
      <c r="F379" t="s">
        <v>2</v>
      </c>
      <c r="G379" t="s">
        <v>3</v>
      </c>
      <c r="H379" t="s">
        <v>33</v>
      </c>
      <c r="I379" t="s">
        <v>473</v>
      </c>
      <c r="J379" t="s">
        <v>429</v>
      </c>
      <c r="K379" t="s">
        <v>107</v>
      </c>
      <c r="L379" t="s">
        <v>36</v>
      </c>
      <c r="M379" t="s">
        <v>10</v>
      </c>
    </row>
    <row r="380" spans="1:13">
      <c r="A380" t="s">
        <v>826</v>
      </c>
      <c r="B380" s="2">
        <v>45916</v>
      </c>
      <c r="C380">
        <v>2025</v>
      </c>
      <c r="D380">
        <v>9</v>
      </c>
      <c r="E380" t="s">
        <v>105</v>
      </c>
      <c r="F380" t="s">
        <v>19</v>
      </c>
      <c r="G380" t="s">
        <v>69</v>
      </c>
      <c r="H380" t="s">
        <v>12</v>
      </c>
      <c r="I380" t="s">
        <v>431</v>
      </c>
      <c r="J380" t="s">
        <v>429</v>
      </c>
      <c r="K380" t="s">
        <v>41</v>
      </c>
      <c r="L380" t="s">
        <v>16</v>
      </c>
      <c r="M380" t="s">
        <v>10</v>
      </c>
    </row>
    <row r="381" spans="1:13">
      <c r="A381" t="s">
        <v>827</v>
      </c>
      <c r="B381" s="2">
        <v>45903</v>
      </c>
      <c r="C381">
        <v>2025</v>
      </c>
      <c r="D381">
        <v>9</v>
      </c>
      <c r="E381" t="s">
        <v>105</v>
      </c>
      <c r="F381" t="s">
        <v>40</v>
      </c>
      <c r="G381" t="s">
        <v>64</v>
      </c>
      <c r="H381" t="s">
        <v>4</v>
      </c>
      <c r="I381" t="s">
        <v>435</v>
      </c>
      <c r="J381" t="s">
        <v>433</v>
      </c>
      <c r="K381" t="s">
        <v>84</v>
      </c>
      <c r="L381" t="s">
        <v>16</v>
      </c>
      <c r="M381" t="s">
        <v>10</v>
      </c>
    </row>
    <row r="382" spans="1:13">
      <c r="A382" t="s">
        <v>828</v>
      </c>
      <c r="B382" s="2">
        <v>45932</v>
      </c>
      <c r="C382">
        <v>2025</v>
      </c>
      <c r="D382">
        <v>10</v>
      </c>
      <c r="E382" t="s">
        <v>113</v>
      </c>
      <c r="F382" t="s">
        <v>47</v>
      </c>
      <c r="G382" t="s">
        <v>74</v>
      </c>
      <c r="H382" t="s">
        <v>33</v>
      </c>
      <c r="I382" t="s">
        <v>446</v>
      </c>
      <c r="J382" t="s">
        <v>429</v>
      </c>
      <c r="K382" t="s">
        <v>71</v>
      </c>
      <c r="L382" t="s">
        <v>29</v>
      </c>
      <c r="M382" t="s">
        <v>10</v>
      </c>
    </row>
    <row r="383" spans="1:13">
      <c r="A383" t="s">
        <v>829</v>
      </c>
      <c r="B383" s="2">
        <v>45949</v>
      </c>
      <c r="C383">
        <v>2025</v>
      </c>
      <c r="D383">
        <v>10</v>
      </c>
      <c r="E383" t="s">
        <v>113</v>
      </c>
      <c r="F383" t="s">
        <v>47</v>
      </c>
      <c r="G383" t="s">
        <v>32</v>
      </c>
      <c r="H383" t="s">
        <v>44</v>
      </c>
      <c r="I383" t="s">
        <v>435</v>
      </c>
      <c r="J383" t="s">
        <v>429</v>
      </c>
      <c r="K383" t="s">
        <v>7</v>
      </c>
      <c r="L383" t="s">
        <v>29</v>
      </c>
      <c r="M383" t="s">
        <v>10</v>
      </c>
    </row>
    <row r="384" spans="1:13">
      <c r="A384" t="s">
        <v>830</v>
      </c>
      <c r="B384" s="2">
        <v>45941</v>
      </c>
      <c r="C384">
        <v>2025</v>
      </c>
      <c r="D384">
        <v>10</v>
      </c>
      <c r="E384" t="s">
        <v>113</v>
      </c>
      <c r="F384" t="s">
        <v>31</v>
      </c>
      <c r="G384" t="s">
        <v>55</v>
      </c>
      <c r="H384" t="s">
        <v>4</v>
      </c>
      <c r="I384" t="s">
        <v>435</v>
      </c>
      <c r="J384" t="s">
        <v>429</v>
      </c>
      <c r="K384" t="s">
        <v>21</v>
      </c>
      <c r="L384" t="s">
        <v>16</v>
      </c>
      <c r="M384" t="s">
        <v>23</v>
      </c>
    </row>
    <row r="385" spans="1:13">
      <c r="A385" t="s">
        <v>831</v>
      </c>
      <c r="B385" s="2">
        <v>45947</v>
      </c>
      <c r="C385">
        <v>2025</v>
      </c>
      <c r="D385">
        <v>10</v>
      </c>
      <c r="E385" t="s">
        <v>113</v>
      </c>
      <c r="F385" t="s">
        <v>47</v>
      </c>
      <c r="G385" t="s">
        <v>38</v>
      </c>
      <c r="H385" t="s">
        <v>33</v>
      </c>
      <c r="I385" t="s">
        <v>470</v>
      </c>
      <c r="J385" t="s">
        <v>429</v>
      </c>
      <c r="K385" t="s">
        <v>84</v>
      </c>
      <c r="L385" t="s">
        <v>9</v>
      </c>
      <c r="M385" t="s">
        <v>10</v>
      </c>
    </row>
    <row r="386" spans="1:13">
      <c r="A386" t="s">
        <v>832</v>
      </c>
      <c r="B386" s="2">
        <v>45940</v>
      </c>
      <c r="C386">
        <v>2025</v>
      </c>
      <c r="D386">
        <v>10</v>
      </c>
      <c r="E386" t="s">
        <v>113</v>
      </c>
      <c r="F386" t="s">
        <v>26</v>
      </c>
      <c r="G386" t="s">
        <v>64</v>
      </c>
      <c r="H386" t="s">
        <v>12</v>
      </c>
      <c r="I386" t="s">
        <v>466</v>
      </c>
      <c r="J386" t="s">
        <v>429</v>
      </c>
      <c r="K386" t="s">
        <v>107</v>
      </c>
      <c r="L386" t="s">
        <v>16</v>
      </c>
      <c r="M386" t="s">
        <v>23</v>
      </c>
    </row>
    <row r="387" spans="1:13">
      <c r="A387" t="s">
        <v>833</v>
      </c>
      <c r="B387" s="2">
        <v>45957</v>
      </c>
      <c r="C387">
        <v>2025</v>
      </c>
      <c r="D387">
        <v>10</v>
      </c>
      <c r="E387" t="s">
        <v>113</v>
      </c>
      <c r="F387" t="s">
        <v>78</v>
      </c>
      <c r="G387" t="s">
        <v>27</v>
      </c>
      <c r="H387" t="s">
        <v>44</v>
      </c>
      <c r="I387" t="s">
        <v>494</v>
      </c>
      <c r="J387" t="s">
        <v>429</v>
      </c>
      <c r="K387" t="s">
        <v>56</v>
      </c>
      <c r="L387" t="s">
        <v>9</v>
      </c>
      <c r="M387" t="s">
        <v>10</v>
      </c>
    </row>
    <row r="388" spans="1:13">
      <c r="A388" t="s">
        <v>834</v>
      </c>
      <c r="B388" s="2">
        <v>45950</v>
      </c>
      <c r="C388">
        <v>2025</v>
      </c>
      <c r="D388">
        <v>10</v>
      </c>
      <c r="E388" t="s">
        <v>113</v>
      </c>
      <c r="F388" t="s">
        <v>19</v>
      </c>
      <c r="G388" t="s">
        <v>69</v>
      </c>
      <c r="H388" t="s">
        <v>12</v>
      </c>
      <c r="I388" t="s">
        <v>473</v>
      </c>
      <c r="J388" t="s">
        <v>429</v>
      </c>
      <c r="K388" t="s">
        <v>14</v>
      </c>
      <c r="L388" t="s">
        <v>29</v>
      </c>
      <c r="M388" t="s">
        <v>10</v>
      </c>
    </row>
    <row r="389" spans="1:13">
      <c r="A389" t="s">
        <v>835</v>
      </c>
      <c r="B389" s="2">
        <v>45956</v>
      </c>
      <c r="C389">
        <v>2025</v>
      </c>
      <c r="D389">
        <v>10</v>
      </c>
      <c r="E389" t="s">
        <v>113</v>
      </c>
      <c r="F389" t="s">
        <v>78</v>
      </c>
      <c r="G389" t="s">
        <v>48</v>
      </c>
      <c r="H389" t="s">
        <v>44</v>
      </c>
      <c r="I389" t="s">
        <v>466</v>
      </c>
      <c r="J389" t="s">
        <v>433</v>
      </c>
      <c r="K389" t="s">
        <v>84</v>
      </c>
      <c r="L389" t="s">
        <v>9</v>
      </c>
      <c r="M389" t="s">
        <v>10</v>
      </c>
    </row>
    <row r="390" spans="1:13">
      <c r="A390" t="s">
        <v>836</v>
      </c>
      <c r="B390" s="2">
        <v>45949</v>
      </c>
      <c r="C390">
        <v>2025</v>
      </c>
      <c r="D390">
        <v>10</v>
      </c>
      <c r="E390" t="s">
        <v>113</v>
      </c>
      <c r="F390" t="s">
        <v>78</v>
      </c>
      <c r="G390" t="s">
        <v>74</v>
      </c>
      <c r="H390" t="s">
        <v>44</v>
      </c>
      <c r="I390" t="s">
        <v>452</v>
      </c>
      <c r="J390" t="s">
        <v>429</v>
      </c>
      <c r="K390" t="s">
        <v>41</v>
      </c>
      <c r="L390" t="s">
        <v>36</v>
      </c>
      <c r="M390" t="s">
        <v>17</v>
      </c>
    </row>
    <row r="391" spans="1:13">
      <c r="A391" t="s">
        <v>837</v>
      </c>
      <c r="B391" s="2">
        <v>45955</v>
      </c>
      <c r="C391">
        <v>2025</v>
      </c>
      <c r="D391">
        <v>10</v>
      </c>
      <c r="E391" t="s">
        <v>113</v>
      </c>
      <c r="F391" t="s">
        <v>54</v>
      </c>
      <c r="G391" t="s">
        <v>27</v>
      </c>
      <c r="H391" t="s">
        <v>44</v>
      </c>
      <c r="I391" t="s">
        <v>435</v>
      </c>
      <c r="J391" t="s">
        <v>433</v>
      </c>
      <c r="K391" t="s">
        <v>41</v>
      </c>
      <c r="L391" t="s">
        <v>16</v>
      </c>
      <c r="M391" t="s">
        <v>17</v>
      </c>
    </row>
    <row r="392" spans="1:13">
      <c r="A392" t="s">
        <v>838</v>
      </c>
      <c r="B392" s="2">
        <v>45950</v>
      </c>
      <c r="C392">
        <v>2025</v>
      </c>
      <c r="D392">
        <v>10</v>
      </c>
      <c r="E392" t="s">
        <v>113</v>
      </c>
      <c r="F392" t="s">
        <v>67</v>
      </c>
      <c r="G392" t="s">
        <v>3</v>
      </c>
      <c r="H392" t="s">
        <v>33</v>
      </c>
      <c r="I392" t="s">
        <v>494</v>
      </c>
      <c r="J392" t="s">
        <v>429</v>
      </c>
      <c r="K392" t="s">
        <v>71</v>
      </c>
      <c r="L392" t="s">
        <v>9</v>
      </c>
      <c r="M392" t="s">
        <v>10</v>
      </c>
    </row>
    <row r="393" spans="1:13">
      <c r="A393" t="s">
        <v>839</v>
      </c>
      <c r="B393" s="2">
        <v>45955</v>
      </c>
      <c r="C393">
        <v>2025</v>
      </c>
      <c r="D393">
        <v>10</v>
      </c>
      <c r="E393" t="s">
        <v>113</v>
      </c>
      <c r="F393" t="s">
        <v>67</v>
      </c>
      <c r="G393" t="s">
        <v>48</v>
      </c>
      <c r="H393" t="s">
        <v>12</v>
      </c>
      <c r="I393" t="s">
        <v>438</v>
      </c>
      <c r="J393" t="s">
        <v>429</v>
      </c>
      <c r="K393" t="s">
        <v>107</v>
      </c>
      <c r="L393" t="s">
        <v>16</v>
      </c>
      <c r="M393" t="s">
        <v>10</v>
      </c>
    </row>
    <row r="394" spans="1:13">
      <c r="A394" t="s">
        <v>840</v>
      </c>
      <c r="B394" s="2">
        <v>45950</v>
      </c>
      <c r="C394">
        <v>2025</v>
      </c>
      <c r="D394">
        <v>10</v>
      </c>
      <c r="E394" t="s">
        <v>113</v>
      </c>
      <c r="F394" t="s">
        <v>78</v>
      </c>
      <c r="G394" t="s">
        <v>3</v>
      </c>
      <c r="H394" t="s">
        <v>12</v>
      </c>
      <c r="I394" t="s">
        <v>519</v>
      </c>
      <c r="J394" t="s">
        <v>429</v>
      </c>
      <c r="K394" t="s">
        <v>7</v>
      </c>
      <c r="L394" t="s">
        <v>36</v>
      </c>
      <c r="M394" t="s">
        <v>10</v>
      </c>
    </row>
    <row r="395" spans="1:13">
      <c r="A395" t="s">
        <v>841</v>
      </c>
      <c r="B395" s="2">
        <v>45946</v>
      </c>
      <c r="C395">
        <v>2025</v>
      </c>
      <c r="D395">
        <v>10</v>
      </c>
      <c r="E395" t="s">
        <v>113</v>
      </c>
      <c r="F395" t="s">
        <v>47</v>
      </c>
      <c r="G395" t="s">
        <v>69</v>
      </c>
      <c r="H395" t="s">
        <v>4</v>
      </c>
      <c r="I395" t="s">
        <v>460</v>
      </c>
      <c r="J395" t="s">
        <v>429</v>
      </c>
      <c r="K395" t="s">
        <v>41</v>
      </c>
      <c r="L395" t="s">
        <v>16</v>
      </c>
      <c r="M395" t="s">
        <v>10</v>
      </c>
    </row>
    <row r="396" spans="1:13">
      <c r="A396" t="s">
        <v>842</v>
      </c>
      <c r="B396" s="2">
        <v>45955</v>
      </c>
      <c r="C396">
        <v>2025</v>
      </c>
      <c r="D396">
        <v>10</v>
      </c>
      <c r="E396" t="s">
        <v>113</v>
      </c>
      <c r="F396" t="s">
        <v>78</v>
      </c>
      <c r="G396" t="s">
        <v>3</v>
      </c>
      <c r="H396" t="s">
        <v>33</v>
      </c>
      <c r="I396" t="s">
        <v>464</v>
      </c>
      <c r="J396" t="s">
        <v>429</v>
      </c>
      <c r="K396" t="s">
        <v>7</v>
      </c>
      <c r="L396" t="s">
        <v>29</v>
      </c>
      <c r="M396" t="s">
        <v>10</v>
      </c>
    </row>
    <row r="397" spans="1:13">
      <c r="A397" t="s">
        <v>843</v>
      </c>
      <c r="B397" s="2">
        <v>45967</v>
      </c>
      <c r="C397">
        <v>2025</v>
      </c>
      <c r="D397">
        <v>11</v>
      </c>
      <c r="E397" t="s">
        <v>117</v>
      </c>
      <c r="F397" t="s">
        <v>26</v>
      </c>
      <c r="G397" t="s">
        <v>94</v>
      </c>
      <c r="H397" t="s">
        <v>44</v>
      </c>
      <c r="I397" t="s">
        <v>442</v>
      </c>
      <c r="J397" t="s">
        <v>429</v>
      </c>
      <c r="K397" t="s">
        <v>41</v>
      </c>
      <c r="L397" t="s">
        <v>9</v>
      </c>
      <c r="M397" t="s">
        <v>17</v>
      </c>
    </row>
    <row r="398" spans="1:13">
      <c r="A398" t="s">
        <v>844</v>
      </c>
      <c r="B398" s="2">
        <v>45985</v>
      </c>
      <c r="C398">
        <v>2025</v>
      </c>
      <c r="D398">
        <v>11</v>
      </c>
      <c r="E398" t="s">
        <v>117</v>
      </c>
      <c r="F398" t="s">
        <v>47</v>
      </c>
      <c r="G398" t="s">
        <v>94</v>
      </c>
      <c r="H398" t="s">
        <v>12</v>
      </c>
      <c r="I398" t="s">
        <v>435</v>
      </c>
      <c r="J398" t="s">
        <v>429</v>
      </c>
      <c r="K398" t="s">
        <v>84</v>
      </c>
      <c r="L398" t="s">
        <v>36</v>
      </c>
      <c r="M398" t="s">
        <v>10</v>
      </c>
    </row>
    <row r="399" spans="1:13">
      <c r="A399" t="s">
        <v>845</v>
      </c>
      <c r="B399" s="2">
        <v>45964</v>
      </c>
      <c r="C399">
        <v>2025</v>
      </c>
      <c r="D399">
        <v>11</v>
      </c>
      <c r="E399" t="s">
        <v>117</v>
      </c>
      <c r="F399" t="s">
        <v>47</v>
      </c>
      <c r="G399" t="s">
        <v>69</v>
      </c>
      <c r="H399" t="s">
        <v>12</v>
      </c>
      <c r="I399" t="s">
        <v>462</v>
      </c>
      <c r="J399" t="s">
        <v>433</v>
      </c>
      <c r="K399" t="s">
        <v>107</v>
      </c>
      <c r="L399" t="s">
        <v>29</v>
      </c>
      <c r="M399" t="s">
        <v>10</v>
      </c>
    </row>
    <row r="400" spans="1:13">
      <c r="A400" t="s">
        <v>846</v>
      </c>
      <c r="B400" s="2">
        <v>45984</v>
      </c>
      <c r="C400">
        <v>2025</v>
      </c>
      <c r="D400">
        <v>11</v>
      </c>
      <c r="E400" t="s">
        <v>117</v>
      </c>
      <c r="F400" t="s">
        <v>26</v>
      </c>
      <c r="G400" t="s">
        <v>32</v>
      </c>
      <c r="H400" t="s">
        <v>44</v>
      </c>
      <c r="I400" t="s">
        <v>438</v>
      </c>
      <c r="J400" t="s">
        <v>429</v>
      </c>
      <c r="K400" t="s">
        <v>84</v>
      </c>
      <c r="L400" t="s">
        <v>9</v>
      </c>
      <c r="M400" t="s">
        <v>10</v>
      </c>
    </row>
    <row r="401" spans="1:13">
      <c r="A401" t="s">
        <v>847</v>
      </c>
      <c r="B401" s="2">
        <v>45986</v>
      </c>
      <c r="C401">
        <v>2025</v>
      </c>
      <c r="D401">
        <v>11</v>
      </c>
      <c r="E401" t="s">
        <v>117</v>
      </c>
      <c r="F401" t="s">
        <v>54</v>
      </c>
      <c r="G401" t="s">
        <v>61</v>
      </c>
      <c r="H401" t="s">
        <v>44</v>
      </c>
      <c r="I401" t="s">
        <v>454</v>
      </c>
      <c r="J401" t="s">
        <v>429</v>
      </c>
      <c r="K401" t="s">
        <v>56</v>
      </c>
      <c r="L401" t="s">
        <v>36</v>
      </c>
      <c r="M401" t="s">
        <v>17</v>
      </c>
    </row>
    <row r="402" spans="1:13">
      <c r="A402" t="s">
        <v>848</v>
      </c>
      <c r="B402" s="2">
        <v>45979</v>
      </c>
      <c r="C402">
        <v>2025</v>
      </c>
      <c r="D402">
        <v>11</v>
      </c>
      <c r="E402" t="s">
        <v>117</v>
      </c>
      <c r="F402" t="s">
        <v>78</v>
      </c>
      <c r="G402" t="s">
        <v>27</v>
      </c>
      <c r="H402" t="s">
        <v>12</v>
      </c>
      <c r="I402" t="s">
        <v>452</v>
      </c>
      <c r="J402" t="s">
        <v>429</v>
      </c>
      <c r="K402" t="s">
        <v>7</v>
      </c>
      <c r="L402" t="s">
        <v>9</v>
      </c>
      <c r="M402" t="s">
        <v>23</v>
      </c>
    </row>
    <row r="403" spans="1:13">
      <c r="A403" t="s">
        <v>849</v>
      </c>
      <c r="B403" s="2">
        <v>45968</v>
      </c>
      <c r="C403">
        <v>2025</v>
      </c>
      <c r="D403">
        <v>11</v>
      </c>
      <c r="E403" t="s">
        <v>117</v>
      </c>
      <c r="F403" t="s">
        <v>67</v>
      </c>
      <c r="G403" t="s">
        <v>61</v>
      </c>
      <c r="H403" t="s">
        <v>12</v>
      </c>
      <c r="I403" t="s">
        <v>435</v>
      </c>
      <c r="J403" t="s">
        <v>429</v>
      </c>
      <c r="K403" t="s">
        <v>21</v>
      </c>
      <c r="L403" t="s">
        <v>29</v>
      </c>
      <c r="M403" t="s">
        <v>23</v>
      </c>
    </row>
    <row r="404" spans="1:13">
      <c r="A404" t="s">
        <v>850</v>
      </c>
      <c r="B404" s="2">
        <v>45983</v>
      </c>
      <c r="C404">
        <v>2025</v>
      </c>
      <c r="D404">
        <v>11</v>
      </c>
      <c r="E404" t="s">
        <v>117</v>
      </c>
      <c r="F404" t="s">
        <v>31</v>
      </c>
      <c r="G404" t="s">
        <v>20</v>
      </c>
      <c r="H404" t="s">
        <v>4</v>
      </c>
      <c r="I404" t="s">
        <v>464</v>
      </c>
      <c r="J404" t="s">
        <v>429</v>
      </c>
      <c r="K404" t="s">
        <v>71</v>
      </c>
      <c r="L404" t="s">
        <v>9</v>
      </c>
      <c r="M404" t="s">
        <v>10</v>
      </c>
    </row>
    <row r="405" spans="1:13">
      <c r="A405" t="s">
        <v>851</v>
      </c>
      <c r="B405" s="2">
        <v>45967</v>
      </c>
      <c r="C405">
        <v>2025</v>
      </c>
      <c r="D405">
        <v>11</v>
      </c>
      <c r="E405" t="s">
        <v>117</v>
      </c>
      <c r="F405" t="s">
        <v>78</v>
      </c>
      <c r="G405" t="s">
        <v>27</v>
      </c>
      <c r="H405" t="s">
        <v>44</v>
      </c>
      <c r="I405" t="s">
        <v>431</v>
      </c>
      <c r="J405" t="s">
        <v>433</v>
      </c>
      <c r="K405" t="s">
        <v>41</v>
      </c>
      <c r="L405" t="s">
        <v>9</v>
      </c>
      <c r="M405" t="s">
        <v>10</v>
      </c>
    </row>
    <row r="406" spans="1:13">
      <c r="A406" t="s">
        <v>852</v>
      </c>
      <c r="B406" s="2">
        <v>45970</v>
      </c>
      <c r="C406">
        <v>2025</v>
      </c>
      <c r="D406">
        <v>11</v>
      </c>
      <c r="E406" t="s">
        <v>117</v>
      </c>
      <c r="F406" t="s">
        <v>19</v>
      </c>
      <c r="G406" t="s">
        <v>74</v>
      </c>
      <c r="H406" t="s">
        <v>33</v>
      </c>
      <c r="I406" t="s">
        <v>435</v>
      </c>
      <c r="J406" t="s">
        <v>433</v>
      </c>
      <c r="K406" t="s">
        <v>58</v>
      </c>
      <c r="L406" t="s">
        <v>16</v>
      </c>
      <c r="M406" t="s">
        <v>23</v>
      </c>
    </row>
    <row r="407" spans="1:13">
      <c r="A407" t="s">
        <v>853</v>
      </c>
      <c r="B407" s="2">
        <v>45978</v>
      </c>
      <c r="C407">
        <v>2025</v>
      </c>
      <c r="D407">
        <v>11</v>
      </c>
      <c r="E407" t="s">
        <v>117</v>
      </c>
      <c r="F407" t="s">
        <v>38</v>
      </c>
      <c r="G407" t="s">
        <v>20</v>
      </c>
      <c r="H407" t="s">
        <v>12</v>
      </c>
      <c r="I407" t="s">
        <v>444</v>
      </c>
      <c r="J407" t="s">
        <v>429</v>
      </c>
      <c r="K407" t="s">
        <v>21</v>
      </c>
      <c r="L407" t="s">
        <v>9</v>
      </c>
      <c r="M407" t="s">
        <v>10</v>
      </c>
    </row>
    <row r="408" spans="1:13">
      <c r="A408" t="s">
        <v>854</v>
      </c>
      <c r="B408" s="2">
        <v>45964</v>
      </c>
      <c r="C408">
        <v>2025</v>
      </c>
      <c r="D408">
        <v>11</v>
      </c>
      <c r="E408" t="s">
        <v>117</v>
      </c>
      <c r="F408" t="s">
        <v>47</v>
      </c>
      <c r="G408" t="s">
        <v>48</v>
      </c>
      <c r="H408" t="s">
        <v>12</v>
      </c>
      <c r="I408" t="s">
        <v>454</v>
      </c>
      <c r="J408" t="s">
        <v>429</v>
      </c>
      <c r="K408" t="s">
        <v>21</v>
      </c>
      <c r="L408" t="s">
        <v>16</v>
      </c>
      <c r="M408" t="s">
        <v>10</v>
      </c>
    </row>
    <row r="409" spans="1:13">
      <c r="A409" t="s">
        <v>855</v>
      </c>
      <c r="B409" s="2">
        <v>45967</v>
      </c>
      <c r="C409">
        <v>2025</v>
      </c>
      <c r="D409">
        <v>11</v>
      </c>
      <c r="E409" t="s">
        <v>117</v>
      </c>
      <c r="F409" t="s">
        <v>54</v>
      </c>
      <c r="G409" t="s">
        <v>61</v>
      </c>
      <c r="H409" t="s">
        <v>4</v>
      </c>
      <c r="I409" t="s">
        <v>442</v>
      </c>
      <c r="J409" t="s">
        <v>433</v>
      </c>
      <c r="K409" t="s">
        <v>51</v>
      </c>
      <c r="L409" t="s">
        <v>16</v>
      </c>
      <c r="M409" t="s">
        <v>10</v>
      </c>
    </row>
    <row r="410" spans="1:13">
      <c r="A410" t="s">
        <v>856</v>
      </c>
      <c r="B410" s="2">
        <v>45972</v>
      </c>
      <c r="C410">
        <v>2025</v>
      </c>
      <c r="D410">
        <v>11</v>
      </c>
      <c r="E410" t="s">
        <v>117</v>
      </c>
      <c r="F410" t="s">
        <v>40</v>
      </c>
      <c r="G410" t="s">
        <v>61</v>
      </c>
      <c r="H410" t="s">
        <v>44</v>
      </c>
      <c r="I410" t="s">
        <v>462</v>
      </c>
      <c r="J410" t="s">
        <v>429</v>
      </c>
      <c r="K410" t="s">
        <v>41</v>
      </c>
      <c r="L410" t="s">
        <v>16</v>
      </c>
      <c r="M410" t="s">
        <v>23</v>
      </c>
    </row>
    <row r="411" spans="1:13">
      <c r="A411" t="s">
        <v>857</v>
      </c>
      <c r="B411" s="2">
        <v>45989</v>
      </c>
      <c r="C411">
        <v>2025</v>
      </c>
      <c r="D411">
        <v>11</v>
      </c>
      <c r="E411" t="s">
        <v>117</v>
      </c>
      <c r="F411" t="s">
        <v>40</v>
      </c>
      <c r="G411" t="s">
        <v>3</v>
      </c>
      <c r="H411" t="s">
        <v>12</v>
      </c>
      <c r="I411" t="s">
        <v>446</v>
      </c>
      <c r="J411" t="s">
        <v>429</v>
      </c>
      <c r="K411" t="s">
        <v>71</v>
      </c>
      <c r="L411" t="s">
        <v>9</v>
      </c>
      <c r="M411" t="s">
        <v>10</v>
      </c>
    </row>
    <row r="412" spans="1:13">
      <c r="A412" t="s">
        <v>858</v>
      </c>
      <c r="B412" s="2">
        <v>45977</v>
      </c>
      <c r="C412">
        <v>2025</v>
      </c>
      <c r="D412">
        <v>11</v>
      </c>
      <c r="E412" t="s">
        <v>117</v>
      </c>
      <c r="F412" t="s">
        <v>31</v>
      </c>
      <c r="G412" t="s">
        <v>48</v>
      </c>
      <c r="H412" t="s">
        <v>33</v>
      </c>
      <c r="I412" t="s">
        <v>446</v>
      </c>
      <c r="J412" t="s">
        <v>429</v>
      </c>
      <c r="K412" t="s">
        <v>7</v>
      </c>
      <c r="L412" t="s">
        <v>16</v>
      </c>
      <c r="M412" t="s">
        <v>10</v>
      </c>
    </row>
    <row r="413" spans="1:13">
      <c r="A413" t="s">
        <v>859</v>
      </c>
      <c r="B413" s="2">
        <v>45989</v>
      </c>
      <c r="C413">
        <v>2025</v>
      </c>
      <c r="D413">
        <v>11</v>
      </c>
      <c r="E413" t="s">
        <v>117</v>
      </c>
      <c r="F413" t="s">
        <v>38</v>
      </c>
      <c r="G413" t="s">
        <v>32</v>
      </c>
      <c r="H413" t="s">
        <v>44</v>
      </c>
      <c r="I413" t="s">
        <v>464</v>
      </c>
      <c r="J413" t="s">
        <v>433</v>
      </c>
      <c r="K413" t="s">
        <v>58</v>
      </c>
      <c r="L413" t="s">
        <v>9</v>
      </c>
      <c r="M413" t="s">
        <v>10</v>
      </c>
    </row>
    <row r="414" spans="1:13">
      <c r="A414" t="s">
        <v>860</v>
      </c>
      <c r="B414" s="2">
        <v>45982</v>
      </c>
      <c r="C414">
        <v>2025</v>
      </c>
      <c r="D414">
        <v>11</v>
      </c>
      <c r="E414" t="s">
        <v>117</v>
      </c>
      <c r="F414" t="s">
        <v>54</v>
      </c>
      <c r="G414" t="s">
        <v>55</v>
      </c>
      <c r="H414" t="s">
        <v>44</v>
      </c>
      <c r="I414" t="s">
        <v>440</v>
      </c>
      <c r="J414" t="s">
        <v>429</v>
      </c>
      <c r="K414" t="s">
        <v>107</v>
      </c>
      <c r="L414" t="s">
        <v>36</v>
      </c>
      <c r="M414" t="s">
        <v>23</v>
      </c>
    </row>
    <row r="415" spans="1:13">
      <c r="A415" t="s">
        <v>861</v>
      </c>
      <c r="B415" s="2">
        <v>45983</v>
      </c>
      <c r="C415">
        <v>2025</v>
      </c>
      <c r="D415">
        <v>11</v>
      </c>
      <c r="E415" t="s">
        <v>117</v>
      </c>
      <c r="F415" t="s">
        <v>26</v>
      </c>
      <c r="G415" t="s">
        <v>3</v>
      </c>
      <c r="H415" t="s">
        <v>12</v>
      </c>
      <c r="I415" t="s">
        <v>462</v>
      </c>
      <c r="J415" t="s">
        <v>429</v>
      </c>
      <c r="K415" t="s">
        <v>21</v>
      </c>
      <c r="L415" t="s">
        <v>9</v>
      </c>
      <c r="M415" t="s">
        <v>10</v>
      </c>
    </row>
    <row r="416" spans="1:13">
      <c r="A416" t="s">
        <v>862</v>
      </c>
      <c r="B416" s="2">
        <v>45976</v>
      </c>
      <c r="C416">
        <v>2025</v>
      </c>
      <c r="D416">
        <v>11</v>
      </c>
      <c r="E416" t="s">
        <v>117</v>
      </c>
      <c r="F416" t="s">
        <v>78</v>
      </c>
      <c r="G416" t="s">
        <v>38</v>
      </c>
      <c r="H416" t="s">
        <v>44</v>
      </c>
      <c r="I416" t="s">
        <v>462</v>
      </c>
      <c r="J416" t="s">
        <v>429</v>
      </c>
      <c r="K416" t="s">
        <v>41</v>
      </c>
      <c r="L416" t="s">
        <v>29</v>
      </c>
      <c r="M416" t="s">
        <v>10</v>
      </c>
    </row>
    <row r="417" spans="1:13">
      <c r="A417" t="s">
        <v>863</v>
      </c>
      <c r="B417" s="2">
        <v>45988</v>
      </c>
      <c r="C417">
        <v>2025</v>
      </c>
      <c r="D417">
        <v>11</v>
      </c>
      <c r="E417" t="s">
        <v>117</v>
      </c>
      <c r="F417" t="s">
        <v>31</v>
      </c>
      <c r="G417" t="s">
        <v>32</v>
      </c>
      <c r="H417" t="s">
        <v>12</v>
      </c>
      <c r="I417" t="s">
        <v>519</v>
      </c>
      <c r="J417" t="s">
        <v>429</v>
      </c>
      <c r="K417" t="s">
        <v>51</v>
      </c>
      <c r="L417" t="s">
        <v>9</v>
      </c>
      <c r="M417" t="s">
        <v>10</v>
      </c>
    </row>
    <row r="418" spans="1:13">
      <c r="A418" t="s">
        <v>864</v>
      </c>
      <c r="B418" s="2">
        <v>45970</v>
      </c>
      <c r="C418">
        <v>2025</v>
      </c>
      <c r="D418">
        <v>11</v>
      </c>
      <c r="E418" t="s">
        <v>117</v>
      </c>
      <c r="F418" t="s">
        <v>67</v>
      </c>
      <c r="G418" t="s">
        <v>20</v>
      </c>
      <c r="H418" t="s">
        <v>33</v>
      </c>
      <c r="I418" t="s">
        <v>435</v>
      </c>
      <c r="J418" t="s">
        <v>429</v>
      </c>
      <c r="K418" t="s">
        <v>58</v>
      </c>
      <c r="L418" t="s">
        <v>29</v>
      </c>
      <c r="M418" t="s">
        <v>10</v>
      </c>
    </row>
    <row r="419" spans="1:13">
      <c r="A419" t="s">
        <v>865</v>
      </c>
      <c r="B419" s="2">
        <v>45982</v>
      </c>
      <c r="C419">
        <v>2025</v>
      </c>
      <c r="D419">
        <v>11</v>
      </c>
      <c r="E419" t="s">
        <v>117</v>
      </c>
      <c r="F419" t="s">
        <v>19</v>
      </c>
      <c r="G419" t="s">
        <v>61</v>
      </c>
      <c r="H419" t="s">
        <v>4</v>
      </c>
      <c r="I419" t="s">
        <v>464</v>
      </c>
      <c r="J419" t="s">
        <v>429</v>
      </c>
      <c r="K419" t="s">
        <v>21</v>
      </c>
      <c r="L419" t="s">
        <v>9</v>
      </c>
      <c r="M419" t="s">
        <v>10</v>
      </c>
    </row>
    <row r="420" spans="1:13">
      <c r="A420" t="s">
        <v>866</v>
      </c>
      <c r="B420" s="2">
        <v>45970</v>
      </c>
      <c r="C420">
        <v>2025</v>
      </c>
      <c r="D420">
        <v>11</v>
      </c>
      <c r="E420" t="s">
        <v>117</v>
      </c>
      <c r="F420" t="s">
        <v>54</v>
      </c>
      <c r="G420" t="s">
        <v>61</v>
      </c>
      <c r="H420" t="s">
        <v>12</v>
      </c>
      <c r="I420" t="s">
        <v>462</v>
      </c>
      <c r="J420" t="s">
        <v>429</v>
      </c>
      <c r="K420" t="s">
        <v>71</v>
      </c>
      <c r="L420" t="s">
        <v>9</v>
      </c>
      <c r="M420" t="s">
        <v>17</v>
      </c>
    </row>
    <row r="421" spans="1:13">
      <c r="A421" t="s">
        <v>867</v>
      </c>
      <c r="B421" s="2">
        <v>45969</v>
      </c>
      <c r="C421">
        <v>2025</v>
      </c>
      <c r="D421">
        <v>11</v>
      </c>
      <c r="E421" t="s">
        <v>117</v>
      </c>
      <c r="F421" t="s">
        <v>31</v>
      </c>
      <c r="G421" t="s">
        <v>32</v>
      </c>
      <c r="H421" t="s">
        <v>12</v>
      </c>
      <c r="I421" t="s">
        <v>457</v>
      </c>
      <c r="J421" t="s">
        <v>429</v>
      </c>
      <c r="K421" t="s">
        <v>41</v>
      </c>
      <c r="L421" t="s">
        <v>29</v>
      </c>
      <c r="M421" t="s">
        <v>10</v>
      </c>
    </row>
    <row r="422" spans="1:13">
      <c r="A422" t="s">
        <v>868</v>
      </c>
      <c r="B422" s="2">
        <v>45974</v>
      </c>
      <c r="C422">
        <v>2025</v>
      </c>
      <c r="D422">
        <v>11</v>
      </c>
      <c r="E422" t="s">
        <v>117</v>
      </c>
      <c r="F422" t="s">
        <v>2</v>
      </c>
      <c r="G422" t="s">
        <v>74</v>
      </c>
      <c r="H422" t="s">
        <v>33</v>
      </c>
      <c r="I422" t="s">
        <v>431</v>
      </c>
      <c r="J422" t="s">
        <v>429</v>
      </c>
      <c r="K422" t="s">
        <v>71</v>
      </c>
      <c r="L422" t="s">
        <v>29</v>
      </c>
      <c r="M422" t="s">
        <v>10</v>
      </c>
    </row>
    <row r="423" spans="1:13">
      <c r="A423" t="s">
        <v>869</v>
      </c>
      <c r="B423" s="2">
        <v>46009</v>
      </c>
      <c r="C423">
        <v>2025</v>
      </c>
      <c r="D423">
        <v>12</v>
      </c>
      <c r="E423" t="s">
        <v>124</v>
      </c>
      <c r="F423" t="s">
        <v>26</v>
      </c>
      <c r="G423" t="s">
        <v>61</v>
      </c>
      <c r="H423" t="s">
        <v>33</v>
      </c>
      <c r="I423" t="s">
        <v>435</v>
      </c>
      <c r="J423" t="s">
        <v>429</v>
      </c>
      <c r="K423" t="s">
        <v>84</v>
      </c>
      <c r="L423" t="s">
        <v>16</v>
      </c>
      <c r="M423" t="s">
        <v>23</v>
      </c>
    </row>
    <row r="424" spans="1:13">
      <c r="A424" t="s">
        <v>870</v>
      </c>
      <c r="B424" s="2">
        <v>46008</v>
      </c>
      <c r="C424">
        <v>2025</v>
      </c>
      <c r="D424">
        <v>12</v>
      </c>
      <c r="E424" t="s">
        <v>124</v>
      </c>
      <c r="F424" t="s">
        <v>19</v>
      </c>
      <c r="G424" t="s">
        <v>61</v>
      </c>
      <c r="H424" t="s">
        <v>33</v>
      </c>
      <c r="I424" t="s">
        <v>494</v>
      </c>
      <c r="J424" t="s">
        <v>429</v>
      </c>
      <c r="K424" t="s">
        <v>14</v>
      </c>
      <c r="L424" t="s">
        <v>36</v>
      </c>
      <c r="M424" t="s">
        <v>10</v>
      </c>
    </row>
    <row r="425" spans="1:13">
      <c r="A425" t="s">
        <v>871</v>
      </c>
      <c r="B425" s="2">
        <v>45997</v>
      </c>
      <c r="C425">
        <v>2025</v>
      </c>
      <c r="D425">
        <v>12</v>
      </c>
      <c r="E425" t="s">
        <v>124</v>
      </c>
      <c r="F425" t="s">
        <v>54</v>
      </c>
      <c r="G425" t="s">
        <v>55</v>
      </c>
      <c r="H425" t="s">
        <v>4</v>
      </c>
      <c r="I425" t="s">
        <v>84</v>
      </c>
      <c r="J425" t="s">
        <v>433</v>
      </c>
      <c r="K425" t="s">
        <v>56</v>
      </c>
      <c r="L425" t="s">
        <v>36</v>
      </c>
      <c r="M425" t="s">
        <v>23</v>
      </c>
    </row>
    <row r="426" spans="1:13">
      <c r="A426" t="s">
        <v>872</v>
      </c>
      <c r="B426" s="2">
        <v>45994</v>
      </c>
      <c r="C426">
        <v>2025</v>
      </c>
      <c r="D426">
        <v>12</v>
      </c>
      <c r="E426" t="s">
        <v>124</v>
      </c>
      <c r="F426" t="s">
        <v>31</v>
      </c>
      <c r="G426" t="s">
        <v>20</v>
      </c>
      <c r="H426" t="s">
        <v>33</v>
      </c>
      <c r="I426" t="s">
        <v>460</v>
      </c>
      <c r="J426" t="s">
        <v>429</v>
      </c>
      <c r="K426" t="s">
        <v>41</v>
      </c>
      <c r="L426" t="s">
        <v>29</v>
      </c>
      <c r="M426" t="s">
        <v>10</v>
      </c>
    </row>
    <row r="427" spans="1:13">
      <c r="A427" t="s">
        <v>873</v>
      </c>
      <c r="B427" s="2">
        <v>45999</v>
      </c>
      <c r="C427">
        <v>2025</v>
      </c>
      <c r="D427">
        <v>12</v>
      </c>
      <c r="E427" t="s">
        <v>124</v>
      </c>
      <c r="F427" t="s">
        <v>47</v>
      </c>
      <c r="G427" t="s">
        <v>48</v>
      </c>
      <c r="H427" t="s">
        <v>12</v>
      </c>
      <c r="I427" t="s">
        <v>440</v>
      </c>
      <c r="J427" t="s">
        <v>429</v>
      </c>
      <c r="K427" t="s">
        <v>21</v>
      </c>
      <c r="L427" t="s">
        <v>36</v>
      </c>
      <c r="M427" t="s">
        <v>10</v>
      </c>
    </row>
    <row r="428" spans="1:13">
      <c r="A428" t="s">
        <v>874</v>
      </c>
      <c r="B428" s="2">
        <v>45999</v>
      </c>
      <c r="C428">
        <v>2025</v>
      </c>
      <c r="D428">
        <v>12</v>
      </c>
      <c r="E428" t="s">
        <v>124</v>
      </c>
      <c r="F428" t="s">
        <v>78</v>
      </c>
      <c r="G428" t="s">
        <v>64</v>
      </c>
      <c r="H428" t="s">
        <v>44</v>
      </c>
      <c r="I428" t="s">
        <v>435</v>
      </c>
      <c r="J428" t="s">
        <v>433</v>
      </c>
      <c r="K428" t="s">
        <v>21</v>
      </c>
      <c r="L428" t="s">
        <v>29</v>
      </c>
      <c r="M428" t="s">
        <v>10</v>
      </c>
    </row>
    <row r="429" spans="1:13">
      <c r="A429" t="s">
        <v>875</v>
      </c>
      <c r="B429" s="2">
        <v>46019</v>
      </c>
      <c r="C429">
        <v>2025</v>
      </c>
      <c r="D429">
        <v>12</v>
      </c>
      <c r="E429" t="s">
        <v>124</v>
      </c>
      <c r="F429" t="s">
        <v>40</v>
      </c>
      <c r="G429" t="s">
        <v>20</v>
      </c>
      <c r="H429" t="s">
        <v>44</v>
      </c>
      <c r="I429" t="s">
        <v>464</v>
      </c>
      <c r="J429" t="s">
        <v>429</v>
      </c>
      <c r="K429" t="s">
        <v>21</v>
      </c>
      <c r="L429" t="s">
        <v>16</v>
      </c>
      <c r="M429" t="s">
        <v>10</v>
      </c>
    </row>
    <row r="430" spans="1:13">
      <c r="A430" t="s">
        <v>876</v>
      </c>
      <c r="B430" s="2">
        <v>46002</v>
      </c>
      <c r="C430">
        <v>2025</v>
      </c>
      <c r="D430">
        <v>12</v>
      </c>
      <c r="E430" t="s">
        <v>124</v>
      </c>
      <c r="F430" t="s">
        <v>40</v>
      </c>
      <c r="G430" t="s">
        <v>38</v>
      </c>
      <c r="H430" t="s">
        <v>12</v>
      </c>
      <c r="I430" t="s">
        <v>470</v>
      </c>
      <c r="J430" t="s">
        <v>429</v>
      </c>
      <c r="K430" t="s">
        <v>51</v>
      </c>
      <c r="L430" t="s">
        <v>16</v>
      </c>
      <c r="M430" t="s">
        <v>10</v>
      </c>
    </row>
    <row r="431" spans="1:13">
      <c r="A431" t="s">
        <v>877</v>
      </c>
      <c r="B431" s="2">
        <v>45998</v>
      </c>
      <c r="C431">
        <v>2025</v>
      </c>
      <c r="D431">
        <v>12</v>
      </c>
      <c r="E431" t="s">
        <v>124</v>
      </c>
      <c r="F431" t="s">
        <v>78</v>
      </c>
      <c r="G431" t="s">
        <v>3</v>
      </c>
      <c r="H431" t="s">
        <v>44</v>
      </c>
      <c r="I431" t="s">
        <v>442</v>
      </c>
      <c r="J431" t="s">
        <v>429</v>
      </c>
      <c r="K431" t="s">
        <v>7</v>
      </c>
      <c r="L431" t="s">
        <v>9</v>
      </c>
      <c r="M431" t="s">
        <v>10</v>
      </c>
    </row>
    <row r="432" spans="1:13">
      <c r="A432" t="s">
        <v>878</v>
      </c>
      <c r="B432" s="2">
        <v>45999</v>
      </c>
      <c r="C432">
        <v>2025</v>
      </c>
      <c r="D432">
        <v>12</v>
      </c>
      <c r="E432" t="s">
        <v>124</v>
      </c>
      <c r="F432" t="s">
        <v>40</v>
      </c>
      <c r="G432" t="s">
        <v>32</v>
      </c>
      <c r="H432" t="s">
        <v>44</v>
      </c>
      <c r="I432" t="s">
        <v>444</v>
      </c>
      <c r="J432" t="s">
        <v>429</v>
      </c>
      <c r="K432" t="s">
        <v>71</v>
      </c>
      <c r="L432" t="s">
        <v>36</v>
      </c>
      <c r="M432" t="s">
        <v>23</v>
      </c>
    </row>
    <row r="433" spans="1:13">
      <c r="A433" t="s">
        <v>879</v>
      </c>
      <c r="B433" s="2">
        <v>46009</v>
      </c>
      <c r="C433">
        <v>2025</v>
      </c>
      <c r="D433">
        <v>12</v>
      </c>
      <c r="E433" t="s">
        <v>124</v>
      </c>
      <c r="F433" t="s">
        <v>47</v>
      </c>
      <c r="G433" t="s">
        <v>27</v>
      </c>
      <c r="H433" t="s">
        <v>12</v>
      </c>
      <c r="I433" t="s">
        <v>466</v>
      </c>
      <c r="J433" t="s">
        <v>433</v>
      </c>
      <c r="K433" t="s">
        <v>51</v>
      </c>
      <c r="L433" t="s">
        <v>9</v>
      </c>
      <c r="M433" t="s">
        <v>10</v>
      </c>
    </row>
    <row r="434" spans="1:13">
      <c r="A434" t="s">
        <v>880</v>
      </c>
      <c r="B434" s="2">
        <v>46018</v>
      </c>
      <c r="C434">
        <v>2025</v>
      </c>
      <c r="D434">
        <v>12</v>
      </c>
      <c r="E434" t="s">
        <v>124</v>
      </c>
      <c r="F434" t="s">
        <v>38</v>
      </c>
      <c r="G434" t="s">
        <v>69</v>
      </c>
      <c r="H434" t="s">
        <v>4</v>
      </c>
      <c r="I434" t="s">
        <v>446</v>
      </c>
      <c r="J434" t="s">
        <v>429</v>
      </c>
      <c r="K434" t="s">
        <v>41</v>
      </c>
      <c r="L434" t="s">
        <v>36</v>
      </c>
      <c r="M434" t="s">
        <v>10</v>
      </c>
    </row>
    <row r="435" spans="1:13">
      <c r="A435" t="s">
        <v>881</v>
      </c>
      <c r="B435" s="2">
        <v>46000</v>
      </c>
      <c r="C435">
        <v>2025</v>
      </c>
      <c r="D435">
        <v>12</v>
      </c>
      <c r="E435" t="s">
        <v>124</v>
      </c>
      <c r="F435" t="s">
        <v>31</v>
      </c>
      <c r="G435" t="s">
        <v>69</v>
      </c>
      <c r="H435" t="s">
        <v>33</v>
      </c>
      <c r="I435" t="s">
        <v>442</v>
      </c>
      <c r="J435" t="s">
        <v>429</v>
      </c>
      <c r="K435" t="s">
        <v>7</v>
      </c>
      <c r="L435" t="s">
        <v>36</v>
      </c>
      <c r="M435" t="s">
        <v>10</v>
      </c>
    </row>
    <row r="436" spans="1:13">
      <c r="A436" t="s">
        <v>882</v>
      </c>
      <c r="B436" s="2">
        <v>45998</v>
      </c>
      <c r="C436">
        <v>2025</v>
      </c>
      <c r="D436">
        <v>12</v>
      </c>
      <c r="E436" t="s">
        <v>124</v>
      </c>
      <c r="F436" t="s">
        <v>47</v>
      </c>
      <c r="G436" t="s">
        <v>94</v>
      </c>
      <c r="H436" t="s">
        <v>12</v>
      </c>
      <c r="I436" t="s">
        <v>473</v>
      </c>
      <c r="J436" t="s">
        <v>433</v>
      </c>
      <c r="K436" t="s">
        <v>14</v>
      </c>
      <c r="L436" t="s">
        <v>9</v>
      </c>
      <c r="M436" t="s">
        <v>10</v>
      </c>
    </row>
    <row r="437" spans="1:13">
      <c r="A437" t="s">
        <v>883</v>
      </c>
      <c r="B437" s="2">
        <v>46013</v>
      </c>
      <c r="C437">
        <v>2025</v>
      </c>
      <c r="D437">
        <v>12</v>
      </c>
      <c r="E437" t="s">
        <v>124</v>
      </c>
      <c r="F437" t="s">
        <v>19</v>
      </c>
      <c r="G437" t="s">
        <v>94</v>
      </c>
      <c r="H437" t="s">
        <v>4</v>
      </c>
      <c r="I437" t="s">
        <v>464</v>
      </c>
      <c r="J437" t="s">
        <v>429</v>
      </c>
      <c r="K437" t="s">
        <v>71</v>
      </c>
      <c r="L437" t="s">
        <v>36</v>
      </c>
      <c r="M437" t="s">
        <v>23</v>
      </c>
    </row>
    <row r="438" spans="1:13">
      <c r="A438" t="s">
        <v>884</v>
      </c>
      <c r="B438" s="2">
        <v>46009</v>
      </c>
      <c r="C438">
        <v>2025</v>
      </c>
      <c r="D438">
        <v>12</v>
      </c>
      <c r="E438" t="s">
        <v>124</v>
      </c>
      <c r="F438" t="s">
        <v>78</v>
      </c>
      <c r="G438" t="s">
        <v>69</v>
      </c>
      <c r="H438" t="s">
        <v>44</v>
      </c>
      <c r="I438" t="s">
        <v>464</v>
      </c>
      <c r="J438" t="s">
        <v>429</v>
      </c>
      <c r="K438" t="s">
        <v>14</v>
      </c>
      <c r="L438" t="s">
        <v>36</v>
      </c>
      <c r="M438" t="s">
        <v>10</v>
      </c>
    </row>
    <row r="439" spans="1:13">
      <c r="A439" t="s">
        <v>885</v>
      </c>
      <c r="B439" s="2">
        <v>45993</v>
      </c>
      <c r="C439">
        <v>2025</v>
      </c>
      <c r="D439">
        <v>12</v>
      </c>
      <c r="E439" t="s">
        <v>124</v>
      </c>
      <c r="F439" t="s">
        <v>38</v>
      </c>
      <c r="G439" t="s">
        <v>61</v>
      </c>
      <c r="H439" t="s">
        <v>44</v>
      </c>
      <c r="I439" t="s">
        <v>457</v>
      </c>
      <c r="J439" t="s">
        <v>429</v>
      </c>
      <c r="K439" t="s">
        <v>41</v>
      </c>
      <c r="L439" t="s">
        <v>29</v>
      </c>
      <c r="M439" t="s">
        <v>10</v>
      </c>
    </row>
    <row r="440" spans="1:13">
      <c r="A440" t="s">
        <v>886</v>
      </c>
      <c r="B440" s="2">
        <v>46000</v>
      </c>
      <c r="C440">
        <v>2025</v>
      </c>
      <c r="D440">
        <v>12</v>
      </c>
      <c r="E440" t="s">
        <v>124</v>
      </c>
      <c r="F440" t="s">
        <v>67</v>
      </c>
      <c r="G440" t="s">
        <v>94</v>
      </c>
      <c r="H440" t="s">
        <v>12</v>
      </c>
      <c r="I440" t="s">
        <v>466</v>
      </c>
      <c r="J440" t="s">
        <v>429</v>
      </c>
      <c r="K440" t="s">
        <v>51</v>
      </c>
      <c r="L440" t="s">
        <v>16</v>
      </c>
      <c r="M440" t="s">
        <v>10</v>
      </c>
    </row>
    <row r="441" spans="1:13">
      <c r="A441" t="s">
        <v>887</v>
      </c>
      <c r="B441" s="2">
        <v>46006</v>
      </c>
      <c r="C441">
        <v>2025</v>
      </c>
      <c r="D441">
        <v>12</v>
      </c>
      <c r="E441" t="s">
        <v>124</v>
      </c>
      <c r="F441" t="s">
        <v>38</v>
      </c>
      <c r="G441" t="s">
        <v>55</v>
      </c>
      <c r="H441" t="s">
        <v>4</v>
      </c>
      <c r="I441" t="s">
        <v>431</v>
      </c>
      <c r="J441" t="s">
        <v>429</v>
      </c>
      <c r="K441" t="s">
        <v>56</v>
      </c>
      <c r="L441" t="s">
        <v>36</v>
      </c>
      <c r="M441" t="s">
        <v>23</v>
      </c>
    </row>
    <row r="442" spans="1:13">
      <c r="A442" t="s">
        <v>888</v>
      </c>
      <c r="B442" s="2">
        <v>45993</v>
      </c>
      <c r="C442">
        <v>2025</v>
      </c>
      <c r="D442">
        <v>12</v>
      </c>
      <c r="E442" t="s">
        <v>124</v>
      </c>
      <c r="F442" t="s">
        <v>40</v>
      </c>
      <c r="G442" t="s">
        <v>48</v>
      </c>
      <c r="H442" t="s">
        <v>12</v>
      </c>
      <c r="I442" t="s">
        <v>431</v>
      </c>
      <c r="J442" t="s">
        <v>433</v>
      </c>
      <c r="K442" t="s">
        <v>14</v>
      </c>
      <c r="L442" t="s">
        <v>29</v>
      </c>
      <c r="M442" t="s">
        <v>10</v>
      </c>
    </row>
    <row r="443" spans="1:13">
      <c r="A443" t="s">
        <v>889</v>
      </c>
      <c r="B443" s="2">
        <v>46001</v>
      </c>
      <c r="C443">
        <v>2025</v>
      </c>
      <c r="D443">
        <v>12</v>
      </c>
      <c r="E443" t="s">
        <v>124</v>
      </c>
      <c r="F443" t="s">
        <v>31</v>
      </c>
      <c r="G443" t="s">
        <v>94</v>
      </c>
      <c r="H443" t="s">
        <v>44</v>
      </c>
      <c r="I443" t="s">
        <v>519</v>
      </c>
      <c r="J443" t="s">
        <v>433</v>
      </c>
      <c r="K443" t="s">
        <v>14</v>
      </c>
      <c r="L443" t="s">
        <v>36</v>
      </c>
      <c r="M443" t="s">
        <v>10</v>
      </c>
    </row>
    <row r="444" spans="1:13">
      <c r="A444" t="s">
        <v>890</v>
      </c>
      <c r="B444" s="2">
        <v>46012</v>
      </c>
      <c r="C444">
        <v>2025</v>
      </c>
      <c r="D444">
        <v>12</v>
      </c>
      <c r="E444" t="s">
        <v>124</v>
      </c>
      <c r="F444" t="s">
        <v>67</v>
      </c>
      <c r="G444" t="s">
        <v>61</v>
      </c>
      <c r="H444" t="s">
        <v>4</v>
      </c>
      <c r="I444" t="s">
        <v>431</v>
      </c>
      <c r="J444" t="s">
        <v>433</v>
      </c>
      <c r="K444" t="s">
        <v>41</v>
      </c>
      <c r="L444" t="s">
        <v>36</v>
      </c>
      <c r="M444" t="s">
        <v>23</v>
      </c>
    </row>
    <row r="445" spans="1:13">
      <c r="A445" t="s">
        <v>891</v>
      </c>
      <c r="B445" s="2">
        <v>46039</v>
      </c>
      <c r="C445">
        <v>2026</v>
      </c>
      <c r="D445">
        <v>1</v>
      </c>
      <c r="E445" t="s">
        <v>1</v>
      </c>
      <c r="F445" t="s">
        <v>19</v>
      </c>
      <c r="G445" t="s">
        <v>32</v>
      </c>
      <c r="H445" t="s">
        <v>44</v>
      </c>
      <c r="I445" t="s">
        <v>460</v>
      </c>
      <c r="J445" t="s">
        <v>429</v>
      </c>
      <c r="K445" t="s">
        <v>51</v>
      </c>
      <c r="L445" t="s">
        <v>16</v>
      </c>
      <c r="M445" t="s">
        <v>10</v>
      </c>
    </row>
    <row r="446" spans="1:13">
      <c r="A446" t="s">
        <v>892</v>
      </c>
      <c r="B446" s="2">
        <v>46041</v>
      </c>
      <c r="C446">
        <v>2026</v>
      </c>
      <c r="D446">
        <v>1</v>
      </c>
      <c r="E446" t="s">
        <v>1</v>
      </c>
      <c r="F446" t="s">
        <v>31</v>
      </c>
      <c r="G446" t="s">
        <v>20</v>
      </c>
      <c r="H446" t="s">
        <v>4</v>
      </c>
      <c r="I446" t="s">
        <v>84</v>
      </c>
      <c r="J446" t="s">
        <v>429</v>
      </c>
      <c r="K446" t="s">
        <v>56</v>
      </c>
      <c r="L446" t="s">
        <v>9</v>
      </c>
      <c r="M446" t="s">
        <v>17</v>
      </c>
    </row>
    <row r="447" spans="1:13">
      <c r="A447" t="s">
        <v>893</v>
      </c>
      <c r="B447" s="2">
        <v>46027</v>
      </c>
      <c r="C447">
        <v>2026</v>
      </c>
      <c r="D447">
        <v>1</v>
      </c>
      <c r="E447" t="s">
        <v>1</v>
      </c>
      <c r="F447" t="s">
        <v>31</v>
      </c>
      <c r="G447" t="s">
        <v>32</v>
      </c>
      <c r="H447" t="s">
        <v>12</v>
      </c>
      <c r="I447" t="s">
        <v>460</v>
      </c>
      <c r="J447" t="s">
        <v>429</v>
      </c>
      <c r="K447" t="s">
        <v>51</v>
      </c>
      <c r="L447" t="s">
        <v>16</v>
      </c>
      <c r="M447" t="s">
        <v>23</v>
      </c>
    </row>
    <row r="448" spans="1:13">
      <c r="A448" t="s">
        <v>894</v>
      </c>
      <c r="B448" s="2">
        <v>46047</v>
      </c>
      <c r="C448">
        <v>2026</v>
      </c>
      <c r="D448">
        <v>1</v>
      </c>
      <c r="E448" t="s">
        <v>1</v>
      </c>
      <c r="F448" t="s">
        <v>78</v>
      </c>
      <c r="G448" t="s">
        <v>3</v>
      </c>
      <c r="H448" t="s">
        <v>12</v>
      </c>
      <c r="I448" t="s">
        <v>428</v>
      </c>
      <c r="J448" t="s">
        <v>429</v>
      </c>
      <c r="K448" t="s">
        <v>107</v>
      </c>
      <c r="L448" t="s">
        <v>16</v>
      </c>
      <c r="M448" t="s">
        <v>10</v>
      </c>
    </row>
    <row r="449" spans="1:13">
      <c r="A449" t="s">
        <v>895</v>
      </c>
      <c r="B449" s="2">
        <v>46031</v>
      </c>
      <c r="C449">
        <v>2026</v>
      </c>
      <c r="D449">
        <v>1</v>
      </c>
      <c r="E449" t="s">
        <v>1</v>
      </c>
      <c r="F449" t="s">
        <v>54</v>
      </c>
      <c r="G449" t="s">
        <v>38</v>
      </c>
      <c r="H449" t="s">
        <v>4</v>
      </c>
      <c r="I449" t="s">
        <v>438</v>
      </c>
      <c r="J449" t="s">
        <v>433</v>
      </c>
      <c r="K449" t="s">
        <v>14</v>
      </c>
      <c r="L449" t="s">
        <v>36</v>
      </c>
      <c r="M449" t="s">
        <v>23</v>
      </c>
    </row>
    <row r="450" spans="1:13">
      <c r="A450" t="s">
        <v>896</v>
      </c>
      <c r="B450" s="2">
        <v>46046</v>
      </c>
      <c r="C450">
        <v>2026</v>
      </c>
      <c r="D450">
        <v>1</v>
      </c>
      <c r="E450" t="s">
        <v>1</v>
      </c>
      <c r="F450" t="s">
        <v>47</v>
      </c>
      <c r="G450" t="s">
        <v>61</v>
      </c>
      <c r="H450" t="s">
        <v>44</v>
      </c>
      <c r="I450" t="s">
        <v>84</v>
      </c>
      <c r="J450" t="s">
        <v>429</v>
      </c>
      <c r="K450" t="s">
        <v>21</v>
      </c>
      <c r="L450" t="s">
        <v>16</v>
      </c>
      <c r="M450" t="s">
        <v>10</v>
      </c>
    </row>
    <row r="451" spans="1:13">
      <c r="A451" t="s">
        <v>897</v>
      </c>
      <c r="B451" s="2">
        <v>46037</v>
      </c>
      <c r="C451">
        <v>2026</v>
      </c>
      <c r="D451">
        <v>1</v>
      </c>
      <c r="E451" t="s">
        <v>1</v>
      </c>
      <c r="F451" t="s">
        <v>47</v>
      </c>
      <c r="G451" t="s">
        <v>48</v>
      </c>
      <c r="H451" t="s">
        <v>44</v>
      </c>
      <c r="I451" t="s">
        <v>440</v>
      </c>
      <c r="J451" t="s">
        <v>429</v>
      </c>
      <c r="K451" t="s">
        <v>7</v>
      </c>
      <c r="L451" t="s">
        <v>36</v>
      </c>
      <c r="M451" t="s">
        <v>10</v>
      </c>
    </row>
    <row r="452" spans="1:13">
      <c r="A452" t="s">
        <v>898</v>
      </c>
      <c r="B452" s="2">
        <v>46028</v>
      </c>
      <c r="C452">
        <v>2026</v>
      </c>
      <c r="D452">
        <v>1</v>
      </c>
      <c r="E452" t="s">
        <v>1</v>
      </c>
      <c r="F452" t="s">
        <v>67</v>
      </c>
      <c r="G452" t="s">
        <v>32</v>
      </c>
      <c r="H452" t="s">
        <v>44</v>
      </c>
      <c r="I452" t="s">
        <v>435</v>
      </c>
      <c r="J452" t="s">
        <v>429</v>
      </c>
      <c r="K452" t="s">
        <v>51</v>
      </c>
      <c r="L452" t="s">
        <v>16</v>
      </c>
      <c r="M452" t="s">
        <v>10</v>
      </c>
    </row>
    <row r="453" spans="1:13">
      <c r="A453" t="s">
        <v>899</v>
      </c>
      <c r="B453" s="2">
        <v>46028</v>
      </c>
      <c r="C453">
        <v>2026</v>
      </c>
      <c r="D453">
        <v>1</v>
      </c>
      <c r="E453" t="s">
        <v>1</v>
      </c>
      <c r="F453" t="s">
        <v>2</v>
      </c>
      <c r="G453" t="s">
        <v>55</v>
      </c>
      <c r="H453" t="s">
        <v>44</v>
      </c>
      <c r="I453" t="s">
        <v>457</v>
      </c>
      <c r="J453" t="s">
        <v>433</v>
      </c>
      <c r="K453" t="s">
        <v>41</v>
      </c>
      <c r="L453" t="s">
        <v>29</v>
      </c>
      <c r="M453" t="s">
        <v>17</v>
      </c>
    </row>
    <row r="454" spans="1:13">
      <c r="A454" t="s">
        <v>900</v>
      </c>
      <c r="B454" s="2">
        <v>46045</v>
      </c>
      <c r="C454">
        <v>2026</v>
      </c>
      <c r="D454">
        <v>1</v>
      </c>
      <c r="E454" t="s">
        <v>1</v>
      </c>
      <c r="F454" t="s">
        <v>2</v>
      </c>
      <c r="G454" t="s">
        <v>32</v>
      </c>
      <c r="H454" t="s">
        <v>33</v>
      </c>
      <c r="I454" t="s">
        <v>446</v>
      </c>
      <c r="J454" t="s">
        <v>429</v>
      </c>
      <c r="K454" t="s">
        <v>7</v>
      </c>
      <c r="L454" t="s">
        <v>29</v>
      </c>
      <c r="M454" t="s">
        <v>10</v>
      </c>
    </row>
    <row r="455" spans="1:13">
      <c r="A455" t="s">
        <v>901</v>
      </c>
      <c r="B455" s="2">
        <v>46034</v>
      </c>
      <c r="C455">
        <v>2026</v>
      </c>
      <c r="D455">
        <v>1</v>
      </c>
      <c r="E455" t="s">
        <v>1</v>
      </c>
      <c r="F455" t="s">
        <v>78</v>
      </c>
      <c r="G455" t="s">
        <v>69</v>
      </c>
      <c r="H455" t="s">
        <v>12</v>
      </c>
      <c r="I455" t="s">
        <v>457</v>
      </c>
      <c r="J455" t="s">
        <v>429</v>
      </c>
      <c r="K455" t="s">
        <v>14</v>
      </c>
      <c r="L455" t="s">
        <v>9</v>
      </c>
      <c r="M455" t="s">
        <v>10</v>
      </c>
    </row>
    <row r="456" spans="1:13">
      <c r="A456" t="s">
        <v>902</v>
      </c>
      <c r="B456" s="2">
        <v>46034</v>
      </c>
      <c r="C456">
        <v>2026</v>
      </c>
      <c r="D456">
        <v>1</v>
      </c>
      <c r="E456" t="s">
        <v>1</v>
      </c>
      <c r="F456" t="s">
        <v>38</v>
      </c>
      <c r="G456" t="s">
        <v>32</v>
      </c>
      <c r="H456" t="s">
        <v>33</v>
      </c>
      <c r="I456" t="s">
        <v>440</v>
      </c>
      <c r="J456" t="s">
        <v>429</v>
      </c>
      <c r="K456" t="s">
        <v>107</v>
      </c>
      <c r="L456" t="s">
        <v>16</v>
      </c>
      <c r="M456" t="s">
        <v>10</v>
      </c>
    </row>
    <row r="457" spans="1:13">
      <c r="A457" t="s">
        <v>903</v>
      </c>
      <c r="B457" s="2">
        <v>46048</v>
      </c>
      <c r="C457">
        <v>2026</v>
      </c>
      <c r="D457">
        <v>1</v>
      </c>
      <c r="E457" t="s">
        <v>1</v>
      </c>
      <c r="F457" t="s">
        <v>54</v>
      </c>
      <c r="G457" t="s">
        <v>55</v>
      </c>
      <c r="H457" t="s">
        <v>33</v>
      </c>
      <c r="I457" t="s">
        <v>84</v>
      </c>
      <c r="J457" t="s">
        <v>433</v>
      </c>
      <c r="K457" t="s">
        <v>21</v>
      </c>
      <c r="L457" t="s">
        <v>9</v>
      </c>
      <c r="M457" t="s">
        <v>17</v>
      </c>
    </row>
    <row r="458" spans="1:13">
      <c r="A458" t="s">
        <v>904</v>
      </c>
      <c r="B458" s="2">
        <v>46023</v>
      </c>
      <c r="C458">
        <v>2026</v>
      </c>
      <c r="D458">
        <v>1</v>
      </c>
      <c r="E458" t="s">
        <v>1</v>
      </c>
      <c r="F458" t="s">
        <v>47</v>
      </c>
      <c r="G458" t="s">
        <v>61</v>
      </c>
      <c r="H458" t="s">
        <v>12</v>
      </c>
      <c r="I458" t="s">
        <v>442</v>
      </c>
      <c r="J458" t="s">
        <v>429</v>
      </c>
      <c r="K458" t="s">
        <v>84</v>
      </c>
      <c r="L458" t="s">
        <v>16</v>
      </c>
      <c r="M458" t="s">
        <v>10</v>
      </c>
    </row>
    <row r="459" spans="1:13">
      <c r="A459" t="s">
        <v>905</v>
      </c>
      <c r="B459" s="2">
        <v>46036</v>
      </c>
      <c r="C459">
        <v>2026</v>
      </c>
      <c r="D459">
        <v>1</v>
      </c>
      <c r="E459" t="s">
        <v>1</v>
      </c>
      <c r="F459" t="s">
        <v>19</v>
      </c>
      <c r="G459" t="s">
        <v>74</v>
      </c>
      <c r="H459" t="s">
        <v>12</v>
      </c>
      <c r="I459" t="s">
        <v>519</v>
      </c>
      <c r="J459" t="s">
        <v>429</v>
      </c>
      <c r="K459" t="s">
        <v>107</v>
      </c>
      <c r="L459" t="s">
        <v>9</v>
      </c>
      <c r="M459" t="s">
        <v>23</v>
      </c>
    </row>
    <row r="460" spans="1:13">
      <c r="A460" t="s">
        <v>906</v>
      </c>
      <c r="B460" s="2">
        <v>46046</v>
      </c>
      <c r="C460">
        <v>2026</v>
      </c>
      <c r="D460">
        <v>1</v>
      </c>
      <c r="E460" t="s">
        <v>1</v>
      </c>
      <c r="F460" t="s">
        <v>47</v>
      </c>
      <c r="G460" t="s">
        <v>64</v>
      </c>
      <c r="H460" t="s">
        <v>12</v>
      </c>
      <c r="I460" t="s">
        <v>446</v>
      </c>
      <c r="J460" t="s">
        <v>429</v>
      </c>
      <c r="K460" t="s">
        <v>7</v>
      </c>
      <c r="L460" t="s">
        <v>36</v>
      </c>
      <c r="M460" t="s">
        <v>23</v>
      </c>
    </row>
    <row r="461" spans="1:13">
      <c r="A461" t="s">
        <v>907</v>
      </c>
      <c r="B461" s="2">
        <v>46035</v>
      </c>
      <c r="C461">
        <v>2026</v>
      </c>
      <c r="D461">
        <v>1</v>
      </c>
      <c r="E461" t="s">
        <v>1</v>
      </c>
      <c r="F461" t="s">
        <v>78</v>
      </c>
      <c r="G461" t="s">
        <v>94</v>
      </c>
      <c r="H461" t="s">
        <v>4</v>
      </c>
      <c r="I461" t="s">
        <v>442</v>
      </c>
      <c r="J461" t="s">
        <v>433</v>
      </c>
      <c r="K461" t="s">
        <v>51</v>
      </c>
      <c r="L461" t="s">
        <v>29</v>
      </c>
      <c r="M461" t="s">
        <v>10</v>
      </c>
    </row>
    <row r="462" spans="1:13">
      <c r="A462" t="s">
        <v>908</v>
      </c>
      <c r="B462" s="2">
        <v>46037</v>
      </c>
      <c r="C462">
        <v>2026</v>
      </c>
      <c r="D462">
        <v>1</v>
      </c>
      <c r="E462" t="s">
        <v>1</v>
      </c>
      <c r="F462" t="s">
        <v>47</v>
      </c>
      <c r="G462" t="s">
        <v>27</v>
      </c>
      <c r="H462" t="s">
        <v>12</v>
      </c>
      <c r="I462" t="s">
        <v>457</v>
      </c>
      <c r="J462" t="s">
        <v>429</v>
      </c>
      <c r="K462" t="s">
        <v>51</v>
      </c>
      <c r="L462" t="s">
        <v>9</v>
      </c>
      <c r="M462" t="s">
        <v>23</v>
      </c>
    </row>
    <row r="463" spans="1:13">
      <c r="A463" t="s">
        <v>909</v>
      </c>
      <c r="B463" s="2">
        <v>46046</v>
      </c>
      <c r="C463">
        <v>2026</v>
      </c>
      <c r="D463">
        <v>1</v>
      </c>
      <c r="E463" t="s">
        <v>1</v>
      </c>
      <c r="F463" t="s">
        <v>40</v>
      </c>
      <c r="G463" t="s">
        <v>32</v>
      </c>
      <c r="H463" t="s">
        <v>44</v>
      </c>
      <c r="I463" t="s">
        <v>464</v>
      </c>
      <c r="J463" t="s">
        <v>429</v>
      </c>
      <c r="K463" t="s">
        <v>58</v>
      </c>
      <c r="L463" t="s">
        <v>36</v>
      </c>
      <c r="M463" t="s">
        <v>10</v>
      </c>
    </row>
    <row r="464" spans="1:13">
      <c r="A464" t="s">
        <v>910</v>
      </c>
      <c r="B464" s="2">
        <v>46031</v>
      </c>
      <c r="C464">
        <v>2026</v>
      </c>
      <c r="D464">
        <v>1</v>
      </c>
      <c r="E464" t="s">
        <v>1</v>
      </c>
      <c r="F464" t="s">
        <v>78</v>
      </c>
      <c r="G464" t="s">
        <v>64</v>
      </c>
      <c r="H464" t="s">
        <v>33</v>
      </c>
      <c r="I464" t="s">
        <v>466</v>
      </c>
      <c r="J464" t="s">
        <v>429</v>
      </c>
      <c r="K464" t="s">
        <v>51</v>
      </c>
      <c r="L464" t="s">
        <v>16</v>
      </c>
      <c r="M464" t="s">
        <v>10</v>
      </c>
    </row>
    <row r="465" spans="1:13">
      <c r="A465" t="s">
        <v>911</v>
      </c>
      <c r="B465" s="2">
        <v>46069</v>
      </c>
      <c r="C465">
        <v>2026</v>
      </c>
      <c r="D465">
        <v>2</v>
      </c>
      <c r="E465" t="s">
        <v>25</v>
      </c>
      <c r="F465" t="s">
        <v>38</v>
      </c>
      <c r="G465" t="s">
        <v>32</v>
      </c>
      <c r="H465" t="s">
        <v>4</v>
      </c>
      <c r="I465" t="s">
        <v>438</v>
      </c>
      <c r="J465" t="s">
        <v>429</v>
      </c>
      <c r="K465" t="s">
        <v>71</v>
      </c>
      <c r="L465" t="s">
        <v>29</v>
      </c>
      <c r="M465" t="s">
        <v>10</v>
      </c>
    </row>
    <row r="466" spans="1:13">
      <c r="A466" t="s">
        <v>912</v>
      </c>
      <c r="B466" s="2">
        <v>46062</v>
      </c>
      <c r="C466">
        <v>2026</v>
      </c>
      <c r="D466">
        <v>2</v>
      </c>
      <c r="E466" t="s">
        <v>25</v>
      </c>
      <c r="F466" t="s">
        <v>78</v>
      </c>
      <c r="G466" t="s">
        <v>74</v>
      </c>
      <c r="H466" t="s">
        <v>44</v>
      </c>
      <c r="I466" t="s">
        <v>454</v>
      </c>
      <c r="J466" t="s">
        <v>429</v>
      </c>
      <c r="K466" t="s">
        <v>56</v>
      </c>
      <c r="L466" t="s">
        <v>36</v>
      </c>
      <c r="M466" t="s">
        <v>10</v>
      </c>
    </row>
    <row r="467" spans="1:13">
      <c r="A467" t="s">
        <v>913</v>
      </c>
      <c r="B467" s="2">
        <v>46077</v>
      </c>
      <c r="C467">
        <v>2026</v>
      </c>
      <c r="D467">
        <v>2</v>
      </c>
      <c r="E467" t="s">
        <v>25</v>
      </c>
      <c r="F467" t="s">
        <v>78</v>
      </c>
      <c r="G467" t="s">
        <v>69</v>
      </c>
      <c r="H467" t="s">
        <v>4</v>
      </c>
      <c r="I467" t="s">
        <v>446</v>
      </c>
      <c r="J467" t="s">
        <v>433</v>
      </c>
      <c r="K467" t="s">
        <v>41</v>
      </c>
      <c r="L467" t="s">
        <v>16</v>
      </c>
      <c r="M467" t="s">
        <v>10</v>
      </c>
    </row>
    <row r="468" spans="1:13">
      <c r="A468" t="s">
        <v>914</v>
      </c>
      <c r="B468" s="2">
        <v>46067</v>
      </c>
      <c r="C468">
        <v>2026</v>
      </c>
      <c r="D468">
        <v>2</v>
      </c>
      <c r="E468" t="s">
        <v>25</v>
      </c>
      <c r="F468" t="s">
        <v>40</v>
      </c>
      <c r="G468" t="s">
        <v>55</v>
      </c>
      <c r="H468" t="s">
        <v>33</v>
      </c>
      <c r="I468" t="s">
        <v>470</v>
      </c>
      <c r="J468" t="s">
        <v>429</v>
      </c>
      <c r="K468" t="s">
        <v>41</v>
      </c>
      <c r="L468" t="s">
        <v>36</v>
      </c>
      <c r="M468" t="s">
        <v>10</v>
      </c>
    </row>
    <row r="469" spans="1:13">
      <c r="A469" t="s">
        <v>915</v>
      </c>
      <c r="B469" s="2">
        <v>46068</v>
      </c>
      <c r="C469">
        <v>2026</v>
      </c>
      <c r="D469">
        <v>2</v>
      </c>
      <c r="E469" t="s">
        <v>25</v>
      </c>
      <c r="F469" t="s">
        <v>78</v>
      </c>
      <c r="G469" t="s">
        <v>27</v>
      </c>
      <c r="H469" t="s">
        <v>4</v>
      </c>
      <c r="I469" t="s">
        <v>438</v>
      </c>
      <c r="J469" t="s">
        <v>433</v>
      </c>
      <c r="K469" t="s">
        <v>41</v>
      </c>
      <c r="L469" t="s">
        <v>16</v>
      </c>
      <c r="M469" t="s">
        <v>23</v>
      </c>
    </row>
    <row r="470" spans="1:13">
      <c r="A470" t="s">
        <v>916</v>
      </c>
      <c r="B470" s="2">
        <v>46078</v>
      </c>
      <c r="C470">
        <v>2026</v>
      </c>
      <c r="D470">
        <v>2</v>
      </c>
      <c r="E470" t="s">
        <v>25</v>
      </c>
      <c r="F470" t="s">
        <v>47</v>
      </c>
      <c r="G470" t="s">
        <v>61</v>
      </c>
      <c r="H470" t="s">
        <v>4</v>
      </c>
      <c r="I470" t="s">
        <v>454</v>
      </c>
      <c r="J470" t="s">
        <v>429</v>
      </c>
      <c r="K470" t="s">
        <v>7</v>
      </c>
      <c r="L470" t="s">
        <v>36</v>
      </c>
      <c r="M470" t="s">
        <v>10</v>
      </c>
    </row>
    <row r="471" spans="1:13">
      <c r="A471" t="s">
        <v>917</v>
      </c>
      <c r="B471" s="2">
        <v>46071</v>
      </c>
      <c r="C471">
        <v>2026</v>
      </c>
      <c r="D471">
        <v>2</v>
      </c>
      <c r="E471" t="s">
        <v>25</v>
      </c>
      <c r="F471" t="s">
        <v>38</v>
      </c>
      <c r="G471" t="s">
        <v>3</v>
      </c>
      <c r="H471" t="s">
        <v>33</v>
      </c>
      <c r="I471" t="s">
        <v>454</v>
      </c>
      <c r="J471" t="s">
        <v>429</v>
      </c>
      <c r="K471" t="s">
        <v>71</v>
      </c>
      <c r="L471" t="s">
        <v>16</v>
      </c>
      <c r="M471" t="s">
        <v>10</v>
      </c>
    </row>
    <row r="472" spans="1:13">
      <c r="A472" t="s">
        <v>918</v>
      </c>
      <c r="B472" s="2">
        <v>46062</v>
      </c>
      <c r="C472">
        <v>2026</v>
      </c>
      <c r="D472">
        <v>2</v>
      </c>
      <c r="E472" t="s">
        <v>25</v>
      </c>
      <c r="F472" t="s">
        <v>19</v>
      </c>
      <c r="G472" t="s">
        <v>38</v>
      </c>
      <c r="H472" t="s">
        <v>33</v>
      </c>
      <c r="I472" t="s">
        <v>446</v>
      </c>
      <c r="J472" t="s">
        <v>429</v>
      </c>
      <c r="K472" t="s">
        <v>7</v>
      </c>
      <c r="L472" t="s">
        <v>36</v>
      </c>
      <c r="M472" t="s">
        <v>10</v>
      </c>
    </row>
    <row r="473" spans="1:13">
      <c r="A473" t="s">
        <v>919</v>
      </c>
      <c r="B473" s="2">
        <v>46055</v>
      </c>
      <c r="C473">
        <v>2026</v>
      </c>
      <c r="D473">
        <v>2</v>
      </c>
      <c r="E473" t="s">
        <v>25</v>
      </c>
      <c r="F473" t="s">
        <v>40</v>
      </c>
      <c r="G473" t="s">
        <v>74</v>
      </c>
      <c r="H473" t="s">
        <v>4</v>
      </c>
      <c r="I473" t="s">
        <v>452</v>
      </c>
      <c r="J473" t="s">
        <v>429</v>
      </c>
      <c r="K473" t="s">
        <v>7</v>
      </c>
      <c r="L473" t="s">
        <v>36</v>
      </c>
      <c r="M473" t="s">
        <v>10</v>
      </c>
    </row>
    <row r="474" spans="1:13">
      <c r="A474" t="s">
        <v>920</v>
      </c>
      <c r="B474" s="2">
        <v>46065</v>
      </c>
      <c r="C474">
        <v>2026</v>
      </c>
      <c r="D474">
        <v>2</v>
      </c>
      <c r="E474" t="s">
        <v>25</v>
      </c>
      <c r="F474" t="s">
        <v>54</v>
      </c>
      <c r="G474" t="s">
        <v>3</v>
      </c>
      <c r="H474" t="s">
        <v>44</v>
      </c>
      <c r="I474" t="s">
        <v>428</v>
      </c>
      <c r="J474" t="s">
        <v>429</v>
      </c>
      <c r="K474" t="s">
        <v>21</v>
      </c>
      <c r="L474" t="s">
        <v>9</v>
      </c>
      <c r="M474" t="s">
        <v>10</v>
      </c>
    </row>
    <row r="475" spans="1:13">
      <c r="A475" t="s">
        <v>921</v>
      </c>
      <c r="B475" s="2">
        <v>46075</v>
      </c>
      <c r="C475">
        <v>2026</v>
      </c>
      <c r="D475">
        <v>2</v>
      </c>
      <c r="E475" t="s">
        <v>25</v>
      </c>
      <c r="F475" t="s">
        <v>38</v>
      </c>
      <c r="G475" t="s">
        <v>32</v>
      </c>
      <c r="H475" t="s">
        <v>12</v>
      </c>
      <c r="I475" t="s">
        <v>428</v>
      </c>
      <c r="J475" t="s">
        <v>433</v>
      </c>
      <c r="K475" t="s">
        <v>41</v>
      </c>
      <c r="L475" t="s">
        <v>36</v>
      </c>
      <c r="M475" t="s">
        <v>23</v>
      </c>
    </row>
    <row r="476" spans="1:13">
      <c r="A476" t="s">
        <v>922</v>
      </c>
      <c r="B476" s="2">
        <v>46081</v>
      </c>
      <c r="C476">
        <v>2026</v>
      </c>
      <c r="D476">
        <v>2</v>
      </c>
      <c r="E476" t="s">
        <v>25</v>
      </c>
      <c r="F476" t="s">
        <v>40</v>
      </c>
      <c r="G476" t="s">
        <v>74</v>
      </c>
      <c r="H476" t="s">
        <v>12</v>
      </c>
      <c r="I476" t="s">
        <v>431</v>
      </c>
      <c r="J476" t="s">
        <v>429</v>
      </c>
      <c r="K476" t="s">
        <v>21</v>
      </c>
      <c r="L476" t="s">
        <v>36</v>
      </c>
      <c r="M476" t="s">
        <v>10</v>
      </c>
    </row>
    <row r="477" spans="1:13">
      <c r="A477" t="s">
        <v>923</v>
      </c>
      <c r="B477" s="2">
        <v>46074</v>
      </c>
      <c r="C477">
        <v>2026</v>
      </c>
      <c r="D477">
        <v>2</v>
      </c>
      <c r="E477" t="s">
        <v>25</v>
      </c>
      <c r="F477" t="s">
        <v>31</v>
      </c>
      <c r="G477" t="s">
        <v>55</v>
      </c>
      <c r="H477" t="s">
        <v>4</v>
      </c>
      <c r="I477" t="s">
        <v>494</v>
      </c>
      <c r="J477" t="s">
        <v>429</v>
      </c>
      <c r="K477" t="s">
        <v>58</v>
      </c>
      <c r="L477" t="s">
        <v>29</v>
      </c>
      <c r="M477" t="s">
        <v>23</v>
      </c>
    </row>
    <row r="478" spans="1:13">
      <c r="A478" t="s">
        <v>924</v>
      </c>
      <c r="B478" s="2">
        <v>46055</v>
      </c>
      <c r="C478">
        <v>2026</v>
      </c>
      <c r="D478">
        <v>2</v>
      </c>
      <c r="E478" t="s">
        <v>25</v>
      </c>
      <c r="F478" t="s">
        <v>40</v>
      </c>
      <c r="G478" t="s">
        <v>38</v>
      </c>
      <c r="H478" t="s">
        <v>12</v>
      </c>
      <c r="I478" t="s">
        <v>462</v>
      </c>
      <c r="J478" t="s">
        <v>429</v>
      </c>
      <c r="K478" t="s">
        <v>21</v>
      </c>
      <c r="L478" t="s">
        <v>16</v>
      </c>
      <c r="M478" t="s">
        <v>10</v>
      </c>
    </row>
    <row r="479" spans="1:13">
      <c r="A479" t="s">
        <v>925</v>
      </c>
      <c r="B479" s="2">
        <v>46067</v>
      </c>
      <c r="C479">
        <v>2026</v>
      </c>
      <c r="D479">
        <v>2</v>
      </c>
      <c r="E479" t="s">
        <v>25</v>
      </c>
      <c r="F479" t="s">
        <v>2</v>
      </c>
      <c r="G479" t="s">
        <v>64</v>
      </c>
      <c r="H479" t="s">
        <v>4</v>
      </c>
      <c r="I479" t="s">
        <v>473</v>
      </c>
      <c r="J479" t="s">
        <v>429</v>
      </c>
      <c r="K479" t="s">
        <v>51</v>
      </c>
      <c r="L479" t="s">
        <v>29</v>
      </c>
      <c r="M479" t="s">
        <v>10</v>
      </c>
    </row>
    <row r="480" spans="1:13">
      <c r="A480" t="s">
        <v>926</v>
      </c>
      <c r="B480" s="2">
        <v>46073</v>
      </c>
      <c r="C480">
        <v>2026</v>
      </c>
      <c r="D480">
        <v>2</v>
      </c>
      <c r="E480" t="s">
        <v>25</v>
      </c>
      <c r="F480" t="s">
        <v>67</v>
      </c>
      <c r="G480" t="s">
        <v>61</v>
      </c>
      <c r="H480" t="s">
        <v>44</v>
      </c>
      <c r="I480" t="s">
        <v>462</v>
      </c>
      <c r="J480" t="s">
        <v>433</v>
      </c>
      <c r="K480" t="s">
        <v>107</v>
      </c>
      <c r="L480" t="s">
        <v>36</v>
      </c>
      <c r="M480" t="s">
        <v>23</v>
      </c>
    </row>
    <row r="481" spans="1:13">
      <c r="A481" t="s">
        <v>927</v>
      </c>
      <c r="B481" s="2">
        <v>46069</v>
      </c>
      <c r="C481">
        <v>2026</v>
      </c>
      <c r="D481">
        <v>2</v>
      </c>
      <c r="E481" t="s">
        <v>25</v>
      </c>
      <c r="F481" t="s">
        <v>47</v>
      </c>
      <c r="G481" t="s">
        <v>55</v>
      </c>
      <c r="H481" t="s">
        <v>33</v>
      </c>
      <c r="I481" t="s">
        <v>452</v>
      </c>
      <c r="J481" t="s">
        <v>429</v>
      </c>
      <c r="K481" t="s">
        <v>107</v>
      </c>
      <c r="L481" t="s">
        <v>9</v>
      </c>
      <c r="M481" t="s">
        <v>10</v>
      </c>
    </row>
    <row r="482" spans="1:13">
      <c r="A482" t="s">
        <v>928</v>
      </c>
      <c r="B482" s="2">
        <v>46057</v>
      </c>
      <c r="C482">
        <v>2026</v>
      </c>
      <c r="D482">
        <v>2</v>
      </c>
      <c r="E482" t="s">
        <v>25</v>
      </c>
      <c r="F482" t="s">
        <v>54</v>
      </c>
      <c r="G482" t="s">
        <v>48</v>
      </c>
      <c r="H482" t="s">
        <v>44</v>
      </c>
      <c r="I482" t="s">
        <v>473</v>
      </c>
      <c r="J482" t="s">
        <v>429</v>
      </c>
      <c r="K482" t="s">
        <v>14</v>
      </c>
      <c r="L482" t="s">
        <v>9</v>
      </c>
      <c r="M482" t="s">
        <v>23</v>
      </c>
    </row>
    <row r="483" spans="1:13">
      <c r="A483" t="s">
        <v>929</v>
      </c>
      <c r="B483" s="2">
        <v>46064</v>
      </c>
      <c r="C483">
        <v>2026</v>
      </c>
      <c r="D483">
        <v>2</v>
      </c>
      <c r="E483" t="s">
        <v>25</v>
      </c>
      <c r="F483" t="s">
        <v>26</v>
      </c>
      <c r="G483" t="s">
        <v>3</v>
      </c>
      <c r="H483" t="s">
        <v>12</v>
      </c>
      <c r="I483" t="s">
        <v>470</v>
      </c>
      <c r="J483" t="s">
        <v>429</v>
      </c>
      <c r="K483" t="s">
        <v>14</v>
      </c>
      <c r="L483" t="s">
        <v>9</v>
      </c>
      <c r="M483" t="s">
        <v>10</v>
      </c>
    </row>
    <row r="484" spans="1:13">
      <c r="A484" t="s">
        <v>930</v>
      </c>
      <c r="B484" s="2">
        <v>46080</v>
      </c>
      <c r="C484">
        <v>2026</v>
      </c>
      <c r="D484">
        <v>2</v>
      </c>
      <c r="E484" t="s">
        <v>25</v>
      </c>
      <c r="F484" t="s">
        <v>78</v>
      </c>
      <c r="G484" t="s">
        <v>69</v>
      </c>
      <c r="H484" t="s">
        <v>4</v>
      </c>
      <c r="I484" t="s">
        <v>446</v>
      </c>
      <c r="J484" t="s">
        <v>429</v>
      </c>
      <c r="K484" t="s">
        <v>7</v>
      </c>
      <c r="L484" t="s">
        <v>29</v>
      </c>
      <c r="M484" t="s">
        <v>10</v>
      </c>
    </row>
    <row r="485" spans="1:13">
      <c r="A485" t="s">
        <v>931</v>
      </c>
      <c r="B485" s="2">
        <v>46072</v>
      </c>
      <c r="C485">
        <v>2026</v>
      </c>
      <c r="D485">
        <v>2</v>
      </c>
      <c r="E485" t="s">
        <v>25</v>
      </c>
      <c r="F485" t="s">
        <v>67</v>
      </c>
      <c r="G485" t="s">
        <v>32</v>
      </c>
      <c r="H485" t="s">
        <v>44</v>
      </c>
      <c r="I485" t="s">
        <v>466</v>
      </c>
      <c r="J485" t="s">
        <v>429</v>
      </c>
      <c r="K485" t="s">
        <v>7</v>
      </c>
      <c r="L485" t="s">
        <v>9</v>
      </c>
      <c r="M485" t="s">
        <v>10</v>
      </c>
    </row>
    <row r="486" spans="1:13">
      <c r="A486" t="s">
        <v>932</v>
      </c>
      <c r="B486" s="2">
        <v>46072</v>
      </c>
      <c r="C486">
        <v>2026</v>
      </c>
      <c r="D486">
        <v>2</v>
      </c>
      <c r="E486" t="s">
        <v>25</v>
      </c>
      <c r="F486" t="s">
        <v>26</v>
      </c>
      <c r="G486" t="s">
        <v>27</v>
      </c>
      <c r="H486" t="s">
        <v>33</v>
      </c>
      <c r="I486" t="s">
        <v>438</v>
      </c>
      <c r="J486" t="s">
        <v>429</v>
      </c>
      <c r="K486" t="s">
        <v>14</v>
      </c>
      <c r="L486" t="s">
        <v>36</v>
      </c>
      <c r="M486" t="s">
        <v>17</v>
      </c>
    </row>
    <row r="487" spans="1:13">
      <c r="A487" t="s">
        <v>933</v>
      </c>
      <c r="B487" s="2">
        <v>46103</v>
      </c>
      <c r="C487">
        <v>2026</v>
      </c>
      <c r="D487">
        <v>3</v>
      </c>
      <c r="E487" t="s">
        <v>60</v>
      </c>
      <c r="F487" t="s">
        <v>78</v>
      </c>
      <c r="G487" t="s">
        <v>55</v>
      </c>
      <c r="H487" t="s">
        <v>33</v>
      </c>
      <c r="I487" t="s">
        <v>464</v>
      </c>
      <c r="J487" t="s">
        <v>429</v>
      </c>
      <c r="K487" t="s">
        <v>56</v>
      </c>
      <c r="L487" t="s">
        <v>16</v>
      </c>
      <c r="M487" t="s">
        <v>10</v>
      </c>
    </row>
    <row r="488" spans="1:13">
      <c r="A488" t="s">
        <v>934</v>
      </c>
      <c r="B488" s="2">
        <v>46106</v>
      </c>
      <c r="C488">
        <v>2026</v>
      </c>
      <c r="D488">
        <v>3</v>
      </c>
      <c r="E488" t="s">
        <v>60</v>
      </c>
      <c r="F488" t="s">
        <v>78</v>
      </c>
      <c r="G488" t="s">
        <v>94</v>
      </c>
      <c r="H488" t="s">
        <v>44</v>
      </c>
      <c r="I488" t="s">
        <v>84</v>
      </c>
      <c r="J488" t="s">
        <v>429</v>
      </c>
      <c r="K488" t="s">
        <v>51</v>
      </c>
      <c r="L488" t="s">
        <v>9</v>
      </c>
      <c r="M488" t="s">
        <v>10</v>
      </c>
    </row>
    <row r="489" spans="1:13">
      <c r="A489" t="s">
        <v>935</v>
      </c>
      <c r="B489" s="2">
        <v>46090</v>
      </c>
      <c r="C489">
        <v>2026</v>
      </c>
      <c r="D489">
        <v>3</v>
      </c>
      <c r="E489" t="s">
        <v>60</v>
      </c>
      <c r="F489" t="s">
        <v>31</v>
      </c>
      <c r="G489" t="s">
        <v>48</v>
      </c>
      <c r="H489" t="s">
        <v>33</v>
      </c>
      <c r="I489" t="s">
        <v>494</v>
      </c>
      <c r="J489" t="s">
        <v>429</v>
      </c>
      <c r="K489" t="s">
        <v>84</v>
      </c>
      <c r="L489" t="s">
        <v>36</v>
      </c>
      <c r="M489" t="s">
        <v>10</v>
      </c>
    </row>
    <row r="490" spans="1:13">
      <c r="A490" t="s">
        <v>936</v>
      </c>
      <c r="B490" s="2">
        <v>46107</v>
      </c>
      <c r="C490">
        <v>2026</v>
      </c>
      <c r="D490">
        <v>3</v>
      </c>
      <c r="E490" t="s">
        <v>60</v>
      </c>
      <c r="F490" t="s">
        <v>67</v>
      </c>
      <c r="G490" t="s">
        <v>38</v>
      </c>
      <c r="H490" t="s">
        <v>33</v>
      </c>
      <c r="I490" t="s">
        <v>460</v>
      </c>
      <c r="J490" t="s">
        <v>429</v>
      </c>
      <c r="K490" t="s">
        <v>58</v>
      </c>
      <c r="L490" t="s">
        <v>16</v>
      </c>
      <c r="M490" t="s">
        <v>10</v>
      </c>
    </row>
    <row r="491" spans="1:13">
      <c r="A491" t="s">
        <v>937</v>
      </c>
      <c r="B491" s="2">
        <v>46088</v>
      </c>
      <c r="C491">
        <v>2026</v>
      </c>
      <c r="D491">
        <v>3</v>
      </c>
      <c r="E491" t="s">
        <v>60</v>
      </c>
      <c r="F491" t="s">
        <v>31</v>
      </c>
      <c r="G491" t="s">
        <v>94</v>
      </c>
      <c r="H491" t="s">
        <v>33</v>
      </c>
      <c r="I491" t="s">
        <v>473</v>
      </c>
      <c r="J491" t="s">
        <v>433</v>
      </c>
      <c r="K491" t="s">
        <v>21</v>
      </c>
      <c r="L491" t="s">
        <v>36</v>
      </c>
      <c r="M491" t="s">
        <v>23</v>
      </c>
    </row>
    <row r="492" spans="1:13">
      <c r="A492" t="s">
        <v>938</v>
      </c>
      <c r="B492" s="2">
        <v>46108</v>
      </c>
      <c r="C492">
        <v>2026</v>
      </c>
      <c r="D492">
        <v>3</v>
      </c>
      <c r="E492" t="s">
        <v>60</v>
      </c>
      <c r="F492" t="s">
        <v>67</v>
      </c>
      <c r="G492" t="s">
        <v>69</v>
      </c>
      <c r="H492" t="s">
        <v>4</v>
      </c>
      <c r="I492" t="s">
        <v>84</v>
      </c>
      <c r="J492" t="s">
        <v>429</v>
      </c>
      <c r="K492" t="s">
        <v>84</v>
      </c>
      <c r="L492" t="s">
        <v>29</v>
      </c>
      <c r="M492" t="s">
        <v>10</v>
      </c>
    </row>
    <row r="493" spans="1:13">
      <c r="A493" t="s">
        <v>939</v>
      </c>
      <c r="B493" s="2">
        <v>46090</v>
      </c>
      <c r="C493">
        <v>2026</v>
      </c>
      <c r="D493">
        <v>3</v>
      </c>
      <c r="E493" t="s">
        <v>60</v>
      </c>
      <c r="F493" t="s">
        <v>38</v>
      </c>
      <c r="G493" t="s">
        <v>61</v>
      </c>
      <c r="H493" t="s">
        <v>33</v>
      </c>
      <c r="I493" t="s">
        <v>464</v>
      </c>
      <c r="J493" t="s">
        <v>429</v>
      </c>
      <c r="K493" t="s">
        <v>58</v>
      </c>
      <c r="L493" t="s">
        <v>9</v>
      </c>
      <c r="M493" t="s">
        <v>10</v>
      </c>
    </row>
    <row r="494" spans="1:13">
      <c r="A494" t="s">
        <v>940</v>
      </c>
      <c r="B494" s="2">
        <v>46103</v>
      </c>
      <c r="C494">
        <v>2026</v>
      </c>
      <c r="D494">
        <v>3</v>
      </c>
      <c r="E494" t="s">
        <v>60</v>
      </c>
      <c r="F494" t="s">
        <v>40</v>
      </c>
      <c r="G494" t="s">
        <v>3</v>
      </c>
      <c r="H494" t="s">
        <v>4</v>
      </c>
      <c r="I494" t="s">
        <v>464</v>
      </c>
      <c r="J494" t="s">
        <v>433</v>
      </c>
      <c r="K494" t="s">
        <v>58</v>
      </c>
      <c r="L494" t="s">
        <v>36</v>
      </c>
      <c r="M494" t="s">
        <v>10</v>
      </c>
    </row>
    <row r="495" spans="1:13">
      <c r="A495" t="s">
        <v>941</v>
      </c>
      <c r="B495" s="2">
        <v>46086</v>
      </c>
      <c r="C495">
        <v>2026</v>
      </c>
      <c r="D495">
        <v>3</v>
      </c>
      <c r="E495" t="s">
        <v>60</v>
      </c>
      <c r="F495" t="s">
        <v>31</v>
      </c>
      <c r="G495" t="s">
        <v>69</v>
      </c>
      <c r="H495" t="s">
        <v>44</v>
      </c>
      <c r="I495" t="s">
        <v>442</v>
      </c>
      <c r="J495" t="s">
        <v>429</v>
      </c>
      <c r="K495" t="s">
        <v>14</v>
      </c>
      <c r="L495" t="s">
        <v>29</v>
      </c>
      <c r="M495" t="s">
        <v>10</v>
      </c>
    </row>
    <row r="496" spans="1:13">
      <c r="A496" t="s">
        <v>942</v>
      </c>
      <c r="B496" s="2">
        <v>46082</v>
      </c>
      <c r="C496">
        <v>2026</v>
      </c>
      <c r="D496">
        <v>3</v>
      </c>
      <c r="E496" t="s">
        <v>60</v>
      </c>
      <c r="F496" t="s">
        <v>47</v>
      </c>
      <c r="G496" t="s">
        <v>64</v>
      </c>
      <c r="H496" t="s">
        <v>44</v>
      </c>
      <c r="I496" t="s">
        <v>452</v>
      </c>
      <c r="J496" t="s">
        <v>429</v>
      </c>
      <c r="K496" t="s">
        <v>51</v>
      </c>
      <c r="L496" t="s">
        <v>16</v>
      </c>
      <c r="M496" t="s">
        <v>17</v>
      </c>
    </row>
    <row r="497" spans="1:13">
      <c r="A497" t="s">
        <v>943</v>
      </c>
      <c r="B497" s="2">
        <v>46108</v>
      </c>
      <c r="C497">
        <v>2026</v>
      </c>
      <c r="D497">
        <v>3</v>
      </c>
      <c r="E497" t="s">
        <v>60</v>
      </c>
      <c r="F497" t="s">
        <v>19</v>
      </c>
      <c r="G497" t="s">
        <v>27</v>
      </c>
      <c r="H497" t="s">
        <v>44</v>
      </c>
      <c r="I497" t="s">
        <v>494</v>
      </c>
      <c r="J497" t="s">
        <v>429</v>
      </c>
      <c r="K497" t="s">
        <v>7</v>
      </c>
      <c r="L497" t="s">
        <v>16</v>
      </c>
      <c r="M497" t="s">
        <v>10</v>
      </c>
    </row>
    <row r="498" spans="1:13">
      <c r="A498" t="s">
        <v>944</v>
      </c>
      <c r="B498" s="2">
        <v>46097</v>
      </c>
      <c r="C498">
        <v>2026</v>
      </c>
      <c r="D498">
        <v>3</v>
      </c>
      <c r="E498" t="s">
        <v>60</v>
      </c>
      <c r="F498" t="s">
        <v>54</v>
      </c>
      <c r="G498" t="s">
        <v>27</v>
      </c>
      <c r="H498" t="s">
        <v>44</v>
      </c>
      <c r="I498" t="s">
        <v>452</v>
      </c>
      <c r="J498" t="s">
        <v>429</v>
      </c>
      <c r="K498" t="s">
        <v>107</v>
      </c>
      <c r="L498" t="s">
        <v>29</v>
      </c>
      <c r="M498" t="s">
        <v>10</v>
      </c>
    </row>
    <row r="499" spans="1:13">
      <c r="A499" t="s">
        <v>945</v>
      </c>
      <c r="B499" s="2">
        <v>46102</v>
      </c>
      <c r="C499">
        <v>2026</v>
      </c>
      <c r="D499">
        <v>3</v>
      </c>
      <c r="E499" t="s">
        <v>60</v>
      </c>
      <c r="F499" t="s">
        <v>19</v>
      </c>
      <c r="G499" t="s">
        <v>74</v>
      </c>
      <c r="H499" t="s">
        <v>12</v>
      </c>
      <c r="I499" t="s">
        <v>452</v>
      </c>
      <c r="J499" t="s">
        <v>429</v>
      </c>
      <c r="K499" t="s">
        <v>41</v>
      </c>
      <c r="L499" t="s">
        <v>16</v>
      </c>
      <c r="M499" t="s">
        <v>10</v>
      </c>
    </row>
    <row r="500" spans="1:13">
      <c r="A500" t="s">
        <v>946</v>
      </c>
      <c r="B500" s="2">
        <v>46084</v>
      </c>
      <c r="C500">
        <v>2026</v>
      </c>
      <c r="D500">
        <v>3</v>
      </c>
      <c r="E500" t="s">
        <v>60</v>
      </c>
      <c r="F500" t="s">
        <v>40</v>
      </c>
      <c r="G500" t="s">
        <v>20</v>
      </c>
      <c r="H500" t="s">
        <v>44</v>
      </c>
      <c r="I500" t="s">
        <v>457</v>
      </c>
      <c r="J500" t="s">
        <v>429</v>
      </c>
      <c r="K500" t="s">
        <v>7</v>
      </c>
      <c r="L500" t="s">
        <v>9</v>
      </c>
      <c r="M500" t="s">
        <v>17</v>
      </c>
    </row>
    <row r="501" spans="1:13">
      <c r="A501" t="s">
        <v>947</v>
      </c>
      <c r="B501" s="2">
        <v>46127</v>
      </c>
      <c r="C501">
        <v>2026</v>
      </c>
      <c r="D501">
        <v>4</v>
      </c>
      <c r="E501" t="s">
        <v>73</v>
      </c>
      <c r="F501" t="s">
        <v>26</v>
      </c>
      <c r="G501" t="s">
        <v>48</v>
      </c>
      <c r="H501" t="s">
        <v>4</v>
      </c>
      <c r="I501" t="s">
        <v>438</v>
      </c>
      <c r="J501" t="s">
        <v>429</v>
      </c>
      <c r="K501" t="s">
        <v>21</v>
      </c>
      <c r="L501" t="s">
        <v>29</v>
      </c>
      <c r="M501" t="s">
        <v>10</v>
      </c>
    </row>
    <row r="502" spans="1:13">
      <c r="A502" t="s">
        <v>948</v>
      </c>
      <c r="B502" s="2">
        <v>46125</v>
      </c>
      <c r="C502">
        <v>2026</v>
      </c>
      <c r="D502">
        <v>4</v>
      </c>
      <c r="E502" t="s">
        <v>73</v>
      </c>
      <c r="F502" t="s">
        <v>67</v>
      </c>
      <c r="G502" t="s">
        <v>3</v>
      </c>
      <c r="H502" t="s">
        <v>44</v>
      </c>
      <c r="I502" t="s">
        <v>519</v>
      </c>
      <c r="J502" t="s">
        <v>429</v>
      </c>
      <c r="K502" t="s">
        <v>58</v>
      </c>
      <c r="L502" t="s">
        <v>29</v>
      </c>
      <c r="M502" t="s">
        <v>10</v>
      </c>
    </row>
    <row r="503" spans="1:13">
      <c r="A503" t="s">
        <v>949</v>
      </c>
      <c r="B503" s="2">
        <v>46132</v>
      </c>
      <c r="C503">
        <v>2026</v>
      </c>
      <c r="D503">
        <v>4</v>
      </c>
      <c r="E503" t="s">
        <v>73</v>
      </c>
      <c r="F503" t="s">
        <v>47</v>
      </c>
      <c r="G503" t="s">
        <v>55</v>
      </c>
      <c r="H503" t="s">
        <v>12</v>
      </c>
      <c r="I503" t="s">
        <v>470</v>
      </c>
      <c r="J503" t="s">
        <v>429</v>
      </c>
      <c r="K503" t="s">
        <v>56</v>
      </c>
      <c r="L503" t="s">
        <v>29</v>
      </c>
      <c r="M503" t="s">
        <v>10</v>
      </c>
    </row>
    <row r="504" spans="1:13">
      <c r="A504" t="s">
        <v>950</v>
      </c>
      <c r="B504" s="2">
        <v>46133</v>
      </c>
      <c r="C504">
        <v>2026</v>
      </c>
      <c r="D504">
        <v>4</v>
      </c>
      <c r="E504" t="s">
        <v>73</v>
      </c>
      <c r="F504" t="s">
        <v>26</v>
      </c>
      <c r="G504" t="s">
        <v>38</v>
      </c>
      <c r="H504" t="s">
        <v>12</v>
      </c>
      <c r="I504" t="s">
        <v>519</v>
      </c>
      <c r="J504" t="s">
        <v>429</v>
      </c>
      <c r="K504" t="s">
        <v>58</v>
      </c>
      <c r="L504" t="s">
        <v>29</v>
      </c>
      <c r="M504" t="s">
        <v>17</v>
      </c>
    </row>
    <row r="505" spans="1:13">
      <c r="A505" t="s">
        <v>951</v>
      </c>
      <c r="B505" s="2">
        <v>46138</v>
      </c>
      <c r="C505">
        <v>2026</v>
      </c>
      <c r="D505">
        <v>4</v>
      </c>
      <c r="E505" t="s">
        <v>73</v>
      </c>
      <c r="F505" t="s">
        <v>26</v>
      </c>
      <c r="G505" t="s">
        <v>61</v>
      </c>
      <c r="H505" t="s">
        <v>12</v>
      </c>
      <c r="I505" t="s">
        <v>454</v>
      </c>
      <c r="J505" t="s">
        <v>429</v>
      </c>
      <c r="K505" t="s">
        <v>21</v>
      </c>
      <c r="L505" t="s">
        <v>16</v>
      </c>
      <c r="M505" t="s">
        <v>23</v>
      </c>
    </row>
    <row r="506" spans="1:13">
      <c r="A506" t="s">
        <v>952</v>
      </c>
      <c r="B506" s="2">
        <v>46135</v>
      </c>
      <c r="C506">
        <v>2026</v>
      </c>
      <c r="D506">
        <v>4</v>
      </c>
      <c r="E506" t="s">
        <v>73</v>
      </c>
      <c r="F506" t="s">
        <v>31</v>
      </c>
      <c r="G506" t="s">
        <v>61</v>
      </c>
      <c r="H506" t="s">
        <v>33</v>
      </c>
      <c r="I506" t="s">
        <v>473</v>
      </c>
      <c r="J506" t="s">
        <v>429</v>
      </c>
      <c r="K506" t="s">
        <v>58</v>
      </c>
      <c r="L506" t="s">
        <v>36</v>
      </c>
      <c r="M506" t="s">
        <v>10</v>
      </c>
    </row>
    <row r="507" spans="1:13">
      <c r="A507" t="s">
        <v>953</v>
      </c>
      <c r="B507" s="2">
        <v>46131</v>
      </c>
      <c r="C507">
        <v>2026</v>
      </c>
      <c r="D507">
        <v>4</v>
      </c>
      <c r="E507" t="s">
        <v>73</v>
      </c>
      <c r="F507" t="s">
        <v>2</v>
      </c>
      <c r="G507" t="s">
        <v>32</v>
      </c>
      <c r="H507" t="s">
        <v>4</v>
      </c>
      <c r="I507" t="s">
        <v>440</v>
      </c>
      <c r="J507" t="s">
        <v>429</v>
      </c>
      <c r="K507" t="s">
        <v>41</v>
      </c>
      <c r="L507" t="s">
        <v>29</v>
      </c>
      <c r="M507" t="s">
        <v>23</v>
      </c>
    </row>
    <row r="508" spans="1:13">
      <c r="A508" t="s">
        <v>954</v>
      </c>
      <c r="B508" s="2">
        <v>46116</v>
      </c>
      <c r="C508">
        <v>2026</v>
      </c>
      <c r="D508">
        <v>4</v>
      </c>
      <c r="E508" t="s">
        <v>73</v>
      </c>
      <c r="F508" t="s">
        <v>2</v>
      </c>
      <c r="G508" t="s">
        <v>3</v>
      </c>
      <c r="H508" t="s">
        <v>12</v>
      </c>
      <c r="I508" t="s">
        <v>460</v>
      </c>
      <c r="J508" t="s">
        <v>429</v>
      </c>
      <c r="K508" t="s">
        <v>7</v>
      </c>
      <c r="L508" t="s">
        <v>9</v>
      </c>
      <c r="M508" t="s">
        <v>23</v>
      </c>
    </row>
    <row r="509" spans="1:13">
      <c r="A509" t="s">
        <v>955</v>
      </c>
      <c r="B509" s="2">
        <v>46131</v>
      </c>
      <c r="C509">
        <v>2026</v>
      </c>
      <c r="D509">
        <v>4</v>
      </c>
      <c r="E509" t="s">
        <v>73</v>
      </c>
      <c r="F509" t="s">
        <v>78</v>
      </c>
      <c r="G509" t="s">
        <v>32</v>
      </c>
      <c r="H509" t="s">
        <v>12</v>
      </c>
      <c r="I509" t="s">
        <v>435</v>
      </c>
      <c r="J509" t="s">
        <v>429</v>
      </c>
      <c r="K509" t="s">
        <v>56</v>
      </c>
      <c r="L509" t="s">
        <v>16</v>
      </c>
      <c r="M509" t="s">
        <v>23</v>
      </c>
    </row>
    <row r="510" spans="1:13">
      <c r="A510" t="s">
        <v>956</v>
      </c>
      <c r="B510" s="2">
        <v>46126</v>
      </c>
      <c r="C510">
        <v>2026</v>
      </c>
      <c r="D510">
        <v>4</v>
      </c>
      <c r="E510" t="s">
        <v>73</v>
      </c>
      <c r="F510" t="s">
        <v>2</v>
      </c>
      <c r="G510" t="s">
        <v>74</v>
      </c>
      <c r="H510" t="s">
        <v>33</v>
      </c>
      <c r="I510" t="s">
        <v>431</v>
      </c>
      <c r="J510" t="s">
        <v>429</v>
      </c>
      <c r="K510" t="s">
        <v>58</v>
      </c>
      <c r="L510" t="s">
        <v>36</v>
      </c>
      <c r="M510" t="s">
        <v>10</v>
      </c>
    </row>
    <row r="511" spans="1:13">
      <c r="A511" t="s">
        <v>957</v>
      </c>
      <c r="B511" s="2">
        <v>46133</v>
      </c>
      <c r="C511">
        <v>2026</v>
      </c>
      <c r="D511">
        <v>4</v>
      </c>
      <c r="E511" t="s">
        <v>73</v>
      </c>
      <c r="F511" t="s">
        <v>78</v>
      </c>
      <c r="G511" t="s">
        <v>69</v>
      </c>
      <c r="H511" t="s">
        <v>12</v>
      </c>
      <c r="I511" t="s">
        <v>435</v>
      </c>
      <c r="J511" t="s">
        <v>429</v>
      </c>
      <c r="K511" t="s">
        <v>7</v>
      </c>
      <c r="L511" t="s">
        <v>29</v>
      </c>
      <c r="M511" t="s">
        <v>10</v>
      </c>
    </row>
    <row r="512" spans="1:13">
      <c r="A512" t="s">
        <v>958</v>
      </c>
      <c r="B512" s="2">
        <v>46119</v>
      </c>
      <c r="C512">
        <v>2026</v>
      </c>
      <c r="D512">
        <v>4</v>
      </c>
      <c r="E512" t="s">
        <v>73</v>
      </c>
      <c r="F512" t="s">
        <v>19</v>
      </c>
      <c r="G512" t="s">
        <v>69</v>
      </c>
      <c r="H512" t="s">
        <v>12</v>
      </c>
      <c r="I512" t="s">
        <v>473</v>
      </c>
      <c r="J512" t="s">
        <v>429</v>
      </c>
      <c r="K512" t="s">
        <v>56</v>
      </c>
      <c r="L512" t="s">
        <v>29</v>
      </c>
      <c r="M512" t="s">
        <v>10</v>
      </c>
    </row>
    <row r="513" spans="1:13">
      <c r="A513" t="s">
        <v>959</v>
      </c>
      <c r="B513" s="2">
        <v>46121</v>
      </c>
      <c r="C513">
        <v>2026</v>
      </c>
      <c r="D513">
        <v>4</v>
      </c>
      <c r="E513" t="s">
        <v>73</v>
      </c>
      <c r="F513" t="s">
        <v>26</v>
      </c>
      <c r="G513" t="s">
        <v>64</v>
      </c>
      <c r="H513" t="s">
        <v>33</v>
      </c>
      <c r="I513" t="s">
        <v>440</v>
      </c>
      <c r="J513" t="s">
        <v>433</v>
      </c>
      <c r="K513" t="s">
        <v>51</v>
      </c>
      <c r="L513" t="s">
        <v>29</v>
      </c>
      <c r="M513" t="s">
        <v>10</v>
      </c>
    </row>
    <row r="514" spans="1:13">
      <c r="A514" t="s">
        <v>960</v>
      </c>
      <c r="B514" s="2">
        <v>46130</v>
      </c>
      <c r="C514">
        <v>2026</v>
      </c>
      <c r="D514">
        <v>4</v>
      </c>
      <c r="E514" t="s">
        <v>73</v>
      </c>
      <c r="F514" t="s">
        <v>2</v>
      </c>
      <c r="G514" t="s">
        <v>27</v>
      </c>
      <c r="H514" t="s">
        <v>33</v>
      </c>
      <c r="I514" t="s">
        <v>444</v>
      </c>
      <c r="J514" t="s">
        <v>429</v>
      </c>
      <c r="K514" t="s">
        <v>41</v>
      </c>
      <c r="L514" t="s">
        <v>9</v>
      </c>
      <c r="M514" t="s">
        <v>10</v>
      </c>
    </row>
    <row r="515" spans="1:13">
      <c r="A515" t="s">
        <v>961</v>
      </c>
      <c r="B515" s="2">
        <v>46140</v>
      </c>
      <c r="C515">
        <v>2026</v>
      </c>
      <c r="D515">
        <v>4</v>
      </c>
      <c r="E515" t="s">
        <v>73</v>
      </c>
      <c r="F515" t="s">
        <v>19</v>
      </c>
      <c r="G515" t="s">
        <v>74</v>
      </c>
      <c r="H515" t="s">
        <v>4</v>
      </c>
      <c r="I515" t="s">
        <v>464</v>
      </c>
      <c r="J515" t="s">
        <v>429</v>
      </c>
      <c r="K515" t="s">
        <v>58</v>
      </c>
      <c r="L515" t="s">
        <v>9</v>
      </c>
      <c r="M515" t="s">
        <v>10</v>
      </c>
    </row>
    <row r="516" spans="1:13">
      <c r="A516" t="s">
        <v>962</v>
      </c>
      <c r="B516" s="2">
        <v>46130</v>
      </c>
      <c r="C516">
        <v>2026</v>
      </c>
      <c r="D516">
        <v>4</v>
      </c>
      <c r="E516" t="s">
        <v>73</v>
      </c>
      <c r="F516" t="s">
        <v>31</v>
      </c>
      <c r="G516" t="s">
        <v>27</v>
      </c>
      <c r="H516" t="s">
        <v>44</v>
      </c>
      <c r="I516" t="s">
        <v>438</v>
      </c>
      <c r="J516" t="s">
        <v>429</v>
      </c>
      <c r="K516" t="s">
        <v>14</v>
      </c>
      <c r="L516" t="s">
        <v>29</v>
      </c>
      <c r="M516" t="s">
        <v>10</v>
      </c>
    </row>
    <row r="517" spans="1:13">
      <c r="A517" t="s">
        <v>963</v>
      </c>
      <c r="B517" s="2">
        <v>46113</v>
      </c>
      <c r="C517">
        <v>2026</v>
      </c>
      <c r="D517">
        <v>4</v>
      </c>
      <c r="E517" t="s">
        <v>73</v>
      </c>
      <c r="F517" t="s">
        <v>78</v>
      </c>
      <c r="G517" t="s">
        <v>64</v>
      </c>
      <c r="H517" t="s">
        <v>44</v>
      </c>
      <c r="I517" t="s">
        <v>431</v>
      </c>
      <c r="J517" t="s">
        <v>429</v>
      </c>
      <c r="K517" t="s">
        <v>51</v>
      </c>
      <c r="L517" t="s">
        <v>36</v>
      </c>
      <c r="M517" t="s">
        <v>10</v>
      </c>
    </row>
    <row r="518" spans="1:13">
      <c r="A518" t="s">
        <v>964</v>
      </c>
      <c r="B518" s="2">
        <v>46113</v>
      </c>
      <c r="C518">
        <v>2026</v>
      </c>
      <c r="D518">
        <v>4</v>
      </c>
      <c r="E518" t="s">
        <v>73</v>
      </c>
      <c r="F518" t="s">
        <v>31</v>
      </c>
      <c r="G518" t="s">
        <v>74</v>
      </c>
      <c r="H518" t="s">
        <v>4</v>
      </c>
      <c r="I518" t="s">
        <v>431</v>
      </c>
      <c r="J518" t="s">
        <v>429</v>
      </c>
      <c r="K518" t="s">
        <v>21</v>
      </c>
      <c r="L518" t="s">
        <v>9</v>
      </c>
      <c r="M518" t="s">
        <v>23</v>
      </c>
    </row>
    <row r="519" spans="1:13">
      <c r="A519" t="s">
        <v>965</v>
      </c>
      <c r="B519" s="2">
        <v>46128</v>
      </c>
      <c r="C519">
        <v>2026</v>
      </c>
      <c r="D519">
        <v>4</v>
      </c>
      <c r="E519" t="s">
        <v>73</v>
      </c>
      <c r="F519" t="s">
        <v>47</v>
      </c>
      <c r="G519" t="s">
        <v>27</v>
      </c>
      <c r="H519" t="s">
        <v>12</v>
      </c>
      <c r="I519" t="s">
        <v>494</v>
      </c>
      <c r="J519" t="s">
        <v>433</v>
      </c>
      <c r="K519" t="s">
        <v>41</v>
      </c>
      <c r="L519" t="s">
        <v>16</v>
      </c>
      <c r="M519" t="s">
        <v>17</v>
      </c>
    </row>
    <row r="520" spans="1:13">
      <c r="A520" t="s">
        <v>966</v>
      </c>
      <c r="B520" s="2">
        <v>46113</v>
      </c>
      <c r="C520">
        <v>2026</v>
      </c>
      <c r="D520">
        <v>4</v>
      </c>
      <c r="E520" t="s">
        <v>73</v>
      </c>
      <c r="F520" t="s">
        <v>67</v>
      </c>
      <c r="G520" t="s">
        <v>20</v>
      </c>
      <c r="H520" t="s">
        <v>44</v>
      </c>
      <c r="I520" t="s">
        <v>460</v>
      </c>
      <c r="J520" t="s">
        <v>429</v>
      </c>
      <c r="K520" t="s">
        <v>21</v>
      </c>
      <c r="L520" t="s">
        <v>29</v>
      </c>
      <c r="M520" t="s">
        <v>23</v>
      </c>
    </row>
    <row r="521" spans="1:13">
      <c r="A521" t="s">
        <v>967</v>
      </c>
      <c r="B521" s="2">
        <v>46124</v>
      </c>
      <c r="C521">
        <v>2026</v>
      </c>
      <c r="D521">
        <v>4</v>
      </c>
      <c r="E521" t="s">
        <v>73</v>
      </c>
      <c r="F521" t="s">
        <v>38</v>
      </c>
      <c r="G521" t="s">
        <v>61</v>
      </c>
      <c r="H521" t="s">
        <v>44</v>
      </c>
      <c r="I521" t="s">
        <v>466</v>
      </c>
      <c r="J521" t="s">
        <v>429</v>
      </c>
      <c r="K521" t="s">
        <v>58</v>
      </c>
      <c r="L521" t="s">
        <v>29</v>
      </c>
      <c r="M521" t="s">
        <v>17</v>
      </c>
    </row>
    <row r="522" spans="1:13">
      <c r="A522" t="s">
        <v>968</v>
      </c>
      <c r="B522" s="2">
        <v>46123</v>
      </c>
      <c r="C522">
        <v>2026</v>
      </c>
      <c r="D522">
        <v>4</v>
      </c>
      <c r="E522" t="s">
        <v>73</v>
      </c>
      <c r="F522" t="s">
        <v>40</v>
      </c>
      <c r="G522" t="s">
        <v>38</v>
      </c>
      <c r="H522" t="s">
        <v>33</v>
      </c>
      <c r="I522" t="s">
        <v>460</v>
      </c>
      <c r="J522" t="s">
        <v>429</v>
      </c>
      <c r="K522" t="s">
        <v>41</v>
      </c>
      <c r="L522" t="s">
        <v>9</v>
      </c>
      <c r="M522" t="s">
        <v>10</v>
      </c>
    </row>
    <row r="523" spans="1:13">
      <c r="A523" t="s">
        <v>969</v>
      </c>
      <c r="B523" s="2">
        <v>46131</v>
      </c>
      <c r="C523">
        <v>2026</v>
      </c>
      <c r="D523">
        <v>4</v>
      </c>
      <c r="E523" t="s">
        <v>73</v>
      </c>
      <c r="F523" t="s">
        <v>47</v>
      </c>
      <c r="G523" t="s">
        <v>20</v>
      </c>
      <c r="H523" t="s">
        <v>44</v>
      </c>
      <c r="I523" t="s">
        <v>454</v>
      </c>
      <c r="J523" t="s">
        <v>429</v>
      </c>
      <c r="K523" t="s">
        <v>14</v>
      </c>
      <c r="L523" t="s">
        <v>16</v>
      </c>
      <c r="M523" t="s">
        <v>23</v>
      </c>
    </row>
    <row r="524" spans="1:13">
      <c r="A524" t="s">
        <v>970</v>
      </c>
      <c r="B524" s="2">
        <v>46113</v>
      </c>
      <c r="C524">
        <v>2026</v>
      </c>
      <c r="D524">
        <v>4</v>
      </c>
      <c r="E524" t="s">
        <v>73</v>
      </c>
      <c r="F524" t="s">
        <v>78</v>
      </c>
      <c r="G524" t="s">
        <v>74</v>
      </c>
      <c r="H524" t="s">
        <v>44</v>
      </c>
      <c r="I524" t="s">
        <v>519</v>
      </c>
      <c r="J524" t="s">
        <v>429</v>
      </c>
      <c r="K524" t="s">
        <v>14</v>
      </c>
      <c r="L524" t="s">
        <v>16</v>
      </c>
      <c r="M524" t="s">
        <v>23</v>
      </c>
    </row>
    <row r="525" spans="1:13">
      <c r="A525" t="s">
        <v>971</v>
      </c>
      <c r="B525" s="2">
        <v>46143</v>
      </c>
      <c r="C525">
        <v>2026</v>
      </c>
      <c r="D525">
        <v>5</v>
      </c>
      <c r="E525" t="s">
        <v>83</v>
      </c>
      <c r="F525" t="s">
        <v>54</v>
      </c>
      <c r="G525" t="s">
        <v>48</v>
      </c>
      <c r="H525" t="s">
        <v>33</v>
      </c>
      <c r="I525" t="s">
        <v>462</v>
      </c>
      <c r="J525" t="s">
        <v>429</v>
      </c>
      <c r="K525" t="s">
        <v>84</v>
      </c>
      <c r="L525" t="s">
        <v>16</v>
      </c>
      <c r="M525" t="s">
        <v>23</v>
      </c>
    </row>
    <row r="526" spans="1:13">
      <c r="A526" t="s">
        <v>972</v>
      </c>
      <c r="B526" s="2">
        <v>46154</v>
      </c>
      <c r="C526">
        <v>2026</v>
      </c>
      <c r="D526">
        <v>5</v>
      </c>
      <c r="E526" t="s">
        <v>83</v>
      </c>
      <c r="F526" t="s">
        <v>40</v>
      </c>
      <c r="G526" t="s">
        <v>48</v>
      </c>
      <c r="H526" t="s">
        <v>12</v>
      </c>
      <c r="I526" t="s">
        <v>466</v>
      </c>
      <c r="J526" t="s">
        <v>429</v>
      </c>
      <c r="K526" t="s">
        <v>84</v>
      </c>
      <c r="L526" t="s">
        <v>9</v>
      </c>
      <c r="M526" t="s">
        <v>10</v>
      </c>
    </row>
    <row r="527" spans="1:13">
      <c r="A527" t="s">
        <v>973</v>
      </c>
      <c r="B527" s="2">
        <v>46159</v>
      </c>
      <c r="C527">
        <v>2026</v>
      </c>
      <c r="D527">
        <v>5</v>
      </c>
      <c r="E527" t="s">
        <v>83</v>
      </c>
      <c r="F527" t="s">
        <v>19</v>
      </c>
      <c r="G527" t="s">
        <v>48</v>
      </c>
      <c r="H527" t="s">
        <v>33</v>
      </c>
      <c r="I527" t="s">
        <v>519</v>
      </c>
      <c r="J527" t="s">
        <v>429</v>
      </c>
      <c r="K527" t="s">
        <v>71</v>
      </c>
      <c r="L527" t="s">
        <v>36</v>
      </c>
      <c r="M527" t="s">
        <v>10</v>
      </c>
    </row>
    <row r="528" spans="1:13">
      <c r="A528" t="s">
        <v>974</v>
      </c>
      <c r="B528" s="2">
        <v>46145</v>
      </c>
      <c r="C528">
        <v>2026</v>
      </c>
      <c r="D528">
        <v>5</v>
      </c>
      <c r="E528" t="s">
        <v>83</v>
      </c>
      <c r="F528" t="s">
        <v>19</v>
      </c>
      <c r="G528" t="s">
        <v>55</v>
      </c>
      <c r="H528" t="s">
        <v>33</v>
      </c>
      <c r="I528" t="s">
        <v>466</v>
      </c>
      <c r="J528" t="s">
        <v>429</v>
      </c>
      <c r="K528" t="s">
        <v>84</v>
      </c>
      <c r="L528" t="s">
        <v>36</v>
      </c>
      <c r="M528" t="s">
        <v>10</v>
      </c>
    </row>
    <row r="529" spans="1:13">
      <c r="A529" t="s">
        <v>975</v>
      </c>
      <c r="B529" s="2">
        <v>46168</v>
      </c>
      <c r="C529">
        <v>2026</v>
      </c>
      <c r="D529">
        <v>5</v>
      </c>
      <c r="E529" t="s">
        <v>83</v>
      </c>
      <c r="F529" t="s">
        <v>47</v>
      </c>
      <c r="G529" t="s">
        <v>27</v>
      </c>
      <c r="H529" t="s">
        <v>12</v>
      </c>
      <c r="I529" t="s">
        <v>454</v>
      </c>
      <c r="J529" t="s">
        <v>429</v>
      </c>
      <c r="K529" t="s">
        <v>84</v>
      </c>
      <c r="L529" t="s">
        <v>29</v>
      </c>
      <c r="M529" t="s">
        <v>17</v>
      </c>
    </row>
    <row r="530" spans="1:13">
      <c r="A530" t="s">
        <v>976</v>
      </c>
      <c r="B530" s="2">
        <v>46161</v>
      </c>
      <c r="C530">
        <v>2026</v>
      </c>
      <c r="D530">
        <v>5</v>
      </c>
      <c r="E530" t="s">
        <v>83</v>
      </c>
      <c r="F530" t="s">
        <v>31</v>
      </c>
      <c r="G530" t="s">
        <v>3</v>
      </c>
      <c r="H530" t="s">
        <v>4</v>
      </c>
      <c r="I530" t="s">
        <v>494</v>
      </c>
      <c r="J530" t="s">
        <v>429</v>
      </c>
      <c r="K530" t="s">
        <v>84</v>
      </c>
      <c r="L530" t="s">
        <v>9</v>
      </c>
      <c r="M530" t="s">
        <v>23</v>
      </c>
    </row>
    <row r="531" spans="1:13">
      <c r="A531" t="s">
        <v>977</v>
      </c>
      <c r="B531" s="2">
        <v>46156</v>
      </c>
      <c r="C531">
        <v>2026</v>
      </c>
      <c r="D531">
        <v>5</v>
      </c>
      <c r="E531" t="s">
        <v>83</v>
      </c>
      <c r="F531" t="s">
        <v>54</v>
      </c>
      <c r="G531" t="s">
        <v>38</v>
      </c>
      <c r="H531" t="s">
        <v>44</v>
      </c>
      <c r="I531" t="s">
        <v>464</v>
      </c>
      <c r="J531" t="s">
        <v>429</v>
      </c>
      <c r="K531" t="s">
        <v>58</v>
      </c>
      <c r="L531" t="s">
        <v>16</v>
      </c>
      <c r="M531" t="s">
        <v>10</v>
      </c>
    </row>
    <row r="532" spans="1:13">
      <c r="A532" t="s">
        <v>978</v>
      </c>
      <c r="B532" s="2">
        <v>46144</v>
      </c>
      <c r="C532">
        <v>2026</v>
      </c>
      <c r="D532">
        <v>5</v>
      </c>
      <c r="E532" t="s">
        <v>83</v>
      </c>
      <c r="F532" t="s">
        <v>26</v>
      </c>
      <c r="G532" t="s">
        <v>27</v>
      </c>
      <c r="H532" t="s">
        <v>12</v>
      </c>
      <c r="I532" t="s">
        <v>452</v>
      </c>
      <c r="J532" t="s">
        <v>429</v>
      </c>
      <c r="K532" t="s">
        <v>71</v>
      </c>
      <c r="L532" t="s">
        <v>29</v>
      </c>
      <c r="M532" t="s">
        <v>10</v>
      </c>
    </row>
    <row r="533" spans="1:13">
      <c r="A533" t="s">
        <v>979</v>
      </c>
      <c r="B533" s="2">
        <v>46165</v>
      </c>
      <c r="C533">
        <v>2026</v>
      </c>
      <c r="D533">
        <v>5</v>
      </c>
      <c r="E533" t="s">
        <v>83</v>
      </c>
      <c r="F533" t="s">
        <v>38</v>
      </c>
      <c r="G533" t="s">
        <v>69</v>
      </c>
      <c r="H533" t="s">
        <v>44</v>
      </c>
      <c r="I533" t="s">
        <v>446</v>
      </c>
      <c r="J533" t="s">
        <v>433</v>
      </c>
      <c r="K533" t="s">
        <v>107</v>
      </c>
      <c r="L533" t="s">
        <v>9</v>
      </c>
      <c r="M533" t="s">
        <v>17</v>
      </c>
    </row>
    <row r="534" spans="1:13">
      <c r="A534" t="s">
        <v>980</v>
      </c>
      <c r="B534" s="2">
        <v>46169</v>
      </c>
      <c r="C534">
        <v>2026</v>
      </c>
      <c r="D534">
        <v>5</v>
      </c>
      <c r="E534" t="s">
        <v>83</v>
      </c>
      <c r="F534" t="s">
        <v>40</v>
      </c>
      <c r="G534" t="s">
        <v>20</v>
      </c>
      <c r="H534" t="s">
        <v>44</v>
      </c>
      <c r="I534" t="s">
        <v>462</v>
      </c>
      <c r="J534" t="s">
        <v>429</v>
      </c>
      <c r="K534" t="s">
        <v>107</v>
      </c>
      <c r="L534" t="s">
        <v>36</v>
      </c>
      <c r="M534" t="s">
        <v>17</v>
      </c>
    </row>
    <row r="535" spans="1:13">
      <c r="A535" t="s">
        <v>981</v>
      </c>
      <c r="B535" s="2">
        <v>46161</v>
      </c>
      <c r="C535">
        <v>2026</v>
      </c>
      <c r="D535">
        <v>5</v>
      </c>
      <c r="E535" t="s">
        <v>83</v>
      </c>
      <c r="F535" t="s">
        <v>2</v>
      </c>
      <c r="G535" t="s">
        <v>55</v>
      </c>
      <c r="H535" t="s">
        <v>33</v>
      </c>
      <c r="I535" t="s">
        <v>444</v>
      </c>
      <c r="J535" t="s">
        <v>429</v>
      </c>
      <c r="K535" t="s">
        <v>71</v>
      </c>
      <c r="L535" t="s">
        <v>36</v>
      </c>
      <c r="M535" t="s">
        <v>17</v>
      </c>
    </row>
    <row r="536" spans="1:13">
      <c r="A536" t="s">
        <v>982</v>
      </c>
      <c r="B536" s="2">
        <v>46145</v>
      </c>
      <c r="C536">
        <v>2026</v>
      </c>
      <c r="D536">
        <v>5</v>
      </c>
      <c r="E536" t="s">
        <v>83</v>
      </c>
      <c r="F536" t="s">
        <v>2</v>
      </c>
      <c r="G536" t="s">
        <v>48</v>
      </c>
      <c r="H536" t="s">
        <v>44</v>
      </c>
      <c r="I536" t="s">
        <v>494</v>
      </c>
      <c r="J536" t="s">
        <v>429</v>
      </c>
      <c r="K536" t="s">
        <v>107</v>
      </c>
      <c r="L536" t="s">
        <v>36</v>
      </c>
      <c r="M536" t="s">
        <v>10</v>
      </c>
    </row>
    <row r="537" spans="1:13">
      <c r="A537" t="s">
        <v>983</v>
      </c>
      <c r="B537" s="2">
        <v>46151</v>
      </c>
      <c r="C537">
        <v>2026</v>
      </c>
      <c r="D537">
        <v>5</v>
      </c>
      <c r="E537" t="s">
        <v>83</v>
      </c>
      <c r="F537" t="s">
        <v>31</v>
      </c>
      <c r="G537" t="s">
        <v>55</v>
      </c>
      <c r="H537" t="s">
        <v>4</v>
      </c>
      <c r="I537" t="s">
        <v>452</v>
      </c>
      <c r="J537" t="s">
        <v>429</v>
      </c>
      <c r="K537" t="s">
        <v>58</v>
      </c>
      <c r="L537" t="s">
        <v>29</v>
      </c>
      <c r="M537" t="s">
        <v>10</v>
      </c>
    </row>
    <row r="538" spans="1:13">
      <c r="A538" t="s">
        <v>984</v>
      </c>
      <c r="B538" s="2">
        <v>46155</v>
      </c>
      <c r="C538">
        <v>2026</v>
      </c>
      <c r="D538">
        <v>5</v>
      </c>
      <c r="E538" t="s">
        <v>83</v>
      </c>
      <c r="F538" t="s">
        <v>26</v>
      </c>
      <c r="G538" t="s">
        <v>27</v>
      </c>
      <c r="H538" t="s">
        <v>12</v>
      </c>
      <c r="I538" t="s">
        <v>470</v>
      </c>
      <c r="J538" t="s">
        <v>429</v>
      </c>
      <c r="K538" t="s">
        <v>7</v>
      </c>
      <c r="L538" t="s">
        <v>16</v>
      </c>
      <c r="M538" t="s">
        <v>10</v>
      </c>
    </row>
    <row r="539" spans="1:13">
      <c r="A539" t="s">
        <v>985</v>
      </c>
      <c r="B539" s="2">
        <v>46165</v>
      </c>
      <c r="C539">
        <v>2026</v>
      </c>
      <c r="D539">
        <v>5</v>
      </c>
      <c r="E539" t="s">
        <v>83</v>
      </c>
      <c r="F539" t="s">
        <v>31</v>
      </c>
      <c r="G539" t="s">
        <v>38</v>
      </c>
      <c r="H539" t="s">
        <v>4</v>
      </c>
      <c r="I539" t="s">
        <v>473</v>
      </c>
      <c r="J539" t="s">
        <v>429</v>
      </c>
      <c r="K539" t="s">
        <v>7</v>
      </c>
      <c r="L539" t="s">
        <v>36</v>
      </c>
      <c r="M539" t="s">
        <v>10</v>
      </c>
    </row>
    <row r="540" spans="1:13">
      <c r="A540" t="s">
        <v>986</v>
      </c>
      <c r="B540" s="2">
        <v>46152</v>
      </c>
      <c r="C540">
        <v>2026</v>
      </c>
      <c r="D540">
        <v>5</v>
      </c>
      <c r="E540" t="s">
        <v>83</v>
      </c>
      <c r="F540" t="s">
        <v>2</v>
      </c>
      <c r="G540" t="s">
        <v>94</v>
      </c>
      <c r="H540" t="s">
        <v>33</v>
      </c>
      <c r="I540" t="s">
        <v>460</v>
      </c>
      <c r="J540" t="s">
        <v>429</v>
      </c>
      <c r="K540" t="s">
        <v>84</v>
      </c>
      <c r="L540" t="s">
        <v>16</v>
      </c>
      <c r="M540" t="s">
        <v>10</v>
      </c>
    </row>
    <row r="541" spans="1:13">
      <c r="A541" t="s">
        <v>987</v>
      </c>
      <c r="B541" s="2">
        <v>46143</v>
      </c>
      <c r="C541">
        <v>2026</v>
      </c>
      <c r="D541">
        <v>5</v>
      </c>
      <c r="E541" t="s">
        <v>83</v>
      </c>
      <c r="F541" t="s">
        <v>31</v>
      </c>
      <c r="G541" t="s">
        <v>48</v>
      </c>
      <c r="H541" t="s">
        <v>4</v>
      </c>
      <c r="I541" t="s">
        <v>473</v>
      </c>
      <c r="J541" t="s">
        <v>429</v>
      </c>
      <c r="K541" t="s">
        <v>21</v>
      </c>
      <c r="L541" t="s">
        <v>29</v>
      </c>
      <c r="M541" t="s">
        <v>10</v>
      </c>
    </row>
    <row r="542" spans="1:13">
      <c r="A542" t="s">
        <v>988</v>
      </c>
      <c r="B542" s="2">
        <v>46154</v>
      </c>
      <c r="C542">
        <v>2026</v>
      </c>
      <c r="D542">
        <v>5</v>
      </c>
      <c r="E542" t="s">
        <v>83</v>
      </c>
      <c r="F542" t="s">
        <v>19</v>
      </c>
      <c r="G542" t="s">
        <v>74</v>
      </c>
      <c r="H542" t="s">
        <v>44</v>
      </c>
      <c r="I542" t="s">
        <v>460</v>
      </c>
      <c r="J542" t="s">
        <v>429</v>
      </c>
      <c r="K542" t="s">
        <v>7</v>
      </c>
      <c r="L542" t="s">
        <v>16</v>
      </c>
      <c r="M542" t="s">
        <v>10</v>
      </c>
    </row>
    <row r="543" spans="1:13">
      <c r="A543" t="s">
        <v>989</v>
      </c>
      <c r="B543" s="2">
        <v>46146</v>
      </c>
      <c r="C543">
        <v>2026</v>
      </c>
      <c r="D543">
        <v>5</v>
      </c>
      <c r="E543" t="s">
        <v>83</v>
      </c>
      <c r="F543" t="s">
        <v>47</v>
      </c>
      <c r="G543" t="s">
        <v>3</v>
      </c>
      <c r="H543" t="s">
        <v>44</v>
      </c>
      <c r="I543" t="s">
        <v>435</v>
      </c>
      <c r="J543" t="s">
        <v>429</v>
      </c>
      <c r="K543" t="s">
        <v>7</v>
      </c>
      <c r="L543" t="s">
        <v>36</v>
      </c>
      <c r="M543" t="s">
        <v>10</v>
      </c>
    </row>
    <row r="544" spans="1:13">
      <c r="A544" t="s">
        <v>990</v>
      </c>
      <c r="B544" s="2">
        <v>46146</v>
      </c>
      <c r="C544">
        <v>2026</v>
      </c>
      <c r="D544">
        <v>5</v>
      </c>
      <c r="E544" t="s">
        <v>83</v>
      </c>
      <c r="F544" t="s">
        <v>19</v>
      </c>
      <c r="G544" t="s">
        <v>55</v>
      </c>
      <c r="H544" t="s">
        <v>12</v>
      </c>
      <c r="I544" t="s">
        <v>454</v>
      </c>
      <c r="J544" t="s">
        <v>429</v>
      </c>
      <c r="K544" t="s">
        <v>51</v>
      </c>
      <c r="L544" t="s">
        <v>29</v>
      </c>
      <c r="M544" t="s">
        <v>10</v>
      </c>
    </row>
    <row r="545" spans="1:13">
      <c r="A545" t="s">
        <v>991</v>
      </c>
      <c r="B545" s="2">
        <v>46158</v>
      </c>
      <c r="C545">
        <v>2026</v>
      </c>
      <c r="D545">
        <v>5</v>
      </c>
      <c r="E545" t="s">
        <v>83</v>
      </c>
      <c r="F545" t="s">
        <v>54</v>
      </c>
      <c r="G545" t="s">
        <v>20</v>
      </c>
      <c r="H545" t="s">
        <v>12</v>
      </c>
      <c r="I545" t="s">
        <v>464</v>
      </c>
      <c r="J545" t="s">
        <v>429</v>
      </c>
      <c r="K545" t="s">
        <v>41</v>
      </c>
      <c r="L545" t="s">
        <v>9</v>
      </c>
      <c r="M545" t="s">
        <v>10</v>
      </c>
    </row>
    <row r="546" spans="1:13">
      <c r="A546" t="s">
        <v>992</v>
      </c>
      <c r="B546" s="2">
        <v>46165</v>
      </c>
      <c r="C546">
        <v>2026</v>
      </c>
      <c r="D546">
        <v>5</v>
      </c>
      <c r="E546" t="s">
        <v>83</v>
      </c>
      <c r="F546" t="s">
        <v>67</v>
      </c>
      <c r="G546" t="s">
        <v>69</v>
      </c>
      <c r="H546" t="s">
        <v>33</v>
      </c>
      <c r="I546" t="s">
        <v>470</v>
      </c>
      <c r="J546" t="s">
        <v>433</v>
      </c>
      <c r="K546" t="s">
        <v>84</v>
      </c>
      <c r="L546" t="s">
        <v>9</v>
      </c>
      <c r="M546" t="s">
        <v>10</v>
      </c>
    </row>
    <row r="547" spans="1:13">
      <c r="A547" t="s">
        <v>993</v>
      </c>
      <c r="B547" s="2">
        <v>46148</v>
      </c>
      <c r="C547">
        <v>2026</v>
      </c>
      <c r="D547">
        <v>5</v>
      </c>
      <c r="E547" t="s">
        <v>83</v>
      </c>
      <c r="F547" t="s">
        <v>19</v>
      </c>
      <c r="G547" t="s">
        <v>27</v>
      </c>
      <c r="H547" t="s">
        <v>33</v>
      </c>
      <c r="I547" t="s">
        <v>462</v>
      </c>
      <c r="J547" t="s">
        <v>429</v>
      </c>
      <c r="K547" t="s">
        <v>71</v>
      </c>
      <c r="L547" t="s">
        <v>36</v>
      </c>
      <c r="M547" t="s">
        <v>10</v>
      </c>
    </row>
    <row r="548" spans="1:13">
      <c r="A548" t="s">
        <v>994</v>
      </c>
      <c r="B548" s="2">
        <v>46149</v>
      </c>
      <c r="C548">
        <v>2026</v>
      </c>
      <c r="D548">
        <v>5</v>
      </c>
      <c r="E548" t="s">
        <v>83</v>
      </c>
      <c r="F548" t="s">
        <v>2</v>
      </c>
      <c r="G548" t="s">
        <v>55</v>
      </c>
      <c r="H548" t="s">
        <v>33</v>
      </c>
      <c r="I548" t="s">
        <v>457</v>
      </c>
      <c r="J548" t="s">
        <v>433</v>
      </c>
      <c r="K548" t="s">
        <v>51</v>
      </c>
      <c r="L548" t="s">
        <v>36</v>
      </c>
      <c r="M548" t="s">
        <v>10</v>
      </c>
    </row>
    <row r="549" spans="1:13">
      <c r="A549" t="s">
        <v>995</v>
      </c>
      <c r="B549" s="2">
        <v>46162</v>
      </c>
      <c r="C549">
        <v>2026</v>
      </c>
      <c r="D549">
        <v>5</v>
      </c>
      <c r="E549" t="s">
        <v>83</v>
      </c>
      <c r="F549" t="s">
        <v>78</v>
      </c>
      <c r="G549" t="s">
        <v>94</v>
      </c>
      <c r="H549" t="s">
        <v>44</v>
      </c>
      <c r="I549" t="s">
        <v>428</v>
      </c>
      <c r="J549" t="s">
        <v>433</v>
      </c>
      <c r="K549" t="s">
        <v>58</v>
      </c>
      <c r="L549" t="s">
        <v>29</v>
      </c>
      <c r="M549" t="s">
        <v>17</v>
      </c>
    </row>
    <row r="550" spans="1:13">
      <c r="A550" t="s">
        <v>996</v>
      </c>
      <c r="B550" s="2">
        <v>46152</v>
      </c>
      <c r="C550">
        <v>2026</v>
      </c>
      <c r="D550">
        <v>5</v>
      </c>
      <c r="E550" t="s">
        <v>83</v>
      </c>
      <c r="F550" t="s">
        <v>19</v>
      </c>
      <c r="G550" t="s">
        <v>32</v>
      </c>
      <c r="H550" t="s">
        <v>44</v>
      </c>
      <c r="I550" t="s">
        <v>473</v>
      </c>
      <c r="J550" t="s">
        <v>429</v>
      </c>
      <c r="K550" t="s">
        <v>7</v>
      </c>
      <c r="L550" t="s">
        <v>36</v>
      </c>
      <c r="M550" t="s">
        <v>10</v>
      </c>
    </row>
    <row r="551" spans="1:13">
      <c r="A551" t="s">
        <v>997</v>
      </c>
      <c r="B551" s="2">
        <v>46157</v>
      </c>
      <c r="C551">
        <v>2026</v>
      </c>
      <c r="D551">
        <v>5</v>
      </c>
      <c r="E551" t="s">
        <v>83</v>
      </c>
      <c r="F551" t="s">
        <v>67</v>
      </c>
      <c r="G551" t="s">
        <v>48</v>
      </c>
      <c r="H551" t="s">
        <v>44</v>
      </c>
      <c r="I551" t="s">
        <v>435</v>
      </c>
      <c r="J551" t="s">
        <v>429</v>
      </c>
      <c r="K551" t="s">
        <v>41</v>
      </c>
      <c r="L551" t="s">
        <v>36</v>
      </c>
      <c r="M551" t="s">
        <v>23</v>
      </c>
    </row>
    <row r="552" spans="1:13">
      <c r="A552" t="s">
        <v>998</v>
      </c>
      <c r="B552" s="2">
        <v>46167</v>
      </c>
      <c r="C552">
        <v>2026</v>
      </c>
      <c r="D552">
        <v>5</v>
      </c>
      <c r="E552" t="s">
        <v>83</v>
      </c>
      <c r="F552" t="s">
        <v>31</v>
      </c>
      <c r="G552" t="s">
        <v>48</v>
      </c>
      <c r="H552" t="s">
        <v>33</v>
      </c>
      <c r="I552" t="s">
        <v>466</v>
      </c>
      <c r="J552" t="s">
        <v>429</v>
      </c>
      <c r="K552" t="s">
        <v>84</v>
      </c>
      <c r="L552" t="s">
        <v>16</v>
      </c>
      <c r="M552" t="s">
        <v>10</v>
      </c>
    </row>
    <row r="553" spans="1:13">
      <c r="A553" t="s">
        <v>999</v>
      </c>
      <c r="B553" s="2">
        <v>46196</v>
      </c>
      <c r="C553">
        <v>2026</v>
      </c>
      <c r="D553">
        <v>6</v>
      </c>
      <c r="E553" t="s">
        <v>87</v>
      </c>
      <c r="F553" t="s">
        <v>19</v>
      </c>
      <c r="G553" t="s">
        <v>32</v>
      </c>
      <c r="H553" t="s">
        <v>12</v>
      </c>
      <c r="I553" t="s">
        <v>494</v>
      </c>
      <c r="J553" t="s">
        <v>429</v>
      </c>
      <c r="K553" t="s">
        <v>56</v>
      </c>
      <c r="L553" t="s">
        <v>16</v>
      </c>
      <c r="M553" t="s">
        <v>10</v>
      </c>
    </row>
    <row r="554" spans="1:13">
      <c r="A554" t="s">
        <v>1000</v>
      </c>
      <c r="B554" s="2">
        <v>46174</v>
      </c>
      <c r="C554">
        <v>2026</v>
      </c>
      <c r="D554">
        <v>6</v>
      </c>
      <c r="E554" t="s">
        <v>87</v>
      </c>
      <c r="F554" t="s">
        <v>38</v>
      </c>
      <c r="G554" t="s">
        <v>69</v>
      </c>
      <c r="H554" t="s">
        <v>4</v>
      </c>
      <c r="I554" t="s">
        <v>470</v>
      </c>
      <c r="J554" t="s">
        <v>429</v>
      </c>
      <c r="K554" t="s">
        <v>58</v>
      </c>
      <c r="L554" t="s">
        <v>9</v>
      </c>
      <c r="M554" t="s">
        <v>23</v>
      </c>
    </row>
    <row r="555" spans="1:13">
      <c r="A555" t="s">
        <v>1001</v>
      </c>
      <c r="B555" s="2">
        <v>46187</v>
      </c>
      <c r="C555">
        <v>2026</v>
      </c>
      <c r="D555">
        <v>6</v>
      </c>
      <c r="E555" t="s">
        <v>87</v>
      </c>
      <c r="F555" t="s">
        <v>26</v>
      </c>
      <c r="G555" t="s">
        <v>32</v>
      </c>
      <c r="H555" t="s">
        <v>33</v>
      </c>
      <c r="I555" t="s">
        <v>470</v>
      </c>
      <c r="J555" t="s">
        <v>429</v>
      </c>
      <c r="K555" t="s">
        <v>71</v>
      </c>
      <c r="L555" t="s">
        <v>29</v>
      </c>
      <c r="M555" t="s">
        <v>10</v>
      </c>
    </row>
    <row r="556" spans="1:13">
      <c r="A556" t="s">
        <v>1002</v>
      </c>
      <c r="B556" s="2">
        <v>46184</v>
      </c>
      <c r="C556">
        <v>2026</v>
      </c>
      <c r="D556">
        <v>6</v>
      </c>
      <c r="E556" t="s">
        <v>87</v>
      </c>
      <c r="F556" t="s">
        <v>47</v>
      </c>
      <c r="G556" t="s">
        <v>94</v>
      </c>
      <c r="H556" t="s">
        <v>4</v>
      </c>
      <c r="I556" t="s">
        <v>452</v>
      </c>
      <c r="J556" t="s">
        <v>433</v>
      </c>
      <c r="K556" t="s">
        <v>107</v>
      </c>
      <c r="L556" t="s">
        <v>9</v>
      </c>
      <c r="M556" t="s">
        <v>17</v>
      </c>
    </row>
    <row r="557" spans="1:13">
      <c r="A557" t="s">
        <v>1003</v>
      </c>
      <c r="B557" s="2">
        <v>46190</v>
      </c>
      <c r="C557">
        <v>2026</v>
      </c>
      <c r="D557">
        <v>6</v>
      </c>
      <c r="E557" t="s">
        <v>87</v>
      </c>
      <c r="F557" t="s">
        <v>31</v>
      </c>
      <c r="G557" t="s">
        <v>3</v>
      </c>
      <c r="H557" t="s">
        <v>44</v>
      </c>
      <c r="I557" t="s">
        <v>462</v>
      </c>
      <c r="J557" t="s">
        <v>433</v>
      </c>
      <c r="K557" t="s">
        <v>84</v>
      </c>
      <c r="L557" t="s">
        <v>16</v>
      </c>
      <c r="M557" t="s">
        <v>10</v>
      </c>
    </row>
    <row r="558" spans="1:13">
      <c r="A558" t="s">
        <v>1004</v>
      </c>
      <c r="B558" s="2">
        <v>46193</v>
      </c>
      <c r="C558">
        <v>2026</v>
      </c>
      <c r="D558">
        <v>6</v>
      </c>
      <c r="E558" t="s">
        <v>87</v>
      </c>
      <c r="F558" t="s">
        <v>78</v>
      </c>
      <c r="G558" t="s">
        <v>48</v>
      </c>
      <c r="H558" t="s">
        <v>12</v>
      </c>
      <c r="I558" t="s">
        <v>84</v>
      </c>
      <c r="J558" t="s">
        <v>433</v>
      </c>
      <c r="K558" t="s">
        <v>58</v>
      </c>
      <c r="L558" t="s">
        <v>16</v>
      </c>
      <c r="M558" t="s">
        <v>10</v>
      </c>
    </row>
    <row r="559" spans="1:13">
      <c r="A559" t="s">
        <v>1005</v>
      </c>
      <c r="B559" s="2">
        <v>46201</v>
      </c>
      <c r="C559">
        <v>2026</v>
      </c>
      <c r="D559">
        <v>6</v>
      </c>
      <c r="E559" t="s">
        <v>87</v>
      </c>
      <c r="F559" t="s">
        <v>31</v>
      </c>
      <c r="G559" t="s">
        <v>74</v>
      </c>
      <c r="H559" t="s">
        <v>4</v>
      </c>
      <c r="I559" t="s">
        <v>466</v>
      </c>
      <c r="J559" t="s">
        <v>433</v>
      </c>
      <c r="K559" t="s">
        <v>7</v>
      </c>
      <c r="L559" t="s">
        <v>29</v>
      </c>
      <c r="M559" t="s">
        <v>10</v>
      </c>
    </row>
    <row r="560" spans="1:13">
      <c r="A560" t="s">
        <v>1006</v>
      </c>
      <c r="B560" s="2">
        <v>46201</v>
      </c>
      <c r="C560">
        <v>2026</v>
      </c>
      <c r="D560">
        <v>6</v>
      </c>
      <c r="E560" t="s">
        <v>87</v>
      </c>
      <c r="F560" t="s">
        <v>38</v>
      </c>
      <c r="G560" t="s">
        <v>74</v>
      </c>
      <c r="H560" t="s">
        <v>44</v>
      </c>
      <c r="I560" t="s">
        <v>446</v>
      </c>
      <c r="J560" t="s">
        <v>429</v>
      </c>
      <c r="K560" t="s">
        <v>14</v>
      </c>
      <c r="L560" t="s">
        <v>16</v>
      </c>
      <c r="M560" t="s">
        <v>10</v>
      </c>
    </row>
    <row r="561" spans="1:13">
      <c r="A561" t="s">
        <v>1007</v>
      </c>
      <c r="B561" s="2">
        <v>46196</v>
      </c>
      <c r="C561">
        <v>2026</v>
      </c>
      <c r="D561">
        <v>6</v>
      </c>
      <c r="E561" t="s">
        <v>87</v>
      </c>
      <c r="F561" t="s">
        <v>19</v>
      </c>
      <c r="G561" t="s">
        <v>64</v>
      </c>
      <c r="H561" t="s">
        <v>4</v>
      </c>
      <c r="I561" t="s">
        <v>473</v>
      </c>
      <c r="J561" t="s">
        <v>429</v>
      </c>
      <c r="K561" t="s">
        <v>7</v>
      </c>
      <c r="L561" t="s">
        <v>29</v>
      </c>
      <c r="M561" t="s">
        <v>10</v>
      </c>
    </row>
    <row r="562" spans="1:13">
      <c r="A562" t="s">
        <v>1008</v>
      </c>
      <c r="B562" s="2">
        <v>46179</v>
      </c>
      <c r="C562">
        <v>2026</v>
      </c>
      <c r="D562">
        <v>6</v>
      </c>
      <c r="E562" t="s">
        <v>87</v>
      </c>
      <c r="F562" t="s">
        <v>40</v>
      </c>
      <c r="G562" t="s">
        <v>48</v>
      </c>
      <c r="H562" t="s">
        <v>33</v>
      </c>
      <c r="I562" t="s">
        <v>454</v>
      </c>
      <c r="J562" t="s">
        <v>429</v>
      </c>
      <c r="K562" t="s">
        <v>58</v>
      </c>
      <c r="L562" t="s">
        <v>16</v>
      </c>
      <c r="M562" t="s">
        <v>10</v>
      </c>
    </row>
    <row r="563" spans="1:13">
      <c r="A563" t="s">
        <v>1009</v>
      </c>
      <c r="B563" s="2">
        <v>46189</v>
      </c>
      <c r="C563">
        <v>2026</v>
      </c>
      <c r="D563">
        <v>6</v>
      </c>
      <c r="E563" t="s">
        <v>87</v>
      </c>
      <c r="F563" t="s">
        <v>38</v>
      </c>
      <c r="G563" t="s">
        <v>3</v>
      </c>
      <c r="H563" t="s">
        <v>4</v>
      </c>
      <c r="I563" t="s">
        <v>473</v>
      </c>
      <c r="J563" t="s">
        <v>429</v>
      </c>
      <c r="K563" t="s">
        <v>41</v>
      </c>
      <c r="L563" t="s">
        <v>16</v>
      </c>
      <c r="M563" t="s">
        <v>10</v>
      </c>
    </row>
    <row r="564" spans="1:13">
      <c r="A564" t="s">
        <v>1010</v>
      </c>
      <c r="B564" s="2">
        <v>46182</v>
      </c>
      <c r="C564">
        <v>2026</v>
      </c>
      <c r="D564">
        <v>6</v>
      </c>
      <c r="E564" t="s">
        <v>87</v>
      </c>
      <c r="F564" t="s">
        <v>26</v>
      </c>
      <c r="G564" t="s">
        <v>32</v>
      </c>
      <c r="H564" t="s">
        <v>12</v>
      </c>
      <c r="I564" t="s">
        <v>494</v>
      </c>
      <c r="J564" t="s">
        <v>433</v>
      </c>
      <c r="K564" t="s">
        <v>58</v>
      </c>
      <c r="L564" t="s">
        <v>9</v>
      </c>
      <c r="M564" t="s">
        <v>10</v>
      </c>
    </row>
    <row r="565" spans="1:13">
      <c r="A565" t="s">
        <v>1011</v>
      </c>
      <c r="B565" s="2">
        <v>46201</v>
      </c>
      <c r="C565">
        <v>2026</v>
      </c>
      <c r="D565">
        <v>6</v>
      </c>
      <c r="E565" t="s">
        <v>87</v>
      </c>
      <c r="F565" t="s">
        <v>40</v>
      </c>
      <c r="G565" t="s">
        <v>94</v>
      </c>
      <c r="H565" t="s">
        <v>4</v>
      </c>
      <c r="I565" t="s">
        <v>446</v>
      </c>
      <c r="J565" t="s">
        <v>429</v>
      </c>
      <c r="K565" t="s">
        <v>84</v>
      </c>
      <c r="L565" t="s">
        <v>29</v>
      </c>
      <c r="M565" t="s">
        <v>10</v>
      </c>
    </row>
    <row r="566" spans="1:13">
      <c r="A566" t="s">
        <v>1012</v>
      </c>
      <c r="B566" s="2">
        <v>46180</v>
      </c>
      <c r="C566">
        <v>2026</v>
      </c>
      <c r="D566">
        <v>6</v>
      </c>
      <c r="E566" t="s">
        <v>87</v>
      </c>
      <c r="F566" t="s">
        <v>78</v>
      </c>
      <c r="G566" t="s">
        <v>48</v>
      </c>
      <c r="H566" t="s">
        <v>44</v>
      </c>
      <c r="I566" t="s">
        <v>470</v>
      </c>
      <c r="J566" t="s">
        <v>429</v>
      </c>
      <c r="K566" t="s">
        <v>84</v>
      </c>
      <c r="L566" t="s">
        <v>16</v>
      </c>
      <c r="M566" t="s">
        <v>10</v>
      </c>
    </row>
    <row r="567" spans="1:13">
      <c r="A567" t="s">
        <v>1013</v>
      </c>
      <c r="B567" s="2">
        <v>46183</v>
      </c>
      <c r="C567">
        <v>2026</v>
      </c>
      <c r="D567">
        <v>6</v>
      </c>
      <c r="E567" t="s">
        <v>87</v>
      </c>
      <c r="F567" t="s">
        <v>19</v>
      </c>
      <c r="G567" t="s">
        <v>32</v>
      </c>
      <c r="H567" t="s">
        <v>44</v>
      </c>
      <c r="I567" t="s">
        <v>428</v>
      </c>
      <c r="J567" t="s">
        <v>429</v>
      </c>
      <c r="K567" t="s">
        <v>7</v>
      </c>
      <c r="L567" t="s">
        <v>29</v>
      </c>
      <c r="M567" t="s">
        <v>17</v>
      </c>
    </row>
    <row r="568" spans="1:13">
      <c r="A568" t="s">
        <v>1014</v>
      </c>
      <c r="B568" s="2">
        <v>46186</v>
      </c>
      <c r="C568">
        <v>2026</v>
      </c>
      <c r="D568">
        <v>6</v>
      </c>
      <c r="E568" t="s">
        <v>87</v>
      </c>
      <c r="F568" t="s">
        <v>19</v>
      </c>
      <c r="G568" t="s">
        <v>48</v>
      </c>
      <c r="H568" t="s">
        <v>44</v>
      </c>
      <c r="I568" t="s">
        <v>446</v>
      </c>
      <c r="J568" t="s">
        <v>429</v>
      </c>
      <c r="K568" t="s">
        <v>7</v>
      </c>
      <c r="L568" t="s">
        <v>29</v>
      </c>
      <c r="M568" t="s">
        <v>10</v>
      </c>
    </row>
    <row r="569" spans="1:13">
      <c r="A569" t="s">
        <v>1015</v>
      </c>
      <c r="B569" s="2">
        <v>46186</v>
      </c>
      <c r="C569">
        <v>2026</v>
      </c>
      <c r="D569">
        <v>6</v>
      </c>
      <c r="E569" t="s">
        <v>87</v>
      </c>
      <c r="F569" t="s">
        <v>78</v>
      </c>
      <c r="G569" t="s">
        <v>20</v>
      </c>
      <c r="H569" t="s">
        <v>33</v>
      </c>
      <c r="I569" t="s">
        <v>440</v>
      </c>
      <c r="J569" t="s">
        <v>429</v>
      </c>
      <c r="K569" t="s">
        <v>41</v>
      </c>
      <c r="L569" t="s">
        <v>29</v>
      </c>
      <c r="M569" t="s">
        <v>10</v>
      </c>
    </row>
    <row r="570" spans="1:13">
      <c r="A570" t="s">
        <v>1016</v>
      </c>
      <c r="B570" s="2">
        <v>46191</v>
      </c>
      <c r="C570">
        <v>2026</v>
      </c>
      <c r="D570">
        <v>6</v>
      </c>
      <c r="E570" t="s">
        <v>87</v>
      </c>
      <c r="F570" t="s">
        <v>47</v>
      </c>
      <c r="G570" t="s">
        <v>64</v>
      </c>
      <c r="H570" t="s">
        <v>44</v>
      </c>
      <c r="I570" t="s">
        <v>454</v>
      </c>
      <c r="J570" t="s">
        <v>433</v>
      </c>
      <c r="K570" t="s">
        <v>21</v>
      </c>
      <c r="L570" t="s">
        <v>9</v>
      </c>
      <c r="M570" t="s">
        <v>10</v>
      </c>
    </row>
    <row r="571" spans="1:13">
      <c r="A571" t="s">
        <v>1017</v>
      </c>
      <c r="B571" s="2">
        <v>46196</v>
      </c>
      <c r="C571">
        <v>2026</v>
      </c>
      <c r="D571">
        <v>6</v>
      </c>
      <c r="E571" t="s">
        <v>87</v>
      </c>
      <c r="F571" t="s">
        <v>78</v>
      </c>
      <c r="G571" t="s">
        <v>27</v>
      </c>
      <c r="H571" t="s">
        <v>12</v>
      </c>
      <c r="I571" t="s">
        <v>454</v>
      </c>
      <c r="J571" t="s">
        <v>429</v>
      </c>
      <c r="K571" t="s">
        <v>71</v>
      </c>
      <c r="L571" t="s">
        <v>16</v>
      </c>
      <c r="M571" t="s">
        <v>10</v>
      </c>
    </row>
    <row r="572" spans="1:13">
      <c r="A572" t="s">
        <v>1018</v>
      </c>
      <c r="B572" s="2">
        <v>46185</v>
      </c>
      <c r="C572">
        <v>2026</v>
      </c>
      <c r="D572">
        <v>6</v>
      </c>
      <c r="E572" t="s">
        <v>87</v>
      </c>
      <c r="F572" t="s">
        <v>31</v>
      </c>
      <c r="G572" t="s">
        <v>94</v>
      </c>
      <c r="H572" t="s">
        <v>44</v>
      </c>
      <c r="I572" t="s">
        <v>435</v>
      </c>
      <c r="J572" t="s">
        <v>429</v>
      </c>
      <c r="K572" t="s">
        <v>71</v>
      </c>
      <c r="L572" t="s">
        <v>16</v>
      </c>
      <c r="M572" t="s">
        <v>10</v>
      </c>
    </row>
  </sheetData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</sheetPr>
  <dimension ref="A1:O1127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9" width="11.7109375" customWidth="1"/>
    <col min="10" max="10" width="14.7109375" customWidth="1"/>
    <col min="11" max="11" width="11.7109375" customWidth="1"/>
    <col min="12" max="12" width="20.7109375" customWidth="1"/>
    <col min="13" max="13" width="11.7109375" customWidth="1"/>
  </cols>
  <sheetData>
    <row r="1" spans="1:15">
      <c r="A1" t="s">
        <v>2153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2154</v>
      </c>
      <c r="J1" t="s">
        <v>1020</v>
      </c>
      <c r="K1" t="s">
        <v>195</v>
      </c>
      <c r="L1" t="s">
        <v>199</v>
      </c>
      <c r="M1" t="s">
        <v>201</v>
      </c>
      <c r="O1" s="1" t="s">
        <v>203</v>
      </c>
    </row>
    <row r="2" spans="1:15">
      <c r="A2" t="s">
        <v>1022</v>
      </c>
      <c r="B2" s="2">
        <v>45308</v>
      </c>
      <c r="C2">
        <v>2024</v>
      </c>
      <c r="D2">
        <v>1</v>
      </c>
      <c r="E2" t="s">
        <v>1</v>
      </c>
      <c r="F2" t="s">
        <v>38</v>
      </c>
      <c r="G2" t="s">
        <v>74</v>
      </c>
      <c r="H2" t="s">
        <v>4</v>
      </c>
      <c r="I2" t="s">
        <v>1023</v>
      </c>
      <c r="J2" t="s">
        <v>1024</v>
      </c>
      <c r="K2" t="s">
        <v>13</v>
      </c>
      <c r="L2" t="s">
        <v>36</v>
      </c>
      <c r="M2" t="s">
        <v>10</v>
      </c>
    </row>
    <row r="3" spans="1:15">
      <c r="A3" t="s">
        <v>1025</v>
      </c>
      <c r="B3" s="2">
        <v>45302</v>
      </c>
      <c r="C3">
        <v>2024</v>
      </c>
      <c r="D3">
        <v>1</v>
      </c>
      <c r="E3" t="s">
        <v>1</v>
      </c>
      <c r="F3" t="s">
        <v>78</v>
      </c>
      <c r="G3" t="s">
        <v>61</v>
      </c>
      <c r="H3" t="s">
        <v>44</v>
      </c>
      <c r="I3" t="s">
        <v>1026</v>
      </c>
      <c r="J3" t="s">
        <v>444</v>
      </c>
      <c r="K3" t="s">
        <v>70</v>
      </c>
      <c r="L3" t="s">
        <v>29</v>
      </c>
      <c r="M3" t="s">
        <v>10</v>
      </c>
    </row>
    <row r="4" spans="1:15">
      <c r="A4" t="s">
        <v>1027</v>
      </c>
      <c r="B4" s="2">
        <v>45307</v>
      </c>
      <c r="C4">
        <v>2024</v>
      </c>
      <c r="D4">
        <v>1</v>
      </c>
      <c r="E4" t="s">
        <v>1</v>
      </c>
      <c r="F4" t="s">
        <v>19</v>
      </c>
      <c r="G4" t="s">
        <v>3</v>
      </c>
      <c r="H4" t="s">
        <v>44</v>
      </c>
      <c r="I4" t="s">
        <v>1023</v>
      </c>
      <c r="J4" t="s">
        <v>1024</v>
      </c>
      <c r="K4" t="s">
        <v>6</v>
      </c>
      <c r="L4" t="s">
        <v>9</v>
      </c>
      <c r="M4" t="s">
        <v>17</v>
      </c>
    </row>
    <row r="5" spans="1:15">
      <c r="A5" t="s">
        <v>1028</v>
      </c>
      <c r="B5" s="2">
        <v>45306</v>
      </c>
      <c r="C5">
        <v>2024</v>
      </c>
      <c r="D5">
        <v>1</v>
      </c>
      <c r="E5" t="s">
        <v>1</v>
      </c>
      <c r="F5" t="s">
        <v>38</v>
      </c>
      <c r="G5" t="s">
        <v>55</v>
      </c>
      <c r="H5" t="s">
        <v>44</v>
      </c>
      <c r="I5" t="s">
        <v>1029</v>
      </c>
      <c r="J5" t="s">
        <v>442</v>
      </c>
      <c r="K5" t="s">
        <v>34</v>
      </c>
      <c r="L5" t="s">
        <v>9</v>
      </c>
      <c r="M5" t="s">
        <v>10</v>
      </c>
    </row>
    <row r="6" spans="1:15">
      <c r="A6" t="s">
        <v>1030</v>
      </c>
      <c r="B6" s="2">
        <v>45307</v>
      </c>
      <c r="C6">
        <v>2024</v>
      </c>
      <c r="D6">
        <v>1</v>
      </c>
      <c r="E6" t="s">
        <v>1</v>
      </c>
      <c r="F6" t="s">
        <v>19</v>
      </c>
      <c r="G6" t="s">
        <v>64</v>
      </c>
      <c r="H6" t="s">
        <v>44</v>
      </c>
      <c r="I6" t="s">
        <v>1023</v>
      </c>
      <c r="J6" t="s">
        <v>1024</v>
      </c>
      <c r="K6" t="s">
        <v>70</v>
      </c>
      <c r="L6" t="s">
        <v>9</v>
      </c>
      <c r="M6" t="s">
        <v>17</v>
      </c>
    </row>
    <row r="7" spans="1:15">
      <c r="A7" t="s">
        <v>1031</v>
      </c>
      <c r="B7" s="2">
        <v>45308</v>
      </c>
      <c r="C7">
        <v>2024</v>
      </c>
      <c r="D7">
        <v>1</v>
      </c>
      <c r="E7" t="s">
        <v>1</v>
      </c>
      <c r="F7" t="s">
        <v>78</v>
      </c>
      <c r="G7" t="s">
        <v>3</v>
      </c>
      <c r="H7" t="s">
        <v>44</v>
      </c>
      <c r="I7" t="s">
        <v>1026</v>
      </c>
      <c r="J7" t="s">
        <v>457</v>
      </c>
      <c r="K7" t="s">
        <v>34</v>
      </c>
      <c r="L7" t="s">
        <v>16</v>
      </c>
      <c r="M7" t="s">
        <v>10</v>
      </c>
    </row>
    <row r="8" spans="1:15">
      <c r="A8" t="s">
        <v>1032</v>
      </c>
      <c r="B8" s="2">
        <v>45303</v>
      </c>
      <c r="C8">
        <v>2024</v>
      </c>
      <c r="D8">
        <v>1</v>
      </c>
      <c r="E8" t="s">
        <v>1</v>
      </c>
      <c r="F8" t="s">
        <v>38</v>
      </c>
      <c r="G8" t="s">
        <v>61</v>
      </c>
      <c r="H8" t="s">
        <v>44</v>
      </c>
      <c r="I8" t="s">
        <v>1026</v>
      </c>
      <c r="J8" t="s">
        <v>457</v>
      </c>
      <c r="K8" t="s">
        <v>50</v>
      </c>
      <c r="L8" t="s">
        <v>36</v>
      </c>
      <c r="M8" t="s">
        <v>10</v>
      </c>
    </row>
    <row r="9" spans="1:15">
      <c r="A9" t="s">
        <v>1033</v>
      </c>
      <c r="B9" s="2">
        <v>45308</v>
      </c>
      <c r="C9">
        <v>2024</v>
      </c>
      <c r="D9">
        <v>1</v>
      </c>
      <c r="E9" t="s">
        <v>1</v>
      </c>
      <c r="F9" t="s">
        <v>40</v>
      </c>
      <c r="G9" t="s">
        <v>38</v>
      </c>
      <c r="H9" t="s">
        <v>33</v>
      </c>
      <c r="I9" t="s">
        <v>1023</v>
      </c>
      <c r="J9" t="s">
        <v>1024</v>
      </c>
      <c r="K9" t="s">
        <v>70</v>
      </c>
      <c r="L9" t="s">
        <v>9</v>
      </c>
      <c r="M9" t="s">
        <v>10</v>
      </c>
    </row>
    <row r="10" spans="1:15">
      <c r="A10" t="s">
        <v>1034</v>
      </c>
      <c r="B10" s="2">
        <v>45312</v>
      </c>
      <c r="C10">
        <v>2024</v>
      </c>
      <c r="D10">
        <v>1</v>
      </c>
      <c r="E10" t="s">
        <v>1</v>
      </c>
      <c r="F10" t="s">
        <v>47</v>
      </c>
      <c r="G10" t="s">
        <v>61</v>
      </c>
      <c r="H10" t="s">
        <v>33</v>
      </c>
      <c r="I10" t="s">
        <v>1026</v>
      </c>
      <c r="J10" t="s">
        <v>454</v>
      </c>
      <c r="K10" t="s">
        <v>34</v>
      </c>
      <c r="L10" t="s">
        <v>9</v>
      </c>
      <c r="M10" t="s">
        <v>17</v>
      </c>
    </row>
    <row r="11" spans="1:15">
      <c r="A11" t="s">
        <v>1035</v>
      </c>
      <c r="B11" s="2">
        <v>45318</v>
      </c>
      <c r="C11">
        <v>2024</v>
      </c>
      <c r="D11">
        <v>1</v>
      </c>
      <c r="E11" t="s">
        <v>1</v>
      </c>
      <c r="F11" t="s">
        <v>78</v>
      </c>
      <c r="G11" t="s">
        <v>74</v>
      </c>
      <c r="H11" t="s">
        <v>4</v>
      </c>
      <c r="I11" t="s">
        <v>1023</v>
      </c>
      <c r="J11" t="s">
        <v>1024</v>
      </c>
      <c r="K11" t="s">
        <v>13</v>
      </c>
      <c r="L11" t="s">
        <v>9</v>
      </c>
      <c r="M11" t="s">
        <v>10</v>
      </c>
    </row>
    <row r="12" spans="1:15">
      <c r="A12" t="s">
        <v>1036</v>
      </c>
      <c r="B12" s="2">
        <v>45311</v>
      </c>
      <c r="C12">
        <v>2024</v>
      </c>
      <c r="D12">
        <v>1</v>
      </c>
      <c r="E12" t="s">
        <v>1</v>
      </c>
      <c r="F12" t="s">
        <v>31</v>
      </c>
      <c r="G12" t="s">
        <v>20</v>
      </c>
      <c r="H12" t="s">
        <v>33</v>
      </c>
      <c r="I12" t="s">
        <v>1037</v>
      </c>
      <c r="J12" t="s">
        <v>1024</v>
      </c>
      <c r="K12" t="s">
        <v>70</v>
      </c>
      <c r="L12" t="s">
        <v>29</v>
      </c>
      <c r="M12" t="s">
        <v>10</v>
      </c>
    </row>
    <row r="13" spans="1:15">
      <c r="A13" t="s">
        <v>1038</v>
      </c>
      <c r="B13" s="2">
        <v>45317</v>
      </c>
      <c r="C13">
        <v>2024</v>
      </c>
      <c r="D13">
        <v>1</v>
      </c>
      <c r="E13" t="s">
        <v>1</v>
      </c>
      <c r="F13" t="s">
        <v>67</v>
      </c>
      <c r="G13" t="s">
        <v>38</v>
      </c>
      <c r="H13" t="s">
        <v>44</v>
      </c>
      <c r="I13" t="s">
        <v>1029</v>
      </c>
      <c r="J13" t="s">
        <v>435</v>
      </c>
      <c r="K13" t="s">
        <v>6</v>
      </c>
      <c r="L13" t="s">
        <v>16</v>
      </c>
      <c r="M13" t="s">
        <v>17</v>
      </c>
    </row>
    <row r="14" spans="1:15">
      <c r="A14" t="s">
        <v>1039</v>
      </c>
      <c r="B14" s="2">
        <v>45319</v>
      </c>
      <c r="C14">
        <v>2024</v>
      </c>
      <c r="D14">
        <v>1</v>
      </c>
      <c r="E14" t="s">
        <v>1</v>
      </c>
      <c r="F14" t="s">
        <v>54</v>
      </c>
      <c r="G14" t="s">
        <v>27</v>
      </c>
      <c r="H14" t="s">
        <v>4</v>
      </c>
      <c r="I14" t="s">
        <v>1026</v>
      </c>
      <c r="J14" t="s">
        <v>494</v>
      </c>
      <c r="K14" t="s">
        <v>13</v>
      </c>
      <c r="L14" t="s">
        <v>29</v>
      </c>
      <c r="M14" t="s">
        <v>17</v>
      </c>
    </row>
    <row r="15" spans="1:15">
      <c r="A15" t="s">
        <v>1040</v>
      </c>
      <c r="B15" s="2">
        <v>45313</v>
      </c>
      <c r="C15">
        <v>2024</v>
      </c>
      <c r="D15">
        <v>1</v>
      </c>
      <c r="E15" t="s">
        <v>1</v>
      </c>
      <c r="F15" t="s">
        <v>78</v>
      </c>
      <c r="G15" t="s">
        <v>20</v>
      </c>
      <c r="H15" t="s">
        <v>12</v>
      </c>
      <c r="I15" t="s">
        <v>1026</v>
      </c>
      <c r="J15" t="s">
        <v>446</v>
      </c>
      <c r="K15" t="s">
        <v>6</v>
      </c>
      <c r="L15" t="s">
        <v>36</v>
      </c>
      <c r="M15" t="s">
        <v>17</v>
      </c>
    </row>
    <row r="16" spans="1:15">
      <c r="A16" t="s">
        <v>1041</v>
      </c>
      <c r="B16" s="2">
        <v>45301</v>
      </c>
      <c r="C16">
        <v>2024</v>
      </c>
      <c r="D16">
        <v>1</v>
      </c>
      <c r="E16" t="s">
        <v>1</v>
      </c>
      <c r="F16" t="s">
        <v>38</v>
      </c>
      <c r="G16" t="s">
        <v>20</v>
      </c>
      <c r="H16" t="s">
        <v>44</v>
      </c>
      <c r="I16" t="s">
        <v>1026</v>
      </c>
      <c r="J16" t="s">
        <v>470</v>
      </c>
      <c r="K16" t="s">
        <v>13</v>
      </c>
      <c r="L16" t="s">
        <v>9</v>
      </c>
      <c r="M16" t="s">
        <v>17</v>
      </c>
    </row>
    <row r="17" spans="1:13">
      <c r="A17" t="s">
        <v>1042</v>
      </c>
      <c r="B17" s="2">
        <v>45297</v>
      </c>
      <c r="C17">
        <v>2024</v>
      </c>
      <c r="D17">
        <v>1</v>
      </c>
      <c r="E17" t="s">
        <v>1</v>
      </c>
      <c r="F17" t="s">
        <v>78</v>
      </c>
      <c r="G17" t="s">
        <v>38</v>
      </c>
      <c r="H17" t="s">
        <v>33</v>
      </c>
      <c r="I17" t="s">
        <v>1026</v>
      </c>
      <c r="J17" t="s">
        <v>446</v>
      </c>
      <c r="K17" t="s">
        <v>13</v>
      </c>
      <c r="L17" t="s">
        <v>29</v>
      </c>
      <c r="M17" t="s">
        <v>10</v>
      </c>
    </row>
    <row r="18" spans="1:13">
      <c r="A18" t="s">
        <v>1043</v>
      </c>
      <c r="B18" s="2">
        <v>45312</v>
      </c>
      <c r="C18">
        <v>2024</v>
      </c>
      <c r="D18">
        <v>1</v>
      </c>
      <c r="E18" t="s">
        <v>1</v>
      </c>
      <c r="F18" t="s">
        <v>40</v>
      </c>
      <c r="G18" t="s">
        <v>20</v>
      </c>
      <c r="H18" t="s">
        <v>44</v>
      </c>
      <c r="I18" t="s">
        <v>1037</v>
      </c>
      <c r="J18" t="s">
        <v>1024</v>
      </c>
      <c r="K18" t="s">
        <v>6</v>
      </c>
      <c r="L18" t="s">
        <v>9</v>
      </c>
      <c r="M18" t="s">
        <v>10</v>
      </c>
    </row>
    <row r="19" spans="1:13">
      <c r="A19" t="s">
        <v>1044</v>
      </c>
      <c r="B19" s="2">
        <v>45308</v>
      </c>
      <c r="C19">
        <v>2024</v>
      </c>
      <c r="D19">
        <v>1</v>
      </c>
      <c r="E19" t="s">
        <v>1</v>
      </c>
      <c r="F19" t="s">
        <v>54</v>
      </c>
      <c r="G19" t="s">
        <v>64</v>
      </c>
      <c r="H19" t="s">
        <v>12</v>
      </c>
      <c r="I19" t="s">
        <v>1029</v>
      </c>
      <c r="J19" t="s">
        <v>452</v>
      </c>
      <c r="K19" t="s">
        <v>70</v>
      </c>
      <c r="L19" t="s">
        <v>16</v>
      </c>
      <c r="M19" t="s">
        <v>10</v>
      </c>
    </row>
    <row r="20" spans="1:13">
      <c r="A20" t="s">
        <v>1045</v>
      </c>
      <c r="B20" s="2">
        <v>45318</v>
      </c>
      <c r="C20">
        <v>2024</v>
      </c>
      <c r="D20">
        <v>1</v>
      </c>
      <c r="E20" t="s">
        <v>1</v>
      </c>
      <c r="F20" t="s">
        <v>54</v>
      </c>
      <c r="G20" t="s">
        <v>32</v>
      </c>
      <c r="H20" t="s">
        <v>33</v>
      </c>
      <c r="I20" t="s">
        <v>1026</v>
      </c>
      <c r="J20" t="s">
        <v>494</v>
      </c>
      <c r="K20" t="s">
        <v>6</v>
      </c>
      <c r="L20" t="s">
        <v>9</v>
      </c>
      <c r="M20" t="s">
        <v>10</v>
      </c>
    </row>
    <row r="21" spans="1:13">
      <c r="A21" t="s">
        <v>1046</v>
      </c>
      <c r="B21" s="2">
        <v>45318</v>
      </c>
      <c r="C21">
        <v>2024</v>
      </c>
      <c r="D21">
        <v>1</v>
      </c>
      <c r="E21" t="s">
        <v>1</v>
      </c>
      <c r="F21" t="s">
        <v>47</v>
      </c>
      <c r="G21" t="s">
        <v>74</v>
      </c>
      <c r="H21" t="s">
        <v>4</v>
      </c>
      <c r="I21" t="s">
        <v>1026</v>
      </c>
      <c r="J21" t="s">
        <v>428</v>
      </c>
      <c r="K21" t="s">
        <v>6</v>
      </c>
      <c r="L21" t="s">
        <v>16</v>
      </c>
      <c r="M21" t="s">
        <v>10</v>
      </c>
    </row>
    <row r="22" spans="1:13">
      <c r="A22" t="s">
        <v>1047</v>
      </c>
      <c r="B22" s="2">
        <v>45292</v>
      </c>
      <c r="C22">
        <v>2024</v>
      </c>
      <c r="D22">
        <v>1</v>
      </c>
      <c r="E22" t="s">
        <v>1</v>
      </c>
      <c r="F22" t="s">
        <v>19</v>
      </c>
      <c r="G22" t="s">
        <v>20</v>
      </c>
      <c r="H22" t="s">
        <v>12</v>
      </c>
      <c r="I22" t="s">
        <v>1026</v>
      </c>
      <c r="J22" t="s">
        <v>444</v>
      </c>
      <c r="K22" t="s">
        <v>6</v>
      </c>
      <c r="L22" t="s">
        <v>9</v>
      </c>
      <c r="M22" t="s">
        <v>10</v>
      </c>
    </row>
    <row r="23" spans="1:13">
      <c r="A23" t="s">
        <v>1048</v>
      </c>
      <c r="B23" s="2">
        <v>45309</v>
      </c>
      <c r="C23">
        <v>2024</v>
      </c>
      <c r="D23">
        <v>1</v>
      </c>
      <c r="E23" t="s">
        <v>1</v>
      </c>
      <c r="F23" t="s">
        <v>26</v>
      </c>
      <c r="G23" t="s">
        <v>32</v>
      </c>
      <c r="H23" t="s">
        <v>44</v>
      </c>
      <c r="I23" t="s">
        <v>1029</v>
      </c>
      <c r="J23" t="s">
        <v>84</v>
      </c>
      <c r="K23" t="s">
        <v>6</v>
      </c>
      <c r="L23" t="s">
        <v>29</v>
      </c>
      <c r="M23" t="s">
        <v>17</v>
      </c>
    </row>
    <row r="24" spans="1:13">
      <c r="A24" t="s">
        <v>1049</v>
      </c>
      <c r="B24" s="2">
        <v>45299</v>
      </c>
      <c r="C24">
        <v>2024</v>
      </c>
      <c r="D24">
        <v>1</v>
      </c>
      <c r="E24" t="s">
        <v>1</v>
      </c>
      <c r="F24" t="s">
        <v>67</v>
      </c>
      <c r="G24" t="s">
        <v>94</v>
      </c>
      <c r="H24" t="s">
        <v>4</v>
      </c>
      <c r="I24" t="s">
        <v>1026</v>
      </c>
      <c r="J24" t="s">
        <v>428</v>
      </c>
      <c r="K24" t="s">
        <v>70</v>
      </c>
      <c r="L24" t="s">
        <v>16</v>
      </c>
      <c r="M24" t="s">
        <v>10</v>
      </c>
    </row>
    <row r="25" spans="1:13">
      <c r="A25" t="s">
        <v>1050</v>
      </c>
      <c r="B25" s="2">
        <v>45318</v>
      </c>
      <c r="C25">
        <v>2024</v>
      </c>
      <c r="D25">
        <v>1</v>
      </c>
      <c r="E25" t="s">
        <v>1</v>
      </c>
      <c r="F25" t="s">
        <v>54</v>
      </c>
      <c r="G25" t="s">
        <v>55</v>
      </c>
      <c r="H25" t="s">
        <v>33</v>
      </c>
      <c r="I25" t="s">
        <v>1026</v>
      </c>
      <c r="J25" t="s">
        <v>444</v>
      </c>
      <c r="K25" t="s">
        <v>70</v>
      </c>
      <c r="L25" t="s">
        <v>36</v>
      </c>
      <c r="M25" t="s">
        <v>10</v>
      </c>
    </row>
    <row r="26" spans="1:13">
      <c r="A26" t="s">
        <v>1051</v>
      </c>
      <c r="B26" s="2">
        <v>45315</v>
      </c>
      <c r="C26">
        <v>2024</v>
      </c>
      <c r="D26">
        <v>1</v>
      </c>
      <c r="E26" t="s">
        <v>1</v>
      </c>
      <c r="F26" t="s">
        <v>19</v>
      </c>
      <c r="G26" t="s">
        <v>74</v>
      </c>
      <c r="H26" t="s">
        <v>33</v>
      </c>
      <c r="I26" t="s">
        <v>1037</v>
      </c>
      <c r="J26" t="s">
        <v>1024</v>
      </c>
      <c r="K26" t="s">
        <v>70</v>
      </c>
      <c r="L26" t="s">
        <v>29</v>
      </c>
      <c r="M26" t="s">
        <v>10</v>
      </c>
    </row>
    <row r="27" spans="1:13">
      <c r="A27" t="s">
        <v>1052</v>
      </c>
      <c r="B27" s="2">
        <v>45303</v>
      </c>
      <c r="C27">
        <v>2024</v>
      </c>
      <c r="D27">
        <v>1</v>
      </c>
      <c r="E27" t="s">
        <v>1</v>
      </c>
      <c r="F27" t="s">
        <v>26</v>
      </c>
      <c r="G27" t="s">
        <v>55</v>
      </c>
      <c r="H27" t="s">
        <v>33</v>
      </c>
      <c r="I27" t="s">
        <v>1029</v>
      </c>
      <c r="J27" t="s">
        <v>442</v>
      </c>
      <c r="K27" t="s">
        <v>50</v>
      </c>
      <c r="L27" t="s">
        <v>29</v>
      </c>
      <c r="M27" t="s">
        <v>10</v>
      </c>
    </row>
    <row r="28" spans="1:13">
      <c r="A28" t="s">
        <v>1053</v>
      </c>
      <c r="B28" s="2">
        <v>45318</v>
      </c>
      <c r="C28">
        <v>2024</v>
      </c>
      <c r="D28">
        <v>1</v>
      </c>
      <c r="E28" t="s">
        <v>1</v>
      </c>
      <c r="F28" t="s">
        <v>67</v>
      </c>
      <c r="G28" t="s">
        <v>94</v>
      </c>
      <c r="H28" t="s">
        <v>12</v>
      </c>
      <c r="I28" t="s">
        <v>1037</v>
      </c>
      <c r="J28" t="s">
        <v>1024</v>
      </c>
      <c r="K28" t="s">
        <v>70</v>
      </c>
      <c r="L28" t="s">
        <v>9</v>
      </c>
      <c r="M28" t="s">
        <v>10</v>
      </c>
    </row>
    <row r="29" spans="1:13">
      <c r="A29" t="s">
        <v>1054</v>
      </c>
      <c r="B29" s="2">
        <v>45293</v>
      </c>
      <c r="C29">
        <v>2024</v>
      </c>
      <c r="D29">
        <v>1</v>
      </c>
      <c r="E29" t="s">
        <v>1</v>
      </c>
      <c r="F29" t="s">
        <v>38</v>
      </c>
      <c r="G29" t="s">
        <v>94</v>
      </c>
      <c r="H29" t="s">
        <v>44</v>
      </c>
      <c r="I29" t="s">
        <v>1037</v>
      </c>
      <c r="J29" t="s">
        <v>1024</v>
      </c>
      <c r="K29" t="s">
        <v>6</v>
      </c>
      <c r="L29" t="s">
        <v>9</v>
      </c>
      <c r="M29" t="s">
        <v>10</v>
      </c>
    </row>
    <row r="30" spans="1:13">
      <c r="A30" t="s">
        <v>1055</v>
      </c>
      <c r="B30" s="2">
        <v>45309</v>
      </c>
      <c r="C30">
        <v>2024</v>
      </c>
      <c r="D30">
        <v>1</v>
      </c>
      <c r="E30" t="s">
        <v>1</v>
      </c>
      <c r="F30" t="s">
        <v>67</v>
      </c>
      <c r="G30" t="s">
        <v>20</v>
      </c>
      <c r="H30" t="s">
        <v>4</v>
      </c>
      <c r="I30" t="s">
        <v>1026</v>
      </c>
      <c r="J30" t="s">
        <v>446</v>
      </c>
      <c r="K30" t="s">
        <v>50</v>
      </c>
      <c r="L30" t="s">
        <v>29</v>
      </c>
      <c r="M30" t="s">
        <v>10</v>
      </c>
    </row>
    <row r="31" spans="1:13">
      <c r="A31" t="s">
        <v>1056</v>
      </c>
      <c r="B31" s="2">
        <v>45312</v>
      </c>
      <c r="C31">
        <v>2024</v>
      </c>
      <c r="D31">
        <v>1</v>
      </c>
      <c r="E31" t="s">
        <v>1</v>
      </c>
      <c r="F31" t="s">
        <v>67</v>
      </c>
      <c r="G31" t="s">
        <v>69</v>
      </c>
      <c r="H31" t="s">
        <v>4</v>
      </c>
      <c r="I31" t="s">
        <v>1029</v>
      </c>
      <c r="J31" t="s">
        <v>462</v>
      </c>
      <c r="K31" t="s">
        <v>6</v>
      </c>
      <c r="L31" t="s">
        <v>9</v>
      </c>
      <c r="M31" t="s">
        <v>10</v>
      </c>
    </row>
    <row r="32" spans="1:13">
      <c r="A32" t="s">
        <v>1057</v>
      </c>
      <c r="B32" s="2">
        <v>45331</v>
      </c>
      <c r="C32">
        <v>2024</v>
      </c>
      <c r="D32">
        <v>2</v>
      </c>
      <c r="E32" t="s">
        <v>25</v>
      </c>
      <c r="F32" t="s">
        <v>38</v>
      </c>
      <c r="G32" t="s">
        <v>3</v>
      </c>
      <c r="H32" t="s">
        <v>44</v>
      </c>
      <c r="I32" t="s">
        <v>1026</v>
      </c>
      <c r="J32" t="s">
        <v>446</v>
      </c>
      <c r="K32" t="s">
        <v>70</v>
      </c>
      <c r="L32" t="s">
        <v>9</v>
      </c>
      <c r="M32" t="s">
        <v>10</v>
      </c>
    </row>
    <row r="33" spans="1:13">
      <c r="A33" t="s">
        <v>1058</v>
      </c>
      <c r="B33" s="2">
        <v>45325</v>
      </c>
      <c r="C33">
        <v>2024</v>
      </c>
      <c r="D33">
        <v>2</v>
      </c>
      <c r="E33" t="s">
        <v>25</v>
      </c>
      <c r="F33" t="s">
        <v>2</v>
      </c>
      <c r="G33" t="s">
        <v>20</v>
      </c>
      <c r="H33" t="s">
        <v>44</v>
      </c>
      <c r="I33" t="s">
        <v>1029</v>
      </c>
      <c r="J33" t="s">
        <v>84</v>
      </c>
      <c r="K33" t="s">
        <v>70</v>
      </c>
      <c r="L33" t="s">
        <v>9</v>
      </c>
      <c r="M33" t="s">
        <v>10</v>
      </c>
    </row>
    <row r="34" spans="1:13">
      <c r="A34" t="s">
        <v>1059</v>
      </c>
      <c r="B34" s="2">
        <v>45342</v>
      </c>
      <c r="C34">
        <v>2024</v>
      </c>
      <c r="D34">
        <v>2</v>
      </c>
      <c r="E34" t="s">
        <v>25</v>
      </c>
      <c r="F34" t="s">
        <v>2</v>
      </c>
      <c r="G34" t="s">
        <v>32</v>
      </c>
      <c r="H34" t="s">
        <v>33</v>
      </c>
      <c r="I34" t="s">
        <v>1029</v>
      </c>
      <c r="J34" t="s">
        <v>438</v>
      </c>
      <c r="K34" t="s">
        <v>6</v>
      </c>
      <c r="L34" t="s">
        <v>36</v>
      </c>
      <c r="M34" t="s">
        <v>10</v>
      </c>
    </row>
    <row r="35" spans="1:13">
      <c r="A35" t="s">
        <v>1060</v>
      </c>
      <c r="B35" s="2">
        <v>45345</v>
      </c>
      <c r="C35">
        <v>2024</v>
      </c>
      <c r="D35">
        <v>2</v>
      </c>
      <c r="E35" t="s">
        <v>25</v>
      </c>
      <c r="F35" t="s">
        <v>54</v>
      </c>
      <c r="G35" t="s">
        <v>3</v>
      </c>
      <c r="H35" t="s">
        <v>33</v>
      </c>
      <c r="I35" t="s">
        <v>1026</v>
      </c>
      <c r="J35" t="s">
        <v>446</v>
      </c>
      <c r="K35" t="s">
        <v>34</v>
      </c>
      <c r="L35" t="s">
        <v>36</v>
      </c>
      <c r="M35" t="s">
        <v>10</v>
      </c>
    </row>
    <row r="36" spans="1:13">
      <c r="A36" t="s">
        <v>1061</v>
      </c>
      <c r="B36" s="2">
        <v>45344</v>
      </c>
      <c r="C36">
        <v>2024</v>
      </c>
      <c r="D36">
        <v>2</v>
      </c>
      <c r="E36" t="s">
        <v>25</v>
      </c>
      <c r="F36" t="s">
        <v>47</v>
      </c>
      <c r="G36" t="s">
        <v>61</v>
      </c>
      <c r="H36" t="s">
        <v>33</v>
      </c>
      <c r="I36" t="s">
        <v>1037</v>
      </c>
      <c r="J36" t="s">
        <v>1024</v>
      </c>
      <c r="K36" t="s">
        <v>50</v>
      </c>
      <c r="L36" t="s">
        <v>36</v>
      </c>
      <c r="M36" t="s">
        <v>17</v>
      </c>
    </row>
    <row r="37" spans="1:13">
      <c r="A37" t="s">
        <v>1062</v>
      </c>
      <c r="B37" s="2">
        <v>45350</v>
      </c>
      <c r="C37">
        <v>2024</v>
      </c>
      <c r="D37">
        <v>2</v>
      </c>
      <c r="E37" t="s">
        <v>25</v>
      </c>
      <c r="F37" t="s">
        <v>67</v>
      </c>
      <c r="G37" t="s">
        <v>3</v>
      </c>
      <c r="H37" t="s">
        <v>33</v>
      </c>
      <c r="I37" t="s">
        <v>1026</v>
      </c>
      <c r="J37" t="s">
        <v>457</v>
      </c>
      <c r="K37" t="s">
        <v>70</v>
      </c>
      <c r="L37" t="s">
        <v>9</v>
      </c>
      <c r="M37" t="s">
        <v>10</v>
      </c>
    </row>
    <row r="38" spans="1:13">
      <c r="A38" t="s">
        <v>1063</v>
      </c>
      <c r="B38" s="2">
        <v>45350</v>
      </c>
      <c r="C38">
        <v>2024</v>
      </c>
      <c r="D38">
        <v>2</v>
      </c>
      <c r="E38" t="s">
        <v>25</v>
      </c>
      <c r="F38" t="s">
        <v>31</v>
      </c>
      <c r="G38" t="s">
        <v>94</v>
      </c>
      <c r="H38" t="s">
        <v>12</v>
      </c>
      <c r="I38" t="s">
        <v>1029</v>
      </c>
      <c r="J38" t="s">
        <v>431</v>
      </c>
      <c r="K38" t="s">
        <v>70</v>
      </c>
      <c r="L38" t="s">
        <v>16</v>
      </c>
      <c r="M38" t="s">
        <v>17</v>
      </c>
    </row>
    <row r="39" spans="1:13">
      <c r="A39" t="s">
        <v>1064</v>
      </c>
      <c r="B39" s="2">
        <v>45343</v>
      </c>
      <c r="C39">
        <v>2024</v>
      </c>
      <c r="D39">
        <v>2</v>
      </c>
      <c r="E39" t="s">
        <v>25</v>
      </c>
      <c r="F39" t="s">
        <v>40</v>
      </c>
      <c r="G39" t="s">
        <v>27</v>
      </c>
      <c r="H39" t="s">
        <v>44</v>
      </c>
      <c r="I39" t="s">
        <v>1029</v>
      </c>
      <c r="J39" t="s">
        <v>473</v>
      </c>
      <c r="K39" t="s">
        <v>6</v>
      </c>
      <c r="L39" t="s">
        <v>36</v>
      </c>
      <c r="M39" t="s">
        <v>10</v>
      </c>
    </row>
    <row r="40" spans="1:13">
      <c r="A40" t="s">
        <v>1065</v>
      </c>
      <c r="B40" s="2">
        <v>45332</v>
      </c>
      <c r="C40">
        <v>2024</v>
      </c>
      <c r="D40">
        <v>2</v>
      </c>
      <c r="E40" t="s">
        <v>25</v>
      </c>
      <c r="F40" t="s">
        <v>38</v>
      </c>
      <c r="G40" t="s">
        <v>94</v>
      </c>
      <c r="H40" t="s">
        <v>4</v>
      </c>
      <c r="I40" t="s">
        <v>1029</v>
      </c>
      <c r="J40" t="s">
        <v>473</v>
      </c>
      <c r="K40" t="s">
        <v>34</v>
      </c>
      <c r="L40" t="s">
        <v>36</v>
      </c>
      <c r="M40" t="s">
        <v>10</v>
      </c>
    </row>
    <row r="41" spans="1:13">
      <c r="A41" t="s">
        <v>1066</v>
      </c>
      <c r="B41" s="2">
        <v>45337</v>
      </c>
      <c r="C41">
        <v>2024</v>
      </c>
      <c r="D41">
        <v>2</v>
      </c>
      <c r="E41" t="s">
        <v>25</v>
      </c>
      <c r="F41" t="s">
        <v>31</v>
      </c>
      <c r="G41" t="s">
        <v>20</v>
      </c>
      <c r="H41" t="s">
        <v>44</v>
      </c>
      <c r="I41" t="s">
        <v>1029</v>
      </c>
      <c r="J41" t="s">
        <v>438</v>
      </c>
      <c r="K41" t="s">
        <v>34</v>
      </c>
      <c r="L41" t="s">
        <v>9</v>
      </c>
      <c r="M41" t="s">
        <v>10</v>
      </c>
    </row>
    <row r="42" spans="1:13">
      <c r="A42" t="s">
        <v>1067</v>
      </c>
      <c r="B42" s="2">
        <v>45336</v>
      </c>
      <c r="C42">
        <v>2024</v>
      </c>
      <c r="D42">
        <v>2</v>
      </c>
      <c r="E42" t="s">
        <v>25</v>
      </c>
      <c r="F42" t="s">
        <v>26</v>
      </c>
      <c r="G42" t="s">
        <v>61</v>
      </c>
      <c r="H42" t="s">
        <v>33</v>
      </c>
      <c r="I42" t="s">
        <v>1026</v>
      </c>
      <c r="J42" t="s">
        <v>466</v>
      </c>
      <c r="K42" t="s">
        <v>50</v>
      </c>
      <c r="L42" t="s">
        <v>9</v>
      </c>
      <c r="M42" t="s">
        <v>10</v>
      </c>
    </row>
    <row r="43" spans="1:13">
      <c r="A43" t="s">
        <v>1068</v>
      </c>
      <c r="B43" s="2">
        <v>45339</v>
      </c>
      <c r="C43">
        <v>2024</v>
      </c>
      <c r="D43">
        <v>2</v>
      </c>
      <c r="E43" t="s">
        <v>25</v>
      </c>
      <c r="F43" t="s">
        <v>26</v>
      </c>
      <c r="G43" t="s">
        <v>55</v>
      </c>
      <c r="H43" t="s">
        <v>4</v>
      </c>
      <c r="I43" t="s">
        <v>1029</v>
      </c>
      <c r="J43" t="s">
        <v>435</v>
      </c>
      <c r="K43" t="s">
        <v>70</v>
      </c>
      <c r="L43" t="s">
        <v>16</v>
      </c>
      <c r="M43" t="s">
        <v>10</v>
      </c>
    </row>
    <row r="44" spans="1:13">
      <c r="A44" t="s">
        <v>1069</v>
      </c>
      <c r="B44" s="2">
        <v>45344</v>
      </c>
      <c r="C44">
        <v>2024</v>
      </c>
      <c r="D44">
        <v>2</v>
      </c>
      <c r="E44" t="s">
        <v>25</v>
      </c>
      <c r="F44" t="s">
        <v>38</v>
      </c>
      <c r="G44" t="s">
        <v>27</v>
      </c>
      <c r="H44" t="s">
        <v>44</v>
      </c>
      <c r="I44" t="s">
        <v>1037</v>
      </c>
      <c r="J44" t="s">
        <v>1024</v>
      </c>
      <c r="K44" t="s">
        <v>6</v>
      </c>
      <c r="L44" t="s">
        <v>36</v>
      </c>
      <c r="M44" t="s">
        <v>10</v>
      </c>
    </row>
    <row r="45" spans="1:13">
      <c r="A45" t="s">
        <v>1070</v>
      </c>
      <c r="B45" s="2">
        <v>45324</v>
      </c>
      <c r="C45">
        <v>2024</v>
      </c>
      <c r="D45">
        <v>2</v>
      </c>
      <c r="E45" t="s">
        <v>25</v>
      </c>
      <c r="F45" t="s">
        <v>31</v>
      </c>
      <c r="G45" t="s">
        <v>64</v>
      </c>
      <c r="H45" t="s">
        <v>33</v>
      </c>
      <c r="I45" t="s">
        <v>1026</v>
      </c>
      <c r="J45" t="s">
        <v>457</v>
      </c>
      <c r="K45" t="s">
        <v>13</v>
      </c>
      <c r="L45" t="s">
        <v>36</v>
      </c>
      <c r="M45" t="s">
        <v>10</v>
      </c>
    </row>
    <row r="46" spans="1:13">
      <c r="A46" t="s">
        <v>1071</v>
      </c>
      <c r="B46" s="2">
        <v>45324</v>
      </c>
      <c r="C46">
        <v>2024</v>
      </c>
      <c r="D46">
        <v>2</v>
      </c>
      <c r="E46" t="s">
        <v>25</v>
      </c>
      <c r="F46" t="s">
        <v>54</v>
      </c>
      <c r="G46" t="s">
        <v>32</v>
      </c>
      <c r="H46" t="s">
        <v>44</v>
      </c>
      <c r="I46" t="s">
        <v>1037</v>
      </c>
      <c r="J46" t="s">
        <v>1024</v>
      </c>
      <c r="K46" t="s">
        <v>13</v>
      </c>
      <c r="L46" t="s">
        <v>9</v>
      </c>
      <c r="M46" t="s">
        <v>10</v>
      </c>
    </row>
    <row r="47" spans="1:13">
      <c r="A47" t="s">
        <v>1072</v>
      </c>
      <c r="B47" s="2">
        <v>45337</v>
      </c>
      <c r="C47">
        <v>2024</v>
      </c>
      <c r="D47">
        <v>2</v>
      </c>
      <c r="E47" t="s">
        <v>25</v>
      </c>
      <c r="F47" t="s">
        <v>67</v>
      </c>
      <c r="G47" t="s">
        <v>55</v>
      </c>
      <c r="H47" t="s">
        <v>33</v>
      </c>
      <c r="I47" t="s">
        <v>1029</v>
      </c>
      <c r="J47" t="s">
        <v>440</v>
      </c>
      <c r="K47" t="s">
        <v>34</v>
      </c>
      <c r="L47" t="s">
        <v>29</v>
      </c>
      <c r="M47" t="s">
        <v>10</v>
      </c>
    </row>
    <row r="48" spans="1:13">
      <c r="A48" t="s">
        <v>1073</v>
      </c>
      <c r="B48" s="2">
        <v>45326</v>
      </c>
      <c r="C48">
        <v>2024</v>
      </c>
      <c r="D48">
        <v>2</v>
      </c>
      <c r="E48" t="s">
        <v>25</v>
      </c>
      <c r="F48" t="s">
        <v>67</v>
      </c>
      <c r="G48" t="s">
        <v>64</v>
      </c>
      <c r="H48" t="s">
        <v>4</v>
      </c>
      <c r="I48" t="s">
        <v>1029</v>
      </c>
      <c r="J48" t="s">
        <v>431</v>
      </c>
      <c r="K48" t="s">
        <v>70</v>
      </c>
      <c r="L48" t="s">
        <v>16</v>
      </c>
      <c r="M48" t="s">
        <v>10</v>
      </c>
    </row>
    <row r="49" spans="1:13">
      <c r="A49" t="s">
        <v>1074</v>
      </c>
      <c r="B49" s="2">
        <v>45336</v>
      </c>
      <c r="C49">
        <v>2024</v>
      </c>
      <c r="D49">
        <v>2</v>
      </c>
      <c r="E49" t="s">
        <v>25</v>
      </c>
      <c r="F49" t="s">
        <v>19</v>
      </c>
      <c r="G49" t="s">
        <v>48</v>
      </c>
      <c r="H49" t="s">
        <v>44</v>
      </c>
      <c r="I49" t="s">
        <v>1029</v>
      </c>
      <c r="J49" t="s">
        <v>435</v>
      </c>
      <c r="K49" t="s">
        <v>34</v>
      </c>
      <c r="L49" t="s">
        <v>29</v>
      </c>
      <c r="M49" t="s">
        <v>10</v>
      </c>
    </row>
    <row r="50" spans="1:13">
      <c r="A50" t="s">
        <v>1075</v>
      </c>
      <c r="B50" s="2">
        <v>45326</v>
      </c>
      <c r="C50">
        <v>2024</v>
      </c>
      <c r="D50">
        <v>2</v>
      </c>
      <c r="E50" t="s">
        <v>25</v>
      </c>
      <c r="F50" t="s">
        <v>67</v>
      </c>
      <c r="G50" t="s">
        <v>20</v>
      </c>
      <c r="H50" t="s">
        <v>12</v>
      </c>
      <c r="I50" t="s">
        <v>1029</v>
      </c>
      <c r="J50" t="s">
        <v>462</v>
      </c>
      <c r="K50" t="s">
        <v>34</v>
      </c>
      <c r="L50" t="s">
        <v>29</v>
      </c>
      <c r="M50" t="s">
        <v>10</v>
      </c>
    </row>
    <row r="51" spans="1:13">
      <c r="A51" t="s">
        <v>1076</v>
      </c>
      <c r="B51" s="2">
        <v>45347</v>
      </c>
      <c r="C51">
        <v>2024</v>
      </c>
      <c r="D51">
        <v>2</v>
      </c>
      <c r="E51" t="s">
        <v>25</v>
      </c>
      <c r="F51" t="s">
        <v>38</v>
      </c>
      <c r="G51" t="s">
        <v>27</v>
      </c>
      <c r="H51" t="s">
        <v>44</v>
      </c>
      <c r="I51" t="s">
        <v>1029</v>
      </c>
      <c r="J51" t="s">
        <v>464</v>
      </c>
      <c r="K51" t="s">
        <v>13</v>
      </c>
      <c r="L51" t="s">
        <v>16</v>
      </c>
      <c r="M51" t="s">
        <v>17</v>
      </c>
    </row>
    <row r="52" spans="1:13">
      <c r="A52" t="s">
        <v>1077</v>
      </c>
      <c r="B52" s="2">
        <v>45329</v>
      </c>
      <c r="C52">
        <v>2024</v>
      </c>
      <c r="D52">
        <v>2</v>
      </c>
      <c r="E52" t="s">
        <v>25</v>
      </c>
      <c r="F52" t="s">
        <v>31</v>
      </c>
      <c r="G52" t="s">
        <v>20</v>
      </c>
      <c r="H52" t="s">
        <v>12</v>
      </c>
      <c r="I52" t="s">
        <v>1026</v>
      </c>
      <c r="J52" t="s">
        <v>454</v>
      </c>
      <c r="K52" t="s">
        <v>70</v>
      </c>
      <c r="L52" t="s">
        <v>36</v>
      </c>
      <c r="M52" t="s">
        <v>10</v>
      </c>
    </row>
    <row r="53" spans="1:13">
      <c r="A53" t="s">
        <v>1078</v>
      </c>
      <c r="B53" s="2">
        <v>45343</v>
      </c>
      <c r="C53">
        <v>2024</v>
      </c>
      <c r="D53">
        <v>2</v>
      </c>
      <c r="E53" t="s">
        <v>25</v>
      </c>
      <c r="F53" t="s">
        <v>38</v>
      </c>
      <c r="G53" t="s">
        <v>74</v>
      </c>
      <c r="H53" t="s">
        <v>33</v>
      </c>
      <c r="I53" t="s">
        <v>1029</v>
      </c>
      <c r="J53" t="s">
        <v>473</v>
      </c>
      <c r="K53" t="s">
        <v>13</v>
      </c>
      <c r="L53" t="s">
        <v>36</v>
      </c>
      <c r="M53" t="s">
        <v>10</v>
      </c>
    </row>
    <row r="54" spans="1:13">
      <c r="A54" t="s">
        <v>1079</v>
      </c>
      <c r="B54" s="2">
        <v>45337</v>
      </c>
      <c r="C54">
        <v>2024</v>
      </c>
      <c r="D54">
        <v>2</v>
      </c>
      <c r="E54" t="s">
        <v>25</v>
      </c>
      <c r="F54" t="s">
        <v>31</v>
      </c>
      <c r="G54" t="s">
        <v>27</v>
      </c>
      <c r="H54" t="s">
        <v>33</v>
      </c>
      <c r="I54" t="s">
        <v>1026</v>
      </c>
      <c r="J54" t="s">
        <v>457</v>
      </c>
      <c r="K54" t="s">
        <v>70</v>
      </c>
      <c r="L54" t="s">
        <v>36</v>
      </c>
      <c r="M54" t="s">
        <v>10</v>
      </c>
    </row>
    <row r="55" spans="1:13">
      <c r="A55" t="s">
        <v>1080</v>
      </c>
      <c r="B55" s="2">
        <v>45348</v>
      </c>
      <c r="C55">
        <v>2024</v>
      </c>
      <c r="D55">
        <v>2</v>
      </c>
      <c r="E55" t="s">
        <v>25</v>
      </c>
      <c r="F55" t="s">
        <v>67</v>
      </c>
      <c r="G55" t="s">
        <v>20</v>
      </c>
      <c r="H55" t="s">
        <v>44</v>
      </c>
      <c r="I55" t="s">
        <v>1029</v>
      </c>
      <c r="J55" t="s">
        <v>438</v>
      </c>
      <c r="K55" t="s">
        <v>13</v>
      </c>
      <c r="L55" t="s">
        <v>36</v>
      </c>
      <c r="M55" t="s">
        <v>10</v>
      </c>
    </row>
    <row r="56" spans="1:13">
      <c r="A56" t="s">
        <v>1081</v>
      </c>
      <c r="B56" s="2">
        <v>45333</v>
      </c>
      <c r="C56">
        <v>2024</v>
      </c>
      <c r="D56">
        <v>2</v>
      </c>
      <c r="E56" t="s">
        <v>25</v>
      </c>
      <c r="F56" t="s">
        <v>19</v>
      </c>
      <c r="G56" t="s">
        <v>69</v>
      </c>
      <c r="H56" t="s">
        <v>44</v>
      </c>
      <c r="I56" t="s">
        <v>1023</v>
      </c>
      <c r="J56" t="s">
        <v>1024</v>
      </c>
      <c r="K56" t="s">
        <v>34</v>
      </c>
      <c r="L56" t="s">
        <v>16</v>
      </c>
      <c r="M56" t="s">
        <v>10</v>
      </c>
    </row>
    <row r="57" spans="1:13">
      <c r="A57" t="s">
        <v>1082</v>
      </c>
      <c r="B57" s="2">
        <v>45332</v>
      </c>
      <c r="C57">
        <v>2024</v>
      </c>
      <c r="D57">
        <v>2</v>
      </c>
      <c r="E57" t="s">
        <v>25</v>
      </c>
      <c r="F57" t="s">
        <v>54</v>
      </c>
      <c r="G57" t="s">
        <v>27</v>
      </c>
      <c r="H57" t="s">
        <v>44</v>
      </c>
      <c r="I57" t="s">
        <v>1029</v>
      </c>
      <c r="J57" t="s">
        <v>464</v>
      </c>
      <c r="K57" t="s">
        <v>50</v>
      </c>
      <c r="L57" t="s">
        <v>29</v>
      </c>
      <c r="M57" t="s">
        <v>17</v>
      </c>
    </row>
    <row r="58" spans="1:13">
      <c r="A58" t="s">
        <v>1083</v>
      </c>
      <c r="B58" s="2">
        <v>45343</v>
      </c>
      <c r="C58">
        <v>2024</v>
      </c>
      <c r="D58">
        <v>2</v>
      </c>
      <c r="E58" t="s">
        <v>25</v>
      </c>
      <c r="F58" t="s">
        <v>40</v>
      </c>
      <c r="G58" t="s">
        <v>94</v>
      </c>
      <c r="H58" t="s">
        <v>33</v>
      </c>
      <c r="I58" t="s">
        <v>1037</v>
      </c>
      <c r="J58" t="s">
        <v>1024</v>
      </c>
      <c r="K58" t="s">
        <v>70</v>
      </c>
      <c r="L58" t="s">
        <v>36</v>
      </c>
      <c r="M58" t="s">
        <v>10</v>
      </c>
    </row>
    <row r="59" spans="1:13">
      <c r="A59" t="s">
        <v>1084</v>
      </c>
      <c r="B59" s="2">
        <v>45358</v>
      </c>
      <c r="C59">
        <v>2024</v>
      </c>
      <c r="D59">
        <v>3</v>
      </c>
      <c r="E59" t="s">
        <v>60</v>
      </c>
      <c r="F59" t="s">
        <v>31</v>
      </c>
      <c r="G59" t="s">
        <v>27</v>
      </c>
      <c r="H59" t="s">
        <v>12</v>
      </c>
      <c r="I59" t="s">
        <v>1029</v>
      </c>
      <c r="J59" t="s">
        <v>435</v>
      </c>
      <c r="K59" t="s">
        <v>6</v>
      </c>
      <c r="L59" t="s">
        <v>16</v>
      </c>
      <c r="M59" t="s">
        <v>10</v>
      </c>
    </row>
    <row r="60" spans="1:13">
      <c r="A60" t="s">
        <v>1085</v>
      </c>
      <c r="B60" s="2">
        <v>45354</v>
      </c>
      <c r="C60">
        <v>2024</v>
      </c>
      <c r="D60">
        <v>3</v>
      </c>
      <c r="E60" t="s">
        <v>60</v>
      </c>
      <c r="F60" t="s">
        <v>26</v>
      </c>
      <c r="G60" t="s">
        <v>20</v>
      </c>
      <c r="H60" t="s">
        <v>44</v>
      </c>
      <c r="I60" t="s">
        <v>1029</v>
      </c>
      <c r="J60" t="s">
        <v>442</v>
      </c>
      <c r="K60" t="s">
        <v>6</v>
      </c>
      <c r="L60" t="s">
        <v>36</v>
      </c>
      <c r="M60" t="s">
        <v>10</v>
      </c>
    </row>
    <row r="61" spans="1:13">
      <c r="A61" t="s">
        <v>1086</v>
      </c>
      <c r="B61" s="2">
        <v>45365</v>
      </c>
      <c r="C61">
        <v>2024</v>
      </c>
      <c r="D61">
        <v>3</v>
      </c>
      <c r="E61" t="s">
        <v>60</v>
      </c>
      <c r="F61" t="s">
        <v>19</v>
      </c>
      <c r="G61" t="s">
        <v>20</v>
      </c>
      <c r="H61" t="s">
        <v>12</v>
      </c>
      <c r="I61" t="s">
        <v>1026</v>
      </c>
      <c r="J61" t="s">
        <v>519</v>
      </c>
      <c r="K61" t="s">
        <v>70</v>
      </c>
      <c r="L61" t="s">
        <v>9</v>
      </c>
      <c r="M61" t="s">
        <v>17</v>
      </c>
    </row>
    <row r="62" spans="1:13">
      <c r="A62" t="s">
        <v>1087</v>
      </c>
      <c r="B62" s="2">
        <v>45368</v>
      </c>
      <c r="C62">
        <v>2024</v>
      </c>
      <c r="D62">
        <v>3</v>
      </c>
      <c r="E62" t="s">
        <v>60</v>
      </c>
      <c r="F62" t="s">
        <v>67</v>
      </c>
      <c r="G62" t="s">
        <v>20</v>
      </c>
      <c r="H62" t="s">
        <v>12</v>
      </c>
      <c r="I62" t="s">
        <v>1029</v>
      </c>
      <c r="J62" t="s">
        <v>438</v>
      </c>
      <c r="K62" t="s">
        <v>34</v>
      </c>
      <c r="L62" t="s">
        <v>36</v>
      </c>
      <c r="M62" t="s">
        <v>17</v>
      </c>
    </row>
    <row r="63" spans="1:13">
      <c r="A63" t="s">
        <v>1088</v>
      </c>
      <c r="B63" s="2">
        <v>45376</v>
      </c>
      <c r="C63">
        <v>2024</v>
      </c>
      <c r="D63">
        <v>3</v>
      </c>
      <c r="E63" t="s">
        <v>60</v>
      </c>
      <c r="F63" t="s">
        <v>47</v>
      </c>
      <c r="G63" t="s">
        <v>74</v>
      </c>
      <c r="H63" t="s">
        <v>4</v>
      </c>
      <c r="I63" t="s">
        <v>1026</v>
      </c>
      <c r="J63" t="s">
        <v>519</v>
      </c>
      <c r="K63" t="s">
        <v>6</v>
      </c>
      <c r="L63" t="s">
        <v>16</v>
      </c>
      <c r="M63" t="s">
        <v>10</v>
      </c>
    </row>
    <row r="64" spans="1:13">
      <c r="A64" t="s">
        <v>1089</v>
      </c>
      <c r="B64" s="2">
        <v>45371</v>
      </c>
      <c r="C64">
        <v>2024</v>
      </c>
      <c r="D64">
        <v>3</v>
      </c>
      <c r="E64" t="s">
        <v>60</v>
      </c>
      <c r="F64" t="s">
        <v>2</v>
      </c>
      <c r="G64" t="s">
        <v>55</v>
      </c>
      <c r="H64" t="s">
        <v>44</v>
      </c>
      <c r="I64" t="s">
        <v>1029</v>
      </c>
      <c r="J64" t="s">
        <v>442</v>
      </c>
      <c r="K64" t="s">
        <v>70</v>
      </c>
      <c r="L64" t="s">
        <v>29</v>
      </c>
      <c r="M64" t="s">
        <v>10</v>
      </c>
    </row>
    <row r="65" spans="1:13">
      <c r="A65" t="s">
        <v>1090</v>
      </c>
      <c r="B65" s="2">
        <v>45361</v>
      </c>
      <c r="C65">
        <v>2024</v>
      </c>
      <c r="D65">
        <v>3</v>
      </c>
      <c r="E65" t="s">
        <v>60</v>
      </c>
      <c r="F65" t="s">
        <v>78</v>
      </c>
      <c r="G65" t="s">
        <v>20</v>
      </c>
      <c r="H65" t="s">
        <v>12</v>
      </c>
      <c r="I65" t="s">
        <v>1029</v>
      </c>
      <c r="J65" t="s">
        <v>452</v>
      </c>
      <c r="K65" t="s">
        <v>34</v>
      </c>
      <c r="L65" t="s">
        <v>36</v>
      </c>
      <c r="M65" t="s">
        <v>17</v>
      </c>
    </row>
    <row r="66" spans="1:13">
      <c r="A66" t="s">
        <v>1091</v>
      </c>
      <c r="B66" s="2">
        <v>45358</v>
      </c>
      <c r="C66">
        <v>2024</v>
      </c>
      <c r="D66">
        <v>3</v>
      </c>
      <c r="E66" t="s">
        <v>60</v>
      </c>
      <c r="F66" t="s">
        <v>31</v>
      </c>
      <c r="G66" t="s">
        <v>38</v>
      </c>
      <c r="H66" t="s">
        <v>12</v>
      </c>
      <c r="I66" t="s">
        <v>1029</v>
      </c>
      <c r="J66" t="s">
        <v>442</v>
      </c>
      <c r="K66" t="s">
        <v>70</v>
      </c>
      <c r="L66" t="s">
        <v>29</v>
      </c>
      <c r="M66" t="s">
        <v>10</v>
      </c>
    </row>
    <row r="67" spans="1:13">
      <c r="A67" t="s">
        <v>1092</v>
      </c>
      <c r="B67" s="2">
        <v>45361</v>
      </c>
      <c r="C67">
        <v>2024</v>
      </c>
      <c r="D67">
        <v>3</v>
      </c>
      <c r="E67" t="s">
        <v>60</v>
      </c>
      <c r="F67" t="s">
        <v>40</v>
      </c>
      <c r="G67" t="s">
        <v>32</v>
      </c>
      <c r="H67" t="s">
        <v>44</v>
      </c>
      <c r="I67" t="s">
        <v>1029</v>
      </c>
      <c r="J67" t="s">
        <v>440</v>
      </c>
      <c r="K67" t="s">
        <v>6</v>
      </c>
      <c r="L67" t="s">
        <v>9</v>
      </c>
      <c r="M67" t="s">
        <v>17</v>
      </c>
    </row>
    <row r="68" spans="1:13">
      <c r="A68" t="s">
        <v>1093</v>
      </c>
      <c r="B68" s="2">
        <v>45368</v>
      </c>
      <c r="C68">
        <v>2024</v>
      </c>
      <c r="D68">
        <v>3</v>
      </c>
      <c r="E68" t="s">
        <v>60</v>
      </c>
      <c r="F68" t="s">
        <v>2</v>
      </c>
      <c r="G68" t="s">
        <v>74</v>
      </c>
      <c r="H68" t="s">
        <v>12</v>
      </c>
      <c r="I68" t="s">
        <v>1029</v>
      </c>
      <c r="J68" t="s">
        <v>442</v>
      </c>
      <c r="K68" t="s">
        <v>13</v>
      </c>
      <c r="L68" t="s">
        <v>16</v>
      </c>
      <c r="M68" t="s">
        <v>10</v>
      </c>
    </row>
    <row r="69" spans="1:13">
      <c r="A69" t="s">
        <v>1094</v>
      </c>
      <c r="B69" s="2">
        <v>45365</v>
      </c>
      <c r="C69">
        <v>2024</v>
      </c>
      <c r="D69">
        <v>3</v>
      </c>
      <c r="E69" t="s">
        <v>60</v>
      </c>
      <c r="F69" t="s">
        <v>78</v>
      </c>
      <c r="G69" t="s">
        <v>64</v>
      </c>
      <c r="H69" t="s">
        <v>4</v>
      </c>
      <c r="I69" t="s">
        <v>1029</v>
      </c>
      <c r="J69" t="s">
        <v>84</v>
      </c>
      <c r="K69" t="s">
        <v>70</v>
      </c>
      <c r="L69" t="s">
        <v>36</v>
      </c>
      <c r="M69" t="s">
        <v>17</v>
      </c>
    </row>
    <row r="70" spans="1:13">
      <c r="A70" t="s">
        <v>1095</v>
      </c>
      <c r="B70" s="2">
        <v>45378</v>
      </c>
      <c r="C70">
        <v>2024</v>
      </c>
      <c r="D70">
        <v>3</v>
      </c>
      <c r="E70" t="s">
        <v>60</v>
      </c>
      <c r="F70" t="s">
        <v>2</v>
      </c>
      <c r="G70" t="s">
        <v>55</v>
      </c>
      <c r="H70" t="s">
        <v>4</v>
      </c>
      <c r="I70" t="s">
        <v>1029</v>
      </c>
      <c r="J70" t="s">
        <v>452</v>
      </c>
      <c r="K70" t="s">
        <v>13</v>
      </c>
      <c r="L70" t="s">
        <v>9</v>
      </c>
      <c r="M70" t="s">
        <v>10</v>
      </c>
    </row>
    <row r="71" spans="1:13">
      <c r="A71" t="s">
        <v>1096</v>
      </c>
      <c r="B71" s="2">
        <v>45362</v>
      </c>
      <c r="C71">
        <v>2024</v>
      </c>
      <c r="D71">
        <v>3</v>
      </c>
      <c r="E71" t="s">
        <v>60</v>
      </c>
      <c r="F71" t="s">
        <v>67</v>
      </c>
      <c r="G71" t="s">
        <v>32</v>
      </c>
      <c r="H71" t="s">
        <v>4</v>
      </c>
      <c r="I71" t="s">
        <v>1029</v>
      </c>
      <c r="J71" t="s">
        <v>435</v>
      </c>
      <c r="K71" t="s">
        <v>34</v>
      </c>
      <c r="L71" t="s">
        <v>9</v>
      </c>
      <c r="M71" t="s">
        <v>10</v>
      </c>
    </row>
    <row r="72" spans="1:13">
      <c r="A72" t="s">
        <v>1097</v>
      </c>
      <c r="B72" s="2">
        <v>45357</v>
      </c>
      <c r="C72">
        <v>2024</v>
      </c>
      <c r="D72">
        <v>3</v>
      </c>
      <c r="E72" t="s">
        <v>60</v>
      </c>
      <c r="F72" t="s">
        <v>38</v>
      </c>
      <c r="G72" t="s">
        <v>38</v>
      </c>
      <c r="H72" t="s">
        <v>4</v>
      </c>
      <c r="I72" t="s">
        <v>1023</v>
      </c>
      <c r="J72" t="s">
        <v>1024</v>
      </c>
      <c r="K72" t="s">
        <v>13</v>
      </c>
      <c r="L72" t="s">
        <v>29</v>
      </c>
      <c r="M72" t="s">
        <v>10</v>
      </c>
    </row>
    <row r="73" spans="1:13">
      <c r="A73" t="s">
        <v>1098</v>
      </c>
      <c r="B73" s="2">
        <v>45374</v>
      </c>
      <c r="C73">
        <v>2024</v>
      </c>
      <c r="D73">
        <v>3</v>
      </c>
      <c r="E73" t="s">
        <v>60</v>
      </c>
      <c r="F73" t="s">
        <v>40</v>
      </c>
      <c r="G73" t="s">
        <v>69</v>
      </c>
      <c r="H73" t="s">
        <v>33</v>
      </c>
      <c r="I73" t="s">
        <v>1029</v>
      </c>
      <c r="J73" t="s">
        <v>431</v>
      </c>
      <c r="K73" t="s">
        <v>34</v>
      </c>
      <c r="L73" t="s">
        <v>29</v>
      </c>
      <c r="M73" t="s">
        <v>10</v>
      </c>
    </row>
    <row r="74" spans="1:13">
      <c r="A74" t="s">
        <v>1099</v>
      </c>
      <c r="B74" s="2">
        <v>45379</v>
      </c>
      <c r="C74">
        <v>2024</v>
      </c>
      <c r="D74">
        <v>3</v>
      </c>
      <c r="E74" t="s">
        <v>60</v>
      </c>
      <c r="F74" t="s">
        <v>78</v>
      </c>
      <c r="G74" t="s">
        <v>55</v>
      </c>
      <c r="H74" t="s">
        <v>33</v>
      </c>
      <c r="I74" t="s">
        <v>1026</v>
      </c>
      <c r="J74" t="s">
        <v>466</v>
      </c>
      <c r="K74" t="s">
        <v>34</v>
      </c>
      <c r="L74" t="s">
        <v>29</v>
      </c>
      <c r="M74" t="s">
        <v>10</v>
      </c>
    </row>
    <row r="75" spans="1:13">
      <c r="A75" t="s">
        <v>1100</v>
      </c>
      <c r="B75" s="2">
        <v>45357</v>
      </c>
      <c r="C75">
        <v>2024</v>
      </c>
      <c r="D75">
        <v>3</v>
      </c>
      <c r="E75" t="s">
        <v>60</v>
      </c>
      <c r="F75" t="s">
        <v>26</v>
      </c>
      <c r="G75" t="s">
        <v>20</v>
      </c>
      <c r="H75" t="s">
        <v>44</v>
      </c>
      <c r="I75" t="s">
        <v>1029</v>
      </c>
      <c r="J75" t="s">
        <v>462</v>
      </c>
      <c r="K75" t="s">
        <v>6</v>
      </c>
      <c r="L75" t="s">
        <v>9</v>
      </c>
      <c r="M75" t="s">
        <v>10</v>
      </c>
    </row>
    <row r="76" spans="1:13">
      <c r="A76" t="s">
        <v>1101</v>
      </c>
      <c r="B76" s="2">
        <v>45366</v>
      </c>
      <c r="C76">
        <v>2024</v>
      </c>
      <c r="D76">
        <v>3</v>
      </c>
      <c r="E76" t="s">
        <v>60</v>
      </c>
      <c r="F76" t="s">
        <v>54</v>
      </c>
      <c r="G76" t="s">
        <v>38</v>
      </c>
      <c r="H76" t="s">
        <v>44</v>
      </c>
      <c r="I76" t="s">
        <v>1029</v>
      </c>
      <c r="J76" t="s">
        <v>442</v>
      </c>
      <c r="K76" t="s">
        <v>50</v>
      </c>
      <c r="L76" t="s">
        <v>16</v>
      </c>
      <c r="M76" t="s">
        <v>10</v>
      </c>
    </row>
    <row r="77" spans="1:13">
      <c r="A77" t="s">
        <v>1102</v>
      </c>
      <c r="B77" s="2">
        <v>45369</v>
      </c>
      <c r="C77">
        <v>2024</v>
      </c>
      <c r="D77">
        <v>3</v>
      </c>
      <c r="E77" t="s">
        <v>60</v>
      </c>
      <c r="F77" t="s">
        <v>54</v>
      </c>
      <c r="G77" t="s">
        <v>32</v>
      </c>
      <c r="H77" t="s">
        <v>4</v>
      </c>
      <c r="I77" t="s">
        <v>1026</v>
      </c>
      <c r="J77" t="s">
        <v>428</v>
      </c>
      <c r="K77" t="s">
        <v>70</v>
      </c>
      <c r="L77" t="s">
        <v>16</v>
      </c>
      <c r="M77" t="s">
        <v>10</v>
      </c>
    </row>
    <row r="78" spans="1:13">
      <c r="A78" t="s">
        <v>1103</v>
      </c>
      <c r="B78" s="2">
        <v>45354</v>
      </c>
      <c r="C78">
        <v>2024</v>
      </c>
      <c r="D78">
        <v>3</v>
      </c>
      <c r="E78" t="s">
        <v>60</v>
      </c>
      <c r="F78" t="s">
        <v>38</v>
      </c>
      <c r="G78" t="s">
        <v>3</v>
      </c>
      <c r="H78" t="s">
        <v>4</v>
      </c>
      <c r="I78" t="s">
        <v>1026</v>
      </c>
      <c r="J78" t="s">
        <v>457</v>
      </c>
      <c r="K78" t="s">
        <v>34</v>
      </c>
      <c r="L78" t="s">
        <v>16</v>
      </c>
      <c r="M78" t="s">
        <v>10</v>
      </c>
    </row>
    <row r="79" spans="1:13">
      <c r="A79" t="s">
        <v>1104</v>
      </c>
      <c r="B79" s="2">
        <v>45366</v>
      </c>
      <c r="C79">
        <v>2024</v>
      </c>
      <c r="D79">
        <v>3</v>
      </c>
      <c r="E79" t="s">
        <v>60</v>
      </c>
      <c r="F79" t="s">
        <v>38</v>
      </c>
      <c r="G79" t="s">
        <v>3</v>
      </c>
      <c r="H79" t="s">
        <v>4</v>
      </c>
      <c r="I79" t="s">
        <v>1026</v>
      </c>
      <c r="J79" t="s">
        <v>446</v>
      </c>
      <c r="K79" t="s">
        <v>13</v>
      </c>
      <c r="L79" t="s">
        <v>9</v>
      </c>
      <c r="M79" t="s">
        <v>10</v>
      </c>
    </row>
    <row r="80" spans="1:13">
      <c r="A80" t="s">
        <v>1105</v>
      </c>
      <c r="B80" s="2">
        <v>45368</v>
      </c>
      <c r="C80">
        <v>2024</v>
      </c>
      <c r="D80">
        <v>3</v>
      </c>
      <c r="E80" t="s">
        <v>60</v>
      </c>
      <c r="F80" t="s">
        <v>19</v>
      </c>
      <c r="G80" t="s">
        <v>20</v>
      </c>
      <c r="H80" t="s">
        <v>12</v>
      </c>
      <c r="I80" t="s">
        <v>1029</v>
      </c>
      <c r="J80" t="s">
        <v>452</v>
      </c>
      <c r="K80" t="s">
        <v>13</v>
      </c>
      <c r="L80" t="s">
        <v>29</v>
      </c>
      <c r="M80" t="s">
        <v>10</v>
      </c>
    </row>
    <row r="81" spans="1:13">
      <c r="A81" t="s">
        <v>1106</v>
      </c>
      <c r="B81" s="2">
        <v>45401</v>
      </c>
      <c r="C81">
        <v>2024</v>
      </c>
      <c r="D81">
        <v>4</v>
      </c>
      <c r="E81" t="s">
        <v>73</v>
      </c>
      <c r="F81" t="s">
        <v>38</v>
      </c>
      <c r="G81" t="s">
        <v>38</v>
      </c>
      <c r="H81" t="s">
        <v>4</v>
      </c>
      <c r="I81" t="s">
        <v>1026</v>
      </c>
      <c r="J81" t="s">
        <v>460</v>
      </c>
      <c r="K81" t="s">
        <v>6</v>
      </c>
      <c r="L81" t="s">
        <v>29</v>
      </c>
      <c r="M81" t="s">
        <v>10</v>
      </c>
    </row>
    <row r="82" spans="1:13">
      <c r="A82" t="s">
        <v>1107</v>
      </c>
      <c r="B82" s="2">
        <v>45403</v>
      </c>
      <c r="C82">
        <v>2024</v>
      </c>
      <c r="D82">
        <v>4</v>
      </c>
      <c r="E82" t="s">
        <v>73</v>
      </c>
      <c r="F82" t="s">
        <v>78</v>
      </c>
      <c r="G82" t="s">
        <v>3</v>
      </c>
      <c r="H82" t="s">
        <v>12</v>
      </c>
      <c r="I82" t="s">
        <v>1023</v>
      </c>
      <c r="J82" t="s">
        <v>1024</v>
      </c>
      <c r="K82" t="s">
        <v>13</v>
      </c>
      <c r="L82" t="s">
        <v>9</v>
      </c>
      <c r="M82" t="s">
        <v>17</v>
      </c>
    </row>
    <row r="83" spans="1:13">
      <c r="A83" t="s">
        <v>1108</v>
      </c>
      <c r="B83" s="2">
        <v>45385</v>
      </c>
      <c r="C83">
        <v>2024</v>
      </c>
      <c r="D83">
        <v>4</v>
      </c>
      <c r="E83" t="s">
        <v>73</v>
      </c>
      <c r="F83" t="s">
        <v>31</v>
      </c>
      <c r="G83" t="s">
        <v>55</v>
      </c>
      <c r="H83" t="s">
        <v>33</v>
      </c>
      <c r="I83" t="s">
        <v>1037</v>
      </c>
      <c r="J83" t="s">
        <v>1024</v>
      </c>
      <c r="K83" t="s">
        <v>50</v>
      </c>
      <c r="L83" t="s">
        <v>36</v>
      </c>
      <c r="M83" t="s">
        <v>10</v>
      </c>
    </row>
    <row r="84" spans="1:13">
      <c r="A84" t="s">
        <v>1109</v>
      </c>
      <c r="B84" s="2">
        <v>45392</v>
      </c>
      <c r="C84">
        <v>2024</v>
      </c>
      <c r="D84">
        <v>4</v>
      </c>
      <c r="E84" t="s">
        <v>73</v>
      </c>
      <c r="F84" t="s">
        <v>47</v>
      </c>
      <c r="G84" t="s">
        <v>64</v>
      </c>
      <c r="H84" t="s">
        <v>33</v>
      </c>
      <c r="I84" t="s">
        <v>1029</v>
      </c>
      <c r="J84" t="s">
        <v>462</v>
      </c>
      <c r="K84" t="s">
        <v>70</v>
      </c>
      <c r="L84" t="s">
        <v>29</v>
      </c>
      <c r="M84" t="s">
        <v>10</v>
      </c>
    </row>
    <row r="85" spans="1:13">
      <c r="A85" t="s">
        <v>1110</v>
      </c>
      <c r="B85" s="2">
        <v>45389</v>
      </c>
      <c r="C85">
        <v>2024</v>
      </c>
      <c r="D85">
        <v>4</v>
      </c>
      <c r="E85" t="s">
        <v>73</v>
      </c>
      <c r="F85" t="s">
        <v>67</v>
      </c>
      <c r="G85" t="s">
        <v>55</v>
      </c>
      <c r="H85" t="s">
        <v>12</v>
      </c>
      <c r="I85" t="s">
        <v>1037</v>
      </c>
      <c r="J85" t="s">
        <v>1024</v>
      </c>
      <c r="K85" t="s">
        <v>34</v>
      </c>
      <c r="L85" t="s">
        <v>36</v>
      </c>
      <c r="M85" t="s">
        <v>10</v>
      </c>
    </row>
    <row r="86" spans="1:13">
      <c r="A86" t="s">
        <v>1111</v>
      </c>
      <c r="B86" s="2">
        <v>45402</v>
      </c>
      <c r="C86">
        <v>2024</v>
      </c>
      <c r="D86">
        <v>4</v>
      </c>
      <c r="E86" t="s">
        <v>73</v>
      </c>
      <c r="F86" t="s">
        <v>26</v>
      </c>
      <c r="G86" t="s">
        <v>69</v>
      </c>
      <c r="H86" t="s">
        <v>33</v>
      </c>
      <c r="I86" t="s">
        <v>1026</v>
      </c>
      <c r="J86" t="s">
        <v>444</v>
      </c>
      <c r="K86" t="s">
        <v>50</v>
      </c>
      <c r="L86" t="s">
        <v>36</v>
      </c>
      <c r="M86" t="s">
        <v>10</v>
      </c>
    </row>
    <row r="87" spans="1:13">
      <c r="A87" t="s">
        <v>1112</v>
      </c>
      <c r="B87" s="2">
        <v>45404</v>
      </c>
      <c r="C87">
        <v>2024</v>
      </c>
      <c r="D87">
        <v>4</v>
      </c>
      <c r="E87" t="s">
        <v>73</v>
      </c>
      <c r="F87" t="s">
        <v>40</v>
      </c>
      <c r="G87" t="s">
        <v>55</v>
      </c>
      <c r="H87" t="s">
        <v>4</v>
      </c>
      <c r="I87" t="s">
        <v>1023</v>
      </c>
      <c r="J87" t="s">
        <v>1024</v>
      </c>
      <c r="K87" t="s">
        <v>13</v>
      </c>
      <c r="L87" t="s">
        <v>29</v>
      </c>
      <c r="M87" t="s">
        <v>17</v>
      </c>
    </row>
    <row r="88" spans="1:13">
      <c r="A88" t="s">
        <v>1113</v>
      </c>
      <c r="B88" s="2">
        <v>45407</v>
      </c>
      <c r="C88">
        <v>2024</v>
      </c>
      <c r="D88">
        <v>4</v>
      </c>
      <c r="E88" t="s">
        <v>73</v>
      </c>
      <c r="F88" t="s">
        <v>78</v>
      </c>
      <c r="G88" t="s">
        <v>94</v>
      </c>
      <c r="H88" t="s">
        <v>33</v>
      </c>
      <c r="I88" t="s">
        <v>1029</v>
      </c>
      <c r="J88" t="s">
        <v>440</v>
      </c>
      <c r="K88" t="s">
        <v>34</v>
      </c>
      <c r="L88" t="s">
        <v>36</v>
      </c>
      <c r="M88" t="s">
        <v>10</v>
      </c>
    </row>
    <row r="89" spans="1:13">
      <c r="A89" t="s">
        <v>1114</v>
      </c>
      <c r="B89" s="2">
        <v>45403</v>
      </c>
      <c r="C89">
        <v>2024</v>
      </c>
      <c r="D89">
        <v>4</v>
      </c>
      <c r="E89" t="s">
        <v>73</v>
      </c>
      <c r="F89" t="s">
        <v>47</v>
      </c>
      <c r="G89" t="s">
        <v>20</v>
      </c>
      <c r="H89" t="s">
        <v>4</v>
      </c>
      <c r="I89" t="s">
        <v>1037</v>
      </c>
      <c r="J89" t="s">
        <v>1024</v>
      </c>
      <c r="K89" t="s">
        <v>34</v>
      </c>
      <c r="L89" t="s">
        <v>16</v>
      </c>
      <c r="M89" t="s">
        <v>10</v>
      </c>
    </row>
    <row r="90" spans="1:13">
      <c r="A90" t="s">
        <v>1115</v>
      </c>
      <c r="B90" s="2">
        <v>45409</v>
      </c>
      <c r="C90">
        <v>2024</v>
      </c>
      <c r="D90">
        <v>4</v>
      </c>
      <c r="E90" t="s">
        <v>73</v>
      </c>
      <c r="F90" t="s">
        <v>67</v>
      </c>
      <c r="G90" t="s">
        <v>69</v>
      </c>
      <c r="H90" t="s">
        <v>33</v>
      </c>
      <c r="I90" t="s">
        <v>1029</v>
      </c>
      <c r="J90" t="s">
        <v>452</v>
      </c>
      <c r="K90" t="s">
        <v>34</v>
      </c>
      <c r="L90" t="s">
        <v>29</v>
      </c>
      <c r="M90" t="s">
        <v>10</v>
      </c>
    </row>
    <row r="91" spans="1:13">
      <c r="A91" t="s">
        <v>1116</v>
      </c>
      <c r="B91" s="2">
        <v>45383</v>
      </c>
      <c r="C91">
        <v>2024</v>
      </c>
      <c r="D91">
        <v>4</v>
      </c>
      <c r="E91" t="s">
        <v>73</v>
      </c>
      <c r="F91" t="s">
        <v>54</v>
      </c>
      <c r="G91" t="s">
        <v>20</v>
      </c>
      <c r="H91" t="s">
        <v>44</v>
      </c>
      <c r="I91" t="s">
        <v>1026</v>
      </c>
      <c r="J91" t="s">
        <v>519</v>
      </c>
      <c r="K91" t="s">
        <v>34</v>
      </c>
      <c r="L91" t="s">
        <v>36</v>
      </c>
      <c r="M91" t="s">
        <v>10</v>
      </c>
    </row>
    <row r="92" spans="1:13">
      <c r="A92" t="s">
        <v>1117</v>
      </c>
      <c r="B92" s="2">
        <v>45400</v>
      </c>
      <c r="C92">
        <v>2024</v>
      </c>
      <c r="D92">
        <v>4</v>
      </c>
      <c r="E92" t="s">
        <v>73</v>
      </c>
      <c r="F92" t="s">
        <v>38</v>
      </c>
      <c r="G92" t="s">
        <v>61</v>
      </c>
      <c r="H92" t="s">
        <v>44</v>
      </c>
      <c r="I92" t="s">
        <v>1029</v>
      </c>
      <c r="J92" t="s">
        <v>435</v>
      </c>
      <c r="K92" t="s">
        <v>50</v>
      </c>
      <c r="L92" t="s">
        <v>29</v>
      </c>
      <c r="M92" t="s">
        <v>17</v>
      </c>
    </row>
    <row r="93" spans="1:13">
      <c r="A93" t="s">
        <v>1118</v>
      </c>
      <c r="B93" s="2">
        <v>45396</v>
      </c>
      <c r="C93">
        <v>2024</v>
      </c>
      <c r="D93">
        <v>4</v>
      </c>
      <c r="E93" t="s">
        <v>73</v>
      </c>
      <c r="F93" t="s">
        <v>26</v>
      </c>
      <c r="G93" t="s">
        <v>27</v>
      </c>
      <c r="H93" t="s">
        <v>44</v>
      </c>
      <c r="I93" t="s">
        <v>1026</v>
      </c>
      <c r="J93" t="s">
        <v>519</v>
      </c>
      <c r="K93" t="s">
        <v>50</v>
      </c>
      <c r="L93" t="s">
        <v>29</v>
      </c>
      <c r="M93" t="s">
        <v>10</v>
      </c>
    </row>
    <row r="94" spans="1:13">
      <c r="A94" t="s">
        <v>1119</v>
      </c>
      <c r="B94" s="2">
        <v>45386</v>
      </c>
      <c r="C94">
        <v>2024</v>
      </c>
      <c r="D94">
        <v>4</v>
      </c>
      <c r="E94" t="s">
        <v>73</v>
      </c>
      <c r="F94" t="s">
        <v>40</v>
      </c>
      <c r="G94" t="s">
        <v>94</v>
      </c>
      <c r="H94" t="s">
        <v>4</v>
      </c>
      <c r="I94" t="s">
        <v>1026</v>
      </c>
      <c r="J94" t="s">
        <v>460</v>
      </c>
      <c r="K94" t="s">
        <v>34</v>
      </c>
      <c r="L94" t="s">
        <v>36</v>
      </c>
      <c r="M94" t="s">
        <v>10</v>
      </c>
    </row>
    <row r="95" spans="1:13">
      <c r="A95" t="s">
        <v>1120</v>
      </c>
      <c r="B95" s="2">
        <v>45403</v>
      </c>
      <c r="C95">
        <v>2024</v>
      </c>
      <c r="D95">
        <v>4</v>
      </c>
      <c r="E95" t="s">
        <v>73</v>
      </c>
      <c r="F95" t="s">
        <v>38</v>
      </c>
      <c r="G95" t="s">
        <v>32</v>
      </c>
      <c r="H95" t="s">
        <v>44</v>
      </c>
      <c r="I95" t="s">
        <v>1037</v>
      </c>
      <c r="J95" t="s">
        <v>1024</v>
      </c>
      <c r="K95" t="s">
        <v>50</v>
      </c>
      <c r="L95" t="s">
        <v>9</v>
      </c>
      <c r="M95" t="s">
        <v>10</v>
      </c>
    </row>
    <row r="96" spans="1:13">
      <c r="A96" t="s">
        <v>1121</v>
      </c>
      <c r="B96" s="2">
        <v>45396</v>
      </c>
      <c r="C96">
        <v>2024</v>
      </c>
      <c r="D96">
        <v>4</v>
      </c>
      <c r="E96" t="s">
        <v>73</v>
      </c>
      <c r="F96" t="s">
        <v>19</v>
      </c>
      <c r="G96" t="s">
        <v>64</v>
      </c>
      <c r="H96" t="s">
        <v>33</v>
      </c>
      <c r="I96" t="s">
        <v>1023</v>
      </c>
      <c r="J96" t="s">
        <v>1024</v>
      </c>
      <c r="K96" t="s">
        <v>70</v>
      </c>
      <c r="L96" t="s">
        <v>16</v>
      </c>
      <c r="M96" t="s">
        <v>17</v>
      </c>
    </row>
    <row r="97" spans="1:13">
      <c r="A97" t="s">
        <v>1122</v>
      </c>
      <c r="B97" s="2">
        <v>45409</v>
      </c>
      <c r="C97">
        <v>2024</v>
      </c>
      <c r="D97">
        <v>4</v>
      </c>
      <c r="E97" t="s">
        <v>73</v>
      </c>
      <c r="F97" t="s">
        <v>40</v>
      </c>
      <c r="G97" t="s">
        <v>55</v>
      </c>
      <c r="H97" t="s">
        <v>33</v>
      </c>
      <c r="I97" t="s">
        <v>1037</v>
      </c>
      <c r="J97" t="s">
        <v>1024</v>
      </c>
      <c r="K97" t="s">
        <v>13</v>
      </c>
      <c r="L97" t="s">
        <v>29</v>
      </c>
      <c r="M97" t="s">
        <v>10</v>
      </c>
    </row>
    <row r="98" spans="1:13">
      <c r="A98" t="s">
        <v>1123</v>
      </c>
      <c r="B98" s="2">
        <v>45388</v>
      </c>
      <c r="C98">
        <v>2024</v>
      </c>
      <c r="D98">
        <v>4</v>
      </c>
      <c r="E98" t="s">
        <v>73</v>
      </c>
      <c r="F98" t="s">
        <v>78</v>
      </c>
      <c r="G98" t="s">
        <v>38</v>
      </c>
      <c r="H98" t="s">
        <v>44</v>
      </c>
      <c r="I98" t="s">
        <v>1026</v>
      </c>
      <c r="J98" t="s">
        <v>470</v>
      </c>
      <c r="K98" t="s">
        <v>13</v>
      </c>
      <c r="L98" t="s">
        <v>36</v>
      </c>
      <c r="M98" t="s">
        <v>10</v>
      </c>
    </row>
    <row r="99" spans="1:13">
      <c r="A99" t="s">
        <v>1124</v>
      </c>
      <c r="B99" s="2">
        <v>45402</v>
      </c>
      <c r="C99">
        <v>2024</v>
      </c>
      <c r="D99">
        <v>4</v>
      </c>
      <c r="E99" t="s">
        <v>73</v>
      </c>
      <c r="F99" t="s">
        <v>78</v>
      </c>
      <c r="G99" t="s">
        <v>69</v>
      </c>
      <c r="H99" t="s">
        <v>33</v>
      </c>
      <c r="I99" t="s">
        <v>1037</v>
      </c>
      <c r="J99" t="s">
        <v>1024</v>
      </c>
      <c r="K99" t="s">
        <v>50</v>
      </c>
      <c r="L99" t="s">
        <v>16</v>
      </c>
      <c r="M99" t="s">
        <v>10</v>
      </c>
    </row>
    <row r="100" spans="1:13">
      <c r="A100" t="s">
        <v>1125</v>
      </c>
      <c r="B100" s="2">
        <v>45431</v>
      </c>
      <c r="C100">
        <v>2024</v>
      </c>
      <c r="D100">
        <v>5</v>
      </c>
      <c r="E100" t="s">
        <v>83</v>
      </c>
      <c r="F100" t="s">
        <v>78</v>
      </c>
      <c r="G100" t="s">
        <v>3</v>
      </c>
      <c r="H100" t="s">
        <v>4</v>
      </c>
      <c r="I100" t="s">
        <v>1026</v>
      </c>
      <c r="J100" t="s">
        <v>519</v>
      </c>
      <c r="K100" t="s">
        <v>13</v>
      </c>
      <c r="L100" t="s">
        <v>9</v>
      </c>
      <c r="M100" t="s">
        <v>10</v>
      </c>
    </row>
    <row r="101" spans="1:13">
      <c r="A101" t="s">
        <v>1126</v>
      </c>
      <c r="B101" s="2">
        <v>45440</v>
      </c>
      <c r="C101">
        <v>2024</v>
      </c>
      <c r="D101">
        <v>5</v>
      </c>
      <c r="E101" t="s">
        <v>83</v>
      </c>
      <c r="F101" t="s">
        <v>67</v>
      </c>
      <c r="G101" t="s">
        <v>27</v>
      </c>
      <c r="H101" t="s">
        <v>44</v>
      </c>
      <c r="I101" t="s">
        <v>1029</v>
      </c>
      <c r="J101" t="s">
        <v>442</v>
      </c>
      <c r="K101" t="s">
        <v>70</v>
      </c>
      <c r="L101" t="s">
        <v>29</v>
      </c>
      <c r="M101" t="s">
        <v>17</v>
      </c>
    </row>
    <row r="102" spans="1:13">
      <c r="A102" t="s">
        <v>1127</v>
      </c>
      <c r="B102" s="2">
        <v>45415</v>
      </c>
      <c r="C102">
        <v>2024</v>
      </c>
      <c r="D102">
        <v>5</v>
      </c>
      <c r="E102" t="s">
        <v>83</v>
      </c>
      <c r="F102" t="s">
        <v>78</v>
      </c>
      <c r="G102" t="s">
        <v>38</v>
      </c>
      <c r="H102" t="s">
        <v>33</v>
      </c>
      <c r="I102" t="s">
        <v>1023</v>
      </c>
      <c r="J102" t="s">
        <v>1024</v>
      </c>
      <c r="K102" t="s">
        <v>13</v>
      </c>
      <c r="L102" t="s">
        <v>9</v>
      </c>
      <c r="M102" t="s">
        <v>10</v>
      </c>
    </row>
    <row r="103" spans="1:13">
      <c r="A103" t="s">
        <v>1128</v>
      </c>
      <c r="B103" s="2">
        <v>45438</v>
      </c>
      <c r="C103">
        <v>2024</v>
      </c>
      <c r="D103">
        <v>5</v>
      </c>
      <c r="E103" t="s">
        <v>83</v>
      </c>
      <c r="F103" t="s">
        <v>38</v>
      </c>
      <c r="G103" t="s">
        <v>48</v>
      </c>
      <c r="H103" t="s">
        <v>33</v>
      </c>
      <c r="I103" t="s">
        <v>1026</v>
      </c>
      <c r="J103" t="s">
        <v>519</v>
      </c>
      <c r="K103" t="s">
        <v>50</v>
      </c>
      <c r="L103" t="s">
        <v>16</v>
      </c>
      <c r="M103" t="s">
        <v>10</v>
      </c>
    </row>
    <row r="104" spans="1:13">
      <c r="A104" t="s">
        <v>1129</v>
      </c>
      <c r="B104" s="2">
        <v>45415</v>
      </c>
      <c r="C104">
        <v>2024</v>
      </c>
      <c r="D104">
        <v>5</v>
      </c>
      <c r="E104" t="s">
        <v>83</v>
      </c>
      <c r="F104" t="s">
        <v>26</v>
      </c>
      <c r="G104" t="s">
        <v>48</v>
      </c>
      <c r="H104" t="s">
        <v>44</v>
      </c>
      <c r="I104" t="s">
        <v>1026</v>
      </c>
      <c r="J104" t="s">
        <v>519</v>
      </c>
      <c r="K104" t="s">
        <v>13</v>
      </c>
      <c r="L104" t="s">
        <v>9</v>
      </c>
      <c r="M104" t="s">
        <v>10</v>
      </c>
    </row>
    <row r="105" spans="1:13">
      <c r="A105" t="s">
        <v>1130</v>
      </c>
      <c r="B105" s="2">
        <v>45415</v>
      </c>
      <c r="C105">
        <v>2024</v>
      </c>
      <c r="D105">
        <v>5</v>
      </c>
      <c r="E105" t="s">
        <v>83</v>
      </c>
      <c r="F105" t="s">
        <v>67</v>
      </c>
      <c r="G105" t="s">
        <v>61</v>
      </c>
      <c r="H105" t="s">
        <v>4</v>
      </c>
      <c r="I105" t="s">
        <v>1026</v>
      </c>
      <c r="J105" t="s">
        <v>446</v>
      </c>
      <c r="K105" t="s">
        <v>70</v>
      </c>
      <c r="L105" t="s">
        <v>16</v>
      </c>
      <c r="M105" t="s">
        <v>10</v>
      </c>
    </row>
    <row r="106" spans="1:13">
      <c r="A106" t="s">
        <v>1131</v>
      </c>
      <c r="B106" s="2">
        <v>45415</v>
      </c>
      <c r="C106">
        <v>2024</v>
      </c>
      <c r="D106">
        <v>5</v>
      </c>
      <c r="E106" t="s">
        <v>83</v>
      </c>
      <c r="F106" t="s">
        <v>26</v>
      </c>
      <c r="G106" t="s">
        <v>27</v>
      </c>
      <c r="H106" t="s">
        <v>4</v>
      </c>
      <c r="I106" t="s">
        <v>1023</v>
      </c>
      <c r="J106" t="s">
        <v>1024</v>
      </c>
      <c r="K106" t="s">
        <v>13</v>
      </c>
      <c r="L106" t="s">
        <v>16</v>
      </c>
      <c r="M106" t="s">
        <v>17</v>
      </c>
    </row>
    <row r="107" spans="1:13">
      <c r="A107" t="s">
        <v>1132</v>
      </c>
      <c r="B107" s="2">
        <v>45421</v>
      </c>
      <c r="C107">
        <v>2024</v>
      </c>
      <c r="D107">
        <v>5</v>
      </c>
      <c r="E107" t="s">
        <v>83</v>
      </c>
      <c r="F107" t="s">
        <v>67</v>
      </c>
      <c r="G107" t="s">
        <v>38</v>
      </c>
      <c r="H107" t="s">
        <v>12</v>
      </c>
      <c r="I107" t="s">
        <v>1029</v>
      </c>
      <c r="J107" t="s">
        <v>438</v>
      </c>
      <c r="K107" t="s">
        <v>13</v>
      </c>
      <c r="L107" t="s">
        <v>16</v>
      </c>
      <c r="M107" t="s">
        <v>10</v>
      </c>
    </row>
    <row r="108" spans="1:13">
      <c r="A108" t="s">
        <v>1133</v>
      </c>
      <c r="B108" s="2">
        <v>45416</v>
      </c>
      <c r="C108">
        <v>2024</v>
      </c>
      <c r="D108">
        <v>5</v>
      </c>
      <c r="E108" t="s">
        <v>83</v>
      </c>
      <c r="F108" t="s">
        <v>19</v>
      </c>
      <c r="G108" t="s">
        <v>94</v>
      </c>
      <c r="H108" t="s">
        <v>4</v>
      </c>
      <c r="I108" t="s">
        <v>1037</v>
      </c>
      <c r="J108" t="s">
        <v>1024</v>
      </c>
      <c r="K108" t="s">
        <v>50</v>
      </c>
      <c r="L108" t="s">
        <v>16</v>
      </c>
      <c r="M108" t="s">
        <v>10</v>
      </c>
    </row>
    <row r="109" spans="1:13">
      <c r="A109" t="s">
        <v>1134</v>
      </c>
      <c r="B109" s="2">
        <v>45425</v>
      </c>
      <c r="C109">
        <v>2024</v>
      </c>
      <c r="D109">
        <v>5</v>
      </c>
      <c r="E109" t="s">
        <v>83</v>
      </c>
      <c r="F109" t="s">
        <v>54</v>
      </c>
      <c r="G109" t="s">
        <v>48</v>
      </c>
      <c r="H109" t="s">
        <v>4</v>
      </c>
      <c r="I109" t="s">
        <v>1037</v>
      </c>
      <c r="J109" t="s">
        <v>1024</v>
      </c>
      <c r="K109" t="s">
        <v>6</v>
      </c>
      <c r="L109" t="s">
        <v>29</v>
      </c>
      <c r="M109" t="s">
        <v>10</v>
      </c>
    </row>
    <row r="110" spans="1:13">
      <c r="A110" t="s">
        <v>1135</v>
      </c>
      <c r="B110" s="2">
        <v>45422</v>
      </c>
      <c r="C110">
        <v>2024</v>
      </c>
      <c r="D110">
        <v>5</v>
      </c>
      <c r="E110" t="s">
        <v>83</v>
      </c>
      <c r="F110" t="s">
        <v>31</v>
      </c>
      <c r="G110" t="s">
        <v>32</v>
      </c>
      <c r="H110" t="s">
        <v>44</v>
      </c>
      <c r="I110" t="s">
        <v>1029</v>
      </c>
      <c r="J110" t="s">
        <v>435</v>
      </c>
      <c r="K110" t="s">
        <v>50</v>
      </c>
      <c r="L110" t="s">
        <v>9</v>
      </c>
      <c r="M110" t="s">
        <v>10</v>
      </c>
    </row>
    <row r="111" spans="1:13">
      <c r="A111" t="s">
        <v>1136</v>
      </c>
      <c r="B111" s="2">
        <v>45417</v>
      </c>
      <c r="C111">
        <v>2024</v>
      </c>
      <c r="D111">
        <v>5</v>
      </c>
      <c r="E111" t="s">
        <v>83</v>
      </c>
      <c r="F111" t="s">
        <v>38</v>
      </c>
      <c r="G111" t="s">
        <v>61</v>
      </c>
      <c r="H111" t="s">
        <v>33</v>
      </c>
      <c r="I111" t="s">
        <v>1026</v>
      </c>
      <c r="J111" t="s">
        <v>457</v>
      </c>
      <c r="K111" t="s">
        <v>13</v>
      </c>
      <c r="L111" t="s">
        <v>9</v>
      </c>
      <c r="M111" t="s">
        <v>10</v>
      </c>
    </row>
    <row r="112" spans="1:13">
      <c r="A112" t="s">
        <v>1137</v>
      </c>
      <c r="B112" s="2">
        <v>45435</v>
      </c>
      <c r="C112">
        <v>2024</v>
      </c>
      <c r="D112">
        <v>5</v>
      </c>
      <c r="E112" t="s">
        <v>83</v>
      </c>
      <c r="F112" t="s">
        <v>2</v>
      </c>
      <c r="G112" t="s">
        <v>55</v>
      </c>
      <c r="H112" t="s">
        <v>33</v>
      </c>
      <c r="I112" t="s">
        <v>1026</v>
      </c>
      <c r="J112" t="s">
        <v>446</v>
      </c>
      <c r="K112" t="s">
        <v>6</v>
      </c>
      <c r="L112" t="s">
        <v>9</v>
      </c>
      <c r="M112" t="s">
        <v>10</v>
      </c>
    </row>
    <row r="113" spans="1:13">
      <c r="A113" t="s">
        <v>1138</v>
      </c>
      <c r="B113" s="2">
        <v>45418</v>
      </c>
      <c r="C113">
        <v>2024</v>
      </c>
      <c r="D113">
        <v>5</v>
      </c>
      <c r="E113" t="s">
        <v>83</v>
      </c>
      <c r="F113" t="s">
        <v>31</v>
      </c>
      <c r="G113" t="s">
        <v>55</v>
      </c>
      <c r="H113" t="s">
        <v>33</v>
      </c>
      <c r="I113" t="s">
        <v>1037</v>
      </c>
      <c r="J113" t="s">
        <v>1024</v>
      </c>
      <c r="K113" t="s">
        <v>34</v>
      </c>
      <c r="L113" t="s">
        <v>36</v>
      </c>
      <c r="M113" t="s">
        <v>10</v>
      </c>
    </row>
    <row r="114" spans="1:13">
      <c r="A114" t="s">
        <v>1139</v>
      </c>
      <c r="B114" s="2">
        <v>45421</v>
      </c>
      <c r="C114">
        <v>2024</v>
      </c>
      <c r="D114">
        <v>5</v>
      </c>
      <c r="E114" t="s">
        <v>83</v>
      </c>
      <c r="F114" t="s">
        <v>31</v>
      </c>
      <c r="G114" t="s">
        <v>74</v>
      </c>
      <c r="H114" t="s">
        <v>4</v>
      </c>
      <c r="I114" t="s">
        <v>1037</v>
      </c>
      <c r="J114" t="s">
        <v>1024</v>
      </c>
      <c r="K114" t="s">
        <v>13</v>
      </c>
      <c r="L114" t="s">
        <v>29</v>
      </c>
      <c r="M114" t="s">
        <v>10</v>
      </c>
    </row>
    <row r="115" spans="1:13">
      <c r="A115" t="s">
        <v>1140</v>
      </c>
      <c r="B115" s="2">
        <v>45416</v>
      </c>
      <c r="C115">
        <v>2024</v>
      </c>
      <c r="D115">
        <v>5</v>
      </c>
      <c r="E115" t="s">
        <v>83</v>
      </c>
      <c r="F115" t="s">
        <v>31</v>
      </c>
      <c r="G115" t="s">
        <v>3</v>
      </c>
      <c r="H115" t="s">
        <v>44</v>
      </c>
      <c r="I115" t="s">
        <v>1026</v>
      </c>
      <c r="J115" t="s">
        <v>470</v>
      </c>
      <c r="K115" t="s">
        <v>34</v>
      </c>
      <c r="L115" t="s">
        <v>36</v>
      </c>
      <c r="M115" t="s">
        <v>10</v>
      </c>
    </row>
    <row r="116" spans="1:13">
      <c r="A116" t="s">
        <v>1141</v>
      </c>
      <c r="B116" s="2">
        <v>45435</v>
      </c>
      <c r="C116">
        <v>2024</v>
      </c>
      <c r="D116">
        <v>5</v>
      </c>
      <c r="E116" t="s">
        <v>83</v>
      </c>
      <c r="F116" t="s">
        <v>26</v>
      </c>
      <c r="G116" t="s">
        <v>69</v>
      </c>
      <c r="H116" t="s">
        <v>44</v>
      </c>
      <c r="I116" t="s">
        <v>1023</v>
      </c>
      <c r="J116" t="s">
        <v>1024</v>
      </c>
      <c r="K116" t="s">
        <v>34</v>
      </c>
      <c r="L116" t="s">
        <v>29</v>
      </c>
      <c r="M116" t="s">
        <v>10</v>
      </c>
    </row>
    <row r="117" spans="1:13">
      <c r="A117" t="s">
        <v>1142</v>
      </c>
      <c r="B117" s="2">
        <v>45434</v>
      </c>
      <c r="C117">
        <v>2024</v>
      </c>
      <c r="D117">
        <v>5</v>
      </c>
      <c r="E117" t="s">
        <v>83</v>
      </c>
      <c r="F117" t="s">
        <v>47</v>
      </c>
      <c r="G117" t="s">
        <v>20</v>
      </c>
      <c r="H117" t="s">
        <v>12</v>
      </c>
      <c r="I117" t="s">
        <v>1029</v>
      </c>
      <c r="J117" t="s">
        <v>84</v>
      </c>
      <c r="K117" t="s">
        <v>13</v>
      </c>
      <c r="L117" t="s">
        <v>29</v>
      </c>
      <c r="M117" t="s">
        <v>10</v>
      </c>
    </row>
    <row r="118" spans="1:13">
      <c r="A118" t="s">
        <v>1143</v>
      </c>
      <c r="B118" s="2">
        <v>45432</v>
      </c>
      <c r="C118">
        <v>2024</v>
      </c>
      <c r="D118">
        <v>5</v>
      </c>
      <c r="E118" t="s">
        <v>83</v>
      </c>
      <c r="F118" t="s">
        <v>31</v>
      </c>
      <c r="G118" t="s">
        <v>20</v>
      </c>
      <c r="H118" t="s">
        <v>12</v>
      </c>
      <c r="I118" t="s">
        <v>1026</v>
      </c>
      <c r="J118" t="s">
        <v>428</v>
      </c>
      <c r="K118" t="s">
        <v>50</v>
      </c>
      <c r="L118" t="s">
        <v>9</v>
      </c>
      <c r="M118" t="s">
        <v>10</v>
      </c>
    </row>
    <row r="119" spans="1:13">
      <c r="A119" t="s">
        <v>1144</v>
      </c>
      <c r="B119" s="2">
        <v>45437</v>
      </c>
      <c r="C119">
        <v>2024</v>
      </c>
      <c r="D119">
        <v>5</v>
      </c>
      <c r="E119" t="s">
        <v>83</v>
      </c>
      <c r="F119" t="s">
        <v>78</v>
      </c>
      <c r="G119" t="s">
        <v>3</v>
      </c>
      <c r="H119" t="s">
        <v>44</v>
      </c>
      <c r="I119" t="s">
        <v>1023</v>
      </c>
      <c r="J119" t="s">
        <v>1024</v>
      </c>
      <c r="K119" t="s">
        <v>50</v>
      </c>
      <c r="L119" t="s">
        <v>36</v>
      </c>
      <c r="M119" t="s">
        <v>10</v>
      </c>
    </row>
    <row r="120" spans="1:13">
      <c r="A120" t="s">
        <v>1145</v>
      </c>
      <c r="B120" s="2">
        <v>45440</v>
      </c>
      <c r="C120">
        <v>2024</v>
      </c>
      <c r="D120">
        <v>5</v>
      </c>
      <c r="E120" t="s">
        <v>83</v>
      </c>
      <c r="F120" t="s">
        <v>47</v>
      </c>
      <c r="G120" t="s">
        <v>64</v>
      </c>
      <c r="H120" t="s">
        <v>4</v>
      </c>
      <c r="I120" t="s">
        <v>1029</v>
      </c>
      <c r="J120" t="s">
        <v>435</v>
      </c>
      <c r="K120" t="s">
        <v>50</v>
      </c>
      <c r="L120" t="s">
        <v>29</v>
      </c>
      <c r="M120" t="s">
        <v>10</v>
      </c>
    </row>
    <row r="121" spans="1:13">
      <c r="A121" t="s">
        <v>1146</v>
      </c>
      <c r="B121" s="2">
        <v>45415</v>
      </c>
      <c r="C121">
        <v>2024</v>
      </c>
      <c r="D121">
        <v>5</v>
      </c>
      <c r="E121" t="s">
        <v>83</v>
      </c>
      <c r="F121" t="s">
        <v>38</v>
      </c>
      <c r="G121" t="s">
        <v>48</v>
      </c>
      <c r="H121" t="s">
        <v>4</v>
      </c>
      <c r="I121" t="s">
        <v>1023</v>
      </c>
      <c r="J121" t="s">
        <v>1024</v>
      </c>
      <c r="K121" t="s">
        <v>6</v>
      </c>
      <c r="L121" t="s">
        <v>16</v>
      </c>
      <c r="M121" t="s">
        <v>17</v>
      </c>
    </row>
    <row r="122" spans="1:13">
      <c r="A122" t="s">
        <v>1147</v>
      </c>
      <c r="B122" s="2">
        <v>45414</v>
      </c>
      <c r="C122">
        <v>2024</v>
      </c>
      <c r="D122">
        <v>5</v>
      </c>
      <c r="E122" t="s">
        <v>83</v>
      </c>
      <c r="F122" t="s">
        <v>19</v>
      </c>
      <c r="G122" t="s">
        <v>61</v>
      </c>
      <c r="H122" t="s">
        <v>4</v>
      </c>
      <c r="I122" t="s">
        <v>1026</v>
      </c>
      <c r="J122" t="s">
        <v>466</v>
      </c>
      <c r="K122" t="s">
        <v>6</v>
      </c>
      <c r="L122" t="s">
        <v>9</v>
      </c>
      <c r="M122" t="s">
        <v>10</v>
      </c>
    </row>
    <row r="123" spans="1:13">
      <c r="A123" t="s">
        <v>1148</v>
      </c>
      <c r="B123" s="2">
        <v>45422</v>
      </c>
      <c r="C123">
        <v>2024</v>
      </c>
      <c r="D123">
        <v>5</v>
      </c>
      <c r="E123" t="s">
        <v>83</v>
      </c>
      <c r="F123" t="s">
        <v>2</v>
      </c>
      <c r="G123" t="s">
        <v>74</v>
      </c>
      <c r="H123" t="s">
        <v>33</v>
      </c>
      <c r="I123" t="s">
        <v>1026</v>
      </c>
      <c r="J123" t="s">
        <v>428</v>
      </c>
      <c r="K123" t="s">
        <v>70</v>
      </c>
      <c r="L123" t="s">
        <v>9</v>
      </c>
      <c r="M123" t="s">
        <v>10</v>
      </c>
    </row>
    <row r="124" spans="1:13">
      <c r="A124" t="s">
        <v>1149</v>
      </c>
      <c r="B124" s="2">
        <v>45434</v>
      </c>
      <c r="C124">
        <v>2024</v>
      </c>
      <c r="D124">
        <v>5</v>
      </c>
      <c r="E124" t="s">
        <v>83</v>
      </c>
      <c r="F124" t="s">
        <v>54</v>
      </c>
      <c r="G124" t="s">
        <v>69</v>
      </c>
      <c r="H124" t="s">
        <v>33</v>
      </c>
      <c r="I124" t="s">
        <v>1026</v>
      </c>
      <c r="J124" t="s">
        <v>460</v>
      </c>
      <c r="K124" t="s">
        <v>34</v>
      </c>
      <c r="L124" t="s">
        <v>29</v>
      </c>
      <c r="M124" t="s">
        <v>10</v>
      </c>
    </row>
    <row r="125" spans="1:13">
      <c r="A125" t="s">
        <v>1150</v>
      </c>
      <c r="B125" s="2">
        <v>45422</v>
      </c>
      <c r="C125">
        <v>2024</v>
      </c>
      <c r="D125">
        <v>5</v>
      </c>
      <c r="E125" t="s">
        <v>83</v>
      </c>
      <c r="F125" t="s">
        <v>54</v>
      </c>
      <c r="G125" t="s">
        <v>32</v>
      </c>
      <c r="H125" t="s">
        <v>4</v>
      </c>
      <c r="I125" t="s">
        <v>1026</v>
      </c>
      <c r="J125" t="s">
        <v>494</v>
      </c>
      <c r="K125" t="s">
        <v>70</v>
      </c>
      <c r="L125" t="s">
        <v>36</v>
      </c>
      <c r="M125" t="s">
        <v>17</v>
      </c>
    </row>
    <row r="126" spans="1:13">
      <c r="A126" t="s">
        <v>1151</v>
      </c>
      <c r="B126" s="2">
        <v>45433</v>
      </c>
      <c r="C126">
        <v>2024</v>
      </c>
      <c r="D126">
        <v>5</v>
      </c>
      <c r="E126" t="s">
        <v>83</v>
      </c>
      <c r="F126" t="s">
        <v>47</v>
      </c>
      <c r="G126" t="s">
        <v>55</v>
      </c>
      <c r="H126" t="s">
        <v>12</v>
      </c>
      <c r="I126" t="s">
        <v>1029</v>
      </c>
      <c r="J126" t="s">
        <v>464</v>
      </c>
      <c r="K126" t="s">
        <v>6</v>
      </c>
      <c r="L126" t="s">
        <v>9</v>
      </c>
      <c r="M126" t="s">
        <v>17</v>
      </c>
    </row>
    <row r="127" spans="1:13">
      <c r="A127" t="s">
        <v>1152</v>
      </c>
      <c r="B127" s="2">
        <v>45421</v>
      </c>
      <c r="C127">
        <v>2024</v>
      </c>
      <c r="D127">
        <v>5</v>
      </c>
      <c r="E127" t="s">
        <v>83</v>
      </c>
      <c r="F127" t="s">
        <v>67</v>
      </c>
      <c r="G127" t="s">
        <v>48</v>
      </c>
      <c r="H127" t="s">
        <v>44</v>
      </c>
      <c r="I127" t="s">
        <v>1023</v>
      </c>
      <c r="J127" t="s">
        <v>1024</v>
      </c>
      <c r="K127" t="s">
        <v>50</v>
      </c>
      <c r="L127" t="s">
        <v>29</v>
      </c>
      <c r="M127" t="s">
        <v>10</v>
      </c>
    </row>
    <row r="128" spans="1:13">
      <c r="A128" t="s">
        <v>1153</v>
      </c>
      <c r="B128" s="2">
        <v>45431</v>
      </c>
      <c r="C128">
        <v>2024</v>
      </c>
      <c r="D128">
        <v>5</v>
      </c>
      <c r="E128" t="s">
        <v>83</v>
      </c>
      <c r="F128" t="s">
        <v>40</v>
      </c>
      <c r="G128" t="s">
        <v>69</v>
      </c>
      <c r="H128" t="s">
        <v>33</v>
      </c>
      <c r="I128" t="s">
        <v>1026</v>
      </c>
      <c r="J128" t="s">
        <v>466</v>
      </c>
      <c r="K128" t="s">
        <v>70</v>
      </c>
      <c r="L128" t="s">
        <v>29</v>
      </c>
      <c r="M128" t="s">
        <v>10</v>
      </c>
    </row>
    <row r="129" spans="1:13">
      <c r="A129" t="s">
        <v>1154</v>
      </c>
      <c r="B129" s="2">
        <v>45420</v>
      </c>
      <c r="C129">
        <v>2024</v>
      </c>
      <c r="D129">
        <v>5</v>
      </c>
      <c r="E129" t="s">
        <v>83</v>
      </c>
      <c r="F129" t="s">
        <v>47</v>
      </c>
      <c r="G129" t="s">
        <v>38</v>
      </c>
      <c r="H129" t="s">
        <v>12</v>
      </c>
      <c r="I129" t="s">
        <v>1026</v>
      </c>
      <c r="J129" t="s">
        <v>428</v>
      </c>
      <c r="K129" t="s">
        <v>34</v>
      </c>
      <c r="L129" t="s">
        <v>9</v>
      </c>
      <c r="M129" t="s">
        <v>17</v>
      </c>
    </row>
    <row r="130" spans="1:13">
      <c r="A130" t="s">
        <v>1155</v>
      </c>
      <c r="B130" s="2">
        <v>45420</v>
      </c>
      <c r="C130">
        <v>2024</v>
      </c>
      <c r="D130">
        <v>5</v>
      </c>
      <c r="E130" t="s">
        <v>83</v>
      </c>
      <c r="F130" t="s">
        <v>2</v>
      </c>
      <c r="G130" t="s">
        <v>55</v>
      </c>
      <c r="H130" t="s">
        <v>4</v>
      </c>
      <c r="I130" t="s">
        <v>1023</v>
      </c>
      <c r="J130" t="s">
        <v>1024</v>
      </c>
      <c r="K130" t="s">
        <v>6</v>
      </c>
      <c r="L130" t="s">
        <v>16</v>
      </c>
      <c r="M130" t="s">
        <v>10</v>
      </c>
    </row>
    <row r="131" spans="1:13">
      <c r="A131" t="s">
        <v>1156</v>
      </c>
      <c r="B131" s="2">
        <v>45440</v>
      </c>
      <c r="C131">
        <v>2024</v>
      </c>
      <c r="D131">
        <v>5</v>
      </c>
      <c r="E131" t="s">
        <v>83</v>
      </c>
      <c r="F131" t="s">
        <v>40</v>
      </c>
      <c r="G131" t="s">
        <v>32</v>
      </c>
      <c r="H131" t="s">
        <v>44</v>
      </c>
      <c r="I131" t="s">
        <v>1029</v>
      </c>
      <c r="J131" t="s">
        <v>84</v>
      </c>
      <c r="K131" t="s">
        <v>50</v>
      </c>
      <c r="L131" t="s">
        <v>9</v>
      </c>
      <c r="M131" t="s">
        <v>10</v>
      </c>
    </row>
    <row r="132" spans="1:13">
      <c r="A132" t="s">
        <v>1157</v>
      </c>
      <c r="B132" s="2">
        <v>45417</v>
      </c>
      <c r="C132">
        <v>2024</v>
      </c>
      <c r="D132">
        <v>5</v>
      </c>
      <c r="E132" t="s">
        <v>83</v>
      </c>
      <c r="F132" t="s">
        <v>40</v>
      </c>
      <c r="G132" t="s">
        <v>3</v>
      </c>
      <c r="H132" t="s">
        <v>12</v>
      </c>
      <c r="I132" t="s">
        <v>1037</v>
      </c>
      <c r="J132" t="s">
        <v>1024</v>
      </c>
      <c r="K132" t="s">
        <v>13</v>
      </c>
      <c r="L132" t="s">
        <v>36</v>
      </c>
      <c r="M132" t="s">
        <v>17</v>
      </c>
    </row>
    <row r="133" spans="1:13">
      <c r="A133" t="s">
        <v>1158</v>
      </c>
      <c r="B133" s="2">
        <v>45429</v>
      </c>
      <c r="C133">
        <v>2024</v>
      </c>
      <c r="D133">
        <v>5</v>
      </c>
      <c r="E133" t="s">
        <v>83</v>
      </c>
      <c r="F133" t="s">
        <v>40</v>
      </c>
      <c r="G133" t="s">
        <v>64</v>
      </c>
      <c r="H133" t="s">
        <v>4</v>
      </c>
      <c r="I133" t="s">
        <v>1026</v>
      </c>
      <c r="J133" t="s">
        <v>466</v>
      </c>
      <c r="K133" t="s">
        <v>6</v>
      </c>
      <c r="L133" t="s">
        <v>16</v>
      </c>
      <c r="M133" t="s">
        <v>10</v>
      </c>
    </row>
    <row r="134" spans="1:13">
      <c r="A134" t="s">
        <v>1159</v>
      </c>
      <c r="B134" s="2">
        <v>45416</v>
      </c>
      <c r="C134">
        <v>2024</v>
      </c>
      <c r="D134">
        <v>5</v>
      </c>
      <c r="E134" t="s">
        <v>83</v>
      </c>
      <c r="F134" t="s">
        <v>2</v>
      </c>
      <c r="G134" t="s">
        <v>64</v>
      </c>
      <c r="H134" t="s">
        <v>4</v>
      </c>
      <c r="I134" t="s">
        <v>1026</v>
      </c>
      <c r="J134" t="s">
        <v>444</v>
      </c>
      <c r="K134" t="s">
        <v>34</v>
      </c>
      <c r="L134" t="s">
        <v>36</v>
      </c>
      <c r="M134" t="s">
        <v>10</v>
      </c>
    </row>
    <row r="135" spans="1:13">
      <c r="A135" t="s">
        <v>1160</v>
      </c>
      <c r="B135" s="2">
        <v>45427</v>
      </c>
      <c r="C135">
        <v>2024</v>
      </c>
      <c r="D135">
        <v>5</v>
      </c>
      <c r="E135" t="s">
        <v>83</v>
      </c>
      <c r="F135" t="s">
        <v>19</v>
      </c>
      <c r="G135" t="s">
        <v>38</v>
      </c>
      <c r="H135" t="s">
        <v>4</v>
      </c>
      <c r="I135" t="s">
        <v>1026</v>
      </c>
      <c r="J135" t="s">
        <v>444</v>
      </c>
      <c r="K135" t="s">
        <v>6</v>
      </c>
      <c r="L135" t="s">
        <v>16</v>
      </c>
      <c r="M135" t="s">
        <v>10</v>
      </c>
    </row>
    <row r="136" spans="1:13">
      <c r="A136" t="s">
        <v>1161</v>
      </c>
      <c r="B136" s="2">
        <v>45463</v>
      </c>
      <c r="C136">
        <v>2024</v>
      </c>
      <c r="D136">
        <v>6</v>
      </c>
      <c r="E136" t="s">
        <v>87</v>
      </c>
      <c r="F136" t="s">
        <v>38</v>
      </c>
      <c r="G136" t="s">
        <v>38</v>
      </c>
      <c r="H136" t="s">
        <v>12</v>
      </c>
      <c r="I136" t="s">
        <v>1029</v>
      </c>
      <c r="J136" t="s">
        <v>431</v>
      </c>
      <c r="K136" t="s">
        <v>13</v>
      </c>
      <c r="L136" t="s">
        <v>16</v>
      </c>
      <c r="M136" t="s">
        <v>10</v>
      </c>
    </row>
    <row r="137" spans="1:13">
      <c r="A137" t="s">
        <v>1162</v>
      </c>
      <c r="B137" s="2">
        <v>45448</v>
      </c>
      <c r="C137">
        <v>2024</v>
      </c>
      <c r="D137">
        <v>6</v>
      </c>
      <c r="E137" t="s">
        <v>87</v>
      </c>
      <c r="F137" t="s">
        <v>19</v>
      </c>
      <c r="G137" t="s">
        <v>74</v>
      </c>
      <c r="H137" t="s">
        <v>12</v>
      </c>
      <c r="I137" t="s">
        <v>1026</v>
      </c>
      <c r="J137" t="s">
        <v>454</v>
      </c>
      <c r="K137" t="s">
        <v>50</v>
      </c>
      <c r="L137" t="s">
        <v>9</v>
      </c>
      <c r="M137" t="s">
        <v>10</v>
      </c>
    </row>
    <row r="138" spans="1:13">
      <c r="A138" t="s">
        <v>1163</v>
      </c>
      <c r="B138" s="2">
        <v>45466</v>
      </c>
      <c r="C138">
        <v>2024</v>
      </c>
      <c r="D138">
        <v>6</v>
      </c>
      <c r="E138" t="s">
        <v>87</v>
      </c>
      <c r="F138" t="s">
        <v>38</v>
      </c>
      <c r="G138" t="s">
        <v>61</v>
      </c>
      <c r="H138" t="s">
        <v>4</v>
      </c>
      <c r="I138" t="s">
        <v>1037</v>
      </c>
      <c r="J138" t="s">
        <v>1024</v>
      </c>
      <c r="K138" t="s">
        <v>34</v>
      </c>
      <c r="L138" t="s">
        <v>29</v>
      </c>
      <c r="M138" t="s">
        <v>10</v>
      </c>
    </row>
    <row r="139" spans="1:13">
      <c r="A139" t="s">
        <v>1164</v>
      </c>
      <c r="B139" s="2">
        <v>45451</v>
      </c>
      <c r="C139">
        <v>2024</v>
      </c>
      <c r="D139">
        <v>6</v>
      </c>
      <c r="E139" t="s">
        <v>87</v>
      </c>
      <c r="F139" t="s">
        <v>54</v>
      </c>
      <c r="G139" t="s">
        <v>3</v>
      </c>
      <c r="H139" t="s">
        <v>33</v>
      </c>
      <c r="I139" t="s">
        <v>1023</v>
      </c>
      <c r="J139" t="s">
        <v>1024</v>
      </c>
      <c r="K139" t="s">
        <v>34</v>
      </c>
      <c r="L139" t="s">
        <v>9</v>
      </c>
      <c r="M139" t="s">
        <v>10</v>
      </c>
    </row>
    <row r="140" spans="1:13">
      <c r="A140" t="s">
        <v>1165</v>
      </c>
      <c r="B140" s="2">
        <v>45453</v>
      </c>
      <c r="C140">
        <v>2024</v>
      </c>
      <c r="D140">
        <v>6</v>
      </c>
      <c r="E140" t="s">
        <v>87</v>
      </c>
      <c r="F140" t="s">
        <v>26</v>
      </c>
      <c r="G140" t="s">
        <v>32</v>
      </c>
      <c r="H140" t="s">
        <v>33</v>
      </c>
      <c r="I140" t="s">
        <v>1029</v>
      </c>
      <c r="J140" t="s">
        <v>442</v>
      </c>
      <c r="K140" t="s">
        <v>13</v>
      </c>
      <c r="L140" t="s">
        <v>16</v>
      </c>
      <c r="M140" t="s">
        <v>10</v>
      </c>
    </row>
    <row r="141" spans="1:13">
      <c r="A141" t="s">
        <v>1166</v>
      </c>
      <c r="B141" s="2">
        <v>45460</v>
      </c>
      <c r="C141">
        <v>2024</v>
      </c>
      <c r="D141">
        <v>6</v>
      </c>
      <c r="E141" t="s">
        <v>87</v>
      </c>
      <c r="F141" t="s">
        <v>67</v>
      </c>
      <c r="G141" t="s">
        <v>38</v>
      </c>
      <c r="H141" t="s">
        <v>12</v>
      </c>
      <c r="I141" t="s">
        <v>1029</v>
      </c>
      <c r="J141" t="s">
        <v>438</v>
      </c>
      <c r="K141" t="s">
        <v>50</v>
      </c>
      <c r="L141" t="s">
        <v>16</v>
      </c>
      <c r="M141" t="s">
        <v>17</v>
      </c>
    </row>
    <row r="142" spans="1:13">
      <c r="A142" t="s">
        <v>1167</v>
      </c>
      <c r="B142" s="2">
        <v>45459</v>
      </c>
      <c r="C142">
        <v>2024</v>
      </c>
      <c r="D142">
        <v>6</v>
      </c>
      <c r="E142" t="s">
        <v>87</v>
      </c>
      <c r="F142" t="s">
        <v>67</v>
      </c>
      <c r="G142" t="s">
        <v>27</v>
      </c>
      <c r="H142" t="s">
        <v>33</v>
      </c>
      <c r="I142" t="s">
        <v>1026</v>
      </c>
      <c r="J142" t="s">
        <v>494</v>
      </c>
      <c r="K142" t="s">
        <v>70</v>
      </c>
      <c r="L142" t="s">
        <v>16</v>
      </c>
      <c r="M142" t="s">
        <v>17</v>
      </c>
    </row>
    <row r="143" spans="1:13">
      <c r="A143" t="s">
        <v>1168</v>
      </c>
      <c r="B143" s="2">
        <v>45451</v>
      </c>
      <c r="C143">
        <v>2024</v>
      </c>
      <c r="D143">
        <v>6</v>
      </c>
      <c r="E143" t="s">
        <v>87</v>
      </c>
      <c r="F143" t="s">
        <v>67</v>
      </c>
      <c r="G143" t="s">
        <v>64</v>
      </c>
      <c r="H143" t="s">
        <v>4</v>
      </c>
      <c r="I143" t="s">
        <v>1023</v>
      </c>
      <c r="J143" t="s">
        <v>1024</v>
      </c>
      <c r="K143" t="s">
        <v>70</v>
      </c>
      <c r="L143" t="s">
        <v>9</v>
      </c>
      <c r="M143" t="s">
        <v>17</v>
      </c>
    </row>
    <row r="144" spans="1:13">
      <c r="A144" t="s">
        <v>1169</v>
      </c>
      <c r="B144" s="2">
        <v>45466</v>
      </c>
      <c r="C144">
        <v>2024</v>
      </c>
      <c r="D144">
        <v>6</v>
      </c>
      <c r="E144" t="s">
        <v>87</v>
      </c>
      <c r="F144" t="s">
        <v>40</v>
      </c>
      <c r="G144" t="s">
        <v>61</v>
      </c>
      <c r="H144" t="s">
        <v>4</v>
      </c>
      <c r="I144" t="s">
        <v>1029</v>
      </c>
      <c r="J144" t="s">
        <v>431</v>
      </c>
      <c r="K144" t="s">
        <v>70</v>
      </c>
      <c r="L144" t="s">
        <v>16</v>
      </c>
      <c r="M144" t="s">
        <v>10</v>
      </c>
    </row>
    <row r="145" spans="1:13">
      <c r="A145" t="s">
        <v>1170</v>
      </c>
      <c r="B145" s="2">
        <v>45454</v>
      </c>
      <c r="C145">
        <v>2024</v>
      </c>
      <c r="D145">
        <v>6</v>
      </c>
      <c r="E145" t="s">
        <v>87</v>
      </c>
      <c r="F145" t="s">
        <v>47</v>
      </c>
      <c r="G145" t="s">
        <v>74</v>
      </c>
      <c r="H145" t="s">
        <v>33</v>
      </c>
      <c r="I145" t="s">
        <v>1029</v>
      </c>
      <c r="J145" t="s">
        <v>435</v>
      </c>
      <c r="K145" t="s">
        <v>70</v>
      </c>
      <c r="L145" t="s">
        <v>9</v>
      </c>
      <c r="M145" t="s">
        <v>10</v>
      </c>
    </row>
    <row r="146" spans="1:13">
      <c r="A146" t="s">
        <v>1171</v>
      </c>
      <c r="B146" s="2">
        <v>45467</v>
      </c>
      <c r="C146">
        <v>2024</v>
      </c>
      <c r="D146">
        <v>6</v>
      </c>
      <c r="E146" t="s">
        <v>87</v>
      </c>
      <c r="F146" t="s">
        <v>38</v>
      </c>
      <c r="G146" t="s">
        <v>94</v>
      </c>
      <c r="H146" t="s">
        <v>33</v>
      </c>
      <c r="I146" t="s">
        <v>1026</v>
      </c>
      <c r="J146" t="s">
        <v>466</v>
      </c>
      <c r="K146" t="s">
        <v>70</v>
      </c>
      <c r="L146" t="s">
        <v>16</v>
      </c>
      <c r="M146" t="s">
        <v>17</v>
      </c>
    </row>
    <row r="147" spans="1:13">
      <c r="A147" t="s">
        <v>1172</v>
      </c>
      <c r="B147" s="2">
        <v>45458</v>
      </c>
      <c r="C147">
        <v>2024</v>
      </c>
      <c r="D147">
        <v>6</v>
      </c>
      <c r="E147" t="s">
        <v>87</v>
      </c>
      <c r="F147" t="s">
        <v>38</v>
      </c>
      <c r="G147" t="s">
        <v>27</v>
      </c>
      <c r="H147" t="s">
        <v>44</v>
      </c>
      <c r="I147" t="s">
        <v>1029</v>
      </c>
      <c r="J147" t="s">
        <v>442</v>
      </c>
      <c r="K147" t="s">
        <v>6</v>
      </c>
      <c r="L147" t="s">
        <v>9</v>
      </c>
      <c r="M147" t="s">
        <v>17</v>
      </c>
    </row>
    <row r="148" spans="1:13">
      <c r="A148" t="s">
        <v>1173</v>
      </c>
      <c r="B148" s="2">
        <v>45448</v>
      </c>
      <c r="C148">
        <v>2024</v>
      </c>
      <c r="D148">
        <v>6</v>
      </c>
      <c r="E148" t="s">
        <v>87</v>
      </c>
      <c r="F148" t="s">
        <v>67</v>
      </c>
      <c r="G148" t="s">
        <v>32</v>
      </c>
      <c r="H148" t="s">
        <v>12</v>
      </c>
      <c r="I148" t="s">
        <v>1037</v>
      </c>
      <c r="J148" t="s">
        <v>1024</v>
      </c>
      <c r="K148" t="s">
        <v>6</v>
      </c>
      <c r="L148" t="s">
        <v>16</v>
      </c>
      <c r="M148" t="s">
        <v>10</v>
      </c>
    </row>
    <row r="149" spans="1:13">
      <c r="A149" t="s">
        <v>1174</v>
      </c>
      <c r="B149" s="2">
        <v>45465</v>
      </c>
      <c r="C149">
        <v>2024</v>
      </c>
      <c r="D149">
        <v>6</v>
      </c>
      <c r="E149" t="s">
        <v>87</v>
      </c>
      <c r="F149" t="s">
        <v>2</v>
      </c>
      <c r="G149" t="s">
        <v>38</v>
      </c>
      <c r="H149" t="s">
        <v>12</v>
      </c>
      <c r="I149" t="s">
        <v>1037</v>
      </c>
      <c r="J149" t="s">
        <v>1024</v>
      </c>
      <c r="K149" t="s">
        <v>70</v>
      </c>
      <c r="L149" t="s">
        <v>16</v>
      </c>
      <c r="M149" t="s">
        <v>10</v>
      </c>
    </row>
    <row r="150" spans="1:13">
      <c r="A150" t="s">
        <v>1175</v>
      </c>
      <c r="B150" s="2">
        <v>45459</v>
      </c>
      <c r="C150">
        <v>2024</v>
      </c>
      <c r="D150">
        <v>6</v>
      </c>
      <c r="E150" t="s">
        <v>87</v>
      </c>
      <c r="F150" t="s">
        <v>78</v>
      </c>
      <c r="G150" t="s">
        <v>69</v>
      </c>
      <c r="H150" t="s">
        <v>4</v>
      </c>
      <c r="I150" t="s">
        <v>1037</v>
      </c>
      <c r="J150" t="s">
        <v>1024</v>
      </c>
      <c r="K150" t="s">
        <v>6</v>
      </c>
      <c r="L150" t="s">
        <v>16</v>
      </c>
      <c r="M150" t="s">
        <v>10</v>
      </c>
    </row>
    <row r="151" spans="1:13">
      <c r="A151" t="s">
        <v>1176</v>
      </c>
      <c r="B151" s="2">
        <v>45447</v>
      </c>
      <c r="C151">
        <v>2024</v>
      </c>
      <c r="D151">
        <v>6</v>
      </c>
      <c r="E151" t="s">
        <v>87</v>
      </c>
      <c r="F151" t="s">
        <v>54</v>
      </c>
      <c r="G151" t="s">
        <v>32</v>
      </c>
      <c r="H151" t="s">
        <v>44</v>
      </c>
      <c r="I151" t="s">
        <v>1029</v>
      </c>
      <c r="J151" t="s">
        <v>452</v>
      </c>
      <c r="K151" t="s">
        <v>34</v>
      </c>
      <c r="L151" t="s">
        <v>29</v>
      </c>
      <c r="M151" t="s">
        <v>10</v>
      </c>
    </row>
    <row r="152" spans="1:13">
      <c r="A152" t="s">
        <v>1177</v>
      </c>
      <c r="B152" s="2">
        <v>45462</v>
      </c>
      <c r="C152">
        <v>2024</v>
      </c>
      <c r="D152">
        <v>6</v>
      </c>
      <c r="E152" t="s">
        <v>87</v>
      </c>
      <c r="F152" t="s">
        <v>38</v>
      </c>
      <c r="G152" t="s">
        <v>38</v>
      </c>
      <c r="H152" t="s">
        <v>4</v>
      </c>
      <c r="I152" t="s">
        <v>1029</v>
      </c>
      <c r="J152" t="s">
        <v>462</v>
      </c>
      <c r="K152" t="s">
        <v>13</v>
      </c>
      <c r="L152" t="s">
        <v>36</v>
      </c>
      <c r="M152" t="s">
        <v>10</v>
      </c>
    </row>
    <row r="153" spans="1:13">
      <c r="A153" t="s">
        <v>1178</v>
      </c>
      <c r="B153" s="2">
        <v>45448</v>
      </c>
      <c r="C153">
        <v>2024</v>
      </c>
      <c r="D153">
        <v>6</v>
      </c>
      <c r="E153" t="s">
        <v>87</v>
      </c>
      <c r="F153" t="s">
        <v>40</v>
      </c>
      <c r="G153" t="s">
        <v>27</v>
      </c>
      <c r="H153" t="s">
        <v>4</v>
      </c>
      <c r="I153" t="s">
        <v>1037</v>
      </c>
      <c r="J153" t="s">
        <v>1024</v>
      </c>
      <c r="K153" t="s">
        <v>6</v>
      </c>
      <c r="L153" t="s">
        <v>29</v>
      </c>
      <c r="M153" t="s">
        <v>17</v>
      </c>
    </row>
    <row r="154" spans="1:13">
      <c r="A154" t="s">
        <v>1179</v>
      </c>
      <c r="B154" s="2">
        <v>45457</v>
      </c>
      <c r="C154">
        <v>2024</v>
      </c>
      <c r="D154">
        <v>6</v>
      </c>
      <c r="E154" t="s">
        <v>87</v>
      </c>
      <c r="F154" t="s">
        <v>47</v>
      </c>
      <c r="G154" t="s">
        <v>32</v>
      </c>
      <c r="H154" t="s">
        <v>33</v>
      </c>
      <c r="I154" t="s">
        <v>1026</v>
      </c>
      <c r="J154" t="s">
        <v>494</v>
      </c>
      <c r="K154" t="s">
        <v>34</v>
      </c>
      <c r="L154" t="s">
        <v>36</v>
      </c>
      <c r="M154" t="s">
        <v>10</v>
      </c>
    </row>
    <row r="155" spans="1:13">
      <c r="A155" t="s">
        <v>1180</v>
      </c>
      <c r="B155" s="2">
        <v>45464</v>
      </c>
      <c r="C155">
        <v>2024</v>
      </c>
      <c r="D155">
        <v>6</v>
      </c>
      <c r="E155" t="s">
        <v>87</v>
      </c>
      <c r="F155" t="s">
        <v>40</v>
      </c>
      <c r="G155" t="s">
        <v>27</v>
      </c>
      <c r="H155" t="s">
        <v>4</v>
      </c>
      <c r="I155" t="s">
        <v>1026</v>
      </c>
      <c r="J155" t="s">
        <v>454</v>
      </c>
      <c r="K155" t="s">
        <v>6</v>
      </c>
      <c r="L155" t="s">
        <v>9</v>
      </c>
      <c r="M155" t="s">
        <v>10</v>
      </c>
    </row>
    <row r="156" spans="1:13">
      <c r="A156" t="s">
        <v>1181</v>
      </c>
      <c r="B156" s="2">
        <v>45457</v>
      </c>
      <c r="C156">
        <v>2024</v>
      </c>
      <c r="D156">
        <v>6</v>
      </c>
      <c r="E156" t="s">
        <v>87</v>
      </c>
      <c r="F156" t="s">
        <v>31</v>
      </c>
      <c r="G156" t="s">
        <v>32</v>
      </c>
      <c r="H156" t="s">
        <v>33</v>
      </c>
      <c r="I156" t="s">
        <v>1023</v>
      </c>
      <c r="J156" t="s">
        <v>1024</v>
      </c>
      <c r="K156" t="s">
        <v>6</v>
      </c>
      <c r="L156" t="s">
        <v>16</v>
      </c>
      <c r="M156" t="s">
        <v>10</v>
      </c>
    </row>
    <row r="157" spans="1:13">
      <c r="A157" t="s">
        <v>1182</v>
      </c>
      <c r="B157" s="2">
        <v>45461</v>
      </c>
      <c r="C157">
        <v>2024</v>
      </c>
      <c r="D157">
        <v>6</v>
      </c>
      <c r="E157" t="s">
        <v>87</v>
      </c>
      <c r="F157" t="s">
        <v>26</v>
      </c>
      <c r="G157" t="s">
        <v>64</v>
      </c>
      <c r="H157" t="s">
        <v>33</v>
      </c>
      <c r="I157" t="s">
        <v>1023</v>
      </c>
      <c r="J157" t="s">
        <v>1024</v>
      </c>
      <c r="K157" t="s">
        <v>34</v>
      </c>
      <c r="L157" t="s">
        <v>36</v>
      </c>
      <c r="M157" t="s">
        <v>10</v>
      </c>
    </row>
    <row r="158" spans="1:13">
      <c r="A158" t="s">
        <v>1183</v>
      </c>
      <c r="B158" s="2">
        <v>45444</v>
      </c>
      <c r="C158">
        <v>2024</v>
      </c>
      <c r="D158">
        <v>6</v>
      </c>
      <c r="E158" t="s">
        <v>87</v>
      </c>
      <c r="F158" t="s">
        <v>40</v>
      </c>
      <c r="G158" t="s">
        <v>64</v>
      </c>
      <c r="H158" t="s">
        <v>12</v>
      </c>
      <c r="I158" t="s">
        <v>1026</v>
      </c>
      <c r="J158" t="s">
        <v>446</v>
      </c>
      <c r="K158" t="s">
        <v>13</v>
      </c>
      <c r="L158" t="s">
        <v>36</v>
      </c>
      <c r="M158" t="s">
        <v>10</v>
      </c>
    </row>
    <row r="159" spans="1:13">
      <c r="A159" t="s">
        <v>1184</v>
      </c>
      <c r="B159" s="2">
        <v>45468</v>
      </c>
      <c r="C159">
        <v>2024</v>
      </c>
      <c r="D159">
        <v>6</v>
      </c>
      <c r="E159" t="s">
        <v>87</v>
      </c>
      <c r="F159" t="s">
        <v>78</v>
      </c>
      <c r="G159" t="s">
        <v>61</v>
      </c>
      <c r="H159" t="s">
        <v>12</v>
      </c>
      <c r="I159" t="s">
        <v>1037</v>
      </c>
      <c r="J159" t="s">
        <v>1024</v>
      </c>
      <c r="K159" t="s">
        <v>6</v>
      </c>
      <c r="L159" t="s">
        <v>9</v>
      </c>
      <c r="M159" t="s">
        <v>17</v>
      </c>
    </row>
    <row r="160" spans="1:13">
      <c r="A160" t="s">
        <v>1185</v>
      </c>
      <c r="B160" s="2">
        <v>45466</v>
      </c>
      <c r="C160">
        <v>2024</v>
      </c>
      <c r="D160">
        <v>6</v>
      </c>
      <c r="E160" t="s">
        <v>87</v>
      </c>
      <c r="F160" t="s">
        <v>78</v>
      </c>
      <c r="G160" t="s">
        <v>61</v>
      </c>
      <c r="H160" t="s">
        <v>33</v>
      </c>
      <c r="I160" t="s">
        <v>1026</v>
      </c>
      <c r="J160" t="s">
        <v>444</v>
      </c>
      <c r="K160" t="s">
        <v>34</v>
      </c>
      <c r="L160" t="s">
        <v>16</v>
      </c>
      <c r="M160" t="s">
        <v>10</v>
      </c>
    </row>
    <row r="161" spans="1:13">
      <c r="A161" t="s">
        <v>1186</v>
      </c>
      <c r="B161" s="2">
        <v>45461</v>
      </c>
      <c r="C161">
        <v>2024</v>
      </c>
      <c r="D161">
        <v>6</v>
      </c>
      <c r="E161" t="s">
        <v>87</v>
      </c>
      <c r="F161" t="s">
        <v>19</v>
      </c>
      <c r="G161" t="s">
        <v>3</v>
      </c>
      <c r="H161" t="s">
        <v>33</v>
      </c>
      <c r="I161" t="s">
        <v>1037</v>
      </c>
      <c r="J161" t="s">
        <v>1024</v>
      </c>
      <c r="K161" t="s">
        <v>34</v>
      </c>
      <c r="L161" t="s">
        <v>36</v>
      </c>
      <c r="M161" t="s">
        <v>10</v>
      </c>
    </row>
    <row r="162" spans="1:13">
      <c r="A162" t="s">
        <v>1187</v>
      </c>
      <c r="B162" s="2">
        <v>45444</v>
      </c>
      <c r="C162">
        <v>2024</v>
      </c>
      <c r="D162">
        <v>6</v>
      </c>
      <c r="E162" t="s">
        <v>87</v>
      </c>
      <c r="F162" t="s">
        <v>31</v>
      </c>
      <c r="G162" t="s">
        <v>3</v>
      </c>
      <c r="H162" t="s">
        <v>12</v>
      </c>
      <c r="I162" t="s">
        <v>1023</v>
      </c>
      <c r="J162" t="s">
        <v>1024</v>
      </c>
      <c r="K162" t="s">
        <v>70</v>
      </c>
      <c r="L162" t="s">
        <v>9</v>
      </c>
      <c r="M162" t="s">
        <v>17</v>
      </c>
    </row>
    <row r="163" spans="1:13">
      <c r="A163" t="s">
        <v>1188</v>
      </c>
      <c r="B163" s="2">
        <v>45454</v>
      </c>
      <c r="C163">
        <v>2024</v>
      </c>
      <c r="D163">
        <v>6</v>
      </c>
      <c r="E163" t="s">
        <v>87</v>
      </c>
      <c r="F163" t="s">
        <v>31</v>
      </c>
      <c r="G163" t="s">
        <v>94</v>
      </c>
      <c r="H163" t="s">
        <v>33</v>
      </c>
      <c r="I163" t="s">
        <v>1029</v>
      </c>
      <c r="J163" t="s">
        <v>462</v>
      </c>
      <c r="K163" t="s">
        <v>6</v>
      </c>
      <c r="L163" t="s">
        <v>36</v>
      </c>
      <c r="M163" t="s">
        <v>10</v>
      </c>
    </row>
    <row r="164" spans="1:13">
      <c r="A164" t="s">
        <v>1189</v>
      </c>
      <c r="B164" s="2">
        <v>45453</v>
      </c>
      <c r="C164">
        <v>2024</v>
      </c>
      <c r="D164">
        <v>6</v>
      </c>
      <c r="E164" t="s">
        <v>87</v>
      </c>
      <c r="F164" t="s">
        <v>40</v>
      </c>
      <c r="G164" t="s">
        <v>48</v>
      </c>
      <c r="H164" t="s">
        <v>44</v>
      </c>
      <c r="I164" t="s">
        <v>1029</v>
      </c>
      <c r="J164" t="s">
        <v>435</v>
      </c>
      <c r="K164" t="s">
        <v>13</v>
      </c>
      <c r="L164" t="s">
        <v>16</v>
      </c>
      <c r="M164" t="s">
        <v>17</v>
      </c>
    </row>
    <row r="165" spans="1:13">
      <c r="A165" t="s">
        <v>1190</v>
      </c>
      <c r="B165" s="2">
        <v>45465</v>
      </c>
      <c r="C165">
        <v>2024</v>
      </c>
      <c r="D165">
        <v>6</v>
      </c>
      <c r="E165" t="s">
        <v>87</v>
      </c>
      <c r="F165" t="s">
        <v>26</v>
      </c>
      <c r="G165" t="s">
        <v>32</v>
      </c>
      <c r="H165" t="s">
        <v>44</v>
      </c>
      <c r="I165" t="s">
        <v>1026</v>
      </c>
      <c r="J165" t="s">
        <v>519</v>
      </c>
      <c r="K165" t="s">
        <v>13</v>
      </c>
      <c r="L165" t="s">
        <v>9</v>
      </c>
      <c r="M165" t="s">
        <v>10</v>
      </c>
    </row>
    <row r="166" spans="1:13">
      <c r="A166" t="s">
        <v>1191</v>
      </c>
      <c r="B166" s="2">
        <v>45445</v>
      </c>
      <c r="C166">
        <v>2024</v>
      </c>
      <c r="D166">
        <v>6</v>
      </c>
      <c r="E166" t="s">
        <v>87</v>
      </c>
      <c r="F166" t="s">
        <v>40</v>
      </c>
      <c r="G166" t="s">
        <v>27</v>
      </c>
      <c r="H166" t="s">
        <v>4</v>
      </c>
      <c r="I166" t="s">
        <v>1026</v>
      </c>
      <c r="J166" t="s">
        <v>470</v>
      </c>
      <c r="K166" t="s">
        <v>13</v>
      </c>
      <c r="L166" t="s">
        <v>36</v>
      </c>
      <c r="M166" t="s">
        <v>10</v>
      </c>
    </row>
    <row r="167" spans="1:13">
      <c r="A167" t="s">
        <v>1192</v>
      </c>
      <c r="B167" s="2">
        <v>45460</v>
      </c>
      <c r="C167">
        <v>2024</v>
      </c>
      <c r="D167">
        <v>6</v>
      </c>
      <c r="E167" t="s">
        <v>87</v>
      </c>
      <c r="F167" t="s">
        <v>67</v>
      </c>
      <c r="G167" t="s">
        <v>64</v>
      </c>
      <c r="H167" t="s">
        <v>4</v>
      </c>
      <c r="I167" t="s">
        <v>1026</v>
      </c>
      <c r="J167" t="s">
        <v>454</v>
      </c>
      <c r="K167" t="s">
        <v>34</v>
      </c>
      <c r="L167" t="s">
        <v>16</v>
      </c>
      <c r="M167" t="s">
        <v>10</v>
      </c>
    </row>
    <row r="168" spans="1:13">
      <c r="A168" t="s">
        <v>1193</v>
      </c>
      <c r="B168" s="2">
        <v>45493</v>
      </c>
      <c r="C168">
        <v>2024</v>
      </c>
      <c r="D168">
        <v>7</v>
      </c>
      <c r="E168" t="s">
        <v>93</v>
      </c>
      <c r="F168" t="s">
        <v>19</v>
      </c>
      <c r="G168" t="s">
        <v>55</v>
      </c>
      <c r="H168" t="s">
        <v>4</v>
      </c>
      <c r="I168" t="s">
        <v>1037</v>
      </c>
      <c r="J168" t="s">
        <v>1024</v>
      </c>
      <c r="K168" t="s">
        <v>34</v>
      </c>
      <c r="L168" t="s">
        <v>9</v>
      </c>
      <c r="M168" t="s">
        <v>10</v>
      </c>
    </row>
    <row r="169" spans="1:13">
      <c r="A169" t="s">
        <v>1194</v>
      </c>
      <c r="B169" s="2">
        <v>45499</v>
      </c>
      <c r="C169">
        <v>2024</v>
      </c>
      <c r="D169">
        <v>7</v>
      </c>
      <c r="E169" t="s">
        <v>93</v>
      </c>
      <c r="F169" t="s">
        <v>40</v>
      </c>
      <c r="G169" t="s">
        <v>20</v>
      </c>
      <c r="H169" t="s">
        <v>33</v>
      </c>
      <c r="I169" t="s">
        <v>1026</v>
      </c>
      <c r="J169" t="s">
        <v>519</v>
      </c>
      <c r="K169" t="s">
        <v>50</v>
      </c>
      <c r="L169" t="s">
        <v>36</v>
      </c>
      <c r="M169" t="s">
        <v>17</v>
      </c>
    </row>
    <row r="170" spans="1:13">
      <c r="A170" t="s">
        <v>1195</v>
      </c>
      <c r="B170" s="2">
        <v>45476</v>
      </c>
      <c r="C170">
        <v>2024</v>
      </c>
      <c r="D170">
        <v>7</v>
      </c>
      <c r="E170" t="s">
        <v>93</v>
      </c>
      <c r="F170" t="s">
        <v>54</v>
      </c>
      <c r="G170" t="s">
        <v>94</v>
      </c>
      <c r="H170" t="s">
        <v>4</v>
      </c>
      <c r="I170" t="s">
        <v>1029</v>
      </c>
      <c r="J170" t="s">
        <v>464</v>
      </c>
      <c r="K170" t="s">
        <v>70</v>
      </c>
      <c r="L170" t="s">
        <v>29</v>
      </c>
      <c r="M170" t="s">
        <v>10</v>
      </c>
    </row>
    <row r="171" spans="1:13">
      <c r="A171" t="s">
        <v>1196</v>
      </c>
      <c r="B171" s="2">
        <v>45499</v>
      </c>
      <c r="C171">
        <v>2024</v>
      </c>
      <c r="D171">
        <v>7</v>
      </c>
      <c r="E171" t="s">
        <v>93</v>
      </c>
      <c r="F171" t="s">
        <v>31</v>
      </c>
      <c r="G171" t="s">
        <v>32</v>
      </c>
      <c r="H171" t="s">
        <v>33</v>
      </c>
      <c r="I171" t="s">
        <v>1023</v>
      </c>
      <c r="J171" t="s">
        <v>1024</v>
      </c>
      <c r="K171" t="s">
        <v>13</v>
      </c>
      <c r="L171" t="s">
        <v>36</v>
      </c>
      <c r="M171" t="s">
        <v>17</v>
      </c>
    </row>
    <row r="172" spans="1:13">
      <c r="A172" t="s">
        <v>1197</v>
      </c>
      <c r="B172" s="2">
        <v>45482</v>
      </c>
      <c r="C172">
        <v>2024</v>
      </c>
      <c r="D172">
        <v>7</v>
      </c>
      <c r="E172" t="s">
        <v>93</v>
      </c>
      <c r="F172" t="s">
        <v>40</v>
      </c>
      <c r="G172" t="s">
        <v>32</v>
      </c>
      <c r="H172" t="s">
        <v>4</v>
      </c>
      <c r="I172" t="s">
        <v>1037</v>
      </c>
      <c r="J172" t="s">
        <v>1024</v>
      </c>
      <c r="K172" t="s">
        <v>13</v>
      </c>
      <c r="L172" t="s">
        <v>16</v>
      </c>
      <c r="M172" t="s">
        <v>10</v>
      </c>
    </row>
    <row r="173" spans="1:13">
      <c r="A173" t="s">
        <v>1198</v>
      </c>
      <c r="B173" s="2">
        <v>45484</v>
      </c>
      <c r="C173">
        <v>2024</v>
      </c>
      <c r="D173">
        <v>7</v>
      </c>
      <c r="E173" t="s">
        <v>93</v>
      </c>
      <c r="F173" t="s">
        <v>2</v>
      </c>
      <c r="G173" t="s">
        <v>64</v>
      </c>
      <c r="H173" t="s">
        <v>44</v>
      </c>
      <c r="I173" t="s">
        <v>1026</v>
      </c>
      <c r="J173" t="s">
        <v>446</v>
      </c>
      <c r="K173" t="s">
        <v>6</v>
      </c>
      <c r="L173" t="s">
        <v>36</v>
      </c>
      <c r="M173" t="s">
        <v>10</v>
      </c>
    </row>
    <row r="174" spans="1:13">
      <c r="A174" t="s">
        <v>1199</v>
      </c>
      <c r="B174" s="2">
        <v>45498</v>
      </c>
      <c r="C174">
        <v>2024</v>
      </c>
      <c r="D174">
        <v>7</v>
      </c>
      <c r="E174" t="s">
        <v>93</v>
      </c>
      <c r="F174" t="s">
        <v>54</v>
      </c>
      <c r="G174" t="s">
        <v>69</v>
      </c>
      <c r="H174" t="s">
        <v>33</v>
      </c>
      <c r="I174" t="s">
        <v>1029</v>
      </c>
      <c r="J174" t="s">
        <v>452</v>
      </c>
      <c r="K174" t="s">
        <v>13</v>
      </c>
      <c r="L174" t="s">
        <v>29</v>
      </c>
      <c r="M174" t="s">
        <v>10</v>
      </c>
    </row>
    <row r="175" spans="1:13">
      <c r="A175" t="s">
        <v>1200</v>
      </c>
      <c r="B175" s="2">
        <v>45492</v>
      </c>
      <c r="C175">
        <v>2024</v>
      </c>
      <c r="D175">
        <v>7</v>
      </c>
      <c r="E175" t="s">
        <v>93</v>
      </c>
      <c r="F175" t="s">
        <v>40</v>
      </c>
      <c r="G175" t="s">
        <v>20</v>
      </c>
      <c r="H175" t="s">
        <v>44</v>
      </c>
      <c r="I175" t="s">
        <v>1029</v>
      </c>
      <c r="J175" t="s">
        <v>438</v>
      </c>
      <c r="K175" t="s">
        <v>34</v>
      </c>
      <c r="L175" t="s">
        <v>29</v>
      </c>
      <c r="M175" t="s">
        <v>10</v>
      </c>
    </row>
    <row r="176" spans="1:13">
      <c r="A176" t="s">
        <v>1201</v>
      </c>
      <c r="B176" s="2">
        <v>45488</v>
      </c>
      <c r="C176">
        <v>2024</v>
      </c>
      <c r="D176">
        <v>7</v>
      </c>
      <c r="E176" t="s">
        <v>93</v>
      </c>
      <c r="F176" t="s">
        <v>31</v>
      </c>
      <c r="G176" t="s">
        <v>61</v>
      </c>
      <c r="H176" t="s">
        <v>33</v>
      </c>
      <c r="I176" t="s">
        <v>1037</v>
      </c>
      <c r="J176" t="s">
        <v>1024</v>
      </c>
      <c r="K176" t="s">
        <v>70</v>
      </c>
      <c r="L176" t="s">
        <v>9</v>
      </c>
      <c r="M176" t="s">
        <v>10</v>
      </c>
    </row>
    <row r="177" spans="1:13">
      <c r="A177" t="s">
        <v>1202</v>
      </c>
      <c r="B177" s="2">
        <v>45500</v>
      </c>
      <c r="C177">
        <v>2024</v>
      </c>
      <c r="D177">
        <v>7</v>
      </c>
      <c r="E177" t="s">
        <v>93</v>
      </c>
      <c r="F177" t="s">
        <v>38</v>
      </c>
      <c r="G177" t="s">
        <v>61</v>
      </c>
      <c r="H177" t="s">
        <v>12</v>
      </c>
      <c r="I177" t="s">
        <v>1026</v>
      </c>
      <c r="J177" t="s">
        <v>444</v>
      </c>
      <c r="K177" t="s">
        <v>70</v>
      </c>
      <c r="L177" t="s">
        <v>9</v>
      </c>
      <c r="M177" t="s">
        <v>17</v>
      </c>
    </row>
    <row r="178" spans="1:13">
      <c r="A178" t="s">
        <v>1203</v>
      </c>
      <c r="B178" s="2">
        <v>45498</v>
      </c>
      <c r="C178">
        <v>2024</v>
      </c>
      <c r="D178">
        <v>7</v>
      </c>
      <c r="E178" t="s">
        <v>93</v>
      </c>
      <c r="F178" t="s">
        <v>67</v>
      </c>
      <c r="G178" t="s">
        <v>94</v>
      </c>
      <c r="H178" t="s">
        <v>4</v>
      </c>
      <c r="I178" t="s">
        <v>1023</v>
      </c>
      <c r="J178" t="s">
        <v>1024</v>
      </c>
      <c r="K178" t="s">
        <v>13</v>
      </c>
      <c r="L178" t="s">
        <v>16</v>
      </c>
      <c r="M178" t="s">
        <v>10</v>
      </c>
    </row>
    <row r="179" spans="1:13">
      <c r="A179" t="s">
        <v>1204</v>
      </c>
      <c r="B179" s="2">
        <v>45499</v>
      </c>
      <c r="C179">
        <v>2024</v>
      </c>
      <c r="D179">
        <v>7</v>
      </c>
      <c r="E179" t="s">
        <v>93</v>
      </c>
      <c r="F179" t="s">
        <v>31</v>
      </c>
      <c r="G179" t="s">
        <v>69</v>
      </c>
      <c r="H179" t="s">
        <v>12</v>
      </c>
      <c r="I179" t="s">
        <v>1026</v>
      </c>
      <c r="J179" t="s">
        <v>457</v>
      </c>
      <c r="K179" t="s">
        <v>34</v>
      </c>
      <c r="L179" t="s">
        <v>9</v>
      </c>
      <c r="M179" t="s">
        <v>10</v>
      </c>
    </row>
    <row r="180" spans="1:13">
      <c r="A180" t="s">
        <v>1205</v>
      </c>
      <c r="B180" s="2">
        <v>45485</v>
      </c>
      <c r="C180">
        <v>2024</v>
      </c>
      <c r="D180">
        <v>7</v>
      </c>
      <c r="E180" t="s">
        <v>93</v>
      </c>
      <c r="F180" t="s">
        <v>2</v>
      </c>
      <c r="G180" t="s">
        <v>20</v>
      </c>
      <c r="H180" t="s">
        <v>4</v>
      </c>
      <c r="I180" t="s">
        <v>1026</v>
      </c>
      <c r="J180" t="s">
        <v>446</v>
      </c>
      <c r="K180" t="s">
        <v>70</v>
      </c>
      <c r="L180" t="s">
        <v>36</v>
      </c>
      <c r="M180" t="s">
        <v>10</v>
      </c>
    </row>
    <row r="181" spans="1:13">
      <c r="A181" t="s">
        <v>1206</v>
      </c>
      <c r="B181" s="2">
        <v>45501</v>
      </c>
      <c r="C181">
        <v>2024</v>
      </c>
      <c r="D181">
        <v>7</v>
      </c>
      <c r="E181" t="s">
        <v>93</v>
      </c>
      <c r="F181" t="s">
        <v>54</v>
      </c>
      <c r="G181" t="s">
        <v>74</v>
      </c>
      <c r="H181" t="s">
        <v>12</v>
      </c>
      <c r="I181" t="s">
        <v>1026</v>
      </c>
      <c r="J181" t="s">
        <v>444</v>
      </c>
      <c r="K181" t="s">
        <v>34</v>
      </c>
      <c r="L181" t="s">
        <v>36</v>
      </c>
      <c r="M181" t="s">
        <v>10</v>
      </c>
    </row>
    <row r="182" spans="1:13">
      <c r="A182" t="s">
        <v>1207</v>
      </c>
      <c r="B182" s="2">
        <v>45475</v>
      </c>
      <c r="C182">
        <v>2024</v>
      </c>
      <c r="D182">
        <v>7</v>
      </c>
      <c r="E182" t="s">
        <v>93</v>
      </c>
      <c r="F182" t="s">
        <v>2</v>
      </c>
      <c r="G182" t="s">
        <v>20</v>
      </c>
      <c r="H182" t="s">
        <v>44</v>
      </c>
      <c r="I182" t="s">
        <v>1037</v>
      </c>
      <c r="J182" t="s">
        <v>1024</v>
      </c>
      <c r="K182" t="s">
        <v>13</v>
      </c>
      <c r="L182" t="s">
        <v>36</v>
      </c>
      <c r="M182" t="s">
        <v>17</v>
      </c>
    </row>
    <row r="183" spans="1:13">
      <c r="A183" t="s">
        <v>1208</v>
      </c>
      <c r="B183" s="2">
        <v>45479</v>
      </c>
      <c r="C183">
        <v>2024</v>
      </c>
      <c r="D183">
        <v>7</v>
      </c>
      <c r="E183" t="s">
        <v>93</v>
      </c>
      <c r="F183" t="s">
        <v>38</v>
      </c>
      <c r="G183" t="s">
        <v>61</v>
      </c>
      <c r="H183" t="s">
        <v>4</v>
      </c>
      <c r="I183" t="s">
        <v>1026</v>
      </c>
      <c r="J183" t="s">
        <v>446</v>
      </c>
      <c r="K183" t="s">
        <v>13</v>
      </c>
      <c r="L183" t="s">
        <v>36</v>
      </c>
      <c r="M183" t="s">
        <v>10</v>
      </c>
    </row>
    <row r="184" spans="1:13">
      <c r="A184" t="s">
        <v>1209</v>
      </c>
      <c r="B184" s="2">
        <v>45479</v>
      </c>
      <c r="C184">
        <v>2024</v>
      </c>
      <c r="D184">
        <v>7</v>
      </c>
      <c r="E184" t="s">
        <v>93</v>
      </c>
      <c r="F184" t="s">
        <v>26</v>
      </c>
      <c r="G184" t="s">
        <v>3</v>
      </c>
      <c r="H184" t="s">
        <v>4</v>
      </c>
      <c r="I184" t="s">
        <v>1029</v>
      </c>
      <c r="J184" t="s">
        <v>462</v>
      </c>
      <c r="K184" t="s">
        <v>70</v>
      </c>
      <c r="L184" t="s">
        <v>29</v>
      </c>
      <c r="M184" t="s">
        <v>10</v>
      </c>
    </row>
    <row r="185" spans="1:13">
      <c r="A185" t="s">
        <v>1210</v>
      </c>
      <c r="B185" s="2">
        <v>45482</v>
      </c>
      <c r="C185">
        <v>2024</v>
      </c>
      <c r="D185">
        <v>7</v>
      </c>
      <c r="E185" t="s">
        <v>93</v>
      </c>
      <c r="F185" t="s">
        <v>19</v>
      </c>
      <c r="G185" t="s">
        <v>32</v>
      </c>
      <c r="H185" t="s">
        <v>33</v>
      </c>
      <c r="I185" t="s">
        <v>1026</v>
      </c>
      <c r="J185" t="s">
        <v>460</v>
      </c>
      <c r="K185" t="s">
        <v>50</v>
      </c>
      <c r="L185" t="s">
        <v>9</v>
      </c>
      <c r="M185" t="s">
        <v>17</v>
      </c>
    </row>
    <row r="186" spans="1:13">
      <c r="A186" t="s">
        <v>1211</v>
      </c>
      <c r="B186" s="2">
        <v>45476</v>
      </c>
      <c r="C186">
        <v>2024</v>
      </c>
      <c r="D186">
        <v>7</v>
      </c>
      <c r="E186" t="s">
        <v>93</v>
      </c>
      <c r="F186" t="s">
        <v>38</v>
      </c>
      <c r="G186" t="s">
        <v>20</v>
      </c>
      <c r="H186" t="s">
        <v>44</v>
      </c>
      <c r="I186" t="s">
        <v>1026</v>
      </c>
      <c r="J186" t="s">
        <v>446</v>
      </c>
      <c r="K186" t="s">
        <v>50</v>
      </c>
      <c r="L186" t="s">
        <v>29</v>
      </c>
      <c r="M186" t="s">
        <v>10</v>
      </c>
    </row>
    <row r="187" spans="1:13">
      <c r="A187" t="s">
        <v>1212</v>
      </c>
      <c r="B187" s="2">
        <v>45476</v>
      </c>
      <c r="C187">
        <v>2024</v>
      </c>
      <c r="D187">
        <v>7</v>
      </c>
      <c r="E187" t="s">
        <v>93</v>
      </c>
      <c r="F187" t="s">
        <v>67</v>
      </c>
      <c r="G187" t="s">
        <v>48</v>
      </c>
      <c r="H187" t="s">
        <v>4</v>
      </c>
      <c r="I187" t="s">
        <v>1037</v>
      </c>
      <c r="J187" t="s">
        <v>1024</v>
      </c>
      <c r="K187" t="s">
        <v>13</v>
      </c>
      <c r="L187" t="s">
        <v>29</v>
      </c>
      <c r="M187" t="s">
        <v>10</v>
      </c>
    </row>
    <row r="188" spans="1:13">
      <c r="A188" t="s">
        <v>1213</v>
      </c>
      <c r="B188" s="2">
        <v>45494</v>
      </c>
      <c r="C188">
        <v>2024</v>
      </c>
      <c r="D188">
        <v>7</v>
      </c>
      <c r="E188" t="s">
        <v>93</v>
      </c>
      <c r="F188" t="s">
        <v>54</v>
      </c>
      <c r="G188" t="s">
        <v>61</v>
      </c>
      <c r="H188" t="s">
        <v>44</v>
      </c>
      <c r="I188" t="s">
        <v>1023</v>
      </c>
      <c r="J188" t="s">
        <v>1024</v>
      </c>
      <c r="K188" t="s">
        <v>34</v>
      </c>
      <c r="L188" t="s">
        <v>29</v>
      </c>
      <c r="M188" t="s">
        <v>17</v>
      </c>
    </row>
    <row r="189" spans="1:13">
      <c r="A189" t="s">
        <v>1214</v>
      </c>
      <c r="B189" s="2">
        <v>45498</v>
      </c>
      <c r="C189">
        <v>2024</v>
      </c>
      <c r="D189">
        <v>7</v>
      </c>
      <c r="E189" t="s">
        <v>93</v>
      </c>
      <c r="F189" t="s">
        <v>54</v>
      </c>
      <c r="G189" t="s">
        <v>74</v>
      </c>
      <c r="H189" t="s">
        <v>44</v>
      </c>
      <c r="I189" t="s">
        <v>1037</v>
      </c>
      <c r="J189" t="s">
        <v>1024</v>
      </c>
      <c r="K189" t="s">
        <v>70</v>
      </c>
      <c r="L189" t="s">
        <v>36</v>
      </c>
      <c r="M189" t="s">
        <v>17</v>
      </c>
    </row>
    <row r="190" spans="1:13">
      <c r="A190" t="s">
        <v>1215</v>
      </c>
      <c r="B190" s="2">
        <v>45499</v>
      </c>
      <c r="C190">
        <v>2024</v>
      </c>
      <c r="D190">
        <v>7</v>
      </c>
      <c r="E190" t="s">
        <v>93</v>
      </c>
      <c r="F190" t="s">
        <v>38</v>
      </c>
      <c r="G190" t="s">
        <v>3</v>
      </c>
      <c r="H190" t="s">
        <v>33</v>
      </c>
      <c r="I190" t="s">
        <v>1037</v>
      </c>
      <c r="J190" t="s">
        <v>1024</v>
      </c>
      <c r="K190" t="s">
        <v>34</v>
      </c>
      <c r="L190" t="s">
        <v>36</v>
      </c>
      <c r="M190" t="s">
        <v>17</v>
      </c>
    </row>
    <row r="191" spans="1:13">
      <c r="A191" t="s">
        <v>1216</v>
      </c>
      <c r="B191" s="2">
        <v>45481</v>
      </c>
      <c r="C191">
        <v>2024</v>
      </c>
      <c r="D191">
        <v>7</v>
      </c>
      <c r="E191" t="s">
        <v>93</v>
      </c>
      <c r="F191" t="s">
        <v>40</v>
      </c>
      <c r="G191" t="s">
        <v>3</v>
      </c>
      <c r="H191" t="s">
        <v>12</v>
      </c>
      <c r="I191" t="s">
        <v>1037</v>
      </c>
      <c r="J191" t="s">
        <v>1024</v>
      </c>
      <c r="K191" t="s">
        <v>6</v>
      </c>
      <c r="L191" t="s">
        <v>16</v>
      </c>
      <c r="M191" t="s">
        <v>17</v>
      </c>
    </row>
    <row r="192" spans="1:13">
      <c r="A192" t="s">
        <v>1217</v>
      </c>
      <c r="B192" s="2">
        <v>45494</v>
      </c>
      <c r="C192">
        <v>2024</v>
      </c>
      <c r="D192">
        <v>7</v>
      </c>
      <c r="E192" t="s">
        <v>93</v>
      </c>
      <c r="F192" t="s">
        <v>2</v>
      </c>
      <c r="G192" t="s">
        <v>74</v>
      </c>
      <c r="H192" t="s">
        <v>33</v>
      </c>
      <c r="I192" t="s">
        <v>1029</v>
      </c>
      <c r="J192" t="s">
        <v>473</v>
      </c>
      <c r="K192" t="s">
        <v>34</v>
      </c>
      <c r="L192" t="s">
        <v>16</v>
      </c>
      <c r="M192" t="s">
        <v>10</v>
      </c>
    </row>
    <row r="193" spans="1:13">
      <c r="A193" t="s">
        <v>1218</v>
      </c>
      <c r="B193" s="2">
        <v>45483</v>
      </c>
      <c r="C193">
        <v>2024</v>
      </c>
      <c r="D193">
        <v>7</v>
      </c>
      <c r="E193" t="s">
        <v>93</v>
      </c>
      <c r="F193" t="s">
        <v>2</v>
      </c>
      <c r="G193" t="s">
        <v>69</v>
      </c>
      <c r="H193" t="s">
        <v>4</v>
      </c>
      <c r="I193" t="s">
        <v>1026</v>
      </c>
      <c r="J193" t="s">
        <v>446</v>
      </c>
      <c r="K193" t="s">
        <v>50</v>
      </c>
      <c r="L193" t="s">
        <v>29</v>
      </c>
      <c r="M193" t="s">
        <v>10</v>
      </c>
    </row>
    <row r="194" spans="1:13">
      <c r="A194" t="s">
        <v>1219</v>
      </c>
      <c r="B194" s="2">
        <v>45518</v>
      </c>
      <c r="C194">
        <v>2024</v>
      </c>
      <c r="D194">
        <v>8</v>
      </c>
      <c r="E194" t="s">
        <v>101</v>
      </c>
      <c r="F194" t="s">
        <v>67</v>
      </c>
      <c r="G194" t="s">
        <v>32</v>
      </c>
      <c r="H194" t="s">
        <v>44</v>
      </c>
      <c r="I194" t="s">
        <v>1029</v>
      </c>
      <c r="J194" t="s">
        <v>464</v>
      </c>
      <c r="K194" t="s">
        <v>6</v>
      </c>
      <c r="L194" t="s">
        <v>29</v>
      </c>
      <c r="M194" t="s">
        <v>10</v>
      </c>
    </row>
    <row r="195" spans="1:13">
      <c r="A195" t="s">
        <v>1220</v>
      </c>
      <c r="B195" s="2">
        <v>45521</v>
      </c>
      <c r="C195">
        <v>2024</v>
      </c>
      <c r="D195">
        <v>8</v>
      </c>
      <c r="E195" t="s">
        <v>101</v>
      </c>
      <c r="F195" t="s">
        <v>26</v>
      </c>
      <c r="G195" t="s">
        <v>32</v>
      </c>
      <c r="H195" t="s">
        <v>4</v>
      </c>
      <c r="I195" t="s">
        <v>1026</v>
      </c>
      <c r="J195" t="s">
        <v>470</v>
      </c>
      <c r="K195" t="s">
        <v>13</v>
      </c>
      <c r="L195" t="s">
        <v>9</v>
      </c>
      <c r="M195" t="s">
        <v>10</v>
      </c>
    </row>
    <row r="196" spans="1:13">
      <c r="A196" t="s">
        <v>1221</v>
      </c>
      <c r="B196" s="2">
        <v>45527</v>
      </c>
      <c r="C196">
        <v>2024</v>
      </c>
      <c r="D196">
        <v>8</v>
      </c>
      <c r="E196" t="s">
        <v>101</v>
      </c>
      <c r="F196" t="s">
        <v>19</v>
      </c>
      <c r="G196" t="s">
        <v>3</v>
      </c>
      <c r="H196" t="s">
        <v>12</v>
      </c>
      <c r="I196" t="s">
        <v>1023</v>
      </c>
      <c r="J196" t="s">
        <v>1024</v>
      </c>
      <c r="K196" t="s">
        <v>50</v>
      </c>
      <c r="L196" t="s">
        <v>29</v>
      </c>
      <c r="M196" t="s">
        <v>10</v>
      </c>
    </row>
    <row r="197" spans="1:13">
      <c r="A197" t="s">
        <v>1222</v>
      </c>
      <c r="B197" s="2">
        <v>45522</v>
      </c>
      <c r="C197">
        <v>2024</v>
      </c>
      <c r="D197">
        <v>8</v>
      </c>
      <c r="E197" t="s">
        <v>101</v>
      </c>
      <c r="F197" t="s">
        <v>67</v>
      </c>
      <c r="G197" t="s">
        <v>61</v>
      </c>
      <c r="H197" t="s">
        <v>12</v>
      </c>
      <c r="I197" t="s">
        <v>1029</v>
      </c>
      <c r="J197" t="s">
        <v>435</v>
      </c>
      <c r="K197" t="s">
        <v>50</v>
      </c>
      <c r="L197" t="s">
        <v>29</v>
      </c>
      <c r="M197" t="s">
        <v>10</v>
      </c>
    </row>
    <row r="198" spans="1:13">
      <c r="A198" t="s">
        <v>1223</v>
      </c>
      <c r="B198" s="2">
        <v>45509</v>
      </c>
      <c r="C198">
        <v>2024</v>
      </c>
      <c r="D198">
        <v>8</v>
      </c>
      <c r="E198" t="s">
        <v>101</v>
      </c>
      <c r="F198" t="s">
        <v>2</v>
      </c>
      <c r="G198" t="s">
        <v>20</v>
      </c>
      <c r="H198" t="s">
        <v>33</v>
      </c>
      <c r="I198" t="s">
        <v>1037</v>
      </c>
      <c r="J198" t="s">
        <v>1024</v>
      </c>
      <c r="K198" t="s">
        <v>70</v>
      </c>
      <c r="L198" t="s">
        <v>16</v>
      </c>
      <c r="M198" t="s">
        <v>10</v>
      </c>
    </row>
    <row r="199" spans="1:13">
      <c r="A199" t="s">
        <v>1224</v>
      </c>
      <c r="B199" s="2">
        <v>45509</v>
      </c>
      <c r="C199">
        <v>2024</v>
      </c>
      <c r="D199">
        <v>8</v>
      </c>
      <c r="E199" t="s">
        <v>101</v>
      </c>
      <c r="F199" t="s">
        <v>54</v>
      </c>
      <c r="G199" t="s">
        <v>20</v>
      </c>
      <c r="H199" t="s">
        <v>12</v>
      </c>
      <c r="I199" t="s">
        <v>1029</v>
      </c>
      <c r="J199" t="s">
        <v>440</v>
      </c>
      <c r="K199" t="s">
        <v>50</v>
      </c>
      <c r="L199" t="s">
        <v>9</v>
      </c>
      <c r="M199" t="s">
        <v>17</v>
      </c>
    </row>
    <row r="200" spans="1:13">
      <c r="A200" t="s">
        <v>1225</v>
      </c>
      <c r="B200" s="2">
        <v>45531</v>
      </c>
      <c r="C200">
        <v>2024</v>
      </c>
      <c r="D200">
        <v>8</v>
      </c>
      <c r="E200" t="s">
        <v>101</v>
      </c>
      <c r="F200" t="s">
        <v>47</v>
      </c>
      <c r="G200" t="s">
        <v>27</v>
      </c>
      <c r="H200" t="s">
        <v>44</v>
      </c>
      <c r="I200" t="s">
        <v>1023</v>
      </c>
      <c r="J200" t="s">
        <v>1024</v>
      </c>
      <c r="K200" t="s">
        <v>70</v>
      </c>
      <c r="L200" t="s">
        <v>36</v>
      </c>
      <c r="M200" t="s">
        <v>17</v>
      </c>
    </row>
    <row r="201" spans="1:13">
      <c r="A201" t="s">
        <v>1226</v>
      </c>
      <c r="B201" s="2">
        <v>45518</v>
      </c>
      <c r="C201">
        <v>2024</v>
      </c>
      <c r="D201">
        <v>8</v>
      </c>
      <c r="E201" t="s">
        <v>101</v>
      </c>
      <c r="F201" t="s">
        <v>38</v>
      </c>
      <c r="G201" t="s">
        <v>3</v>
      </c>
      <c r="H201" t="s">
        <v>12</v>
      </c>
      <c r="I201" t="s">
        <v>1029</v>
      </c>
      <c r="J201" t="s">
        <v>464</v>
      </c>
      <c r="K201" t="s">
        <v>13</v>
      </c>
      <c r="L201" t="s">
        <v>36</v>
      </c>
      <c r="M201" t="s">
        <v>10</v>
      </c>
    </row>
    <row r="202" spans="1:13">
      <c r="A202" t="s">
        <v>1227</v>
      </c>
      <c r="B202" s="2">
        <v>45526</v>
      </c>
      <c r="C202">
        <v>2024</v>
      </c>
      <c r="D202">
        <v>8</v>
      </c>
      <c r="E202" t="s">
        <v>101</v>
      </c>
      <c r="F202" t="s">
        <v>31</v>
      </c>
      <c r="G202" t="s">
        <v>20</v>
      </c>
      <c r="H202" t="s">
        <v>4</v>
      </c>
      <c r="I202" t="s">
        <v>1037</v>
      </c>
      <c r="J202" t="s">
        <v>1024</v>
      </c>
      <c r="K202" t="s">
        <v>34</v>
      </c>
      <c r="L202" t="s">
        <v>16</v>
      </c>
      <c r="M202" t="s">
        <v>17</v>
      </c>
    </row>
    <row r="203" spans="1:13">
      <c r="A203" t="s">
        <v>1228</v>
      </c>
      <c r="B203" s="2">
        <v>45527</v>
      </c>
      <c r="C203">
        <v>2024</v>
      </c>
      <c r="D203">
        <v>8</v>
      </c>
      <c r="E203" t="s">
        <v>101</v>
      </c>
      <c r="F203" t="s">
        <v>2</v>
      </c>
      <c r="G203" t="s">
        <v>3</v>
      </c>
      <c r="H203" t="s">
        <v>33</v>
      </c>
      <c r="I203" t="s">
        <v>1026</v>
      </c>
      <c r="J203" t="s">
        <v>466</v>
      </c>
      <c r="K203" t="s">
        <v>34</v>
      </c>
      <c r="L203" t="s">
        <v>9</v>
      </c>
      <c r="M203" t="s">
        <v>10</v>
      </c>
    </row>
    <row r="204" spans="1:13">
      <c r="A204" t="s">
        <v>1229</v>
      </c>
      <c r="B204" s="2">
        <v>45520</v>
      </c>
      <c r="C204">
        <v>2024</v>
      </c>
      <c r="D204">
        <v>8</v>
      </c>
      <c r="E204" t="s">
        <v>101</v>
      </c>
      <c r="F204" t="s">
        <v>38</v>
      </c>
      <c r="G204" t="s">
        <v>74</v>
      </c>
      <c r="H204" t="s">
        <v>33</v>
      </c>
      <c r="I204" t="s">
        <v>1023</v>
      </c>
      <c r="J204" t="s">
        <v>1024</v>
      </c>
      <c r="K204" t="s">
        <v>34</v>
      </c>
      <c r="L204" t="s">
        <v>9</v>
      </c>
      <c r="M204" t="s">
        <v>17</v>
      </c>
    </row>
    <row r="205" spans="1:13">
      <c r="A205" t="s">
        <v>1230</v>
      </c>
      <c r="B205" s="2">
        <v>45508</v>
      </c>
      <c r="C205">
        <v>2024</v>
      </c>
      <c r="D205">
        <v>8</v>
      </c>
      <c r="E205" t="s">
        <v>101</v>
      </c>
      <c r="F205" t="s">
        <v>67</v>
      </c>
      <c r="G205" t="s">
        <v>38</v>
      </c>
      <c r="H205" t="s">
        <v>12</v>
      </c>
      <c r="I205" t="s">
        <v>1026</v>
      </c>
      <c r="J205" t="s">
        <v>446</v>
      </c>
      <c r="K205" t="s">
        <v>50</v>
      </c>
      <c r="L205" t="s">
        <v>9</v>
      </c>
      <c r="M205" t="s">
        <v>17</v>
      </c>
    </row>
    <row r="206" spans="1:13">
      <c r="A206" t="s">
        <v>1231</v>
      </c>
      <c r="B206" s="2">
        <v>45532</v>
      </c>
      <c r="C206">
        <v>2024</v>
      </c>
      <c r="D206">
        <v>8</v>
      </c>
      <c r="E206" t="s">
        <v>101</v>
      </c>
      <c r="F206" t="s">
        <v>40</v>
      </c>
      <c r="G206" t="s">
        <v>20</v>
      </c>
      <c r="H206" t="s">
        <v>4</v>
      </c>
      <c r="I206" t="s">
        <v>1029</v>
      </c>
      <c r="J206" t="s">
        <v>473</v>
      </c>
      <c r="K206" t="s">
        <v>13</v>
      </c>
      <c r="L206" t="s">
        <v>29</v>
      </c>
      <c r="M206" t="s">
        <v>17</v>
      </c>
    </row>
    <row r="207" spans="1:13">
      <c r="A207" t="s">
        <v>1232</v>
      </c>
      <c r="B207" s="2">
        <v>45524</v>
      </c>
      <c r="C207">
        <v>2024</v>
      </c>
      <c r="D207">
        <v>8</v>
      </c>
      <c r="E207" t="s">
        <v>101</v>
      </c>
      <c r="F207" t="s">
        <v>67</v>
      </c>
      <c r="G207" t="s">
        <v>69</v>
      </c>
      <c r="H207" t="s">
        <v>33</v>
      </c>
      <c r="I207" t="s">
        <v>1026</v>
      </c>
      <c r="J207" t="s">
        <v>446</v>
      </c>
      <c r="K207" t="s">
        <v>6</v>
      </c>
      <c r="L207" t="s">
        <v>29</v>
      </c>
      <c r="M207" t="s">
        <v>10</v>
      </c>
    </row>
    <row r="208" spans="1:13">
      <c r="A208" t="s">
        <v>1233</v>
      </c>
      <c r="B208" s="2">
        <v>45521</v>
      </c>
      <c r="C208">
        <v>2024</v>
      </c>
      <c r="D208">
        <v>8</v>
      </c>
      <c r="E208" t="s">
        <v>101</v>
      </c>
      <c r="F208" t="s">
        <v>40</v>
      </c>
      <c r="G208" t="s">
        <v>61</v>
      </c>
      <c r="H208" t="s">
        <v>44</v>
      </c>
      <c r="I208" t="s">
        <v>1029</v>
      </c>
      <c r="J208" t="s">
        <v>452</v>
      </c>
      <c r="K208" t="s">
        <v>6</v>
      </c>
      <c r="L208" t="s">
        <v>29</v>
      </c>
      <c r="M208" t="s">
        <v>10</v>
      </c>
    </row>
    <row r="209" spans="1:13">
      <c r="A209" t="s">
        <v>1234</v>
      </c>
      <c r="B209" s="2">
        <v>45530</v>
      </c>
      <c r="C209">
        <v>2024</v>
      </c>
      <c r="D209">
        <v>8</v>
      </c>
      <c r="E209" t="s">
        <v>101</v>
      </c>
      <c r="F209" t="s">
        <v>2</v>
      </c>
      <c r="G209" t="s">
        <v>38</v>
      </c>
      <c r="H209" t="s">
        <v>12</v>
      </c>
      <c r="I209" t="s">
        <v>1023</v>
      </c>
      <c r="J209" t="s">
        <v>1024</v>
      </c>
      <c r="K209" t="s">
        <v>50</v>
      </c>
      <c r="L209" t="s">
        <v>9</v>
      </c>
      <c r="M209" t="s">
        <v>17</v>
      </c>
    </row>
    <row r="210" spans="1:13">
      <c r="A210" t="s">
        <v>1235</v>
      </c>
      <c r="B210" s="2">
        <v>45513</v>
      </c>
      <c r="C210">
        <v>2024</v>
      </c>
      <c r="D210">
        <v>8</v>
      </c>
      <c r="E210" t="s">
        <v>101</v>
      </c>
      <c r="F210" t="s">
        <v>40</v>
      </c>
      <c r="G210" t="s">
        <v>32</v>
      </c>
      <c r="H210" t="s">
        <v>12</v>
      </c>
      <c r="I210" t="s">
        <v>1029</v>
      </c>
      <c r="J210" t="s">
        <v>438</v>
      </c>
      <c r="K210" t="s">
        <v>70</v>
      </c>
      <c r="L210" t="s">
        <v>9</v>
      </c>
      <c r="M210" t="s">
        <v>10</v>
      </c>
    </row>
    <row r="211" spans="1:13">
      <c r="A211" t="s">
        <v>1236</v>
      </c>
      <c r="B211" s="2">
        <v>45515</v>
      </c>
      <c r="C211">
        <v>2024</v>
      </c>
      <c r="D211">
        <v>8</v>
      </c>
      <c r="E211" t="s">
        <v>101</v>
      </c>
      <c r="F211" t="s">
        <v>2</v>
      </c>
      <c r="G211" t="s">
        <v>32</v>
      </c>
      <c r="H211" t="s">
        <v>12</v>
      </c>
      <c r="I211" t="s">
        <v>1026</v>
      </c>
      <c r="J211" t="s">
        <v>428</v>
      </c>
      <c r="K211" t="s">
        <v>50</v>
      </c>
      <c r="L211" t="s">
        <v>16</v>
      </c>
      <c r="M211" t="s">
        <v>10</v>
      </c>
    </row>
    <row r="212" spans="1:13">
      <c r="A212" t="s">
        <v>1237</v>
      </c>
      <c r="B212" s="2">
        <v>45528</v>
      </c>
      <c r="C212">
        <v>2024</v>
      </c>
      <c r="D212">
        <v>8</v>
      </c>
      <c r="E212" t="s">
        <v>101</v>
      </c>
      <c r="F212" t="s">
        <v>54</v>
      </c>
      <c r="G212" t="s">
        <v>74</v>
      </c>
      <c r="H212" t="s">
        <v>33</v>
      </c>
      <c r="I212" t="s">
        <v>1026</v>
      </c>
      <c r="J212" t="s">
        <v>457</v>
      </c>
      <c r="K212" t="s">
        <v>13</v>
      </c>
      <c r="L212" t="s">
        <v>9</v>
      </c>
      <c r="M212" t="s">
        <v>10</v>
      </c>
    </row>
    <row r="213" spans="1:13">
      <c r="A213" t="s">
        <v>1238</v>
      </c>
      <c r="B213" s="2">
        <v>45526</v>
      </c>
      <c r="C213">
        <v>2024</v>
      </c>
      <c r="D213">
        <v>8</v>
      </c>
      <c r="E213" t="s">
        <v>101</v>
      </c>
      <c r="F213" t="s">
        <v>2</v>
      </c>
      <c r="G213" t="s">
        <v>3</v>
      </c>
      <c r="H213" t="s">
        <v>12</v>
      </c>
      <c r="I213" t="s">
        <v>1026</v>
      </c>
      <c r="J213" t="s">
        <v>466</v>
      </c>
      <c r="K213" t="s">
        <v>34</v>
      </c>
      <c r="L213" t="s">
        <v>9</v>
      </c>
      <c r="M213" t="s">
        <v>10</v>
      </c>
    </row>
    <row r="214" spans="1:13">
      <c r="A214" t="s">
        <v>1239</v>
      </c>
      <c r="B214" s="2">
        <v>45531</v>
      </c>
      <c r="C214">
        <v>2024</v>
      </c>
      <c r="D214">
        <v>8</v>
      </c>
      <c r="E214" t="s">
        <v>101</v>
      </c>
      <c r="F214" t="s">
        <v>38</v>
      </c>
      <c r="G214" t="s">
        <v>48</v>
      </c>
      <c r="H214" t="s">
        <v>44</v>
      </c>
      <c r="I214" t="s">
        <v>1037</v>
      </c>
      <c r="J214" t="s">
        <v>1024</v>
      </c>
      <c r="K214" t="s">
        <v>70</v>
      </c>
      <c r="L214" t="s">
        <v>36</v>
      </c>
      <c r="M214" t="s">
        <v>10</v>
      </c>
    </row>
    <row r="215" spans="1:13">
      <c r="A215" t="s">
        <v>1240</v>
      </c>
      <c r="B215" s="2">
        <v>45523</v>
      </c>
      <c r="C215">
        <v>2024</v>
      </c>
      <c r="D215">
        <v>8</v>
      </c>
      <c r="E215" t="s">
        <v>101</v>
      </c>
      <c r="F215" t="s">
        <v>26</v>
      </c>
      <c r="G215" t="s">
        <v>55</v>
      </c>
      <c r="H215" t="s">
        <v>44</v>
      </c>
      <c r="I215" t="s">
        <v>1029</v>
      </c>
      <c r="J215" t="s">
        <v>431</v>
      </c>
      <c r="K215" t="s">
        <v>13</v>
      </c>
      <c r="L215" t="s">
        <v>16</v>
      </c>
      <c r="M215" t="s">
        <v>10</v>
      </c>
    </row>
    <row r="216" spans="1:13">
      <c r="A216" t="s">
        <v>1241</v>
      </c>
      <c r="B216" s="2">
        <v>45516</v>
      </c>
      <c r="C216">
        <v>2024</v>
      </c>
      <c r="D216">
        <v>8</v>
      </c>
      <c r="E216" t="s">
        <v>101</v>
      </c>
      <c r="F216" t="s">
        <v>78</v>
      </c>
      <c r="G216" t="s">
        <v>61</v>
      </c>
      <c r="H216" t="s">
        <v>4</v>
      </c>
      <c r="I216" t="s">
        <v>1023</v>
      </c>
      <c r="J216" t="s">
        <v>1024</v>
      </c>
      <c r="K216" t="s">
        <v>13</v>
      </c>
      <c r="L216" t="s">
        <v>29</v>
      </c>
      <c r="M216" t="s">
        <v>17</v>
      </c>
    </row>
    <row r="217" spans="1:13">
      <c r="A217" t="s">
        <v>1242</v>
      </c>
      <c r="B217" s="2">
        <v>45520</v>
      </c>
      <c r="C217">
        <v>2024</v>
      </c>
      <c r="D217">
        <v>8</v>
      </c>
      <c r="E217" t="s">
        <v>101</v>
      </c>
      <c r="F217" t="s">
        <v>2</v>
      </c>
      <c r="G217" t="s">
        <v>94</v>
      </c>
      <c r="H217" t="s">
        <v>44</v>
      </c>
      <c r="I217" t="s">
        <v>1029</v>
      </c>
      <c r="J217" t="s">
        <v>84</v>
      </c>
      <c r="K217" t="s">
        <v>70</v>
      </c>
      <c r="L217" t="s">
        <v>36</v>
      </c>
      <c r="M217" t="s">
        <v>10</v>
      </c>
    </row>
    <row r="218" spans="1:13">
      <c r="A218" t="s">
        <v>1243</v>
      </c>
      <c r="B218" s="2">
        <v>45529</v>
      </c>
      <c r="C218">
        <v>2024</v>
      </c>
      <c r="D218">
        <v>8</v>
      </c>
      <c r="E218" t="s">
        <v>101</v>
      </c>
      <c r="F218" t="s">
        <v>38</v>
      </c>
      <c r="G218" t="s">
        <v>38</v>
      </c>
      <c r="H218" t="s">
        <v>12</v>
      </c>
      <c r="I218" t="s">
        <v>1029</v>
      </c>
      <c r="J218" t="s">
        <v>442</v>
      </c>
      <c r="K218" t="s">
        <v>70</v>
      </c>
      <c r="L218" t="s">
        <v>36</v>
      </c>
      <c r="M218" t="s">
        <v>10</v>
      </c>
    </row>
    <row r="219" spans="1:13">
      <c r="A219" t="s">
        <v>1244</v>
      </c>
      <c r="B219" s="2">
        <v>45509</v>
      </c>
      <c r="C219">
        <v>2024</v>
      </c>
      <c r="D219">
        <v>8</v>
      </c>
      <c r="E219" t="s">
        <v>101</v>
      </c>
      <c r="F219" t="s">
        <v>2</v>
      </c>
      <c r="G219" t="s">
        <v>38</v>
      </c>
      <c r="H219" t="s">
        <v>44</v>
      </c>
      <c r="I219" t="s">
        <v>1029</v>
      </c>
      <c r="J219" t="s">
        <v>431</v>
      </c>
      <c r="K219" t="s">
        <v>13</v>
      </c>
      <c r="L219" t="s">
        <v>29</v>
      </c>
      <c r="M219" t="s">
        <v>10</v>
      </c>
    </row>
    <row r="220" spans="1:13">
      <c r="A220" t="s">
        <v>1245</v>
      </c>
      <c r="B220" s="2">
        <v>45532</v>
      </c>
      <c r="C220">
        <v>2024</v>
      </c>
      <c r="D220">
        <v>8</v>
      </c>
      <c r="E220" t="s">
        <v>101</v>
      </c>
      <c r="F220" t="s">
        <v>19</v>
      </c>
      <c r="G220" t="s">
        <v>74</v>
      </c>
      <c r="H220" t="s">
        <v>44</v>
      </c>
      <c r="I220" t="s">
        <v>1026</v>
      </c>
      <c r="J220" t="s">
        <v>428</v>
      </c>
      <c r="K220" t="s">
        <v>6</v>
      </c>
      <c r="L220" t="s">
        <v>9</v>
      </c>
      <c r="M220" t="s">
        <v>17</v>
      </c>
    </row>
    <row r="221" spans="1:13">
      <c r="A221" t="s">
        <v>1246</v>
      </c>
      <c r="B221" s="2">
        <v>45510</v>
      </c>
      <c r="C221">
        <v>2024</v>
      </c>
      <c r="D221">
        <v>8</v>
      </c>
      <c r="E221" t="s">
        <v>101</v>
      </c>
      <c r="F221" t="s">
        <v>54</v>
      </c>
      <c r="G221" t="s">
        <v>55</v>
      </c>
      <c r="H221" t="s">
        <v>33</v>
      </c>
      <c r="I221" t="s">
        <v>1029</v>
      </c>
      <c r="J221" t="s">
        <v>435</v>
      </c>
      <c r="K221" t="s">
        <v>70</v>
      </c>
      <c r="L221" t="s">
        <v>16</v>
      </c>
      <c r="M221" t="s">
        <v>10</v>
      </c>
    </row>
    <row r="222" spans="1:13">
      <c r="A222" t="s">
        <v>1247</v>
      </c>
      <c r="B222" s="2">
        <v>45508</v>
      </c>
      <c r="C222">
        <v>2024</v>
      </c>
      <c r="D222">
        <v>8</v>
      </c>
      <c r="E222" t="s">
        <v>101</v>
      </c>
      <c r="F222" t="s">
        <v>78</v>
      </c>
      <c r="G222" t="s">
        <v>74</v>
      </c>
      <c r="H222" t="s">
        <v>33</v>
      </c>
      <c r="I222" t="s">
        <v>1029</v>
      </c>
      <c r="J222" t="s">
        <v>452</v>
      </c>
      <c r="K222" t="s">
        <v>70</v>
      </c>
      <c r="L222" t="s">
        <v>36</v>
      </c>
      <c r="M222" t="s">
        <v>10</v>
      </c>
    </row>
    <row r="223" spans="1:13">
      <c r="A223" t="s">
        <v>1248</v>
      </c>
      <c r="B223" s="2">
        <v>45520</v>
      </c>
      <c r="C223">
        <v>2024</v>
      </c>
      <c r="D223">
        <v>8</v>
      </c>
      <c r="E223" t="s">
        <v>101</v>
      </c>
      <c r="F223" t="s">
        <v>54</v>
      </c>
      <c r="G223" t="s">
        <v>61</v>
      </c>
      <c r="H223" t="s">
        <v>12</v>
      </c>
      <c r="I223" t="s">
        <v>1029</v>
      </c>
      <c r="J223" t="s">
        <v>462</v>
      </c>
      <c r="K223" t="s">
        <v>50</v>
      </c>
      <c r="L223" t="s">
        <v>9</v>
      </c>
      <c r="M223" t="s">
        <v>17</v>
      </c>
    </row>
    <row r="224" spans="1:13">
      <c r="A224" t="s">
        <v>1249</v>
      </c>
      <c r="B224" s="2">
        <v>45509</v>
      </c>
      <c r="C224">
        <v>2024</v>
      </c>
      <c r="D224">
        <v>8</v>
      </c>
      <c r="E224" t="s">
        <v>101</v>
      </c>
      <c r="F224" t="s">
        <v>54</v>
      </c>
      <c r="G224" t="s">
        <v>38</v>
      </c>
      <c r="H224" t="s">
        <v>33</v>
      </c>
      <c r="I224" t="s">
        <v>1037</v>
      </c>
      <c r="J224" t="s">
        <v>1024</v>
      </c>
      <c r="K224" t="s">
        <v>70</v>
      </c>
      <c r="L224" t="s">
        <v>16</v>
      </c>
      <c r="M224" t="s">
        <v>10</v>
      </c>
    </row>
    <row r="225" spans="1:13">
      <c r="A225" t="s">
        <v>1250</v>
      </c>
      <c r="B225" s="2">
        <v>45505</v>
      </c>
      <c r="C225">
        <v>2024</v>
      </c>
      <c r="D225">
        <v>8</v>
      </c>
      <c r="E225" t="s">
        <v>101</v>
      </c>
      <c r="F225" t="s">
        <v>38</v>
      </c>
      <c r="G225" t="s">
        <v>55</v>
      </c>
      <c r="H225" t="s">
        <v>4</v>
      </c>
      <c r="I225" t="s">
        <v>1026</v>
      </c>
      <c r="J225" t="s">
        <v>466</v>
      </c>
      <c r="K225" t="s">
        <v>70</v>
      </c>
      <c r="L225" t="s">
        <v>9</v>
      </c>
      <c r="M225" t="s">
        <v>10</v>
      </c>
    </row>
    <row r="226" spans="1:13">
      <c r="A226" t="s">
        <v>1251</v>
      </c>
      <c r="B226" s="2">
        <v>45509</v>
      </c>
      <c r="C226">
        <v>2024</v>
      </c>
      <c r="D226">
        <v>8</v>
      </c>
      <c r="E226" t="s">
        <v>101</v>
      </c>
      <c r="F226" t="s">
        <v>54</v>
      </c>
      <c r="G226" t="s">
        <v>69</v>
      </c>
      <c r="H226" t="s">
        <v>12</v>
      </c>
      <c r="I226" t="s">
        <v>1029</v>
      </c>
      <c r="J226" t="s">
        <v>435</v>
      </c>
      <c r="K226" t="s">
        <v>13</v>
      </c>
      <c r="L226" t="s">
        <v>16</v>
      </c>
      <c r="M226" t="s">
        <v>10</v>
      </c>
    </row>
    <row r="227" spans="1:13">
      <c r="A227" t="s">
        <v>1252</v>
      </c>
      <c r="B227" s="2">
        <v>45526</v>
      </c>
      <c r="C227">
        <v>2024</v>
      </c>
      <c r="D227">
        <v>8</v>
      </c>
      <c r="E227" t="s">
        <v>101</v>
      </c>
      <c r="F227" t="s">
        <v>2</v>
      </c>
      <c r="G227" t="s">
        <v>20</v>
      </c>
      <c r="H227" t="s">
        <v>12</v>
      </c>
      <c r="I227" t="s">
        <v>1023</v>
      </c>
      <c r="J227" t="s">
        <v>1024</v>
      </c>
      <c r="K227" t="s">
        <v>50</v>
      </c>
      <c r="L227" t="s">
        <v>16</v>
      </c>
      <c r="M227" t="s">
        <v>10</v>
      </c>
    </row>
    <row r="228" spans="1:13">
      <c r="A228" t="s">
        <v>1253</v>
      </c>
      <c r="B228" s="2">
        <v>45530</v>
      </c>
      <c r="C228">
        <v>2024</v>
      </c>
      <c r="D228">
        <v>8</v>
      </c>
      <c r="E228" t="s">
        <v>101</v>
      </c>
      <c r="F228" t="s">
        <v>2</v>
      </c>
      <c r="G228" t="s">
        <v>38</v>
      </c>
      <c r="H228" t="s">
        <v>4</v>
      </c>
      <c r="I228" t="s">
        <v>1023</v>
      </c>
      <c r="J228" t="s">
        <v>1024</v>
      </c>
      <c r="K228" t="s">
        <v>13</v>
      </c>
      <c r="L228" t="s">
        <v>36</v>
      </c>
      <c r="M228" t="s">
        <v>10</v>
      </c>
    </row>
    <row r="229" spans="1:13">
      <c r="A229" t="s">
        <v>1254</v>
      </c>
      <c r="B229" s="2">
        <v>45522</v>
      </c>
      <c r="C229">
        <v>2024</v>
      </c>
      <c r="D229">
        <v>8</v>
      </c>
      <c r="E229" t="s">
        <v>101</v>
      </c>
      <c r="F229" t="s">
        <v>19</v>
      </c>
      <c r="G229" t="s">
        <v>61</v>
      </c>
      <c r="H229" t="s">
        <v>44</v>
      </c>
      <c r="I229" t="s">
        <v>1023</v>
      </c>
      <c r="J229" t="s">
        <v>1024</v>
      </c>
      <c r="K229" t="s">
        <v>50</v>
      </c>
      <c r="L229" t="s">
        <v>16</v>
      </c>
      <c r="M229" t="s">
        <v>17</v>
      </c>
    </row>
    <row r="230" spans="1:13">
      <c r="A230" t="s">
        <v>1255</v>
      </c>
      <c r="B230" s="2">
        <v>45529</v>
      </c>
      <c r="C230">
        <v>2024</v>
      </c>
      <c r="D230">
        <v>8</v>
      </c>
      <c r="E230" t="s">
        <v>101</v>
      </c>
      <c r="F230" t="s">
        <v>40</v>
      </c>
      <c r="G230" t="s">
        <v>38</v>
      </c>
      <c r="H230" t="s">
        <v>44</v>
      </c>
      <c r="I230" t="s">
        <v>1029</v>
      </c>
      <c r="J230" t="s">
        <v>84</v>
      </c>
      <c r="K230" t="s">
        <v>70</v>
      </c>
      <c r="L230" t="s">
        <v>9</v>
      </c>
      <c r="M230" t="s">
        <v>10</v>
      </c>
    </row>
    <row r="231" spans="1:13">
      <c r="A231" t="s">
        <v>1256</v>
      </c>
      <c r="B231" s="2">
        <v>45551</v>
      </c>
      <c r="C231">
        <v>2024</v>
      </c>
      <c r="D231">
        <v>9</v>
      </c>
      <c r="E231" t="s">
        <v>105</v>
      </c>
      <c r="F231" t="s">
        <v>19</v>
      </c>
      <c r="G231" t="s">
        <v>38</v>
      </c>
      <c r="H231" t="s">
        <v>44</v>
      </c>
      <c r="I231" t="s">
        <v>1037</v>
      </c>
      <c r="J231" t="s">
        <v>1024</v>
      </c>
      <c r="K231" t="s">
        <v>6</v>
      </c>
      <c r="L231" t="s">
        <v>36</v>
      </c>
      <c r="M231" t="s">
        <v>10</v>
      </c>
    </row>
    <row r="232" spans="1:13">
      <c r="A232" t="s">
        <v>1257</v>
      </c>
      <c r="B232" s="2">
        <v>45546</v>
      </c>
      <c r="C232">
        <v>2024</v>
      </c>
      <c r="D232">
        <v>9</v>
      </c>
      <c r="E232" t="s">
        <v>105</v>
      </c>
      <c r="F232" t="s">
        <v>2</v>
      </c>
      <c r="G232" t="s">
        <v>27</v>
      </c>
      <c r="H232" t="s">
        <v>12</v>
      </c>
      <c r="I232" t="s">
        <v>1029</v>
      </c>
      <c r="J232" t="s">
        <v>438</v>
      </c>
      <c r="K232" t="s">
        <v>34</v>
      </c>
      <c r="L232" t="s">
        <v>29</v>
      </c>
      <c r="M232" t="s">
        <v>10</v>
      </c>
    </row>
    <row r="233" spans="1:13">
      <c r="A233" t="s">
        <v>1258</v>
      </c>
      <c r="B233" s="2">
        <v>45544</v>
      </c>
      <c r="C233">
        <v>2024</v>
      </c>
      <c r="D233">
        <v>9</v>
      </c>
      <c r="E233" t="s">
        <v>105</v>
      </c>
      <c r="F233" t="s">
        <v>40</v>
      </c>
      <c r="G233" t="s">
        <v>32</v>
      </c>
      <c r="H233" t="s">
        <v>12</v>
      </c>
      <c r="I233" t="s">
        <v>1037</v>
      </c>
      <c r="J233" t="s">
        <v>1024</v>
      </c>
      <c r="K233" t="s">
        <v>13</v>
      </c>
      <c r="L233" t="s">
        <v>29</v>
      </c>
      <c r="M233" t="s">
        <v>10</v>
      </c>
    </row>
    <row r="234" spans="1:13">
      <c r="A234" t="s">
        <v>1259</v>
      </c>
      <c r="B234" s="2">
        <v>45542</v>
      </c>
      <c r="C234">
        <v>2024</v>
      </c>
      <c r="D234">
        <v>9</v>
      </c>
      <c r="E234" t="s">
        <v>105</v>
      </c>
      <c r="F234" t="s">
        <v>2</v>
      </c>
      <c r="G234" t="s">
        <v>48</v>
      </c>
      <c r="H234" t="s">
        <v>44</v>
      </c>
      <c r="I234" t="s">
        <v>1023</v>
      </c>
      <c r="J234" t="s">
        <v>1024</v>
      </c>
      <c r="K234" t="s">
        <v>34</v>
      </c>
      <c r="L234" t="s">
        <v>9</v>
      </c>
      <c r="M234" t="s">
        <v>10</v>
      </c>
    </row>
    <row r="235" spans="1:13">
      <c r="A235" t="s">
        <v>1260</v>
      </c>
      <c r="B235" s="2">
        <v>45547</v>
      </c>
      <c r="C235">
        <v>2024</v>
      </c>
      <c r="D235">
        <v>9</v>
      </c>
      <c r="E235" t="s">
        <v>105</v>
      </c>
      <c r="F235" t="s">
        <v>67</v>
      </c>
      <c r="G235" t="s">
        <v>69</v>
      </c>
      <c r="H235" t="s">
        <v>33</v>
      </c>
      <c r="I235" t="s">
        <v>1023</v>
      </c>
      <c r="J235" t="s">
        <v>1024</v>
      </c>
      <c r="K235" t="s">
        <v>70</v>
      </c>
      <c r="L235" t="s">
        <v>36</v>
      </c>
      <c r="M235" t="s">
        <v>10</v>
      </c>
    </row>
    <row r="236" spans="1:13">
      <c r="A236" t="s">
        <v>1261</v>
      </c>
      <c r="B236" s="2">
        <v>45551</v>
      </c>
      <c r="C236">
        <v>2024</v>
      </c>
      <c r="D236">
        <v>9</v>
      </c>
      <c r="E236" t="s">
        <v>105</v>
      </c>
      <c r="F236" t="s">
        <v>38</v>
      </c>
      <c r="G236" t="s">
        <v>20</v>
      </c>
      <c r="H236" t="s">
        <v>44</v>
      </c>
      <c r="I236" t="s">
        <v>1037</v>
      </c>
      <c r="J236" t="s">
        <v>1024</v>
      </c>
      <c r="K236" t="s">
        <v>34</v>
      </c>
      <c r="L236" t="s">
        <v>9</v>
      </c>
      <c r="M236" t="s">
        <v>10</v>
      </c>
    </row>
    <row r="237" spans="1:13">
      <c r="A237" t="s">
        <v>1262</v>
      </c>
      <c r="B237" s="2">
        <v>45561</v>
      </c>
      <c r="C237">
        <v>2024</v>
      </c>
      <c r="D237">
        <v>9</v>
      </c>
      <c r="E237" t="s">
        <v>105</v>
      </c>
      <c r="F237" t="s">
        <v>47</v>
      </c>
      <c r="G237" t="s">
        <v>32</v>
      </c>
      <c r="H237" t="s">
        <v>33</v>
      </c>
      <c r="I237" t="s">
        <v>1026</v>
      </c>
      <c r="J237" t="s">
        <v>457</v>
      </c>
      <c r="K237" t="s">
        <v>50</v>
      </c>
      <c r="L237" t="s">
        <v>16</v>
      </c>
      <c r="M237" t="s">
        <v>10</v>
      </c>
    </row>
    <row r="238" spans="1:13">
      <c r="A238" t="s">
        <v>1263</v>
      </c>
      <c r="B238" s="2">
        <v>45560</v>
      </c>
      <c r="C238">
        <v>2024</v>
      </c>
      <c r="D238">
        <v>9</v>
      </c>
      <c r="E238" t="s">
        <v>105</v>
      </c>
      <c r="F238" t="s">
        <v>54</v>
      </c>
      <c r="G238" t="s">
        <v>32</v>
      </c>
      <c r="H238" t="s">
        <v>4</v>
      </c>
      <c r="I238" t="s">
        <v>1026</v>
      </c>
      <c r="J238" t="s">
        <v>470</v>
      </c>
      <c r="K238" t="s">
        <v>70</v>
      </c>
      <c r="L238" t="s">
        <v>36</v>
      </c>
      <c r="M238" t="s">
        <v>10</v>
      </c>
    </row>
    <row r="239" spans="1:13">
      <c r="A239" t="s">
        <v>1264</v>
      </c>
      <c r="B239" s="2">
        <v>45545</v>
      </c>
      <c r="C239">
        <v>2024</v>
      </c>
      <c r="D239">
        <v>9</v>
      </c>
      <c r="E239" t="s">
        <v>105</v>
      </c>
      <c r="F239" t="s">
        <v>47</v>
      </c>
      <c r="G239" t="s">
        <v>27</v>
      </c>
      <c r="H239" t="s">
        <v>33</v>
      </c>
      <c r="I239" t="s">
        <v>1026</v>
      </c>
      <c r="J239" t="s">
        <v>457</v>
      </c>
      <c r="K239" t="s">
        <v>70</v>
      </c>
      <c r="L239" t="s">
        <v>29</v>
      </c>
      <c r="M239" t="s">
        <v>17</v>
      </c>
    </row>
    <row r="240" spans="1:13">
      <c r="A240" t="s">
        <v>1265</v>
      </c>
      <c r="B240" s="2">
        <v>45563</v>
      </c>
      <c r="C240">
        <v>2024</v>
      </c>
      <c r="D240">
        <v>9</v>
      </c>
      <c r="E240" t="s">
        <v>105</v>
      </c>
      <c r="F240" t="s">
        <v>38</v>
      </c>
      <c r="G240" t="s">
        <v>32</v>
      </c>
      <c r="H240" t="s">
        <v>33</v>
      </c>
      <c r="I240" t="s">
        <v>1026</v>
      </c>
      <c r="J240" t="s">
        <v>428</v>
      </c>
      <c r="K240" t="s">
        <v>34</v>
      </c>
      <c r="L240" t="s">
        <v>29</v>
      </c>
      <c r="M240" t="s">
        <v>10</v>
      </c>
    </row>
    <row r="241" spans="1:13">
      <c r="A241" t="s">
        <v>1266</v>
      </c>
      <c r="B241" s="2">
        <v>45557</v>
      </c>
      <c r="C241">
        <v>2024</v>
      </c>
      <c r="D241">
        <v>9</v>
      </c>
      <c r="E241" t="s">
        <v>105</v>
      </c>
      <c r="F241" t="s">
        <v>31</v>
      </c>
      <c r="G241" t="s">
        <v>64</v>
      </c>
      <c r="H241" t="s">
        <v>4</v>
      </c>
      <c r="I241" t="s">
        <v>1026</v>
      </c>
      <c r="J241" t="s">
        <v>519</v>
      </c>
      <c r="K241" t="s">
        <v>6</v>
      </c>
      <c r="L241" t="s">
        <v>16</v>
      </c>
      <c r="M241" t="s">
        <v>17</v>
      </c>
    </row>
    <row r="242" spans="1:13">
      <c r="A242" t="s">
        <v>1267</v>
      </c>
      <c r="B242" s="2">
        <v>45547</v>
      </c>
      <c r="C242">
        <v>2024</v>
      </c>
      <c r="D242">
        <v>9</v>
      </c>
      <c r="E242" t="s">
        <v>105</v>
      </c>
      <c r="F242" t="s">
        <v>78</v>
      </c>
      <c r="G242" t="s">
        <v>74</v>
      </c>
      <c r="H242" t="s">
        <v>12</v>
      </c>
      <c r="I242" t="s">
        <v>1029</v>
      </c>
      <c r="J242" t="s">
        <v>473</v>
      </c>
      <c r="K242" t="s">
        <v>70</v>
      </c>
      <c r="L242" t="s">
        <v>9</v>
      </c>
      <c r="M242" t="s">
        <v>10</v>
      </c>
    </row>
    <row r="243" spans="1:13">
      <c r="A243" t="s">
        <v>1268</v>
      </c>
      <c r="B243" s="2">
        <v>45560</v>
      </c>
      <c r="C243">
        <v>2024</v>
      </c>
      <c r="D243">
        <v>9</v>
      </c>
      <c r="E243" t="s">
        <v>105</v>
      </c>
      <c r="F243" t="s">
        <v>2</v>
      </c>
      <c r="G243" t="s">
        <v>69</v>
      </c>
      <c r="H243" t="s">
        <v>33</v>
      </c>
      <c r="I243" t="s">
        <v>1026</v>
      </c>
      <c r="J243" t="s">
        <v>470</v>
      </c>
      <c r="K243" t="s">
        <v>34</v>
      </c>
      <c r="L243" t="s">
        <v>9</v>
      </c>
      <c r="M243" t="s">
        <v>10</v>
      </c>
    </row>
    <row r="244" spans="1:13">
      <c r="A244" t="s">
        <v>1269</v>
      </c>
      <c r="B244" s="2">
        <v>45542</v>
      </c>
      <c r="C244">
        <v>2024</v>
      </c>
      <c r="D244">
        <v>9</v>
      </c>
      <c r="E244" t="s">
        <v>105</v>
      </c>
      <c r="F244" t="s">
        <v>40</v>
      </c>
      <c r="G244" t="s">
        <v>55</v>
      </c>
      <c r="H244" t="s">
        <v>4</v>
      </c>
      <c r="I244" t="s">
        <v>1029</v>
      </c>
      <c r="J244" t="s">
        <v>435</v>
      </c>
      <c r="K244" t="s">
        <v>70</v>
      </c>
      <c r="L244" t="s">
        <v>36</v>
      </c>
      <c r="M244" t="s">
        <v>10</v>
      </c>
    </row>
    <row r="245" spans="1:13">
      <c r="A245" t="s">
        <v>1270</v>
      </c>
      <c r="B245" s="2">
        <v>45560</v>
      </c>
      <c r="C245">
        <v>2024</v>
      </c>
      <c r="D245">
        <v>9</v>
      </c>
      <c r="E245" t="s">
        <v>105</v>
      </c>
      <c r="F245" t="s">
        <v>40</v>
      </c>
      <c r="G245" t="s">
        <v>27</v>
      </c>
      <c r="H245" t="s">
        <v>33</v>
      </c>
      <c r="I245" t="s">
        <v>1029</v>
      </c>
      <c r="J245" t="s">
        <v>452</v>
      </c>
      <c r="K245" t="s">
        <v>6</v>
      </c>
      <c r="L245" t="s">
        <v>36</v>
      </c>
      <c r="M245" t="s">
        <v>17</v>
      </c>
    </row>
    <row r="246" spans="1:13">
      <c r="A246" t="s">
        <v>1271</v>
      </c>
      <c r="B246" s="2">
        <v>45563</v>
      </c>
      <c r="C246">
        <v>2024</v>
      </c>
      <c r="D246">
        <v>9</v>
      </c>
      <c r="E246" t="s">
        <v>105</v>
      </c>
      <c r="F246" t="s">
        <v>31</v>
      </c>
      <c r="G246" t="s">
        <v>3</v>
      </c>
      <c r="H246" t="s">
        <v>12</v>
      </c>
      <c r="I246" t="s">
        <v>1023</v>
      </c>
      <c r="J246" t="s">
        <v>1024</v>
      </c>
      <c r="K246" t="s">
        <v>6</v>
      </c>
      <c r="L246" t="s">
        <v>29</v>
      </c>
      <c r="M246" t="s">
        <v>10</v>
      </c>
    </row>
    <row r="247" spans="1:13">
      <c r="A247" t="s">
        <v>1272</v>
      </c>
      <c r="B247" s="2">
        <v>45539</v>
      </c>
      <c r="C247">
        <v>2024</v>
      </c>
      <c r="D247">
        <v>9</v>
      </c>
      <c r="E247" t="s">
        <v>105</v>
      </c>
      <c r="F247" t="s">
        <v>19</v>
      </c>
      <c r="G247" t="s">
        <v>64</v>
      </c>
      <c r="H247" t="s">
        <v>33</v>
      </c>
      <c r="I247" t="s">
        <v>1029</v>
      </c>
      <c r="J247" t="s">
        <v>462</v>
      </c>
      <c r="K247" t="s">
        <v>50</v>
      </c>
      <c r="L247" t="s">
        <v>36</v>
      </c>
      <c r="M247" t="s">
        <v>17</v>
      </c>
    </row>
    <row r="248" spans="1:13">
      <c r="A248" t="s">
        <v>1273</v>
      </c>
      <c r="B248" s="2">
        <v>45551</v>
      </c>
      <c r="C248">
        <v>2024</v>
      </c>
      <c r="D248">
        <v>9</v>
      </c>
      <c r="E248" t="s">
        <v>105</v>
      </c>
      <c r="F248" t="s">
        <v>19</v>
      </c>
      <c r="G248" t="s">
        <v>3</v>
      </c>
      <c r="H248" t="s">
        <v>4</v>
      </c>
      <c r="I248" t="s">
        <v>1023</v>
      </c>
      <c r="J248" t="s">
        <v>1024</v>
      </c>
      <c r="K248" t="s">
        <v>13</v>
      </c>
      <c r="L248" t="s">
        <v>29</v>
      </c>
      <c r="M248" t="s">
        <v>10</v>
      </c>
    </row>
    <row r="249" spans="1:13">
      <c r="A249" t="s">
        <v>1274</v>
      </c>
      <c r="B249" s="2">
        <v>45546</v>
      </c>
      <c r="C249">
        <v>2024</v>
      </c>
      <c r="D249">
        <v>9</v>
      </c>
      <c r="E249" t="s">
        <v>105</v>
      </c>
      <c r="F249" t="s">
        <v>19</v>
      </c>
      <c r="G249" t="s">
        <v>74</v>
      </c>
      <c r="H249" t="s">
        <v>4</v>
      </c>
      <c r="I249" t="s">
        <v>1026</v>
      </c>
      <c r="J249" t="s">
        <v>446</v>
      </c>
      <c r="K249" t="s">
        <v>34</v>
      </c>
      <c r="L249" t="s">
        <v>36</v>
      </c>
      <c r="M249" t="s">
        <v>10</v>
      </c>
    </row>
    <row r="250" spans="1:13">
      <c r="A250" t="s">
        <v>1275</v>
      </c>
      <c r="B250" s="2">
        <v>45557</v>
      </c>
      <c r="C250">
        <v>2024</v>
      </c>
      <c r="D250">
        <v>9</v>
      </c>
      <c r="E250" t="s">
        <v>105</v>
      </c>
      <c r="F250" t="s">
        <v>40</v>
      </c>
      <c r="G250" t="s">
        <v>27</v>
      </c>
      <c r="H250" t="s">
        <v>33</v>
      </c>
      <c r="I250" t="s">
        <v>1037</v>
      </c>
      <c r="J250" t="s">
        <v>1024</v>
      </c>
      <c r="K250" t="s">
        <v>34</v>
      </c>
      <c r="L250" t="s">
        <v>16</v>
      </c>
      <c r="M250" t="s">
        <v>10</v>
      </c>
    </row>
    <row r="251" spans="1:13">
      <c r="A251" t="s">
        <v>1276</v>
      </c>
      <c r="B251" s="2">
        <v>45550</v>
      </c>
      <c r="C251">
        <v>2024</v>
      </c>
      <c r="D251">
        <v>9</v>
      </c>
      <c r="E251" t="s">
        <v>105</v>
      </c>
      <c r="F251" t="s">
        <v>47</v>
      </c>
      <c r="G251" t="s">
        <v>74</v>
      </c>
      <c r="H251" t="s">
        <v>44</v>
      </c>
      <c r="I251" t="s">
        <v>1029</v>
      </c>
      <c r="J251" t="s">
        <v>462</v>
      </c>
      <c r="K251" t="s">
        <v>70</v>
      </c>
      <c r="L251" t="s">
        <v>16</v>
      </c>
      <c r="M251" t="s">
        <v>10</v>
      </c>
    </row>
    <row r="252" spans="1:13">
      <c r="A252" t="s">
        <v>1277</v>
      </c>
      <c r="B252" s="2">
        <v>45563</v>
      </c>
      <c r="C252">
        <v>2024</v>
      </c>
      <c r="D252">
        <v>9</v>
      </c>
      <c r="E252" t="s">
        <v>105</v>
      </c>
      <c r="F252" t="s">
        <v>78</v>
      </c>
      <c r="G252" t="s">
        <v>61</v>
      </c>
      <c r="H252" t="s">
        <v>12</v>
      </c>
      <c r="I252" t="s">
        <v>1026</v>
      </c>
      <c r="J252" t="s">
        <v>457</v>
      </c>
      <c r="K252" t="s">
        <v>6</v>
      </c>
      <c r="L252" t="s">
        <v>29</v>
      </c>
      <c r="M252" t="s">
        <v>10</v>
      </c>
    </row>
    <row r="253" spans="1:13">
      <c r="A253" t="s">
        <v>1278</v>
      </c>
      <c r="B253" s="2">
        <v>45539</v>
      </c>
      <c r="C253">
        <v>2024</v>
      </c>
      <c r="D253">
        <v>9</v>
      </c>
      <c r="E253" t="s">
        <v>105</v>
      </c>
      <c r="F253" t="s">
        <v>47</v>
      </c>
      <c r="G253" t="s">
        <v>94</v>
      </c>
      <c r="H253" t="s">
        <v>33</v>
      </c>
      <c r="I253" t="s">
        <v>1029</v>
      </c>
      <c r="J253" t="s">
        <v>473</v>
      </c>
      <c r="K253" t="s">
        <v>34</v>
      </c>
      <c r="L253" t="s">
        <v>16</v>
      </c>
      <c r="M253" t="s">
        <v>10</v>
      </c>
    </row>
    <row r="254" spans="1:13">
      <c r="A254" t="s">
        <v>1279</v>
      </c>
      <c r="B254" s="2">
        <v>45541</v>
      </c>
      <c r="C254">
        <v>2024</v>
      </c>
      <c r="D254">
        <v>9</v>
      </c>
      <c r="E254" t="s">
        <v>105</v>
      </c>
      <c r="F254" t="s">
        <v>31</v>
      </c>
      <c r="G254" t="s">
        <v>61</v>
      </c>
      <c r="H254" t="s">
        <v>4</v>
      </c>
      <c r="I254" t="s">
        <v>1026</v>
      </c>
      <c r="J254" t="s">
        <v>428</v>
      </c>
      <c r="K254" t="s">
        <v>13</v>
      </c>
      <c r="L254" t="s">
        <v>29</v>
      </c>
      <c r="M254" t="s">
        <v>10</v>
      </c>
    </row>
    <row r="255" spans="1:13">
      <c r="A255" t="s">
        <v>1280</v>
      </c>
      <c r="B255" s="2">
        <v>45561</v>
      </c>
      <c r="C255">
        <v>2024</v>
      </c>
      <c r="D255">
        <v>9</v>
      </c>
      <c r="E255" t="s">
        <v>105</v>
      </c>
      <c r="F255" t="s">
        <v>26</v>
      </c>
      <c r="G255" t="s">
        <v>61</v>
      </c>
      <c r="H255" t="s">
        <v>4</v>
      </c>
      <c r="I255" t="s">
        <v>1026</v>
      </c>
      <c r="J255" t="s">
        <v>460</v>
      </c>
      <c r="K255" t="s">
        <v>50</v>
      </c>
      <c r="L255" t="s">
        <v>29</v>
      </c>
      <c r="M255" t="s">
        <v>10</v>
      </c>
    </row>
    <row r="256" spans="1:13">
      <c r="A256" t="s">
        <v>1281</v>
      </c>
      <c r="B256" s="2">
        <v>45551</v>
      </c>
      <c r="C256">
        <v>2024</v>
      </c>
      <c r="D256">
        <v>9</v>
      </c>
      <c r="E256" t="s">
        <v>105</v>
      </c>
      <c r="F256" t="s">
        <v>78</v>
      </c>
      <c r="G256" t="s">
        <v>3</v>
      </c>
      <c r="H256" t="s">
        <v>33</v>
      </c>
      <c r="I256" t="s">
        <v>1037</v>
      </c>
      <c r="J256" t="s">
        <v>1024</v>
      </c>
      <c r="K256" t="s">
        <v>70</v>
      </c>
      <c r="L256" t="s">
        <v>29</v>
      </c>
      <c r="M256" t="s">
        <v>10</v>
      </c>
    </row>
    <row r="257" spans="1:13">
      <c r="A257" t="s">
        <v>1282</v>
      </c>
      <c r="B257" s="2">
        <v>45559</v>
      </c>
      <c r="C257">
        <v>2024</v>
      </c>
      <c r="D257">
        <v>9</v>
      </c>
      <c r="E257" t="s">
        <v>105</v>
      </c>
      <c r="F257" t="s">
        <v>54</v>
      </c>
      <c r="G257" t="s">
        <v>64</v>
      </c>
      <c r="H257" t="s">
        <v>33</v>
      </c>
      <c r="I257" t="s">
        <v>1029</v>
      </c>
      <c r="J257" t="s">
        <v>462</v>
      </c>
      <c r="K257" t="s">
        <v>13</v>
      </c>
      <c r="L257" t="s">
        <v>29</v>
      </c>
      <c r="M257" t="s">
        <v>10</v>
      </c>
    </row>
    <row r="258" spans="1:13">
      <c r="A258" t="s">
        <v>1283</v>
      </c>
      <c r="B258" s="2">
        <v>45538</v>
      </c>
      <c r="C258">
        <v>2024</v>
      </c>
      <c r="D258">
        <v>9</v>
      </c>
      <c r="E258" t="s">
        <v>105</v>
      </c>
      <c r="F258" t="s">
        <v>78</v>
      </c>
      <c r="G258" t="s">
        <v>38</v>
      </c>
      <c r="H258" t="s">
        <v>12</v>
      </c>
      <c r="I258" t="s">
        <v>1026</v>
      </c>
      <c r="J258" t="s">
        <v>466</v>
      </c>
      <c r="K258" t="s">
        <v>70</v>
      </c>
      <c r="L258" t="s">
        <v>16</v>
      </c>
      <c r="M258" t="s">
        <v>17</v>
      </c>
    </row>
    <row r="259" spans="1:13">
      <c r="A259" t="s">
        <v>1284</v>
      </c>
      <c r="B259" s="2">
        <v>45542</v>
      </c>
      <c r="C259">
        <v>2024</v>
      </c>
      <c r="D259">
        <v>9</v>
      </c>
      <c r="E259" t="s">
        <v>105</v>
      </c>
      <c r="F259" t="s">
        <v>54</v>
      </c>
      <c r="G259" t="s">
        <v>38</v>
      </c>
      <c r="H259" t="s">
        <v>44</v>
      </c>
      <c r="I259" t="s">
        <v>1029</v>
      </c>
      <c r="J259" t="s">
        <v>440</v>
      </c>
      <c r="K259" t="s">
        <v>50</v>
      </c>
      <c r="L259" t="s">
        <v>29</v>
      </c>
      <c r="M259" t="s">
        <v>17</v>
      </c>
    </row>
    <row r="260" spans="1:13">
      <c r="A260" t="s">
        <v>1285</v>
      </c>
      <c r="B260" s="2">
        <v>45560</v>
      </c>
      <c r="C260">
        <v>2024</v>
      </c>
      <c r="D260">
        <v>9</v>
      </c>
      <c r="E260" t="s">
        <v>105</v>
      </c>
      <c r="F260" t="s">
        <v>2</v>
      </c>
      <c r="G260" t="s">
        <v>64</v>
      </c>
      <c r="H260" t="s">
        <v>4</v>
      </c>
      <c r="I260" t="s">
        <v>1029</v>
      </c>
      <c r="J260" t="s">
        <v>438</v>
      </c>
      <c r="K260" t="s">
        <v>13</v>
      </c>
      <c r="L260" t="s">
        <v>29</v>
      </c>
      <c r="M260" t="s">
        <v>10</v>
      </c>
    </row>
    <row r="261" spans="1:13">
      <c r="A261" t="s">
        <v>1286</v>
      </c>
      <c r="B261" s="2">
        <v>45561</v>
      </c>
      <c r="C261">
        <v>2024</v>
      </c>
      <c r="D261">
        <v>9</v>
      </c>
      <c r="E261" t="s">
        <v>105</v>
      </c>
      <c r="F261" t="s">
        <v>19</v>
      </c>
      <c r="G261" t="s">
        <v>38</v>
      </c>
      <c r="H261" t="s">
        <v>12</v>
      </c>
      <c r="I261" t="s">
        <v>1026</v>
      </c>
      <c r="J261" t="s">
        <v>454</v>
      </c>
      <c r="K261" t="s">
        <v>50</v>
      </c>
      <c r="L261" t="s">
        <v>36</v>
      </c>
      <c r="M261" t="s">
        <v>10</v>
      </c>
    </row>
    <row r="262" spans="1:13">
      <c r="A262" t="s">
        <v>1287</v>
      </c>
      <c r="B262" s="2">
        <v>45536</v>
      </c>
      <c r="C262">
        <v>2024</v>
      </c>
      <c r="D262">
        <v>9</v>
      </c>
      <c r="E262" t="s">
        <v>105</v>
      </c>
      <c r="F262" t="s">
        <v>38</v>
      </c>
      <c r="G262" t="s">
        <v>32</v>
      </c>
      <c r="H262" t="s">
        <v>4</v>
      </c>
      <c r="I262" t="s">
        <v>1026</v>
      </c>
      <c r="J262" t="s">
        <v>460</v>
      </c>
      <c r="K262" t="s">
        <v>13</v>
      </c>
      <c r="L262" t="s">
        <v>29</v>
      </c>
      <c r="M262" t="s">
        <v>10</v>
      </c>
    </row>
    <row r="263" spans="1:13">
      <c r="A263" t="s">
        <v>1288</v>
      </c>
      <c r="B263" s="2">
        <v>45536</v>
      </c>
      <c r="C263">
        <v>2024</v>
      </c>
      <c r="D263">
        <v>9</v>
      </c>
      <c r="E263" t="s">
        <v>105</v>
      </c>
      <c r="F263" t="s">
        <v>26</v>
      </c>
      <c r="G263" t="s">
        <v>38</v>
      </c>
      <c r="H263" t="s">
        <v>4</v>
      </c>
      <c r="I263" t="s">
        <v>1026</v>
      </c>
      <c r="J263" t="s">
        <v>446</v>
      </c>
      <c r="K263" t="s">
        <v>70</v>
      </c>
      <c r="L263" t="s">
        <v>16</v>
      </c>
      <c r="M263" t="s">
        <v>10</v>
      </c>
    </row>
    <row r="264" spans="1:13">
      <c r="A264" t="s">
        <v>1289</v>
      </c>
      <c r="B264" s="2">
        <v>45543</v>
      </c>
      <c r="C264">
        <v>2024</v>
      </c>
      <c r="D264">
        <v>9</v>
      </c>
      <c r="E264" t="s">
        <v>105</v>
      </c>
      <c r="F264" t="s">
        <v>67</v>
      </c>
      <c r="G264" t="s">
        <v>61</v>
      </c>
      <c r="H264" t="s">
        <v>12</v>
      </c>
      <c r="I264" t="s">
        <v>1029</v>
      </c>
      <c r="J264" t="s">
        <v>464</v>
      </c>
      <c r="K264" t="s">
        <v>70</v>
      </c>
      <c r="L264" t="s">
        <v>9</v>
      </c>
      <c r="M264" t="s">
        <v>10</v>
      </c>
    </row>
    <row r="265" spans="1:13">
      <c r="A265" t="s">
        <v>1290</v>
      </c>
      <c r="B265" s="2">
        <v>45542</v>
      </c>
      <c r="C265">
        <v>2024</v>
      </c>
      <c r="D265">
        <v>9</v>
      </c>
      <c r="E265" t="s">
        <v>105</v>
      </c>
      <c r="F265" t="s">
        <v>26</v>
      </c>
      <c r="G265" t="s">
        <v>48</v>
      </c>
      <c r="H265" t="s">
        <v>44</v>
      </c>
      <c r="I265" t="s">
        <v>1029</v>
      </c>
      <c r="J265" t="s">
        <v>438</v>
      </c>
      <c r="K265" t="s">
        <v>13</v>
      </c>
      <c r="L265" t="s">
        <v>29</v>
      </c>
      <c r="M265" t="s">
        <v>10</v>
      </c>
    </row>
    <row r="266" spans="1:13">
      <c r="A266" t="s">
        <v>1291</v>
      </c>
      <c r="B266" s="2">
        <v>45563</v>
      </c>
      <c r="C266">
        <v>2024</v>
      </c>
      <c r="D266">
        <v>9</v>
      </c>
      <c r="E266" t="s">
        <v>105</v>
      </c>
      <c r="F266" t="s">
        <v>47</v>
      </c>
      <c r="G266" t="s">
        <v>27</v>
      </c>
      <c r="H266" t="s">
        <v>44</v>
      </c>
      <c r="I266" t="s">
        <v>1023</v>
      </c>
      <c r="J266" t="s">
        <v>1024</v>
      </c>
      <c r="K266" t="s">
        <v>6</v>
      </c>
      <c r="L266" t="s">
        <v>16</v>
      </c>
      <c r="M266" t="s">
        <v>17</v>
      </c>
    </row>
    <row r="267" spans="1:13">
      <c r="A267" t="s">
        <v>1292</v>
      </c>
      <c r="B267" s="2">
        <v>45590</v>
      </c>
      <c r="C267">
        <v>2024</v>
      </c>
      <c r="D267">
        <v>10</v>
      </c>
      <c r="E267" t="s">
        <v>113</v>
      </c>
      <c r="F267" t="s">
        <v>26</v>
      </c>
      <c r="G267" t="s">
        <v>20</v>
      </c>
      <c r="H267" t="s">
        <v>4</v>
      </c>
      <c r="I267" t="s">
        <v>1026</v>
      </c>
      <c r="J267" t="s">
        <v>494</v>
      </c>
      <c r="K267" t="s">
        <v>13</v>
      </c>
      <c r="L267" t="s">
        <v>9</v>
      </c>
      <c r="M267" t="s">
        <v>10</v>
      </c>
    </row>
    <row r="268" spans="1:13">
      <c r="A268" t="s">
        <v>1293</v>
      </c>
      <c r="B268" s="2">
        <v>45581</v>
      </c>
      <c r="C268">
        <v>2024</v>
      </c>
      <c r="D268">
        <v>10</v>
      </c>
      <c r="E268" t="s">
        <v>113</v>
      </c>
      <c r="F268" t="s">
        <v>67</v>
      </c>
      <c r="G268" t="s">
        <v>48</v>
      </c>
      <c r="H268" t="s">
        <v>44</v>
      </c>
      <c r="I268" t="s">
        <v>1037</v>
      </c>
      <c r="J268" t="s">
        <v>1024</v>
      </c>
      <c r="K268" t="s">
        <v>50</v>
      </c>
      <c r="L268" t="s">
        <v>29</v>
      </c>
      <c r="M268" t="s">
        <v>17</v>
      </c>
    </row>
    <row r="269" spans="1:13">
      <c r="A269" t="s">
        <v>1294</v>
      </c>
      <c r="B269" s="2">
        <v>45578</v>
      </c>
      <c r="C269">
        <v>2024</v>
      </c>
      <c r="D269">
        <v>10</v>
      </c>
      <c r="E269" t="s">
        <v>113</v>
      </c>
      <c r="F269" t="s">
        <v>47</v>
      </c>
      <c r="G269" t="s">
        <v>94</v>
      </c>
      <c r="H269" t="s">
        <v>4</v>
      </c>
      <c r="I269" t="s">
        <v>1029</v>
      </c>
      <c r="J269" t="s">
        <v>84</v>
      </c>
      <c r="K269" t="s">
        <v>6</v>
      </c>
      <c r="L269" t="s">
        <v>36</v>
      </c>
      <c r="M269" t="s">
        <v>10</v>
      </c>
    </row>
    <row r="270" spans="1:13">
      <c r="A270" t="s">
        <v>1295</v>
      </c>
      <c r="B270" s="2">
        <v>45569</v>
      </c>
      <c r="C270">
        <v>2024</v>
      </c>
      <c r="D270">
        <v>10</v>
      </c>
      <c r="E270" t="s">
        <v>113</v>
      </c>
      <c r="F270" t="s">
        <v>31</v>
      </c>
      <c r="G270" t="s">
        <v>3</v>
      </c>
      <c r="H270" t="s">
        <v>44</v>
      </c>
      <c r="I270" t="s">
        <v>1029</v>
      </c>
      <c r="J270" t="s">
        <v>431</v>
      </c>
      <c r="K270" t="s">
        <v>13</v>
      </c>
      <c r="L270" t="s">
        <v>29</v>
      </c>
      <c r="M270" t="s">
        <v>10</v>
      </c>
    </row>
    <row r="271" spans="1:13">
      <c r="A271" t="s">
        <v>1296</v>
      </c>
      <c r="B271" s="2">
        <v>45579</v>
      </c>
      <c r="C271">
        <v>2024</v>
      </c>
      <c r="D271">
        <v>10</v>
      </c>
      <c r="E271" t="s">
        <v>113</v>
      </c>
      <c r="F271" t="s">
        <v>2</v>
      </c>
      <c r="G271" t="s">
        <v>64</v>
      </c>
      <c r="H271" t="s">
        <v>12</v>
      </c>
      <c r="I271" t="s">
        <v>1029</v>
      </c>
      <c r="J271" t="s">
        <v>438</v>
      </c>
      <c r="K271" t="s">
        <v>13</v>
      </c>
      <c r="L271" t="s">
        <v>16</v>
      </c>
      <c r="M271" t="s">
        <v>10</v>
      </c>
    </row>
    <row r="272" spans="1:13">
      <c r="A272" t="s">
        <v>1297</v>
      </c>
      <c r="B272" s="2">
        <v>45568</v>
      </c>
      <c r="C272">
        <v>2024</v>
      </c>
      <c r="D272">
        <v>10</v>
      </c>
      <c r="E272" t="s">
        <v>113</v>
      </c>
      <c r="F272" t="s">
        <v>26</v>
      </c>
      <c r="G272" t="s">
        <v>64</v>
      </c>
      <c r="H272" t="s">
        <v>4</v>
      </c>
      <c r="I272" t="s">
        <v>1029</v>
      </c>
      <c r="J272" t="s">
        <v>462</v>
      </c>
      <c r="K272" t="s">
        <v>6</v>
      </c>
      <c r="L272" t="s">
        <v>9</v>
      </c>
      <c r="M272" t="s">
        <v>10</v>
      </c>
    </row>
    <row r="273" spans="1:13">
      <c r="A273" t="s">
        <v>1298</v>
      </c>
      <c r="B273" s="2">
        <v>45581</v>
      </c>
      <c r="C273">
        <v>2024</v>
      </c>
      <c r="D273">
        <v>10</v>
      </c>
      <c r="E273" t="s">
        <v>113</v>
      </c>
      <c r="F273" t="s">
        <v>26</v>
      </c>
      <c r="G273" t="s">
        <v>27</v>
      </c>
      <c r="H273" t="s">
        <v>4</v>
      </c>
      <c r="I273" t="s">
        <v>1029</v>
      </c>
      <c r="J273" t="s">
        <v>462</v>
      </c>
      <c r="K273" t="s">
        <v>34</v>
      </c>
      <c r="L273" t="s">
        <v>29</v>
      </c>
      <c r="M273" t="s">
        <v>10</v>
      </c>
    </row>
    <row r="274" spans="1:13">
      <c r="A274" t="s">
        <v>1299</v>
      </c>
      <c r="B274" s="2">
        <v>45588</v>
      </c>
      <c r="C274">
        <v>2024</v>
      </c>
      <c r="D274">
        <v>10</v>
      </c>
      <c r="E274" t="s">
        <v>113</v>
      </c>
      <c r="F274" t="s">
        <v>67</v>
      </c>
      <c r="G274" t="s">
        <v>61</v>
      </c>
      <c r="H274" t="s">
        <v>33</v>
      </c>
      <c r="I274" t="s">
        <v>1029</v>
      </c>
      <c r="J274" t="s">
        <v>440</v>
      </c>
      <c r="K274" t="s">
        <v>34</v>
      </c>
      <c r="L274" t="s">
        <v>9</v>
      </c>
      <c r="M274" t="s">
        <v>17</v>
      </c>
    </row>
    <row r="275" spans="1:13">
      <c r="A275" t="s">
        <v>1300</v>
      </c>
      <c r="B275" s="2">
        <v>45573</v>
      </c>
      <c r="C275">
        <v>2024</v>
      </c>
      <c r="D275">
        <v>10</v>
      </c>
      <c r="E275" t="s">
        <v>113</v>
      </c>
      <c r="F275" t="s">
        <v>38</v>
      </c>
      <c r="G275" t="s">
        <v>32</v>
      </c>
      <c r="H275" t="s">
        <v>4</v>
      </c>
      <c r="I275" t="s">
        <v>1026</v>
      </c>
      <c r="J275" t="s">
        <v>470</v>
      </c>
      <c r="K275" t="s">
        <v>34</v>
      </c>
      <c r="L275" t="s">
        <v>16</v>
      </c>
      <c r="M275" t="s">
        <v>10</v>
      </c>
    </row>
    <row r="276" spans="1:13">
      <c r="A276" t="s">
        <v>1301</v>
      </c>
      <c r="B276" s="2">
        <v>45572</v>
      </c>
      <c r="C276">
        <v>2024</v>
      </c>
      <c r="D276">
        <v>10</v>
      </c>
      <c r="E276" t="s">
        <v>113</v>
      </c>
      <c r="F276" t="s">
        <v>47</v>
      </c>
      <c r="G276" t="s">
        <v>74</v>
      </c>
      <c r="H276" t="s">
        <v>4</v>
      </c>
      <c r="I276" t="s">
        <v>1026</v>
      </c>
      <c r="J276" t="s">
        <v>460</v>
      </c>
      <c r="K276" t="s">
        <v>13</v>
      </c>
      <c r="L276" t="s">
        <v>29</v>
      </c>
      <c r="M276" t="s">
        <v>10</v>
      </c>
    </row>
    <row r="277" spans="1:13">
      <c r="A277" t="s">
        <v>1302</v>
      </c>
      <c r="B277" s="2">
        <v>45570</v>
      </c>
      <c r="C277">
        <v>2024</v>
      </c>
      <c r="D277">
        <v>10</v>
      </c>
      <c r="E277" t="s">
        <v>113</v>
      </c>
      <c r="F277" t="s">
        <v>40</v>
      </c>
      <c r="G277" t="s">
        <v>64</v>
      </c>
      <c r="H277" t="s">
        <v>33</v>
      </c>
      <c r="I277" t="s">
        <v>1037</v>
      </c>
      <c r="J277" t="s">
        <v>1024</v>
      </c>
      <c r="K277" t="s">
        <v>6</v>
      </c>
      <c r="L277" t="s">
        <v>29</v>
      </c>
      <c r="M277" t="s">
        <v>10</v>
      </c>
    </row>
    <row r="278" spans="1:13">
      <c r="A278" t="s">
        <v>1303</v>
      </c>
      <c r="B278" s="2">
        <v>45576</v>
      </c>
      <c r="C278">
        <v>2024</v>
      </c>
      <c r="D278">
        <v>10</v>
      </c>
      <c r="E278" t="s">
        <v>113</v>
      </c>
      <c r="F278" t="s">
        <v>47</v>
      </c>
      <c r="G278" t="s">
        <v>20</v>
      </c>
      <c r="H278" t="s">
        <v>4</v>
      </c>
      <c r="I278" t="s">
        <v>1029</v>
      </c>
      <c r="J278" t="s">
        <v>440</v>
      </c>
      <c r="K278" t="s">
        <v>6</v>
      </c>
      <c r="L278" t="s">
        <v>16</v>
      </c>
      <c r="M278" t="s">
        <v>10</v>
      </c>
    </row>
    <row r="279" spans="1:13">
      <c r="A279" t="s">
        <v>1304</v>
      </c>
      <c r="B279" s="2">
        <v>45584</v>
      </c>
      <c r="C279">
        <v>2024</v>
      </c>
      <c r="D279">
        <v>10</v>
      </c>
      <c r="E279" t="s">
        <v>113</v>
      </c>
      <c r="F279" t="s">
        <v>54</v>
      </c>
      <c r="G279" t="s">
        <v>74</v>
      </c>
      <c r="H279" t="s">
        <v>44</v>
      </c>
      <c r="I279" t="s">
        <v>1037</v>
      </c>
      <c r="J279" t="s">
        <v>1024</v>
      </c>
      <c r="K279" t="s">
        <v>34</v>
      </c>
      <c r="L279" t="s">
        <v>36</v>
      </c>
      <c r="M279" t="s">
        <v>10</v>
      </c>
    </row>
    <row r="280" spans="1:13">
      <c r="A280" t="s">
        <v>1305</v>
      </c>
      <c r="B280" s="2">
        <v>45590</v>
      </c>
      <c r="C280">
        <v>2024</v>
      </c>
      <c r="D280">
        <v>10</v>
      </c>
      <c r="E280" t="s">
        <v>113</v>
      </c>
      <c r="F280" t="s">
        <v>19</v>
      </c>
      <c r="G280" t="s">
        <v>38</v>
      </c>
      <c r="H280" t="s">
        <v>44</v>
      </c>
      <c r="I280" t="s">
        <v>1029</v>
      </c>
      <c r="J280" t="s">
        <v>438</v>
      </c>
      <c r="K280" t="s">
        <v>6</v>
      </c>
      <c r="L280" t="s">
        <v>36</v>
      </c>
      <c r="M280" t="s">
        <v>10</v>
      </c>
    </row>
    <row r="281" spans="1:13">
      <c r="A281" t="s">
        <v>1306</v>
      </c>
      <c r="B281" s="2">
        <v>45568</v>
      </c>
      <c r="C281">
        <v>2024</v>
      </c>
      <c r="D281">
        <v>10</v>
      </c>
      <c r="E281" t="s">
        <v>113</v>
      </c>
      <c r="F281" t="s">
        <v>2</v>
      </c>
      <c r="G281" t="s">
        <v>27</v>
      </c>
      <c r="H281" t="s">
        <v>4</v>
      </c>
      <c r="I281" t="s">
        <v>1037</v>
      </c>
      <c r="J281" t="s">
        <v>1024</v>
      </c>
      <c r="K281" t="s">
        <v>70</v>
      </c>
      <c r="L281" t="s">
        <v>9</v>
      </c>
      <c r="M281" t="s">
        <v>10</v>
      </c>
    </row>
    <row r="282" spans="1:13">
      <c r="A282" t="s">
        <v>1307</v>
      </c>
      <c r="B282" s="2">
        <v>45590</v>
      </c>
      <c r="C282">
        <v>2024</v>
      </c>
      <c r="D282">
        <v>10</v>
      </c>
      <c r="E282" t="s">
        <v>113</v>
      </c>
      <c r="F282" t="s">
        <v>40</v>
      </c>
      <c r="G282" t="s">
        <v>55</v>
      </c>
      <c r="H282" t="s">
        <v>4</v>
      </c>
      <c r="I282" t="s">
        <v>1029</v>
      </c>
      <c r="J282" t="s">
        <v>442</v>
      </c>
      <c r="K282" t="s">
        <v>6</v>
      </c>
      <c r="L282" t="s">
        <v>16</v>
      </c>
      <c r="M282" t="s">
        <v>10</v>
      </c>
    </row>
    <row r="283" spans="1:13">
      <c r="A283" t="s">
        <v>1308</v>
      </c>
      <c r="B283" s="2">
        <v>45584</v>
      </c>
      <c r="C283">
        <v>2024</v>
      </c>
      <c r="D283">
        <v>10</v>
      </c>
      <c r="E283" t="s">
        <v>113</v>
      </c>
      <c r="F283" t="s">
        <v>38</v>
      </c>
      <c r="G283" t="s">
        <v>55</v>
      </c>
      <c r="H283" t="s">
        <v>12</v>
      </c>
      <c r="I283" t="s">
        <v>1023</v>
      </c>
      <c r="J283" t="s">
        <v>1024</v>
      </c>
      <c r="K283" t="s">
        <v>6</v>
      </c>
      <c r="L283" t="s">
        <v>9</v>
      </c>
      <c r="M283" t="s">
        <v>10</v>
      </c>
    </row>
    <row r="284" spans="1:13">
      <c r="A284" t="s">
        <v>1309</v>
      </c>
      <c r="B284" s="2">
        <v>45583</v>
      </c>
      <c r="C284">
        <v>2024</v>
      </c>
      <c r="D284">
        <v>10</v>
      </c>
      <c r="E284" t="s">
        <v>113</v>
      </c>
      <c r="F284" t="s">
        <v>78</v>
      </c>
      <c r="G284" t="s">
        <v>48</v>
      </c>
      <c r="H284" t="s">
        <v>33</v>
      </c>
      <c r="I284" t="s">
        <v>1037</v>
      </c>
      <c r="J284" t="s">
        <v>1024</v>
      </c>
      <c r="K284" t="s">
        <v>50</v>
      </c>
      <c r="L284" t="s">
        <v>29</v>
      </c>
      <c r="M284" t="s">
        <v>10</v>
      </c>
    </row>
    <row r="285" spans="1:13">
      <c r="A285" t="s">
        <v>1310</v>
      </c>
      <c r="B285" s="2">
        <v>45587</v>
      </c>
      <c r="C285">
        <v>2024</v>
      </c>
      <c r="D285">
        <v>10</v>
      </c>
      <c r="E285" t="s">
        <v>113</v>
      </c>
      <c r="F285" t="s">
        <v>67</v>
      </c>
      <c r="G285" t="s">
        <v>38</v>
      </c>
      <c r="H285" t="s">
        <v>33</v>
      </c>
      <c r="I285" t="s">
        <v>1023</v>
      </c>
      <c r="J285" t="s">
        <v>1024</v>
      </c>
      <c r="K285" t="s">
        <v>13</v>
      </c>
      <c r="L285" t="s">
        <v>29</v>
      </c>
      <c r="M285" t="s">
        <v>10</v>
      </c>
    </row>
    <row r="286" spans="1:13">
      <c r="A286" t="s">
        <v>1311</v>
      </c>
      <c r="B286" s="2">
        <v>45568</v>
      </c>
      <c r="C286">
        <v>2024</v>
      </c>
      <c r="D286">
        <v>10</v>
      </c>
      <c r="E286" t="s">
        <v>113</v>
      </c>
      <c r="F286" t="s">
        <v>31</v>
      </c>
      <c r="G286" t="s">
        <v>38</v>
      </c>
      <c r="H286" t="s">
        <v>33</v>
      </c>
      <c r="I286" t="s">
        <v>1029</v>
      </c>
      <c r="J286" t="s">
        <v>440</v>
      </c>
      <c r="K286" t="s">
        <v>6</v>
      </c>
      <c r="L286" t="s">
        <v>9</v>
      </c>
      <c r="M286" t="s">
        <v>17</v>
      </c>
    </row>
    <row r="287" spans="1:13">
      <c r="A287" t="s">
        <v>1312</v>
      </c>
      <c r="B287" s="2">
        <v>45583</v>
      </c>
      <c r="C287">
        <v>2024</v>
      </c>
      <c r="D287">
        <v>10</v>
      </c>
      <c r="E287" t="s">
        <v>113</v>
      </c>
      <c r="F287" t="s">
        <v>26</v>
      </c>
      <c r="G287" t="s">
        <v>3</v>
      </c>
      <c r="H287" t="s">
        <v>12</v>
      </c>
      <c r="I287" t="s">
        <v>1023</v>
      </c>
      <c r="J287" t="s">
        <v>1024</v>
      </c>
      <c r="K287" t="s">
        <v>6</v>
      </c>
      <c r="L287" t="s">
        <v>29</v>
      </c>
      <c r="M287" t="s">
        <v>10</v>
      </c>
    </row>
    <row r="288" spans="1:13">
      <c r="A288" t="s">
        <v>1313</v>
      </c>
      <c r="B288" s="2">
        <v>45582</v>
      </c>
      <c r="C288">
        <v>2024</v>
      </c>
      <c r="D288">
        <v>10</v>
      </c>
      <c r="E288" t="s">
        <v>113</v>
      </c>
      <c r="F288" t="s">
        <v>40</v>
      </c>
      <c r="G288" t="s">
        <v>38</v>
      </c>
      <c r="H288" t="s">
        <v>33</v>
      </c>
      <c r="I288" t="s">
        <v>1023</v>
      </c>
      <c r="J288" t="s">
        <v>1024</v>
      </c>
      <c r="K288" t="s">
        <v>6</v>
      </c>
      <c r="L288" t="s">
        <v>9</v>
      </c>
      <c r="M288" t="s">
        <v>10</v>
      </c>
    </row>
    <row r="289" spans="1:13">
      <c r="A289" t="s">
        <v>1314</v>
      </c>
      <c r="B289" s="2">
        <v>45577</v>
      </c>
      <c r="C289">
        <v>2024</v>
      </c>
      <c r="D289">
        <v>10</v>
      </c>
      <c r="E289" t="s">
        <v>113</v>
      </c>
      <c r="F289" t="s">
        <v>47</v>
      </c>
      <c r="G289" t="s">
        <v>55</v>
      </c>
      <c r="H289" t="s">
        <v>44</v>
      </c>
      <c r="I289" t="s">
        <v>1029</v>
      </c>
      <c r="J289" t="s">
        <v>452</v>
      </c>
      <c r="K289" t="s">
        <v>70</v>
      </c>
      <c r="L289" t="s">
        <v>16</v>
      </c>
      <c r="M289" t="s">
        <v>10</v>
      </c>
    </row>
    <row r="290" spans="1:13">
      <c r="A290" t="s">
        <v>1315</v>
      </c>
      <c r="B290" s="2">
        <v>45574</v>
      </c>
      <c r="C290">
        <v>2024</v>
      </c>
      <c r="D290">
        <v>10</v>
      </c>
      <c r="E290" t="s">
        <v>113</v>
      </c>
      <c r="F290" t="s">
        <v>67</v>
      </c>
      <c r="G290" t="s">
        <v>38</v>
      </c>
      <c r="H290" t="s">
        <v>4</v>
      </c>
      <c r="I290" t="s">
        <v>1023</v>
      </c>
      <c r="J290" t="s">
        <v>1024</v>
      </c>
      <c r="K290" t="s">
        <v>70</v>
      </c>
      <c r="L290" t="s">
        <v>29</v>
      </c>
      <c r="M290" t="s">
        <v>10</v>
      </c>
    </row>
    <row r="291" spans="1:13">
      <c r="A291" t="s">
        <v>1316</v>
      </c>
      <c r="B291" s="2">
        <v>45588</v>
      </c>
      <c r="C291">
        <v>2024</v>
      </c>
      <c r="D291">
        <v>10</v>
      </c>
      <c r="E291" t="s">
        <v>113</v>
      </c>
      <c r="F291" t="s">
        <v>38</v>
      </c>
      <c r="G291" t="s">
        <v>3</v>
      </c>
      <c r="H291" t="s">
        <v>4</v>
      </c>
      <c r="I291" t="s">
        <v>1029</v>
      </c>
      <c r="J291" t="s">
        <v>442</v>
      </c>
      <c r="K291" t="s">
        <v>34</v>
      </c>
      <c r="L291" t="s">
        <v>36</v>
      </c>
      <c r="M291" t="s">
        <v>10</v>
      </c>
    </row>
    <row r="292" spans="1:13">
      <c r="A292" t="s">
        <v>1317</v>
      </c>
      <c r="B292" s="2">
        <v>45586</v>
      </c>
      <c r="C292">
        <v>2024</v>
      </c>
      <c r="D292">
        <v>10</v>
      </c>
      <c r="E292" t="s">
        <v>113</v>
      </c>
      <c r="F292" t="s">
        <v>67</v>
      </c>
      <c r="G292" t="s">
        <v>32</v>
      </c>
      <c r="H292" t="s">
        <v>44</v>
      </c>
      <c r="I292" t="s">
        <v>1023</v>
      </c>
      <c r="J292" t="s">
        <v>1024</v>
      </c>
      <c r="K292" t="s">
        <v>6</v>
      </c>
      <c r="L292" t="s">
        <v>36</v>
      </c>
      <c r="M292" t="s">
        <v>10</v>
      </c>
    </row>
    <row r="293" spans="1:13">
      <c r="A293" t="s">
        <v>1318</v>
      </c>
      <c r="B293" s="2">
        <v>45581</v>
      </c>
      <c r="C293">
        <v>2024</v>
      </c>
      <c r="D293">
        <v>10</v>
      </c>
      <c r="E293" t="s">
        <v>113</v>
      </c>
      <c r="F293" t="s">
        <v>38</v>
      </c>
      <c r="G293" t="s">
        <v>3</v>
      </c>
      <c r="H293" t="s">
        <v>4</v>
      </c>
      <c r="I293" t="s">
        <v>1037</v>
      </c>
      <c r="J293" t="s">
        <v>1024</v>
      </c>
      <c r="K293" t="s">
        <v>70</v>
      </c>
      <c r="L293" t="s">
        <v>36</v>
      </c>
      <c r="M293" t="s">
        <v>10</v>
      </c>
    </row>
    <row r="294" spans="1:13">
      <c r="A294" t="s">
        <v>1319</v>
      </c>
      <c r="B294" s="2">
        <v>45583</v>
      </c>
      <c r="C294">
        <v>2024</v>
      </c>
      <c r="D294">
        <v>10</v>
      </c>
      <c r="E294" t="s">
        <v>113</v>
      </c>
      <c r="F294" t="s">
        <v>78</v>
      </c>
      <c r="G294" t="s">
        <v>74</v>
      </c>
      <c r="H294" t="s">
        <v>12</v>
      </c>
      <c r="I294" t="s">
        <v>1037</v>
      </c>
      <c r="J294" t="s">
        <v>1024</v>
      </c>
      <c r="K294" t="s">
        <v>13</v>
      </c>
      <c r="L294" t="s">
        <v>9</v>
      </c>
      <c r="M294" t="s">
        <v>10</v>
      </c>
    </row>
    <row r="295" spans="1:13">
      <c r="A295" t="s">
        <v>1320</v>
      </c>
      <c r="B295" s="2">
        <v>45578</v>
      </c>
      <c r="C295">
        <v>2024</v>
      </c>
      <c r="D295">
        <v>10</v>
      </c>
      <c r="E295" t="s">
        <v>113</v>
      </c>
      <c r="F295" t="s">
        <v>2</v>
      </c>
      <c r="G295" t="s">
        <v>69</v>
      </c>
      <c r="H295" t="s">
        <v>4</v>
      </c>
      <c r="I295" t="s">
        <v>1026</v>
      </c>
      <c r="J295" t="s">
        <v>494</v>
      </c>
      <c r="K295" t="s">
        <v>6</v>
      </c>
      <c r="L295" t="s">
        <v>36</v>
      </c>
      <c r="M295" t="s">
        <v>10</v>
      </c>
    </row>
    <row r="296" spans="1:13">
      <c r="A296" t="s">
        <v>1321</v>
      </c>
      <c r="B296" s="2">
        <v>45570</v>
      </c>
      <c r="C296">
        <v>2024</v>
      </c>
      <c r="D296">
        <v>10</v>
      </c>
      <c r="E296" t="s">
        <v>113</v>
      </c>
      <c r="F296" t="s">
        <v>19</v>
      </c>
      <c r="G296" t="s">
        <v>64</v>
      </c>
      <c r="H296" t="s">
        <v>4</v>
      </c>
      <c r="I296" t="s">
        <v>1026</v>
      </c>
      <c r="J296" t="s">
        <v>446</v>
      </c>
      <c r="K296" t="s">
        <v>6</v>
      </c>
      <c r="L296" t="s">
        <v>29</v>
      </c>
      <c r="M296" t="s">
        <v>10</v>
      </c>
    </row>
    <row r="297" spans="1:13">
      <c r="A297" t="s">
        <v>1322</v>
      </c>
      <c r="B297" s="2">
        <v>45579</v>
      </c>
      <c r="C297">
        <v>2024</v>
      </c>
      <c r="D297">
        <v>10</v>
      </c>
      <c r="E297" t="s">
        <v>113</v>
      </c>
      <c r="F297" t="s">
        <v>40</v>
      </c>
      <c r="G297" t="s">
        <v>48</v>
      </c>
      <c r="H297" t="s">
        <v>33</v>
      </c>
      <c r="I297" t="s">
        <v>1026</v>
      </c>
      <c r="J297" t="s">
        <v>446</v>
      </c>
      <c r="K297" t="s">
        <v>70</v>
      </c>
      <c r="L297" t="s">
        <v>36</v>
      </c>
      <c r="M297" t="s">
        <v>10</v>
      </c>
    </row>
    <row r="298" spans="1:13">
      <c r="A298" t="s">
        <v>1323</v>
      </c>
      <c r="B298" s="2">
        <v>45570</v>
      </c>
      <c r="C298">
        <v>2024</v>
      </c>
      <c r="D298">
        <v>10</v>
      </c>
      <c r="E298" t="s">
        <v>113</v>
      </c>
      <c r="F298" t="s">
        <v>40</v>
      </c>
      <c r="G298" t="s">
        <v>38</v>
      </c>
      <c r="H298" t="s">
        <v>44</v>
      </c>
      <c r="I298" t="s">
        <v>1037</v>
      </c>
      <c r="J298" t="s">
        <v>1024</v>
      </c>
      <c r="K298" t="s">
        <v>34</v>
      </c>
      <c r="L298" t="s">
        <v>9</v>
      </c>
      <c r="M298" t="s">
        <v>10</v>
      </c>
    </row>
    <row r="299" spans="1:13">
      <c r="A299" t="s">
        <v>1324</v>
      </c>
      <c r="B299" s="2">
        <v>45568</v>
      </c>
      <c r="C299">
        <v>2024</v>
      </c>
      <c r="D299">
        <v>10</v>
      </c>
      <c r="E299" t="s">
        <v>113</v>
      </c>
      <c r="F299" t="s">
        <v>26</v>
      </c>
      <c r="G299" t="s">
        <v>64</v>
      </c>
      <c r="H299" t="s">
        <v>33</v>
      </c>
      <c r="I299" t="s">
        <v>1026</v>
      </c>
      <c r="J299" t="s">
        <v>460</v>
      </c>
      <c r="K299" t="s">
        <v>34</v>
      </c>
      <c r="L299" t="s">
        <v>29</v>
      </c>
      <c r="M299" t="s">
        <v>17</v>
      </c>
    </row>
    <row r="300" spans="1:13">
      <c r="A300" t="s">
        <v>1325</v>
      </c>
      <c r="B300" s="2">
        <v>45585</v>
      </c>
      <c r="C300">
        <v>2024</v>
      </c>
      <c r="D300">
        <v>10</v>
      </c>
      <c r="E300" t="s">
        <v>113</v>
      </c>
      <c r="F300" t="s">
        <v>78</v>
      </c>
      <c r="G300" t="s">
        <v>20</v>
      </c>
      <c r="H300" t="s">
        <v>4</v>
      </c>
      <c r="I300" t="s">
        <v>1029</v>
      </c>
      <c r="J300" t="s">
        <v>462</v>
      </c>
      <c r="K300" t="s">
        <v>70</v>
      </c>
      <c r="L300" t="s">
        <v>16</v>
      </c>
      <c r="M300" t="s">
        <v>17</v>
      </c>
    </row>
    <row r="301" spans="1:13">
      <c r="A301" t="s">
        <v>1326</v>
      </c>
      <c r="B301" s="2">
        <v>45590</v>
      </c>
      <c r="C301">
        <v>2024</v>
      </c>
      <c r="D301">
        <v>10</v>
      </c>
      <c r="E301" t="s">
        <v>113</v>
      </c>
      <c r="F301" t="s">
        <v>78</v>
      </c>
      <c r="G301" t="s">
        <v>61</v>
      </c>
      <c r="H301" t="s">
        <v>33</v>
      </c>
      <c r="I301" t="s">
        <v>1037</v>
      </c>
      <c r="J301" t="s">
        <v>1024</v>
      </c>
      <c r="K301" t="s">
        <v>6</v>
      </c>
      <c r="L301" t="s">
        <v>16</v>
      </c>
      <c r="M301" t="s">
        <v>10</v>
      </c>
    </row>
    <row r="302" spans="1:13">
      <c r="A302" t="s">
        <v>1327</v>
      </c>
      <c r="B302" s="2">
        <v>45588</v>
      </c>
      <c r="C302">
        <v>2024</v>
      </c>
      <c r="D302">
        <v>10</v>
      </c>
      <c r="E302" t="s">
        <v>113</v>
      </c>
      <c r="F302" t="s">
        <v>78</v>
      </c>
      <c r="G302" t="s">
        <v>38</v>
      </c>
      <c r="H302" t="s">
        <v>12</v>
      </c>
      <c r="I302" t="s">
        <v>1026</v>
      </c>
      <c r="J302" t="s">
        <v>454</v>
      </c>
      <c r="K302" t="s">
        <v>70</v>
      </c>
      <c r="L302" t="s">
        <v>29</v>
      </c>
      <c r="M302" t="s">
        <v>10</v>
      </c>
    </row>
    <row r="303" spans="1:13">
      <c r="A303" t="s">
        <v>1328</v>
      </c>
      <c r="B303" s="2">
        <v>45590</v>
      </c>
      <c r="C303">
        <v>2024</v>
      </c>
      <c r="D303">
        <v>10</v>
      </c>
      <c r="E303" t="s">
        <v>113</v>
      </c>
      <c r="F303" t="s">
        <v>40</v>
      </c>
      <c r="G303" t="s">
        <v>27</v>
      </c>
      <c r="H303" t="s">
        <v>4</v>
      </c>
      <c r="I303" t="s">
        <v>1029</v>
      </c>
      <c r="J303" t="s">
        <v>442</v>
      </c>
      <c r="K303" t="s">
        <v>34</v>
      </c>
      <c r="L303" t="s">
        <v>16</v>
      </c>
      <c r="M303" t="s">
        <v>10</v>
      </c>
    </row>
    <row r="304" spans="1:13">
      <c r="A304" t="s">
        <v>1329</v>
      </c>
      <c r="B304" s="2">
        <v>45585</v>
      </c>
      <c r="C304">
        <v>2024</v>
      </c>
      <c r="D304">
        <v>10</v>
      </c>
      <c r="E304" t="s">
        <v>113</v>
      </c>
      <c r="F304" t="s">
        <v>47</v>
      </c>
      <c r="G304" t="s">
        <v>38</v>
      </c>
      <c r="H304" t="s">
        <v>33</v>
      </c>
      <c r="I304" t="s">
        <v>1026</v>
      </c>
      <c r="J304" t="s">
        <v>494</v>
      </c>
      <c r="K304" t="s">
        <v>50</v>
      </c>
      <c r="L304" t="s">
        <v>16</v>
      </c>
      <c r="M304" t="s">
        <v>10</v>
      </c>
    </row>
    <row r="305" spans="1:13">
      <c r="A305" t="s">
        <v>1330</v>
      </c>
      <c r="B305" s="2">
        <v>45569</v>
      </c>
      <c r="C305">
        <v>2024</v>
      </c>
      <c r="D305">
        <v>10</v>
      </c>
      <c r="E305" t="s">
        <v>113</v>
      </c>
      <c r="F305" t="s">
        <v>31</v>
      </c>
      <c r="G305" t="s">
        <v>38</v>
      </c>
      <c r="H305" t="s">
        <v>44</v>
      </c>
      <c r="I305" t="s">
        <v>1037</v>
      </c>
      <c r="J305" t="s">
        <v>1024</v>
      </c>
      <c r="K305" t="s">
        <v>70</v>
      </c>
      <c r="L305" t="s">
        <v>29</v>
      </c>
      <c r="M305" t="s">
        <v>10</v>
      </c>
    </row>
    <row r="306" spans="1:13">
      <c r="A306" t="s">
        <v>1331</v>
      </c>
      <c r="B306" s="2">
        <v>45577</v>
      </c>
      <c r="C306">
        <v>2024</v>
      </c>
      <c r="D306">
        <v>10</v>
      </c>
      <c r="E306" t="s">
        <v>113</v>
      </c>
      <c r="F306" t="s">
        <v>2</v>
      </c>
      <c r="G306" t="s">
        <v>20</v>
      </c>
      <c r="H306" t="s">
        <v>33</v>
      </c>
      <c r="I306" t="s">
        <v>1026</v>
      </c>
      <c r="J306" t="s">
        <v>444</v>
      </c>
      <c r="K306" t="s">
        <v>50</v>
      </c>
      <c r="L306" t="s">
        <v>9</v>
      </c>
      <c r="M306" t="s">
        <v>10</v>
      </c>
    </row>
    <row r="307" spans="1:13">
      <c r="A307" t="s">
        <v>1332</v>
      </c>
      <c r="B307" s="2">
        <v>45568</v>
      </c>
      <c r="C307">
        <v>2024</v>
      </c>
      <c r="D307">
        <v>10</v>
      </c>
      <c r="E307" t="s">
        <v>113</v>
      </c>
      <c r="F307" t="s">
        <v>40</v>
      </c>
      <c r="G307" t="s">
        <v>32</v>
      </c>
      <c r="H307" t="s">
        <v>33</v>
      </c>
      <c r="I307" t="s">
        <v>1029</v>
      </c>
      <c r="J307" t="s">
        <v>452</v>
      </c>
      <c r="K307" t="s">
        <v>70</v>
      </c>
      <c r="L307" t="s">
        <v>36</v>
      </c>
      <c r="M307" t="s">
        <v>17</v>
      </c>
    </row>
    <row r="308" spans="1:13">
      <c r="A308" t="s">
        <v>1333</v>
      </c>
      <c r="B308" s="2">
        <v>45581</v>
      </c>
      <c r="C308">
        <v>2024</v>
      </c>
      <c r="D308">
        <v>10</v>
      </c>
      <c r="E308" t="s">
        <v>113</v>
      </c>
      <c r="F308" t="s">
        <v>47</v>
      </c>
      <c r="G308" t="s">
        <v>74</v>
      </c>
      <c r="H308" t="s">
        <v>12</v>
      </c>
      <c r="I308" t="s">
        <v>1023</v>
      </c>
      <c r="J308" t="s">
        <v>1024</v>
      </c>
      <c r="K308" t="s">
        <v>13</v>
      </c>
      <c r="L308" t="s">
        <v>9</v>
      </c>
      <c r="M308" t="s">
        <v>10</v>
      </c>
    </row>
    <row r="309" spans="1:13">
      <c r="A309" t="s">
        <v>1334</v>
      </c>
      <c r="B309" s="2">
        <v>45586</v>
      </c>
      <c r="C309">
        <v>2024</v>
      </c>
      <c r="D309">
        <v>10</v>
      </c>
      <c r="E309" t="s">
        <v>113</v>
      </c>
      <c r="F309" t="s">
        <v>19</v>
      </c>
      <c r="G309" t="s">
        <v>32</v>
      </c>
      <c r="H309" t="s">
        <v>44</v>
      </c>
      <c r="I309" t="s">
        <v>1026</v>
      </c>
      <c r="J309" t="s">
        <v>466</v>
      </c>
      <c r="K309" t="s">
        <v>34</v>
      </c>
      <c r="L309" t="s">
        <v>16</v>
      </c>
      <c r="M309" t="s">
        <v>17</v>
      </c>
    </row>
    <row r="310" spans="1:13">
      <c r="A310" t="s">
        <v>1335</v>
      </c>
      <c r="B310" s="2">
        <v>45579</v>
      </c>
      <c r="C310">
        <v>2024</v>
      </c>
      <c r="D310">
        <v>10</v>
      </c>
      <c r="E310" t="s">
        <v>113</v>
      </c>
      <c r="F310" t="s">
        <v>78</v>
      </c>
      <c r="G310" t="s">
        <v>61</v>
      </c>
      <c r="H310" t="s">
        <v>12</v>
      </c>
      <c r="I310" t="s">
        <v>1029</v>
      </c>
      <c r="J310" t="s">
        <v>440</v>
      </c>
      <c r="K310" t="s">
        <v>50</v>
      </c>
      <c r="L310" t="s">
        <v>29</v>
      </c>
      <c r="M310" t="s">
        <v>10</v>
      </c>
    </row>
    <row r="311" spans="1:13">
      <c r="A311" t="s">
        <v>1336</v>
      </c>
      <c r="B311" s="2">
        <v>45590</v>
      </c>
      <c r="C311">
        <v>2024</v>
      </c>
      <c r="D311">
        <v>10</v>
      </c>
      <c r="E311" t="s">
        <v>113</v>
      </c>
      <c r="F311" t="s">
        <v>2</v>
      </c>
      <c r="G311" t="s">
        <v>64</v>
      </c>
      <c r="H311" t="s">
        <v>4</v>
      </c>
      <c r="I311" t="s">
        <v>1029</v>
      </c>
      <c r="J311" t="s">
        <v>452</v>
      </c>
      <c r="K311" t="s">
        <v>34</v>
      </c>
      <c r="L311" t="s">
        <v>29</v>
      </c>
      <c r="M311" t="s">
        <v>10</v>
      </c>
    </row>
    <row r="312" spans="1:13">
      <c r="A312" t="s">
        <v>1337</v>
      </c>
      <c r="B312" s="2">
        <v>45620</v>
      </c>
      <c r="C312">
        <v>2024</v>
      </c>
      <c r="D312">
        <v>11</v>
      </c>
      <c r="E312" t="s">
        <v>117</v>
      </c>
      <c r="F312" t="s">
        <v>19</v>
      </c>
      <c r="G312" t="s">
        <v>20</v>
      </c>
      <c r="H312" t="s">
        <v>33</v>
      </c>
      <c r="I312" t="s">
        <v>1026</v>
      </c>
      <c r="J312" t="s">
        <v>454</v>
      </c>
      <c r="K312" t="s">
        <v>13</v>
      </c>
      <c r="L312" t="s">
        <v>36</v>
      </c>
      <c r="M312" t="s">
        <v>10</v>
      </c>
    </row>
    <row r="313" spans="1:13">
      <c r="A313" t="s">
        <v>1338</v>
      </c>
      <c r="B313" s="2">
        <v>45621</v>
      </c>
      <c r="C313">
        <v>2024</v>
      </c>
      <c r="D313">
        <v>11</v>
      </c>
      <c r="E313" t="s">
        <v>117</v>
      </c>
      <c r="F313" t="s">
        <v>38</v>
      </c>
      <c r="G313" t="s">
        <v>69</v>
      </c>
      <c r="H313" t="s">
        <v>33</v>
      </c>
      <c r="I313" t="s">
        <v>1026</v>
      </c>
      <c r="J313" t="s">
        <v>454</v>
      </c>
      <c r="K313" t="s">
        <v>70</v>
      </c>
      <c r="L313" t="s">
        <v>36</v>
      </c>
      <c r="M313" t="s">
        <v>10</v>
      </c>
    </row>
    <row r="314" spans="1:13">
      <c r="A314" t="s">
        <v>1339</v>
      </c>
      <c r="B314" s="2">
        <v>45613</v>
      </c>
      <c r="C314">
        <v>2024</v>
      </c>
      <c r="D314">
        <v>11</v>
      </c>
      <c r="E314" t="s">
        <v>117</v>
      </c>
      <c r="F314" t="s">
        <v>67</v>
      </c>
      <c r="G314" t="s">
        <v>64</v>
      </c>
      <c r="H314" t="s">
        <v>33</v>
      </c>
      <c r="I314" t="s">
        <v>1026</v>
      </c>
      <c r="J314" t="s">
        <v>457</v>
      </c>
      <c r="K314" t="s">
        <v>6</v>
      </c>
      <c r="L314" t="s">
        <v>29</v>
      </c>
      <c r="M314" t="s">
        <v>10</v>
      </c>
    </row>
    <row r="315" spans="1:13">
      <c r="A315" t="s">
        <v>1340</v>
      </c>
      <c r="B315" s="2">
        <v>45620</v>
      </c>
      <c r="C315">
        <v>2024</v>
      </c>
      <c r="D315">
        <v>11</v>
      </c>
      <c r="E315" t="s">
        <v>117</v>
      </c>
      <c r="F315" t="s">
        <v>38</v>
      </c>
      <c r="G315" t="s">
        <v>27</v>
      </c>
      <c r="H315" t="s">
        <v>33</v>
      </c>
      <c r="I315" t="s">
        <v>1037</v>
      </c>
      <c r="J315" t="s">
        <v>1024</v>
      </c>
      <c r="K315" t="s">
        <v>50</v>
      </c>
      <c r="L315" t="s">
        <v>29</v>
      </c>
      <c r="M315" t="s">
        <v>10</v>
      </c>
    </row>
    <row r="316" spans="1:13">
      <c r="A316" t="s">
        <v>1341</v>
      </c>
      <c r="B316" s="2">
        <v>45611</v>
      </c>
      <c r="C316">
        <v>2024</v>
      </c>
      <c r="D316">
        <v>11</v>
      </c>
      <c r="E316" t="s">
        <v>117</v>
      </c>
      <c r="F316" t="s">
        <v>38</v>
      </c>
      <c r="G316" t="s">
        <v>94</v>
      </c>
      <c r="H316" t="s">
        <v>4</v>
      </c>
      <c r="I316" t="s">
        <v>1026</v>
      </c>
      <c r="J316" t="s">
        <v>460</v>
      </c>
      <c r="K316" t="s">
        <v>70</v>
      </c>
      <c r="L316" t="s">
        <v>29</v>
      </c>
      <c r="M316" t="s">
        <v>10</v>
      </c>
    </row>
    <row r="317" spans="1:13">
      <c r="A317" t="s">
        <v>1342</v>
      </c>
      <c r="B317" s="2">
        <v>45614</v>
      </c>
      <c r="C317">
        <v>2024</v>
      </c>
      <c r="D317">
        <v>11</v>
      </c>
      <c r="E317" t="s">
        <v>117</v>
      </c>
      <c r="F317" t="s">
        <v>31</v>
      </c>
      <c r="G317" t="s">
        <v>55</v>
      </c>
      <c r="H317" t="s">
        <v>4</v>
      </c>
      <c r="I317" t="s">
        <v>1023</v>
      </c>
      <c r="J317" t="s">
        <v>1024</v>
      </c>
      <c r="K317" t="s">
        <v>13</v>
      </c>
      <c r="L317" t="s">
        <v>16</v>
      </c>
      <c r="M317" t="s">
        <v>17</v>
      </c>
    </row>
    <row r="318" spans="1:13">
      <c r="A318" t="s">
        <v>1343</v>
      </c>
      <c r="B318" s="2">
        <v>45613</v>
      </c>
      <c r="C318">
        <v>2024</v>
      </c>
      <c r="D318">
        <v>11</v>
      </c>
      <c r="E318" t="s">
        <v>117</v>
      </c>
      <c r="F318" t="s">
        <v>31</v>
      </c>
      <c r="G318" t="s">
        <v>55</v>
      </c>
      <c r="H318" t="s">
        <v>4</v>
      </c>
      <c r="I318" t="s">
        <v>1026</v>
      </c>
      <c r="J318" t="s">
        <v>466</v>
      </c>
      <c r="K318" t="s">
        <v>70</v>
      </c>
      <c r="L318" t="s">
        <v>9</v>
      </c>
      <c r="M318" t="s">
        <v>17</v>
      </c>
    </row>
    <row r="319" spans="1:13">
      <c r="A319" t="s">
        <v>1344</v>
      </c>
      <c r="B319" s="2">
        <v>45604</v>
      </c>
      <c r="C319">
        <v>2024</v>
      </c>
      <c r="D319">
        <v>11</v>
      </c>
      <c r="E319" t="s">
        <v>117</v>
      </c>
      <c r="F319" t="s">
        <v>26</v>
      </c>
      <c r="G319" t="s">
        <v>94</v>
      </c>
      <c r="H319" t="s">
        <v>44</v>
      </c>
      <c r="I319" t="s">
        <v>1029</v>
      </c>
      <c r="J319" t="s">
        <v>442</v>
      </c>
      <c r="K319" t="s">
        <v>50</v>
      </c>
      <c r="L319" t="s">
        <v>29</v>
      </c>
      <c r="M319" t="s">
        <v>10</v>
      </c>
    </row>
    <row r="320" spans="1:13">
      <c r="A320" t="s">
        <v>1345</v>
      </c>
      <c r="B320" s="2">
        <v>45623</v>
      </c>
      <c r="C320">
        <v>2024</v>
      </c>
      <c r="D320">
        <v>11</v>
      </c>
      <c r="E320" t="s">
        <v>117</v>
      </c>
      <c r="F320" t="s">
        <v>19</v>
      </c>
      <c r="G320" t="s">
        <v>20</v>
      </c>
      <c r="H320" t="s">
        <v>12</v>
      </c>
      <c r="I320" t="s">
        <v>1037</v>
      </c>
      <c r="J320" t="s">
        <v>1024</v>
      </c>
      <c r="K320" t="s">
        <v>50</v>
      </c>
      <c r="L320" t="s">
        <v>36</v>
      </c>
      <c r="M320" t="s">
        <v>10</v>
      </c>
    </row>
    <row r="321" spans="1:13">
      <c r="A321" t="s">
        <v>1346</v>
      </c>
      <c r="B321" s="2">
        <v>45611</v>
      </c>
      <c r="C321">
        <v>2024</v>
      </c>
      <c r="D321">
        <v>11</v>
      </c>
      <c r="E321" t="s">
        <v>117</v>
      </c>
      <c r="F321" t="s">
        <v>38</v>
      </c>
      <c r="G321" t="s">
        <v>55</v>
      </c>
      <c r="H321" t="s">
        <v>12</v>
      </c>
      <c r="I321" t="s">
        <v>1029</v>
      </c>
      <c r="J321" t="s">
        <v>452</v>
      </c>
      <c r="K321" t="s">
        <v>70</v>
      </c>
      <c r="L321" t="s">
        <v>16</v>
      </c>
      <c r="M321" t="s">
        <v>10</v>
      </c>
    </row>
    <row r="322" spans="1:13">
      <c r="A322" t="s">
        <v>1347</v>
      </c>
      <c r="B322" s="2">
        <v>45615</v>
      </c>
      <c r="C322">
        <v>2024</v>
      </c>
      <c r="D322">
        <v>11</v>
      </c>
      <c r="E322" t="s">
        <v>117</v>
      </c>
      <c r="F322" t="s">
        <v>19</v>
      </c>
      <c r="G322" t="s">
        <v>69</v>
      </c>
      <c r="H322" t="s">
        <v>44</v>
      </c>
      <c r="I322" t="s">
        <v>1037</v>
      </c>
      <c r="J322" t="s">
        <v>1024</v>
      </c>
      <c r="K322" t="s">
        <v>34</v>
      </c>
      <c r="L322" t="s">
        <v>9</v>
      </c>
      <c r="M322" t="s">
        <v>10</v>
      </c>
    </row>
    <row r="323" spans="1:13">
      <c r="A323" t="s">
        <v>1348</v>
      </c>
      <c r="B323" s="2">
        <v>45610</v>
      </c>
      <c r="C323">
        <v>2024</v>
      </c>
      <c r="D323">
        <v>11</v>
      </c>
      <c r="E323" t="s">
        <v>117</v>
      </c>
      <c r="F323" t="s">
        <v>78</v>
      </c>
      <c r="G323" t="s">
        <v>69</v>
      </c>
      <c r="H323" t="s">
        <v>33</v>
      </c>
      <c r="I323" t="s">
        <v>1026</v>
      </c>
      <c r="J323" t="s">
        <v>428</v>
      </c>
      <c r="K323" t="s">
        <v>50</v>
      </c>
      <c r="L323" t="s">
        <v>16</v>
      </c>
      <c r="M323" t="s">
        <v>10</v>
      </c>
    </row>
    <row r="324" spans="1:13">
      <c r="A324" t="s">
        <v>1349</v>
      </c>
      <c r="B324" s="2">
        <v>45616</v>
      </c>
      <c r="C324">
        <v>2024</v>
      </c>
      <c r="D324">
        <v>11</v>
      </c>
      <c r="E324" t="s">
        <v>117</v>
      </c>
      <c r="F324" t="s">
        <v>54</v>
      </c>
      <c r="G324" t="s">
        <v>69</v>
      </c>
      <c r="H324" t="s">
        <v>4</v>
      </c>
      <c r="I324" t="s">
        <v>1037</v>
      </c>
      <c r="J324" t="s">
        <v>1024</v>
      </c>
      <c r="K324" t="s">
        <v>34</v>
      </c>
      <c r="L324" t="s">
        <v>36</v>
      </c>
      <c r="M324" t="s">
        <v>10</v>
      </c>
    </row>
    <row r="325" spans="1:13">
      <c r="A325" t="s">
        <v>1350</v>
      </c>
      <c r="B325" s="2">
        <v>45607</v>
      </c>
      <c r="C325">
        <v>2024</v>
      </c>
      <c r="D325">
        <v>11</v>
      </c>
      <c r="E325" t="s">
        <v>117</v>
      </c>
      <c r="F325" t="s">
        <v>31</v>
      </c>
      <c r="G325" t="s">
        <v>38</v>
      </c>
      <c r="H325" t="s">
        <v>44</v>
      </c>
      <c r="I325" t="s">
        <v>1029</v>
      </c>
      <c r="J325" t="s">
        <v>431</v>
      </c>
      <c r="K325" t="s">
        <v>34</v>
      </c>
      <c r="L325" t="s">
        <v>16</v>
      </c>
      <c r="M325" t="s">
        <v>10</v>
      </c>
    </row>
    <row r="326" spans="1:13">
      <c r="A326" t="s">
        <v>1351</v>
      </c>
      <c r="B326" s="2">
        <v>45601</v>
      </c>
      <c r="C326">
        <v>2024</v>
      </c>
      <c r="D326">
        <v>11</v>
      </c>
      <c r="E326" t="s">
        <v>117</v>
      </c>
      <c r="F326" t="s">
        <v>19</v>
      </c>
      <c r="G326" t="s">
        <v>64</v>
      </c>
      <c r="H326" t="s">
        <v>4</v>
      </c>
      <c r="I326" t="s">
        <v>1029</v>
      </c>
      <c r="J326" t="s">
        <v>84</v>
      </c>
      <c r="K326" t="s">
        <v>34</v>
      </c>
      <c r="L326" t="s">
        <v>29</v>
      </c>
      <c r="M326" t="s">
        <v>10</v>
      </c>
    </row>
    <row r="327" spans="1:13">
      <c r="A327" t="s">
        <v>1352</v>
      </c>
      <c r="B327" s="2">
        <v>45597</v>
      </c>
      <c r="C327">
        <v>2024</v>
      </c>
      <c r="D327">
        <v>11</v>
      </c>
      <c r="E327" t="s">
        <v>117</v>
      </c>
      <c r="F327" t="s">
        <v>67</v>
      </c>
      <c r="G327" t="s">
        <v>69</v>
      </c>
      <c r="H327" t="s">
        <v>12</v>
      </c>
      <c r="I327" t="s">
        <v>1037</v>
      </c>
      <c r="J327" t="s">
        <v>1024</v>
      </c>
      <c r="K327" t="s">
        <v>13</v>
      </c>
      <c r="L327" t="s">
        <v>29</v>
      </c>
      <c r="M327" t="s">
        <v>10</v>
      </c>
    </row>
    <row r="328" spans="1:13">
      <c r="A328" t="s">
        <v>1353</v>
      </c>
      <c r="B328" s="2">
        <v>45612</v>
      </c>
      <c r="C328">
        <v>2024</v>
      </c>
      <c r="D328">
        <v>11</v>
      </c>
      <c r="E328" t="s">
        <v>117</v>
      </c>
      <c r="F328" t="s">
        <v>47</v>
      </c>
      <c r="G328" t="s">
        <v>64</v>
      </c>
      <c r="H328" t="s">
        <v>12</v>
      </c>
      <c r="I328" t="s">
        <v>1026</v>
      </c>
      <c r="J328" t="s">
        <v>457</v>
      </c>
      <c r="K328" t="s">
        <v>70</v>
      </c>
      <c r="L328" t="s">
        <v>29</v>
      </c>
      <c r="M328" t="s">
        <v>10</v>
      </c>
    </row>
    <row r="329" spans="1:13">
      <c r="A329" t="s">
        <v>1354</v>
      </c>
      <c r="B329" s="2">
        <v>45611</v>
      </c>
      <c r="C329">
        <v>2024</v>
      </c>
      <c r="D329">
        <v>11</v>
      </c>
      <c r="E329" t="s">
        <v>117</v>
      </c>
      <c r="F329" t="s">
        <v>31</v>
      </c>
      <c r="G329" t="s">
        <v>20</v>
      </c>
      <c r="H329" t="s">
        <v>33</v>
      </c>
      <c r="I329" t="s">
        <v>1029</v>
      </c>
      <c r="J329" t="s">
        <v>440</v>
      </c>
      <c r="K329" t="s">
        <v>13</v>
      </c>
      <c r="L329" t="s">
        <v>36</v>
      </c>
      <c r="M329" t="s">
        <v>10</v>
      </c>
    </row>
    <row r="330" spans="1:13">
      <c r="A330" t="s">
        <v>1355</v>
      </c>
      <c r="B330" s="2">
        <v>45611</v>
      </c>
      <c r="C330">
        <v>2024</v>
      </c>
      <c r="D330">
        <v>11</v>
      </c>
      <c r="E330" t="s">
        <v>117</v>
      </c>
      <c r="F330" t="s">
        <v>47</v>
      </c>
      <c r="G330" t="s">
        <v>74</v>
      </c>
      <c r="H330" t="s">
        <v>12</v>
      </c>
      <c r="I330" t="s">
        <v>1023</v>
      </c>
      <c r="J330" t="s">
        <v>1024</v>
      </c>
      <c r="K330" t="s">
        <v>6</v>
      </c>
      <c r="L330" t="s">
        <v>29</v>
      </c>
      <c r="M330" t="s">
        <v>10</v>
      </c>
    </row>
    <row r="331" spans="1:13">
      <c r="A331" t="s">
        <v>1356</v>
      </c>
      <c r="B331" s="2">
        <v>45620</v>
      </c>
      <c r="C331">
        <v>2024</v>
      </c>
      <c r="D331">
        <v>11</v>
      </c>
      <c r="E331" t="s">
        <v>117</v>
      </c>
      <c r="F331" t="s">
        <v>19</v>
      </c>
      <c r="G331" t="s">
        <v>55</v>
      </c>
      <c r="H331" t="s">
        <v>4</v>
      </c>
      <c r="I331" t="s">
        <v>1037</v>
      </c>
      <c r="J331" t="s">
        <v>1024</v>
      </c>
      <c r="K331" t="s">
        <v>34</v>
      </c>
      <c r="L331" t="s">
        <v>9</v>
      </c>
      <c r="M331" t="s">
        <v>10</v>
      </c>
    </row>
    <row r="332" spans="1:13">
      <c r="A332" t="s">
        <v>1357</v>
      </c>
      <c r="B332" s="2">
        <v>45621</v>
      </c>
      <c r="C332">
        <v>2024</v>
      </c>
      <c r="D332">
        <v>11</v>
      </c>
      <c r="E332" t="s">
        <v>117</v>
      </c>
      <c r="F332" t="s">
        <v>67</v>
      </c>
      <c r="G332" t="s">
        <v>64</v>
      </c>
      <c r="H332" t="s">
        <v>4</v>
      </c>
      <c r="I332" t="s">
        <v>1026</v>
      </c>
      <c r="J332" t="s">
        <v>494</v>
      </c>
      <c r="K332" t="s">
        <v>50</v>
      </c>
      <c r="L332" t="s">
        <v>9</v>
      </c>
      <c r="M332" t="s">
        <v>10</v>
      </c>
    </row>
    <row r="333" spans="1:13">
      <c r="A333" t="s">
        <v>1358</v>
      </c>
      <c r="B333" s="2">
        <v>45605</v>
      </c>
      <c r="C333">
        <v>2024</v>
      </c>
      <c r="D333">
        <v>11</v>
      </c>
      <c r="E333" t="s">
        <v>117</v>
      </c>
      <c r="F333" t="s">
        <v>31</v>
      </c>
      <c r="G333" t="s">
        <v>32</v>
      </c>
      <c r="H333" t="s">
        <v>44</v>
      </c>
      <c r="I333" t="s">
        <v>1029</v>
      </c>
      <c r="J333" t="s">
        <v>442</v>
      </c>
      <c r="K333" t="s">
        <v>50</v>
      </c>
      <c r="L333" t="s">
        <v>16</v>
      </c>
      <c r="M333" t="s">
        <v>17</v>
      </c>
    </row>
    <row r="334" spans="1:13">
      <c r="A334" t="s">
        <v>1359</v>
      </c>
      <c r="B334" s="2">
        <v>45613</v>
      </c>
      <c r="C334">
        <v>2024</v>
      </c>
      <c r="D334">
        <v>11</v>
      </c>
      <c r="E334" t="s">
        <v>117</v>
      </c>
      <c r="F334" t="s">
        <v>67</v>
      </c>
      <c r="G334" t="s">
        <v>3</v>
      </c>
      <c r="H334" t="s">
        <v>44</v>
      </c>
      <c r="I334" t="s">
        <v>1026</v>
      </c>
      <c r="J334" t="s">
        <v>428</v>
      </c>
      <c r="K334" t="s">
        <v>13</v>
      </c>
      <c r="L334" t="s">
        <v>16</v>
      </c>
      <c r="M334" t="s">
        <v>10</v>
      </c>
    </row>
    <row r="335" spans="1:13">
      <c r="A335" t="s">
        <v>1360</v>
      </c>
      <c r="B335" s="2">
        <v>45610</v>
      </c>
      <c r="C335">
        <v>2024</v>
      </c>
      <c r="D335">
        <v>11</v>
      </c>
      <c r="E335" t="s">
        <v>117</v>
      </c>
      <c r="F335" t="s">
        <v>40</v>
      </c>
      <c r="G335" t="s">
        <v>32</v>
      </c>
      <c r="H335" t="s">
        <v>33</v>
      </c>
      <c r="I335" t="s">
        <v>1029</v>
      </c>
      <c r="J335" t="s">
        <v>442</v>
      </c>
      <c r="K335" t="s">
        <v>6</v>
      </c>
      <c r="L335" t="s">
        <v>16</v>
      </c>
      <c r="M335" t="s">
        <v>10</v>
      </c>
    </row>
    <row r="336" spans="1:13">
      <c r="A336" t="s">
        <v>1361</v>
      </c>
      <c r="B336" s="2">
        <v>45617</v>
      </c>
      <c r="C336">
        <v>2024</v>
      </c>
      <c r="D336">
        <v>11</v>
      </c>
      <c r="E336" t="s">
        <v>117</v>
      </c>
      <c r="F336" t="s">
        <v>19</v>
      </c>
      <c r="G336" t="s">
        <v>20</v>
      </c>
      <c r="H336" t="s">
        <v>44</v>
      </c>
      <c r="I336" t="s">
        <v>1029</v>
      </c>
      <c r="J336" t="s">
        <v>462</v>
      </c>
      <c r="K336" t="s">
        <v>50</v>
      </c>
      <c r="L336" t="s">
        <v>36</v>
      </c>
      <c r="M336" t="s">
        <v>10</v>
      </c>
    </row>
    <row r="337" spans="1:13">
      <c r="A337" t="s">
        <v>1362</v>
      </c>
      <c r="B337" s="2">
        <v>45609</v>
      </c>
      <c r="C337">
        <v>2024</v>
      </c>
      <c r="D337">
        <v>11</v>
      </c>
      <c r="E337" t="s">
        <v>117</v>
      </c>
      <c r="F337" t="s">
        <v>38</v>
      </c>
      <c r="G337" t="s">
        <v>3</v>
      </c>
      <c r="H337" t="s">
        <v>4</v>
      </c>
      <c r="I337" t="s">
        <v>1026</v>
      </c>
      <c r="J337" t="s">
        <v>519</v>
      </c>
      <c r="K337" t="s">
        <v>70</v>
      </c>
      <c r="L337" t="s">
        <v>36</v>
      </c>
      <c r="M337" t="s">
        <v>10</v>
      </c>
    </row>
    <row r="338" spans="1:13">
      <c r="A338" t="s">
        <v>1363</v>
      </c>
      <c r="B338" s="2">
        <v>45618</v>
      </c>
      <c r="C338">
        <v>2024</v>
      </c>
      <c r="D338">
        <v>11</v>
      </c>
      <c r="E338" t="s">
        <v>117</v>
      </c>
      <c r="F338" t="s">
        <v>78</v>
      </c>
      <c r="G338" t="s">
        <v>64</v>
      </c>
      <c r="H338" t="s">
        <v>33</v>
      </c>
      <c r="I338" t="s">
        <v>1029</v>
      </c>
      <c r="J338" t="s">
        <v>473</v>
      </c>
      <c r="K338" t="s">
        <v>13</v>
      </c>
      <c r="L338" t="s">
        <v>36</v>
      </c>
      <c r="M338" t="s">
        <v>10</v>
      </c>
    </row>
    <row r="339" spans="1:13">
      <c r="A339" t="s">
        <v>1364</v>
      </c>
      <c r="B339" s="2">
        <v>45616</v>
      </c>
      <c r="C339">
        <v>2024</v>
      </c>
      <c r="D339">
        <v>11</v>
      </c>
      <c r="E339" t="s">
        <v>117</v>
      </c>
      <c r="F339" t="s">
        <v>26</v>
      </c>
      <c r="G339" t="s">
        <v>27</v>
      </c>
      <c r="H339" t="s">
        <v>4</v>
      </c>
      <c r="I339" t="s">
        <v>1029</v>
      </c>
      <c r="J339" t="s">
        <v>473</v>
      </c>
      <c r="K339" t="s">
        <v>50</v>
      </c>
      <c r="L339" t="s">
        <v>36</v>
      </c>
      <c r="M339" t="s">
        <v>10</v>
      </c>
    </row>
    <row r="340" spans="1:13">
      <c r="A340" t="s">
        <v>1365</v>
      </c>
      <c r="B340" s="2">
        <v>45608</v>
      </c>
      <c r="C340">
        <v>2024</v>
      </c>
      <c r="D340">
        <v>11</v>
      </c>
      <c r="E340" t="s">
        <v>117</v>
      </c>
      <c r="F340" t="s">
        <v>78</v>
      </c>
      <c r="G340" t="s">
        <v>94</v>
      </c>
      <c r="H340" t="s">
        <v>4</v>
      </c>
      <c r="I340" t="s">
        <v>1029</v>
      </c>
      <c r="J340" t="s">
        <v>84</v>
      </c>
      <c r="K340" t="s">
        <v>6</v>
      </c>
      <c r="L340" t="s">
        <v>36</v>
      </c>
      <c r="M340" t="s">
        <v>10</v>
      </c>
    </row>
    <row r="341" spans="1:13">
      <c r="A341" t="s">
        <v>1366</v>
      </c>
      <c r="B341" s="2">
        <v>45608</v>
      </c>
      <c r="C341">
        <v>2024</v>
      </c>
      <c r="D341">
        <v>11</v>
      </c>
      <c r="E341" t="s">
        <v>117</v>
      </c>
      <c r="F341" t="s">
        <v>40</v>
      </c>
      <c r="G341" t="s">
        <v>55</v>
      </c>
      <c r="H341" t="s">
        <v>44</v>
      </c>
      <c r="I341" t="s">
        <v>1037</v>
      </c>
      <c r="J341" t="s">
        <v>1024</v>
      </c>
      <c r="K341" t="s">
        <v>70</v>
      </c>
      <c r="L341" t="s">
        <v>9</v>
      </c>
      <c r="M341" t="s">
        <v>10</v>
      </c>
    </row>
    <row r="342" spans="1:13">
      <c r="A342" t="s">
        <v>1367</v>
      </c>
      <c r="B342" s="2">
        <v>45604</v>
      </c>
      <c r="C342">
        <v>2024</v>
      </c>
      <c r="D342">
        <v>11</v>
      </c>
      <c r="E342" t="s">
        <v>117</v>
      </c>
      <c r="F342" t="s">
        <v>38</v>
      </c>
      <c r="G342" t="s">
        <v>61</v>
      </c>
      <c r="H342" t="s">
        <v>44</v>
      </c>
      <c r="I342" t="s">
        <v>1029</v>
      </c>
      <c r="J342" t="s">
        <v>464</v>
      </c>
      <c r="K342" t="s">
        <v>70</v>
      </c>
      <c r="L342" t="s">
        <v>29</v>
      </c>
      <c r="M342" t="s">
        <v>17</v>
      </c>
    </row>
    <row r="343" spans="1:13">
      <c r="A343" t="s">
        <v>1368</v>
      </c>
      <c r="B343" s="2">
        <v>45605</v>
      </c>
      <c r="C343">
        <v>2024</v>
      </c>
      <c r="D343">
        <v>11</v>
      </c>
      <c r="E343" t="s">
        <v>117</v>
      </c>
      <c r="F343" t="s">
        <v>2</v>
      </c>
      <c r="G343" t="s">
        <v>32</v>
      </c>
      <c r="H343" t="s">
        <v>33</v>
      </c>
      <c r="I343" t="s">
        <v>1029</v>
      </c>
      <c r="J343" t="s">
        <v>473</v>
      </c>
      <c r="K343" t="s">
        <v>70</v>
      </c>
      <c r="L343" t="s">
        <v>16</v>
      </c>
      <c r="M343" t="s">
        <v>17</v>
      </c>
    </row>
    <row r="344" spans="1:13">
      <c r="A344" t="s">
        <v>1369</v>
      </c>
      <c r="B344" s="2">
        <v>45609</v>
      </c>
      <c r="C344">
        <v>2024</v>
      </c>
      <c r="D344">
        <v>11</v>
      </c>
      <c r="E344" t="s">
        <v>117</v>
      </c>
      <c r="F344" t="s">
        <v>78</v>
      </c>
      <c r="G344" t="s">
        <v>27</v>
      </c>
      <c r="H344" t="s">
        <v>33</v>
      </c>
      <c r="I344" t="s">
        <v>1026</v>
      </c>
      <c r="J344" t="s">
        <v>446</v>
      </c>
      <c r="K344" t="s">
        <v>50</v>
      </c>
      <c r="L344" t="s">
        <v>9</v>
      </c>
      <c r="M344" t="s">
        <v>10</v>
      </c>
    </row>
    <row r="345" spans="1:13">
      <c r="A345" t="s">
        <v>1370</v>
      </c>
      <c r="B345" s="2">
        <v>45622</v>
      </c>
      <c r="C345">
        <v>2024</v>
      </c>
      <c r="D345">
        <v>11</v>
      </c>
      <c r="E345" t="s">
        <v>117</v>
      </c>
      <c r="F345" t="s">
        <v>2</v>
      </c>
      <c r="G345" t="s">
        <v>94</v>
      </c>
      <c r="H345" t="s">
        <v>12</v>
      </c>
      <c r="I345" t="s">
        <v>1023</v>
      </c>
      <c r="J345" t="s">
        <v>1024</v>
      </c>
      <c r="K345" t="s">
        <v>34</v>
      </c>
      <c r="L345" t="s">
        <v>36</v>
      </c>
      <c r="M345" t="s">
        <v>10</v>
      </c>
    </row>
    <row r="346" spans="1:13">
      <c r="A346" t="s">
        <v>1371</v>
      </c>
      <c r="B346" s="2">
        <v>45614</v>
      </c>
      <c r="C346">
        <v>2024</v>
      </c>
      <c r="D346">
        <v>11</v>
      </c>
      <c r="E346" t="s">
        <v>117</v>
      </c>
      <c r="F346" t="s">
        <v>26</v>
      </c>
      <c r="G346" t="s">
        <v>64</v>
      </c>
      <c r="H346" t="s">
        <v>4</v>
      </c>
      <c r="I346" t="s">
        <v>1037</v>
      </c>
      <c r="J346" t="s">
        <v>1024</v>
      </c>
      <c r="K346" t="s">
        <v>70</v>
      </c>
      <c r="L346" t="s">
        <v>36</v>
      </c>
      <c r="M346" t="s">
        <v>17</v>
      </c>
    </row>
    <row r="347" spans="1:13">
      <c r="A347" t="s">
        <v>1372</v>
      </c>
      <c r="B347" s="2">
        <v>45614</v>
      </c>
      <c r="C347">
        <v>2024</v>
      </c>
      <c r="D347">
        <v>11</v>
      </c>
      <c r="E347" t="s">
        <v>117</v>
      </c>
      <c r="F347" t="s">
        <v>78</v>
      </c>
      <c r="G347" t="s">
        <v>27</v>
      </c>
      <c r="H347" t="s">
        <v>44</v>
      </c>
      <c r="I347" t="s">
        <v>1037</v>
      </c>
      <c r="J347" t="s">
        <v>1024</v>
      </c>
      <c r="K347" t="s">
        <v>13</v>
      </c>
      <c r="L347" t="s">
        <v>16</v>
      </c>
      <c r="M347" t="s">
        <v>10</v>
      </c>
    </row>
    <row r="348" spans="1:13">
      <c r="A348" t="s">
        <v>1373</v>
      </c>
      <c r="B348" s="2">
        <v>45653</v>
      </c>
      <c r="C348">
        <v>2024</v>
      </c>
      <c r="D348">
        <v>12</v>
      </c>
      <c r="E348" t="s">
        <v>124</v>
      </c>
      <c r="F348" t="s">
        <v>2</v>
      </c>
      <c r="G348" t="s">
        <v>48</v>
      </c>
      <c r="H348" t="s">
        <v>4</v>
      </c>
      <c r="I348" t="s">
        <v>1023</v>
      </c>
      <c r="J348" t="s">
        <v>1024</v>
      </c>
      <c r="K348" t="s">
        <v>6</v>
      </c>
      <c r="L348" t="s">
        <v>9</v>
      </c>
      <c r="M348" t="s">
        <v>10</v>
      </c>
    </row>
    <row r="349" spans="1:13">
      <c r="A349" t="s">
        <v>1374</v>
      </c>
      <c r="B349" s="2">
        <v>45650</v>
      </c>
      <c r="C349">
        <v>2024</v>
      </c>
      <c r="D349">
        <v>12</v>
      </c>
      <c r="E349" t="s">
        <v>124</v>
      </c>
      <c r="F349" t="s">
        <v>54</v>
      </c>
      <c r="G349" t="s">
        <v>20</v>
      </c>
      <c r="H349" t="s">
        <v>44</v>
      </c>
      <c r="I349" t="s">
        <v>1029</v>
      </c>
      <c r="J349" t="s">
        <v>431</v>
      </c>
      <c r="K349" t="s">
        <v>34</v>
      </c>
      <c r="L349" t="s">
        <v>16</v>
      </c>
      <c r="M349" t="s">
        <v>10</v>
      </c>
    </row>
    <row r="350" spans="1:13">
      <c r="A350" t="s">
        <v>1375</v>
      </c>
      <c r="B350" s="2">
        <v>45651</v>
      </c>
      <c r="C350">
        <v>2024</v>
      </c>
      <c r="D350">
        <v>12</v>
      </c>
      <c r="E350" t="s">
        <v>124</v>
      </c>
      <c r="F350" t="s">
        <v>38</v>
      </c>
      <c r="G350" t="s">
        <v>74</v>
      </c>
      <c r="H350" t="s">
        <v>44</v>
      </c>
      <c r="I350" t="s">
        <v>1037</v>
      </c>
      <c r="J350" t="s">
        <v>1024</v>
      </c>
      <c r="K350" t="s">
        <v>6</v>
      </c>
      <c r="L350" t="s">
        <v>36</v>
      </c>
      <c r="M350" t="s">
        <v>17</v>
      </c>
    </row>
    <row r="351" spans="1:13">
      <c r="A351" t="s">
        <v>1376</v>
      </c>
      <c r="B351" s="2">
        <v>45652</v>
      </c>
      <c r="C351">
        <v>2024</v>
      </c>
      <c r="D351">
        <v>12</v>
      </c>
      <c r="E351" t="s">
        <v>124</v>
      </c>
      <c r="F351" t="s">
        <v>54</v>
      </c>
      <c r="G351" t="s">
        <v>74</v>
      </c>
      <c r="H351" t="s">
        <v>12</v>
      </c>
      <c r="I351" t="s">
        <v>1026</v>
      </c>
      <c r="J351" t="s">
        <v>494</v>
      </c>
      <c r="K351" t="s">
        <v>6</v>
      </c>
      <c r="L351" t="s">
        <v>29</v>
      </c>
      <c r="M351" t="s">
        <v>10</v>
      </c>
    </row>
    <row r="352" spans="1:13">
      <c r="A352" t="s">
        <v>1377</v>
      </c>
      <c r="B352" s="2">
        <v>45633</v>
      </c>
      <c r="C352">
        <v>2024</v>
      </c>
      <c r="D352">
        <v>12</v>
      </c>
      <c r="E352" t="s">
        <v>124</v>
      </c>
      <c r="F352" t="s">
        <v>54</v>
      </c>
      <c r="G352" t="s">
        <v>3</v>
      </c>
      <c r="H352" t="s">
        <v>12</v>
      </c>
      <c r="I352" t="s">
        <v>1026</v>
      </c>
      <c r="J352" t="s">
        <v>460</v>
      </c>
      <c r="K352" t="s">
        <v>50</v>
      </c>
      <c r="L352" t="s">
        <v>36</v>
      </c>
      <c r="M352" t="s">
        <v>17</v>
      </c>
    </row>
    <row r="353" spans="1:13">
      <c r="A353" t="s">
        <v>1378</v>
      </c>
      <c r="B353" s="2">
        <v>45650</v>
      </c>
      <c r="C353">
        <v>2024</v>
      </c>
      <c r="D353">
        <v>12</v>
      </c>
      <c r="E353" t="s">
        <v>124</v>
      </c>
      <c r="F353" t="s">
        <v>47</v>
      </c>
      <c r="G353" t="s">
        <v>94</v>
      </c>
      <c r="H353" t="s">
        <v>44</v>
      </c>
      <c r="I353" t="s">
        <v>1029</v>
      </c>
      <c r="J353" t="s">
        <v>435</v>
      </c>
      <c r="K353" t="s">
        <v>70</v>
      </c>
      <c r="L353" t="s">
        <v>16</v>
      </c>
      <c r="M353" t="s">
        <v>10</v>
      </c>
    </row>
    <row r="354" spans="1:13">
      <c r="A354" t="s">
        <v>1379</v>
      </c>
      <c r="B354" s="2">
        <v>45637</v>
      </c>
      <c r="C354">
        <v>2024</v>
      </c>
      <c r="D354">
        <v>12</v>
      </c>
      <c r="E354" t="s">
        <v>124</v>
      </c>
      <c r="F354" t="s">
        <v>26</v>
      </c>
      <c r="G354" t="s">
        <v>61</v>
      </c>
      <c r="H354" t="s">
        <v>12</v>
      </c>
      <c r="I354" t="s">
        <v>1026</v>
      </c>
      <c r="J354" t="s">
        <v>454</v>
      </c>
      <c r="K354" t="s">
        <v>50</v>
      </c>
      <c r="L354" t="s">
        <v>36</v>
      </c>
      <c r="M354" t="s">
        <v>10</v>
      </c>
    </row>
    <row r="355" spans="1:13">
      <c r="A355" t="s">
        <v>1380</v>
      </c>
      <c r="B355" s="2">
        <v>45627</v>
      </c>
      <c r="C355">
        <v>2024</v>
      </c>
      <c r="D355">
        <v>12</v>
      </c>
      <c r="E355" t="s">
        <v>124</v>
      </c>
      <c r="F355" t="s">
        <v>31</v>
      </c>
      <c r="G355" t="s">
        <v>38</v>
      </c>
      <c r="H355" t="s">
        <v>12</v>
      </c>
      <c r="I355" t="s">
        <v>1026</v>
      </c>
      <c r="J355" t="s">
        <v>428</v>
      </c>
      <c r="K355" t="s">
        <v>6</v>
      </c>
      <c r="L355" t="s">
        <v>29</v>
      </c>
      <c r="M355" t="s">
        <v>17</v>
      </c>
    </row>
    <row r="356" spans="1:13">
      <c r="A356" t="s">
        <v>1381</v>
      </c>
      <c r="B356" s="2">
        <v>45651</v>
      </c>
      <c r="C356">
        <v>2024</v>
      </c>
      <c r="D356">
        <v>12</v>
      </c>
      <c r="E356" t="s">
        <v>124</v>
      </c>
      <c r="F356" t="s">
        <v>40</v>
      </c>
      <c r="G356" t="s">
        <v>94</v>
      </c>
      <c r="H356" t="s">
        <v>12</v>
      </c>
      <c r="I356" t="s">
        <v>1029</v>
      </c>
      <c r="J356" t="s">
        <v>431</v>
      </c>
      <c r="K356" t="s">
        <v>70</v>
      </c>
      <c r="L356" t="s">
        <v>29</v>
      </c>
      <c r="M356" t="s">
        <v>10</v>
      </c>
    </row>
    <row r="357" spans="1:13">
      <c r="A357" t="s">
        <v>1382</v>
      </c>
      <c r="B357" s="2">
        <v>45643</v>
      </c>
      <c r="C357">
        <v>2024</v>
      </c>
      <c r="D357">
        <v>12</v>
      </c>
      <c r="E357" t="s">
        <v>124</v>
      </c>
      <c r="F357" t="s">
        <v>2</v>
      </c>
      <c r="G357" t="s">
        <v>74</v>
      </c>
      <c r="H357" t="s">
        <v>33</v>
      </c>
      <c r="I357" t="s">
        <v>1029</v>
      </c>
      <c r="J357" t="s">
        <v>442</v>
      </c>
      <c r="K357" t="s">
        <v>6</v>
      </c>
      <c r="L357" t="s">
        <v>9</v>
      </c>
      <c r="M357" t="s">
        <v>10</v>
      </c>
    </row>
    <row r="358" spans="1:13">
      <c r="A358" t="s">
        <v>1383</v>
      </c>
      <c r="B358" s="2">
        <v>45645</v>
      </c>
      <c r="C358">
        <v>2024</v>
      </c>
      <c r="D358">
        <v>12</v>
      </c>
      <c r="E358" t="s">
        <v>124</v>
      </c>
      <c r="F358" t="s">
        <v>31</v>
      </c>
      <c r="G358" t="s">
        <v>27</v>
      </c>
      <c r="H358" t="s">
        <v>4</v>
      </c>
      <c r="I358" t="s">
        <v>1026</v>
      </c>
      <c r="J358" t="s">
        <v>470</v>
      </c>
      <c r="K358" t="s">
        <v>6</v>
      </c>
      <c r="L358" t="s">
        <v>16</v>
      </c>
      <c r="M358" t="s">
        <v>10</v>
      </c>
    </row>
    <row r="359" spans="1:13">
      <c r="A359" t="s">
        <v>1384</v>
      </c>
      <c r="B359" s="2">
        <v>45654</v>
      </c>
      <c r="C359">
        <v>2024</v>
      </c>
      <c r="D359">
        <v>12</v>
      </c>
      <c r="E359" t="s">
        <v>124</v>
      </c>
      <c r="F359" t="s">
        <v>31</v>
      </c>
      <c r="G359" t="s">
        <v>69</v>
      </c>
      <c r="H359" t="s">
        <v>33</v>
      </c>
      <c r="I359" t="s">
        <v>1037</v>
      </c>
      <c r="J359" t="s">
        <v>1024</v>
      </c>
      <c r="K359" t="s">
        <v>13</v>
      </c>
      <c r="L359" t="s">
        <v>16</v>
      </c>
      <c r="M359" t="s">
        <v>10</v>
      </c>
    </row>
    <row r="360" spans="1:13">
      <c r="A360" t="s">
        <v>1385</v>
      </c>
      <c r="B360" s="2">
        <v>45631</v>
      </c>
      <c r="C360">
        <v>2024</v>
      </c>
      <c r="D360">
        <v>12</v>
      </c>
      <c r="E360" t="s">
        <v>124</v>
      </c>
      <c r="F360" t="s">
        <v>78</v>
      </c>
      <c r="G360" t="s">
        <v>55</v>
      </c>
      <c r="H360" t="s">
        <v>44</v>
      </c>
      <c r="I360" t="s">
        <v>1029</v>
      </c>
      <c r="J360" t="s">
        <v>431</v>
      </c>
      <c r="K360" t="s">
        <v>70</v>
      </c>
      <c r="L360" t="s">
        <v>29</v>
      </c>
      <c r="M360" t="s">
        <v>10</v>
      </c>
    </row>
    <row r="361" spans="1:13">
      <c r="A361" t="s">
        <v>1386</v>
      </c>
      <c r="B361" s="2">
        <v>45636</v>
      </c>
      <c r="C361">
        <v>2024</v>
      </c>
      <c r="D361">
        <v>12</v>
      </c>
      <c r="E361" t="s">
        <v>124</v>
      </c>
      <c r="F361" t="s">
        <v>2</v>
      </c>
      <c r="G361" t="s">
        <v>27</v>
      </c>
      <c r="H361" t="s">
        <v>4</v>
      </c>
      <c r="I361" t="s">
        <v>1026</v>
      </c>
      <c r="J361" t="s">
        <v>519</v>
      </c>
      <c r="K361" t="s">
        <v>70</v>
      </c>
      <c r="L361" t="s">
        <v>9</v>
      </c>
      <c r="M361" t="s">
        <v>17</v>
      </c>
    </row>
    <row r="362" spans="1:13">
      <c r="A362" t="s">
        <v>1387</v>
      </c>
      <c r="B362" s="2">
        <v>45648</v>
      </c>
      <c r="C362">
        <v>2024</v>
      </c>
      <c r="D362">
        <v>12</v>
      </c>
      <c r="E362" t="s">
        <v>124</v>
      </c>
      <c r="F362" t="s">
        <v>67</v>
      </c>
      <c r="G362" t="s">
        <v>64</v>
      </c>
      <c r="H362" t="s">
        <v>4</v>
      </c>
      <c r="I362" t="s">
        <v>1023</v>
      </c>
      <c r="J362" t="s">
        <v>1024</v>
      </c>
      <c r="K362" t="s">
        <v>70</v>
      </c>
      <c r="L362" t="s">
        <v>36</v>
      </c>
      <c r="M362" t="s">
        <v>17</v>
      </c>
    </row>
    <row r="363" spans="1:13">
      <c r="A363" t="s">
        <v>1388</v>
      </c>
      <c r="B363" s="2">
        <v>45652</v>
      </c>
      <c r="C363">
        <v>2024</v>
      </c>
      <c r="D363">
        <v>12</v>
      </c>
      <c r="E363" t="s">
        <v>124</v>
      </c>
      <c r="F363" t="s">
        <v>67</v>
      </c>
      <c r="G363" t="s">
        <v>55</v>
      </c>
      <c r="H363" t="s">
        <v>4</v>
      </c>
      <c r="I363" t="s">
        <v>1026</v>
      </c>
      <c r="J363" t="s">
        <v>494</v>
      </c>
      <c r="K363" t="s">
        <v>50</v>
      </c>
      <c r="L363" t="s">
        <v>16</v>
      </c>
      <c r="M363" t="s">
        <v>17</v>
      </c>
    </row>
    <row r="364" spans="1:13">
      <c r="A364" t="s">
        <v>1389</v>
      </c>
      <c r="B364" s="2">
        <v>45639</v>
      </c>
      <c r="C364">
        <v>2024</v>
      </c>
      <c r="D364">
        <v>12</v>
      </c>
      <c r="E364" t="s">
        <v>124</v>
      </c>
      <c r="F364" t="s">
        <v>31</v>
      </c>
      <c r="G364" t="s">
        <v>32</v>
      </c>
      <c r="H364" t="s">
        <v>33</v>
      </c>
      <c r="I364" t="s">
        <v>1026</v>
      </c>
      <c r="J364" t="s">
        <v>470</v>
      </c>
      <c r="K364" t="s">
        <v>34</v>
      </c>
      <c r="L364" t="s">
        <v>9</v>
      </c>
      <c r="M364" t="s">
        <v>10</v>
      </c>
    </row>
    <row r="365" spans="1:13">
      <c r="A365" t="s">
        <v>1390</v>
      </c>
      <c r="B365" s="2">
        <v>45629</v>
      </c>
      <c r="C365">
        <v>2024</v>
      </c>
      <c r="D365">
        <v>12</v>
      </c>
      <c r="E365" t="s">
        <v>124</v>
      </c>
      <c r="F365" t="s">
        <v>38</v>
      </c>
      <c r="G365" t="s">
        <v>94</v>
      </c>
      <c r="H365" t="s">
        <v>4</v>
      </c>
      <c r="I365" t="s">
        <v>1026</v>
      </c>
      <c r="J365" t="s">
        <v>428</v>
      </c>
      <c r="K365" t="s">
        <v>13</v>
      </c>
      <c r="L365" t="s">
        <v>29</v>
      </c>
      <c r="M365" t="s">
        <v>10</v>
      </c>
    </row>
    <row r="366" spans="1:13">
      <c r="A366" t="s">
        <v>1391</v>
      </c>
      <c r="B366" s="2">
        <v>45654</v>
      </c>
      <c r="C366">
        <v>2024</v>
      </c>
      <c r="D366">
        <v>12</v>
      </c>
      <c r="E366" t="s">
        <v>124</v>
      </c>
      <c r="F366" t="s">
        <v>40</v>
      </c>
      <c r="G366" t="s">
        <v>20</v>
      </c>
      <c r="H366" t="s">
        <v>12</v>
      </c>
      <c r="I366" t="s">
        <v>1029</v>
      </c>
      <c r="J366" t="s">
        <v>438</v>
      </c>
      <c r="K366" t="s">
        <v>34</v>
      </c>
      <c r="L366" t="s">
        <v>36</v>
      </c>
      <c r="M366" t="s">
        <v>10</v>
      </c>
    </row>
    <row r="367" spans="1:13">
      <c r="A367" t="s">
        <v>1392</v>
      </c>
      <c r="B367" s="2">
        <v>45643</v>
      </c>
      <c r="C367">
        <v>2024</v>
      </c>
      <c r="D367">
        <v>12</v>
      </c>
      <c r="E367" t="s">
        <v>124</v>
      </c>
      <c r="F367" t="s">
        <v>2</v>
      </c>
      <c r="G367" t="s">
        <v>32</v>
      </c>
      <c r="H367" t="s">
        <v>33</v>
      </c>
      <c r="I367" t="s">
        <v>1026</v>
      </c>
      <c r="J367" t="s">
        <v>460</v>
      </c>
      <c r="K367" t="s">
        <v>70</v>
      </c>
      <c r="L367" t="s">
        <v>16</v>
      </c>
      <c r="M367" t="s">
        <v>10</v>
      </c>
    </row>
    <row r="368" spans="1:13">
      <c r="A368" t="s">
        <v>1393</v>
      </c>
      <c r="B368" s="2">
        <v>45629</v>
      </c>
      <c r="C368">
        <v>2024</v>
      </c>
      <c r="D368">
        <v>12</v>
      </c>
      <c r="E368" t="s">
        <v>124</v>
      </c>
      <c r="F368" t="s">
        <v>2</v>
      </c>
      <c r="G368" t="s">
        <v>38</v>
      </c>
      <c r="H368" t="s">
        <v>4</v>
      </c>
      <c r="I368" t="s">
        <v>1029</v>
      </c>
      <c r="J368" t="s">
        <v>452</v>
      </c>
      <c r="K368" t="s">
        <v>34</v>
      </c>
      <c r="L368" t="s">
        <v>29</v>
      </c>
      <c r="M368" t="s">
        <v>10</v>
      </c>
    </row>
    <row r="369" spans="1:13">
      <c r="A369" t="s">
        <v>1394</v>
      </c>
      <c r="B369" s="2">
        <v>45629</v>
      </c>
      <c r="C369">
        <v>2024</v>
      </c>
      <c r="D369">
        <v>12</v>
      </c>
      <c r="E369" t="s">
        <v>124</v>
      </c>
      <c r="F369" t="s">
        <v>47</v>
      </c>
      <c r="G369" t="s">
        <v>55</v>
      </c>
      <c r="H369" t="s">
        <v>12</v>
      </c>
      <c r="I369" t="s">
        <v>1026</v>
      </c>
      <c r="J369" t="s">
        <v>494</v>
      </c>
      <c r="K369" t="s">
        <v>50</v>
      </c>
      <c r="L369" t="s">
        <v>29</v>
      </c>
      <c r="M369" t="s">
        <v>10</v>
      </c>
    </row>
    <row r="370" spans="1:13">
      <c r="A370" t="s">
        <v>1395</v>
      </c>
      <c r="B370" s="2">
        <v>45627</v>
      </c>
      <c r="C370">
        <v>2024</v>
      </c>
      <c r="D370">
        <v>12</v>
      </c>
      <c r="E370" t="s">
        <v>124</v>
      </c>
      <c r="F370" t="s">
        <v>31</v>
      </c>
      <c r="G370" t="s">
        <v>69</v>
      </c>
      <c r="H370" t="s">
        <v>44</v>
      </c>
      <c r="I370" t="s">
        <v>1026</v>
      </c>
      <c r="J370" t="s">
        <v>466</v>
      </c>
      <c r="K370" t="s">
        <v>70</v>
      </c>
      <c r="L370" t="s">
        <v>16</v>
      </c>
      <c r="M370" t="s">
        <v>10</v>
      </c>
    </row>
    <row r="371" spans="1:13">
      <c r="A371" t="s">
        <v>1396</v>
      </c>
      <c r="B371" s="2">
        <v>45672</v>
      </c>
      <c r="C371">
        <v>2025</v>
      </c>
      <c r="D371">
        <v>1</v>
      </c>
      <c r="E371" t="s">
        <v>1</v>
      </c>
      <c r="F371" t="s">
        <v>31</v>
      </c>
      <c r="G371" t="s">
        <v>38</v>
      </c>
      <c r="H371" t="s">
        <v>44</v>
      </c>
      <c r="I371" t="s">
        <v>1026</v>
      </c>
      <c r="J371" t="s">
        <v>444</v>
      </c>
      <c r="K371" t="s">
        <v>34</v>
      </c>
      <c r="L371" t="s">
        <v>16</v>
      </c>
      <c r="M371" t="s">
        <v>10</v>
      </c>
    </row>
    <row r="372" spans="1:13">
      <c r="A372" t="s">
        <v>1397</v>
      </c>
      <c r="B372" s="2">
        <v>45672</v>
      </c>
      <c r="C372">
        <v>2025</v>
      </c>
      <c r="D372">
        <v>1</v>
      </c>
      <c r="E372" t="s">
        <v>1</v>
      </c>
      <c r="F372" t="s">
        <v>40</v>
      </c>
      <c r="G372" t="s">
        <v>61</v>
      </c>
      <c r="H372" t="s">
        <v>4</v>
      </c>
      <c r="I372" t="s">
        <v>1026</v>
      </c>
      <c r="J372" t="s">
        <v>457</v>
      </c>
      <c r="K372" t="s">
        <v>70</v>
      </c>
      <c r="L372" t="s">
        <v>36</v>
      </c>
      <c r="M372" t="s">
        <v>10</v>
      </c>
    </row>
    <row r="373" spans="1:13">
      <c r="A373" t="s">
        <v>1398</v>
      </c>
      <c r="B373" s="2">
        <v>45674</v>
      </c>
      <c r="C373">
        <v>2025</v>
      </c>
      <c r="D373">
        <v>1</v>
      </c>
      <c r="E373" t="s">
        <v>1</v>
      </c>
      <c r="F373" t="s">
        <v>19</v>
      </c>
      <c r="G373" t="s">
        <v>3</v>
      </c>
      <c r="H373" t="s">
        <v>4</v>
      </c>
      <c r="I373" t="s">
        <v>1023</v>
      </c>
      <c r="J373" t="s">
        <v>1024</v>
      </c>
      <c r="K373" t="s">
        <v>13</v>
      </c>
      <c r="L373" t="s">
        <v>9</v>
      </c>
      <c r="M373" t="s">
        <v>10</v>
      </c>
    </row>
    <row r="374" spans="1:13">
      <c r="A374" t="s">
        <v>1399</v>
      </c>
      <c r="B374" s="2">
        <v>45680</v>
      </c>
      <c r="C374">
        <v>2025</v>
      </c>
      <c r="D374">
        <v>1</v>
      </c>
      <c r="E374" t="s">
        <v>1</v>
      </c>
      <c r="F374" t="s">
        <v>67</v>
      </c>
      <c r="G374" t="s">
        <v>32</v>
      </c>
      <c r="H374" t="s">
        <v>44</v>
      </c>
      <c r="I374" t="s">
        <v>1023</v>
      </c>
      <c r="J374" t="s">
        <v>1024</v>
      </c>
      <c r="K374" t="s">
        <v>13</v>
      </c>
      <c r="L374" t="s">
        <v>36</v>
      </c>
      <c r="M374" t="s">
        <v>10</v>
      </c>
    </row>
    <row r="375" spans="1:13">
      <c r="A375" t="s">
        <v>1400</v>
      </c>
      <c r="B375" s="2">
        <v>45676</v>
      </c>
      <c r="C375">
        <v>2025</v>
      </c>
      <c r="D375">
        <v>1</v>
      </c>
      <c r="E375" t="s">
        <v>1</v>
      </c>
      <c r="F375" t="s">
        <v>2</v>
      </c>
      <c r="G375" t="s">
        <v>94</v>
      </c>
      <c r="H375" t="s">
        <v>4</v>
      </c>
      <c r="I375" t="s">
        <v>1029</v>
      </c>
      <c r="J375" t="s">
        <v>473</v>
      </c>
      <c r="K375" t="s">
        <v>6</v>
      </c>
      <c r="L375" t="s">
        <v>16</v>
      </c>
      <c r="M375" t="s">
        <v>10</v>
      </c>
    </row>
    <row r="376" spans="1:13">
      <c r="A376" t="s">
        <v>1401</v>
      </c>
      <c r="B376" s="2">
        <v>45659</v>
      </c>
      <c r="C376">
        <v>2025</v>
      </c>
      <c r="D376">
        <v>1</v>
      </c>
      <c r="E376" t="s">
        <v>1</v>
      </c>
      <c r="F376" t="s">
        <v>78</v>
      </c>
      <c r="G376" t="s">
        <v>94</v>
      </c>
      <c r="H376" t="s">
        <v>12</v>
      </c>
      <c r="I376" t="s">
        <v>1037</v>
      </c>
      <c r="J376" t="s">
        <v>1024</v>
      </c>
      <c r="K376" t="s">
        <v>6</v>
      </c>
      <c r="L376" t="s">
        <v>9</v>
      </c>
      <c r="M376" t="s">
        <v>10</v>
      </c>
    </row>
    <row r="377" spans="1:13">
      <c r="A377" t="s">
        <v>1402</v>
      </c>
      <c r="B377" s="2">
        <v>45676</v>
      </c>
      <c r="C377">
        <v>2025</v>
      </c>
      <c r="D377">
        <v>1</v>
      </c>
      <c r="E377" t="s">
        <v>1</v>
      </c>
      <c r="F377" t="s">
        <v>54</v>
      </c>
      <c r="G377" t="s">
        <v>20</v>
      </c>
      <c r="H377" t="s">
        <v>12</v>
      </c>
      <c r="I377" t="s">
        <v>1029</v>
      </c>
      <c r="J377" t="s">
        <v>435</v>
      </c>
      <c r="K377" t="s">
        <v>34</v>
      </c>
      <c r="L377" t="s">
        <v>36</v>
      </c>
      <c r="M377" t="s">
        <v>10</v>
      </c>
    </row>
    <row r="378" spans="1:13">
      <c r="A378" t="s">
        <v>1403</v>
      </c>
      <c r="B378" s="2">
        <v>45672</v>
      </c>
      <c r="C378">
        <v>2025</v>
      </c>
      <c r="D378">
        <v>1</v>
      </c>
      <c r="E378" t="s">
        <v>1</v>
      </c>
      <c r="F378" t="s">
        <v>78</v>
      </c>
      <c r="G378" t="s">
        <v>61</v>
      </c>
      <c r="H378" t="s">
        <v>44</v>
      </c>
      <c r="I378" t="s">
        <v>1029</v>
      </c>
      <c r="J378" t="s">
        <v>435</v>
      </c>
      <c r="K378" t="s">
        <v>13</v>
      </c>
      <c r="L378" t="s">
        <v>36</v>
      </c>
      <c r="M378" t="s">
        <v>17</v>
      </c>
    </row>
    <row r="379" spans="1:13">
      <c r="A379" t="s">
        <v>1404</v>
      </c>
      <c r="B379" s="2">
        <v>45682</v>
      </c>
      <c r="C379">
        <v>2025</v>
      </c>
      <c r="D379">
        <v>1</v>
      </c>
      <c r="E379" t="s">
        <v>1</v>
      </c>
      <c r="F379" t="s">
        <v>67</v>
      </c>
      <c r="G379" t="s">
        <v>61</v>
      </c>
      <c r="H379" t="s">
        <v>44</v>
      </c>
      <c r="I379" t="s">
        <v>1026</v>
      </c>
      <c r="J379" t="s">
        <v>428</v>
      </c>
      <c r="K379" t="s">
        <v>34</v>
      </c>
      <c r="L379" t="s">
        <v>9</v>
      </c>
      <c r="M379" t="s">
        <v>10</v>
      </c>
    </row>
    <row r="380" spans="1:13">
      <c r="A380" t="s">
        <v>1405</v>
      </c>
      <c r="B380" s="2">
        <v>45665</v>
      </c>
      <c r="C380">
        <v>2025</v>
      </c>
      <c r="D380">
        <v>1</v>
      </c>
      <c r="E380" t="s">
        <v>1</v>
      </c>
      <c r="F380" t="s">
        <v>67</v>
      </c>
      <c r="G380" t="s">
        <v>38</v>
      </c>
      <c r="H380" t="s">
        <v>33</v>
      </c>
      <c r="I380" t="s">
        <v>1026</v>
      </c>
      <c r="J380" t="s">
        <v>494</v>
      </c>
      <c r="K380" t="s">
        <v>70</v>
      </c>
      <c r="L380" t="s">
        <v>36</v>
      </c>
      <c r="M380" t="s">
        <v>10</v>
      </c>
    </row>
    <row r="381" spans="1:13">
      <c r="A381" t="s">
        <v>1406</v>
      </c>
      <c r="B381" s="2">
        <v>45673</v>
      </c>
      <c r="C381">
        <v>2025</v>
      </c>
      <c r="D381">
        <v>1</v>
      </c>
      <c r="E381" t="s">
        <v>1</v>
      </c>
      <c r="F381" t="s">
        <v>2</v>
      </c>
      <c r="G381" t="s">
        <v>74</v>
      </c>
      <c r="H381" t="s">
        <v>44</v>
      </c>
      <c r="I381" t="s">
        <v>1023</v>
      </c>
      <c r="J381" t="s">
        <v>1024</v>
      </c>
      <c r="K381" t="s">
        <v>70</v>
      </c>
      <c r="L381" t="s">
        <v>36</v>
      </c>
      <c r="M381" t="s">
        <v>10</v>
      </c>
    </row>
    <row r="382" spans="1:13">
      <c r="A382" t="s">
        <v>1407</v>
      </c>
      <c r="B382" s="2">
        <v>45673</v>
      </c>
      <c r="C382">
        <v>2025</v>
      </c>
      <c r="D382">
        <v>1</v>
      </c>
      <c r="E382" t="s">
        <v>1</v>
      </c>
      <c r="F382" t="s">
        <v>19</v>
      </c>
      <c r="G382" t="s">
        <v>94</v>
      </c>
      <c r="H382" t="s">
        <v>12</v>
      </c>
      <c r="I382" t="s">
        <v>1029</v>
      </c>
      <c r="J382" t="s">
        <v>440</v>
      </c>
      <c r="K382" t="s">
        <v>13</v>
      </c>
      <c r="L382" t="s">
        <v>16</v>
      </c>
      <c r="M382" t="s">
        <v>10</v>
      </c>
    </row>
    <row r="383" spans="1:13">
      <c r="A383" t="s">
        <v>1408</v>
      </c>
      <c r="B383" s="2">
        <v>45670</v>
      </c>
      <c r="C383">
        <v>2025</v>
      </c>
      <c r="D383">
        <v>1</v>
      </c>
      <c r="E383" t="s">
        <v>1</v>
      </c>
      <c r="F383" t="s">
        <v>19</v>
      </c>
      <c r="G383" t="s">
        <v>27</v>
      </c>
      <c r="H383" t="s">
        <v>4</v>
      </c>
      <c r="I383" t="s">
        <v>1023</v>
      </c>
      <c r="J383" t="s">
        <v>1024</v>
      </c>
      <c r="K383" t="s">
        <v>6</v>
      </c>
      <c r="L383" t="s">
        <v>29</v>
      </c>
      <c r="M383" t="s">
        <v>17</v>
      </c>
    </row>
    <row r="384" spans="1:13">
      <c r="A384" t="s">
        <v>1409</v>
      </c>
      <c r="B384" s="2">
        <v>45685</v>
      </c>
      <c r="C384">
        <v>2025</v>
      </c>
      <c r="D384">
        <v>1</v>
      </c>
      <c r="E384" t="s">
        <v>1</v>
      </c>
      <c r="F384" t="s">
        <v>67</v>
      </c>
      <c r="G384" t="s">
        <v>3</v>
      </c>
      <c r="H384" t="s">
        <v>4</v>
      </c>
      <c r="I384" t="s">
        <v>1026</v>
      </c>
      <c r="J384" t="s">
        <v>428</v>
      </c>
      <c r="K384" t="s">
        <v>34</v>
      </c>
      <c r="L384" t="s">
        <v>29</v>
      </c>
      <c r="M384" t="s">
        <v>17</v>
      </c>
    </row>
    <row r="385" spans="1:13">
      <c r="A385" t="s">
        <v>1410</v>
      </c>
      <c r="B385" s="2">
        <v>45680</v>
      </c>
      <c r="C385">
        <v>2025</v>
      </c>
      <c r="D385">
        <v>1</v>
      </c>
      <c r="E385" t="s">
        <v>1</v>
      </c>
      <c r="F385" t="s">
        <v>67</v>
      </c>
      <c r="G385" t="s">
        <v>64</v>
      </c>
      <c r="H385" t="s">
        <v>12</v>
      </c>
      <c r="I385" t="s">
        <v>1037</v>
      </c>
      <c r="J385" t="s">
        <v>1024</v>
      </c>
      <c r="K385" t="s">
        <v>6</v>
      </c>
      <c r="L385" t="s">
        <v>36</v>
      </c>
      <c r="M385" t="s">
        <v>17</v>
      </c>
    </row>
    <row r="386" spans="1:13">
      <c r="A386" t="s">
        <v>1411</v>
      </c>
      <c r="B386" s="2">
        <v>45684</v>
      </c>
      <c r="C386">
        <v>2025</v>
      </c>
      <c r="D386">
        <v>1</v>
      </c>
      <c r="E386" t="s">
        <v>1</v>
      </c>
      <c r="F386" t="s">
        <v>38</v>
      </c>
      <c r="G386" t="s">
        <v>48</v>
      </c>
      <c r="H386" t="s">
        <v>4</v>
      </c>
      <c r="I386" t="s">
        <v>1029</v>
      </c>
      <c r="J386" t="s">
        <v>440</v>
      </c>
      <c r="K386" t="s">
        <v>50</v>
      </c>
      <c r="L386" t="s">
        <v>9</v>
      </c>
      <c r="M386" t="s">
        <v>10</v>
      </c>
    </row>
    <row r="387" spans="1:13">
      <c r="A387" t="s">
        <v>1412</v>
      </c>
      <c r="B387" s="2">
        <v>45661</v>
      </c>
      <c r="C387">
        <v>2025</v>
      </c>
      <c r="D387">
        <v>1</v>
      </c>
      <c r="E387" t="s">
        <v>1</v>
      </c>
      <c r="F387" t="s">
        <v>67</v>
      </c>
      <c r="G387" t="s">
        <v>55</v>
      </c>
      <c r="H387" t="s">
        <v>4</v>
      </c>
      <c r="I387" t="s">
        <v>1026</v>
      </c>
      <c r="J387" t="s">
        <v>466</v>
      </c>
      <c r="K387" t="s">
        <v>34</v>
      </c>
      <c r="L387" t="s">
        <v>9</v>
      </c>
      <c r="M387" t="s">
        <v>10</v>
      </c>
    </row>
    <row r="388" spans="1:13">
      <c r="A388" t="s">
        <v>1413</v>
      </c>
      <c r="B388" s="2">
        <v>45660</v>
      </c>
      <c r="C388">
        <v>2025</v>
      </c>
      <c r="D388">
        <v>1</v>
      </c>
      <c r="E388" t="s">
        <v>1</v>
      </c>
      <c r="F388" t="s">
        <v>47</v>
      </c>
      <c r="G388" t="s">
        <v>61</v>
      </c>
      <c r="H388" t="s">
        <v>33</v>
      </c>
      <c r="I388" t="s">
        <v>1026</v>
      </c>
      <c r="J388" t="s">
        <v>454</v>
      </c>
      <c r="K388" t="s">
        <v>34</v>
      </c>
      <c r="L388" t="s">
        <v>36</v>
      </c>
      <c r="M388" t="s">
        <v>10</v>
      </c>
    </row>
    <row r="389" spans="1:13">
      <c r="A389" t="s">
        <v>1414</v>
      </c>
      <c r="B389" s="2">
        <v>45660</v>
      </c>
      <c r="C389">
        <v>2025</v>
      </c>
      <c r="D389">
        <v>1</v>
      </c>
      <c r="E389" t="s">
        <v>1</v>
      </c>
      <c r="F389" t="s">
        <v>40</v>
      </c>
      <c r="G389" t="s">
        <v>61</v>
      </c>
      <c r="H389" t="s">
        <v>33</v>
      </c>
      <c r="I389" t="s">
        <v>1026</v>
      </c>
      <c r="J389" t="s">
        <v>446</v>
      </c>
      <c r="K389" t="s">
        <v>70</v>
      </c>
      <c r="L389" t="s">
        <v>16</v>
      </c>
      <c r="M389" t="s">
        <v>17</v>
      </c>
    </row>
    <row r="390" spans="1:13">
      <c r="A390" t="s">
        <v>1415</v>
      </c>
      <c r="B390" s="2">
        <v>45667</v>
      </c>
      <c r="C390">
        <v>2025</v>
      </c>
      <c r="D390">
        <v>1</v>
      </c>
      <c r="E390" t="s">
        <v>1</v>
      </c>
      <c r="F390" t="s">
        <v>31</v>
      </c>
      <c r="G390" t="s">
        <v>20</v>
      </c>
      <c r="H390" t="s">
        <v>44</v>
      </c>
      <c r="I390" t="s">
        <v>1026</v>
      </c>
      <c r="J390" t="s">
        <v>470</v>
      </c>
      <c r="K390" t="s">
        <v>13</v>
      </c>
      <c r="L390" t="s">
        <v>36</v>
      </c>
      <c r="M390" t="s">
        <v>10</v>
      </c>
    </row>
    <row r="391" spans="1:13">
      <c r="A391" t="s">
        <v>1416</v>
      </c>
      <c r="B391" s="2">
        <v>45679</v>
      </c>
      <c r="C391">
        <v>2025</v>
      </c>
      <c r="D391">
        <v>1</v>
      </c>
      <c r="E391" t="s">
        <v>1</v>
      </c>
      <c r="F391" t="s">
        <v>67</v>
      </c>
      <c r="G391" t="s">
        <v>55</v>
      </c>
      <c r="H391" t="s">
        <v>12</v>
      </c>
      <c r="I391" t="s">
        <v>1026</v>
      </c>
      <c r="J391" t="s">
        <v>457</v>
      </c>
      <c r="K391" t="s">
        <v>6</v>
      </c>
      <c r="L391" t="s">
        <v>29</v>
      </c>
      <c r="M391" t="s">
        <v>10</v>
      </c>
    </row>
    <row r="392" spans="1:13">
      <c r="A392" t="s">
        <v>1417</v>
      </c>
      <c r="B392" s="2">
        <v>45678</v>
      </c>
      <c r="C392">
        <v>2025</v>
      </c>
      <c r="D392">
        <v>1</v>
      </c>
      <c r="E392" t="s">
        <v>1</v>
      </c>
      <c r="F392" t="s">
        <v>67</v>
      </c>
      <c r="G392" t="s">
        <v>64</v>
      </c>
      <c r="H392" t="s">
        <v>33</v>
      </c>
      <c r="I392" t="s">
        <v>1023</v>
      </c>
      <c r="J392" t="s">
        <v>1024</v>
      </c>
      <c r="K392" t="s">
        <v>34</v>
      </c>
      <c r="L392" t="s">
        <v>16</v>
      </c>
      <c r="M392" t="s">
        <v>10</v>
      </c>
    </row>
    <row r="393" spans="1:13">
      <c r="A393" t="s">
        <v>1418</v>
      </c>
      <c r="B393" s="2">
        <v>45681</v>
      </c>
      <c r="C393">
        <v>2025</v>
      </c>
      <c r="D393">
        <v>1</v>
      </c>
      <c r="E393" t="s">
        <v>1</v>
      </c>
      <c r="F393" t="s">
        <v>54</v>
      </c>
      <c r="G393" t="s">
        <v>32</v>
      </c>
      <c r="H393" t="s">
        <v>44</v>
      </c>
      <c r="I393" t="s">
        <v>1037</v>
      </c>
      <c r="J393" t="s">
        <v>1024</v>
      </c>
      <c r="K393" t="s">
        <v>13</v>
      </c>
      <c r="L393" t="s">
        <v>36</v>
      </c>
      <c r="M393" t="s">
        <v>10</v>
      </c>
    </row>
    <row r="394" spans="1:13">
      <c r="A394" t="s">
        <v>1419</v>
      </c>
      <c r="B394" s="2">
        <v>45668</v>
      </c>
      <c r="C394">
        <v>2025</v>
      </c>
      <c r="D394">
        <v>1</v>
      </c>
      <c r="E394" t="s">
        <v>1</v>
      </c>
      <c r="F394" t="s">
        <v>40</v>
      </c>
      <c r="G394" t="s">
        <v>64</v>
      </c>
      <c r="H394" t="s">
        <v>33</v>
      </c>
      <c r="I394" t="s">
        <v>1029</v>
      </c>
      <c r="J394" t="s">
        <v>473</v>
      </c>
      <c r="K394" t="s">
        <v>50</v>
      </c>
      <c r="L394" t="s">
        <v>29</v>
      </c>
      <c r="M394" t="s">
        <v>10</v>
      </c>
    </row>
    <row r="395" spans="1:13">
      <c r="A395" t="s">
        <v>1420</v>
      </c>
      <c r="B395" s="2">
        <v>45665</v>
      </c>
      <c r="C395">
        <v>2025</v>
      </c>
      <c r="D395">
        <v>1</v>
      </c>
      <c r="E395" t="s">
        <v>1</v>
      </c>
      <c r="F395" t="s">
        <v>40</v>
      </c>
      <c r="G395" t="s">
        <v>20</v>
      </c>
      <c r="H395" t="s">
        <v>33</v>
      </c>
      <c r="I395" t="s">
        <v>1037</v>
      </c>
      <c r="J395" t="s">
        <v>1024</v>
      </c>
      <c r="K395" t="s">
        <v>34</v>
      </c>
      <c r="L395" t="s">
        <v>9</v>
      </c>
      <c r="M395" t="s">
        <v>10</v>
      </c>
    </row>
    <row r="396" spans="1:13">
      <c r="A396" t="s">
        <v>1421</v>
      </c>
      <c r="B396" s="2">
        <v>45664</v>
      </c>
      <c r="C396">
        <v>2025</v>
      </c>
      <c r="D396">
        <v>1</v>
      </c>
      <c r="E396" t="s">
        <v>1</v>
      </c>
      <c r="F396" t="s">
        <v>2</v>
      </c>
      <c r="G396" t="s">
        <v>69</v>
      </c>
      <c r="H396" t="s">
        <v>33</v>
      </c>
      <c r="I396" t="s">
        <v>1029</v>
      </c>
      <c r="J396" t="s">
        <v>442</v>
      </c>
      <c r="K396" t="s">
        <v>70</v>
      </c>
      <c r="L396" t="s">
        <v>16</v>
      </c>
      <c r="M396" t="s">
        <v>17</v>
      </c>
    </row>
    <row r="397" spans="1:13">
      <c r="A397" t="s">
        <v>1422</v>
      </c>
      <c r="B397" s="2">
        <v>45660</v>
      </c>
      <c r="C397">
        <v>2025</v>
      </c>
      <c r="D397">
        <v>1</v>
      </c>
      <c r="E397" t="s">
        <v>1</v>
      </c>
      <c r="F397" t="s">
        <v>47</v>
      </c>
      <c r="G397" t="s">
        <v>38</v>
      </c>
      <c r="H397" t="s">
        <v>33</v>
      </c>
      <c r="I397" t="s">
        <v>1026</v>
      </c>
      <c r="J397" t="s">
        <v>466</v>
      </c>
      <c r="K397" t="s">
        <v>34</v>
      </c>
      <c r="L397" t="s">
        <v>9</v>
      </c>
      <c r="M397" t="s">
        <v>10</v>
      </c>
    </row>
    <row r="398" spans="1:13">
      <c r="A398" t="s">
        <v>1423</v>
      </c>
      <c r="B398" s="2">
        <v>45661</v>
      </c>
      <c r="C398">
        <v>2025</v>
      </c>
      <c r="D398">
        <v>1</v>
      </c>
      <c r="E398" t="s">
        <v>1</v>
      </c>
      <c r="F398" t="s">
        <v>47</v>
      </c>
      <c r="G398" t="s">
        <v>20</v>
      </c>
      <c r="H398" t="s">
        <v>33</v>
      </c>
      <c r="I398" t="s">
        <v>1026</v>
      </c>
      <c r="J398" t="s">
        <v>494</v>
      </c>
      <c r="K398" t="s">
        <v>6</v>
      </c>
      <c r="L398" t="s">
        <v>36</v>
      </c>
      <c r="M398" t="s">
        <v>10</v>
      </c>
    </row>
    <row r="399" spans="1:13">
      <c r="A399" t="s">
        <v>1424</v>
      </c>
      <c r="B399" s="2">
        <v>45671</v>
      </c>
      <c r="C399">
        <v>2025</v>
      </c>
      <c r="D399">
        <v>1</v>
      </c>
      <c r="E399" t="s">
        <v>1</v>
      </c>
      <c r="F399" t="s">
        <v>67</v>
      </c>
      <c r="G399" t="s">
        <v>94</v>
      </c>
      <c r="H399" t="s">
        <v>44</v>
      </c>
      <c r="I399" t="s">
        <v>1026</v>
      </c>
      <c r="J399" t="s">
        <v>494</v>
      </c>
      <c r="K399" t="s">
        <v>13</v>
      </c>
      <c r="L399" t="s">
        <v>16</v>
      </c>
      <c r="M399" t="s">
        <v>10</v>
      </c>
    </row>
    <row r="400" spans="1:13">
      <c r="A400" t="s">
        <v>1425</v>
      </c>
      <c r="B400" s="2">
        <v>45664</v>
      </c>
      <c r="C400">
        <v>2025</v>
      </c>
      <c r="D400">
        <v>1</v>
      </c>
      <c r="E400" t="s">
        <v>1</v>
      </c>
      <c r="F400" t="s">
        <v>40</v>
      </c>
      <c r="G400" t="s">
        <v>20</v>
      </c>
      <c r="H400" t="s">
        <v>44</v>
      </c>
      <c r="I400" t="s">
        <v>1029</v>
      </c>
      <c r="J400" t="s">
        <v>431</v>
      </c>
      <c r="K400" t="s">
        <v>6</v>
      </c>
      <c r="L400" t="s">
        <v>29</v>
      </c>
      <c r="M400" t="s">
        <v>10</v>
      </c>
    </row>
    <row r="401" spans="1:13">
      <c r="A401" t="s">
        <v>1426</v>
      </c>
      <c r="B401" s="2">
        <v>45673</v>
      </c>
      <c r="C401">
        <v>2025</v>
      </c>
      <c r="D401">
        <v>1</v>
      </c>
      <c r="E401" t="s">
        <v>1</v>
      </c>
      <c r="F401" t="s">
        <v>67</v>
      </c>
      <c r="G401" t="s">
        <v>20</v>
      </c>
      <c r="H401" t="s">
        <v>12</v>
      </c>
      <c r="I401" t="s">
        <v>1037</v>
      </c>
      <c r="J401" t="s">
        <v>1024</v>
      </c>
      <c r="K401" t="s">
        <v>70</v>
      </c>
      <c r="L401" t="s">
        <v>16</v>
      </c>
      <c r="M401" t="s">
        <v>10</v>
      </c>
    </row>
    <row r="402" spans="1:13">
      <c r="A402" t="s">
        <v>1427</v>
      </c>
      <c r="B402" s="2">
        <v>45679</v>
      </c>
      <c r="C402">
        <v>2025</v>
      </c>
      <c r="D402">
        <v>1</v>
      </c>
      <c r="E402" t="s">
        <v>1</v>
      </c>
      <c r="F402" t="s">
        <v>67</v>
      </c>
      <c r="G402" t="s">
        <v>69</v>
      </c>
      <c r="H402" t="s">
        <v>44</v>
      </c>
      <c r="I402" t="s">
        <v>1026</v>
      </c>
      <c r="J402" t="s">
        <v>446</v>
      </c>
      <c r="K402" t="s">
        <v>70</v>
      </c>
      <c r="L402" t="s">
        <v>9</v>
      </c>
      <c r="M402" t="s">
        <v>10</v>
      </c>
    </row>
    <row r="403" spans="1:13">
      <c r="A403" t="s">
        <v>1428</v>
      </c>
      <c r="B403" s="2">
        <v>45661</v>
      </c>
      <c r="C403">
        <v>2025</v>
      </c>
      <c r="D403">
        <v>1</v>
      </c>
      <c r="E403" t="s">
        <v>1</v>
      </c>
      <c r="F403" t="s">
        <v>31</v>
      </c>
      <c r="G403" t="s">
        <v>38</v>
      </c>
      <c r="H403" t="s">
        <v>44</v>
      </c>
      <c r="I403" t="s">
        <v>1023</v>
      </c>
      <c r="J403" t="s">
        <v>1024</v>
      </c>
      <c r="K403" t="s">
        <v>50</v>
      </c>
      <c r="L403" t="s">
        <v>16</v>
      </c>
      <c r="M403" t="s">
        <v>10</v>
      </c>
    </row>
    <row r="404" spans="1:13">
      <c r="A404" t="s">
        <v>1429</v>
      </c>
      <c r="B404" s="2">
        <v>45666</v>
      </c>
      <c r="C404">
        <v>2025</v>
      </c>
      <c r="D404">
        <v>1</v>
      </c>
      <c r="E404" t="s">
        <v>1</v>
      </c>
      <c r="F404" t="s">
        <v>19</v>
      </c>
      <c r="G404" t="s">
        <v>55</v>
      </c>
      <c r="H404" t="s">
        <v>12</v>
      </c>
      <c r="I404" t="s">
        <v>1037</v>
      </c>
      <c r="J404" t="s">
        <v>1024</v>
      </c>
      <c r="K404" t="s">
        <v>6</v>
      </c>
      <c r="L404" t="s">
        <v>36</v>
      </c>
      <c r="M404" t="s">
        <v>17</v>
      </c>
    </row>
    <row r="405" spans="1:13">
      <c r="A405" t="s">
        <v>1430</v>
      </c>
      <c r="B405" s="2">
        <v>45683</v>
      </c>
      <c r="C405">
        <v>2025</v>
      </c>
      <c r="D405">
        <v>1</v>
      </c>
      <c r="E405" t="s">
        <v>1</v>
      </c>
      <c r="F405" t="s">
        <v>38</v>
      </c>
      <c r="G405" t="s">
        <v>27</v>
      </c>
      <c r="H405" t="s">
        <v>12</v>
      </c>
      <c r="I405" t="s">
        <v>1026</v>
      </c>
      <c r="J405" t="s">
        <v>457</v>
      </c>
      <c r="K405" t="s">
        <v>70</v>
      </c>
      <c r="L405" t="s">
        <v>16</v>
      </c>
      <c r="M405" t="s">
        <v>17</v>
      </c>
    </row>
    <row r="406" spans="1:13">
      <c r="A406" t="s">
        <v>1431</v>
      </c>
      <c r="B406" s="2">
        <v>45668</v>
      </c>
      <c r="C406">
        <v>2025</v>
      </c>
      <c r="D406">
        <v>1</v>
      </c>
      <c r="E406" t="s">
        <v>1</v>
      </c>
      <c r="F406" t="s">
        <v>54</v>
      </c>
      <c r="G406" t="s">
        <v>3</v>
      </c>
      <c r="H406" t="s">
        <v>44</v>
      </c>
      <c r="I406" t="s">
        <v>1023</v>
      </c>
      <c r="J406" t="s">
        <v>1024</v>
      </c>
      <c r="K406" t="s">
        <v>34</v>
      </c>
      <c r="L406" t="s">
        <v>29</v>
      </c>
      <c r="M406" t="s">
        <v>10</v>
      </c>
    </row>
    <row r="407" spans="1:13">
      <c r="A407" t="s">
        <v>1432</v>
      </c>
      <c r="B407" s="2">
        <v>45706</v>
      </c>
      <c r="C407">
        <v>2025</v>
      </c>
      <c r="D407">
        <v>2</v>
      </c>
      <c r="E407" t="s">
        <v>25</v>
      </c>
      <c r="F407" t="s">
        <v>54</v>
      </c>
      <c r="G407" t="s">
        <v>94</v>
      </c>
      <c r="H407" t="s">
        <v>4</v>
      </c>
      <c r="I407" t="s">
        <v>1023</v>
      </c>
      <c r="J407" t="s">
        <v>1024</v>
      </c>
      <c r="K407" t="s">
        <v>34</v>
      </c>
      <c r="L407" t="s">
        <v>9</v>
      </c>
      <c r="M407" t="s">
        <v>10</v>
      </c>
    </row>
    <row r="408" spans="1:13">
      <c r="A408" t="s">
        <v>1433</v>
      </c>
      <c r="B408" s="2">
        <v>45713</v>
      </c>
      <c r="C408">
        <v>2025</v>
      </c>
      <c r="D408">
        <v>2</v>
      </c>
      <c r="E408" t="s">
        <v>25</v>
      </c>
      <c r="F408" t="s">
        <v>19</v>
      </c>
      <c r="G408" t="s">
        <v>69</v>
      </c>
      <c r="H408" t="s">
        <v>12</v>
      </c>
      <c r="I408" t="s">
        <v>1029</v>
      </c>
      <c r="J408" t="s">
        <v>473</v>
      </c>
      <c r="K408" t="s">
        <v>13</v>
      </c>
      <c r="L408" t="s">
        <v>29</v>
      </c>
      <c r="M408" t="s">
        <v>10</v>
      </c>
    </row>
    <row r="409" spans="1:13">
      <c r="A409" t="s">
        <v>1434</v>
      </c>
      <c r="B409" s="2">
        <v>45711</v>
      </c>
      <c r="C409">
        <v>2025</v>
      </c>
      <c r="D409">
        <v>2</v>
      </c>
      <c r="E409" t="s">
        <v>25</v>
      </c>
      <c r="F409" t="s">
        <v>31</v>
      </c>
      <c r="G409" t="s">
        <v>38</v>
      </c>
      <c r="H409" t="s">
        <v>12</v>
      </c>
      <c r="I409" t="s">
        <v>1029</v>
      </c>
      <c r="J409" t="s">
        <v>473</v>
      </c>
      <c r="K409" t="s">
        <v>13</v>
      </c>
      <c r="L409" t="s">
        <v>16</v>
      </c>
      <c r="M409" t="s">
        <v>10</v>
      </c>
    </row>
    <row r="410" spans="1:13">
      <c r="A410" t="s">
        <v>1435</v>
      </c>
      <c r="B410" s="2">
        <v>45714</v>
      </c>
      <c r="C410">
        <v>2025</v>
      </c>
      <c r="D410">
        <v>2</v>
      </c>
      <c r="E410" t="s">
        <v>25</v>
      </c>
      <c r="F410" t="s">
        <v>47</v>
      </c>
      <c r="G410" t="s">
        <v>27</v>
      </c>
      <c r="H410" t="s">
        <v>44</v>
      </c>
      <c r="I410" t="s">
        <v>1037</v>
      </c>
      <c r="J410" t="s">
        <v>1024</v>
      </c>
      <c r="K410" t="s">
        <v>70</v>
      </c>
      <c r="L410" t="s">
        <v>36</v>
      </c>
      <c r="M410" t="s">
        <v>10</v>
      </c>
    </row>
    <row r="411" spans="1:13">
      <c r="A411" t="s">
        <v>1436</v>
      </c>
      <c r="B411" s="2">
        <v>45701</v>
      </c>
      <c r="C411">
        <v>2025</v>
      </c>
      <c r="D411">
        <v>2</v>
      </c>
      <c r="E411" t="s">
        <v>25</v>
      </c>
      <c r="F411" t="s">
        <v>19</v>
      </c>
      <c r="G411" t="s">
        <v>27</v>
      </c>
      <c r="H411" t="s">
        <v>4</v>
      </c>
      <c r="I411" t="s">
        <v>1026</v>
      </c>
      <c r="J411" t="s">
        <v>494</v>
      </c>
      <c r="K411" t="s">
        <v>70</v>
      </c>
      <c r="L411" t="s">
        <v>9</v>
      </c>
      <c r="M411" t="s">
        <v>10</v>
      </c>
    </row>
    <row r="412" spans="1:13">
      <c r="A412" t="s">
        <v>1437</v>
      </c>
      <c r="B412" s="2">
        <v>45692</v>
      </c>
      <c r="C412">
        <v>2025</v>
      </c>
      <c r="D412">
        <v>2</v>
      </c>
      <c r="E412" t="s">
        <v>25</v>
      </c>
      <c r="F412" t="s">
        <v>19</v>
      </c>
      <c r="G412" t="s">
        <v>27</v>
      </c>
      <c r="H412" t="s">
        <v>44</v>
      </c>
      <c r="I412" t="s">
        <v>1037</v>
      </c>
      <c r="J412" t="s">
        <v>1024</v>
      </c>
      <c r="K412" t="s">
        <v>50</v>
      </c>
      <c r="L412" t="s">
        <v>36</v>
      </c>
      <c r="M412" t="s">
        <v>10</v>
      </c>
    </row>
    <row r="413" spans="1:13">
      <c r="A413" t="s">
        <v>1438</v>
      </c>
      <c r="B413" s="2">
        <v>45716</v>
      </c>
      <c r="C413">
        <v>2025</v>
      </c>
      <c r="D413">
        <v>2</v>
      </c>
      <c r="E413" t="s">
        <v>25</v>
      </c>
      <c r="F413" t="s">
        <v>19</v>
      </c>
      <c r="G413" t="s">
        <v>94</v>
      </c>
      <c r="H413" t="s">
        <v>33</v>
      </c>
      <c r="I413" t="s">
        <v>1029</v>
      </c>
      <c r="J413" t="s">
        <v>440</v>
      </c>
      <c r="K413" t="s">
        <v>34</v>
      </c>
      <c r="L413" t="s">
        <v>36</v>
      </c>
      <c r="M413" t="s">
        <v>10</v>
      </c>
    </row>
    <row r="414" spans="1:13">
      <c r="A414" t="s">
        <v>1439</v>
      </c>
      <c r="B414" s="2">
        <v>45698</v>
      </c>
      <c r="C414">
        <v>2025</v>
      </c>
      <c r="D414">
        <v>2</v>
      </c>
      <c r="E414" t="s">
        <v>25</v>
      </c>
      <c r="F414" t="s">
        <v>38</v>
      </c>
      <c r="G414" t="s">
        <v>69</v>
      </c>
      <c r="H414" t="s">
        <v>4</v>
      </c>
      <c r="I414" t="s">
        <v>1029</v>
      </c>
      <c r="J414" t="s">
        <v>442</v>
      </c>
      <c r="K414" t="s">
        <v>50</v>
      </c>
      <c r="L414" t="s">
        <v>16</v>
      </c>
      <c r="M414" t="s">
        <v>10</v>
      </c>
    </row>
    <row r="415" spans="1:13">
      <c r="A415" t="s">
        <v>1440</v>
      </c>
      <c r="B415" s="2">
        <v>45713</v>
      </c>
      <c r="C415">
        <v>2025</v>
      </c>
      <c r="D415">
        <v>2</v>
      </c>
      <c r="E415" t="s">
        <v>25</v>
      </c>
      <c r="F415" t="s">
        <v>40</v>
      </c>
      <c r="G415" t="s">
        <v>64</v>
      </c>
      <c r="H415" t="s">
        <v>33</v>
      </c>
      <c r="I415" t="s">
        <v>1029</v>
      </c>
      <c r="J415" t="s">
        <v>464</v>
      </c>
      <c r="K415" t="s">
        <v>50</v>
      </c>
      <c r="L415" t="s">
        <v>36</v>
      </c>
      <c r="M415" t="s">
        <v>10</v>
      </c>
    </row>
    <row r="416" spans="1:13">
      <c r="A416" t="s">
        <v>1441</v>
      </c>
      <c r="B416" s="2">
        <v>45692</v>
      </c>
      <c r="C416">
        <v>2025</v>
      </c>
      <c r="D416">
        <v>2</v>
      </c>
      <c r="E416" t="s">
        <v>25</v>
      </c>
      <c r="F416" t="s">
        <v>38</v>
      </c>
      <c r="G416" t="s">
        <v>48</v>
      </c>
      <c r="H416" t="s">
        <v>12</v>
      </c>
      <c r="I416" t="s">
        <v>1037</v>
      </c>
      <c r="J416" t="s">
        <v>1024</v>
      </c>
      <c r="K416" t="s">
        <v>70</v>
      </c>
      <c r="L416" t="s">
        <v>36</v>
      </c>
      <c r="M416" t="s">
        <v>10</v>
      </c>
    </row>
    <row r="417" spans="1:13">
      <c r="A417" t="s">
        <v>1442</v>
      </c>
      <c r="B417" s="2">
        <v>45698</v>
      </c>
      <c r="C417">
        <v>2025</v>
      </c>
      <c r="D417">
        <v>2</v>
      </c>
      <c r="E417" t="s">
        <v>25</v>
      </c>
      <c r="F417" t="s">
        <v>78</v>
      </c>
      <c r="G417" t="s">
        <v>20</v>
      </c>
      <c r="H417" t="s">
        <v>33</v>
      </c>
      <c r="I417" t="s">
        <v>1023</v>
      </c>
      <c r="J417" t="s">
        <v>1024</v>
      </c>
      <c r="K417" t="s">
        <v>34</v>
      </c>
      <c r="L417" t="s">
        <v>36</v>
      </c>
      <c r="M417" t="s">
        <v>10</v>
      </c>
    </row>
    <row r="418" spans="1:13">
      <c r="A418" t="s">
        <v>1443</v>
      </c>
      <c r="B418" s="2">
        <v>45712</v>
      </c>
      <c r="C418">
        <v>2025</v>
      </c>
      <c r="D418">
        <v>2</v>
      </c>
      <c r="E418" t="s">
        <v>25</v>
      </c>
      <c r="F418" t="s">
        <v>19</v>
      </c>
      <c r="G418" t="s">
        <v>48</v>
      </c>
      <c r="H418" t="s">
        <v>12</v>
      </c>
      <c r="I418" t="s">
        <v>1029</v>
      </c>
      <c r="J418" t="s">
        <v>464</v>
      </c>
      <c r="K418" t="s">
        <v>34</v>
      </c>
      <c r="L418" t="s">
        <v>36</v>
      </c>
      <c r="M418" t="s">
        <v>10</v>
      </c>
    </row>
    <row r="419" spans="1:13">
      <c r="A419" t="s">
        <v>1444</v>
      </c>
      <c r="B419" s="2">
        <v>45694</v>
      </c>
      <c r="C419">
        <v>2025</v>
      </c>
      <c r="D419">
        <v>2</v>
      </c>
      <c r="E419" t="s">
        <v>25</v>
      </c>
      <c r="F419" t="s">
        <v>78</v>
      </c>
      <c r="G419" t="s">
        <v>61</v>
      </c>
      <c r="H419" t="s">
        <v>4</v>
      </c>
      <c r="I419" t="s">
        <v>1037</v>
      </c>
      <c r="J419" t="s">
        <v>1024</v>
      </c>
      <c r="K419" t="s">
        <v>50</v>
      </c>
      <c r="L419" t="s">
        <v>16</v>
      </c>
      <c r="M419" t="s">
        <v>10</v>
      </c>
    </row>
    <row r="420" spans="1:13">
      <c r="A420" t="s">
        <v>1445</v>
      </c>
      <c r="B420" s="2">
        <v>45709</v>
      </c>
      <c r="C420">
        <v>2025</v>
      </c>
      <c r="D420">
        <v>2</v>
      </c>
      <c r="E420" t="s">
        <v>25</v>
      </c>
      <c r="F420" t="s">
        <v>40</v>
      </c>
      <c r="G420" t="s">
        <v>55</v>
      </c>
      <c r="H420" t="s">
        <v>33</v>
      </c>
      <c r="I420" t="s">
        <v>1026</v>
      </c>
      <c r="J420" t="s">
        <v>466</v>
      </c>
      <c r="K420" t="s">
        <v>6</v>
      </c>
      <c r="L420" t="s">
        <v>16</v>
      </c>
      <c r="M420" t="s">
        <v>10</v>
      </c>
    </row>
    <row r="421" spans="1:13">
      <c r="A421" t="s">
        <v>1446</v>
      </c>
      <c r="B421" s="2">
        <v>45710</v>
      </c>
      <c r="C421">
        <v>2025</v>
      </c>
      <c r="D421">
        <v>2</v>
      </c>
      <c r="E421" t="s">
        <v>25</v>
      </c>
      <c r="F421" t="s">
        <v>78</v>
      </c>
      <c r="G421" t="s">
        <v>94</v>
      </c>
      <c r="H421" t="s">
        <v>4</v>
      </c>
      <c r="I421" t="s">
        <v>1037</v>
      </c>
      <c r="J421" t="s">
        <v>1024</v>
      </c>
      <c r="K421" t="s">
        <v>70</v>
      </c>
      <c r="L421" t="s">
        <v>16</v>
      </c>
      <c r="M421" t="s">
        <v>10</v>
      </c>
    </row>
    <row r="422" spans="1:13">
      <c r="A422" t="s">
        <v>1447</v>
      </c>
      <c r="B422" s="2">
        <v>45691</v>
      </c>
      <c r="C422">
        <v>2025</v>
      </c>
      <c r="D422">
        <v>2</v>
      </c>
      <c r="E422" t="s">
        <v>25</v>
      </c>
      <c r="F422" t="s">
        <v>47</v>
      </c>
      <c r="G422" t="s">
        <v>94</v>
      </c>
      <c r="H422" t="s">
        <v>12</v>
      </c>
      <c r="I422" t="s">
        <v>1026</v>
      </c>
      <c r="J422" t="s">
        <v>454</v>
      </c>
      <c r="K422" t="s">
        <v>50</v>
      </c>
      <c r="L422" t="s">
        <v>16</v>
      </c>
      <c r="M422" t="s">
        <v>10</v>
      </c>
    </row>
    <row r="423" spans="1:13">
      <c r="A423" t="s">
        <v>1448</v>
      </c>
      <c r="B423" s="2">
        <v>45706</v>
      </c>
      <c r="C423">
        <v>2025</v>
      </c>
      <c r="D423">
        <v>2</v>
      </c>
      <c r="E423" t="s">
        <v>25</v>
      </c>
      <c r="F423" t="s">
        <v>38</v>
      </c>
      <c r="G423" t="s">
        <v>69</v>
      </c>
      <c r="H423" t="s">
        <v>4</v>
      </c>
      <c r="I423" t="s">
        <v>1026</v>
      </c>
      <c r="J423" t="s">
        <v>466</v>
      </c>
      <c r="K423" t="s">
        <v>13</v>
      </c>
      <c r="L423" t="s">
        <v>16</v>
      </c>
      <c r="M423" t="s">
        <v>17</v>
      </c>
    </row>
    <row r="424" spans="1:13">
      <c r="A424" t="s">
        <v>1449</v>
      </c>
      <c r="B424" s="2">
        <v>45700</v>
      </c>
      <c r="C424">
        <v>2025</v>
      </c>
      <c r="D424">
        <v>2</v>
      </c>
      <c r="E424" t="s">
        <v>25</v>
      </c>
      <c r="F424" t="s">
        <v>2</v>
      </c>
      <c r="G424" t="s">
        <v>64</v>
      </c>
      <c r="H424" t="s">
        <v>12</v>
      </c>
      <c r="I424" t="s">
        <v>1029</v>
      </c>
      <c r="J424" t="s">
        <v>438</v>
      </c>
      <c r="K424" t="s">
        <v>13</v>
      </c>
      <c r="L424" t="s">
        <v>9</v>
      </c>
      <c r="M424" t="s">
        <v>10</v>
      </c>
    </row>
    <row r="425" spans="1:13">
      <c r="A425" t="s">
        <v>1450</v>
      </c>
      <c r="B425" s="2">
        <v>45711</v>
      </c>
      <c r="C425">
        <v>2025</v>
      </c>
      <c r="D425">
        <v>2</v>
      </c>
      <c r="E425" t="s">
        <v>25</v>
      </c>
      <c r="F425" t="s">
        <v>40</v>
      </c>
      <c r="G425" t="s">
        <v>48</v>
      </c>
      <c r="H425" t="s">
        <v>12</v>
      </c>
      <c r="I425" t="s">
        <v>1026</v>
      </c>
      <c r="J425" t="s">
        <v>460</v>
      </c>
      <c r="K425" t="s">
        <v>6</v>
      </c>
      <c r="L425" t="s">
        <v>36</v>
      </c>
      <c r="M425" t="s">
        <v>10</v>
      </c>
    </row>
    <row r="426" spans="1:13">
      <c r="A426" t="s">
        <v>1451</v>
      </c>
      <c r="B426" s="2">
        <v>45707</v>
      </c>
      <c r="C426">
        <v>2025</v>
      </c>
      <c r="D426">
        <v>2</v>
      </c>
      <c r="E426" t="s">
        <v>25</v>
      </c>
      <c r="F426" t="s">
        <v>40</v>
      </c>
      <c r="G426" t="s">
        <v>48</v>
      </c>
      <c r="H426" t="s">
        <v>33</v>
      </c>
      <c r="I426" t="s">
        <v>1026</v>
      </c>
      <c r="J426" t="s">
        <v>460</v>
      </c>
      <c r="K426" t="s">
        <v>34</v>
      </c>
      <c r="L426" t="s">
        <v>36</v>
      </c>
      <c r="M426" t="s">
        <v>10</v>
      </c>
    </row>
    <row r="427" spans="1:13">
      <c r="A427" t="s">
        <v>1452</v>
      </c>
      <c r="B427" s="2">
        <v>45695</v>
      </c>
      <c r="C427">
        <v>2025</v>
      </c>
      <c r="D427">
        <v>2</v>
      </c>
      <c r="E427" t="s">
        <v>25</v>
      </c>
      <c r="F427" t="s">
        <v>54</v>
      </c>
      <c r="G427" t="s">
        <v>3</v>
      </c>
      <c r="H427" t="s">
        <v>4</v>
      </c>
      <c r="I427" t="s">
        <v>1037</v>
      </c>
      <c r="J427" t="s">
        <v>1024</v>
      </c>
      <c r="K427" t="s">
        <v>70</v>
      </c>
      <c r="L427" t="s">
        <v>29</v>
      </c>
      <c r="M427" t="s">
        <v>10</v>
      </c>
    </row>
    <row r="428" spans="1:13">
      <c r="A428" t="s">
        <v>1453</v>
      </c>
      <c r="B428" s="2">
        <v>45698</v>
      </c>
      <c r="C428">
        <v>2025</v>
      </c>
      <c r="D428">
        <v>2</v>
      </c>
      <c r="E428" t="s">
        <v>25</v>
      </c>
      <c r="F428" t="s">
        <v>26</v>
      </c>
      <c r="G428" t="s">
        <v>61</v>
      </c>
      <c r="H428" t="s">
        <v>33</v>
      </c>
      <c r="I428" t="s">
        <v>1037</v>
      </c>
      <c r="J428" t="s">
        <v>1024</v>
      </c>
      <c r="K428" t="s">
        <v>70</v>
      </c>
      <c r="L428" t="s">
        <v>9</v>
      </c>
      <c r="M428" t="s">
        <v>10</v>
      </c>
    </row>
    <row r="429" spans="1:13">
      <c r="A429" t="s">
        <v>1454</v>
      </c>
      <c r="B429" s="2">
        <v>45715</v>
      </c>
      <c r="C429">
        <v>2025</v>
      </c>
      <c r="D429">
        <v>2</v>
      </c>
      <c r="E429" t="s">
        <v>25</v>
      </c>
      <c r="F429" t="s">
        <v>67</v>
      </c>
      <c r="G429" t="s">
        <v>74</v>
      </c>
      <c r="H429" t="s">
        <v>12</v>
      </c>
      <c r="I429" t="s">
        <v>1023</v>
      </c>
      <c r="J429" t="s">
        <v>1024</v>
      </c>
      <c r="K429" t="s">
        <v>34</v>
      </c>
      <c r="L429" t="s">
        <v>36</v>
      </c>
      <c r="M429" t="s">
        <v>10</v>
      </c>
    </row>
    <row r="430" spans="1:13">
      <c r="A430" t="s">
        <v>1455</v>
      </c>
      <c r="B430" s="2">
        <v>45711</v>
      </c>
      <c r="C430">
        <v>2025</v>
      </c>
      <c r="D430">
        <v>2</v>
      </c>
      <c r="E430" t="s">
        <v>25</v>
      </c>
      <c r="F430" t="s">
        <v>67</v>
      </c>
      <c r="G430" t="s">
        <v>55</v>
      </c>
      <c r="H430" t="s">
        <v>4</v>
      </c>
      <c r="I430" t="s">
        <v>1029</v>
      </c>
      <c r="J430" t="s">
        <v>473</v>
      </c>
      <c r="K430" t="s">
        <v>6</v>
      </c>
      <c r="L430" t="s">
        <v>36</v>
      </c>
      <c r="M430" t="s">
        <v>10</v>
      </c>
    </row>
    <row r="431" spans="1:13">
      <c r="A431" t="s">
        <v>1456</v>
      </c>
      <c r="B431" s="2">
        <v>45710</v>
      </c>
      <c r="C431">
        <v>2025</v>
      </c>
      <c r="D431">
        <v>2</v>
      </c>
      <c r="E431" t="s">
        <v>25</v>
      </c>
      <c r="F431" t="s">
        <v>26</v>
      </c>
      <c r="G431" t="s">
        <v>69</v>
      </c>
      <c r="H431" t="s">
        <v>44</v>
      </c>
      <c r="I431" t="s">
        <v>1029</v>
      </c>
      <c r="J431" t="s">
        <v>473</v>
      </c>
      <c r="K431" t="s">
        <v>34</v>
      </c>
      <c r="L431" t="s">
        <v>29</v>
      </c>
      <c r="M431" t="s">
        <v>10</v>
      </c>
    </row>
    <row r="432" spans="1:13">
      <c r="A432" t="s">
        <v>1457</v>
      </c>
      <c r="B432" s="2">
        <v>45703</v>
      </c>
      <c r="C432">
        <v>2025</v>
      </c>
      <c r="D432">
        <v>2</v>
      </c>
      <c r="E432" t="s">
        <v>25</v>
      </c>
      <c r="F432" t="s">
        <v>19</v>
      </c>
      <c r="G432" t="s">
        <v>38</v>
      </c>
      <c r="H432" t="s">
        <v>4</v>
      </c>
      <c r="I432" t="s">
        <v>1023</v>
      </c>
      <c r="J432" t="s">
        <v>1024</v>
      </c>
      <c r="K432" t="s">
        <v>13</v>
      </c>
      <c r="L432" t="s">
        <v>9</v>
      </c>
      <c r="M432" t="s">
        <v>10</v>
      </c>
    </row>
    <row r="433" spans="1:13">
      <c r="A433" t="s">
        <v>1458</v>
      </c>
      <c r="B433" s="2">
        <v>45694</v>
      </c>
      <c r="C433">
        <v>2025</v>
      </c>
      <c r="D433">
        <v>2</v>
      </c>
      <c r="E433" t="s">
        <v>25</v>
      </c>
      <c r="F433" t="s">
        <v>26</v>
      </c>
      <c r="G433" t="s">
        <v>64</v>
      </c>
      <c r="H433" t="s">
        <v>4</v>
      </c>
      <c r="I433" t="s">
        <v>1026</v>
      </c>
      <c r="J433" t="s">
        <v>494</v>
      </c>
      <c r="K433" t="s">
        <v>70</v>
      </c>
      <c r="L433" t="s">
        <v>36</v>
      </c>
      <c r="M433" t="s">
        <v>10</v>
      </c>
    </row>
    <row r="434" spans="1:13">
      <c r="A434" t="s">
        <v>1459</v>
      </c>
      <c r="B434" s="2">
        <v>45713</v>
      </c>
      <c r="C434">
        <v>2025</v>
      </c>
      <c r="D434">
        <v>2</v>
      </c>
      <c r="E434" t="s">
        <v>25</v>
      </c>
      <c r="F434" t="s">
        <v>31</v>
      </c>
      <c r="G434" t="s">
        <v>32</v>
      </c>
      <c r="H434" t="s">
        <v>4</v>
      </c>
      <c r="I434" t="s">
        <v>1029</v>
      </c>
      <c r="J434" t="s">
        <v>438</v>
      </c>
      <c r="K434" t="s">
        <v>13</v>
      </c>
      <c r="L434" t="s">
        <v>9</v>
      </c>
      <c r="M434" t="s">
        <v>10</v>
      </c>
    </row>
    <row r="435" spans="1:13">
      <c r="A435" t="s">
        <v>1460</v>
      </c>
      <c r="B435" s="2">
        <v>45693</v>
      </c>
      <c r="C435">
        <v>2025</v>
      </c>
      <c r="D435">
        <v>2</v>
      </c>
      <c r="E435" t="s">
        <v>25</v>
      </c>
      <c r="F435" t="s">
        <v>38</v>
      </c>
      <c r="G435" t="s">
        <v>27</v>
      </c>
      <c r="H435" t="s">
        <v>12</v>
      </c>
      <c r="I435" t="s">
        <v>1029</v>
      </c>
      <c r="J435" t="s">
        <v>84</v>
      </c>
      <c r="K435" t="s">
        <v>6</v>
      </c>
      <c r="L435" t="s">
        <v>36</v>
      </c>
      <c r="M435" t="s">
        <v>10</v>
      </c>
    </row>
    <row r="436" spans="1:13">
      <c r="A436" t="s">
        <v>1461</v>
      </c>
      <c r="B436" s="2">
        <v>45691</v>
      </c>
      <c r="C436">
        <v>2025</v>
      </c>
      <c r="D436">
        <v>2</v>
      </c>
      <c r="E436" t="s">
        <v>25</v>
      </c>
      <c r="F436" t="s">
        <v>54</v>
      </c>
      <c r="G436" t="s">
        <v>20</v>
      </c>
      <c r="H436" t="s">
        <v>4</v>
      </c>
      <c r="I436" t="s">
        <v>1026</v>
      </c>
      <c r="J436" t="s">
        <v>457</v>
      </c>
      <c r="K436" t="s">
        <v>34</v>
      </c>
      <c r="L436" t="s">
        <v>29</v>
      </c>
      <c r="M436" t="s">
        <v>10</v>
      </c>
    </row>
    <row r="437" spans="1:13">
      <c r="A437" t="s">
        <v>1462</v>
      </c>
      <c r="B437" s="2">
        <v>45716</v>
      </c>
      <c r="C437">
        <v>2025</v>
      </c>
      <c r="D437">
        <v>2</v>
      </c>
      <c r="E437" t="s">
        <v>25</v>
      </c>
      <c r="F437" t="s">
        <v>54</v>
      </c>
      <c r="G437" t="s">
        <v>69</v>
      </c>
      <c r="H437" t="s">
        <v>4</v>
      </c>
      <c r="I437" t="s">
        <v>1029</v>
      </c>
      <c r="J437" t="s">
        <v>464</v>
      </c>
      <c r="K437" t="s">
        <v>70</v>
      </c>
      <c r="L437" t="s">
        <v>9</v>
      </c>
      <c r="M437" t="s">
        <v>10</v>
      </c>
    </row>
    <row r="438" spans="1:13">
      <c r="A438" t="s">
        <v>1463</v>
      </c>
      <c r="B438" s="2">
        <v>45692</v>
      </c>
      <c r="C438">
        <v>2025</v>
      </c>
      <c r="D438">
        <v>2</v>
      </c>
      <c r="E438" t="s">
        <v>25</v>
      </c>
      <c r="F438" t="s">
        <v>67</v>
      </c>
      <c r="G438" t="s">
        <v>61</v>
      </c>
      <c r="H438" t="s">
        <v>4</v>
      </c>
      <c r="I438" t="s">
        <v>1026</v>
      </c>
      <c r="J438" t="s">
        <v>457</v>
      </c>
      <c r="K438" t="s">
        <v>34</v>
      </c>
      <c r="L438" t="s">
        <v>9</v>
      </c>
      <c r="M438" t="s">
        <v>10</v>
      </c>
    </row>
    <row r="439" spans="1:13">
      <c r="A439" t="s">
        <v>1464</v>
      </c>
      <c r="B439" s="2">
        <v>45692</v>
      </c>
      <c r="C439">
        <v>2025</v>
      </c>
      <c r="D439">
        <v>2</v>
      </c>
      <c r="E439" t="s">
        <v>25</v>
      </c>
      <c r="F439" t="s">
        <v>38</v>
      </c>
      <c r="G439" t="s">
        <v>74</v>
      </c>
      <c r="H439" t="s">
        <v>44</v>
      </c>
      <c r="I439" t="s">
        <v>1026</v>
      </c>
      <c r="J439" t="s">
        <v>460</v>
      </c>
      <c r="K439" t="s">
        <v>13</v>
      </c>
      <c r="L439" t="s">
        <v>29</v>
      </c>
      <c r="M439" t="s">
        <v>10</v>
      </c>
    </row>
    <row r="440" spans="1:13">
      <c r="A440" t="s">
        <v>1465</v>
      </c>
      <c r="B440" s="2">
        <v>45697</v>
      </c>
      <c r="C440">
        <v>2025</v>
      </c>
      <c r="D440">
        <v>2</v>
      </c>
      <c r="E440" t="s">
        <v>25</v>
      </c>
      <c r="F440" t="s">
        <v>38</v>
      </c>
      <c r="G440" t="s">
        <v>27</v>
      </c>
      <c r="H440" t="s">
        <v>44</v>
      </c>
      <c r="I440" t="s">
        <v>1026</v>
      </c>
      <c r="J440" t="s">
        <v>494</v>
      </c>
      <c r="K440" t="s">
        <v>6</v>
      </c>
      <c r="L440" t="s">
        <v>9</v>
      </c>
      <c r="M440" t="s">
        <v>10</v>
      </c>
    </row>
    <row r="441" spans="1:13">
      <c r="A441" t="s">
        <v>1466</v>
      </c>
      <c r="B441" s="2">
        <v>45689</v>
      </c>
      <c r="C441">
        <v>2025</v>
      </c>
      <c r="D441">
        <v>2</v>
      </c>
      <c r="E441" t="s">
        <v>25</v>
      </c>
      <c r="F441" t="s">
        <v>47</v>
      </c>
      <c r="G441" t="s">
        <v>61</v>
      </c>
      <c r="H441" t="s">
        <v>33</v>
      </c>
      <c r="I441" t="s">
        <v>1023</v>
      </c>
      <c r="J441" t="s">
        <v>1024</v>
      </c>
      <c r="K441" t="s">
        <v>70</v>
      </c>
      <c r="L441" t="s">
        <v>29</v>
      </c>
      <c r="M441" t="s">
        <v>10</v>
      </c>
    </row>
    <row r="442" spans="1:13">
      <c r="A442" t="s">
        <v>1467</v>
      </c>
      <c r="B442" s="2">
        <v>45708</v>
      </c>
      <c r="C442">
        <v>2025</v>
      </c>
      <c r="D442">
        <v>2</v>
      </c>
      <c r="E442" t="s">
        <v>25</v>
      </c>
      <c r="F442" t="s">
        <v>47</v>
      </c>
      <c r="G442" t="s">
        <v>64</v>
      </c>
      <c r="H442" t="s">
        <v>33</v>
      </c>
      <c r="I442" t="s">
        <v>1029</v>
      </c>
      <c r="J442" t="s">
        <v>464</v>
      </c>
      <c r="K442" t="s">
        <v>6</v>
      </c>
      <c r="L442" t="s">
        <v>29</v>
      </c>
      <c r="M442" t="s">
        <v>10</v>
      </c>
    </row>
    <row r="443" spans="1:13">
      <c r="A443" t="s">
        <v>1468</v>
      </c>
      <c r="B443" s="2">
        <v>45693</v>
      </c>
      <c r="C443">
        <v>2025</v>
      </c>
      <c r="D443">
        <v>2</v>
      </c>
      <c r="E443" t="s">
        <v>25</v>
      </c>
      <c r="F443" t="s">
        <v>78</v>
      </c>
      <c r="G443" t="s">
        <v>69</v>
      </c>
      <c r="H443" t="s">
        <v>12</v>
      </c>
      <c r="I443" t="s">
        <v>1037</v>
      </c>
      <c r="J443" t="s">
        <v>1024</v>
      </c>
      <c r="K443" t="s">
        <v>50</v>
      </c>
      <c r="L443" t="s">
        <v>36</v>
      </c>
      <c r="M443" t="s">
        <v>10</v>
      </c>
    </row>
    <row r="444" spans="1:13">
      <c r="A444" t="s">
        <v>1469</v>
      </c>
      <c r="B444" s="2">
        <v>45702</v>
      </c>
      <c r="C444">
        <v>2025</v>
      </c>
      <c r="D444">
        <v>2</v>
      </c>
      <c r="E444" t="s">
        <v>25</v>
      </c>
      <c r="F444" t="s">
        <v>26</v>
      </c>
      <c r="G444" t="s">
        <v>38</v>
      </c>
      <c r="H444" t="s">
        <v>12</v>
      </c>
      <c r="I444" t="s">
        <v>1026</v>
      </c>
      <c r="J444" t="s">
        <v>470</v>
      </c>
      <c r="K444" t="s">
        <v>34</v>
      </c>
      <c r="L444" t="s">
        <v>16</v>
      </c>
      <c r="M444" t="s">
        <v>10</v>
      </c>
    </row>
    <row r="445" spans="1:13">
      <c r="A445" t="s">
        <v>1470</v>
      </c>
      <c r="B445" s="2">
        <v>45713</v>
      </c>
      <c r="C445">
        <v>2025</v>
      </c>
      <c r="D445">
        <v>2</v>
      </c>
      <c r="E445" t="s">
        <v>25</v>
      </c>
      <c r="F445" t="s">
        <v>47</v>
      </c>
      <c r="G445" t="s">
        <v>64</v>
      </c>
      <c r="H445" t="s">
        <v>12</v>
      </c>
      <c r="I445" t="s">
        <v>1026</v>
      </c>
      <c r="J445" t="s">
        <v>444</v>
      </c>
      <c r="K445" t="s">
        <v>13</v>
      </c>
      <c r="L445" t="s">
        <v>36</v>
      </c>
      <c r="M445" t="s">
        <v>10</v>
      </c>
    </row>
    <row r="446" spans="1:13">
      <c r="A446" t="s">
        <v>1471</v>
      </c>
      <c r="B446" s="2">
        <v>45695</v>
      </c>
      <c r="C446">
        <v>2025</v>
      </c>
      <c r="D446">
        <v>2</v>
      </c>
      <c r="E446" t="s">
        <v>25</v>
      </c>
      <c r="F446" t="s">
        <v>78</v>
      </c>
      <c r="G446" t="s">
        <v>69</v>
      </c>
      <c r="H446" t="s">
        <v>4</v>
      </c>
      <c r="I446" t="s">
        <v>1023</v>
      </c>
      <c r="J446" t="s">
        <v>1024</v>
      </c>
      <c r="K446" t="s">
        <v>50</v>
      </c>
      <c r="L446" t="s">
        <v>36</v>
      </c>
      <c r="M446" t="s">
        <v>10</v>
      </c>
    </row>
    <row r="447" spans="1:13">
      <c r="A447" t="s">
        <v>1472</v>
      </c>
      <c r="B447" s="2">
        <v>45691</v>
      </c>
      <c r="C447">
        <v>2025</v>
      </c>
      <c r="D447">
        <v>2</v>
      </c>
      <c r="E447" t="s">
        <v>25</v>
      </c>
      <c r="F447" t="s">
        <v>38</v>
      </c>
      <c r="G447" t="s">
        <v>55</v>
      </c>
      <c r="H447" t="s">
        <v>33</v>
      </c>
      <c r="I447" t="s">
        <v>1026</v>
      </c>
      <c r="J447" t="s">
        <v>457</v>
      </c>
      <c r="K447" t="s">
        <v>50</v>
      </c>
      <c r="L447" t="s">
        <v>29</v>
      </c>
      <c r="M447" t="s">
        <v>10</v>
      </c>
    </row>
    <row r="448" spans="1:13">
      <c r="A448" t="s">
        <v>1473</v>
      </c>
      <c r="B448" s="2">
        <v>45713</v>
      </c>
      <c r="C448">
        <v>2025</v>
      </c>
      <c r="D448">
        <v>2</v>
      </c>
      <c r="E448" t="s">
        <v>25</v>
      </c>
      <c r="F448" t="s">
        <v>78</v>
      </c>
      <c r="G448" t="s">
        <v>94</v>
      </c>
      <c r="H448" t="s">
        <v>12</v>
      </c>
      <c r="I448" t="s">
        <v>1029</v>
      </c>
      <c r="J448" t="s">
        <v>431</v>
      </c>
      <c r="K448" t="s">
        <v>13</v>
      </c>
      <c r="L448" t="s">
        <v>36</v>
      </c>
      <c r="M448" t="s">
        <v>17</v>
      </c>
    </row>
    <row r="449" spans="1:13">
      <c r="A449" t="s">
        <v>1474</v>
      </c>
      <c r="B449" s="2">
        <v>45697</v>
      </c>
      <c r="C449">
        <v>2025</v>
      </c>
      <c r="D449">
        <v>2</v>
      </c>
      <c r="E449" t="s">
        <v>25</v>
      </c>
      <c r="F449" t="s">
        <v>47</v>
      </c>
      <c r="G449" t="s">
        <v>94</v>
      </c>
      <c r="H449" t="s">
        <v>4</v>
      </c>
      <c r="I449" t="s">
        <v>1023</v>
      </c>
      <c r="J449" t="s">
        <v>1024</v>
      </c>
      <c r="K449" t="s">
        <v>6</v>
      </c>
      <c r="L449" t="s">
        <v>29</v>
      </c>
      <c r="M449" t="s">
        <v>17</v>
      </c>
    </row>
    <row r="450" spans="1:13">
      <c r="A450" t="s">
        <v>1475</v>
      </c>
      <c r="B450" s="2">
        <v>45712</v>
      </c>
      <c r="C450">
        <v>2025</v>
      </c>
      <c r="D450">
        <v>2</v>
      </c>
      <c r="E450" t="s">
        <v>25</v>
      </c>
      <c r="F450" t="s">
        <v>67</v>
      </c>
      <c r="G450" t="s">
        <v>3</v>
      </c>
      <c r="H450" t="s">
        <v>4</v>
      </c>
      <c r="I450" t="s">
        <v>1029</v>
      </c>
      <c r="J450" t="s">
        <v>438</v>
      </c>
      <c r="K450" t="s">
        <v>13</v>
      </c>
      <c r="L450" t="s">
        <v>36</v>
      </c>
      <c r="M450" t="s">
        <v>10</v>
      </c>
    </row>
    <row r="451" spans="1:13">
      <c r="A451" t="s">
        <v>1476</v>
      </c>
      <c r="B451" s="2">
        <v>45699</v>
      </c>
      <c r="C451">
        <v>2025</v>
      </c>
      <c r="D451">
        <v>2</v>
      </c>
      <c r="E451" t="s">
        <v>25</v>
      </c>
      <c r="F451" t="s">
        <v>2</v>
      </c>
      <c r="G451" t="s">
        <v>48</v>
      </c>
      <c r="H451" t="s">
        <v>44</v>
      </c>
      <c r="I451" t="s">
        <v>1029</v>
      </c>
      <c r="J451" t="s">
        <v>84</v>
      </c>
      <c r="K451" t="s">
        <v>50</v>
      </c>
      <c r="L451" t="s">
        <v>9</v>
      </c>
      <c r="M451" t="s">
        <v>10</v>
      </c>
    </row>
    <row r="452" spans="1:13">
      <c r="A452" t="s">
        <v>1477</v>
      </c>
      <c r="B452" s="2">
        <v>45702</v>
      </c>
      <c r="C452">
        <v>2025</v>
      </c>
      <c r="D452">
        <v>2</v>
      </c>
      <c r="E452" t="s">
        <v>25</v>
      </c>
      <c r="F452" t="s">
        <v>38</v>
      </c>
      <c r="G452" t="s">
        <v>27</v>
      </c>
      <c r="H452" t="s">
        <v>12</v>
      </c>
      <c r="I452" t="s">
        <v>1029</v>
      </c>
      <c r="J452" t="s">
        <v>431</v>
      </c>
      <c r="K452" t="s">
        <v>34</v>
      </c>
      <c r="L452" t="s">
        <v>36</v>
      </c>
      <c r="M452" t="s">
        <v>10</v>
      </c>
    </row>
    <row r="453" spans="1:13">
      <c r="A453" t="s">
        <v>1478</v>
      </c>
      <c r="B453" s="2">
        <v>45740</v>
      </c>
      <c r="C453">
        <v>2025</v>
      </c>
      <c r="D453">
        <v>3</v>
      </c>
      <c r="E453" t="s">
        <v>60</v>
      </c>
      <c r="F453" t="s">
        <v>78</v>
      </c>
      <c r="G453" t="s">
        <v>48</v>
      </c>
      <c r="H453" t="s">
        <v>33</v>
      </c>
      <c r="I453" t="s">
        <v>1026</v>
      </c>
      <c r="J453" t="s">
        <v>494</v>
      </c>
      <c r="K453" t="s">
        <v>13</v>
      </c>
      <c r="L453" t="s">
        <v>16</v>
      </c>
      <c r="M453" t="s">
        <v>10</v>
      </c>
    </row>
    <row r="454" spans="1:13">
      <c r="A454" t="s">
        <v>1479</v>
      </c>
      <c r="B454" s="2">
        <v>45735</v>
      </c>
      <c r="C454">
        <v>2025</v>
      </c>
      <c r="D454">
        <v>3</v>
      </c>
      <c r="E454" t="s">
        <v>60</v>
      </c>
      <c r="F454" t="s">
        <v>19</v>
      </c>
      <c r="G454" t="s">
        <v>48</v>
      </c>
      <c r="H454" t="s">
        <v>44</v>
      </c>
      <c r="I454" t="s">
        <v>1026</v>
      </c>
      <c r="J454" t="s">
        <v>446</v>
      </c>
      <c r="K454" t="s">
        <v>70</v>
      </c>
      <c r="L454" t="s">
        <v>36</v>
      </c>
      <c r="M454" t="s">
        <v>10</v>
      </c>
    </row>
    <row r="455" spans="1:13">
      <c r="A455" t="s">
        <v>1480</v>
      </c>
      <c r="B455" s="2">
        <v>45720</v>
      </c>
      <c r="C455">
        <v>2025</v>
      </c>
      <c r="D455">
        <v>3</v>
      </c>
      <c r="E455" t="s">
        <v>60</v>
      </c>
      <c r="F455" t="s">
        <v>38</v>
      </c>
      <c r="G455" t="s">
        <v>74</v>
      </c>
      <c r="H455" t="s">
        <v>44</v>
      </c>
      <c r="I455" t="s">
        <v>1029</v>
      </c>
      <c r="J455" t="s">
        <v>435</v>
      </c>
      <c r="K455" t="s">
        <v>13</v>
      </c>
      <c r="L455" t="s">
        <v>36</v>
      </c>
      <c r="M455" t="s">
        <v>10</v>
      </c>
    </row>
    <row r="456" spans="1:13">
      <c r="A456" t="s">
        <v>1481</v>
      </c>
      <c r="B456" s="2">
        <v>45722</v>
      </c>
      <c r="C456">
        <v>2025</v>
      </c>
      <c r="D456">
        <v>3</v>
      </c>
      <c r="E456" t="s">
        <v>60</v>
      </c>
      <c r="F456" t="s">
        <v>47</v>
      </c>
      <c r="G456" t="s">
        <v>20</v>
      </c>
      <c r="H456" t="s">
        <v>33</v>
      </c>
      <c r="I456" t="s">
        <v>1029</v>
      </c>
      <c r="J456" t="s">
        <v>435</v>
      </c>
      <c r="K456" t="s">
        <v>6</v>
      </c>
      <c r="L456" t="s">
        <v>29</v>
      </c>
      <c r="M456" t="s">
        <v>17</v>
      </c>
    </row>
    <row r="457" spans="1:13">
      <c r="A457" t="s">
        <v>1482</v>
      </c>
      <c r="B457" s="2">
        <v>45722</v>
      </c>
      <c r="C457">
        <v>2025</v>
      </c>
      <c r="D457">
        <v>3</v>
      </c>
      <c r="E457" t="s">
        <v>60</v>
      </c>
      <c r="F457" t="s">
        <v>38</v>
      </c>
      <c r="G457" t="s">
        <v>38</v>
      </c>
      <c r="H457" t="s">
        <v>12</v>
      </c>
      <c r="I457" t="s">
        <v>1037</v>
      </c>
      <c r="J457" t="s">
        <v>1024</v>
      </c>
      <c r="K457" t="s">
        <v>34</v>
      </c>
      <c r="L457" t="s">
        <v>16</v>
      </c>
      <c r="M457" t="s">
        <v>17</v>
      </c>
    </row>
    <row r="458" spans="1:13">
      <c r="A458" t="s">
        <v>1483</v>
      </c>
      <c r="B458" s="2">
        <v>45737</v>
      </c>
      <c r="C458">
        <v>2025</v>
      </c>
      <c r="D458">
        <v>3</v>
      </c>
      <c r="E458" t="s">
        <v>60</v>
      </c>
      <c r="F458" t="s">
        <v>26</v>
      </c>
      <c r="G458" t="s">
        <v>32</v>
      </c>
      <c r="H458" t="s">
        <v>4</v>
      </c>
      <c r="I458" t="s">
        <v>1029</v>
      </c>
      <c r="J458" t="s">
        <v>440</v>
      </c>
      <c r="K458" t="s">
        <v>13</v>
      </c>
      <c r="L458" t="s">
        <v>29</v>
      </c>
      <c r="M458" t="s">
        <v>10</v>
      </c>
    </row>
    <row r="459" spans="1:13">
      <c r="A459" t="s">
        <v>1484</v>
      </c>
      <c r="B459" s="2">
        <v>45723</v>
      </c>
      <c r="C459">
        <v>2025</v>
      </c>
      <c r="D459">
        <v>3</v>
      </c>
      <c r="E459" t="s">
        <v>60</v>
      </c>
      <c r="F459" t="s">
        <v>19</v>
      </c>
      <c r="G459" t="s">
        <v>3</v>
      </c>
      <c r="H459" t="s">
        <v>33</v>
      </c>
      <c r="I459" t="s">
        <v>1029</v>
      </c>
      <c r="J459" t="s">
        <v>452</v>
      </c>
      <c r="K459" t="s">
        <v>6</v>
      </c>
      <c r="L459" t="s">
        <v>36</v>
      </c>
      <c r="M459" t="s">
        <v>10</v>
      </c>
    </row>
    <row r="460" spans="1:13">
      <c r="A460" t="s">
        <v>1485</v>
      </c>
      <c r="B460" s="2">
        <v>45720</v>
      </c>
      <c r="C460">
        <v>2025</v>
      </c>
      <c r="D460">
        <v>3</v>
      </c>
      <c r="E460" t="s">
        <v>60</v>
      </c>
      <c r="F460" t="s">
        <v>54</v>
      </c>
      <c r="G460" t="s">
        <v>38</v>
      </c>
      <c r="H460" t="s">
        <v>44</v>
      </c>
      <c r="I460" t="s">
        <v>1026</v>
      </c>
      <c r="J460" t="s">
        <v>428</v>
      </c>
      <c r="K460" t="s">
        <v>34</v>
      </c>
      <c r="L460" t="s">
        <v>16</v>
      </c>
      <c r="M460" t="s">
        <v>10</v>
      </c>
    </row>
    <row r="461" spans="1:13">
      <c r="A461" t="s">
        <v>1486</v>
      </c>
      <c r="B461" s="2">
        <v>45738</v>
      </c>
      <c r="C461">
        <v>2025</v>
      </c>
      <c r="D461">
        <v>3</v>
      </c>
      <c r="E461" t="s">
        <v>60</v>
      </c>
      <c r="F461" t="s">
        <v>54</v>
      </c>
      <c r="G461" t="s">
        <v>55</v>
      </c>
      <c r="H461" t="s">
        <v>12</v>
      </c>
      <c r="I461" t="s">
        <v>1026</v>
      </c>
      <c r="J461" t="s">
        <v>444</v>
      </c>
      <c r="K461" t="s">
        <v>6</v>
      </c>
      <c r="L461" t="s">
        <v>29</v>
      </c>
      <c r="M461" t="s">
        <v>10</v>
      </c>
    </row>
    <row r="462" spans="1:13">
      <c r="A462" t="s">
        <v>1487</v>
      </c>
      <c r="B462" s="2">
        <v>45720</v>
      </c>
      <c r="C462">
        <v>2025</v>
      </c>
      <c r="D462">
        <v>3</v>
      </c>
      <c r="E462" t="s">
        <v>60</v>
      </c>
      <c r="F462" t="s">
        <v>31</v>
      </c>
      <c r="G462" t="s">
        <v>94</v>
      </c>
      <c r="H462" t="s">
        <v>12</v>
      </c>
      <c r="I462" t="s">
        <v>1029</v>
      </c>
      <c r="J462" t="s">
        <v>442</v>
      </c>
      <c r="K462" t="s">
        <v>50</v>
      </c>
      <c r="L462" t="s">
        <v>9</v>
      </c>
      <c r="M462" t="s">
        <v>17</v>
      </c>
    </row>
    <row r="463" spans="1:13">
      <c r="A463" t="s">
        <v>1488</v>
      </c>
      <c r="B463" s="2">
        <v>45741</v>
      </c>
      <c r="C463">
        <v>2025</v>
      </c>
      <c r="D463">
        <v>3</v>
      </c>
      <c r="E463" t="s">
        <v>60</v>
      </c>
      <c r="F463" t="s">
        <v>78</v>
      </c>
      <c r="G463" t="s">
        <v>61</v>
      </c>
      <c r="H463" t="s">
        <v>12</v>
      </c>
      <c r="I463" t="s">
        <v>1037</v>
      </c>
      <c r="J463" t="s">
        <v>1024</v>
      </c>
      <c r="K463" t="s">
        <v>50</v>
      </c>
      <c r="L463" t="s">
        <v>29</v>
      </c>
      <c r="M463" t="s">
        <v>10</v>
      </c>
    </row>
    <row r="464" spans="1:13">
      <c r="A464" t="s">
        <v>1489</v>
      </c>
      <c r="B464" s="2">
        <v>45737</v>
      </c>
      <c r="C464">
        <v>2025</v>
      </c>
      <c r="D464">
        <v>3</v>
      </c>
      <c r="E464" t="s">
        <v>60</v>
      </c>
      <c r="F464" t="s">
        <v>2</v>
      </c>
      <c r="G464" t="s">
        <v>55</v>
      </c>
      <c r="H464" t="s">
        <v>33</v>
      </c>
      <c r="I464" t="s">
        <v>1023</v>
      </c>
      <c r="J464" t="s">
        <v>1024</v>
      </c>
      <c r="K464" t="s">
        <v>70</v>
      </c>
      <c r="L464" t="s">
        <v>16</v>
      </c>
      <c r="M464" t="s">
        <v>10</v>
      </c>
    </row>
    <row r="465" spans="1:13">
      <c r="A465" t="s">
        <v>1490</v>
      </c>
      <c r="B465" s="2">
        <v>45719</v>
      </c>
      <c r="C465">
        <v>2025</v>
      </c>
      <c r="D465">
        <v>3</v>
      </c>
      <c r="E465" t="s">
        <v>60</v>
      </c>
      <c r="F465" t="s">
        <v>67</v>
      </c>
      <c r="G465" t="s">
        <v>32</v>
      </c>
      <c r="H465" t="s">
        <v>12</v>
      </c>
      <c r="I465" t="s">
        <v>1029</v>
      </c>
      <c r="J465" t="s">
        <v>464</v>
      </c>
      <c r="K465" t="s">
        <v>50</v>
      </c>
      <c r="L465" t="s">
        <v>36</v>
      </c>
      <c r="M465" t="s">
        <v>10</v>
      </c>
    </row>
    <row r="466" spans="1:13">
      <c r="A466" t="s">
        <v>1491</v>
      </c>
      <c r="B466" s="2">
        <v>45740</v>
      </c>
      <c r="C466">
        <v>2025</v>
      </c>
      <c r="D466">
        <v>3</v>
      </c>
      <c r="E466" t="s">
        <v>60</v>
      </c>
      <c r="F466" t="s">
        <v>40</v>
      </c>
      <c r="G466" t="s">
        <v>27</v>
      </c>
      <c r="H466" t="s">
        <v>44</v>
      </c>
      <c r="I466" t="s">
        <v>1026</v>
      </c>
      <c r="J466" t="s">
        <v>460</v>
      </c>
      <c r="K466" t="s">
        <v>13</v>
      </c>
      <c r="L466" t="s">
        <v>36</v>
      </c>
      <c r="M466" t="s">
        <v>10</v>
      </c>
    </row>
    <row r="467" spans="1:13">
      <c r="A467" t="s">
        <v>1492</v>
      </c>
      <c r="B467" s="2">
        <v>45736</v>
      </c>
      <c r="C467">
        <v>2025</v>
      </c>
      <c r="D467">
        <v>3</v>
      </c>
      <c r="E467" t="s">
        <v>60</v>
      </c>
      <c r="F467" t="s">
        <v>54</v>
      </c>
      <c r="G467" t="s">
        <v>27</v>
      </c>
      <c r="H467" t="s">
        <v>33</v>
      </c>
      <c r="I467" t="s">
        <v>1023</v>
      </c>
      <c r="J467" t="s">
        <v>1024</v>
      </c>
      <c r="K467" t="s">
        <v>70</v>
      </c>
      <c r="L467" t="s">
        <v>36</v>
      </c>
      <c r="M467" t="s">
        <v>10</v>
      </c>
    </row>
    <row r="468" spans="1:13">
      <c r="A468" t="s">
        <v>1493</v>
      </c>
      <c r="B468" s="2">
        <v>45742</v>
      </c>
      <c r="C468">
        <v>2025</v>
      </c>
      <c r="D468">
        <v>3</v>
      </c>
      <c r="E468" t="s">
        <v>60</v>
      </c>
      <c r="F468" t="s">
        <v>47</v>
      </c>
      <c r="G468" t="s">
        <v>55</v>
      </c>
      <c r="H468" t="s">
        <v>4</v>
      </c>
      <c r="I468" t="s">
        <v>1026</v>
      </c>
      <c r="J468" t="s">
        <v>494</v>
      </c>
      <c r="K468" t="s">
        <v>34</v>
      </c>
      <c r="L468" t="s">
        <v>36</v>
      </c>
      <c r="M468" t="s">
        <v>10</v>
      </c>
    </row>
    <row r="469" spans="1:13">
      <c r="A469" t="s">
        <v>1494</v>
      </c>
      <c r="B469" s="2">
        <v>45723</v>
      </c>
      <c r="C469">
        <v>2025</v>
      </c>
      <c r="D469">
        <v>3</v>
      </c>
      <c r="E469" t="s">
        <v>60</v>
      </c>
      <c r="F469" t="s">
        <v>54</v>
      </c>
      <c r="G469" t="s">
        <v>55</v>
      </c>
      <c r="H469" t="s">
        <v>12</v>
      </c>
      <c r="I469" t="s">
        <v>1026</v>
      </c>
      <c r="J469" t="s">
        <v>494</v>
      </c>
      <c r="K469" t="s">
        <v>70</v>
      </c>
      <c r="L469" t="s">
        <v>16</v>
      </c>
      <c r="M469" t="s">
        <v>10</v>
      </c>
    </row>
    <row r="470" spans="1:13">
      <c r="A470" t="s">
        <v>1495</v>
      </c>
      <c r="B470" s="2">
        <v>45743</v>
      </c>
      <c r="C470">
        <v>2025</v>
      </c>
      <c r="D470">
        <v>3</v>
      </c>
      <c r="E470" t="s">
        <v>60</v>
      </c>
      <c r="F470" t="s">
        <v>19</v>
      </c>
      <c r="G470" t="s">
        <v>74</v>
      </c>
      <c r="H470" t="s">
        <v>44</v>
      </c>
      <c r="I470" t="s">
        <v>1029</v>
      </c>
      <c r="J470" t="s">
        <v>431</v>
      </c>
      <c r="K470" t="s">
        <v>6</v>
      </c>
      <c r="L470" t="s">
        <v>36</v>
      </c>
      <c r="M470" t="s">
        <v>10</v>
      </c>
    </row>
    <row r="471" spans="1:13">
      <c r="A471" t="s">
        <v>1496</v>
      </c>
      <c r="B471" s="2">
        <v>45729</v>
      </c>
      <c r="C471">
        <v>2025</v>
      </c>
      <c r="D471">
        <v>3</v>
      </c>
      <c r="E471" t="s">
        <v>60</v>
      </c>
      <c r="F471" t="s">
        <v>38</v>
      </c>
      <c r="G471" t="s">
        <v>94</v>
      </c>
      <c r="H471" t="s">
        <v>44</v>
      </c>
      <c r="I471" t="s">
        <v>1037</v>
      </c>
      <c r="J471" t="s">
        <v>1024</v>
      </c>
      <c r="K471" t="s">
        <v>50</v>
      </c>
      <c r="L471" t="s">
        <v>16</v>
      </c>
      <c r="M471" t="s">
        <v>17</v>
      </c>
    </row>
    <row r="472" spans="1:13">
      <c r="A472" t="s">
        <v>1497</v>
      </c>
      <c r="B472" s="2">
        <v>45741</v>
      </c>
      <c r="C472">
        <v>2025</v>
      </c>
      <c r="D472">
        <v>3</v>
      </c>
      <c r="E472" t="s">
        <v>60</v>
      </c>
      <c r="F472" t="s">
        <v>31</v>
      </c>
      <c r="G472" t="s">
        <v>55</v>
      </c>
      <c r="H472" t="s">
        <v>33</v>
      </c>
      <c r="I472" t="s">
        <v>1026</v>
      </c>
      <c r="J472" t="s">
        <v>428</v>
      </c>
      <c r="K472" t="s">
        <v>34</v>
      </c>
      <c r="L472" t="s">
        <v>9</v>
      </c>
      <c r="M472" t="s">
        <v>17</v>
      </c>
    </row>
    <row r="473" spans="1:13">
      <c r="A473" t="s">
        <v>1498</v>
      </c>
      <c r="B473" s="2">
        <v>45721</v>
      </c>
      <c r="C473">
        <v>2025</v>
      </c>
      <c r="D473">
        <v>3</v>
      </c>
      <c r="E473" t="s">
        <v>60</v>
      </c>
      <c r="F473" t="s">
        <v>38</v>
      </c>
      <c r="G473" t="s">
        <v>32</v>
      </c>
      <c r="H473" t="s">
        <v>44</v>
      </c>
      <c r="I473" t="s">
        <v>1026</v>
      </c>
      <c r="J473" t="s">
        <v>519</v>
      </c>
      <c r="K473" t="s">
        <v>70</v>
      </c>
      <c r="L473" t="s">
        <v>9</v>
      </c>
      <c r="M473" t="s">
        <v>10</v>
      </c>
    </row>
    <row r="474" spans="1:13">
      <c r="A474" t="s">
        <v>1499</v>
      </c>
      <c r="B474" s="2">
        <v>45744</v>
      </c>
      <c r="C474">
        <v>2025</v>
      </c>
      <c r="D474">
        <v>3</v>
      </c>
      <c r="E474" t="s">
        <v>60</v>
      </c>
      <c r="F474" t="s">
        <v>31</v>
      </c>
      <c r="G474" t="s">
        <v>69</v>
      </c>
      <c r="H474" t="s">
        <v>4</v>
      </c>
      <c r="I474" t="s">
        <v>1037</v>
      </c>
      <c r="J474" t="s">
        <v>1024</v>
      </c>
      <c r="K474" t="s">
        <v>50</v>
      </c>
      <c r="L474" t="s">
        <v>9</v>
      </c>
      <c r="M474" t="s">
        <v>10</v>
      </c>
    </row>
    <row r="475" spans="1:13">
      <c r="A475" t="s">
        <v>1500</v>
      </c>
      <c r="B475" s="2">
        <v>45744</v>
      </c>
      <c r="C475">
        <v>2025</v>
      </c>
      <c r="D475">
        <v>3</v>
      </c>
      <c r="E475" t="s">
        <v>60</v>
      </c>
      <c r="F475" t="s">
        <v>47</v>
      </c>
      <c r="G475" t="s">
        <v>48</v>
      </c>
      <c r="H475" t="s">
        <v>12</v>
      </c>
      <c r="I475" t="s">
        <v>1026</v>
      </c>
      <c r="J475" t="s">
        <v>460</v>
      </c>
      <c r="K475" t="s">
        <v>70</v>
      </c>
      <c r="L475" t="s">
        <v>36</v>
      </c>
      <c r="M475" t="s">
        <v>10</v>
      </c>
    </row>
    <row r="476" spans="1:13">
      <c r="A476" t="s">
        <v>1501</v>
      </c>
      <c r="B476" s="2">
        <v>45736</v>
      </c>
      <c r="C476">
        <v>2025</v>
      </c>
      <c r="D476">
        <v>3</v>
      </c>
      <c r="E476" t="s">
        <v>60</v>
      </c>
      <c r="F476" t="s">
        <v>54</v>
      </c>
      <c r="G476" t="s">
        <v>94</v>
      </c>
      <c r="H476" t="s">
        <v>12</v>
      </c>
      <c r="I476" t="s">
        <v>1026</v>
      </c>
      <c r="J476" t="s">
        <v>446</v>
      </c>
      <c r="K476" t="s">
        <v>6</v>
      </c>
      <c r="L476" t="s">
        <v>36</v>
      </c>
      <c r="M476" t="s">
        <v>10</v>
      </c>
    </row>
    <row r="477" spans="1:13">
      <c r="A477" t="s">
        <v>1502</v>
      </c>
      <c r="B477" s="2">
        <v>45737</v>
      </c>
      <c r="C477">
        <v>2025</v>
      </c>
      <c r="D477">
        <v>3</v>
      </c>
      <c r="E477" t="s">
        <v>60</v>
      </c>
      <c r="F477" t="s">
        <v>67</v>
      </c>
      <c r="G477" t="s">
        <v>61</v>
      </c>
      <c r="H477" t="s">
        <v>12</v>
      </c>
      <c r="I477" t="s">
        <v>1026</v>
      </c>
      <c r="J477" t="s">
        <v>454</v>
      </c>
      <c r="K477" t="s">
        <v>34</v>
      </c>
      <c r="L477" t="s">
        <v>36</v>
      </c>
      <c r="M477" t="s">
        <v>10</v>
      </c>
    </row>
    <row r="478" spans="1:13">
      <c r="A478" t="s">
        <v>1503</v>
      </c>
      <c r="B478" s="2">
        <v>45737</v>
      </c>
      <c r="C478">
        <v>2025</v>
      </c>
      <c r="D478">
        <v>3</v>
      </c>
      <c r="E478" t="s">
        <v>60</v>
      </c>
      <c r="F478" t="s">
        <v>40</v>
      </c>
      <c r="G478" t="s">
        <v>27</v>
      </c>
      <c r="H478" t="s">
        <v>4</v>
      </c>
      <c r="I478" t="s">
        <v>1023</v>
      </c>
      <c r="J478" t="s">
        <v>1024</v>
      </c>
      <c r="K478" t="s">
        <v>50</v>
      </c>
      <c r="L478" t="s">
        <v>29</v>
      </c>
      <c r="M478" t="s">
        <v>10</v>
      </c>
    </row>
    <row r="479" spans="1:13">
      <c r="A479" t="s">
        <v>1504</v>
      </c>
      <c r="B479" s="2">
        <v>45744</v>
      </c>
      <c r="C479">
        <v>2025</v>
      </c>
      <c r="D479">
        <v>3</v>
      </c>
      <c r="E479" t="s">
        <v>60</v>
      </c>
      <c r="F479" t="s">
        <v>2</v>
      </c>
      <c r="G479" t="s">
        <v>69</v>
      </c>
      <c r="H479" t="s">
        <v>4</v>
      </c>
      <c r="I479" t="s">
        <v>1026</v>
      </c>
      <c r="J479" t="s">
        <v>470</v>
      </c>
      <c r="K479" t="s">
        <v>6</v>
      </c>
      <c r="L479" t="s">
        <v>16</v>
      </c>
      <c r="M479" t="s">
        <v>17</v>
      </c>
    </row>
    <row r="480" spans="1:13">
      <c r="A480" t="s">
        <v>1505</v>
      </c>
      <c r="B480" s="2">
        <v>45744</v>
      </c>
      <c r="C480">
        <v>2025</v>
      </c>
      <c r="D480">
        <v>3</v>
      </c>
      <c r="E480" t="s">
        <v>60</v>
      </c>
      <c r="F480" t="s">
        <v>78</v>
      </c>
      <c r="G480" t="s">
        <v>61</v>
      </c>
      <c r="H480" t="s">
        <v>33</v>
      </c>
      <c r="I480" t="s">
        <v>1029</v>
      </c>
      <c r="J480" t="s">
        <v>473</v>
      </c>
      <c r="K480" t="s">
        <v>50</v>
      </c>
      <c r="L480" t="s">
        <v>29</v>
      </c>
      <c r="M480" t="s">
        <v>10</v>
      </c>
    </row>
    <row r="481" spans="1:13">
      <c r="A481" t="s">
        <v>1506</v>
      </c>
      <c r="B481" s="2">
        <v>45717</v>
      </c>
      <c r="C481">
        <v>2025</v>
      </c>
      <c r="D481">
        <v>3</v>
      </c>
      <c r="E481" t="s">
        <v>60</v>
      </c>
      <c r="F481" t="s">
        <v>67</v>
      </c>
      <c r="G481" t="s">
        <v>20</v>
      </c>
      <c r="H481" t="s">
        <v>33</v>
      </c>
      <c r="I481" t="s">
        <v>1029</v>
      </c>
      <c r="J481" t="s">
        <v>440</v>
      </c>
      <c r="K481" t="s">
        <v>6</v>
      </c>
      <c r="L481" t="s">
        <v>16</v>
      </c>
      <c r="M481" t="s">
        <v>10</v>
      </c>
    </row>
    <row r="482" spans="1:13">
      <c r="A482" t="s">
        <v>1507</v>
      </c>
      <c r="B482" s="2">
        <v>45722</v>
      </c>
      <c r="C482">
        <v>2025</v>
      </c>
      <c r="D482">
        <v>3</v>
      </c>
      <c r="E482" t="s">
        <v>60</v>
      </c>
      <c r="F482" t="s">
        <v>40</v>
      </c>
      <c r="G482" t="s">
        <v>27</v>
      </c>
      <c r="H482" t="s">
        <v>44</v>
      </c>
      <c r="I482" t="s">
        <v>1029</v>
      </c>
      <c r="J482" t="s">
        <v>442</v>
      </c>
      <c r="K482" t="s">
        <v>6</v>
      </c>
      <c r="L482" t="s">
        <v>9</v>
      </c>
      <c r="M482" t="s">
        <v>17</v>
      </c>
    </row>
    <row r="483" spans="1:13">
      <c r="A483" t="s">
        <v>1508</v>
      </c>
      <c r="B483" s="2">
        <v>45759</v>
      </c>
      <c r="C483">
        <v>2025</v>
      </c>
      <c r="D483">
        <v>4</v>
      </c>
      <c r="E483" t="s">
        <v>73</v>
      </c>
      <c r="F483" t="s">
        <v>19</v>
      </c>
      <c r="G483" t="s">
        <v>32</v>
      </c>
      <c r="H483" t="s">
        <v>33</v>
      </c>
      <c r="I483" t="s">
        <v>1029</v>
      </c>
      <c r="J483" t="s">
        <v>473</v>
      </c>
      <c r="K483" t="s">
        <v>34</v>
      </c>
      <c r="L483" t="s">
        <v>9</v>
      </c>
      <c r="M483" t="s">
        <v>17</v>
      </c>
    </row>
    <row r="484" spans="1:13">
      <c r="A484" t="s">
        <v>1509</v>
      </c>
      <c r="B484" s="2">
        <v>45760</v>
      </c>
      <c r="C484">
        <v>2025</v>
      </c>
      <c r="D484">
        <v>4</v>
      </c>
      <c r="E484" t="s">
        <v>73</v>
      </c>
      <c r="F484" t="s">
        <v>2</v>
      </c>
      <c r="G484" t="s">
        <v>32</v>
      </c>
      <c r="H484" t="s">
        <v>4</v>
      </c>
      <c r="I484" t="s">
        <v>1023</v>
      </c>
      <c r="J484" t="s">
        <v>1024</v>
      </c>
      <c r="K484" t="s">
        <v>13</v>
      </c>
      <c r="L484" t="s">
        <v>29</v>
      </c>
      <c r="M484" t="s">
        <v>10</v>
      </c>
    </row>
    <row r="485" spans="1:13">
      <c r="A485" t="s">
        <v>1510</v>
      </c>
      <c r="B485" s="2">
        <v>45755</v>
      </c>
      <c r="C485">
        <v>2025</v>
      </c>
      <c r="D485">
        <v>4</v>
      </c>
      <c r="E485" t="s">
        <v>73</v>
      </c>
      <c r="F485" t="s">
        <v>2</v>
      </c>
      <c r="G485" t="s">
        <v>69</v>
      </c>
      <c r="H485" t="s">
        <v>44</v>
      </c>
      <c r="I485" t="s">
        <v>1029</v>
      </c>
      <c r="J485" t="s">
        <v>462</v>
      </c>
      <c r="K485" t="s">
        <v>13</v>
      </c>
      <c r="L485" t="s">
        <v>29</v>
      </c>
      <c r="M485" t="s">
        <v>10</v>
      </c>
    </row>
    <row r="486" spans="1:13">
      <c r="A486" t="s">
        <v>1511</v>
      </c>
      <c r="B486" s="2">
        <v>45750</v>
      </c>
      <c r="C486">
        <v>2025</v>
      </c>
      <c r="D486">
        <v>4</v>
      </c>
      <c r="E486" t="s">
        <v>73</v>
      </c>
      <c r="F486" t="s">
        <v>67</v>
      </c>
      <c r="G486" t="s">
        <v>74</v>
      </c>
      <c r="H486" t="s">
        <v>4</v>
      </c>
      <c r="I486" t="s">
        <v>1029</v>
      </c>
      <c r="J486" t="s">
        <v>438</v>
      </c>
      <c r="K486" t="s">
        <v>6</v>
      </c>
      <c r="L486" t="s">
        <v>16</v>
      </c>
      <c r="M486" t="s">
        <v>10</v>
      </c>
    </row>
    <row r="487" spans="1:13">
      <c r="A487" t="s">
        <v>1512</v>
      </c>
      <c r="B487" s="2">
        <v>45766</v>
      </c>
      <c r="C487">
        <v>2025</v>
      </c>
      <c r="D487">
        <v>4</v>
      </c>
      <c r="E487" t="s">
        <v>73</v>
      </c>
      <c r="F487" t="s">
        <v>19</v>
      </c>
      <c r="G487" t="s">
        <v>55</v>
      </c>
      <c r="H487" t="s">
        <v>33</v>
      </c>
      <c r="I487" t="s">
        <v>1026</v>
      </c>
      <c r="J487" t="s">
        <v>444</v>
      </c>
      <c r="K487" t="s">
        <v>34</v>
      </c>
      <c r="L487" t="s">
        <v>29</v>
      </c>
      <c r="M487" t="s">
        <v>10</v>
      </c>
    </row>
    <row r="488" spans="1:13">
      <c r="A488" t="s">
        <v>1513</v>
      </c>
      <c r="B488" s="2">
        <v>45769</v>
      </c>
      <c r="C488">
        <v>2025</v>
      </c>
      <c r="D488">
        <v>4</v>
      </c>
      <c r="E488" t="s">
        <v>73</v>
      </c>
      <c r="F488" t="s">
        <v>47</v>
      </c>
      <c r="G488" t="s">
        <v>55</v>
      </c>
      <c r="H488" t="s">
        <v>44</v>
      </c>
      <c r="I488" t="s">
        <v>1026</v>
      </c>
      <c r="J488" t="s">
        <v>454</v>
      </c>
      <c r="K488" t="s">
        <v>50</v>
      </c>
      <c r="L488" t="s">
        <v>36</v>
      </c>
      <c r="M488" t="s">
        <v>17</v>
      </c>
    </row>
    <row r="489" spans="1:13">
      <c r="A489" t="s">
        <v>1514</v>
      </c>
      <c r="B489" s="2">
        <v>45775</v>
      </c>
      <c r="C489">
        <v>2025</v>
      </c>
      <c r="D489">
        <v>4</v>
      </c>
      <c r="E489" t="s">
        <v>73</v>
      </c>
      <c r="F489" t="s">
        <v>19</v>
      </c>
      <c r="G489" t="s">
        <v>20</v>
      </c>
      <c r="H489" t="s">
        <v>12</v>
      </c>
      <c r="I489" t="s">
        <v>1026</v>
      </c>
      <c r="J489" t="s">
        <v>470</v>
      </c>
      <c r="K489" t="s">
        <v>6</v>
      </c>
      <c r="L489" t="s">
        <v>9</v>
      </c>
      <c r="M489" t="s">
        <v>10</v>
      </c>
    </row>
    <row r="490" spans="1:13">
      <c r="A490" t="s">
        <v>1515</v>
      </c>
      <c r="B490" s="2">
        <v>45765</v>
      </c>
      <c r="C490">
        <v>2025</v>
      </c>
      <c r="D490">
        <v>4</v>
      </c>
      <c r="E490" t="s">
        <v>73</v>
      </c>
      <c r="F490" t="s">
        <v>40</v>
      </c>
      <c r="G490" t="s">
        <v>61</v>
      </c>
      <c r="H490" t="s">
        <v>33</v>
      </c>
      <c r="I490" t="s">
        <v>1037</v>
      </c>
      <c r="J490" t="s">
        <v>1024</v>
      </c>
      <c r="K490" t="s">
        <v>70</v>
      </c>
      <c r="L490" t="s">
        <v>9</v>
      </c>
      <c r="M490" t="s">
        <v>17</v>
      </c>
    </row>
    <row r="491" spans="1:13">
      <c r="A491" t="s">
        <v>1516</v>
      </c>
      <c r="B491" s="2">
        <v>45774</v>
      </c>
      <c r="C491">
        <v>2025</v>
      </c>
      <c r="D491">
        <v>4</v>
      </c>
      <c r="E491" t="s">
        <v>73</v>
      </c>
      <c r="F491" t="s">
        <v>47</v>
      </c>
      <c r="G491" t="s">
        <v>48</v>
      </c>
      <c r="H491" t="s">
        <v>44</v>
      </c>
      <c r="I491" t="s">
        <v>1026</v>
      </c>
      <c r="J491" t="s">
        <v>446</v>
      </c>
      <c r="K491" t="s">
        <v>34</v>
      </c>
      <c r="L491" t="s">
        <v>36</v>
      </c>
      <c r="M491" t="s">
        <v>17</v>
      </c>
    </row>
    <row r="492" spans="1:13">
      <c r="A492" t="s">
        <v>1517</v>
      </c>
      <c r="B492" s="2">
        <v>45753</v>
      </c>
      <c r="C492">
        <v>2025</v>
      </c>
      <c r="D492">
        <v>4</v>
      </c>
      <c r="E492" t="s">
        <v>73</v>
      </c>
      <c r="F492" t="s">
        <v>40</v>
      </c>
      <c r="G492" t="s">
        <v>61</v>
      </c>
      <c r="H492" t="s">
        <v>44</v>
      </c>
      <c r="I492" t="s">
        <v>1023</v>
      </c>
      <c r="J492" t="s">
        <v>1024</v>
      </c>
      <c r="K492" t="s">
        <v>70</v>
      </c>
      <c r="L492" t="s">
        <v>16</v>
      </c>
      <c r="M492" t="s">
        <v>10</v>
      </c>
    </row>
    <row r="493" spans="1:13">
      <c r="A493" t="s">
        <v>1518</v>
      </c>
      <c r="B493" s="2">
        <v>45753</v>
      </c>
      <c r="C493">
        <v>2025</v>
      </c>
      <c r="D493">
        <v>4</v>
      </c>
      <c r="E493" t="s">
        <v>73</v>
      </c>
      <c r="F493" t="s">
        <v>40</v>
      </c>
      <c r="G493" t="s">
        <v>55</v>
      </c>
      <c r="H493" t="s">
        <v>44</v>
      </c>
      <c r="I493" t="s">
        <v>1029</v>
      </c>
      <c r="J493" t="s">
        <v>438</v>
      </c>
      <c r="K493" t="s">
        <v>6</v>
      </c>
      <c r="L493" t="s">
        <v>29</v>
      </c>
      <c r="M493" t="s">
        <v>10</v>
      </c>
    </row>
    <row r="494" spans="1:13">
      <c r="A494" t="s">
        <v>1519</v>
      </c>
      <c r="B494" s="2">
        <v>45769</v>
      </c>
      <c r="C494">
        <v>2025</v>
      </c>
      <c r="D494">
        <v>4</v>
      </c>
      <c r="E494" t="s">
        <v>73</v>
      </c>
      <c r="F494" t="s">
        <v>2</v>
      </c>
      <c r="G494" t="s">
        <v>27</v>
      </c>
      <c r="H494" t="s">
        <v>4</v>
      </c>
      <c r="I494" t="s">
        <v>1029</v>
      </c>
      <c r="J494" t="s">
        <v>462</v>
      </c>
      <c r="K494" t="s">
        <v>70</v>
      </c>
      <c r="L494" t="s">
        <v>36</v>
      </c>
      <c r="M494" t="s">
        <v>10</v>
      </c>
    </row>
    <row r="495" spans="1:13">
      <c r="A495" t="s">
        <v>1520</v>
      </c>
      <c r="B495" s="2">
        <v>45760</v>
      </c>
      <c r="C495">
        <v>2025</v>
      </c>
      <c r="D495">
        <v>4</v>
      </c>
      <c r="E495" t="s">
        <v>73</v>
      </c>
      <c r="F495" t="s">
        <v>26</v>
      </c>
      <c r="G495" t="s">
        <v>94</v>
      </c>
      <c r="H495" t="s">
        <v>4</v>
      </c>
      <c r="I495" t="s">
        <v>1029</v>
      </c>
      <c r="J495" t="s">
        <v>431</v>
      </c>
      <c r="K495" t="s">
        <v>70</v>
      </c>
      <c r="L495" t="s">
        <v>36</v>
      </c>
      <c r="M495" t="s">
        <v>10</v>
      </c>
    </row>
    <row r="496" spans="1:13">
      <c r="A496" t="s">
        <v>1521</v>
      </c>
      <c r="B496" s="2">
        <v>45767</v>
      </c>
      <c r="C496">
        <v>2025</v>
      </c>
      <c r="D496">
        <v>4</v>
      </c>
      <c r="E496" t="s">
        <v>73</v>
      </c>
      <c r="F496" t="s">
        <v>38</v>
      </c>
      <c r="G496" t="s">
        <v>69</v>
      </c>
      <c r="H496" t="s">
        <v>4</v>
      </c>
      <c r="I496" t="s">
        <v>1037</v>
      </c>
      <c r="J496" t="s">
        <v>1024</v>
      </c>
      <c r="K496" t="s">
        <v>6</v>
      </c>
      <c r="L496" t="s">
        <v>9</v>
      </c>
      <c r="M496" t="s">
        <v>10</v>
      </c>
    </row>
    <row r="497" spans="1:13">
      <c r="A497" t="s">
        <v>1522</v>
      </c>
      <c r="B497" s="2">
        <v>45748</v>
      </c>
      <c r="C497">
        <v>2025</v>
      </c>
      <c r="D497">
        <v>4</v>
      </c>
      <c r="E497" t="s">
        <v>73</v>
      </c>
      <c r="F497" t="s">
        <v>78</v>
      </c>
      <c r="G497" t="s">
        <v>61</v>
      </c>
      <c r="H497" t="s">
        <v>12</v>
      </c>
      <c r="I497" t="s">
        <v>1026</v>
      </c>
      <c r="J497" t="s">
        <v>457</v>
      </c>
      <c r="K497" t="s">
        <v>34</v>
      </c>
      <c r="L497" t="s">
        <v>9</v>
      </c>
      <c r="M497" t="s">
        <v>10</v>
      </c>
    </row>
    <row r="498" spans="1:13">
      <c r="A498" t="s">
        <v>1523</v>
      </c>
      <c r="B498" s="2">
        <v>45767</v>
      </c>
      <c r="C498">
        <v>2025</v>
      </c>
      <c r="D498">
        <v>4</v>
      </c>
      <c r="E498" t="s">
        <v>73</v>
      </c>
      <c r="F498" t="s">
        <v>19</v>
      </c>
      <c r="G498" t="s">
        <v>32</v>
      </c>
      <c r="H498" t="s">
        <v>33</v>
      </c>
      <c r="I498" t="s">
        <v>1037</v>
      </c>
      <c r="J498" t="s">
        <v>1024</v>
      </c>
      <c r="K498" t="s">
        <v>6</v>
      </c>
      <c r="L498" t="s">
        <v>16</v>
      </c>
      <c r="M498" t="s">
        <v>10</v>
      </c>
    </row>
    <row r="499" spans="1:13">
      <c r="A499" t="s">
        <v>1524</v>
      </c>
      <c r="B499" s="2">
        <v>45757</v>
      </c>
      <c r="C499">
        <v>2025</v>
      </c>
      <c r="D499">
        <v>4</v>
      </c>
      <c r="E499" t="s">
        <v>73</v>
      </c>
      <c r="F499" t="s">
        <v>38</v>
      </c>
      <c r="G499" t="s">
        <v>27</v>
      </c>
      <c r="H499" t="s">
        <v>12</v>
      </c>
      <c r="I499" t="s">
        <v>1029</v>
      </c>
      <c r="J499" t="s">
        <v>462</v>
      </c>
      <c r="K499" t="s">
        <v>70</v>
      </c>
      <c r="L499" t="s">
        <v>16</v>
      </c>
      <c r="M499" t="s">
        <v>10</v>
      </c>
    </row>
    <row r="500" spans="1:13">
      <c r="A500" t="s">
        <v>1525</v>
      </c>
      <c r="B500" s="2">
        <v>45775</v>
      </c>
      <c r="C500">
        <v>2025</v>
      </c>
      <c r="D500">
        <v>4</v>
      </c>
      <c r="E500" t="s">
        <v>73</v>
      </c>
      <c r="F500" t="s">
        <v>31</v>
      </c>
      <c r="G500" t="s">
        <v>3</v>
      </c>
      <c r="H500" t="s">
        <v>12</v>
      </c>
      <c r="I500" t="s">
        <v>1037</v>
      </c>
      <c r="J500" t="s">
        <v>1024</v>
      </c>
      <c r="K500" t="s">
        <v>6</v>
      </c>
      <c r="L500" t="s">
        <v>9</v>
      </c>
      <c r="M500" t="s">
        <v>10</v>
      </c>
    </row>
    <row r="501" spans="1:13">
      <c r="A501" t="s">
        <v>1526</v>
      </c>
      <c r="B501" s="2">
        <v>45755</v>
      </c>
      <c r="C501">
        <v>2025</v>
      </c>
      <c r="D501">
        <v>4</v>
      </c>
      <c r="E501" t="s">
        <v>73</v>
      </c>
      <c r="F501" t="s">
        <v>47</v>
      </c>
      <c r="G501" t="s">
        <v>32</v>
      </c>
      <c r="H501" t="s">
        <v>4</v>
      </c>
      <c r="I501" t="s">
        <v>1029</v>
      </c>
      <c r="J501" t="s">
        <v>473</v>
      </c>
      <c r="K501" t="s">
        <v>6</v>
      </c>
      <c r="L501" t="s">
        <v>16</v>
      </c>
      <c r="M501" t="s">
        <v>10</v>
      </c>
    </row>
    <row r="502" spans="1:13">
      <c r="A502" t="s">
        <v>1527</v>
      </c>
      <c r="B502" s="2">
        <v>45751</v>
      </c>
      <c r="C502">
        <v>2025</v>
      </c>
      <c r="D502">
        <v>4</v>
      </c>
      <c r="E502" t="s">
        <v>73</v>
      </c>
      <c r="F502" t="s">
        <v>19</v>
      </c>
      <c r="G502" t="s">
        <v>3</v>
      </c>
      <c r="H502" t="s">
        <v>12</v>
      </c>
      <c r="I502" t="s">
        <v>1026</v>
      </c>
      <c r="J502" t="s">
        <v>444</v>
      </c>
      <c r="K502" t="s">
        <v>70</v>
      </c>
      <c r="L502" t="s">
        <v>36</v>
      </c>
      <c r="M502" t="s">
        <v>10</v>
      </c>
    </row>
    <row r="503" spans="1:13">
      <c r="A503" t="s">
        <v>1528</v>
      </c>
      <c r="B503" s="2">
        <v>45757</v>
      </c>
      <c r="C503">
        <v>2025</v>
      </c>
      <c r="D503">
        <v>4</v>
      </c>
      <c r="E503" t="s">
        <v>73</v>
      </c>
      <c r="F503" t="s">
        <v>47</v>
      </c>
      <c r="G503" t="s">
        <v>38</v>
      </c>
      <c r="H503" t="s">
        <v>4</v>
      </c>
      <c r="I503" t="s">
        <v>1037</v>
      </c>
      <c r="J503" t="s">
        <v>1024</v>
      </c>
      <c r="K503" t="s">
        <v>6</v>
      </c>
      <c r="L503" t="s">
        <v>29</v>
      </c>
      <c r="M503" t="s">
        <v>10</v>
      </c>
    </row>
    <row r="504" spans="1:13">
      <c r="A504" t="s">
        <v>1529</v>
      </c>
      <c r="B504" s="2">
        <v>45764</v>
      </c>
      <c r="C504">
        <v>2025</v>
      </c>
      <c r="D504">
        <v>4</v>
      </c>
      <c r="E504" t="s">
        <v>73</v>
      </c>
      <c r="F504" t="s">
        <v>19</v>
      </c>
      <c r="G504" t="s">
        <v>69</v>
      </c>
      <c r="H504" t="s">
        <v>4</v>
      </c>
      <c r="I504" t="s">
        <v>1037</v>
      </c>
      <c r="J504" t="s">
        <v>1024</v>
      </c>
      <c r="K504" t="s">
        <v>6</v>
      </c>
      <c r="L504" t="s">
        <v>16</v>
      </c>
      <c r="M504" t="s">
        <v>17</v>
      </c>
    </row>
    <row r="505" spans="1:13">
      <c r="A505" t="s">
        <v>1530</v>
      </c>
      <c r="B505" s="2">
        <v>45775</v>
      </c>
      <c r="C505">
        <v>2025</v>
      </c>
      <c r="D505">
        <v>4</v>
      </c>
      <c r="E505" t="s">
        <v>73</v>
      </c>
      <c r="F505" t="s">
        <v>26</v>
      </c>
      <c r="G505" t="s">
        <v>74</v>
      </c>
      <c r="H505" t="s">
        <v>12</v>
      </c>
      <c r="I505" t="s">
        <v>1029</v>
      </c>
      <c r="J505" t="s">
        <v>442</v>
      </c>
      <c r="K505" t="s">
        <v>34</v>
      </c>
      <c r="L505" t="s">
        <v>36</v>
      </c>
      <c r="M505" t="s">
        <v>10</v>
      </c>
    </row>
    <row r="506" spans="1:13">
      <c r="A506" t="s">
        <v>1531</v>
      </c>
      <c r="B506" s="2">
        <v>45765</v>
      </c>
      <c r="C506">
        <v>2025</v>
      </c>
      <c r="D506">
        <v>4</v>
      </c>
      <c r="E506" t="s">
        <v>73</v>
      </c>
      <c r="F506" t="s">
        <v>47</v>
      </c>
      <c r="G506" t="s">
        <v>74</v>
      </c>
      <c r="H506" t="s">
        <v>12</v>
      </c>
      <c r="I506" t="s">
        <v>1023</v>
      </c>
      <c r="J506" t="s">
        <v>1024</v>
      </c>
      <c r="K506" t="s">
        <v>6</v>
      </c>
      <c r="L506" t="s">
        <v>36</v>
      </c>
      <c r="M506" t="s">
        <v>10</v>
      </c>
    </row>
    <row r="507" spans="1:13">
      <c r="A507" t="s">
        <v>1532</v>
      </c>
      <c r="B507" s="2">
        <v>45770</v>
      </c>
      <c r="C507">
        <v>2025</v>
      </c>
      <c r="D507">
        <v>4</v>
      </c>
      <c r="E507" t="s">
        <v>73</v>
      </c>
      <c r="F507" t="s">
        <v>31</v>
      </c>
      <c r="G507" t="s">
        <v>61</v>
      </c>
      <c r="H507" t="s">
        <v>33</v>
      </c>
      <c r="I507" t="s">
        <v>1023</v>
      </c>
      <c r="J507" t="s">
        <v>1024</v>
      </c>
      <c r="K507" t="s">
        <v>13</v>
      </c>
      <c r="L507" t="s">
        <v>36</v>
      </c>
      <c r="M507" t="s">
        <v>10</v>
      </c>
    </row>
    <row r="508" spans="1:13">
      <c r="A508" t="s">
        <v>1533</v>
      </c>
      <c r="B508" s="2">
        <v>45750</v>
      </c>
      <c r="C508">
        <v>2025</v>
      </c>
      <c r="D508">
        <v>4</v>
      </c>
      <c r="E508" t="s">
        <v>73</v>
      </c>
      <c r="F508" t="s">
        <v>40</v>
      </c>
      <c r="G508" t="s">
        <v>74</v>
      </c>
      <c r="H508" t="s">
        <v>12</v>
      </c>
      <c r="I508" t="s">
        <v>1023</v>
      </c>
      <c r="J508" t="s">
        <v>1024</v>
      </c>
      <c r="K508" t="s">
        <v>34</v>
      </c>
      <c r="L508" t="s">
        <v>36</v>
      </c>
      <c r="M508" t="s">
        <v>10</v>
      </c>
    </row>
    <row r="509" spans="1:13">
      <c r="A509" t="s">
        <v>1534</v>
      </c>
      <c r="B509" s="2">
        <v>45760</v>
      </c>
      <c r="C509">
        <v>2025</v>
      </c>
      <c r="D509">
        <v>4</v>
      </c>
      <c r="E509" t="s">
        <v>73</v>
      </c>
      <c r="F509" t="s">
        <v>2</v>
      </c>
      <c r="G509" t="s">
        <v>32</v>
      </c>
      <c r="H509" t="s">
        <v>44</v>
      </c>
      <c r="I509" t="s">
        <v>1026</v>
      </c>
      <c r="J509" t="s">
        <v>446</v>
      </c>
      <c r="K509" t="s">
        <v>50</v>
      </c>
      <c r="L509" t="s">
        <v>9</v>
      </c>
      <c r="M509" t="s">
        <v>10</v>
      </c>
    </row>
    <row r="510" spans="1:13">
      <c r="A510" t="s">
        <v>1535</v>
      </c>
      <c r="B510" s="2">
        <v>45770</v>
      </c>
      <c r="C510">
        <v>2025</v>
      </c>
      <c r="D510">
        <v>4</v>
      </c>
      <c r="E510" t="s">
        <v>73</v>
      </c>
      <c r="F510" t="s">
        <v>47</v>
      </c>
      <c r="G510" t="s">
        <v>69</v>
      </c>
      <c r="H510" t="s">
        <v>33</v>
      </c>
      <c r="I510" t="s">
        <v>1026</v>
      </c>
      <c r="J510" t="s">
        <v>428</v>
      </c>
      <c r="K510" t="s">
        <v>50</v>
      </c>
      <c r="L510" t="s">
        <v>16</v>
      </c>
      <c r="M510" t="s">
        <v>10</v>
      </c>
    </row>
    <row r="511" spans="1:13">
      <c r="A511" t="s">
        <v>1536</v>
      </c>
      <c r="B511" s="2">
        <v>45764</v>
      </c>
      <c r="C511">
        <v>2025</v>
      </c>
      <c r="D511">
        <v>4</v>
      </c>
      <c r="E511" t="s">
        <v>73</v>
      </c>
      <c r="F511" t="s">
        <v>40</v>
      </c>
      <c r="G511" t="s">
        <v>69</v>
      </c>
      <c r="H511" t="s">
        <v>12</v>
      </c>
      <c r="I511" t="s">
        <v>1026</v>
      </c>
      <c r="J511" t="s">
        <v>494</v>
      </c>
      <c r="K511" t="s">
        <v>13</v>
      </c>
      <c r="L511" t="s">
        <v>29</v>
      </c>
      <c r="M511" t="s">
        <v>10</v>
      </c>
    </row>
    <row r="512" spans="1:13">
      <c r="A512" t="s">
        <v>1537</v>
      </c>
      <c r="B512" s="2">
        <v>45760</v>
      </c>
      <c r="C512">
        <v>2025</v>
      </c>
      <c r="D512">
        <v>4</v>
      </c>
      <c r="E512" t="s">
        <v>73</v>
      </c>
      <c r="F512" t="s">
        <v>19</v>
      </c>
      <c r="G512" t="s">
        <v>32</v>
      </c>
      <c r="H512" t="s">
        <v>4</v>
      </c>
      <c r="I512" t="s">
        <v>1023</v>
      </c>
      <c r="J512" t="s">
        <v>1024</v>
      </c>
      <c r="K512" t="s">
        <v>70</v>
      </c>
      <c r="L512" t="s">
        <v>16</v>
      </c>
      <c r="M512" t="s">
        <v>17</v>
      </c>
    </row>
    <row r="513" spans="1:13">
      <c r="A513" t="s">
        <v>1538</v>
      </c>
      <c r="B513" s="2">
        <v>45771</v>
      </c>
      <c r="C513">
        <v>2025</v>
      </c>
      <c r="D513">
        <v>4</v>
      </c>
      <c r="E513" t="s">
        <v>73</v>
      </c>
      <c r="F513" t="s">
        <v>26</v>
      </c>
      <c r="G513" t="s">
        <v>61</v>
      </c>
      <c r="H513" t="s">
        <v>33</v>
      </c>
      <c r="I513" t="s">
        <v>1029</v>
      </c>
      <c r="J513" t="s">
        <v>440</v>
      </c>
      <c r="K513" t="s">
        <v>6</v>
      </c>
      <c r="L513" t="s">
        <v>36</v>
      </c>
      <c r="M513" t="s">
        <v>10</v>
      </c>
    </row>
    <row r="514" spans="1:13">
      <c r="A514" t="s">
        <v>1539</v>
      </c>
      <c r="B514" s="2">
        <v>45759</v>
      </c>
      <c r="C514">
        <v>2025</v>
      </c>
      <c r="D514">
        <v>4</v>
      </c>
      <c r="E514" t="s">
        <v>73</v>
      </c>
      <c r="F514" t="s">
        <v>47</v>
      </c>
      <c r="G514" t="s">
        <v>55</v>
      </c>
      <c r="H514" t="s">
        <v>33</v>
      </c>
      <c r="I514" t="s">
        <v>1026</v>
      </c>
      <c r="J514" t="s">
        <v>454</v>
      </c>
      <c r="K514" t="s">
        <v>50</v>
      </c>
      <c r="L514" t="s">
        <v>29</v>
      </c>
      <c r="M514" t="s">
        <v>17</v>
      </c>
    </row>
    <row r="515" spans="1:13">
      <c r="A515" t="s">
        <v>1540</v>
      </c>
      <c r="B515" s="2">
        <v>45763</v>
      </c>
      <c r="C515">
        <v>2025</v>
      </c>
      <c r="D515">
        <v>4</v>
      </c>
      <c r="E515" t="s">
        <v>73</v>
      </c>
      <c r="F515" t="s">
        <v>47</v>
      </c>
      <c r="G515" t="s">
        <v>61</v>
      </c>
      <c r="H515" t="s">
        <v>4</v>
      </c>
      <c r="I515" t="s">
        <v>1029</v>
      </c>
      <c r="J515" t="s">
        <v>431</v>
      </c>
      <c r="K515" t="s">
        <v>34</v>
      </c>
      <c r="L515" t="s">
        <v>9</v>
      </c>
      <c r="M515" t="s">
        <v>10</v>
      </c>
    </row>
    <row r="516" spans="1:13">
      <c r="A516" t="s">
        <v>1541</v>
      </c>
      <c r="B516" s="2">
        <v>45753</v>
      </c>
      <c r="C516">
        <v>2025</v>
      </c>
      <c r="D516">
        <v>4</v>
      </c>
      <c r="E516" t="s">
        <v>73</v>
      </c>
      <c r="F516" t="s">
        <v>19</v>
      </c>
      <c r="G516" t="s">
        <v>27</v>
      </c>
      <c r="H516" t="s">
        <v>33</v>
      </c>
      <c r="I516" t="s">
        <v>1029</v>
      </c>
      <c r="J516" t="s">
        <v>440</v>
      </c>
      <c r="K516" t="s">
        <v>50</v>
      </c>
      <c r="L516" t="s">
        <v>9</v>
      </c>
      <c r="M516" t="s">
        <v>10</v>
      </c>
    </row>
    <row r="517" spans="1:13">
      <c r="A517" t="s">
        <v>1542</v>
      </c>
      <c r="B517" s="2">
        <v>45756</v>
      </c>
      <c r="C517">
        <v>2025</v>
      </c>
      <c r="D517">
        <v>4</v>
      </c>
      <c r="E517" t="s">
        <v>73</v>
      </c>
      <c r="F517" t="s">
        <v>38</v>
      </c>
      <c r="G517" t="s">
        <v>38</v>
      </c>
      <c r="H517" t="s">
        <v>33</v>
      </c>
      <c r="I517" t="s">
        <v>1029</v>
      </c>
      <c r="J517" t="s">
        <v>440</v>
      </c>
      <c r="K517" t="s">
        <v>34</v>
      </c>
      <c r="L517" t="s">
        <v>9</v>
      </c>
      <c r="M517" t="s">
        <v>10</v>
      </c>
    </row>
    <row r="518" spans="1:13">
      <c r="A518" t="s">
        <v>1543</v>
      </c>
      <c r="B518" s="2">
        <v>45760</v>
      </c>
      <c r="C518">
        <v>2025</v>
      </c>
      <c r="D518">
        <v>4</v>
      </c>
      <c r="E518" t="s">
        <v>73</v>
      </c>
      <c r="F518" t="s">
        <v>38</v>
      </c>
      <c r="G518" t="s">
        <v>27</v>
      </c>
      <c r="H518" t="s">
        <v>44</v>
      </c>
      <c r="I518" t="s">
        <v>1026</v>
      </c>
      <c r="J518" t="s">
        <v>428</v>
      </c>
      <c r="K518" t="s">
        <v>6</v>
      </c>
      <c r="L518" t="s">
        <v>29</v>
      </c>
      <c r="M518" t="s">
        <v>10</v>
      </c>
    </row>
    <row r="519" spans="1:13">
      <c r="A519" t="s">
        <v>1544</v>
      </c>
      <c r="B519" s="2">
        <v>45775</v>
      </c>
      <c r="C519">
        <v>2025</v>
      </c>
      <c r="D519">
        <v>4</v>
      </c>
      <c r="E519" t="s">
        <v>73</v>
      </c>
      <c r="F519" t="s">
        <v>40</v>
      </c>
      <c r="G519" t="s">
        <v>64</v>
      </c>
      <c r="H519" t="s">
        <v>44</v>
      </c>
      <c r="I519" t="s">
        <v>1023</v>
      </c>
      <c r="J519" t="s">
        <v>1024</v>
      </c>
      <c r="K519" t="s">
        <v>70</v>
      </c>
      <c r="L519" t="s">
        <v>29</v>
      </c>
      <c r="M519" t="s">
        <v>10</v>
      </c>
    </row>
    <row r="520" spans="1:13">
      <c r="A520" t="s">
        <v>1545</v>
      </c>
      <c r="B520" s="2">
        <v>45751</v>
      </c>
      <c r="C520">
        <v>2025</v>
      </c>
      <c r="D520">
        <v>4</v>
      </c>
      <c r="E520" t="s">
        <v>73</v>
      </c>
      <c r="F520" t="s">
        <v>2</v>
      </c>
      <c r="G520" t="s">
        <v>64</v>
      </c>
      <c r="H520" t="s">
        <v>4</v>
      </c>
      <c r="I520" t="s">
        <v>1023</v>
      </c>
      <c r="J520" t="s">
        <v>1024</v>
      </c>
      <c r="K520" t="s">
        <v>13</v>
      </c>
      <c r="L520" t="s">
        <v>16</v>
      </c>
      <c r="M520" t="s">
        <v>10</v>
      </c>
    </row>
    <row r="521" spans="1:13">
      <c r="A521" t="s">
        <v>1546</v>
      </c>
      <c r="B521" s="2">
        <v>45748</v>
      </c>
      <c r="C521">
        <v>2025</v>
      </c>
      <c r="D521">
        <v>4</v>
      </c>
      <c r="E521" t="s">
        <v>73</v>
      </c>
      <c r="F521" t="s">
        <v>19</v>
      </c>
      <c r="G521" t="s">
        <v>27</v>
      </c>
      <c r="H521" t="s">
        <v>33</v>
      </c>
      <c r="I521" t="s">
        <v>1029</v>
      </c>
      <c r="J521" t="s">
        <v>435</v>
      </c>
      <c r="K521" t="s">
        <v>13</v>
      </c>
      <c r="L521" t="s">
        <v>9</v>
      </c>
      <c r="M521" t="s">
        <v>10</v>
      </c>
    </row>
    <row r="522" spans="1:13">
      <c r="A522" t="s">
        <v>1547</v>
      </c>
      <c r="B522" s="2">
        <v>45786</v>
      </c>
      <c r="C522">
        <v>2025</v>
      </c>
      <c r="D522">
        <v>5</v>
      </c>
      <c r="E522" t="s">
        <v>83</v>
      </c>
      <c r="F522" t="s">
        <v>54</v>
      </c>
      <c r="G522" t="s">
        <v>74</v>
      </c>
      <c r="H522" t="s">
        <v>33</v>
      </c>
      <c r="I522" t="s">
        <v>1029</v>
      </c>
      <c r="J522" t="s">
        <v>440</v>
      </c>
      <c r="K522" t="s">
        <v>6</v>
      </c>
      <c r="L522" t="s">
        <v>36</v>
      </c>
      <c r="M522" t="s">
        <v>17</v>
      </c>
    </row>
    <row r="523" spans="1:13">
      <c r="A523" t="s">
        <v>1548</v>
      </c>
      <c r="B523" s="2">
        <v>45788</v>
      </c>
      <c r="C523">
        <v>2025</v>
      </c>
      <c r="D523">
        <v>5</v>
      </c>
      <c r="E523" t="s">
        <v>83</v>
      </c>
      <c r="F523" t="s">
        <v>31</v>
      </c>
      <c r="G523" t="s">
        <v>94</v>
      </c>
      <c r="H523" t="s">
        <v>4</v>
      </c>
      <c r="I523" t="s">
        <v>1029</v>
      </c>
      <c r="J523" t="s">
        <v>440</v>
      </c>
      <c r="K523" t="s">
        <v>70</v>
      </c>
      <c r="L523" t="s">
        <v>36</v>
      </c>
      <c r="M523" t="s">
        <v>17</v>
      </c>
    </row>
    <row r="524" spans="1:13">
      <c r="A524" t="s">
        <v>1549</v>
      </c>
      <c r="B524" s="2">
        <v>45804</v>
      </c>
      <c r="C524">
        <v>2025</v>
      </c>
      <c r="D524">
        <v>5</v>
      </c>
      <c r="E524" t="s">
        <v>83</v>
      </c>
      <c r="F524" t="s">
        <v>38</v>
      </c>
      <c r="G524" t="s">
        <v>55</v>
      </c>
      <c r="H524" t="s">
        <v>33</v>
      </c>
      <c r="I524" t="s">
        <v>1023</v>
      </c>
      <c r="J524" t="s">
        <v>1024</v>
      </c>
      <c r="K524" t="s">
        <v>6</v>
      </c>
      <c r="L524" t="s">
        <v>9</v>
      </c>
      <c r="M524" t="s">
        <v>10</v>
      </c>
    </row>
    <row r="525" spans="1:13">
      <c r="A525" t="s">
        <v>1550</v>
      </c>
      <c r="B525" s="2">
        <v>45803</v>
      </c>
      <c r="C525">
        <v>2025</v>
      </c>
      <c r="D525">
        <v>5</v>
      </c>
      <c r="E525" t="s">
        <v>83</v>
      </c>
      <c r="F525" t="s">
        <v>31</v>
      </c>
      <c r="G525" t="s">
        <v>27</v>
      </c>
      <c r="H525" t="s">
        <v>12</v>
      </c>
      <c r="I525" t="s">
        <v>1029</v>
      </c>
      <c r="J525" t="s">
        <v>438</v>
      </c>
      <c r="K525" t="s">
        <v>50</v>
      </c>
      <c r="L525" t="s">
        <v>16</v>
      </c>
      <c r="M525" t="s">
        <v>10</v>
      </c>
    </row>
    <row r="526" spans="1:13">
      <c r="A526" t="s">
        <v>1551</v>
      </c>
      <c r="B526" s="2">
        <v>45798</v>
      </c>
      <c r="C526">
        <v>2025</v>
      </c>
      <c r="D526">
        <v>5</v>
      </c>
      <c r="E526" t="s">
        <v>83</v>
      </c>
      <c r="F526" t="s">
        <v>78</v>
      </c>
      <c r="G526" t="s">
        <v>64</v>
      </c>
      <c r="H526" t="s">
        <v>4</v>
      </c>
      <c r="I526" t="s">
        <v>1029</v>
      </c>
      <c r="J526" t="s">
        <v>435</v>
      </c>
      <c r="K526" t="s">
        <v>70</v>
      </c>
      <c r="L526" t="s">
        <v>29</v>
      </c>
      <c r="M526" t="s">
        <v>10</v>
      </c>
    </row>
    <row r="527" spans="1:13">
      <c r="A527" t="s">
        <v>1552</v>
      </c>
      <c r="B527" s="2">
        <v>45782</v>
      </c>
      <c r="C527">
        <v>2025</v>
      </c>
      <c r="D527">
        <v>5</v>
      </c>
      <c r="E527" t="s">
        <v>83</v>
      </c>
      <c r="F527" t="s">
        <v>54</v>
      </c>
      <c r="G527" t="s">
        <v>27</v>
      </c>
      <c r="H527" t="s">
        <v>44</v>
      </c>
      <c r="I527" t="s">
        <v>1029</v>
      </c>
      <c r="J527" t="s">
        <v>84</v>
      </c>
      <c r="K527" t="s">
        <v>34</v>
      </c>
      <c r="L527" t="s">
        <v>29</v>
      </c>
      <c r="M527" t="s">
        <v>17</v>
      </c>
    </row>
    <row r="528" spans="1:13">
      <c r="A528" t="s">
        <v>1553</v>
      </c>
      <c r="B528" s="2">
        <v>45788</v>
      </c>
      <c r="C528">
        <v>2025</v>
      </c>
      <c r="D528">
        <v>5</v>
      </c>
      <c r="E528" t="s">
        <v>83</v>
      </c>
      <c r="F528" t="s">
        <v>2</v>
      </c>
      <c r="G528" t="s">
        <v>55</v>
      </c>
      <c r="H528" t="s">
        <v>44</v>
      </c>
      <c r="I528" t="s">
        <v>1029</v>
      </c>
      <c r="J528" t="s">
        <v>431</v>
      </c>
      <c r="K528" t="s">
        <v>13</v>
      </c>
      <c r="L528" t="s">
        <v>16</v>
      </c>
      <c r="M528" t="s">
        <v>10</v>
      </c>
    </row>
    <row r="529" spans="1:13">
      <c r="A529" t="s">
        <v>1554</v>
      </c>
      <c r="B529" s="2">
        <v>45792</v>
      </c>
      <c r="C529">
        <v>2025</v>
      </c>
      <c r="D529">
        <v>5</v>
      </c>
      <c r="E529" t="s">
        <v>83</v>
      </c>
      <c r="F529" t="s">
        <v>47</v>
      </c>
      <c r="G529" t="s">
        <v>69</v>
      </c>
      <c r="H529" t="s">
        <v>44</v>
      </c>
      <c r="I529" t="s">
        <v>1026</v>
      </c>
      <c r="J529" t="s">
        <v>454</v>
      </c>
      <c r="K529" t="s">
        <v>50</v>
      </c>
      <c r="L529" t="s">
        <v>16</v>
      </c>
      <c r="M529" t="s">
        <v>10</v>
      </c>
    </row>
    <row r="530" spans="1:13">
      <c r="A530" t="s">
        <v>1555</v>
      </c>
      <c r="B530" s="2">
        <v>45781</v>
      </c>
      <c r="C530">
        <v>2025</v>
      </c>
      <c r="D530">
        <v>5</v>
      </c>
      <c r="E530" t="s">
        <v>83</v>
      </c>
      <c r="F530" t="s">
        <v>47</v>
      </c>
      <c r="G530" t="s">
        <v>38</v>
      </c>
      <c r="H530" t="s">
        <v>44</v>
      </c>
      <c r="I530" t="s">
        <v>1026</v>
      </c>
      <c r="J530" t="s">
        <v>470</v>
      </c>
      <c r="K530" t="s">
        <v>34</v>
      </c>
      <c r="L530" t="s">
        <v>9</v>
      </c>
      <c r="M530" t="s">
        <v>10</v>
      </c>
    </row>
    <row r="531" spans="1:13">
      <c r="A531" t="s">
        <v>1556</v>
      </c>
      <c r="B531" s="2">
        <v>45790</v>
      </c>
      <c r="C531">
        <v>2025</v>
      </c>
      <c r="D531">
        <v>5</v>
      </c>
      <c r="E531" t="s">
        <v>83</v>
      </c>
      <c r="F531" t="s">
        <v>40</v>
      </c>
      <c r="G531" t="s">
        <v>32</v>
      </c>
      <c r="H531" t="s">
        <v>33</v>
      </c>
      <c r="I531" t="s">
        <v>1029</v>
      </c>
      <c r="J531" t="s">
        <v>438</v>
      </c>
      <c r="K531" t="s">
        <v>50</v>
      </c>
      <c r="L531" t="s">
        <v>16</v>
      </c>
      <c r="M531" t="s">
        <v>17</v>
      </c>
    </row>
    <row r="532" spans="1:13">
      <c r="A532" t="s">
        <v>1557</v>
      </c>
      <c r="B532" s="2">
        <v>45793</v>
      </c>
      <c r="C532">
        <v>2025</v>
      </c>
      <c r="D532">
        <v>5</v>
      </c>
      <c r="E532" t="s">
        <v>83</v>
      </c>
      <c r="F532" t="s">
        <v>38</v>
      </c>
      <c r="G532" t="s">
        <v>27</v>
      </c>
      <c r="H532" t="s">
        <v>33</v>
      </c>
      <c r="I532" t="s">
        <v>1029</v>
      </c>
      <c r="J532" t="s">
        <v>438</v>
      </c>
      <c r="K532" t="s">
        <v>50</v>
      </c>
      <c r="L532" t="s">
        <v>9</v>
      </c>
      <c r="M532" t="s">
        <v>10</v>
      </c>
    </row>
    <row r="533" spans="1:13">
      <c r="A533" t="s">
        <v>1558</v>
      </c>
      <c r="B533" s="2">
        <v>45804</v>
      </c>
      <c r="C533">
        <v>2025</v>
      </c>
      <c r="D533">
        <v>5</v>
      </c>
      <c r="E533" t="s">
        <v>83</v>
      </c>
      <c r="F533" t="s">
        <v>67</v>
      </c>
      <c r="G533" t="s">
        <v>20</v>
      </c>
      <c r="H533" t="s">
        <v>44</v>
      </c>
      <c r="I533" t="s">
        <v>1029</v>
      </c>
      <c r="J533" t="s">
        <v>462</v>
      </c>
      <c r="K533" t="s">
        <v>13</v>
      </c>
      <c r="L533" t="s">
        <v>16</v>
      </c>
      <c r="M533" t="s">
        <v>10</v>
      </c>
    </row>
    <row r="534" spans="1:13">
      <c r="A534" t="s">
        <v>1559</v>
      </c>
      <c r="B534" s="2">
        <v>45784</v>
      </c>
      <c r="C534">
        <v>2025</v>
      </c>
      <c r="D534">
        <v>5</v>
      </c>
      <c r="E534" t="s">
        <v>83</v>
      </c>
      <c r="F534" t="s">
        <v>40</v>
      </c>
      <c r="G534" t="s">
        <v>64</v>
      </c>
      <c r="H534" t="s">
        <v>44</v>
      </c>
      <c r="I534" t="s">
        <v>1023</v>
      </c>
      <c r="J534" t="s">
        <v>1024</v>
      </c>
      <c r="K534" t="s">
        <v>34</v>
      </c>
      <c r="L534" t="s">
        <v>16</v>
      </c>
      <c r="M534" t="s">
        <v>10</v>
      </c>
    </row>
    <row r="535" spans="1:13">
      <c r="A535" t="s">
        <v>1560</v>
      </c>
      <c r="B535" s="2">
        <v>45794</v>
      </c>
      <c r="C535">
        <v>2025</v>
      </c>
      <c r="D535">
        <v>5</v>
      </c>
      <c r="E535" t="s">
        <v>83</v>
      </c>
      <c r="F535" t="s">
        <v>31</v>
      </c>
      <c r="G535" t="s">
        <v>61</v>
      </c>
      <c r="H535" t="s">
        <v>33</v>
      </c>
      <c r="I535" t="s">
        <v>1026</v>
      </c>
      <c r="J535" t="s">
        <v>470</v>
      </c>
      <c r="K535" t="s">
        <v>13</v>
      </c>
      <c r="L535" t="s">
        <v>16</v>
      </c>
      <c r="M535" t="s">
        <v>17</v>
      </c>
    </row>
    <row r="536" spans="1:13">
      <c r="A536" t="s">
        <v>1561</v>
      </c>
      <c r="B536" s="2">
        <v>45796</v>
      </c>
      <c r="C536">
        <v>2025</v>
      </c>
      <c r="D536">
        <v>5</v>
      </c>
      <c r="E536" t="s">
        <v>83</v>
      </c>
      <c r="F536" t="s">
        <v>67</v>
      </c>
      <c r="G536" t="s">
        <v>61</v>
      </c>
      <c r="H536" t="s">
        <v>44</v>
      </c>
      <c r="I536" t="s">
        <v>1029</v>
      </c>
      <c r="J536" t="s">
        <v>464</v>
      </c>
      <c r="K536" t="s">
        <v>34</v>
      </c>
      <c r="L536" t="s">
        <v>16</v>
      </c>
      <c r="M536" t="s">
        <v>10</v>
      </c>
    </row>
    <row r="537" spans="1:13">
      <c r="A537" t="s">
        <v>1562</v>
      </c>
      <c r="B537" s="2">
        <v>45795</v>
      </c>
      <c r="C537">
        <v>2025</v>
      </c>
      <c r="D537">
        <v>5</v>
      </c>
      <c r="E537" t="s">
        <v>83</v>
      </c>
      <c r="F537" t="s">
        <v>54</v>
      </c>
      <c r="G537" t="s">
        <v>3</v>
      </c>
      <c r="H537" t="s">
        <v>33</v>
      </c>
      <c r="I537" t="s">
        <v>1029</v>
      </c>
      <c r="J537" t="s">
        <v>84</v>
      </c>
      <c r="K537" t="s">
        <v>50</v>
      </c>
      <c r="L537" t="s">
        <v>29</v>
      </c>
      <c r="M537" t="s">
        <v>10</v>
      </c>
    </row>
    <row r="538" spans="1:13">
      <c r="A538" t="s">
        <v>1563</v>
      </c>
      <c r="B538" s="2">
        <v>45787</v>
      </c>
      <c r="C538">
        <v>2025</v>
      </c>
      <c r="D538">
        <v>5</v>
      </c>
      <c r="E538" t="s">
        <v>83</v>
      </c>
      <c r="F538" t="s">
        <v>54</v>
      </c>
      <c r="G538" t="s">
        <v>32</v>
      </c>
      <c r="H538" t="s">
        <v>12</v>
      </c>
      <c r="I538" t="s">
        <v>1029</v>
      </c>
      <c r="J538" t="s">
        <v>473</v>
      </c>
      <c r="K538" t="s">
        <v>50</v>
      </c>
      <c r="L538" t="s">
        <v>9</v>
      </c>
      <c r="M538" t="s">
        <v>10</v>
      </c>
    </row>
    <row r="539" spans="1:13">
      <c r="A539" t="s">
        <v>1564</v>
      </c>
      <c r="B539" s="2">
        <v>45791</v>
      </c>
      <c r="C539">
        <v>2025</v>
      </c>
      <c r="D539">
        <v>5</v>
      </c>
      <c r="E539" t="s">
        <v>83</v>
      </c>
      <c r="F539" t="s">
        <v>40</v>
      </c>
      <c r="G539" t="s">
        <v>55</v>
      </c>
      <c r="H539" t="s">
        <v>44</v>
      </c>
      <c r="I539" t="s">
        <v>1023</v>
      </c>
      <c r="J539" t="s">
        <v>1024</v>
      </c>
      <c r="K539" t="s">
        <v>50</v>
      </c>
      <c r="L539" t="s">
        <v>9</v>
      </c>
      <c r="M539" t="s">
        <v>10</v>
      </c>
    </row>
    <row r="540" spans="1:13">
      <c r="A540" t="s">
        <v>1565</v>
      </c>
      <c r="B540" s="2">
        <v>45791</v>
      </c>
      <c r="C540">
        <v>2025</v>
      </c>
      <c r="D540">
        <v>5</v>
      </c>
      <c r="E540" t="s">
        <v>83</v>
      </c>
      <c r="F540" t="s">
        <v>67</v>
      </c>
      <c r="G540" t="s">
        <v>20</v>
      </c>
      <c r="H540" t="s">
        <v>12</v>
      </c>
      <c r="I540" t="s">
        <v>1023</v>
      </c>
      <c r="J540" t="s">
        <v>1024</v>
      </c>
      <c r="K540" t="s">
        <v>70</v>
      </c>
      <c r="L540" t="s">
        <v>36</v>
      </c>
      <c r="M540" t="s">
        <v>10</v>
      </c>
    </row>
    <row r="541" spans="1:13">
      <c r="A541" t="s">
        <v>1566</v>
      </c>
      <c r="B541" s="2">
        <v>45779</v>
      </c>
      <c r="C541">
        <v>2025</v>
      </c>
      <c r="D541">
        <v>5</v>
      </c>
      <c r="E541" t="s">
        <v>83</v>
      </c>
      <c r="F541" t="s">
        <v>31</v>
      </c>
      <c r="G541" t="s">
        <v>48</v>
      </c>
      <c r="H541" t="s">
        <v>33</v>
      </c>
      <c r="I541" t="s">
        <v>1029</v>
      </c>
      <c r="J541" t="s">
        <v>440</v>
      </c>
      <c r="K541" t="s">
        <v>70</v>
      </c>
      <c r="L541" t="s">
        <v>29</v>
      </c>
      <c r="M541" t="s">
        <v>10</v>
      </c>
    </row>
    <row r="542" spans="1:13">
      <c r="A542" t="s">
        <v>1567</v>
      </c>
      <c r="B542" s="2">
        <v>45781</v>
      </c>
      <c r="C542">
        <v>2025</v>
      </c>
      <c r="D542">
        <v>5</v>
      </c>
      <c r="E542" t="s">
        <v>83</v>
      </c>
      <c r="F542" t="s">
        <v>19</v>
      </c>
      <c r="G542" t="s">
        <v>3</v>
      </c>
      <c r="H542" t="s">
        <v>4</v>
      </c>
      <c r="I542" t="s">
        <v>1026</v>
      </c>
      <c r="J542" t="s">
        <v>457</v>
      </c>
      <c r="K542" t="s">
        <v>70</v>
      </c>
      <c r="L542" t="s">
        <v>16</v>
      </c>
      <c r="M542" t="s">
        <v>10</v>
      </c>
    </row>
    <row r="543" spans="1:13">
      <c r="A543" t="s">
        <v>1568</v>
      </c>
      <c r="B543" s="2">
        <v>45796</v>
      </c>
      <c r="C543">
        <v>2025</v>
      </c>
      <c r="D543">
        <v>5</v>
      </c>
      <c r="E543" t="s">
        <v>83</v>
      </c>
      <c r="F543" t="s">
        <v>54</v>
      </c>
      <c r="G543" t="s">
        <v>32</v>
      </c>
      <c r="H543" t="s">
        <v>33</v>
      </c>
      <c r="I543" t="s">
        <v>1029</v>
      </c>
      <c r="J543" t="s">
        <v>435</v>
      </c>
      <c r="K543" t="s">
        <v>13</v>
      </c>
      <c r="L543" t="s">
        <v>29</v>
      </c>
      <c r="M543" t="s">
        <v>10</v>
      </c>
    </row>
    <row r="544" spans="1:13">
      <c r="A544" t="s">
        <v>1569</v>
      </c>
      <c r="B544" s="2">
        <v>45789</v>
      </c>
      <c r="C544">
        <v>2025</v>
      </c>
      <c r="D544">
        <v>5</v>
      </c>
      <c r="E544" t="s">
        <v>83</v>
      </c>
      <c r="F544" t="s">
        <v>19</v>
      </c>
      <c r="G544" t="s">
        <v>94</v>
      </c>
      <c r="H544" t="s">
        <v>4</v>
      </c>
      <c r="I544" t="s">
        <v>1026</v>
      </c>
      <c r="J544" t="s">
        <v>494</v>
      </c>
      <c r="K544" t="s">
        <v>50</v>
      </c>
      <c r="L544" t="s">
        <v>9</v>
      </c>
      <c r="M544" t="s">
        <v>17</v>
      </c>
    </row>
    <row r="545" spans="1:13">
      <c r="A545" t="s">
        <v>1570</v>
      </c>
      <c r="B545" s="2">
        <v>45785</v>
      </c>
      <c r="C545">
        <v>2025</v>
      </c>
      <c r="D545">
        <v>5</v>
      </c>
      <c r="E545" t="s">
        <v>83</v>
      </c>
      <c r="F545" t="s">
        <v>38</v>
      </c>
      <c r="G545" t="s">
        <v>55</v>
      </c>
      <c r="H545" t="s">
        <v>12</v>
      </c>
      <c r="I545" t="s">
        <v>1029</v>
      </c>
      <c r="J545" t="s">
        <v>473</v>
      </c>
      <c r="K545" t="s">
        <v>6</v>
      </c>
      <c r="L545" t="s">
        <v>16</v>
      </c>
      <c r="M545" t="s">
        <v>10</v>
      </c>
    </row>
    <row r="546" spans="1:13">
      <c r="A546" t="s">
        <v>1571</v>
      </c>
      <c r="B546" s="2">
        <v>45796</v>
      </c>
      <c r="C546">
        <v>2025</v>
      </c>
      <c r="D546">
        <v>5</v>
      </c>
      <c r="E546" t="s">
        <v>83</v>
      </c>
      <c r="F546" t="s">
        <v>67</v>
      </c>
      <c r="G546" t="s">
        <v>55</v>
      </c>
      <c r="H546" t="s">
        <v>44</v>
      </c>
      <c r="I546" t="s">
        <v>1037</v>
      </c>
      <c r="J546" t="s">
        <v>1024</v>
      </c>
      <c r="K546" t="s">
        <v>6</v>
      </c>
      <c r="L546" t="s">
        <v>16</v>
      </c>
      <c r="M546" t="s">
        <v>17</v>
      </c>
    </row>
    <row r="547" spans="1:13">
      <c r="A547" t="s">
        <v>1572</v>
      </c>
      <c r="B547" s="2">
        <v>45801</v>
      </c>
      <c r="C547">
        <v>2025</v>
      </c>
      <c r="D547">
        <v>5</v>
      </c>
      <c r="E547" t="s">
        <v>83</v>
      </c>
      <c r="F547" t="s">
        <v>47</v>
      </c>
      <c r="G547" t="s">
        <v>94</v>
      </c>
      <c r="H547" t="s">
        <v>4</v>
      </c>
      <c r="I547" t="s">
        <v>1023</v>
      </c>
      <c r="J547" t="s">
        <v>1024</v>
      </c>
      <c r="K547" t="s">
        <v>13</v>
      </c>
      <c r="L547" t="s">
        <v>29</v>
      </c>
      <c r="M547" t="s">
        <v>17</v>
      </c>
    </row>
    <row r="548" spans="1:13">
      <c r="A548" t="s">
        <v>1573</v>
      </c>
      <c r="B548" s="2">
        <v>45800</v>
      </c>
      <c r="C548">
        <v>2025</v>
      </c>
      <c r="D548">
        <v>5</v>
      </c>
      <c r="E548" t="s">
        <v>83</v>
      </c>
      <c r="F548" t="s">
        <v>26</v>
      </c>
      <c r="G548" t="s">
        <v>94</v>
      </c>
      <c r="H548" t="s">
        <v>44</v>
      </c>
      <c r="I548" t="s">
        <v>1029</v>
      </c>
      <c r="J548" t="s">
        <v>431</v>
      </c>
      <c r="K548" t="s">
        <v>6</v>
      </c>
      <c r="L548" t="s">
        <v>16</v>
      </c>
      <c r="M548" t="s">
        <v>10</v>
      </c>
    </row>
    <row r="549" spans="1:13">
      <c r="A549" t="s">
        <v>1574</v>
      </c>
      <c r="B549" s="2">
        <v>45781</v>
      </c>
      <c r="C549">
        <v>2025</v>
      </c>
      <c r="D549">
        <v>5</v>
      </c>
      <c r="E549" t="s">
        <v>83</v>
      </c>
      <c r="F549" t="s">
        <v>31</v>
      </c>
      <c r="G549" t="s">
        <v>3</v>
      </c>
      <c r="H549" t="s">
        <v>4</v>
      </c>
      <c r="I549" t="s">
        <v>1037</v>
      </c>
      <c r="J549" t="s">
        <v>1024</v>
      </c>
      <c r="K549" t="s">
        <v>13</v>
      </c>
      <c r="L549" t="s">
        <v>16</v>
      </c>
      <c r="M549" t="s">
        <v>10</v>
      </c>
    </row>
    <row r="550" spans="1:13">
      <c r="A550" t="s">
        <v>1575</v>
      </c>
      <c r="B550" s="2">
        <v>45802</v>
      </c>
      <c r="C550">
        <v>2025</v>
      </c>
      <c r="D550">
        <v>5</v>
      </c>
      <c r="E550" t="s">
        <v>83</v>
      </c>
      <c r="F550" t="s">
        <v>31</v>
      </c>
      <c r="G550" t="s">
        <v>27</v>
      </c>
      <c r="H550" t="s">
        <v>12</v>
      </c>
      <c r="I550" t="s">
        <v>1029</v>
      </c>
      <c r="J550" t="s">
        <v>464</v>
      </c>
      <c r="K550" t="s">
        <v>34</v>
      </c>
      <c r="L550" t="s">
        <v>16</v>
      </c>
      <c r="M550" t="s">
        <v>10</v>
      </c>
    </row>
    <row r="551" spans="1:13">
      <c r="A551" t="s">
        <v>1576</v>
      </c>
      <c r="B551" s="2">
        <v>45800</v>
      </c>
      <c r="C551">
        <v>2025</v>
      </c>
      <c r="D551">
        <v>5</v>
      </c>
      <c r="E551" t="s">
        <v>83</v>
      </c>
      <c r="F551" t="s">
        <v>47</v>
      </c>
      <c r="G551" t="s">
        <v>61</v>
      </c>
      <c r="H551" t="s">
        <v>12</v>
      </c>
      <c r="I551" t="s">
        <v>1029</v>
      </c>
      <c r="J551" t="s">
        <v>452</v>
      </c>
      <c r="K551" t="s">
        <v>6</v>
      </c>
      <c r="L551" t="s">
        <v>36</v>
      </c>
      <c r="M551" t="s">
        <v>10</v>
      </c>
    </row>
    <row r="552" spans="1:13">
      <c r="A552" t="s">
        <v>1577</v>
      </c>
      <c r="B552" s="2">
        <v>45800</v>
      </c>
      <c r="C552">
        <v>2025</v>
      </c>
      <c r="D552">
        <v>5</v>
      </c>
      <c r="E552" t="s">
        <v>83</v>
      </c>
      <c r="F552" t="s">
        <v>19</v>
      </c>
      <c r="G552" t="s">
        <v>55</v>
      </c>
      <c r="H552" t="s">
        <v>12</v>
      </c>
      <c r="I552" t="s">
        <v>1029</v>
      </c>
      <c r="J552" t="s">
        <v>442</v>
      </c>
      <c r="K552" t="s">
        <v>34</v>
      </c>
      <c r="L552" t="s">
        <v>29</v>
      </c>
      <c r="M552" t="s">
        <v>17</v>
      </c>
    </row>
    <row r="553" spans="1:13">
      <c r="A553" t="s">
        <v>1578</v>
      </c>
      <c r="B553" s="2">
        <v>45782</v>
      </c>
      <c r="C553">
        <v>2025</v>
      </c>
      <c r="D553">
        <v>5</v>
      </c>
      <c r="E553" t="s">
        <v>83</v>
      </c>
      <c r="F553" t="s">
        <v>19</v>
      </c>
      <c r="G553" t="s">
        <v>69</v>
      </c>
      <c r="H553" t="s">
        <v>12</v>
      </c>
      <c r="I553" t="s">
        <v>1029</v>
      </c>
      <c r="J553" t="s">
        <v>84</v>
      </c>
      <c r="K553" t="s">
        <v>34</v>
      </c>
      <c r="L553" t="s">
        <v>29</v>
      </c>
      <c r="M553" t="s">
        <v>10</v>
      </c>
    </row>
    <row r="554" spans="1:13">
      <c r="A554" t="s">
        <v>1579</v>
      </c>
      <c r="B554" s="2">
        <v>45779</v>
      </c>
      <c r="C554">
        <v>2025</v>
      </c>
      <c r="D554">
        <v>5</v>
      </c>
      <c r="E554" t="s">
        <v>83</v>
      </c>
      <c r="F554" t="s">
        <v>2</v>
      </c>
      <c r="G554" t="s">
        <v>69</v>
      </c>
      <c r="H554" t="s">
        <v>33</v>
      </c>
      <c r="I554" t="s">
        <v>1026</v>
      </c>
      <c r="J554" t="s">
        <v>494</v>
      </c>
      <c r="K554" t="s">
        <v>34</v>
      </c>
      <c r="L554" t="s">
        <v>36</v>
      </c>
      <c r="M554" t="s">
        <v>10</v>
      </c>
    </row>
    <row r="555" spans="1:13">
      <c r="A555" t="s">
        <v>1580</v>
      </c>
      <c r="B555" s="2">
        <v>45784</v>
      </c>
      <c r="C555">
        <v>2025</v>
      </c>
      <c r="D555">
        <v>5</v>
      </c>
      <c r="E555" t="s">
        <v>83</v>
      </c>
      <c r="F555" t="s">
        <v>78</v>
      </c>
      <c r="G555" t="s">
        <v>48</v>
      </c>
      <c r="H555" t="s">
        <v>12</v>
      </c>
      <c r="I555" t="s">
        <v>1023</v>
      </c>
      <c r="J555" t="s">
        <v>1024</v>
      </c>
      <c r="K555" t="s">
        <v>50</v>
      </c>
      <c r="L555" t="s">
        <v>36</v>
      </c>
      <c r="M555" t="s">
        <v>10</v>
      </c>
    </row>
    <row r="556" spans="1:13">
      <c r="A556" t="s">
        <v>1581</v>
      </c>
      <c r="B556" s="2">
        <v>45790</v>
      </c>
      <c r="C556">
        <v>2025</v>
      </c>
      <c r="D556">
        <v>5</v>
      </c>
      <c r="E556" t="s">
        <v>83</v>
      </c>
      <c r="F556" t="s">
        <v>47</v>
      </c>
      <c r="G556" t="s">
        <v>32</v>
      </c>
      <c r="H556" t="s">
        <v>33</v>
      </c>
      <c r="I556" t="s">
        <v>1029</v>
      </c>
      <c r="J556" t="s">
        <v>473</v>
      </c>
      <c r="K556" t="s">
        <v>34</v>
      </c>
      <c r="L556" t="s">
        <v>29</v>
      </c>
      <c r="M556" t="s">
        <v>10</v>
      </c>
    </row>
    <row r="557" spans="1:13">
      <c r="A557" t="s">
        <v>1582</v>
      </c>
      <c r="B557" s="2">
        <v>45794</v>
      </c>
      <c r="C557">
        <v>2025</v>
      </c>
      <c r="D557">
        <v>5</v>
      </c>
      <c r="E557" t="s">
        <v>83</v>
      </c>
      <c r="F557" t="s">
        <v>2</v>
      </c>
      <c r="G557" t="s">
        <v>32</v>
      </c>
      <c r="H557" t="s">
        <v>44</v>
      </c>
      <c r="I557" t="s">
        <v>1029</v>
      </c>
      <c r="J557" t="s">
        <v>84</v>
      </c>
      <c r="K557" t="s">
        <v>70</v>
      </c>
      <c r="L557" t="s">
        <v>16</v>
      </c>
      <c r="M557" t="s">
        <v>10</v>
      </c>
    </row>
    <row r="558" spans="1:13">
      <c r="A558" t="s">
        <v>1583</v>
      </c>
      <c r="B558" s="2">
        <v>45803</v>
      </c>
      <c r="C558">
        <v>2025</v>
      </c>
      <c r="D558">
        <v>5</v>
      </c>
      <c r="E558" t="s">
        <v>83</v>
      </c>
      <c r="F558" t="s">
        <v>40</v>
      </c>
      <c r="G558" t="s">
        <v>20</v>
      </c>
      <c r="H558" t="s">
        <v>12</v>
      </c>
      <c r="I558" t="s">
        <v>1026</v>
      </c>
      <c r="J558" t="s">
        <v>470</v>
      </c>
      <c r="K558" t="s">
        <v>6</v>
      </c>
      <c r="L558" t="s">
        <v>29</v>
      </c>
      <c r="M558" t="s">
        <v>10</v>
      </c>
    </row>
    <row r="559" spans="1:13">
      <c r="A559" t="s">
        <v>1584</v>
      </c>
      <c r="B559" s="2">
        <v>45782</v>
      </c>
      <c r="C559">
        <v>2025</v>
      </c>
      <c r="D559">
        <v>5</v>
      </c>
      <c r="E559" t="s">
        <v>83</v>
      </c>
      <c r="F559" t="s">
        <v>54</v>
      </c>
      <c r="G559" t="s">
        <v>94</v>
      </c>
      <c r="H559" t="s">
        <v>12</v>
      </c>
      <c r="I559" t="s">
        <v>1023</v>
      </c>
      <c r="J559" t="s">
        <v>1024</v>
      </c>
      <c r="K559" t="s">
        <v>13</v>
      </c>
      <c r="L559" t="s">
        <v>16</v>
      </c>
      <c r="M559" t="s">
        <v>10</v>
      </c>
    </row>
    <row r="560" spans="1:13">
      <c r="A560" t="s">
        <v>1585</v>
      </c>
      <c r="B560" s="2">
        <v>45792</v>
      </c>
      <c r="C560">
        <v>2025</v>
      </c>
      <c r="D560">
        <v>5</v>
      </c>
      <c r="E560" t="s">
        <v>83</v>
      </c>
      <c r="F560" t="s">
        <v>31</v>
      </c>
      <c r="G560" t="s">
        <v>38</v>
      </c>
      <c r="H560" t="s">
        <v>44</v>
      </c>
      <c r="I560" t="s">
        <v>1029</v>
      </c>
      <c r="J560" t="s">
        <v>431</v>
      </c>
      <c r="K560" t="s">
        <v>34</v>
      </c>
      <c r="L560" t="s">
        <v>29</v>
      </c>
      <c r="M560" t="s">
        <v>17</v>
      </c>
    </row>
    <row r="561" spans="1:13">
      <c r="A561" t="s">
        <v>1586</v>
      </c>
      <c r="B561" s="2">
        <v>45804</v>
      </c>
      <c r="C561">
        <v>2025</v>
      </c>
      <c r="D561">
        <v>5</v>
      </c>
      <c r="E561" t="s">
        <v>83</v>
      </c>
      <c r="F561" t="s">
        <v>40</v>
      </c>
      <c r="G561" t="s">
        <v>74</v>
      </c>
      <c r="H561" t="s">
        <v>12</v>
      </c>
      <c r="I561" t="s">
        <v>1029</v>
      </c>
      <c r="J561" t="s">
        <v>438</v>
      </c>
      <c r="K561" t="s">
        <v>34</v>
      </c>
      <c r="L561" t="s">
        <v>9</v>
      </c>
      <c r="M561" t="s">
        <v>17</v>
      </c>
    </row>
    <row r="562" spans="1:13">
      <c r="A562" t="s">
        <v>1587</v>
      </c>
      <c r="B562" s="2">
        <v>45794</v>
      </c>
      <c r="C562">
        <v>2025</v>
      </c>
      <c r="D562">
        <v>5</v>
      </c>
      <c r="E562" t="s">
        <v>83</v>
      </c>
      <c r="F562" t="s">
        <v>26</v>
      </c>
      <c r="G562" t="s">
        <v>38</v>
      </c>
      <c r="H562" t="s">
        <v>33</v>
      </c>
      <c r="I562" t="s">
        <v>1029</v>
      </c>
      <c r="J562" t="s">
        <v>440</v>
      </c>
      <c r="K562" t="s">
        <v>13</v>
      </c>
      <c r="L562" t="s">
        <v>9</v>
      </c>
      <c r="M562" t="s">
        <v>10</v>
      </c>
    </row>
    <row r="563" spans="1:13">
      <c r="A563" t="s">
        <v>1588</v>
      </c>
      <c r="B563" s="2">
        <v>45779</v>
      </c>
      <c r="C563">
        <v>2025</v>
      </c>
      <c r="D563">
        <v>5</v>
      </c>
      <c r="E563" t="s">
        <v>83</v>
      </c>
      <c r="F563" t="s">
        <v>31</v>
      </c>
      <c r="G563" t="s">
        <v>20</v>
      </c>
      <c r="H563" t="s">
        <v>33</v>
      </c>
      <c r="I563" t="s">
        <v>1029</v>
      </c>
      <c r="J563" t="s">
        <v>438</v>
      </c>
      <c r="K563" t="s">
        <v>6</v>
      </c>
      <c r="L563" t="s">
        <v>16</v>
      </c>
      <c r="M563" t="s">
        <v>10</v>
      </c>
    </row>
    <row r="564" spans="1:13">
      <c r="A564" t="s">
        <v>1589</v>
      </c>
      <c r="B564" s="2">
        <v>45787</v>
      </c>
      <c r="C564">
        <v>2025</v>
      </c>
      <c r="D564">
        <v>5</v>
      </c>
      <c r="E564" t="s">
        <v>83</v>
      </c>
      <c r="F564" t="s">
        <v>26</v>
      </c>
      <c r="G564" t="s">
        <v>20</v>
      </c>
      <c r="H564" t="s">
        <v>12</v>
      </c>
      <c r="I564" t="s">
        <v>1026</v>
      </c>
      <c r="J564" t="s">
        <v>454</v>
      </c>
      <c r="K564" t="s">
        <v>70</v>
      </c>
      <c r="L564" t="s">
        <v>16</v>
      </c>
      <c r="M564" t="s">
        <v>10</v>
      </c>
    </row>
    <row r="565" spans="1:13">
      <c r="A565" t="s">
        <v>1590</v>
      </c>
      <c r="B565" s="2">
        <v>45785</v>
      </c>
      <c r="C565">
        <v>2025</v>
      </c>
      <c r="D565">
        <v>5</v>
      </c>
      <c r="E565" t="s">
        <v>83</v>
      </c>
      <c r="F565" t="s">
        <v>38</v>
      </c>
      <c r="G565" t="s">
        <v>48</v>
      </c>
      <c r="H565" t="s">
        <v>12</v>
      </c>
      <c r="I565" t="s">
        <v>1037</v>
      </c>
      <c r="J565" t="s">
        <v>1024</v>
      </c>
      <c r="K565" t="s">
        <v>70</v>
      </c>
      <c r="L565" t="s">
        <v>16</v>
      </c>
      <c r="M565" t="s">
        <v>10</v>
      </c>
    </row>
    <row r="566" spans="1:13">
      <c r="A566" t="s">
        <v>1591</v>
      </c>
      <c r="B566" s="2">
        <v>45800</v>
      </c>
      <c r="C566">
        <v>2025</v>
      </c>
      <c r="D566">
        <v>5</v>
      </c>
      <c r="E566" t="s">
        <v>83</v>
      </c>
      <c r="F566" t="s">
        <v>78</v>
      </c>
      <c r="G566" t="s">
        <v>61</v>
      </c>
      <c r="H566" t="s">
        <v>33</v>
      </c>
      <c r="I566" t="s">
        <v>1029</v>
      </c>
      <c r="J566" t="s">
        <v>462</v>
      </c>
      <c r="K566" t="s">
        <v>34</v>
      </c>
      <c r="L566" t="s">
        <v>29</v>
      </c>
      <c r="M566" t="s">
        <v>10</v>
      </c>
    </row>
    <row r="567" spans="1:13">
      <c r="A567" t="s">
        <v>1592</v>
      </c>
      <c r="B567" s="2">
        <v>45795</v>
      </c>
      <c r="C567">
        <v>2025</v>
      </c>
      <c r="D567">
        <v>5</v>
      </c>
      <c r="E567" t="s">
        <v>83</v>
      </c>
      <c r="F567" t="s">
        <v>54</v>
      </c>
      <c r="G567" t="s">
        <v>55</v>
      </c>
      <c r="H567" t="s">
        <v>33</v>
      </c>
      <c r="I567" t="s">
        <v>1029</v>
      </c>
      <c r="J567" t="s">
        <v>464</v>
      </c>
      <c r="K567" t="s">
        <v>13</v>
      </c>
      <c r="L567" t="s">
        <v>16</v>
      </c>
      <c r="M567" t="s">
        <v>17</v>
      </c>
    </row>
    <row r="568" spans="1:13">
      <c r="A568" t="s">
        <v>1593</v>
      </c>
      <c r="B568" s="2">
        <v>45778</v>
      </c>
      <c r="C568">
        <v>2025</v>
      </c>
      <c r="D568">
        <v>5</v>
      </c>
      <c r="E568" t="s">
        <v>83</v>
      </c>
      <c r="F568" t="s">
        <v>67</v>
      </c>
      <c r="G568" t="s">
        <v>32</v>
      </c>
      <c r="H568" t="s">
        <v>12</v>
      </c>
      <c r="I568" t="s">
        <v>1029</v>
      </c>
      <c r="J568" t="s">
        <v>431</v>
      </c>
      <c r="K568" t="s">
        <v>13</v>
      </c>
      <c r="L568" t="s">
        <v>36</v>
      </c>
      <c r="M568" t="s">
        <v>10</v>
      </c>
    </row>
    <row r="569" spans="1:13">
      <c r="A569" t="s">
        <v>1594</v>
      </c>
      <c r="B569" s="2">
        <v>45794</v>
      </c>
      <c r="C569">
        <v>2025</v>
      </c>
      <c r="D569">
        <v>5</v>
      </c>
      <c r="E569" t="s">
        <v>83</v>
      </c>
      <c r="F569" t="s">
        <v>54</v>
      </c>
      <c r="G569" t="s">
        <v>38</v>
      </c>
      <c r="H569" t="s">
        <v>44</v>
      </c>
      <c r="I569" t="s">
        <v>1026</v>
      </c>
      <c r="J569" t="s">
        <v>428</v>
      </c>
      <c r="K569" t="s">
        <v>13</v>
      </c>
      <c r="L569" t="s">
        <v>16</v>
      </c>
      <c r="M569" t="s">
        <v>17</v>
      </c>
    </row>
    <row r="570" spans="1:13">
      <c r="A570" t="s">
        <v>1595</v>
      </c>
      <c r="B570" s="2">
        <v>45783</v>
      </c>
      <c r="C570">
        <v>2025</v>
      </c>
      <c r="D570">
        <v>5</v>
      </c>
      <c r="E570" t="s">
        <v>83</v>
      </c>
      <c r="F570" t="s">
        <v>67</v>
      </c>
      <c r="G570" t="s">
        <v>69</v>
      </c>
      <c r="H570" t="s">
        <v>44</v>
      </c>
      <c r="I570" t="s">
        <v>1026</v>
      </c>
      <c r="J570" t="s">
        <v>494</v>
      </c>
      <c r="K570" t="s">
        <v>6</v>
      </c>
      <c r="L570" t="s">
        <v>29</v>
      </c>
      <c r="M570" t="s">
        <v>10</v>
      </c>
    </row>
    <row r="571" spans="1:13">
      <c r="A571" t="s">
        <v>1596</v>
      </c>
      <c r="B571" s="2">
        <v>45779</v>
      </c>
      <c r="C571">
        <v>2025</v>
      </c>
      <c r="D571">
        <v>5</v>
      </c>
      <c r="E571" t="s">
        <v>83</v>
      </c>
      <c r="F571" t="s">
        <v>67</v>
      </c>
      <c r="G571" t="s">
        <v>38</v>
      </c>
      <c r="H571" t="s">
        <v>33</v>
      </c>
      <c r="I571" t="s">
        <v>1029</v>
      </c>
      <c r="J571" t="s">
        <v>440</v>
      </c>
      <c r="K571" t="s">
        <v>13</v>
      </c>
      <c r="L571" t="s">
        <v>36</v>
      </c>
      <c r="M571" t="s">
        <v>10</v>
      </c>
    </row>
    <row r="572" spans="1:13">
      <c r="A572" t="s">
        <v>1597</v>
      </c>
      <c r="B572" s="2">
        <v>45779</v>
      </c>
      <c r="C572">
        <v>2025</v>
      </c>
      <c r="D572">
        <v>5</v>
      </c>
      <c r="E572" t="s">
        <v>83</v>
      </c>
      <c r="F572" t="s">
        <v>2</v>
      </c>
      <c r="G572" t="s">
        <v>55</v>
      </c>
      <c r="H572" t="s">
        <v>33</v>
      </c>
      <c r="I572" t="s">
        <v>1026</v>
      </c>
      <c r="J572" t="s">
        <v>494</v>
      </c>
      <c r="K572" t="s">
        <v>70</v>
      </c>
      <c r="L572" t="s">
        <v>16</v>
      </c>
      <c r="M572" t="s">
        <v>10</v>
      </c>
    </row>
    <row r="573" spans="1:13">
      <c r="A573" t="s">
        <v>1598</v>
      </c>
      <c r="B573" s="2">
        <v>45796</v>
      </c>
      <c r="C573">
        <v>2025</v>
      </c>
      <c r="D573">
        <v>5</v>
      </c>
      <c r="E573" t="s">
        <v>83</v>
      </c>
      <c r="F573" t="s">
        <v>26</v>
      </c>
      <c r="G573" t="s">
        <v>69</v>
      </c>
      <c r="H573" t="s">
        <v>4</v>
      </c>
      <c r="I573" t="s">
        <v>1026</v>
      </c>
      <c r="J573" t="s">
        <v>457</v>
      </c>
      <c r="K573" t="s">
        <v>13</v>
      </c>
      <c r="L573" t="s">
        <v>16</v>
      </c>
      <c r="M573" t="s">
        <v>10</v>
      </c>
    </row>
    <row r="574" spans="1:13">
      <c r="A574" t="s">
        <v>1599</v>
      </c>
      <c r="B574" s="2">
        <v>45827</v>
      </c>
      <c r="C574">
        <v>2025</v>
      </c>
      <c r="D574">
        <v>6</v>
      </c>
      <c r="E574" t="s">
        <v>87</v>
      </c>
      <c r="F574" t="s">
        <v>40</v>
      </c>
      <c r="G574" t="s">
        <v>55</v>
      </c>
      <c r="H574" t="s">
        <v>33</v>
      </c>
      <c r="I574" t="s">
        <v>1037</v>
      </c>
      <c r="J574" t="s">
        <v>1024</v>
      </c>
      <c r="K574" t="s">
        <v>6</v>
      </c>
      <c r="L574" t="s">
        <v>16</v>
      </c>
      <c r="M574" t="s">
        <v>17</v>
      </c>
    </row>
    <row r="575" spans="1:13">
      <c r="A575" t="s">
        <v>1600</v>
      </c>
      <c r="B575" s="2">
        <v>45831</v>
      </c>
      <c r="C575">
        <v>2025</v>
      </c>
      <c r="D575">
        <v>6</v>
      </c>
      <c r="E575" t="s">
        <v>87</v>
      </c>
      <c r="F575" t="s">
        <v>78</v>
      </c>
      <c r="G575" t="s">
        <v>20</v>
      </c>
      <c r="H575" t="s">
        <v>4</v>
      </c>
      <c r="I575" t="s">
        <v>1023</v>
      </c>
      <c r="J575" t="s">
        <v>1024</v>
      </c>
      <c r="K575" t="s">
        <v>13</v>
      </c>
      <c r="L575" t="s">
        <v>16</v>
      </c>
      <c r="M575" t="s">
        <v>10</v>
      </c>
    </row>
    <row r="576" spans="1:13">
      <c r="A576" t="s">
        <v>1601</v>
      </c>
      <c r="B576" s="2">
        <v>45834</v>
      </c>
      <c r="C576">
        <v>2025</v>
      </c>
      <c r="D576">
        <v>6</v>
      </c>
      <c r="E576" t="s">
        <v>87</v>
      </c>
      <c r="F576" t="s">
        <v>40</v>
      </c>
      <c r="G576" t="s">
        <v>27</v>
      </c>
      <c r="H576" t="s">
        <v>44</v>
      </c>
      <c r="I576" t="s">
        <v>1023</v>
      </c>
      <c r="J576" t="s">
        <v>1024</v>
      </c>
      <c r="K576" t="s">
        <v>70</v>
      </c>
      <c r="L576" t="s">
        <v>36</v>
      </c>
      <c r="M576" t="s">
        <v>10</v>
      </c>
    </row>
    <row r="577" spans="1:13">
      <c r="A577" t="s">
        <v>1602</v>
      </c>
      <c r="B577" s="2">
        <v>45820</v>
      </c>
      <c r="C577">
        <v>2025</v>
      </c>
      <c r="D577">
        <v>6</v>
      </c>
      <c r="E577" t="s">
        <v>87</v>
      </c>
      <c r="F577" t="s">
        <v>78</v>
      </c>
      <c r="G577" t="s">
        <v>38</v>
      </c>
      <c r="H577" t="s">
        <v>33</v>
      </c>
      <c r="I577" t="s">
        <v>1037</v>
      </c>
      <c r="J577" t="s">
        <v>1024</v>
      </c>
      <c r="K577" t="s">
        <v>34</v>
      </c>
      <c r="L577" t="s">
        <v>29</v>
      </c>
      <c r="M577" t="s">
        <v>17</v>
      </c>
    </row>
    <row r="578" spans="1:13">
      <c r="A578" t="s">
        <v>1603</v>
      </c>
      <c r="B578" s="2">
        <v>45825</v>
      </c>
      <c r="C578">
        <v>2025</v>
      </c>
      <c r="D578">
        <v>6</v>
      </c>
      <c r="E578" t="s">
        <v>87</v>
      </c>
      <c r="F578" t="s">
        <v>2</v>
      </c>
      <c r="G578" t="s">
        <v>32</v>
      </c>
      <c r="H578" t="s">
        <v>44</v>
      </c>
      <c r="I578" t="s">
        <v>1037</v>
      </c>
      <c r="J578" t="s">
        <v>1024</v>
      </c>
      <c r="K578" t="s">
        <v>34</v>
      </c>
      <c r="L578" t="s">
        <v>16</v>
      </c>
      <c r="M578" t="s">
        <v>10</v>
      </c>
    </row>
    <row r="579" spans="1:13">
      <c r="A579" t="s">
        <v>1604</v>
      </c>
      <c r="B579" s="2">
        <v>45817</v>
      </c>
      <c r="C579">
        <v>2025</v>
      </c>
      <c r="D579">
        <v>6</v>
      </c>
      <c r="E579" t="s">
        <v>87</v>
      </c>
      <c r="F579" t="s">
        <v>19</v>
      </c>
      <c r="G579" t="s">
        <v>55</v>
      </c>
      <c r="H579" t="s">
        <v>33</v>
      </c>
      <c r="I579" t="s">
        <v>1026</v>
      </c>
      <c r="J579" t="s">
        <v>494</v>
      </c>
      <c r="K579" t="s">
        <v>13</v>
      </c>
      <c r="L579" t="s">
        <v>9</v>
      </c>
      <c r="M579" t="s">
        <v>10</v>
      </c>
    </row>
    <row r="580" spans="1:13">
      <c r="A580" t="s">
        <v>1605</v>
      </c>
      <c r="B580" s="2">
        <v>45817</v>
      </c>
      <c r="C580">
        <v>2025</v>
      </c>
      <c r="D580">
        <v>6</v>
      </c>
      <c r="E580" t="s">
        <v>87</v>
      </c>
      <c r="F580" t="s">
        <v>67</v>
      </c>
      <c r="G580" t="s">
        <v>94</v>
      </c>
      <c r="H580" t="s">
        <v>4</v>
      </c>
      <c r="I580" t="s">
        <v>1029</v>
      </c>
      <c r="J580" t="s">
        <v>442</v>
      </c>
      <c r="K580" t="s">
        <v>13</v>
      </c>
      <c r="L580" t="s">
        <v>29</v>
      </c>
      <c r="M580" t="s">
        <v>10</v>
      </c>
    </row>
    <row r="581" spans="1:13">
      <c r="A581" t="s">
        <v>1606</v>
      </c>
      <c r="B581" s="2">
        <v>45823</v>
      </c>
      <c r="C581">
        <v>2025</v>
      </c>
      <c r="D581">
        <v>6</v>
      </c>
      <c r="E581" t="s">
        <v>87</v>
      </c>
      <c r="F581" t="s">
        <v>40</v>
      </c>
      <c r="G581" t="s">
        <v>55</v>
      </c>
      <c r="H581" t="s">
        <v>12</v>
      </c>
      <c r="I581" t="s">
        <v>1026</v>
      </c>
      <c r="J581" t="s">
        <v>519</v>
      </c>
      <c r="K581" t="s">
        <v>34</v>
      </c>
      <c r="L581" t="s">
        <v>9</v>
      </c>
      <c r="M581" t="s">
        <v>10</v>
      </c>
    </row>
    <row r="582" spans="1:13">
      <c r="A582" t="s">
        <v>1607</v>
      </c>
      <c r="B582" s="2">
        <v>45831</v>
      </c>
      <c r="C582">
        <v>2025</v>
      </c>
      <c r="D582">
        <v>6</v>
      </c>
      <c r="E582" t="s">
        <v>87</v>
      </c>
      <c r="F582" t="s">
        <v>38</v>
      </c>
      <c r="G582" t="s">
        <v>48</v>
      </c>
      <c r="H582" t="s">
        <v>33</v>
      </c>
      <c r="I582" t="s">
        <v>1029</v>
      </c>
      <c r="J582" t="s">
        <v>435</v>
      </c>
      <c r="K582" t="s">
        <v>13</v>
      </c>
      <c r="L582" t="s">
        <v>16</v>
      </c>
      <c r="M582" t="s">
        <v>17</v>
      </c>
    </row>
    <row r="583" spans="1:13">
      <c r="A583" t="s">
        <v>1608</v>
      </c>
      <c r="B583" s="2">
        <v>45827</v>
      </c>
      <c r="C583">
        <v>2025</v>
      </c>
      <c r="D583">
        <v>6</v>
      </c>
      <c r="E583" t="s">
        <v>87</v>
      </c>
      <c r="F583" t="s">
        <v>31</v>
      </c>
      <c r="G583" t="s">
        <v>74</v>
      </c>
      <c r="H583" t="s">
        <v>12</v>
      </c>
      <c r="I583" t="s">
        <v>1029</v>
      </c>
      <c r="J583" t="s">
        <v>462</v>
      </c>
      <c r="K583" t="s">
        <v>13</v>
      </c>
      <c r="L583" t="s">
        <v>29</v>
      </c>
      <c r="M583" t="s">
        <v>10</v>
      </c>
    </row>
    <row r="584" spans="1:13">
      <c r="A584" t="s">
        <v>1609</v>
      </c>
      <c r="B584" s="2">
        <v>45830</v>
      </c>
      <c r="C584">
        <v>2025</v>
      </c>
      <c r="D584">
        <v>6</v>
      </c>
      <c r="E584" t="s">
        <v>87</v>
      </c>
      <c r="F584" t="s">
        <v>67</v>
      </c>
      <c r="G584" t="s">
        <v>20</v>
      </c>
      <c r="H584" t="s">
        <v>4</v>
      </c>
      <c r="I584" t="s">
        <v>1026</v>
      </c>
      <c r="J584" t="s">
        <v>454</v>
      </c>
      <c r="K584" t="s">
        <v>6</v>
      </c>
      <c r="L584" t="s">
        <v>36</v>
      </c>
      <c r="M584" t="s">
        <v>10</v>
      </c>
    </row>
    <row r="585" spans="1:13">
      <c r="A585" t="s">
        <v>1610</v>
      </c>
      <c r="B585" s="2">
        <v>45816</v>
      </c>
      <c r="C585">
        <v>2025</v>
      </c>
      <c r="D585">
        <v>6</v>
      </c>
      <c r="E585" t="s">
        <v>87</v>
      </c>
      <c r="F585" t="s">
        <v>26</v>
      </c>
      <c r="G585" t="s">
        <v>61</v>
      </c>
      <c r="H585" t="s">
        <v>4</v>
      </c>
      <c r="I585" t="s">
        <v>1029</v>
      </c>
      <c r="J585" t="s">
        <v>473</v>
      </c>
      <c r="K585" t="s">
        <v>34</v>
      </c>
      <c r="L585" t="s">
        <v>16</v>
      </c>
      <c r="M585" t="s">
        <v>17</v>
      </c>
    </row>
    <row r="586" spans="1:13">
      <c r="A586" t="s">
        <v>1611</v>
      </c>
      <c r="B586" s="2">
        <v>45819</v>
      </c>
      <c r="C586">
        <v>2025</v>
      </c>
      <c r="D586">
        <v>6</v>
      </c>
      <c r="E586" t="s">
        <v>87</v>
      </c>
      <c r="F586" t="s">
        <v>67</v>
      </c>
      <c r="G586" t="s">
        <v>32</v>
      </c>
      <c r="H586" t="s">
        <v>12</v>
      </c>
      <c r="I586" t="s">
        <v>1026</v>
      </c>
      <c r="J586" t="s">
        <v>494</v>
      </c>
      <c r="K586" t="s">
        <v>70</v>
      </c>
      <c r="L586" t="s">
        <v>9</v>
      </c>
      <c r="M586" t="s">
        <v>10</v>
      </c>
    </row>
    <row r="587" spans="1:13">
      <c r="A587" t="s">
        <v>1612</v>
      </c>
      <c r="B587" s="2">
        <v>45809</v>
      </c>
      <c r="C587">
        <v>2025</v>
      </c>
      <c r="D587">
        <v>6</v>
      </c>
      <c r="E587" t="s">
        <v>87</v>
      </c>
      <c r="F587" t="s">
        <v>40</v>
      </c>
      <c r="G587" t="s">
        <v>94</v>
      </c>
      <c r="H587" t="s">
        <v>12</v>
      </c>
      <c r="I587" t="s">
        <v>1023</v>
      </c>
      <c r="J587" t="s">
        <v>1024</v>
      </c>
      <c r="K587" t="s">
        <v>34</v>
      </c>
      <c r="L587" t="s">
        <v>29</v>
      </c>
      <c r="M587" t="s">
        <v>10</v>
      </c>
    </row>
    <row r="588" spans="1:13">
      <c r="A588" t="s">
        <v>1613</v>
      </c>
      <c r="B588" s="2">
        <v>45826</v>
      </c>
      <c r="C588">
        <v>2025</v>
      </c>
      <c r="D588">
        <v>6</v>
      </c>
      <c r="E588" t="s">
        <v>87</v>
      </c>
      <c r="F588" t="s">
        <v>54</v>
      </c>
      <c r="G588" t="s">
        <v>55</v>
      </c>
      <c r="H588" t="s">
        <v>44</v>
      </c>
      <c r="I588" t="s">
        <v>1029</v>
      </c>
      <c r="J588" t="s">
        <v>473</v>
      </c>
      <c r="K588" t="s">
        <v>70</v>
      </c>
      <c r="L588" t="s">
        <v>9</v>
      </c>
      <c r="M588" t="s">
        <v>17</v>
      </c>
    </row>
    <row r="589" spans="1:13">
      <c r="A589" t="s">
        <v>1614</v>
      </c>
      <c r="B589" s="2">
        <v>45835</v>
      </c>
      <c r="C589">
        <v>2025</v>
      </c>
      <c r="D589">
        <v>6</v>
      </c>
      <c r="E589" t="s">
        <v>87</v>
      </c>
      <c r="F589" t="s">
        <v>19</v>
      </c>
      <c r="G589" t="s">
        <v>32</v>
      </c>
      <c r="H589" t="s">
        <v>33</v>
      </c>
      <c r="I589" t="s">
        <v>1023</v>
      </c>
      <c r="J589" t="s">
        <v>1024</v>
      </c>
      <c r="K589" t="s">
        <v>70</v>
      </c>
      <c r="L589" t="s">
        <v>36</v>
      </c>
      <c r="M589" t="s">
        <v>10</v>
      </c>
    </row>
    <row r="590" spans="1:13">
      <c r="A590" t="s">
        <v>1615</v>
      </c>
      <c r="B590" s="2">
        <v>45835</v>
      </c>
      <c r="C590">
        <v>2025</v>
      </c>
      <c r="D590">
        <v>6</v>
      </c>
      <c r="E590" t="s">
        <v>87</v>
      </c>
      <c r="F590" t="s">
        <v>78</v>
      </c>
      <c r="G590" t="s">
        <v>48</v>
      </c>
      <c r="H590" t="s">
        <v>4</v>
      </c>
      <c r="I590" t="s">
        <v>1037</v>
      </c>
      <c r="J590" t="s">
        <v>1024</v>
      </c>
      <c r="K590" t="s">
        <v>70</v>
      </c>
      <c r="L590" t="s">
        <v>9</v>
      </c>
      <c r="M590" t="s">
        <v>10</v>
      </c>
    </row>
    <row r="591" spans="1:13">
      <c r="A591" t="s">
        <v>1616</v>
      </c>
      <c r="B591" s="2">
        <v>45810</v>
      </c>
      <c r="C591">
        <v>2025</v>
      </c>
      <c r="D591">
        <v>6</v>
      </c>
      <c r="E591" t="s">
        <v>87</v>
      </c>
      <c r="F591" t="s">
        <v>78</v>
      </c>
      <c r="G591" t="s">
        <v>48</v>
      </c>
      <c r="H591" t="s">
        <v>4</v>
      </c>
      <c r="I591" t="s">
        <v>1023</v>
      </c>
      <c r="J591" t="s">
        <v>1024</v>
      </c>
      <c r="K591" t="s">
        <v>13</v>
      </c>
      <c r="L591" t="s">
        <v>9</v>
      </c>
      <c r="M591" t="s">
        <v>17</v>
      </c>
    </row>
    <row r="592" spans="1:13">
      <c r="A592" t="s">
        <v>1617</v>
      </c>
      <c r="B592" s="2">
        <v>45815</v>
      </c>
      <c r="C592">
        <v>2025</v>
      </c>
      <c r="D592">
        <v>6</v>
      </c>
      <c r="E592" t="s">
        <v>87</v>
      </c>
      <c r="F592" t="s">
        <v>67</v>
      </c>
      <c r="G592" t="s">
        <v>32</v>
      </c>
      <c r="H592" t="s">
        <v>44</v>
      </c>
      <c r="I592" t="s">
        <v>1023</v>
      </c>
      <c r="J592" t="s">
        <v>1024</v>
      </c>
      <c r="K592" t="s">
        <v>50</v>
      </c>
      <c r="L592" t="s">
        <v>36</v>
      </c>
      <c r="M592" t="s">
        <v>10</v>
      </c>
    </row>
    <row r="593" spans="1:13">
      <c r="A593" t="s">
        <v>1618</v>
      </c>
      <c r="B593" s="2">
        <v>45832</v>
      </c>
      <c r="C593">
        <v>2025</v>
      </c>
      <c r="D593">
        <v>6</v>
      </c>
      <c r="E593" t="s">
        <v>87</v>
      </c>
      <c r="F593" t="s">
        <v>26</v>
      </c>
      <c r="G593" t="s">
        <v>69</v>
      </c>
      <c r="H593" t="s">
        <v>33</v>
      </c>
      <c r="I593" t="s">
        <v>1023</v>
      </c>
      <c r="J593" t="s">
        <v>1024</v>
      </c>
      <c r="K593" t="s">
        <v>50</v>
      </c>
      <c r="L593" t="s">
        <v>9</v>
      </c>
      <c r="M593" t="s">
        <v>10</v>
      </c>
    </row>
    <row r="594" spans="1:13">
      <c r="A594" t="s">
        <v>1619</v>
      </c>
      <c r="B594" s="2">
        <v>45820</v>
      </c>
      <c r="C594">
        <v>2025</v>
      </c>
      <c r="D594">
        <v>6</v>
      </c>
      <c r="E594" t="s">
        <v>87</v>
      </c>
      <c r="F594" t="s">
        <v>47</v>
      </c>
      <c r="G594" t="s">
        <v>48</v>
      </c>
      <c r="H594" t="s">
        <v>12</v>
      </c>
      <c r="I594" t="s">
        <v>1023</v>
      </c>
      <c r="J594" t="s">
        <v>1024</v>
      </c>
      <c r="K594" t="s">
        <v>6</v>
      </c>
      <c r="L594" t="s">
        <v>9</v>
      </c>
      <c r="M594" t="s">
        <v>10</v>
      </c>
    </row>
    <row r="595" spans="1:13">
      <c r="A595" t="s">
        <v>1620</v>
      </c>
      <c r="B595" s="2">
        <v>45834</v>
      </c>
      <c r="C595">
        <v>2025</v>
      </c>
      <c r="D595">
        <v>6</v>
      </c>
      <c r="E595" t="s">
        <v>87</v>
      </c>
      <c r="F595" t="s">
        <v>78</v>
      </c>
      <c r="G595" t="s">
        <v>27</v>
      </c>
      <c r="H595" t="s">
        <v>12</v>
      </c>
      <c r="I595" t="s">
        <v>1026</v>
      </c>
      <c r="J595" t="s">
        <v>444</v>
      </c>
      <c r="K595" t="s">
        <v>6</v>
      </c>
      <c r="L595" t="s">
        <v>29</v>
      </c>
      <c r="M595" t="s">
        <v>10</v>
      </c>
    </row>
    <row r="596" spans="1:13">
      <c r="A596" t="s">
        <v>1621</v>
      </c>
      <c r="B596" s="2">
        <v>45829</v>
      </c>
      <c r="C596">
        <v>2025</v>
      </c>
      <c r="D596">
        <v>6</v>
      </c>
      <c r="E596" t="s">
        <v>87</v>
      </c>
      <c r="F596" t="s">
        <v>26</v>
      </c>
      <c r="G596" t="s">
        <v>94</v>
      </c>
      <c r="H596" t="s">
        <v>12</v>
      </c>
      <c r="I596" t="s">
        <v>1029</v>
      </c>
      <c r="J596" t="s">
        <v>473</v>
      </c>
      <c r="K596" t="s">
        <v>34</v>
      </c>
      <c r="L596" t="s">
        <v>9</v>
      </c>
      <c r="M596" t="s">
        <v>10</v>
      </c>
    </row>
    <row r="597" spans="1:13">
      <c r="A597" t="s">
        <v>1622</v>
      </c>
      <c r="B597" s="2">
        <v>45813</v>
      </c>
      <c r="C597">
        <v>2025</v>
      </c>
      <c r="D597">
        <v>6</v>
      </c>
      <c r="E597" t="s">
        <v>87</v>
      </c>
      <c r="F597" t="s">
        <v>78</v>
      </c>
      <c r="G597" t="s">
        <v>69</v>
      </c>
      <c r="H597" t="s">
        <v>12</v>
      </c>
      <c r="I597" t="s">
        <v>1037</v>
      </c>
      <c r="J597" t="s">
        <v>1024</v>
      </c>
      <c r="K597" t="s">
        <v>50</v>
      </c>
      <c r="L597" t="s">
        <v>36</v>
      </c>
      <c r="M597" t="s">
        <v>10</v>
      </c>
    </row>
    <row r="598" spans="1:13">
      <c r="A598" t="s">
        <v>1623</v>
      </c>
      <c r="B598" s="2">
        <v>45830</v>
      </c>
      <c r="C598">
        <v>2025</v>
      </c>
      <c r="D598">
        <v>6</v>
      </c>
      <c r="E598" t="s">
        <v>87</v>
      </c>
      <c r="F598" t="s">
        <v>47</v>
      </c>
      <c r="G598" t="s">
        <v>48</v>
      </c>
      <c r="H598" t="s">
        <v>44</v>
      </c>
      <c r="I598" t="s">
        <v>1023</v>
      </c>
      <c r="J598" t="s">
        <v>1024</v>
      </c>
      <c r="K598" t="s">
        <v>34</v>
      </c>
      <c r="L598" t="s">
        <v>29</v>
      </c>
      <c r="M598" t="s">
        <v>17</v>
      </c>
    </row>
    <row r="599" spans="1:13">
      <c r="A599" t="s">
        <v>1624</v>
      </c>
      <c r="B599" s="2">
        <v>45812</v>
      </c>
      <c r="C599">
        <v>2025</v>
      </c>
      <c r="D599">
        <v>6</v>
      </c>
      <c r="E599" t="s">
        <v>87</v>
      </c>
      <c r="F599" t="s">
        <v>78</v>
      </c>
      <c r="G599" t="s">
        <v>69</v>
      </c>
      <c r="H599" t="s">
        <v>12</v>
      </c>
      <c r="I599" t="s">
        <v>1026</v>
      </c>
      <c r="J599" t="s">
        <v>460</v>
      </c>
      <c r="K599" t="s">
        <v>50</v>
      </c>
      <c r="L599" t="s">
        <v>9</v>
      </c>
      <c r="M599" t="s">
        <v>10</v>
      </c>
    </row>
    <row r="600" spans="1:13">
      <c r="A600" t="s">
        <v>1625</v>
      </c>
      <c r="B600" s="2">
        <v>45810</v>
      </c>
      <c r="C600">
        <v>2025</v>
      </c>
      <c r="D600">
        <v>6</v>
      </c>
      <c r="E600" t="s">
        <v>87</v>
      </c>
      <c r="F600" t="s">
        <v>31</v>
      </c>
      <c r="G600" t="s">
        <v>94</v>
      </c>
      <c r="H600" t="s">
        <v>12</v>
      </c>
      <c r="I600" t="s">
        <v>1026</v>
      </c>
      <c r="J600" t="s">
        <v>446</v>
      </c>
      <c r="K600" t="s">
        <v>13</v>
      </c>
      <c r="L600" t="s">
        <v>36</v>
      </c>
      <c r="M600" t="s">
        <v>17</v>
      </c>
    </row>
    <row r="601" spans="1:13">
      <c r="A601" t="s">
        <v>1626</v>
      </c>
      <c r="B601" s="2">
        <v>45827</v>
      </c>
      <c r="C601">
        <v>2025</v>
      </c>
      <c r="D601">
        <v>6</v>
      </c>
      <c r="E601" t="s">
        <v>87</v>
      </c>
      <c r="F601" t="s">
        <v>47</v>
      </c>
      <c r="G601" t="s">
        <v>3</v>
      </c>
      <c r="H601" t="s">
        <v>12</v>
      </c>
      <c r="I601" t="s">
        <v>1029</v>
      </c>
      <c r="J601" t="s">
        <v>473</v>
      </c>
      <c r="K601" t="s">
        <v>70</v>
      </c>
      <c r="L601" t="s">
        <v>29</v>
      </c>
      <c r="M601" t="s">
        <v>10</v>
      </c>
    </row>
    <row r="602" spans="1:13">
      <c r="A602" t="s">
        <v>1627</v>
      </c>
      <c r="B602" s="2">
        <v>45817</v>
      </c>
      <c r="C602">
        <v>2025</v>
      </c>
      <c r="D602">
        <v>6</v>
      </c>
      <c r="E602" t="s">
        <v>87</v>
      </c>
      <c r="F602" t="s">
        <v>38</v>
      </c>
      <c r="G602" t="s">
        <v>61</v>
      </c>
      <c r="H602" t="s">
        <v>12</v>
      </c>
      <c r="I602" t="s">
        <v>1029</v>
      </c>
      <c r="J602" t="s">
        <v>431</v>
      </c>
      <c r="K602" t="s">
        <v>70</v>
      </c>
      <c r="L602" t="s">
        <v>16</v>
      </c>
      <c r="M602" t="s">
        <v>10</v>
      </c>
    </row>
    <row r="603" spans="1:13">
      <c r="A603" t="s">
        <v>1628</v>
      </c>
      <c r="B603" s="2">
        <v>45826</v>
      </c>
      <c r="C603">
        <v>2025</v>
      </c>
      <c r="D603">
        <v>6</v>
      </c>
      <c r="E603" t="s">
        <v>87</v>
      </c>
      <c r="F603" t="s">
        <v>67</v>
      </c>
      <c r="G603" t="s">
        <v>48</v>
      </c>
      <c r="H603" t="s">
        <v>12</v>
      </c>
      <c r="I603" t="s">
        <v>1029</v>
      </c>
      <c r="J603" t="s">
        <v>431</v>
      </c>
      <c r="K603" t="s">
        <v>13</v>
      </c>
      <c r="L603" t="s">
        <v>9</v>
      </c>
      <c r="M603" t="s">
        <v>10</v>
      </c>
    </row>
    <row r="604" spans="1:13">
      <c r="A604" t="s">
        <v>1629</v>
      </c>
      <c r="B604" s="2">
        <v>45833</v>
      </c>
      <c r="C604">
        <v>2025</v>
      </c>
      <c r="D604">
        <v>6</v>
      </c>
      <c r="E604" t="s">
        <v>87</v>
      </c>
      <c r="F604" t="s">
        <v>26</v>
      </c>
      <c r="G604" t="s">
        <v>94</v>
      </c>
      <c r="H604" t="s">
        <v>12</v>
      </c>
      <c r="I604" t="s">
        <v>1023</v>
      </c>
      <c r="J604" t="s">
        <v>1024</v>
      </c>
      <c r="K604" t="s">
        <v>34</v>
      </c>
      <c r="L604" t="s">
        <v>9</v>
      </c>
      <c r="M604" t="s">
        <v>10</v>
      </c>
    </row>
    <row r="605" spans="1:13">
      <c r="A605" t="s">
        <v>1630</v>
      </c>
      <c r="B605" s="2">
        <v>45830</v>
      </c>
      <c r="C605">
        <v>2025</v>
      </c>
      <c r="D605">
        <v>6</v>
      </c>
      <c r="E605" t="s">
        <v>87</v>
      </c>
      <c r="F605" t="s">
        <v>19</v>
      </c>
      <c r="G605" t="s">
        <v>69</v>
      </c>
      <c r="H605" t="s">
        <v>33</v>
      </c>
      <c r="I605" t="s">
        <v>1026</v>
      </c>
      <c r="J605" t="s">
        <v>460</v>
      </c>
      <c r="K605" t="s">
        <v>34</v>
      </c>
      <c r="L605" t="s">
        <v>16</v>
      </c>
      <c r="M605" t="s">
        <v>10</v>
      </c>
    </row>
    <row r="606" spans="1:13">
      <c r="A606" t="s">
        <v>1631</v>
      </c>
      <c r="B606" s="2">
        <v>45809</v>
      </c>
      <c r="C606">
        <v>2025</v>
      </c>
      <c r="D606">
        <v>6</v>
      </c>
      <c r="E606" t="s">
        <v>87</v>
      </c>
      <c r="F606" t="s">
        <v>31</v>
      </c>
      <c r="G606" t="s">
        <v>55</v>
      </c>
      <c r="H606" t="s">
        <v>12</v>
      </c>
      <c r="I606" t="s">
        <v>1023</v>
      </c>
      <c r="J606" t="s">
        <v>1024</v>
      </c>
      <c r="K606" t="s">
        <v>13</v>
      </c>
      <c r="L606" t="s">
        <v>29</v>
      </c>
      <c r="M606" t="s">
        <v>17</v>
      </c>
    </row>
    <row r="607" spans="1:13">
      <c r="A607" t="s">
        <v>1632</v>
      </c>
      <c r="B607" s="2">
        <v>45833</v>
      </c>
      <c r="C607">
        <v>2025</v>
      </c>
      <c r="D607">
        <v>6</v>
      </c>
      <c r="E607" t="s">
        <v>87</v>
      </c>
      <c r="F607" t="s">
        <v>40</v>
      </c>
      <c r="G607" t="s">
        <v>20</v>
      </c>
      <c r="H607" t="s">
        <v>4</v>
      </c>
      <c r="I607" t="s">
        <v>1023</v>
      </c>
      <c r="J607" t="s">
        <v>1024</v>
      </c>
      <c r="K607" t="s">
        <v>34</v>
      </c>
      <c r="L607" t="s">
        <v>29</v>
      </c>
      <c r="M607" t="s">
        <v>17</v>
      </c>
    </row>
    <row r="608" spans="1:13">
      <c r="A608" t="s">
        <v>1633</v>
      </c>
      <c r="B608" s="2">
        <v>45835</v>
      </c>
      <c r="C608">
        <v>2025</v>
      </c>
      <c r="D608">
        <v>6</v>
      </c>
      <c r="E608" t="s">
        <v>87</v>
      </c>
      <c r="F608" t="s">
        <v>40</v>
      </c>
      <c r="G608" t="s">
        <v>61</v>
      </c>
      <c r="H608" t="s">
        <v>33</v>
      </c>
      <c r="I608" t="s">
        <v>1026</v>
      </c>
      <c r="J608" t="s">
        <v>466</v>
      </c>
      <c r="K608" t="s">
        <v>34</v>
      </c>
      <c r="L608" t="s">
        <v>29</v>
      </c>
      <c r="M608" t="s">
        <v>10</v>
      </c>
    </row>
    <row r="609" spans="1:13">
      <c r="A609" t="s">
        <v>1634</v>
      </c>
      <c r="B609" s="2">
        <v>45818</v>
      </c>
      <c r="C609">
        <v>2025</v>
      </c>
      <c r="D609">
        <v>6</v>
      </c>
      <c r="E609" t="s">
        <v>87</v>
      </c>
      <c r="F609" t="s">
        <v>38</v>
      </c>
      <c r="G609" t="s">
        <v>27</v>
      </c>
      <c r="H609" t="s">
        <v>4</v>
      </c>
      <c r="I609" t="s">
        <v>1026</v>
      </c>
      <c r="J609" t="s">
        <v>494</v>
      </c>
      <c r="K609" t="s">
        <v>70</v>
      </c>
      <c r="L609" t="s">
        <v>16</v>
      </c>
      <c r="M609" t="s">
        <v>17</v>
      </c>
    </row>
    <row r="610" spans="1:13">
      <c r="A610" t="s">
        <v>1635</v>
      </c>
      <c r="B610" s="2">
        <v>45848</v>
      </c>
      <c r="C610">
        <v>2025</v>
      </c>
      <c r="D610">
        <v>7</v>
      </c>
      <c r="E610" t="s">
        <v>93</v>
      </c>
      <c r="F610" t="s">
        <v>47</v>
      </c>
      <c r="G610" t="s">
        <v>55</v>
      </c>
      <c r="H610" t="s">
        <v>44</v>
      </c>
      <c r="I610" t="s">
        <v>1026</v>
      </c>
      <c r="J610" t="s">
        <v>494</v>
      </c>
      <c r="K610" t="s">
        <v>13</v>
      </c>
      <c r="L610" t="s">
        <v>36</v>
      </c>
      <c r="M610" t="s">
        <v>10</v>
      </c>
    </row>
    <row r="611" spans="1:13">
      <c r="A611" t="s">
        <v>1636</v>
      </c>
      <c r="B611" s="2">
        <v>45856</v>
      </c>
      <c r="C611">
        <v>2025</v>
      </c>
      <c r="D611">
        <v>7</v>
      </c>
      <c r="E611" t="s">
        <v>93</v>
      </c>
      <c r="F611" t="s">
        <v>47</v>
      </c>
      <c r="G611" t="s">
        <v>55</v>
      </c>
      <c r="H611" t="s">
        <v>44</v>
      </c>
      <c r="I611" t="s">
        <v>1026</v>
      </c>
      <c r="J611" t="s">
        <v>457</v>
      </c>
      <c r="K611" t="s">
        <v>34</v>
      </c>
      <c r="L611" t="s">
        <v>29</v>
      </c>
      <c r="M611" t="s">
        <v>17</v>
      </c>
    </row>
    <row r="612" spans="1:13">
      <c r="A612" t="s">
        <v>1637</v>
      </c>
      <c r="B612" s="2">
        <v>45847</v>
      </c>
      <c r="C612">
        <v>2025</v>
      </c>
      <c r="D612">
        <v>7</v>
      </c>
      <c r="E612" t="s">
        <v>93</v>
      </c>
      <c r="F612" t="s">
        <v>78</v>
      </c>
      <c r="G612" t="s">
        <v>64</v>
      </c>
      <c r="H612" t="s">
        <v>33</v>
      </c>
      <c r="I612" t="s">
        <v>1029</v>
      </c>
      <c r="J612" t="s">
        <v>438</v>
      </c>
      <c r="K612" t="s">
        <v>70</v>
      </c>
      <c r="L612" t="s">
        <v>16</v>
      </c>
      <c r="M612" t="s">
        <v>17</v>
      </c>
    </row>
    <row r="613" spans="1:13">
      <c r="A613" t="s">
        <v>1638</v>
      </c>
      <c r="B613" s="2">
        <v>45851</v>
      </c>
      <c r="C613">
        <v>2025</v>
      </c>
      <c r="D613">
        <v>7</v>
      </c>
      <c r="E613" t="s">
        <v>93</v>
      </c>
      <c r="F613" t="s">
        <v>54</v>
      </c>
      <c r="G613" t="s">
        <v>55</v>
      </c>
      <c r="H613" t="s">
        <v>12</v>
      </c>
      <c r="I613" t="s">
        <v>1026</v>
      </c>
      <c r="J613" t="s">
        <v>428</v>
      </c>
      <c r="K613" t="s">
        <v>6</v>
      </c>
      <c r="L613" t="s">
        <v>16</v>
      </c>
      <c r="M613" t="s">
        <v>17</v>
      </c>
    </row>
    <row r="614" spans="1:13">
      <c r="A614" t="s">
        <v>1639</v>
      </c>
      <c r="B614" s="2">
        <v>45848</v>
      </c>
      <c r="C614">
        <v>2025</v>
      </c>
      <c r="D614">
        <v>7</v>
      </c>
      <c r="E614" t="s">
        <v>93</v>
      </c>
      <c r="F614" t="s">
        <v>31</v>
      </c>
      <c r="G614" t="s">
        <v>55</v>
      </c>
      <c r="H614" t="s">
        <v>4</v>
      </c>
      <c r="I614" t="s">
        <v>1029</v>
      </c>
      <c r="J614" t="s">
        <v>435</v>
      </c>
      <c r="K614" t="s">
        <v>70</v>
      </c>
      <c r="L614" t="s">
        <v>36</v>
      </c>
      <c r="M614" t="s">
        <v>10</v>
      </c>
    </row>
    <row r="615" spans="1:13">
      <c r="A615" t="s">
        <v>1640</v>
      </c>
      <c r="B615" s="2">
        <v>45858</v>
      </c>
      <c r="C615">
        <v>2025</v>
      </c>
      <c r="D615">
        <v>7</v>
      </c>
      <c r="E615" t="s">
        <v>93</v>
      </c>
      <c r="F615" t="s">
        <v>67</v>
      </c>
      <c r="G615" t="s">
        <v>20</v>
      </c>
      <c r="H615" t="s">
        <v>33</v>
      </c>
      <c r="I615" t="s">
        <v>1026</v>
      </c>
      <c r="J615" t="s">
        <v>494</v>
      </c>
      <c r="K615" t="s">
        <v>6</v>
      </c>
      <c r="L615" t="s">
        <v>29</v>
      </c>
      <c r="M615" t="s">
        <v>10</v>
      </c>
    </row>
    <row r="616" spans="1:13">
      <c r="A616" t="s">
        <v>1641</v>
      </c>
      <c r="B616" s="2">
        <v>45852</v>
      </c>
      <c r="C616">
        <v>2025</v>
      </c>
      <c r="D616">
        <v>7</v>
      </c>
      <c r="E616" t="s">
        <v>93</v>
      </c>
      <c r="F616" t="s">
        <v>31</v>
      </c>
      <c r="G616" t="s">
        <v>27</v>
      </c>
      <c r="H616" t="s">
        <v>44</v>
      </c>
      <c r="I616" t="s">
        <v>1029</v>
      </c>
      <c r="J616" t="s">
        <v>452</v>
      </c>
      <c r="K616" t="s">
        <v>70</v>
      </c>
      <c r="L616" t="s">
        <v>36</v>
      </c>
      <c r="M616" t="s">
        <v>10</v>
      </c>
    </row>
    <row r="617" spans="1:13">
      <c r="A617" t="s">
        <v>1642</v>
      </c>
      <c r="B617" s="2">
        <v>45839</v>
      </c>
      <c r="C617">
        <v>2025</v>
      </c>
      <c r="D617">
        <v>7</v>
      </c>
      <c r="E617" t="s">
        <v>93</v>
      </c>
      <c r="F617" t="s">
        <v>26</v>
      </c>
      <c r="G617" t="s">
        <v>38</v>
      </c>
      <c r="H617" t="s">
        <v>44</v>
      </c>
      <c r="I617" t="s">
        <v>1029</v>
      </c>
      <c r="J617" t="s">
        <v>473</v>
      </c>
      <c r="K617" t="s">
        <v>34</v>
      </c>
      <c r="L617" t="s">
        <v>16</v>
      </c>
      <c r="M617" t="s">
        <v>17</v>
      </c>
    </row>
    <row r="618" spans="1:13">
      <c r="A618" t="s">
        <v>1643</v>
      </c>
      <c r="B618" s="2">
        <v>45860</v>
      </c>
      <c r="C618">
        <v>2025</v>
      </c>
      <c r="D618">
        <v>7</v>
      </c>
      <c r="E618" t="s">
        <v>93</v>
      </c>
      <c r="F618" t="s">
        <v>78</v>
      </c>
      <c r="G618" t="s">
        <v>61</v>
      </c>
      <c r="H618" t="s">
        <v>4</v>
      </c>
      <c r="I618" t="s">
        <v>1029</v>
      </c>
      <c r="J618" t="s">
        <v>442</v>
      </c>
      <c r="K618" t="s">
        <v>70</v>
      </c>
      <c r="L618" t="s">
        <v>36</v>
      </c>
      <c r="M618" t="s">
        <v>10</v>
      </c>
    </row>
    <row r="619" spans="1:13">
      <c r="A619" t="s">
        <v>1644</v>
      </c>
      <c r="B619" s="2">
        <v>45852</v>
      </c>
      <c r="C619">
        <v>2025</v>
      </c>
      <c r="D619">
        <v>7</v>
      </c>
      <c r="E619" t="s">
        <v>93</v>
      </c>
      <c r="F619" t="s">
        <v>40</v>
      </c>
      <c r="G619" t="s">
        <v>64</v>
      </c>
      <c r="H619" t="s">
        <v>4</v>
      </c>
      <c r="I619" t="s">
        <v>1037</v>
      </c>
      <c r="J619" t="s">
        <v>1024</v>
      </c>
      <c r="K619" t="s">
        <v>34</v>
      </c>
      <c r="L619" t="s">
        <v>36</v>
      </c>
      <c r="M619" t="s">
        <v>10</v>
      </c>
    </row>
    <row r="620" spans="1:13">
      <c r="A620" t="s">
        <v>1645</v>
      </c>
      <c r="B620" s="2">
        <v>45862</v>
      </c>
      <c r="C620">
        <v>2025</v>
      </c>
      <c r="D620">
        <v>7</v>
      </c>
      <c r="E620" t="s">
        <v>93</v>
      </c>
      <c r="F620" t="s">
        <v>47</v>
      </c>
      <c r="G620" t="s">
        <v>32</v>
      </c>
      <c r="H620" t="s">
        <v>33</v>
      </c>
      <c r="I620" t="s">
        <v>1026</v>
      </c>
      <c r="J620" t="s">
        <v>428</v>
      </c>
      <c r="K620" t="s">
        <v>70</v>
      </c>
      <c r="L620" t="s">
        <v>9</v>
      </c>
      <c r="M620" t="s">
        <v>10</v>
      </c>
    </row>
    <row r="621" spans="1:13">
      <c r="A621" t="s">
        <v>1646</v>
      </c>
      <c r="B621" s="2">
        <v>45856</v>
      </c>
      <c r="C621">
        <v>2025</v>
      </c>
      <c r="D621">
        <v>7</v>
      </c>
      <c r="E621" t="s">
        <v>93</v>
      </c>
      <c r="F621" t="s">
        <v>67</v>
      </c>
      <c r="G621" t="s">
        <v>64</v>
      </c>
      <c r="H621" t="s">
        <v>12</v>
      </c>
      <c r="I621" t="s">
        <v>1026</v>
      </c>
      <c r="J621" t="s">
        <v>519</v>
      </c>
      <c r="K621" t="s">
        <v>13</v>
      </c>
      <c r="L621" t="s">
        <v>16</v>
      </c>
      <c r="M621" t="s">
        <v>10</v>
      </c>
    </row>
    <row r="622" spans="1:13">
      <c r="A622" t="s">
        <v>1647</v>
      </c>
      <c r="B622" s="2">
        <v>45856</v>
      </c>
      <c r="C622">
        <v>2025</v>
      </c>
      <c r="D622">
        <v>7</v>
      </c>
      <c r="E622" t="s">
        <v>93</v>
      </c>
      <c r="F622" t="s">
        <v>2</v>
      </c>
      <c r="G622" t="s">
        <v>48</v>
      </c>
      <c r="H622" t="s">
        <v>44</v>
      </c>
      <c r="I622" t="s">
        <v>1029</v>
      </c>
      <c r="J622" t="s">
        <v>84</v>
      </c>
      <c r="K622" t="s">
        <v>34</v>
      </c>
      <c r="L622" t="s">
        <v>16</v>
      </c>
      <c r="M622" t="s">
        <v>10</v>
      </c>
    </row>
    <row r="623" spans="1:13">
      <c r="A623" t="s">
        <v>1648</v>
      </c>
      <c r="B623" s="2">
        <v>45855</v>
      </c>
      <c r="C623">
        <v>2025</v>
      </c>
      <c r="D623">
        <v>7</v>
      </c>
      <c r="E623" t="s">
        <v>93</v>
      </c>
      <c r="F623" t="s">
        <v>78</v>
      </c>
      <c r="G623" t="s">
        <v>69</v>
      </c>
      <c r="H623" t="s">
        <v>33</v>
      </c>
      <c r="I623" t="s">
        <v>1023</v>
      </c>
      <c r="J623" t="s">
        <v>1024</v>
      </c>
      <c r="K623" t="s">
        <v>34</v>
      </c>
      <c r="L623" t="s">
        <v>16</v>
      </c>
      <c r="M623" t="s">
        <v>10</v>
      </c>
    </row>
    <row r="624" spans="1:13">
      <c r="A624" t="s">
        <v>1649</v>
      </c>
      <c r="B624" s="2">
        <v>45854</v>
      </c>
      <c r="C624">
        <v>2025</v>
      </c>
      <c r="D624">
        <v>7</v>
      </c>
      <c r="E624" t="s">
        <v>93</v>
      </c>
      <c r="F624" t="s">
        <v>31</v>
      </c>
      <c r="G624" t="s">
        <v>20</v>
      </c>
      <c r="H624" t="s">
        <v>44</v>
      </c>
      <c r="I624" t="s">
        <v>1026</v>
      </c>
      <c r="J624" t="s">
        <v>460</v>
      </c>
      <c r="K624" t="s">
        <v>50</v>
      </c>
      <c r="L624" t="s">
        <v>36</v>
      </c>
      <c r="M624" t="s">
        <v>10</v>
      </c>
    </row>
    <row r="625" spans="1:13">
      <c r="A625" t="s">
        <v>1650</v>
      </c>
      <c r="B625" s="2">
        <v>45858</v>
      </c>
      <c r="C625">
        <v>2025</v>
      </c>
      <c r="D625">
        <v>7</v>
      </c>
      <c r="E625" t="s">
        <v>93</v>
      </c>
      <c r="F625" t="s">
        <v>19</v>
      </c>
      <c r="G625" t="s">
        <v>27</v>
      </c>
      <c r="H625" t="s">
        <v>44</v>
      </c>
      <c r="I625" t="s">
        <v>1029</v>
      </c>
      <c r="J625" t="s">
        <v>473</v>
      </c>
      <c r="K625" t="s">
        <v>70</v>
      </c>
      <c r="L625" t="s">
        <v>9</v>
      </c>
      <c r="M625" t="s">
        <v>10</v>
      </c>
    </row>
    <row r="626" spans="1:13">
      <c r="A626" t="s">
        <v>1651</v>
      </c>
      <c r="B626" s="2">
        <v>45860</v>
      </c>
      <c r="C626">
        <v>2025</v>
      </c>
      <c r="D626">
        <v>7</v>
      </c>
      <c r="E626" t="s">
        <v>93</v>
      </c>
      <c r="F626" t="s">
        <v>38</v>
      </c>
      <c r="G626" t="s">
        <v>69</v>
      </c>
      <c r="H626" t="s">
        <v>4</v>
      </c>
      <c r="I626" t="s">
        <v>1037</v>
      </c>
      <c r="J626" t="s">
        <v>1024</v>
      </c>
      <c r="K626" t="s">
        <v>50</v>
      </c>
      <c r="L626" t="s">
        <v>36</v>
      </c>
      <c r="M626" t="s">
        <v>17</v>
      </c>
    </row>
    <row r="627" spans="1:13">
      <c r="A627" t="s">
        <v>1652</v>
      </c>
      <c r="B627" s="2">
        <v>45861</v>
      </c>
      <c r="C627">
        <v>2025</v>
      </c>
      <c r="D627">
        <v>7</v>
      </c>
      <c r="E627" t="s">
        <v>93</v>
      </c>
      <c r="F627" t="s">
        <v>67</v>
      </c>
      <c r="G627" t="s">
        <v>3</v>
      </c>
      <c r="H627" t="s">
        <v>12</v>
      </c>
      <c r="I627" t="s">
        <v>1026</v>
      </c>
      <c r="J627" t="s">
        <v>444</v>
      </c>
      <c r="K627" t="s">
        <v>13</v>
      </c>
      <c r="L627" t="s">
        <v>36</v>
      </c>
      <c r="M627" t="s">
        <v>17</v>
      </c>
    </row>
    <row r="628" spans="1:13">
      <c r="A628" t="s">
        <v>1653</v>
      </c>
      <c r="B628" s="2">
        <v>45848</v>
      </c>
      <c r="C628">
        <v>2025</v>
      </c>
      <c r="D628">
        <v>7</v>
      </c>
      <c r="E628" t="s">
        <v>93</v>
      </c>
      <c r="F628" t="s">
        <v>19</v>
      </c>
      <c r="G628" t="s">
        <v>55</v>
      </c>
      <c r="H628" t="s">
        <v>4</v>
      </c>
      <c r="I628" t="s">
        <v>1023</v>
      </c>
      <c r="J628" t="s">
        <v>1024</v>
      </c>
      <c r="K628" t="s">
        <v>6</v>
      </c>
      <c r="L628" t="s">
        <v>36</v>
      </c>
      <c r="M628" t="s">
        <v>10</v>
      </c>
    </row>
    <row r="629" spans="1:13">
      <c r="A629" t="s">
        <v>1654</v>
      </c>
      <c r="B629" s="2">
        <v>45844</v>
      </c>
      <c r="C629">
        <v>2025</v>
      </c>
      <c r="D629">
        <v>7</v>
      </c>
      <c r="E629" t="s">
        <v>93</v>
      </c>
      <c r="F629" t="s">
        <v>38</v>
      </c>
      <c r="G629" t="s">
        <v>64</v>
      </c>
      <c r="H629" t="s">
        <v>33</v>
      </c>
      <c r="I629" t="s">
        <v>1023</v>
      </c>
      <c r="J629" t="s">
        <v>1024</v>
      </c>
      <c r="K629" t="s">
        <v>34</v>
      </c>
      <c r="L629" t="s">
        <v>36</v>
      </c>
      <c r="M629" t="s">
        <v>10</v>
      </c>
    </row>
    <row r="630" spans="1:13">
      <c r="A630" t="s">
        <v>1655</v>
      </c>
      <c r="B630" s="2">
        <v>45839</v>
      </c>
      <c r="C630">
        <v>2025</v>
      </c>
      <c r="D630">
        <v>7</v>
      </c>
      <c r="E630" t="s">
        <v>93</v>
      </c>
      <c r="F630" t="s">
        <v>67</v>
      </c>
      <c r="G630" t="s">
        <v>69</v>
      </c>
      <c r="H630" t="s">
        <v>12</v>
      </c>
      <c r="I630" t="s">
        <v>1026</v>
      </c>
      <c r="J630" t="s">
        <v>446</v>
      </c>
      <c r="K630" t="s">
        <v>13</v>
      </c>
      <c r="L630" t="s">
        <v>36</v>
      </c>
      <c r="M630" t="s">
        <v>17</v>
      </c>
    </row>
    <row r="631" spans="1:13">
      <c r="A631" t="s">
        <v>1656</v>
      </c>
      <c r="B631" s="2">
        <v>45856</v>
      </c>
      <c r="C631">
        <v>2025</v>
      </c>
      <c r="D631">
        <v>7</v>
      </c>
      <c r="E631" t="s">
        <v>93</v>
      </c>
      <c r="F631" t="s">
        <v>47</v>
      </c>
      <c r="G631" t="s">
        <v>27</v>
      </c>
      <c r="H631" t="s">
        <v>4</v>
      </c>
      <c r="I631" t="s">
        <v>1026</v>
      </c>
      <c r="J631" t="s">
        <v>460</v>
      </c>
      <c r="K631" t="s">
        <v>34</v>
      </c>
      <c r="L631" t="s">
        <v>29</v>
      </c>
      <c r="M631" t="s">
        <v>10</v>
      </c>
    </row>
    <row r="632" spans="1:13">
      <c r="A632" t="s">
        <v>1657</v>
      </c>
      <c r="B632" s="2">
        <v>45852</v>
      </c>
      <c r="C632">
        <v>2025</v>
      </c>
      <c r="D632">
        <v>7</v>
      </c>
      <c r="E632" t="s">
        <v>93</v>
      </c>
      <c r="F632" t="s">
        <v>78</v>
      </c>
      <c r="G632" t="s">
        <v>48</v>
      </c>
      <c r="H632" t="s">
        <v>12</v>
      </c>
      <c r="I632" t="s">
        <v>1037</v>
      </c>
      <c r="J632" t="s">
        <v>1024</v>
      </c>
      <c r="K632" t="s">
        <v>6</v>
      </c>
      <c r="L632" t="s">
        <v>29</v>
      </c>
      <c r="M632" t="s">
        <v>10</v>
      </c>
    </row>
    <row r="633" spans="1:13">
      <c r="A633" t="s">
        <v>1658</v>
      </c>
      <c r="B633" s="2">
        <v>45842</v>
      </c>
      <c r="C633">
        <v>2025</v>
      </c>
      <c r="D633">
        <v>7</v>
      </c>
      <c r="E633" t="s">
        <v>93</v>
      </c>
      <c r="F633" t="s">
        <v>38</v>
      </c>
      <c r="G633" t="s">
        <v>55</v>
      </c>
      <c r="H633" t="s">
        <v>44</v>
      </c>
      <c r="I633" t="s">
        <v>1026</v>
      </c>
      <c r="J633" t="s">
        <v>446</v>
      </c>
      <c r="K633" t="s">
        <v>13</v>
      </c>
      <c r="L633" t="s">
        <v>29</v>
      </c>
      <c r="M633" t="s">
        <v>10</v>
      </c>
    </row>
    <row r="634" spans="1:13">
      <c r="A634" t="s">
        <v>1659</v>
      </c>
      <c r="B634" s="2">
        <v>45858</v>
      </c>
      <c r="C634">
        <v>2025</v>
      </c>
      <c r="D634">
        <v>7</v>
      </c>
      <c r="E634" t="s">
        <v>93</v>
      </c>
      <c r="F634" t="s">
        <v>31</v>
      </c>
      <c r="G634" t="s">
        <v>61</v>
      </c>
      <c r="H634" t="s">
        <v>44</v>
      </c>
      <c r="I634" t="s">
        <v>1037</v>
      </c>
      <c r="J634" t="s">
        <v>1024</v>
      </c>
      <c r="K634" t="s">
        <v>13</v>
      </c>
      <c r="L634" t="s">
        <v>29</v>
      </c>
      <c r="M634" t="s">
        <v>10</v>
      </c>
    </row>
    <row r="635" spans="1:13">
      <c r="A635" t="s">
        <v>1660</v>
      </c>
      <c r="B635" s="2">
        <v>45847</v>
      </c>
      <c r="C635">
        <v>2025</v>
      </c>
      <c r="D635">
        <v>7</v>
      </c>
      <c r="E635" t="s">
        <v>93</v>
      </c>
      <c r="F635" t="s">
        <v>54</v>
      </c>
      <c r="G635" t="s">
        <v>61</v>
      </c>
      <c r="H635" t="s">
        <v>33</v>
      </c>
      <c r="I635" t="s">
        <v>1026</v>
      </c>
      <c r="J635" t="s">
        <v>466</v>
      </c>
      <c r="K635" t="s">
        <v>13</v>
      </c>
      <c r="L635" t="s">
        <v>36</v>
      </c>
      <c r="M635" t="s">
        <v>10</v>
      </c>
    </row>
    <row r="636" spans="1:13">
      <c r="A636" t="s">
        <v>1661</v>
      </c>
      <c r="B636" s="2">
        <v>45855</v>
      </c>
      <c r="C636">
        <v>2025</v>
      </c>
      <c r="D636">
        <v>7</v>
      </c>
      <c r="E636" t="s">
        <v>93</v>
      </c>
      <c r="F636" t="s">
        <v>47</v>
      </c>
      <c r="G636" t="s">
        <v>38</v>
      </c>
      <c r="H636" t="s">
        <v>44</v>
      </c>
      <c r="I636" t="s">
        <v>1023</v>
      </c>
      <c r="J636" t="s">
        <v>1024</v>
      </c>
      <c r="K636" t="s">
        <v>6</v>
      </c>
      <c r="L636" t="s">
        <v>36</v>
      </c>
      <c r="M636" t="s">
        <v>10</v>
      </c>
    </row>
    <row r="637" spans="1:13">
      <c r="A637" t="s">
        <v>1662</v>
      </c>
      <c r="B637" s="2">
        <v>45839</v>
      </c>
      <c r="C637">
        <v>2025</v>
      </c>
      <c r="D637">
        <v>7</v>
      </c>
      <c r="E637" t="s">
        <v>93</v>
      </c>
      <c r="F637" t="s">
        <v>38</v>
      </c>
      <c r="G637" t="s">
        <v>20</v>
      </c>
      <c r="H637" t="s">
        <v>4</v>
      </c>
      <c r="I637" t="s">
        <v>1029</v>
      </c>
      <c r="J637" t="s">
        <v>440</v>
      </c>
      <c r="K637" t="s">
        <v>70</v>
      </c>
      <c r="L637" t="s">
        <v>36</v>
      </c>
      <c r="M637" t="s">
        <v>17</v>
      </c>
    </row>
    <row r="638" spans="1:13">
      <c r="A638" t="s">
        <v>1663</v>
      </c>
      <c r="B638" s="2">
        <v>45851</v>
      </c>
      <c r="C638">
        <v>2025</v>
      </c>
      <c r="D638">
        <v>7</v>
      </c>
      <c r="E638" t="s">
        <v>93</v>
      </c>
      <c r="F638" t="s">
        <v>19</v>
      </c>
      <c r="G638" t="s">
        <v>55</v>
      </c>
      <c r="H638" t="s">
        <v>44</v>
      </c>
      <c r="I638" t="s">
        <v>1029</v>
      </c>
      <c r="J638" t="s">
        <v>452</v>
      </c>
      <c r="K638" t="s">
        <v>13</v>
      </c>
      <c r="L638" t="s">
        <v>29</v>
      </c>
      <c r="M638" t="s">
        <v>17</v>
      </c>
    </row>
    <row r="639" spans="1:13">
      <c r="A639" t="s">
        <v>1664</v>
      </c>
      <c r="B639" s="2">
        <v>45843</v>
      </c>
      <c r="C639">
        <v>2025</v>
      </c>
      <c r="D639">
        <v>7</v>
      </c>
      <c r="E639" t="s">
        <v>93</v>
      </c>
      <c r="F639" t="s">
        <v>31</v>
      </c>
      <c r="G639" t="s">
        <v>55</v>
      </c>
      <c r="H639" t="s">
        <v>12</v>
      </c>
      <c r="I639" t="s">
        <v>1026</v>
      </c>
      <c r="J639" t="s">
        <v>494</v>
      </c>
      <c r="K639" t="s">
        <v>13</v>
      </c>
      <c r="L639" t="s">
        <v>9</v>
      </c>
      <c r="M639" t="s">
        <v>17</v>
      </c>
    </row>
    <row r="640" spans="1:13">
      <c r="A640" t="s">
        <v>1665</v>
      </c>
      <c r="B640" s="2">
        <v>45840</v>
      </c>
      <c r="C640">
        <v>2025</v>
      </c>
      <c r="D640">
        <v>7</v>
      </c>
      <c r="E640" t="s">
        <v>93</v>
      </c>
      <c r="F640" t="s">
        <v>67</v>
      </c>
      <c r="G640" t="s">
        <v>38</v>
      </c>
      <c r="H640" t="s">
        <v>4</v>
      </c>
      <c r="I640" t="s">
        <v>1029</v>
      </c>
      <c r="J640" t="s">
        <v>440</v>
      </c>
      <c r="K640" t="s">
        <v>13</v>
      </c>
      <c r="L640" t="s">
        <v>29</v>
      </c>
      <c r="M640" t="s">
        <v>10</v>
      </c>
    </row>
    <row r="641" spans="1:13">
      <c r="A641" t="s">
        <v>1666</v>
      </c>
      <c r="B641" s="2">
        <v>45850</v>
      </c>
      <c r="C641">
        <v>2025</v>
      </c>
      <c r="D641">
        <v>7</v>
      </c>
      <c r="E641" t="s">
        <v>93</v>
      </c>
      <c r="F641" t="s">
        <v>67</v>
      </c>
      <c r="G641" t="s">
        <v>3</v>
      </c>
      <c r="H641" t="s">
        <v>12</v>
      </c>
      <c r="I641" t="s">
        <v>1037</v>
      </c>
      <c r="J641" t="s">
        <v>1024</v>
      </c>
      <c r="K641" t="s">
        <v>13</v>
      </c>
      <c r="L641" t="s">
        <v>16</v>
      </c>
      <c r="M641" t="s">
        <v>10</v>
      </c>
    </row>
    <row r="642" spans="1:13">
      <c r="A642" t="s">
        <v>1667</v>
      </c>
      <c r="B642" s="2">
        <v>45860</v>
      </c>
      <c r="C642">
        <v>2025</v>
      </c>
      <c r="D642">
        <v>7</v>
      </c>
      <c r="E642" t="s">
        <v>93</v>
      </c>
      <c r="F642" t="s">
        <v>67</v>
      </c>
      <c r="G642" t="s">
        <v>55</v>
      </c>
      <c r="H642" t="s">
        <v>4</v>
      </c>
      <c r="I642" t="s">
        <v>1029</v>
      </c>
      <c r="J642" t="s">
        <v>464</v>
      </c>
      <c r="K642" t="s">
        <v>13</v>
      </c>
      <c r="L642" t="s">
        <v>36</v>
      </c>
      <c r="M642" t="s">
        <v>17</v>
      </c>
    </row>
    <row r="643" spans="1:13">
      <c r="A643" t="s">
        <v>1668</v>
      </c>
      <c r="B643" s="2">
        <v>45841</v>
      </c>
      <c r="C643">
        <v>2025</v>
      </c>
      <c r="D643">
        <v>7</v>
      </c>
      <c r="E643" t="s">
        <v>93</v>
      </c>
      <c r="F643" t="s">
        <v>54</v>
      </c>
      <c r="G643" t="s">
        <v>20</v>
      </c>
      <c r="H643" t="s">
        <v>44</v>
      </c>
      <c r="I643" t="s">
        <v>1026</v>
      </c>
      <c r="J643" t="s">
        <v>454</v>
      </c>
      <c r="K643" t="s">
        <v>13</v>
      </c>
      <c r="L643" t="s">
        <v>9</v>
      </c>
      <c r="M643" t="s">
        <v>10</v>
      </c>
    </row>
    <row r="644" spans="1:13">
      <c r="A644" t="s">
        <v>1669</v>
      </c>
      <c r="B644" s="2">
        <v>45861</v>
      </c>
      <c r="C644">
        <v>2025</v>
      </c>
      <c r="D644">
        <v>7</v>
      </c>
      <c r="E644" t="s">
        <v>93</v>
      </c>
      <c r="F644" t="s">
        <v>54</v>
      </c>
      <c r="G644" t="s">
        <v>3</v>
      </c>
      <c r="H644" t="s">
        <v>44</v>
      </c>
      <c r="I644" t="s">
        <v>1029</v>
      </c>
      <c r="J644" t="s">
        <v>431</v>
      </c>
      <c r="K644" t="s">
        <v>34</v>
      </c>
      <c r="L644" t="s">
        <v>36</v>
      </c>
      <c r="M644" t="s">
        <v>17</v>
      </c>
    </row>
    <row r="645" spans="1:13">
      <c r="A645" t="s">
        <v>1670</v>
      </c>
      <c r="B645" s="2">
        <v>45851</v>
      </c>
      <c r="C645">
        <v>2025</v>
      </c>
      <c r="D645">
        <v>7</v>
      </c>
      <c r="E645" t="s">
        <v>93</v>
      </c>
      <c r="F645" t="s">
        <v>54</v>
      </c>
      <c r="G645" t="s">
        <v>38</v>
      </c>
      <c r="H645" t="s">
        <v>4</v>
      </c>
      <c r="I645" t="s">
        <v>1037</v>
      </c>
      <c r="J645" t="s">
        <v>1024</v>
      </c>
      <c r="K645" t="s">
        <v>13</v>
      </c>
      <c r="L645" t="s">
        <v>36</v>
      </c>
      <c r="M645" t="s">
        <v>10</v>
      </c>
    </row>
    <row r="646" spans="1:13">
      <c r="A646" t="s">
        <v>1671</v>
      </c>
      <c r="B646" s="2">
        <v>45843</v>
      </c>
      <c r="C646">
        <v>2025</v>
      </c>
      <c r="D646">
        <v>7</v>
      </c>
      <c r="E646" t="s">
        <v>93</v>
      </c>
      <c r="F646" t="s">
        <v>78</v>
      </c>
      <c r="G646" t="s">
        <v>48</v>
      </c>
      <c r="H646" t="s">
        <v>44</v>
      </c>
      <c r="I646" t="s">
        <v>1023</v>
      </c>
      <c r="J646" t="s">
        <v>1024</v>
      </c>
      <c r="K646" t="s">
        <v>50</v>
      </c>
      <c r="L646" t="s">
        <v>9</v>
      </c>
      <c r="M646" t="s">
        <v>10</v>
      </c>
    </row>
    <row r="647" spans="1:13">
      <c r="A647" t="s">
        <v>1672</v>
      </c>
      <c r="B647" s="2">
        <v>45864</v>
      </c>
      <c r="C647">
        <v>2025</v>
      </c>
      <c r="D647">
        <v>7</v>
      </c>
      <c r="E647" t="s">
        <v>93</v>
      </c>
      <c r="F647" t="s">
        <v>26</v>
      </c>
      <c r="G647" t="s">
        <v>20</v>
      </c>
      <c r="H647" t="s">
        <v>4</v>
      </c>
      <c r="I647" t="s">
        <v>1029</v>
      </c>
      <c r="J647" t="s">
        <v>462</v>
      </c>
      <c r="K647" t="s">
        <v>50</v>
      </c>
      <c r="L647" t="s">
        <v>29</v>
      </c>
      <c r="M647" t="s">
        <v>17</v>
      </c>
    </row>
    <row r="648" spans="1:13">
      <c r="A648" t="s">
        <v>1673</v>
      </c>
      <c r="B648" s="2">
        <v>45862</v>
      </c>
      <c r="C648">
        <v>2025</v>
      </c>
      <c r="D648">
        <v>7</v>
      </c>
      <c r="E648" t="s">
        <v>93</v>
      </c>
      <c r="F648" t="s">
        <v>78</v>
      </c>
      <c r="G648" t="s">
        <v>64</v>
      </c>
      <c r="H648" t="s">
        <v>33</v>
      </c>
      <c r="I648" t="s">
        <v>1029</v>
      </c>
      <c r="J648" t="s">
        <v>84</v>
      </c>
      <c r="K648" t="s">
        <v>6</v>
      </c>
      <c r="L648" t="s">
        <v>9</v>
      </c>
      <c r="M648" t="s">
        <v>17</v>
      </c>
    </row>
    <row r="649" spans="1:13">
      <c r="A649" t="s">
        <v>1674</v>
      </c>
      <c r="B649" s="2">
        <v>45849</v>
      </c>
      <c r="C649">
        <v>2025</v>
      </c>
      <c r="D649">
        <v>7</v>
      </c>
      <c r="E649" t="s">
        <v>93</v>
      </c>
      <c r="F649" t="s">
        <v>47</v>
      </c>
      <c r="G649" t="s">
        <v>94</v>
      </c>
      <c r="H649" t="s">
        <v>4</v>
      </c>
      <c r="I649" t="s">
        <v>1029</v>
      </c>
      <c r="J649" t="s">
        <v>464</v>
      </c>
      <c r="K649" t="s">
        <v>34</v>
      </c>
      <c r="L649" t="s">
        <v>29</v>
      </c>
      <c r="M649" t="s">
        <v>17</v>
      </c>
    </row>
    <row r="650" spans="1:13">
      <c r="A650" t="s">
        <v>1675</v>
      </c>
      <c r="B650" s="2">
        <v>45857</v>
      </c>
      <c r="C650">
        <v>2025</v>
      </c>
      <c r="D650">
        <v>7</v>
      </c>
      <c r="E650" t="s">
        <v>93</v>
      </c>
      <c r="F650" t="s">
        <v>2</v>
      </c>
      <c r="G650" t="s">
        <v>20</v>
      </c>
      <c r="H650" t="s">
        <v>33</v>
      </c>
      <c r="I650" t="s">
        <v>1029</v>
      </c>
      <c r="J650" t="s">
        <v>440</v>
      </c>
      <c r="K650" t="s">
        <v>70</v>
      </c>
      <c r="L650" t="s">
        <v>29</v>
      </c>
      <c r="M650" t="s">
        <v>17</v>
      </c>
    </row>
    <row r="651" spans="1:13">
      <c r="A651" t="s">
        <v>1676</v>
      </c>
      <c r="B651" s="2">
        <v>45858</v>
      </c>
      <c r="C651">
        <v>2025</v>
      </c>
      <c r="D651">
        <v>7</v>
      </c>
      <c r="E651" t="s">
        <v>93</v>
      </c>
      <c r="F651" t="s">
        <v>2</v>
      </c>
      <c r="G651" t="s">
        <v>64</v>
      </c>
      <c r="H651" t="s">
        <v>4</v>
      </c>
      <c r="I651" t="s">
        <v>1023</v>
      </c>
      <c r="J651" t="s">
        <v>1024</v>
      </c>
      <c r="K651" t="s">
        <v>50</v>
      </c>
      <c r="L651" t="s">
        <v>16</v>
      </c>
      <c r="M651" t="s">
        <v>10</v>
      </c>
    </row>
    <row r="652" spans="1:13">
      <c r="A652" t="s">
        <v>1677</v>
      </c>
      <c r="B652" s="2">
        <v>45842</v>
      </c>
      <c r="C652">
        <v>2025</v>
      </c>
      <c r="D652">
        <v>7</v>
      </c>
      <c r="E652" t="s">
        <v>93</v>
      </c>
      <c r="F652" t="s">
        <v>40</v>
      </c>
      <c r="G652" t="s">
        <v>55</v>
      </c>
      <c r="H652" t="s">
        <v>33</v>
      </c>
      <c r="I652" t="s">
        <v>1023</v>
      </c>
      <c r="J652" t="s">
        <v>1024</v>
      </c>
      <c r="K652" t="s">
        <v>70</v>
      </c>
      <c r="L652" t="s">
        <v>36</v>
      </c>
      <c r="M652" t="s">
        <v>10</v>
      </c>
    </row>
    <row r="653" spans="1:13">
      <c r="A653" t="s">
        <v>1678</v>
      </c>
      <c r="B653" s="2">
        <v>45861</v>
      </c>
      <c r="C653">
        <v>2025</v>
      </c>
      <c r="D653">
        <v>7</v>
      </c>
      <c r="E653" t="s">
        <v>93</v>
      </c>
      <c r="F653" t="s">
        <v>47</v>
      </c>
      <c r="G653" t="s">
        <v>94</v>
      </c>
      <c r="H653" t="s">
        <v>4</v>
      </c>
      <c r="I653" t="s">
        <v>1023</v>
      </c>
      <c r="J653" t="s">
        <v>1024</v>
      </c>
      <c r="K653" t="s">
        <v>34</v>
      </c>
      <c r="L653" t="s">
        <v>16</v>
      </c>
      <c r="M653" t="s">
        <v>10</v>
      </c>
    </row>
    <row r="654" spans="1:13">
      <c r="A654" t="s">
        <v>1679</v>
      </c>
      <c r="B654" s="2">
        <v>45851</v>
      </c>
      <c r="C654">
        <v>2025</v>
      </c>
      <c r="D654">
        <v>7</v>
      </c>
      <c r="E654" t="s">
        <v>93</v>
      </c>
      <c r="F654" t="s">
        <v>38</v>
      </c>
      <c r="G654" t="s">
        <v>38</v>
      </c>
      <c r="H654" t="s">
        <v>12</v>
      </c>
      <c r="I654" t="s">
        <v>1026</v>
      </c>
      <c r="J654" t="s">
        <v>460</v>
      </c>
      <c r="K654" t="s">
        <v>70</v>
      </c>
      <c r="L654" t="s">
        <v>29</v>
      </c>
      <c r="M654" t="s">
        <v>10</v>
      </c>
    </row>
    <row r="655" spans="1:13">
      <c r="A655" t="s">
        <v>1680</v>
      </c>
      <c r="B655" s="2">
        <v>45864</v>
      </c>
      <c r="C655">
        <v>2025</v>
      </c>
      <c r="D655">
        <v>7</v>
      </c>
      <c r="E655" t="s">
        <v>93</v>
      </c>
      <c r="F655" t="s">
        <v>47</v>
      </c>
      <c r="G655" t="s">
        <v>48</v>
      </c>
      <c r="H655" t="s">
        <v>12</v>
      </c>
      <c r="I655" t="s">
        <v>1026</v>
      </c>
      <c r="J655" t="s">
        <v>466</v>
      </c>
      <c r="K655" t="s">
        <v>70</v>
      </c>
      <c r="L655" t="s">
        <v>16</v>
      </c>
      <c r="M655" t="s">
        <v>10</v>
      </c>
    </row>
    <row r="656" spans="1:13">
      <c r="A656" t="s">
        <v>1681</v>
      </c>
      <c r="B656" s="2">
        <v>45874</v>
      </c>
      <c r="C656">
        <v>2025</v>
      </c>
      <c r="D656">
        <v>8</v>
      </c>
      <c r="E656" t="s">
        <v>101</v>
      </c>
      <c r="F656" t="s">
        <v>54</v>
      </c>
      <c r="G656" t="s">
        <v>74</v>
      </c>
      <c r="H656" t="s">
        <v>12</v>
      </c>
      <c r="I656" t="s">
        <v>1026</v>
      </c>
      <c r="J656" t="s">
        <v>470</v>
      </c>
      <c r="K656" t="s">
        <v>70</v>
      </c>
      <c r="L656" t="s">
        <v>36</v>
      </c>
      <c r="M656" t="s">
        <v>10</v>
      </c>
    </row>
    <row r="657" spans="1:13">
      <c r="A657" t="s">
        <v>1682</v>
      </c>
      <c r="B657" s="2">
        <v>45873</v>
      </c>
      <c r="C657">
        <v>2025</v>
      </c>
      <c r="D657">
        <v>8</v>
      </c>
      <c r="E657" t="s">
        <v>101</v>
      </c>
      <c r="F657" t="s">
        <v>2</v>
      </c>
      <c r="G657" t="s">
        <v>32</v>
      </c>
      <c r="H657" t="s">
        <v>12</v>
      </c>
      <c r="I657" t="s">
        <v>1023</v>
      </c>
      <c r="J657" t="s">
        <v>1024</v>
      </c>
      <c r="K657" t="s">
        <v>34</v>
      </c>
      <c r="L657" t="s">
        <v>36</v>
      </c>
      <c r="M657" t="s">
        <v>17</v>
      </c>
    </row>
    <row r="658" spans="1:13">
      <c r="A658" t="s">
        <v>1683</v>
      </c>
      <c r="B658" s="2">
        <v>45880</v>
      </c>
      <c r="C658">
        <v>2025</v>
      </c>
      <c r="D658">
        <v>8</v>
      </c>
      <c r="E658" t="s">
        <v>101</v>
      </c>
      <c r="F658" t="s">
        <v>2</v>
      </c>
      <c r="G658" t="s">
        <v>69</v>
      </c>
      <c r="H658" t="s">
        <v>12</v>
      </c>
      <c r="I658" t="s">
        <v>1026</v>
      </c>
      <c r="J658" t="s">
        <v>454</v>
      </c>
      <c r="K658" t="s">
        <v>34</v>
      </c>
      <c r="L658" t="s">
        <v>16</v>
      </c>
      <c r="M658" t="s">
        <v>10</v>
      </c>
    </row>
    <row r="659" spans="1:13">
      <c r="A659" t="s">
        <v>1684</v>
      </c>
      <c r="B659" s="2">
        <v>45892</v>
      </c>
      <c r="C659">
        <v>2025</v>
      </c>
      <c r="D659">
        <v>8</v>
      </c>
      <c r="E659" t="s">
        <v>101</v>
      </c>
      <c r="F659" t="s">
        <v>40</v>
      </c>
      <c r="G659" t="s">
        <v>20</v>
      </c>
      <c r="H659" t="s">
        <v>12</v>
      </c>
      <c r="I659" t="s">
        <v>1029</v>
      </c>
      <c r="J659" t="s">
        <v>462</v>
      </c>
      <c r="K659" t="s">
        <v>50</v>
      </c>
      <c r="L659" t="s">
        <v>9</v>
      </c>
      <c r="M659" t="s">
        <v>10</v>
      </c>
    </row>
    <row r="660" spans="1:13">
      <c r="A660" t="s">
        <v>1685</v>
      </c>
      <c r="B660" s="2">
        <v>45887</v>
      </c>
      <c r="C660">
        <v>2025</v>
      </c>
      <c r="D660">
        <v>8</v>
      </c>
      <c r="E660" t="s">
        <v>101</v>
      </c>
      <c r="F660" t="s">
        <v>67</v>
      </c>
      <c r="G660" t="s">
        <v>32</v>
      </c>
      <c r="H660" t="s">
        <v>33</v>
      </c>
      <c r="I660" t="s">
        <v>1037</v>
      </c>
      <c r="J660" t="s">
        <v>1024</v>
      </c>
      <c r="K660" t="s">
        <v>70</v>
      </c>
      <c r="L660" t="s">
        <v>29</v>
      </c>
      <c r="M660" t="s">
        <v>17</v>
      </c>
    </row>
    <row r="661" spans="1:13">
      <c r="A661" t="s">
        <v>1686</v>
      </c>
      <c r="B661" s="2">
        <v>45887</v>
      </c>
      <c r="C661">
        <v>2025</v>
      </c>
      <c r="D661">
        <v>8</v>
      </c>
      <c r="E661" t="s">
        <v>101</v>
      </c>
      <c r="F661" t="s">
        <v>67</v>
      </c>
      <c r="G661" t="s">
        <v>64</v>
      </c>
      <c r="H661" t="s">
        <v>44</v>
      </c>
      <c r="I661" t="s">
        <v>1026</v>
      </c>
      <c r="J661" t="s">
        <v>460</v>
      </c>
      <c r="K661" t="s">
        <v>34</v>
      </c>
      <c r="L661" t="s">
        <v>9</v>
      </c>
      <c r="M661" t="s">
        <v>10</v>
      </c>
    </row>
    <row r="662" spans="1:13">
      <c r="A662" t="s">
        <v>1687</v>
      </c>
      <c r="B662" s="2">
        <v>45887</v>
      </c>
      <c r="C662">
        <v>2025</v>
      </c>
      <c r="D662">
        <v>8</v>
      </c>
      <c r="E662" t="s">
        <v>101</v>
      </c>
      <c r="F662" t="s">
        <v>19</v>
      </c>
      <c r="G662" t="s">
        <v>94</v>
      </c>
      <c r="H662" t="s">
        <v>33</v>
      </c>
      <c r="I662" t="s">
        <v>1029</v>
      </c>
      <c r="J662" t="s">
        <v>435</v>
      </c>
      <c r="K662" t="s">
        <v>70</v>
      </c>
      <c r="L662" t="s">
        <v>9</v>
      </c>
      <c r="M662" t="s">
        <v>10</v>
      </c>
    </row>
    <row r="663" spans="1:13">
      <c r="A663" t="s">
        <v>1688</v>
      </c>
      <c r="B663" s="2">
        <v>45872</v>
      </c>
      <c r="C663">
        <v>2025</v>
      </c>
      <c r="D663">
        <v>8</v>
      </c>
      <c r="E663" t="s">
        <v>101</v>
      </c>
      <c r="F663" t="s">
        <v>19</v>
      </c>
      <c r="G663" t="s">
        <v>61</v>
      </c>
      <c r="H663" t="s">
        <v>33</v>
      </c>
      <c r="I663" t="s">
        <v>1026</v>
      </c>
      <c r="J663" t="s">
        <v>470</v>
      </c>
      <c r="K663" t="s">
        <v>34</v>
      </c>
      <c r="L663" t="s">
        <v>29</v>
      </c>
      <c r="M663" t="s">
        <v>10</v>
      </c>
    </row>
    <row r="664" spans="1:13">
      <c r="A664" t="s">
        <v>1689</v>
      </c>
      <c r="B664" s="2">
        <v>45880</v>
      </c>
      <c r="C664">
        <v>2025</v>
      </c>
      <c r="D664">
        <v>8</v>
      </c>
      <c r="E664" t="s">
        <v>101</v>
      </c>
      <c r="F664" t="s">
        <v>67</v>
      </c>
      <c r="G664" t="s">
        <v>38</v>
      </c>
      <c r="H664" t="s">
        <v>4</v>
      </c>
      <c r="I664" t="s">
        <v>1029</v>
      </c>
      <c r="J664" t="s">
        <v>464</v>
      </c>
      <c r="K664" t="s">
        <v>50</v>
      </c>
      <c r="L664" t="s">
        <v>9</v>
      </c>
      <c r="M664" t="s">
        <v>10</v>
      </c>
    </row>
    <row r="665" spans="1:13">
      <c r="A665" t="s">
        <v>1690</v>
      </c>
      <c r="B665" s="2">
        <v>45870</v>
      </c>
      <c r="C665">
        <v>2025</v>
      </c>
      <c r="D665">
        <v>8</v>
      </c>
      <c r="E665" t="s">
        <v>101</v>
      </c>
      <c r="F665" t="s">
        <v>78</v>
      </c>
      <c r="G665" t="s">
        <v>20</v>
      </c>
      <c r="H665" t="s">
        <v>44</v>
      </c>
      <c r="I665" t="s">
        <v>1023</v>
      </c>
      <c r="J665" t="s">
        <v>1024</v>
      </c>
      <c r="K665" t="s">
        <v>50</v>
      </c>
      <c r="L665" t="s">
        <v>36</v>
      </c>
      <c r="M665" t="s">
        <v>10</v>
      </c>
    </row>
    <row r="666" spans="1:13">
      <c r="A666" t="s">
        <v>1691</v>
      </c>
      <c r="B666" s="2">
        <v>45881</v>
      </c>
      <c r="C666">
        <v>2025</v>
      </c>
      <c r="D666">
        <v>8</v>
      </c>
      <c r="E666" t="s">
        <v>101</v>
      </c>
      <c r="F666" t="s">
        <v>47</v>
      </c>
      <c r="G666" t="s">
        <v>20</v>
      </c>
      <c r="H666" t="s">
        <v>12</v>
      </c>
      <c r="I666" t="s">
        <v>1023</v>
      </c>
      <c r="J666" t="s">
        <v>1024</v>
      </c>
      <c r="K666" t="s">
        <v>6</v>
      </c>
      <c r="L666" t="s">
        <v>29</v>
      </c>
      <c r="M666" t="s">
        <v>10</v>
      </c>
    </row>
    <row r="667" spans="1:13">
      <c r="A667" t="s">
        <v>1692</v>
      </c>
      <c r="B667" s="2">
        <v>45897</v>
      </c>
      <c r="C667">
        <v>2025</v>
      </c>
      <c r="D667">
        <v>8</v>
      </c>
      <c r="E667" t="s">
        <v>101</v>
      </c>
      <c r="F667" t="s">
        <v>26</v>
      </c>
      <c r="G667" t="s">
        <v>38</v>
      </c>
      <c r="H667" t="s">
        <v>33</v>
      </c>
      <c r="I667" t="s">
        <v>1026</v>
      </c>
      <c r="J667" t="s">
        <v>446</v>
      </c>
      <c r="K667" t="s">
        <v>34</v>
      </c>
      <c r="L667" t="s">
        <v>29</v>
      </c>
      <c r="M667" t="s">
        <v>10</v>
      </c>
    </row>
    <row r="668" spans="1:13">
      <c r="A668" t="s">
        <v>1693</v>
      </c>
      <c r="B668" s="2">
        <v>45897</v>
      </c>
      <c r="C668">
        <v>2025</v>
      </c>
      <c r="D668">
        <v>8</v>
      </c>
      <c r="E668" t="s">
        <v>101</v>
      </c>
      <c r="F668" t="s">
        <v>38</v>
      </c>
      <c r="G668" t="s">
        <v>61</v>
      </c>
      <c r="H668" t="s">
        <v>12</v>
      </c>
      <c r="I668" t="s">
        <v>1029</v>
      </c>
      <c r="J668" t="s">
        <v>84</v>
      </c>
      <c r="K668" t="s">
        <v>34</v>
      </c>
      <c r="L668" t="s">
        <v>29</v>
      </c>
      <c r="M668" t="s">
        <v>10</v>
      </c>
    </row>
    <row r="669" spans="1:13">
      <c r="A669" t="s">
        <v>1694</v>
      </c>
      <c r="B669" s="2">
        <v>45889</v>
      </c>
      <c r="C669">
        <v>2025</v>
      </c>
      <c r="D669">
        <v>8</v>
      </c>
      <c r="E669" t="s">
        <v>101</v>
      </c>
      <c r="F669" t="s">
        <v>67</v>
      </c>
      <c r="G669" t="s">
        <v>64</v>
      </c>
      <c r="H669" t="s">
        <v>4</v>
      </c>
      <c r="I669" t="s">
        <v>1037</v>
      </c>
      <c r="J669" t="s">
        <v>1024</v>
      </c>
      <c r="K669" t="s">
        <v>70</v>
      </c>
      <c r="L669" t="s">
        <v>29</v>
      </c>
      <c r="M669" t="s">
        <v>17</v>
      </c>
    </row>
    <row r="670" spans="1:13">
      <c r="A670" t="s">
        <v>1695</v>
      </c>
      <c r="B670" s="2">
        <v>45884</v>
      </c>
      <c r="C670">
        <v>2025</v>
      </c>
      <c r="D670">
        <v>8</v>
      </c>
      <c r="E670" t="s">
        <v>101</v>
      </c>
      <c r="F670" t="s">
        <v>19</v>
      </c>
      <c r="G670" t="s">
        <v>3</v>
      </c>
      <c r="H670" t="s">
        <v>4</v>
      </c>
      <c r="I670" t="s">
        <v>1037</v>
      </c>
      <c r="J670" t="s">
        <v>1024</v>
      </c>
      <c r="K670" t="s">
        <v>34</v>
      </c>
      <c r="L670" t="s">
        <v>16</v>
      </c>
      <c r="M670" t="s">
        <v>17</v>
      </c>
    </row>
    <row r="671" spans="1:13">
      <c r="A671" t="s">
        <v>1696</v>
      </c>
      <c r="B671" s="2">
        <v>45894</v>
      </c>
      <c r="C671">
        <v>2025</v>
      </c>
      <c r="D671">
        <v>8</v>
      </c>
      <c r="E671" t="s">
        <v>101</v>
      </c>
      <c r="F671" t="s">
        <v>31</v>
      </c>
      <c r="G671" t="s">
        <v>94</v>
      </c>
      <c r="H671" t="s">
        <v>44</v>
      </c>
      <c r="I671" t="s">
        <v>1026</v>
      </c>
      <c r="J671" t="s">
        <v>428</v>
      </c>
      <c r="K671" t="s">
        <v>13</v>
      </c>
      <c r="L671" t="s">
        <v>29</v>
      </c>
      <c r="M671" t="s">
        <v>10</v>
      </c>
    </row>
    <row r="672" spans="1:13">
      <c r="A672" t="s">
        <v>1697</v>
      </c>
      <c r="B672" s="2">
        <v>45877</v>
      </c>
      <c r="C672">
        <v>2025</v>
      </c>
      <c r="D672">
        <v>8</v>
      </c>
      <c r="E672" t="s">
        <v>101</v>
      </c>
      <c r="F672" t="s">
        <v>40</v>
      </c>
      <c r="G672" t="s">
        <v>55</v>
      </c>
      <c r="H672" t="s">
        <v>4</v>
      </c>
      <c r="I672" t="s">
        <v>1029</v>
      </c>
      <c r="J672" t="s">
        <v>452</v>
      </c>
      <c r="K672" t="s">
        <v>70</v>
      </c>
      <c r="L672" t="s">
        <v>29</v>
      </c>
      <c r="M672" t="s">
        <v>10</v>
      </c>
    </row>
    <row r="673" spans="1:13">
      <c r="A673" t="s">
        <v>1698</v>
      </c>
      <c r="B673" s="2">
        <v>45872</v>
      </c>
      <c r="C673">
        <v>2025</v>
      </c>
      <c r="D673">
        <v>8</v>
      </c>
      <c r="E673" t="s">
        <v>101</v>
      </c>
      <c r="F673" t="s">
        <v>78</v>
      </c>
      <c r="G673" t="s">
        <v>3</v>
      </c>
      <c r="H673" t="s">
        <v>33</v>
      </c>
      <c r="I673" t="s">
        <v>1026</v>
      </c>
      <c r="J673" t="s">
        <v>470</v>
      </c>
      <c r="K673" t="s">
        <v>13</v>
      </c>
      <c r="L673" t="s">
        <v>36</v>
      </c>
      <c r="M673" t="s">
        <v>10</v>
      </c>
    </row>
    <row r="674" spans="1:13">
      <c r="A674" t="s">
        <v>1699</v>
      </c>
      <c r="B674" s="2">
        <v>45880</v>
      </c>
      <c r="C674">
        <v>2025</v>
      </c>
      <c r="D674">
        <v>8</v>
      </c>
      <c r="E674" t="s">
        <v>101</v>
      </c>
      <c r="F674" t="s">
        <v>2</v>
      </c>
      <c r="G674" t="s">
        <v>38</v>
      </c>
      <c r="H674" t="s">
        <v>12</v>
      </c>
      <c r="I674" t="s">
        <v>1029</v>
      </c>
      <c r="J674" t="s">
        <v>452</v>
      </c>
      <c r="K674" t="s">
        <v>13</v>
      </c>
      <c r="L674" t="s">
        <v>29</v>
      </c>
      <c r="M674" t="s">
        <v>10</v>
      </c>
    </row>
    <row r="675" spans="1:13">
      <c r="A675" t="s">
        <v>1700</v>
      </c>
      <c r="B675" s="2">
        <v>45876</v>
      </c>
      <c r="C675">
        <v>2025</v>
      </c>
      <c r="D675">
        <v>8</v>
      </c>
      <c r="E675" t="s">
        <v>101</v>
      </c>
      <c r="F675" t="s">
        <v>2</v>
      </c>
      <c r="G675" t="s">
        <v>74</v>
      </c>
      <c r="H675" t="s">
        <v>12</v>
      </c>
      <c r="I675" t="s">
        <v>1026</v>
      </c>
      <c r="J675" t="s">
        <v>470</v>
      </c>
      <c r="K675" t="s">
        <v>34</v>
      </c>
      <c r="L675" t="s">
        <v>16</v>
      </c>
      <c r="M675" t="s">
        <v>10</v>
      </c>
    </row>
    <row r="676" spans="1:13">
      <c r="A676" t="s">
        <v>1701</v>
      </c>
      <c r="B676" s="2">
        <v>45874</v>
      </c>
      <c r="C676">
        <v>2025</v>
      </c>
      <c r="D676">
        <v>8</v>
      </c>
      <c r="E676" t="s">
        <v>101</v>
      </c>
      <c r="F676" t="s">
        <v>31</v>
      </c>
      <c r="G676" t="s">
        <v>94</v>
      </c>
      <c r="H676" t="s">
        <v>33</v>
      </c>
      <c r="I676" t="s">
        <v>1026</v>
      </c>
      <c r="J676" t="s">
        <v>428</v>
      </c>
      <c r="K676" t="s">
        <v>70</v>
      </c>
      <c r="L676" t="s">
        <v>9</v>
      </c>
      <c r="M676" t="s">
        <v>10</v>
      </c>
    </row>
    <row r="677" spans="1:13">
      <c r="A677" t="s">
        <v>1702</v>
      </c>
      <c r="B677" s="2">
        <v>45883</v>
      </c>
      <c r="C677">
        <v>2025</v>
      </c>
      <c r="D677">
        <v>8</v>
      </c>
      <c r="E677" t="s">
        <v>101</v>
      </c>
      <c r="F677" t="s">
        <v>38</v>
      </c>
      <c r="G677" t="s">
        <v>3</v>
      </c>
      <c r="H677" t="s">
        <v>33</v>
      </c>
      <c r="I677" t="s">
        <v>1026</v>
      </c>
      <c r="J677" t="s">
        <v>428</v>
      </c>
      <c r="K677" t="s">
        <v>13</v>
      </c>
      <c r="L677" t="s">
        <v>16</v>
      </c>
      <c r="M677" t="s">
        <v>10</v>
      </c>
    </row>
    <row r="678" spans="1:13">
      <c r="A678" t="s">
        <v>1703</v>
      </c>
      <c r="B678" s="2">
        <v>45875</v>
      </c>
      <c r="C678">
        <v>2025</v>
      </c>
      <c r="D678">
        <v>8</v>
      </c>
      <c r="E678" t="s">
        <v>101</v>
      </c>
      <c r="F678" t="s">
        <v>38</v>
      </c>
      <c r="G678" t="s">
        <v>20</v>
      </c>
      <c r="H678" t="s">
        <v>44</v>
      </c>
      <c r="I678" t="s">
        <v>1023</v>
      </c>
      <c r="J678" t="s">
        <v>1024</v>
      </c>
      <c r="K678" t="s">
        <v>50</v>
      </c>
      <c r="L678" t="s">
        <v>29</v>
      </c>
      <c r="M678" t="s">
        <v>17</v>
      </c>
    </row>
    <row r="679" spans="1:13">
      <c r="A679" t="s">
        <v>1704</v>
      </c>
      <c r="B679" s="2">
        <v>45871</v>
      </c>
      <c r="C679">
        <v>2025</v>
      </c>
      <c r="D679">
        <v>8</v>
      </c>
      <c r="E679" t="s">
        <v>101</v>
      </c>
      <c r="F679" t="s">
        <v>40</v>
      </c>
      <c r="G679" t="s">
        <v>27</v>
      </c>
      <c r="H679" t="s">
        <v>44</v>
      </c>
      <c r="I679" t="s">
        <v>1029</v>
      </c>
      <c r="J679" t="s">
        <v>438</v>
      </c>
      <c r="K679" t="s">
        <v>50</v>
      </c>
      <c r="L679" t="s">
        <v>36</v>
      </c>
      <c r="M679" t="s">
        <v>10</v>
      </c>
    </row>
    <row r="680" spans="1:13">
      <c r="A680" t="s">
        <v>1705</v>
      </c>
      <c r="B680" s="2">
        <v>45892</v>
      </c>
      <c r="C680">
        <v>2025</v>
      </c>
      <c r="D680">
        <v>8</v>
      </c>
      <c r="E680" t="s">
        <v>101</v>
      </c>
      <c r="F680" t="s">
        <v>26</v>
      </c>
      <c r="G680" t="s">
        <v>94</v>
      </c>
      <c r="H680" t="s">
        <v>4</v>
      </c>
      <c r="I680" t="s">
        <v>1037</v>
      </c>
      <c r="J680" t="s">
        <v>1024</v>
      </c>
      <c r="K680" t="s">
        <v>6</v>
      </c>
      <c r="L680" t="s">
        <v>36</v>
      </c>
      <c r="M680" t="s">
        <v>10</v>
      </c>
    </row>
    <row r="681" spans="1:13">
      <c r="A681" t="s">
        <v>1706</v>
      </c>
      <c r="B681" s="2">
        <v>45892</v>
      </c>
      <c r="C681">
        <v>2025</v>
      </c>
      <c r="D681">
        <v>8</v>
      </c>
      <c r="E681" t="s">
        <v>101</v>
      </c>
      <c r="F681" t="s">
        <v>2</v>
      </c>
      <c r="G681" t="s">
        <v>61</v>
      </c>
      <c r="H681" t="s">
        <v>44</v>
      </c>
      <c r="I681" t="s">
        <v>1026</v>
      </c>
      <c r="J681" t="s">
        <v>460</v>
      </c>
      <c r="K681" t="s">
        <v>6</v>
      </c>
      <c r="L681" t="s">
        <v>9</v>
      </c>
      <c r="M681" t="s">
        <v>10</v>
      </c>
    </row>
    <row r="682" spans="1:13">
      <c r="A682" t="s">
        <v>1707</v>
      </c>
      <c r="B682" s="2">
        <v>45894</v>
      </c>
      <c r="C682">
        <v>2025</v>
      </c>
      <c r="D682">
        <v>8</v>
      </c>
      <c r="E682" t="s">
        <v>101</v>
      </c>
      <c r="F682" t="s">
        <v>38</v>
      </c>
      <c r="G682" t="s">
        <v>48</v>
      </c>
      <c r="H682" t="s">
        <v>4</v>
      </c>
      <c r="I682" t="s">
        <v>1026</v>
      </c>
      <c r="J682" t="s">
        <v>454</v>
      </c>
      <c r="K682" t="s">
        <v>50</v>
      </c>
      <c r="L682" t="s">
        <v>29</v>
      </c>
      <c r="M682" t="s">
        <v>17</v>
      </c>
    </row>
    <row r="683" spans="1:13">
      <c r="A683" t="s">
        <v>1708</v>
      </c>
      <c r="B683" s="2">
        <v>45897</v>
      </c>
      <c r="C683">
        <v>2025</v>
      </c>
      <c r="D683">
        <v>8</v>
      </c>
      <c r="E683" t="s">
        <v>101</v>
      </c>
      <c r="F683" t="s">
        <v>2</v>
      </c>
      <c r="G683" t="s">
        <v>32</v>
      </c>
      <c r="H683" t="s">
        <v>33</v>
      </c>
      <c r="I683" t="s">
        <v>1026</v>
      </c>
      <c r="J683" t="s">
        <v>466</v>
      </c>
      <c r="K683" t="s">
        <v>50</v>
      </c>
      <c r="L683" t="s">
        <v>36</v>
      </c>
      <c r="M683" t="s">
        <v>17</v>
      </c>
    </row>
    <row r="684" spans="1:13">
      <c r="A684" t="s">
        <v>1709</v>
      </c>
      <c r="B684" s="2">
        <v>45874</v>
      </c>
      <c r="C684">
        <v>2025</v>
      </c>
      <c r="D684">
        <v>8</v>
      </c>
      <c r="E684" t="s">
        <v>101</v>
      </c>
      <c r="F684" t="s">
        <v>78</v>
      </c>
      <c r="G684" t="s">
        <v>69</v>
      </c>
      <c r="H684" t="s">
        <v>44</v>
      </c>
      <c r="I684" t="s">
        <v>1026</v>
      </c>
      <c r="J684" t="s">
        <v>494</v>
      </c>
      <c r="K684" t="s">
        <v>34</v>
      </c>
      <c r="L684" t="s">
        <v>29</v>
      </c>
      <c r="M684" t="s">
        <v>17</v>
      </c>
    </row>
    <row r="685" spans="1:13">
      <c r="A685" t="s">
        <v>1710</v>
      </c>
      <c r="B685" s="2">
        <v>45873</v>
      </c>
      <c r="C685">
        <v>2025</v>
      </c>
      <c r="D685">
        <v>8</v>
      </c>
      <c r="E685" t="s">
        <v>101</v>
      </c>
      <c r="F685" t="s">
        <v>19</v>
      </c>
      <c r="G685" t="s">
        <v>27</v>
      </c>
      <c r="H685" t="s">
        <v>33</v>
      </c>
      <c r="I685" t="s">
        <v>1029</v>
      </c>
      <c r="J685" t="s">
        <v>464</v>
      </c>
      <c r="K685" t="s">
        <v>13</v>
      </c>
      <c r="L685" t="s">
        <v>36</v>
      </c>
      <c r="M685" t="s">
        <v>10</v>
      </c>
    </row>
    <row r="686" spans="1:13">
      <c r="A686" t="s">
        <v>1711</v>
      </c>
      <c r="B686" s="2">
        <v>45872</v>
      </c>
      <c r="C686">
        <v>2025</v>
      </c>
      <c r="D686">
        <v>8</v>
      </c>
      <c r="E686" t="s">
        <v>101</v>
      </c>
      <c r="F686" t="s">
        <v>31</v>
      </c>
      <c r="G686" t="s">
        <v>32</v>
      </c>
      <c r="H686" t="s">
        <v>4</v>
      </c>
      <c r="I686" t="s">
        <v>1026</v>
      </c>
      <c r="J686" t="s">
        <v>470</v>
      </c>
      <c r="K686" t="s">
        <v>13</v>
      </c>
      <c r="L686" t="s">
        <v>9</v>
      </c>
      <c r="M686" t="s">
        <v>10</v>
      </c>
    </row>
    <row r="687" spans="1:13">
      <c r="A687" t="s">
        <v>1712</v>
      </c>
      <c r="B687" s="2">
        <v>45891</v>
      </c>
      <c r="C687">
        <v>2025</v>
      </c>
      <c r="D687">
        <v>8</v>
      </c>
      <c r="E687" t="s">
        <v>101</v>
      </c>
      <c r="F687" t="s">
        <v>40</v>
      </c>
      <c r="G687" t="s">
        <v>61</v>
      </c>
      <c r="H687" t="s">
        <v>4</v>
      </c>
      <c r="I687" t="s">
        <v>1029</v>
      </c>
      <c r="J687" t="s">
        <v>435</v>
      </c>
      <c r="K687" t="s">
        <v>6</v>
      </c>
      <c r="L687" t="s">
        <v>16</v>
      </c>
      <c r="M687" t="s">
        <v>10</v>
      </c>
    </row>
    <row r="688" spans="1:13">
      <c r="A688" t="s">
        <v>1713</v>
      </c>
      <c r="B688" s="2">
        <v>45884</v>
      </c>
      <c r="C688">
        <v>2025</v>
      </c>
      <c r="D688">
        <v>8</v>
      </c>
      <c r="E688" t="s">
        <v>101</v>
      </c>
      <c r="F688" t="s">
        <v>38</v>
      </c>
      <c r="G688" t="s">
        <v>3</v>
      </c>
      <c r="H688" t="s">
        <v>4</v>
      </c>
      <c r="I688" t="s">
        <v>1026</v>
      </c>
      <c r="J688" t="s">
        <v>470</v>
      </c>
      <c r="K688" t="s">
        <v>70</v>
      </c>
      <c r="L688" t="s">
        <v>16</v>
      </c>
      <c r="M688" t="s">
        <v>10</v>
      </c>
    </row>
    <row r="689" spans="1:13">
      <c r="A689" t="s">
        <v>1714</v>
      </c>
      <c r="B689" s="2">
        <v>45873</v>
      </c>
      <c r="C689">
        <v>2025</v>
      </c>
      <c r="D689">
        <v>8</v>
      </c>
      <c r="E689" t="s">
        <v>101</v>
      </c>
      <c r="F689" t="s">
        <v>47</v>
      </c>
      <c r="G689" t="s">
        <v>64</v>
      </c>
      <c r="H689" t="s">
        <v>44</v>
      </c>
      <c r="I689" t="s">
        <v>1029</v>
      </c>
      <c r="J689" t="s">
        <v>473</v>
      </c>
      <c r="K689" t="s">
        <v>34</v>
      </c>
      <c r="L689" t="s">
        <v>36</v>
      </c>
      <c r="M689" t="s">
        <v>10</v>
      </c>
    </row>
    <row r="690" spans="1:13">
      <c r="A690" t="s">
        <v>1715</v>
      </c>
      <c r="B690" s="2">
        <v>45878</v>
      </c>
      <c r="C690">
        <v>2025</v>
      </c>
      <c r="D690">
        <v>8</v>
      </c>
      <c r="E690" t="s">
        <v>101</v>
      </c>
      <c r="F690" t="s">
        <v>19</v>
      </c>
      <c r="G690" t="s">
        <v>38</v>
      </c>
      <c r="H690" t="s">
        <v>33</v>
      </c>
      <c r="I690" t="s">
        <v>1026</v>
      </c>
      <c r="J690" t="s">
        <v>460</v>
      </c>
      <c r="K690" t="s">
        <v>70</v>
      </c>
      <c r="L690" t="s">
        <v>9</v>
      </c>
      <c r="M690" t="s">
        <v>10</v>
      </c>
    </row>
    <row r="691" spans="1:13">
      <c r="A691" t="s">
        <v>1716</v>
      </c>
      <c r="B691" s="2">
        <v>45875</v>
      </c>
      <c r="C691">
        <v>2025</v>
      </c>
      <c r="D691">
        <v>8</v>
      </c>
      <c r="E691" t="s">
        <v>101</v>
      </c>
      <c r="F691" t="s">
        <v>2</v>
      </c>
      <c r="G691" t="s">
        <v>94</v>
      </c>
      <c r="H691" t="s">
        <v>44</v>
      </c>
      <c r="I691" t="s">
        <v>1029</v>
      </c>
      <c r="J691" t="s">
        <v>473</v>
      </c>
      <c r="K691" t="s">
        <v>70</v>
      </c>
      <c r="L691" t="s">
        <v>9</v>
      </c>
      <c r="M691" t="s">
        <v>17</v>
      </c>
    </row>
    <row r="692" spans="1:13">
      <c r="A692" t="s">
        <v>1717</v>
      </c>
      <c r="B692" s="2">
        <v>45879</v>
      </c>
      <c r="C692">
        <v>2025</v>
      </c>
      <c r="D692">
        <v>8</v>
      </c>
      <c r="E692" t="s">
        <v>101</v>
      </c>
      <c r="F692" t="s">
        <v>67</v>
      </c>
      <c r="G692" t="s">
        <v>48</v>
      </c>
      <c r="H692" t="s">
        <v>4</v>
      </c>
      <c r="I692" t="s">
        <v>1037</v>
      </c>
      <c r="J692" t="s">
        <v>1024</v>
      </c>
      <c r="K692" t="s">
        <v>50</v>
      </c>
      <c r="L692" t="s">
        <v>16</v>
      </c>
      <c r="M692" t="s">
        <v>10</v>
      </c>
    </row>
    <row r="693" spans="1:13">
      <c r="A693" t="s">
        <v>1718</v>
      </c>
      <c r="B693" s="2">
        <v>45890</v>
      </c>
      <c r="C693">
        <v>2025</v>
      </c>
      <c r="D693">
        <v>8</v>
      </c>
      <c r="E693" t="s">
        <v>101</v>
      </c>
      <c r="F693" t="s">
        <v>38</v>
      </c>
      <c r="G693" t="s">
        <v>27</v>
      </c>
      <c r="H693" t="s">
        <v>33</v>
      </c>
      <c r="I693" t="s">
        <v>1023</v>
      </c>
      <c r="J693" t="s">
        <v>1024</v>
      </c>
      <c r="K693" t="s">
        <v>13</v>
      </c>
      <c r="L693" t="s">
        <v>16</v>
      </c>
      <c r="M693" t="s">
        <v>10</v>
      </c>
    </row>
    <row r="694" spans="1:13">
      <c r="A694" t="s">
        <v>1719</v>
      </c>
      <c r="B694" s="2">
        <v>45885</v>
      </c>
      <c r="C694">
        <v>2025</v>
      </c>
      <c r="D694">
        <v>8</v>
      </c>
      <c r="E694" t="s">
        <v>101</v>
      </c>
      <c r="F694" t="s">
        <v>31</v>
      </c>
      <c r="G694" t="s">
        <v>27</v>
      </c>
      <c r="H694" t="s">
        <v>44</v>
      </c>
      <c r="I694" t="s">
        <v>1023</v>
      </c>
      <c r="J694" t="s">
        <v>1024</v>
      </c>
      <c r="K694" t="s">
        <v>34</v>
      </c>
      <c r="L694" t="s">
        <v>16</v>
      </c>
      <c r="M694" t="s">
        <v>10</v>
      </c>
    </row>
    <row r="695" spans="1:13">
      <c r="A695" t="s">
        <v>1720</v>
      </c>
      <c r="B695" s="2">
        <v>45874</v>
      </c>
      <c r="C695">
        <v>2025</v>
      </c>
      <c r="D695">
        <v>8</v>
      </c>
      <c r="E695" t="s">
        <v>101</v>
      </c>
      <c r="F695" t="s">
        <v>26</v>
      </c>
      <c r="G695" t="s">
        <v>27</v>
      </c>
      <c r="H695" t="s">
        <v>4</v>
      </c>
      <c r="I695" t="s">
        <v>1029</v>
      </c>
      <c r="J695" t="s">
        <v>442</v>
      </c>
      <c r="K695" t="s">
        <v>70</v>
      </c>
      <c r="L695" t="s">
        <v>16</v>
      </c>
      <c r="M695" t="s">
        <v>10</v>
      </c>
    </row>
    <row r="696" spans="1:13">
      <c r="A696" t="s">
        <v>1721</v>
      </c>
      <c r="B696" s="2">
        <v>45882</v>
      </c>
      <c r="C696">
        <v>2025</v>
      </c>
      <c r="D696">
        <v>8</v>
      </c>
      <c r="E696" t="s">
        <v>101</v>
      </c>
      <c r="F696" t="s">
        <v>2</v>
      </c>
      <c r="G696" t="s">
        <v>32</v>
      </c>
      <c r="H696" t="s">
        <v>12</v>
      </c>
      <c r="I696" t="s">
        <v>1026</v>
      </c>
      <c r="J696" t="s">
        <v>428</v>
      </c>
      <c r="K696" t="s">
        <v>34</v>
      </c>
      <c r="L696" t="s">
        <v>29</v>
      </c>
      <c r="M696" t="s">
        <v>10</v>
      </c>
    </row>
    <row r="697" spans="1:13">
      <c r="A697" t="s">
        <v>1722</v>
      </c>
      <c r="B697" s="2">
        <v>45880</v>
      </c>
      <c r="C697">
        <v>2025</v>
      </c>
      <c r="D697">
        <v>8</v>
      </c>
      <c r="E697" t="s">
        <v>101</v>
      </c>
      <c r="F697" t="s">
        <v>40</v>
      </c>
      <c r="G697" t="s">
        <v>48</v>
      </c>
      <c r="H697" t="s">
        <v>4</v>
      </c>
      <c r="I697" t="s">
        <v>1026</v>
      </c>
      <c r="J697" t="s">
        <v>454</v>
      </c>
      <c r="K697" t="s">
        <v>6</v>
      </c>
      <c r="L697" t="s">
        <v>16</v>
      </c>
      <c r="M697" t="s">
        <v>10</v>
      </c>
    </row>
    <row r="698" spans="1:13">
      <c r="A698" t="s">
        <v>1723</v>
      </c>
      <c r="B698" s="2">
        <v>45903</v>
      </c>
      <c r="C698">
        <v>2025</v>
      </c>
      <c r="D698">
        <v>9</v>
      </c>
      <c r="E698" t="s">
        <v>105</v>
      </c>
      <c r="F698" t="s">
        <v>2</v>
      </c>
      <c r="G698" t="s">
        <v>27</v>
      </c>
      <c r="H698" t="s">
        <v>12</v>
      </c>
      <c r="I698" t="s">
        <v>1026</v>
      </c>
      <c r="J698" t="s">
        <v>444</v>
      </c>
      <c r="K698" t="s">
        <v>6</v>
      </c>
      <c r="L698" t="s">
        <v>16</v>
      </c>
      <c r="M698" t="s">
        <v>10</v>
      </c>
    </row>
    <row r="699" spans="1:13">
      <c r="A699" t="s">
        <v>1724</v>
      </c>
      <c r="B699" s="2">
        <v>45916</v>
      </c>
      <c r="C699">
        <v>2025</v>
      </c>
      <c r="D699">
        <v>9</v>
      </c>
      <c r="E699" t="s">
        <v>105</v>
      </c>
      <c r="F699" t="s">
        <v>31</v>
      </c>
      <c r="G699" t="s">
        <v>32</v>
      </c>
      <c r="H699" t="s">
        <v>12</v>
      </c>
      <c r="I699" t="s">
        <v>1029</v>
      </c>
      <c r="J699" t="s">
        <v>84</v>
      </c>
      <c r="K699" t="s">
        <v>70</v>
      </c>
      <c r="L699" t="s">
        <v>29</v>
      </c>
      <c r="M699" t="s">
        <v>10</v>
      </c>
    </row>
    <row r="700" spans="1:13">
      <c r="A700" t="s">
        <v>1725</v>
      </c>
      <c r="B700" s="2">
        <v>45907</v>
      </c>
      <c r="C700">
        <v>2025</v>
      </c>
      <c r="D700">
        <v>9</v>
      </c>
      <c r="E700" t="s">
        <v>105</v>
      </c>
      <c r="F700" t="s">
        <v>78</v>
      </c>
      <c r="G700" t="s">
        <v>61</v>
      </c>
      <c r="H700" t="s">
        <v>12</v>
      </c>
      <c r="I700" t="s">
        <v>1023</v>
      </c>
      <c r="J700" t="s">
        <v>1024</v>
      </c>
      <c r="K700" t="s">
        <v>34</v>
      </c>
      <c r="L700" t="s">
        <v>16</v>
      </c>
      <c r="M700" t="s">
        <v>10</v>
      </c>
    </row>
    <row r="701" spans="1:13">
      <c r="A701" t="s">
        <v>1726</v>
      </c>
      <c r="B701" s="2">
        <v>45913</v>
      </c>
      <c r="C701">
        <v>2025</v>
      </c>
      <c r="D701">
        <v>9</v>
      </c>
      <c r="E701" t="s">
        <v>105</v>
      </c>
      <c r="F701" t="s">
        <v>2</v>
      </c>
      <c r="G701" t="s">
        <v>69</v>
      </c>
      <c r="H701" t="s">
        <v>12</v>
      </c>
      <c r="I701" t="s">
        <v>1023</v>
      </c>
      <c r="J701" t="s">
        <v>1024</v>
      </c>
      <c r="K701" t="s">
        <v>70</v>
      </c>
      <c r="L701" t="s">
        <v>16</v>
      </c>
      <c r="M701" t="s">
        <v>10</v>
      </c>
    </row>
    <row r="702" spans="1:13">
      <c r="A702" t="s">
        <v>1727</v>
      </c>
      <c r="B702" s="2">
        <v>45913</v>
      </c>
      <c r="C702">
        <v>2025</v>
      </c>
      <c r="D702">
        <v>9</v>
      </c>
      <c r="E702" t="s">
        <v>105</v>
      </c>
      <c r="F702" t="s">
        <v>47</v>
      </c>
      <c r="G702" t="s">
        <v>38</v>
      </c>
      <c r="H702" t="s">
        <v>33</v>
      </c>
      <c r="I702" t="s">
        <v>1029</v>
      </c>
      <c r="J702" t="s">
        <v>84</v>
      </c>
      <c r="K702" t="s">
        <v>34</v>
      </c>
      <c r="L702" t="s">
        <v>29</v>
      </c>
      <c r="M702" t="s">
        <v>10</v>
      </c>
    </row>
    <row r="703" spans="1:13">
      <c r="A703" t="s">
        <v>1728</v>
      </c>
      <c r="B703" s="2">
        <v>45910</v>
      </c>
      <c r="C703">
        <v>2025</v>
      </c>
      <c r="D703">
        <v>9</v>
      </c>
      <c r="E703" t="s">
        <v>105</v>
      </c>
      <c r="F703" t="s">
        <v>38</v>
      </c>
      <c r="G703" t="s">
        <v>61</v>
      </c>
      <c r="H703" t="s">
        <v>44</v>
      </c>
      <c r="I703" t="s">
        <v>1026</v>
      </c>
      <c r="J703" t="s">
        <v>454</v>
      </c>
      <c r="K703" t="s">
        <v>34</v>
      </c>
      <c r="L703" t="s">
        <v>36</v>
      </c>
      <c r="M703" t="s">
        <v>10</v>
      </c>
    </row>
    <row r="704" spans="1:13">
      <c r="A704" t="s">
        <v>1729</v>
      </c>
      <c r="B704" s="2">
        <v>45918</v>
      </c>
      <c r="C704">
        <v>2025</v>
      </c>
      <c r="D704">
        <v>9</v>
      </c>
      <c r="E704" t="s">
        <v>105</v>
      </c>
      <c r="F704" t="s">
        <v>47</v>
      </c>
      <c r="G704" t="s">
        <v>38</v>
      </c>
      <c r="H704" t="s">
        <v>33</v>
      </c>
      <c r="I704" t="s">
        <v>1026</v>
      </c>
      <c r="J704" t="s">
        <v>428</v>
      </c>
      <c r="K704" t="s">
        <v>70</v>
      </c>
      <c r="L704" t="s">
        <v>9</v>
      </c>
      <c r="M704" t="s">
        <v>10</v>
      </c>
    </row>
    <row r="705" spans="1:13">
      <c r="A705" t="s">
        <v>1730</v>
      </c>
      <c r="B705" s="2">
        <v>45909</v>
      </c>
      <c r="C705">
        <v>2025</v>
      </c>
      <c r="D705">
        <v>9</v>
      </c>
      <c r="E705" t="s">
        <v>105</v>
      </c>
      <c r="F705" t="s">
        <v>19</v>
      </c>
      <c r="G705" t="s">
        <v>32</v>
      </c>
      <c r="H705" t="s">
        <v>12</v>
      </c>
      <c r="I705" t="s">
        <v>1026</v>
      </c>
      <c r="J705" t="s">
        <v>460</v>
      </c>
      <c r="K705" t="s">
        <v>13</v>
      </c>
      <c r="L705" t="s">
        <v>36</v>
      </c>
      <c r="M705" t="s">
        <v>10</v>
      </c>
    </row>
    <row r="706" spans="1:13">
      <c r="A706" t="s">
        <v>1731</v>
      </c>
      <c r="B706" s="2">
        <v>45908</v>
      </c>
      <c r="C706">
        <v>2025</v>
      </c>
      <c r="D706">
        <v>9</v>
      </c>
      <c r="E706" t="s">
        <v>105</v>
      </c>
      <c r="F706" t="s">
        <v>2</v>
      </c>
      <c r="G706" t="s">
        <v>48</v>
      </c>
      <c r="H706" t="s">
        <v>4</v>
      </c>
      <c r="I706" t="s">
        <v>1029</v>
      </c>
      <c r="J706" t="s">
        <v>84</v>
      </c>
      <c r="K706" t="s">
        <v>13</v>
      </c>
      <c r="L706" t="s">
        <v>16</v>
      </c>
      <c r="M706" t="s">
        <v>10</v>
      </c>
    </row>
    <row r="707" spans="1:13">
      <c r="A707" t="s">
        <v>1732</v>
      </c>
      <c r="B707" s="2">
        <v>45928</v>
      </c>
      <c r="C707">
        <v>2025</v>
      </c>
      <c r="D707">
        <v>9</v>
      </c>
      <c r="E707" t="s">
        <v>105</v>
      </c>
      <c r="F707" t="s">
        <v>38</v>
      </c>
      <c r="G707" t="s">
        <v>20</v>
      </c>
      <c r="H707" t="s">
        <v>4</v>
      </c>
      <c r="I707" t="s">
        <v>1029</v>
      </c>
      <c r="J707" t="s">
        <v>84</v>
      </c>
      <c r="K707" t="s">
        <v>70</v>
      </c>
      <c r="L707" t="s">
        <v>9</v>
      </c>
      <c r="M707" t="s">
        <v>10</v>
      </c>
    </row>
    <row r="708" spans="1:13">
      <c r="A708" t="s">
        <v>1733</v>
      </c>
      <c r="B708" s="2">
        <v>45921</v>
      </c>
      <c r="C708">
        <v>2025</v>
      </c>
      <c r="D708">
        <v>9</v>
      </c>
      <c r="E708" t="s">
        <v>105</v>
      </c>
      <c r="F708" t="s">
        <v>19</v>
      </c>
      <c r="G708" t="s">
        <v>48</v>
      </c>
      <c r="H708" t="s">
        <v>33</v>
      </c>
      <c r="I708" t="s">
        <v>1023</v>
      </c>
      <c r="J708" t="s">
        <v>1024</v>
      </c>
      <c r="K708" t="s">
        <v>34</v>
      </c>
      <c r="L708" t="s">
        <v>9</v>
      </c>
      <c r="M708" t="s">
        <v>10</v>
      </c>
    </row>
    <row r="709" spans="1:13">
      <c r="A709" t="s">
        <v>1734</v>
      </c>
      <c r="B709" s="2">
        <v>45909</v>
      </c>
      <c r="C709">
        <v>2025</v>
      </c>
      <c r="D709">
        <v>9</v>
      </c>
      <c r="E709" t="s">
        <v>105</v>
      </c>
      <c r="F709" t="s">
        <v>31</v>
      </c>
      <c r="G709" t="s">
        <v>38</v>
      </c>
      <c r="H709" t="s">
        <v>4</v>
      </c>
      <c r="I709" t="s">
        <v>1026</v>
      </c>
      <c r="J709" t="s">
        <v>470</v>
      </c>
      <c r="K709" t="s">
        <v>13</v>
      </c>
      <c r="L709" t="s">
        <v>29</v>
      </c>
      <c r="M709" t="s">
        <v>10</v>
      </c>
    </row>
    <row r="710" spans="1:13">
      <c r="A710" t="s">
        <v>1735</v>
      </c>
      <c r="B710" s="2">
        <v>45917</v>
      </c>
      <c r="C710">
        <v>2025</v>
      </c>
      <c r="D710">
        <v>9</v>
      </c>
      <c r="E710" t="s">
        <v>105</v>
      </c>
      <c r="F710" t="s">
        <v>47</v>
      </c>
      <c r="G710" t="s">
        <v>32</v>
      </c>
      <c r="H710" t="s">
        <v>4</v>
      </c>
      <c r="I710" t="s">
        <v>1026</v>
      </c>
      <c r="J710" t="s">
        <v>494</v>
      </c>
      <c r="K710" t="s">
        <v>6</v>
      </c>
      <c r="L710" t="s">
        <v>29</v>
      </c>
      <c r="M710" t="s">
        <v>10</v>
      </c>
    </row>
    <row r="711" spans="1:13">
      <c r="A711" t="s">
        <v>1736</v>
      </c>
      <c r="B711" s="2">
        <v>45901</v>
      </c>
      <c r="C711">
        <v>2025</v>
      </c>
      <c r="D711">
        <v>9</v>
      </c>
      <c r="E711" t="s">
        <v>105</v>
      </c>
      <c r="F711" t="s">
        <v>26</v>
      </c>
      <c r="G711" t="s">
        <v>61</v>
      </c>
      <c r="H711" t="s">
        <v>33</v>
      </c>
      <c r="I711" t="s">
        <v>1023</v>
      </c>
      <c r="J711" t="s">
        <v>1024</v>
      </c>
      <c r="K711" t="s">
        <v>34</v>
      </c>
      <c r="L711" t="s">
        <v>9</v>
      </c>
      <c r="M711" t="s">
        <v>10</v>
      </c>
    </row>
    <row r="712" spans="1:13">
      <c r="A712" t="s">
        <v>1737</v>
      </c>
      <c r="B712" s="2">
        <v>45922</v>
      </c>
      <c r="C712">
        <v>2025</v>
      </c>
      <c r="D712">
        <v>9</v>
      </c>
      <c r="E712" t="s">
        <v>105</v>
      </c>
      <c r="F712" t="s">
        <v>19</v>
      </c>
      <c r="G712" t="s">
        <v>69</v>
      </c>
      <c r="H712" t="s">
        <v>12</v>
      </c>
      <c r="I712" t="s">
        <v>1029</v>
      </c>
      <c r="J712" t="s">
        <v>431</v>
      </c>
      <c r="K712" t="s">
        <v>13</v>
      </c>
      <c r="L712" t="s">
        <v>16</v>
      </c>
      <c r="M712" t="s">
        <v>10</v>
      </c>
    </row>
    <row r="713" spans="1:13">
      <c r="A713" t="s">
        <v>1738</v>
      </c>
      <c r="B713" s="2">
        <v>45914</v>
      </c>
      <c r="C713">
        <v>2025</v>
      </c>
      <c r="D713">
        <v>9</v>
      </c>
      <c r="E713" t="s">
        <v>105</v>
      </c>
      <c r="F713" t="s">
        <v>54</v>
      </c>
      <c r="G713" t="s">
        <v>74</v>
      </c>
      <c r="H713" t="s">
        <v>12</v>
      </c>
      <c r="I713" t="s">
        <v>1037</v>
      </c>
      <c r="J713" t="s">
        <v>1024</v>
      </c>
      <c r="K713" t="s">
        <v>50</v>
      </c>
      <c r="L713" t="s">
        <v>9</v>
      </c>
      <c r="M713" t="s">
        <v>10</v>
      </c>
    </row>
    <row r="714" spans="1:13">
      <c r="A714" t="s">
        <v>1739</v>
      </c>
      <c r="B714" s="2">
        <v>45905</v>
      </c>
      <c r="C714">
        <v>2025</v>
      </c>
      <c r="D714">
        <v>9</v>
      </c>
      <c r="E714" t="s">
        <v>105</v>
      </c>
      <c r="F714" t="s">
        <v>54</v>
      </c>
      <c r="G714" t="s">
        <v>94</v>
      </c>
      <c r="H714" t="s">
        <v>44</v>
      </c>
      <c r="I714" t="s">
        <v>1029</v>
      </c>
      <c r="J714" t="s">
        <v>473</v>
      </c>
      <c r="K714" t="s">
        <v>70</v>
      </c>
      <c r="L714" t="s">
        <v>9</v>
      </c>
      <c r="M714" t="s">
        <v>17</v>
      </c>
    </row>
    <row r="715" spans="1:13">
      <c r="A715" t="s">
        <v>1740</v>
      </c>
      <c r="B715" s="2">
        <v>45919</v>
      </c>
      <c r="C715">
        <v>2025</v>
      </c>
      <c r="D715">
        <v>9</v>
      </c>
      <c r="E715" t="s">
        <v>105</v>
      </c>
      <c r="F715" t="s">
        <v>78</v>
      </c>
      <c r="G715" t="s">
        <v>69</v>
      </c>
      <c r="H715" t="s">
        <v>44</v>
      </c>
      <c r="I715" t="s">
        <v>1023</v>
      </c>
      <c r="J715" t="s">
        <v>1024</v>
      </c>
      <c r="K715" t="s">
        <v>34</v>
      </c>
      <c r="L715" t="s">
        <v>16</v>
      </c>
      <c r="M715" t="s">
        <v>10</v>
      </c>
    </row>
    <row r="716" spans="1:13">
      <c r="A716" t="s">
        <v>1741</v>
      </c>
      <c r="B716" s="2">
        <v>45914</v>
      </c>
      <c r="C716">
        <v>2025</v>
      </c>
      <c r="D716">
        <v>9</v>
      </c>
      <c r="E716" t="s">
        <v>105</v>
      </c>
      <c r="F716" t="s">
        <v>31</v>
      </c>
      <c r="G716" t="s">
        <v>3</v>
      </c>
      <c r="H716" t="s">
        <v>12</v>
      </c>
      <c r="I716" t="s">
        <v>1023</v>
      </c>
      <c r="J716" t="s">
        <v>1024</v>
      </c>
      <c r="K716" t="s">
        <v>50</v>
      </c>
      <c r="L716" t="s">
        <v>29</v>
      </c>
      <c r="M716" t="s">
        <v>10</v>
      </c>
    </row>
    <row r="717" spans="1:13">
      <c r="A717" t="s">
        <v>1742</v>
      </c>
      <c r="B717" s="2">
        <v>45911</v>
      </c>
      <c r="C717">
        <v>2025</v>
      </c>
      <c r="D717">
        <v>9</v>
      </c>
      <c r="E717" t="s">
        <v>105</v>
      </c>
      <c r="F717" t="s">
        <v>19</v>
      </c>
      <c r="G717" t="s">
        <v>3</v>
      </c>
      <c r="H717" t="s">
        <v>33</v>
      </c>
      <c r="I717" t="s">
        <v>1037</v>
      </c>
      <c r="J717" t="s">
        <v>1024</v>
      </c>
      <c r="K717" t="s">
        <v>50</v>
      </c>
      <c r="L717" t="s">
        <v>16</v>
      </c>
      <c r="M717" t="s">
        <v>10</v>
      </c>
    </row>
    <row r="718" spans="1:13">
      <c r="A718" t="s">
        <v>1743</v>
      </c>
      <c r="B718" s="2">
        <v>45908</v>
      </c>
      <c r="C718">
        <v>2025</v>
      </c>
      <c r="D718">
        <v>9</v>
      </c>
      <c r="E718" t="s">
        <v>105</v>
      </c>
      <c r="F718" t="s">
        <v>26</v>
      </c>
      <c r="G718" t="s">
        <v>20</v>
      </c>
      <c r="H718" t="s">
        <v>44</v>
      </c>
      <c r="I718" t="s">
        <v>1026</v>
      </c>
      <c r="J718" t="s">
        <v>446</v>
      </c>
      <c r="K718" t="s">
        <v>13</v>
      </c>
      <c r="L718" t="s">
        <v>9</v>
      </c>
      <c r="M718" t="s">
        <v>17</v>
      </c>
    </row>
    <row r="719" spans="1:13">
      <c r="A719" t="s">
        <v>1744</v>
      </c>
      <c r="B719" s="2">
        <v>45928</v>
      </c>
      <c r="C719">
        <v>2025</v>
      </c>
      <c r="D719">
        <v>9</v>
      </c>
      <c r="E719" t="s">
        <v>105</v>
      </c>
      <c r="F719" t="s">
        <v>19</v>
      </c>
      <c r="G719" t="s">
        <v>48</v>
      </c>
      <c r="H719" t="s">
        <v>33</v>
      </c>
      <c r="I719" t="s">
        <v>1029</v>
      </c>
      <c r="J719" t="s">
        <v>464</v>
      </c>
      <c r="K719" t="s">
        <v>6</v>
      </c>
      <c r="L719" t="s">
        <v>29</v>
      </c>
      <c r="M719" t="s">
        <v>10</v>
      </c>
    </row>
    <row r="720" spans="1:13">
      <c r="A720" t="s">
        <v>1745</v>
      </c>
      <c r="B720" s="2">
        <v>45917</v>
      </c>
      <c r="C720">
        <v>2025</v>
      </c>
      <c r="D720">
        <v>9</v>
      </c>
      <c r="E720" t="s">
        <v>105</v>
      </c>
      <c r="F720" t="s">
        <v>40</v>
      </c>
      <c r="G720" t="s">
        <v>55</v>
      </c>
      <c r="H720" t="s">
        <v>44</v>
      </c>
      <c r="I720" t="s">
        <v>1037</v>
      </c>
      <c r="J720" t="s">
        <v>1024</v>
      </c>
      <c r="K720" t="s">
        <v>6</v>
      </c>
      <c r="L720" t="s">
        <v>16</v>
      </c>
      <c r="M720" t="s">
        <v>10</v>
      </c>
    </row>
    <row r="721" spans="1:13">
      <c r="A721" t="s">
        <v>1746</v>
      </c>
      <c r="B721" s="2">
        <v>45913</v>
      </c>
      <c r="C721">
        <v>2025</v>
      </c>
      <c r="D721">
        <v>9</v>
      </c>
      <c r="E721" t="s">
        <v>105</v>
      </c>
      <c r="F721" t="s">
        <v>78</v>
      </c>
      <c r="G721" t="s">
        <v>3</v>
      </c>
      <c r="H721" t="s">
        <v>12</v>
      </c>
      <c r="I721" t="s">
        <v>1037</v>
      </c>
      <c r="J721" t="s">
        <v>1024</v>
      </c>
      <c r="K721" t="s">
        <v>6</v>
      </c>
      <c r="L721" t="s">
        <v>9</v>
      </c>
      <c r="M721" t="s">
        <v>10</v>
      </c>
    </row>
    <row r="722" spans="1:13">
      <c r="A722" t="s">
        <v>1747</v>
      </c>
      <c r="B722" s="2">
        <v>45920</v>
      </c>
      <c r="C722">
        <v>2025</v>
      </c>
      <c r="D722">
        <v>9</v>
      </c>
      <c r="E722" t="s">
        <v>105</v>
      </c>
      <c r="F722" t="s">
        <v>67</v>
      </c>
      <c r="G722" t="s">
        <v>64</v>
      </c>
      <c r="H722" t="s">
        <v>12</v>
      </c>
      <c r="I722" t="s">
        <v>1029</v>
      </c>
      <c r="J722" t="s">
        <v>442</v>
      </c>
      <c r="K722" t="s">
        <v>34</v>
      </c>
      <c r="L722" t="s">
        <v>9</v>
      </c>
      <c r="M722" t="s">
        <v>10</v>
      </c>
    </row>
    <row r="723" spans="1:13">
      <c r="A723" t="s">
        <v>1748</v>
      </c>
      <c r="B723" s="2">
        <v>45921</v>
      </c>
      <c r="C723">
        <v>2025</v>
      </c>
      <c r="D723">
        <v>9</v>
      </c>
      <c r="E723" t="s">
        <v>105</v>
      </c>
      <c r="F723" t="s">
        <v>67</v>
      </c>
      <c r="G723" t="s">
        <v>20</v>
      </c>
      <c r="H723" t="s">
        <v>33</v>
      </c>
      <c r="I723" t="s">
        <v>1026</v>
      </c>
      <c r="J723" t="s">
        <v>454</v>
      </c>
      <c r="K723" t="s">
        <v>50</v>
      </c>
      <c r="L723" t="s">
        <v>16</v>
      </c>
      <c r="M723" t="s">
        <v>10</v>
      </c>
    </row>
    <row r="724" spans="1:13">
      <c r="A724" t="s">
        <v>1749</v>
      </c>
      <c r="B724" s="2">
        <v>45909</v>
      </c>
      <c r="C724">
        <v>2025</v>
      </c>
      <c r="D724">
        <v>9</v>
      </c>
      <c r="E724" t="s">
        <v>105</v>
      </c>
      <c r="F724" t="s">
        <v>26</v>
      </c>
      <c r="G724" t="s">
        <v>48</v>
      </c>
      <c r="H724" t="s">
        <v>44</v>
      </c>
      <c r="I724" t="s">
        <v>1023</v>
      </c>
      <c r="J724" t="s">
        <v>1024</v>
      </c>
      <c r="K724" t="s">
        <v>34</v>
      </c>
      <c r="L724" t="s">
        <v>36</v>
      </c>
      <c r="M724" t="s">
        <v>10</v>
      </c>
    </row>
    <row r="725" spans="1:13">
      <c r="A725" t="s">
        <v>1750</v>
      </c>
      <c r="B725" s="2">
        <v>45907</v>
      </c>
      <c r="C725">
        <v>2025</v>
      </c>
      <c r="D725">
        <v>9</v>
      </c>
      <c r="E725" t="s">
        <v>105</v>
      </c>
      <c r="F725" t="s">
        <v>40</v>
      </c>
      <c r="G725" t="s">
        <v>69</v>
      </c>
      <c r="H725" t="s">
        <v>12</v>
      </c>
      <c r="I725" t="s">
        <v>1029</v>
      </c>
      <c r="J725" t="s">
        <v>464</v>
      </c>
      <c r="K725" t="s">
        <v>13</v>
      </c>
      <c r="L725" t="s">
        <v>29</v>
      </c>
      <c r="M725" t="s">
        <v>17</v>
      </c>
    </row>
    <row r="726" spans="1:13">
      <c r="A726" t="s">
        <v>1751</v>
      </c>
      <c r="B726" s="2">
        <v>45902</v>
      </c>
      <c r="C726">
        <v>2025</v>
      </c>
      <c r="D726">
        <v>9</v>
      </c>
      <c r="E726" t="s">
        <v>105</v>
      </c>
      <c r="F726" t="s">
        <v>40</v>
      </c>
      <c r="G726" t="s">
        <v>69</v>
      </c>
      <c r="H726" t="s">
        <v>44</v>
      </c>
      <c r="I726" t="s">
        <v>1029</v>
      </c>
      <c r="J726" t="s">
        <v>462</v>
      </c>
      <c r="K726" t="s">
        <v>34</v>
      </c>
      <c r="L726" t="s">
        <v>29</v>
      </c>
      <c r="M726" t="s">
        <v>10</v>
      </c>
    </row>
    <row r="727" spans="1:13">
      <c r="A727" t="s">
        <v>1752</v>
      </c>
      <c r="B727" s="2">
        <v>45908</v>
      </c>
      <c r="C727">
        <v>2025</v>
      </c>
      <c r="D727">
        <v>9</v>
      </c>
      <c r="E727" t="s">
        <v>105</v>
      </c>
      <c r="F727" t="s">
        <v>67</v>
      </c>
      <c r="G727" t="s">
        <v>32</v>
      </c>
      <c r="H727" t="s">
        <v>12</v>
      </c>
      <c r="I727" t="s">
        <v>1023</v>
      </c>
      <c r="J727" t="s">
        <v>1024</v>
      </c>
      <c r="K727" t="s">
        <v>70</v>
      </c>
      <c r="L727" t="s">
        <v>29</v>
      </c>
      <c r="M727" t="s">
        <v>10</v>
      </c>
    </row>
    <row r="728" spans="1:13">
      <c r="A728" t="s">
        <v>1753</v>
      </c>
      <c r="B728" s="2">
        <v>45924</v>
      </c>
      <c r="C728">
        <v>2025</v>
      </c>
      <c r="D728">
        <v>9</v>
      </c>
      <c r="E728" t="s">
        <v>105</v>
      </c>
      <c r="F728" t="s">
        <v>38</v>
      </c>
      <c r="G728" t="s">
        <v>32</v>
      </c>
      <c r="H728" t="s">
        <v>12</v>
      </c>
      <c r="I728" t="s">
        <v>1026</v>
      </c>
      <c r="J728" t="s">
        <v>494</v>
      </c>
      <c r="K728" t="s">
        <v>50</v>
      </c>
      <c r="L728" t="s">
        <v>29</v>
      </c>
      <c r="M728" t="s">
        <v>17</v>
      </c>
    </row>
    <row r="729" spans="1:13">
      <c r="A729" t="s">
        <v>1754</v>
      </c>
      <c r="B729" s="2">
        <v>45907</v>
      </c>
      <c r="C729">
        <v>2025</v>
      </c>
      <c r="D729">
        <v>9</v>
      </c>
      <c r="E729" t="s">
        <v>105</v>
      </c>
      <c r="F729" t="s">
        <v>31</v>
      </c>
      <c r="G729" t="s">
        <v>61</v>
      </c>
      <c r="H729" t="s">
        <v>12</v>
      </c>
      <c r="I729" t="s">
        <v>1029</v>
      </c>
      <c r="J729" t="s">
        <v>464</v>
      </c>
      <c r="K729" t="s">
        <v>34</v>
      </c>
      <c r="L729" t="s">
        <v>9</v>
      </c>
      <c r="M729" t="s">
        <v>10</v>
      </c>
    </row>
    <row r="730" spans="1:13">
      <c r="A730" t="s">
        <v>1755</v>
      </c>
      <c r="B730" s="2">
        <v>45908</v>
      </c>
      <c r="C730">
        <v>2025</v>
      </c>
      <c r="D730">
        <v>9</v>
      </c>
      <c r="E730" t="s">
        <v>105</v>
      </c>
      <c r="F730" t="s">
        <v>40</v>
      </c>
      <c r="G730" t="s">
        <v>3</v>
      </c>
      <c r="H730" t="s">
        <v>4</v>
      </c>
      <c r="I730" t="s">
        <v>1029</v>
      </c>
      <c r="J730" t="s">
        <v>464</v>
      </c>
      <c r="K730" t="s">
        <v>6</v>
      </c>
      <c r="L730" t="s">
        <v>36</v>
      </c>
      <c r="M730" t="s">
        <v>17</v>
      </c>
    </row>
    <row r="731" spans="1:13">
      <c r="A731" t="s">
        <v>1756</v>
      </c>
      <c r="B731" s="2">
        <v>45904</v>
      </c>
      <c r="C731">
        <v>2025</v>
      </c>
      <c r="D731">
        <v>9</v>
      </c>
      <c r="E731" t="s">
        <v>105</v>
      </c>
      <c r="F731" t="s">
        <v>78</v>
      </c>
      <c r="G731" t="s">
        <v>69</v>
      </c>
      <c r="H731" t="s">
        <v>44</v>
      </c>
      <c r="I731" t="s">
        <v>1029</v>
      </c>
      <c r="J731" t="s">
        <v>442</v>
      </c>
      <c r="K731" t="s">
        <v>6</v>
      </c>
      <c r="L731" t="s">
        <v>9</v>
      </c>
      <c r="M731" t="s">
        <v>17</v>
      </c>
    </row>
    <row r="732" spans="1:13">
      <c r="A732" t="s">
        <v>1757</v>
      </c>
      <c r="B732" s="2">
        <v>45905</v>
      </c>
      <c r="C732">
        <v>2025</v>
      </c>
      <c r="D732">
        <v>9</v>
      </c>
      <c r="E732" t="s">
        <v>105</v>
      </c>
      <c r="F732" t="s">
        <v>47</v>
      </c>
      <c r="G732" t="s">
        <v>94</v>
      </c>
      <c r="H732" t="s">
        <v>44</v>
      </c>
      <c r="I732" t="s">
        <v>1029</v>
      </c>
      <c r="J732" t="s">
        <v>84</v>
      </c>
      <c r="K732" t="s">
        <v>13</v>
      </c>
      <c r="L732" t="s">
        <v>16</v>
      </c>
      <c r="M732" t="s">
        <v>10</v>
      </c>
    </row>
    <row r="733" spans="1:13">
      <c r="A733" t="s">
        <v>1758</v>
      </c>
      <c r="B733" s="2">
        <v>45917</v>
      </c>
      <c r="C733">
        <v>2025</v>
      </c>
      <c r="D733">
        <v>9</v>
      </c>
      <c r="E733" t="s">
        <v>105</v>
      </c>
      <c r="F733" t="s">
        <v>78</v>
      </c>
      <c r="G733" t="s">
        <v>27</v>
      </c>
      <c r="H733" t="s">
        <v>12</v>
      </c>
      <c r="I733" t="s">
        <v>1026</v>
      </c>
      <c r="J733" t="s">
        <v>519</v>
      </c>
      <c r="K733" t="s">
        <v>50</v>
      </c>
      <c r="L733" t="s">
        <v>9</v>
      </c>
      <c r="M733" t="s">
        <v>10</v>
      </c>
    </row>
    <row r="734" spans="1:13">
      <c r="A734" t="s">
        <v>1759</v>
      </c>
      <c r="B734" s="2">
        <v>45902</v>
      </c>
      <c r="C734">
        <v>2025</v>
      </c>
      <c r="D734">
        <v>9</v>
      </c>
      <c r="E734" t="s">
        <v>105</v>
      </c>
      <c r="F734" t="s">
        <v>31</v>
      </c>
      <c r="G734" t="s">
        <v>48</v>
      </c>
      <c r="H734" t="s">
        <v>44</v>
      </c>
      <c r="I734" t="s">
        <v>1029</v>
      </c>
      <c r="J734" t="s">
        <v>440</v>
      </c>
      <c r="K734" t="s">
        <v>6</v>
      </c>
      <c r="L734" t="s">
        <v>16</v>
      </c>
      <c r="M734" t="s">
        <v>17</v>
      </c>
    </row>
    <row r="735" spans="1:13">
      <c r="A735" t="s">
        <v>1760</v>
      </c>
      <c r="B735" s="2">
        <v>45918</v>
      </c>
      <c r="C735">
        <v>2025</v>
      </c>
      <c r="D735">
        <v>9</v>
      </c>
      <c r="E735" t="s">
        <v>105</v>
      </c>
      <c r="F735" t="s">
        <v>47</v>
      </c>
      <c r="G735" t="s">
        <v>32</v>
      </c>
      <c r="H735" t="s">
        <v>4</v>
      </c>
      <c r="I735" t="s">
        <v>1026</v>
      </c>
      <c r="J735" t="s">
        <v>494</v>
      </c>
      <c r="K735" t="s">
        <v>50</v>
      </c>
      <c r="L735" t="s">
        <v>36</v>
      </c>
      <c r="M735" t="s">
        <v>17</v>
      </c>
    </row>
    <row r="736" spans="1:13">
      <c r="A736" t="s">
        <v>1761</v>
      </c>
      <c r="B736" s="2">
        <v>45923</v>
      </c>
      <c r="C736">
        <v>2025</v>
      </c>
      <c r="D736">
        <v>9</v>
      </c>
      <c r="E736" t="s">
        <v>105</v>
      </c>
      <c r="F736" t="s">
        <v>40</v>
      </c>
      <c r="G736" t="s">
        <v>74</v>
      </c>
      <c r="H736" t="s">
        <v>12</v>
      </c>
      <c r="I736" t="s">
        <v>1026</v>
      </c>
      <c r="J736" t="s">
        <v>470</v>
      </c>
      <c r="K736" t="s">
        <v>50</v>
      </c>
      <c r="L736" t="s">
        <v>9</v>
      </c>
      <c r="M736" t="s">
        <v>10</v>
      </c>
    </row>
    <row r="737" spans="1:13">
      <c r="A737" t="s">
        <v>1762</v>
      </c>
      <c r="B737" s="2">
        <v>45928</v>
      </c>
      <c r="C737">
        <v>2025</v>
      </c>
      <c r="D737">
        <v>9</v>
      </c>
      <c r="E737" t="s">
        <v>105</v>
      </c>
      <c r="F737" t="s">
        <v>47</v>
      </c>
      <c r="G737" t="s">
        <v>20</v>
      </c>
      <c r="H737" t="s">
        <v>4</v>
      </c>
      <c r="I737" t="s">
        <v>1023</v>
      </c>
      <c r="J737" t="s">
        <v>1024</v>
      </c>
      <c r="K737" t="s">
        <v>13</v>
      </c>
      <c r="L737" t="s">
        <v>36</v>
      </c>
      <c r="M737" t="s">
        <v>10</v>
      </c>
    </row>
    <row r="738" spans="1:13">
      <c r="A738" t="s">
        <v>1763</v>
      </c>
      <c r="B738" s="2">
        <v>45910</v>
      </c>
      <c r="C738">
        <v>2025</v>
      </c>
      <c r="D738">
        <v>9</v>
      </c>
      <c r="E738" t="s">
        <v>105</v>
      </c>
      <c r="F738" t="s">
        <v>54</v>
      </c>
      <c r="G738" t="s">
        <v>74</v>
      </c>
      <c r="H738" t="s">
        <v>33</v>
      </c>
      <c r="I738" t="s">
        <v>1026</v>
      </c>
      <c r="J738" t="s">
        <v>494</v>
      </c>
      <c r="K738" t="s">
        <v>70</v>
      </c>
      <c r="L738" t="s">
        <v>29</v>
      </c>
      <c r="M738" t="s">
        <v>10</v>
      </c>
    </row>
    <row r="739" spans="1:13">
      <c r="A739" t="s">
        <v>1764</v>
      </c>
      <c r="B739" s="2">
        <v>45922</v>
      </c>
      <c r="C739">
        <v>2025</v>
      </c>
      <c r="D739">
        <v>9</v>
      </c>
      <c r="E739" t="s">
        <v>105</v>
      </c>
      <c r="F739" t="s">
        <v>19</v>
      </c>
      <c r="G739" t="s">
        <v>61</v>
      </c>
      <c r="H739" t="s">
        <v>12</v>
      </c>
      <c r="I739" t="s">
        <v>1029</v>
      </c>
      <c r="J739" t="s">
        <v>442</v>
      </c>
      <c r="K739" t="s">
        <v>34</v>
      </c>
      <c r="L739" t="s">
        <v>9</v>
      </c>
      <c r="M739" t="s">
        <v>10</v>
      </c>
    </row>
    <row r="740" spans="1:13">
      <c r="A740" t="s">
        <v>1765</v>
      </c>
      <c r="B740" s="2">
        <v>45924</v>
      </c>
      <c r="C740">
        <v>2025</v>
      </c>
      <c r="D740">
        <v>9</v>
      </c>
      <c r="E740" t="s">
        <v>105</v>
      </c>
      <c r="F740" t="s">
        <v>78</v>
      </c>
      <c r="G740" t="s">
        <v>64</v>
      </c>
      <c r="H740" t="s">
        <v>12</v>
      </c>
      <c r="I740" t="s">
        <v>1023</v>
      </c>
      <c r="J740" t="s">
        <v>1024</v>
      </c>
      <c r="K740" t="s">
        <v>50</v>
      </c>
      <c r="L740" t="s">
        <v>9</v>
      </c>
      <c r="M740" t="s">
        <v>17</v>
      </c>
    </row>
    <row r="741" spans="1:13">
      <c r="A741" t="s">
        <v>1766</v>
      </c>
      <c r="B741" s="2">
        <v>45903</v>
      </c>
      <c r="C741">
        <v>2025</v>
      </c>
      <c r="D741">
        <v>9</v>
      </c>
      <c r="E741" t="s">
        <v>105</v>
      </c>
      <c r="F741" t="s">
        <v>40</v>
      </c>
      <c r="G741" t="s">
        <v>94</v>
      </c>
      <c r="H741" t="s">
        <v>4</v>
      </c>
      <c r="I741" t="s">
        <v>1037</v>
      </c>
      <c r="J741" t="s">
        <v>1024</v>
      </c>
      <c r="K741" t="s">
        <v>6</v>
      </c>
      <c r="L741" t="s">
        <v>16</v>
      </c>
      <c r="M741" t="s">
        <v>17</v>
      </c>
    </row>
    <row r="742" spans="1:13">
      <c r="A742" t="s">
        <v>1767</v>
      </c>
      <c r="B742" s="2">
        <v>45912</v>
      </c>
      <c r="C742">
        <v>2025</v>
      </c>
      <c r="D742">
        <v>9</v>
      </c>
      <c r="E742" t="s">
        <v>105</v>
      </c>
      <c r="F742" t="s">
        <v>78</v>
      </c>
      <c r="G742" t="s">
        <v>48</v>
      </c>
      <c r="H742" t="s">
        <v>4</v>
      </c>
      <c r="I742" t="s">
        <v>1026</v>
      </c>
      <c r="J742" t="s">
        <v>428</v>
      </c>
      <c r="K742" t="s">
        <v>34</v>
      </c>
      <c r="L742" t="s">
        <v>29</v>
      </c>
      <c r="M742" t="s">
        <v>10</v>
      </c>
    </row>
    <row r="743" spans="1:13">
      <c r="A743" t="s">
        <v>1768</v>
      </c>
      <c r="B743" s="2">
        <v>45921</v>
      </c>
      <c r="C743">
        <v>2025</v>
      </c>
      <c r="D743">
        <v>9</v>
      </c>
      <c r="E743" t="s">
        <v>105</v>
      </c>
      <c r="F743" t="s">
        <v>67</v>
      </c>
      <c r="G743" t="s">
        <v>55</v>
      </c>
      <c r="H743" t="s">
        <v>44</v>
      </c>
      <c r="I743" t="s">
        <v>1026</v>
      </c>
      <c r="J743" t="s">
        <v>466</v>
      </c>
      <c r="K743" t="s">
        <v>50</v>
      </c>
      <c r="L743" t="s">
        <v>9</v>
      </c>
      <c r="M743" t="s">
        <v>10</v>
      </c>
    </row>
    <row r="744" spans="1:13">
      <c r="A744" t="s">
        <v>1769</v>
      </c>
      <c r="B744" s="2">
        <v>45908</v>
      </c>
      <c r="C744">
        <v>2025</v>
      </c>
      <c r="D744">
        <v>9</v>
      </c>
      <c r="E744" t="s">
        <v>105</v>
      </c>
      <c r="F744" t="s">
        <v>31</v>
      </c>
      <c r="G744" t="s">
        <v>20</v>
      </c>
      <c r="H744" t="s">
        <v>12</v>
      </c>
      <c r="I744" t="s">
        <v>1029</v>
      </c>
      <c r="J744" t="s">
        <v>84</v>
      </c>
      <c r="K744" t="s">
        <v>70</v>
      </c>
      <c r="L744" t="s">
        <v>16</v>
      </c>
      <c r="M744" t="s">
        <v>10</v>
      </c>
    </row>
    <row r="745" spans="1:13">
      <c r="A745" t="s">
        <v>1770</v>
      </c>
      <c r="B745" s="2">
        <v>45914</v>
      </c>
      <c r="C745">
        <v>2025</v>
      </c>
      <c r="D745">
        <v>9</v>
      </c>
      <c r="E745" t="s">
        <v>105</v>
      </c>
      <c r="F745" t="s">
        <v>31</v>
      </c>
      <c r="G745" t="s">
        <v>27</v>
      </c>
      <c r="H745" t="s">
        <v>12</v>
      </c>
      <c r="I745" t="s">
        <v>1029</v>
      </c>
      <c r="J745" t="s">
        <v>440</v>
      </c>
      <c r="K745" t="s">
        <v>13</v>
      </c>
      <c r="L745" t="s">
        <v>29</v>
      </c>
      <c r="M745" t="s">
        <v>10</v>
      </c>
    </row>
    <row r="746" spans="1:13">
      <c r="A746" t="s">
        <v>1771</v>
      </c>
      <c r="B746" s="2">
        <v>45903</v>
      </c>
      <c r="C746">
        <v>2025</v>
      </c>
      <c r="D746">
        <v>9</v>
      </c>
      <c r="E746" t="s">
        <v>105</v>
      </c>
      <c r="F746" t="s">
        <v>67</v>
      </c>
      <c r="G746" t="s">
        <v>61</v>
      </c>
      <c r="H746" t="s">
        <v>4</v>
      </c>
      <c r="I746" t="s">
        <v>1026</v>
      </c>
      <c r="J746" t="s">
        <v>519</v>
      </c>
      <c r="K746" t="s">
        <v>13</v>
      </c>
      <c r="L746" t="s">
        <v>16</v>
      </c>
      <c r="M746" t="s">
        <v>10</v>
      </c>
    </row>
    <row r="747" spans="1:13">
      <c r="A747" t="s">
        <v>1772</v>
      </c>
      <c r="B747" s="2">
        <v>45917</v>
      </c>
      <c r="C747">
        <v>2025</v>
      </c>
      <c r="D747">
        <v>9</v>
      </c>
      <c r="E747" t="s">
        <v>105</v>
      </c>
      <c r="F747" t="s">
        <v>67</v>
      </c>
      <c r="G747" t="s">
        <v>94</v>
      </c>
      <c r="H747" t="s">
        <v>12</v>
      </c>
      <c r="I747" t="s">
        <v>1026</v>
      </c>
      <c r="J747" t="s">
        <v>466</v>
      </c>
      <c r="K747" t="s">
        <v>6</v>
      </c>
      <c r="L747" t="s">
        <v>29</v>
      </c>
      <c r="M747" t="s">
        <v>10</v>
      </c>
    </row>
    <row r="748" spans="1:13">
      <c r="A748" t="s">
        <v>1773</v>
      </c>
      <c r="B748" s="2">
        <v>45901</v>
      </c>
      <c r="C748">
        <v>2025</v>
      </c>
      <c r="D748">
        <v>9</v>
      </c>
      <c r="E748" t="s">
        <v>105</v>
      </c>
      <c r="F748" t="s">
        <v>38</v>
      </c>
      <c r="G748" t="s">
        <v>48</v>
      </c>
      <c r="H748" t="s">
        <v>12</v>
      </c>
      <c r="I748" t="s">
        <v>1029</v>
      </c>
      <c r="J748" t="s">
        <v>84</v>
      </c>
      <c r="K748" t="s">
        <v>6</v>
      </c>
      <c r="L748" t="s">
        <v>36</v>
      </c>
      <c r="M748" t="s">
        <v>10</v>
      </c>
    </row>
    <row r="749" spans="1:13">
      <c r="A749" t="s">
        <v>1774</v>
      </c>
      <c r="B749" s="2">
        <v>45901</v>
      </c>
      <c r="C749">
        <v>2025</v>
      </c>
      <c r="D749">
        <v>9</v>
      </c>
      <c r="E749" t="s">
        <v>105</v>
      </c>
      <c r="F749" t="s">
        <v>47</v>
      </c>
      <c r="G749" t="s">
        <v>55</v>
      </c>
      <c r="H749" t="s">
        <v>4</v>
      </c>
      <c r="I749" t="s">
        <v>1037</v>
      </c>
      <c r="J749" t="s">
        <v>1024</v>
      </c>
      <c r="K749" t="s">
        <v>34</v>
      </c>
      <c r="L749" t="s">
        <v>16</v>
      </c>
      <c r="M749" t="s">
        <v>10</v>
      </c>
    </row>
    <row r="750" spans="1:13">
      <c r="A750" t="s">
        <v>1775</v>
      </c>
      <c r="B750" s="2">
        <v>45901</v>
      </c>
      <c r="C750">
        <v>2025</v>
      </c>
      <c r="D750">
        <v>9</v>
      </c>
      <c r="E750" t="s">
        <v>105</v>
      </c>
      <c r="F750" t="s">
        <v>40</v>
      </c>
      <c r="G750" t="s">
        <v>27</v>
      </c>
      <c r="H750" t="s">
        <v>44</v>
      </c>
      <c r="I750" t="s">
        <v>1026</v>
      </c>
      <c r="J750" t="s">
        <v>494</v>
      </c>
      <c r="K750" t="s">
        <v>6</v>
      </c>
      <c r="L750" t="s">
        <v>29</v>
      </c>
      <c r="M750" t="s">
        <v>10</v>
      </c>
    </row>
    <row r="751" spans="1:13">
      <c r="A751" t="s">
        <v>1776</v>
      </c>
      <c r="B751" s="2">
        <v>45935</v>
      </c>
      <c r="C751">
        <v>2025</v>
      </c>
      <c r="D751">
        <v>10</v>
      </c>
      <c r="E751" t="s">
        <v>113</v>
      </c>
      <c r="F751" t="s">
        <v>31</v>
      </c>
      <c r="G751" t="s">
        <v>32</v>
      </c>
      <c r="H751" t="s">
        <v>33</v>
      </c>
      <c r="I751" t="s">
        <v>1026</v>
      </c>
      <c r="J751" t="s">
        <v>519</v>
      </c>
      <c r="K751" t="s">
        <v>70</v>
      </c>
      <c r="L751" t="s">
        <v>9</v>
      </c>
      <c r="M751" t="s">
        <v>17</v>
      </c>
    </row>
    <row r="752" spans="1:13">
      <c r="A752" t="s">
        <v>1777</v>
      </c>
      <c r="B752" s="2">
        <v>45955</v>
      </c>
      <c r="C752">
        <v>2025</v>
      </c>
      <c r="D752">
        <v>10</v>
      </c>
      <c r="E752" t="s">
        <v>113</v>
      </c>
      <c r="F752" t="s">
        <v>26</v>
      </c>
      <c r="G752" t="s">
        <v>74</v>
      </c>
      <c r="H752" t="s">
        <v>4</v>
      </c>
      <c r="I752" t="s">
        <v>1023</v>
      </c>
      <c r="J752" t="s">
        <v>1024</v>
      </c>
      <c r="K752" t="s">
        <v>13</v>
      </c>
      <c r="L752" t="s">
        <v>9</v>
      </c>
      <c r="M752" t="s">
        <v>10</v>
      </c>
    </row>
    <row r="753" spans="1:13">
      <c r="A753" t="s">
        <v>1778</v>
      </c>
      <c r="B753" s="2">
        <v>45939</v>
      </c>
      <c r="C753">
        <v>2025</v>
      </c>
      <c r="D753">
        <v>10</v>
      </c>
      <c r="E753" t="s">
        <v>113</v>
      </c>
      <c r="F753" t="s">
        <v>26</v>
      </c>
      <c r="G753" t="s">
        <v>69</v>
      </c>
      <c r="H753" t="s">
        <v>12</v>
      </c>
      <c r="I753" t="s">
        <v>1029</v>
      </c>
      <c r="J753" t="s">
        <v>440</v>
      </c>
      <c r="K753" t="s">
        <v>70</v>
      </c>
      <c r="L753" t="s">
        <v>29</v>
      </c>
      <c r="M753" t="s">
        <v>10</v>
      </c>
    </row>
    <row r="754" spans="1:13">
      <c r="A754" t="s">
        <v>1779</v>
      </c>
      <c r="B754" s="2">
        <v>45938</v>
      </c>
      <c r="C754">
        <v>2025</v>
      </c>
      <c r="D754">
        <v>10</v>
      </c>
      <c r="E754" t="s">
        <v>113</v>
      </c>
      <c r="F754" t="s">
        <v>19</v>
      </c>
      <c r="G754" t="s">
        <v>27</v>
      </c>
      <c r="H754" t="s">
        <v>44</v>
      </c>
      <c r="I754" t="s">
        <v>1029</v>
      </c>
      <c r="J754" t="s">
        <v>442</v>
      </c>
      <c r="K754" t="s">
        <v>70</v>
      </c>
      <c r="L754" t="s">
        <v>9</v>
      </c>
      <c r="M754" t="s">
        <v>17</v>
      </c>
    </row>
    <row r="755" spans="1:13">
      <c r="A755" t="s">
        <v>1780</v>
      </c>
      <c r="B755" s="2">
        <v>45933</v>
      </c>
      <c r="C755">
        <v>2025</v>
      </c>
      <c r="D755">
        <v>10</v>
      </c>
      <c r="E755" t="s">
        <v>113</v>
      </c>
      <c r="F755" t="s">
        <v>47</v>
      </c>
      <c r="G755" t="s">
        <v>20</v>
      </c>
      <c r="H755" t="s">
        <v>12</v>
      </c>
      <c r="I755" t="s">
        <v>1029</v>
      </c>
      <c r="J755" t="s">
        <v>464</v>
      </c>
      <c r="K755" t="s">
        <v>13</v>
      </c>
      <c r="L755" t="s">
        <v>16</v>
      </c>
      <c r="M755" t="s">
        <v>10</v>
      </c>
    </row>
    <row r="756" spans="1:13">
      <c r="A756" t="s">
        <v>1781</v>
      </c>
      <c r="B756" s="2">
        <v>45945</v>
      </c>
      <c r="C756">
        <v>2025</v>
      </c>
      <c r="D756">
        <v>10</v>
      </c>
      <c r="E756" t="s">
        <v>113</v>
      </c>
      <c r="F756" t="s">
        <v>54</v>
      </c>
      <c r="G756" t="s">
        <v>48</v>
      </c>
      <c r="H756" t="s">
        <v>44</v>
      </c>
      <c r="I756" t="s">
        <v>1026</v>
      </c>
      <c r="J756" t="s">
        <v>446</v>
      </c>
      <c r="K756" t="s">
        <v>50</v>
      </c>
      <c r="L756" t="s">
        <v>36</v>
      </c>
      <c r="M756" t="s">
        <v>10</v>
      </c>
    </row>
    <row r="757" spans="1:13">
      <c r="A757" t="s">
        <v>1782</v>
      </c>
      <c r="B757" s="2">
        <v>45940</v>
      </c>
      <c r="C757">
        <v>2025</v>
      </c>
      <c r="D757">
        <v>10</v>
      </c>
      <c r="E757" t="s">
        <v>113</v>
      </c>
      <c r="F757" t="s">
        <v>78</v>
      </c>
      <c r="G757" t="s">
        <v>48</v>
      </c>
      <c r="H757" t="s">
        <v>44</v>
      </c>
      <c r="I757" t="s">
        <v>1023</v>
      </c>
      <c r="J757" t="s">
        <v>1024</v>
      </c>
      <c r="K757" t="s">
        <v>50</v>
      </c>
      <c r="L757" t="s">
        <v>9</v>
      </c>
      <c r="M757" t="s">
        <v>17</v>
      </c>
    </row>
    <row r="758" spans="1:13">
      <c r="A758" t="s">
        <v>1783</v>
      </c>
      <c r="B758" s="2">
        <v>45941</v>
      </c>
      <c r="C758">
        <v>2025</v>
      </c>
      <c r="D758">
        <v>10</v>
      </c>
      <c r="E758" t="s">
        <v>113</v>
      </c>
      <c r="F758" t="s">
        <v>47</v>
      </c>
      <c r="G758" t="s">
        <v>27</v>
      </c>
      <c r="H758" t="s">
        <v>4</v>
      </c>
      <c r="I758" t="s">
        <v>1037</v>
      </c>
      <c r="J758" t="s">
        <v>1024</v>
      </c>
      <c r="K758" t="s">
        <v>13</v>
      </c>
      <c r="L758" t="s">
        <v>36</v>
      </c>
      <c r="M758" t="s">
        <v>10</v>
      </c>
    </row>
    <row r="759" spans="1:13">
      <c r="A759" t="s">
        <v>1784</v>
      </c>
      <c r="B759" s="2">
        <v>45950</v>
      </c>
      <c r="C759">
        <v>2025</v>
      </c>
      <c r="D759">
        <v>10</v>
      </c>
      <c r="E759" t="s">
        <v>113</v>
      </c>
      <c r="F759" t="s">
        <v>78</v>
      </c>
      <c r="G759" t="s">
        <v>3</v>
      </c>
      <c r="H759" t="s">
        <v>44</v>
      </c>
      <c r="I759" t="s">
        <v>1023</v>
      </c>
      <c r="J759" t="s">
        <v>1024</v>
      </c>
      <c r="K759" t="s">
        <v>13</v>
      </c>
      <c r="L759" t="s">
        <v>16</v>
      </c>
      <c r="M759" t="s">
        <v>10</v>
      </c>
    </row>
    <row r="760" spans="1:13">
      <c r="A760" t="s">
        <v>1785</v>
      </c>
      <c r="B760" s="2">
        <v>45944</v>
      </c>
      <c r="C760">
        <v>2025</v>
      </c>
      <c r="D760">
        <v>10</v>
      </c>
      <c r="E760" t="s">
        <v>113</v>
      </c>
      <c r="F760" t="s">
        <v>38</v>
      </c>
      <c r="G760" t="s">
        <v>27</v>
      </c>
      <c r="H760" t="s">
        <v>4</v>
      </c>
      <c r="I760" t="s">
        <v>1029</v>
      </c>
      <c r="J760" t="s">
        <v>431</v>
      </c>
      <c r="K760" t="s">
        <v>13</v>
      </c>
      <c r="L760" t="s">
        <v>9</v>
      </c>
      <c r="M760" t="s">
        <v>10</v>
      </c>
    </row>
    <row r="761" spans="1:13">
      <c r="A761" t="s">
        <v>1786</v>
      </c>
      <c r="B761" s="2">
        <v>45942</v>
      </c>
      <c r="C761">
        <v>2025</v>
      </c>
      <c r="D761">
        <v>10</v>
      </c>
      <c r="E761" t="s">
        <v>113</v>
      </c>
      <c r="F761" t="s">
        <v>38</v>
      </c>
      <c r="G761" t="s">
        <v>38</v>
      </c>
      <c r="H761" t="s">
        <v>12</v>
      </c>
      <c r="I761" t="s">
        <v>1026</v>
      </c>
      <c r="J761" t="s">
        <v>519</v>
      </c>
      <c r="K761" t="s">
        <v>13</v>
      </c>
      <c r="L761" t="s">
        <v>16</v>
      </c>
      <c r="M761" t="s">
        <v>10</v>
      </c>
    </row>
    <row r="762" spans="1:13">
      <c r="A762" t="s">
        <v>1787</v>
      </c>
      <c r="B762" s="2">
        <v>45934</v>
      </c>
      <c r="C762">
        <v>2025</v>
      </c>
      <c r="D762">
        <v>10</v>
      </c>
      <c r="E762" t="s">
        <v>113</v>
      </c>
      <c r="F762" t="s">
        <v>47</v>
      </c>
      <c r="G762" t="s">
        <v>61</v>
      </c>
      <c r="H762" t="s">
        <v>33</v>
      </c>
      <c r="I762" t="s">
        <v>1023</v>
      </c>
      <c r="J762" t="s">
        <v>1024</v>
      </c>
      <c r="K762" t="s">
        <v>34</v>
      </c>
      <c r="L762" t="s">
        <v>36</v>
      </c>
      <c r="M762" t="s">
        <v>10</v>
      </c>
    </row>
    <row r="763" spans="1:13">
      <c r="A763" t="s">
        <v>1788</v>
      </c>
      <c r="B763" s="2">
        <v>45944</v>
      </c>
      <c r="C763">
        <v>2025</v>
      </c>
      <c r="D763">
        <v>10</v>
      </c>
      <c r="E763" t="s">
        <v>113</v>
      </c>
      <c r="F763" t="s">
        <v>54</v>
      </c>
      <c r="G763" t="s">
        <v>20</v>
      </c>
      <c r="H763" t="s">
        <v>33</v>
      </c>
      <c r="I763" t="s">
        <v>1029</v>
      </c>
      <c r="J763" t="s">
        <v>462</v>
      </c>
      <c r="K763" t="s">
        <v>34</v>
      </c>
      <c r="L763" t="s">
        <v>16</v>
      </c>
      <c r="M763" t="s">
        <v>10</v>
      </c>
    </row>
    <row r="764" spans="1:13">
      <c r="A764" t="s">
        <v>1789</v>
      </c>
      <c r="B764" s="2">
        <v>45942</v>
      </c>
      <c r="C764">
        <v>2025</v>
      </c>
      <c r="D764">
        <v>10</v>
      </c>
      <c r="E764" t="s">
        <v>113</v>
      </c>
      <c r="F764" t="s">
        <v>19</v>
      </c>
      <c r="G764" t="s">
        <v>94</v>
      </c>
      <c r="H764" t="s">
        <v>12</v>
      </c>
      <c r="I764" t="s">
        <v>1023</v>
      </c>
      <c r="J764" t="s">
        <v>1024</v>
      </c>
      <c r="K764" t="s">
        <v>13</v>
      </c>
      <c r="L764" t="s">
        <v>29</v>
      </c>
      <c r="M764" t="s">
        <v>10</v>
      </c>
    </row>
    <row r="765" spans="1:13">
      <c r="A765" t="s">
        <v>1790</v>
      </c>
      <c r="B765" s="2">
        <v>45934</v>
      </c>
      <c r="C765">
        <v>2025</v>
      </c>
      <c r="D765">
        <v>10</v>
      </c>
      <c r="E765" t="s">
        <v>113</v>
      </c>
      <c r="F765" t="s">
        <v>54</v>
      </c>
      <c r="G765" t="s">
        <v>55</v>
      </c>
      <c r="H765" t="s">
        <v>33</v>
      </c>
      <c r="I765" t="s">
        <v>1026</v>
      </c>
      <c r="J765" t="s">
        <v>428</v>
      </c>
      <c r="K765" t="s">
        <v>50</v>
      </c>
      <c r="L765" t="s">
        <v>29</v>
      </c>
      <c r="M765" t="s">
        <v>10</v>
      </c>
    </row>
    <row r="766" spans="1:13">
      <c r="A766" t="s">
        <v>1791</v>
      </c>
      <c r="B766" s="2">
        <v>45940</v>
      </c>
      <c r="C766">
        <v>2025</v>
      </c>
      <c r="D766">
        <v>10</v>
      </c>
      <c r="E766" t="s">
        <v>113</v>
      </c>
      <c r="F766" t="s">
        <v>67</v>
      </c>
      <c r="G766" t="s">
        <v>38</v>
      </c>
      <c r="H766" t="s">
        <v>12</v>
      </c>
      <c r="I766" t="s">
        <v>1037</v>
      </c>
      <c r="J766" t="s">
        <v>1024</v>
      </c>
      <c r="K766" t="s">
        <v>34</v>
      </c>
      <c r="L766" t="s">
        <v>36</v>
      </c>
      <c r="M766" t="s">
        <v>10</v>
      </c>
    </row>
    <row r="767" spans="1:13">
      <c r="A767" t="s">
        <v>1792</v>
      </c>
      <c r="B767" s="2">
        <v>45949</v>
      </c>
      <c r="C767">
        <v>2025</v>
      </c>
      <c r="D767">
        <v>10</v>
      </c>
      <c r="E767" t="s">
        <v>113</v>
      </c>
      <c r="F767" t="s">
        <v>38</v>
      </c>
      <c r="G767" t="s">
        <v>55</v>
      </c>
      <c r="H767" t="s">
        <v>4</v>
      </c>
      <c r="I767" t="s">
        <v>1037</v>
      </c>
      <c r="J767" t="s">
        <v>1024</v>
      </c>
      <c r="K767" t="s">
        <v>50</v>
      </c>
      <c r="L767" t="s">
        <v>29</v>
      </c>
      <c r="M767" t="s">
        <v>17</v>
      </c>
    </row>
    <row r="768" spans="1:13">
      <c r="A768" t="s">
        <v>1793</v>
      </c>
      <c r="B768" s="2">
        <v>45956</v>
      </c>
      <c r="C768">
        <v>2025</v>
      </c>
      <c r="D768">
        <v>10</v>
      </c>
      <c r="E768" t="s">
        <v>113</v>
      </c>
      <c r="F768" t="s">
        <v>19</v>
      </c>
      <c r="G768" t="s">
        <v>38</v>
      </c>
      <c r="H768" t="s">
        <v>12</v>
      </c>
      <c r="I768" t="s">
        <v>1037</v>
      </c>
      <c r="J768" t="s">
        <v>1024</v>
      </c>
      <c r="K768" t="s">
        <v>34</v>
      </c>
      <c r="L768" t="s">
        <v>29</v>
      </c>
      <c r="M768" t="s">
        <v>17</v>
      </c>
    </row>
    <row r="769" spans="1:13">
      <c r="A769" t="s">
        <v>1794</v>
      </c>
      <c r="B769" s="2">
        <v>45945</v>
      </c>
      <c r="C769">
        <v>2025</v>
      </c>
      <c r="D769">
        <v>10</v>
      </c>
      <c r="E769" t="s">
        <v>113</v>
      </c>
      <c r="F769" t="s">
        <v>47</v>
      </c>
      <c r="G769" t="s">
        <v>27</v>
      </c>
      <c r="H769" t="s">
        <v>33</v>
      </c>
      <c r="I769" t="s">
        <v>1037</v>
      </c>
      <c r="J769" t="s">
        <v>1024</v>
      </c>
      <c r="K769" t="s">
        <v>13</v>
      </c>
      <c r="L769" t="s">
        <v>29</v>
      </c>
      <c r="M769" t="s">
        <v>10</v>
      </c>
    </row>
    <row r="770" spans="1:13">
      <c r="A770" t="s">
        <v>1795</v>
      </c>
      <c r="B770" s="2">
        <v>45957</v>
      </c>
      <c r="C770">
        <v>2025</v>
      </c>
      <c r="D770">
        <v>10</v>
      </c>
      <c r="E770" t="s">
        <v>113</v>
      </c>
      <c r="F770" t="s">
        <v>40</v>
      </c>
      <c r="G770" t="s">
        <v>61</v>
      </c>
      <c r="H770" t="s">
        <v>4</v>
      </c>
      <c r="I770" t="s">
        <v>1029</v>
      </c>
      <c r="J770" t="s">
        <v>462</v>
      </c>
      <c r="K770" t="s">
        <v>6</v>
      </c>
      <c r="L770" t="s">
        <v>36</v>
      </c>
      <c r="M770" t="s">
        <v>10</v>
      </c>
    </row>
    <row r="771" spans="1:13">
      <c r="A771" t="s">
        <v>1796</v>
      </c>
      <c r="B771" s="2">
        <v>45946</v>
      </c>
      <c r="C771">
        <v>2025</v>
      </c>
      <c r="D771">
        <v>10</v>
      </c>
      <c r="E771" t="s">
        <v>113</v>
      </c>
      <c r="F771" t="s">
        <v>26</v>
      </c>
      <c r="G771" t="s">
        <v>64</v>
      </c>
      <c r="H771" t="s">
        <v>33</v>
      </c>
      <c r="I771" t="s">
        <v>1026</v>
      </c>
      <c r="J771" t="s">
        <v>466</v>
      </c>
      <c r="K771" t="s">
        <v>34</v>
      </c>
      <c r="L771" t="s">
        <v>16</v>
      </c>
      <c r="M771" t="s">
        <v>10</v>
      </c>
    </row>
    <row r="772" spans="1:13">
      <c r="A772" t="s">
        <v>1797</v>
      </c>
      <c r="B772" s="2">
        <v>45954</v>
      </c>
      <c r="C772">
        <v>2025</v>
      </c>
      <c r="D772">
        <v>10</v>
      </c>
      <c r="E772" t="s">
        <v>113</v>
      </c>
      <c r="F772" t="s">
        <v>78</v>
      </c>
      <c r="G772" t="s">
        <v>69</v>
      </c>
      <c r="H772" t="s">
        <v>4</v>
      </c>
      <c r="I772" t="s">
        <v>1029</v>
      </c>
      <c r="J772" t="s">
        <v>452</v>
      </c>
      <c r="K772" t="s">
        <v>50</v>
      </c>
      <c r="L772" t="s">
        <v>36</v>
      </c>
      <c r="M772" t="s">
        <v>10</v>
      </c>
    </row>
    <row r="773" spans="1:13">
      <c r="A773" t="s">
        <v>1798</v>
      </c>
      <c r="B773" s="2">
        <v>45938</v>
      </c>
      <c r="C773">
        <v>2025</v>
      </c>
      <c r="D773">
        <v>10</v>
      </c>
      <c r="E773" t="s">
        <v>113</v>
      </c>
      <c r="F773" t="s">
        <v>40</v>
      </c>
      <c r="G773" t="s">
        <v>38</v>
      </c>
      <c r="H773" t="s">
        <v>44</v>
      </c>
      <c r="I773" t="s">
        <v>1029</v>
      </c>
      <c r="J773" t="s">
        <v>440</v>
      </c>
      <c r="K773" t="s">
        <v>6</v>
      </c>
      <c r="L773" t="s">
        <v>29</v>
      </c>
      <c r="M773" t="s">
        <v>10</v>
      </c>
    </row>
    <row r="774" spans="1:13">
      <c r="A774" t="s">
        <v>1799</v>
      </c>
      <c r="B774" s="2">
        <v>45950</v>
      </c>
      <c r="C774">
        <v>2025</v>
      </c>
      <c r="D774">
        <v>10</v>
      </c>
      <c r="E774" t="s">
        <v>113</v>
      </c>
      <c r="F774" t="s">
        <v>19</v>
      </c>
      <c r="G774" t="s">
        <v>61</v>
      </c>
      <c r="H774" t="s">
        <v>33</v>
      </c>
      <c r="I774" t="s">
        <v>1026</v>
      </c>
      <c r="J774" t="s">
        <v>444</v>
      </c>
      <c r="K774" t="s">
        <v>50</v>
      </c>
      <c r="L774" t="s">
        <v>16</v>
      </c>
      <c r="M774" t="s">
        <v>10</v>
      </c>
    </row>
    <row r="775" spans="1:13">
      <c r="A775" t="s">
        <v>1800</v>
      </c>
      <c r="B775" s="2">
        <v>45943</v>
      </c>
      <c r="C775">
        <v>2025</v>
      </c>
      <c r="D775">
        <v>10</v>
      </c>
      <c r="E775" t="s">
        <v>113</v>
      </c>
      <c r="F775" t="s">
        <v>2</v>
      </c>
      <c r="G775" t="s">
        <v>27</v>
      </c>
      <c r="H775" t="s">
        <v>33</v>
      </c>
      <c r="I775" t="s">
        <v>1029</v>
      </c>
      <c r="J775" t="s">
        <v>440</v>
      </c>
      <c r="K775" t="s">
        <v>6</v>
      </c>
      <c r="L775" t="s">
        <v>16</v>
      </c>
      <c r="M775" t="s">
        <v>10</v>
      </c>
    </row>
    <row r="776" spans="1:13">
      <c r="A776" t="s">
        <v>1801</v>
      </c>
      <c r="B776" s="2">
        <v>45943</v>
      </c>
      <c r="C776">
        <v>2025</v>
      </c>
      <c r="D776">
        <v>10</v>
      </c>
      <c r="E776" t="s">
        <v>113</v>
      </c>
      <c r="F776" t="s">
        <v>67</v>
      </c>
      <c r="G776" t="s">
        <v>38</v>
      </c>
      <c r="H776" t="s">
        <v>33</v>
      </c>
      <c r="I776" t="s">
        <v>1037</v>
      </c>
      <c r="J776" t="s">
        <v>1024</v>
      </c>
      <c r="K776" t="s">
        <v>6</v>
      </c>
      <c r="L776" t="s">
        <v>9</v>
      </c>
      <c r="M776" t="s">
        <v>10</v>
      </c>
    </row>
    <row r="777" spans="1:13">
      <c r="A777" t="s">
        <v>1802</v>
      </c>
      <c r="B777" s="2">
        <v>45943</v>
      </c>
      <c r="C777">
        <v>2025</v>
      </c>
      <c r="D777">
        <v>10</v>
      </c>
      <c r="E777" t="s">
        <v>113</v>
      </c>
      <c r="F777" t="s">
        <v>2</v>
      </c>
      <c r="G777" t="s">
        <v>27</v>
      </c>
      <c r="H777" t="s">
        <v>33</v>
      </c>
      <c r="I777" t="s">
        <v>1029</v>
      </c>
      <c r="J777" t="s">
        <v>438</v>
      </c>
      <c r="K777" t="s">
        <v>13</v>
      </c>
      <c r="L777" t="s">
        <v>36</v>
      </c>
      <c r="M777" t="s">
        <v>10</v>
      </c>
    </row>
    <row r="778" spans="1:13">
      <c r="A778" t="s">
        <v>1803</v>
      </c>
      <c r="B778" s="2">
        <v>45957</v>
      </c>
      <c r="C778">
        <v>2025</v>
      </c>
      <c r="D778">
        <v>10</v>
      </c>
      <c r="E778" t="s">
        <v>113</v>
      </c>
      <c r="F778" t="s">
        <v>54</v>
      </c>
      <c r="G778" t="s">
        <v>64</v>
      </c>
      <c r="H778" t="s">
        <v>33</v>
      </c>
      <c r="I778" t="s">
        <v>1023</v>
      </c>
      <c r="J778" t="s">
        <v>1024</v>
      </c>
      <c r="K778" t="s">
        <v>6</v>
      </c>
      <c r="L778" t="s">
        <v>36</v>
      </c>
      <c r="M778" t="s">
        <v>10</v>
      </c>
    </row>
    <row r="779" spans="1:13">
      <c r="A779" t="s">
        <v>1804</v>
      </c>
      <c r="B779" s="2">
        <v>45941</v>
      </c>
      <c r="C779">
        <v>2025</v>
      </c>
      <c r="D779">
        <v>10</v>
      </c>
      <c r="E779" t="s">
        <v>113</v>
      </c>
      <c r="F779" t="s">
        <v>31</v>
      </c>
      <c r="G779" t="s">
        <v>48</v>
      </c>
      <c r="H779" t="s">
        <v>33</v>
      </c>
      <c r="I779" t="s">
        <v>1023</v>
      </c>
      <c r="J779" t="s">
        <v>1024</v>
      </c>
      <c r="K779" t="s">
        <v>70</v>
      </c>
      <c r="L779" t="s">
        <v>29</v>
      </c>
      <c r="M779" t="s">
        <v>10</v>
      </c>
    </row>
    <row r="780" spans="1:13">
      <c r="A780" t="s">
        <v>1805</v>
      </c>
      <c r="B780" s="2">
        <v>45932</v>
      </c>
      <c r="C780">
        <v>2025</v>
      </c>
      <c r="D780">
        <v>10</v>
      </c>
      <c r="E780" t="s">
        <v>113</v>
      </c>
      <c r="F780" t="s">
        <v>54</v>
      </c>
      <c r="G780" t="s">
        <v>38</v>
      </c>
      <c r="H780" t="s">
        <v>4</v>
      </c>
      <c r="I780" t="s">
        <v>1026</v>
      </c>
      <c r="J780" t="s">
        <v>460</v>
      </c>
      <c r="K780" t="s">
        <v>34</v>
      </c>
      <c r="L780" t="s">
        <v>16</v>
      </c>
      <c r="M780" t="s">
        <v>10</v>
      </c>
    </row>
    <row r="781" spans="1:13">
      <c r="A781" t="s">
        <v>1806</v>
      </c>
      <c r="B781" s="2">
        <v>45958</v>
      </c>
      <c r="C781">
        <v>2025</v>
      </c>
      <c r="D781">
        <v>10</v>
      </c>
      <c r="E781" t="s">
        <v>113</v>
      </c>
      <c r="F781" t="s">
        <v>78</v>
      </c>
      <c r="G781" t="s">
        <v>3</v>
      </c>
      <c r="H781" t="s">
        <v>33</v>
      </c>
      <c r="I781" t="s">
        <v>1026</v>
      </c>
      <c r="J781" t="s">
        <v>428</v>
      </c>
      <c r="K781" t="s">
        <v>6</v>
      </c>
      <c r="L781" t="s">
        <v>29</v>
      </c>
      <c r="M781" t="s">
        <v>10</v>
      </c>
    </row>
    <row r="782" spans="1:13">
      <c r="A782" t="s">
        <v>1807</v>
      </c>
      <c r="B782" s="2">
        <v>45956</v>
      </c>
      <c r="C782">
        <v>2025</v>
      </c>
      <c r="D782">
        <v>10</v>
      </c>
      <c r="E782" t="s">
        <v>113</v>
      </c>
      <c r="F782" t="s">
        <v>54</v>
      </c>
      <c r="G782" t="s">
        <v>61</v>
      </c>
      <c r="H782" t="s">
        <v>33</v>
      </c>
      <c r="I782" t="s">
        <v>1026</v>
      </c>
      <c r="J782" t="s">
        <v>428</v>
      </c>
      <c r="K782" t="s">
        <v>50</v>
      </c>
      <c r="L782" t="s">
        <v>9</v>
      </c>
      <c r="M782" t="s">
        <v>10</v>
      </c>
    </row>
    <row r="783" spans="1:13">
      <c r="A783" t="s">
        <v>1808</v>
      </c>
      <c r="B783" s="2">
        <v>45936</v>
      </c>
      <c r="C783">
        <v>2025</v>
      </c>
      <c r="D783">
        <v>10</v>
      </c>
      <c r="E783" t="s">
        <v>113</v>
      </c>
      <c r="F783" t="s">
        <v>54</v>
      </c>
      <c r="G783" t="s">
        <v>94</v>
      </c>
      <c r="H783" t="s">
        <v>44</v>
      </c>
      <c r="I783" t="s">
        <v>1026</v>
      </c>
      <c r="J783" t="s">
        <v>446</v>
      </c>
      <c r="K783" t="s">
        <v>34</v>
      </c>
      <c r="L783" t="s">
        <v>29</v>
      </c>
      <c r="M783" t="s">
        <v>10</v>
      </c>
    </row>
    <row r="784" spans="1:13">
      <c r="A784" t="s">
        <v>1809</v>
      </c>
      <c r="B784" s="2">
        <v>45943</v>
      </c>
      <c r="C784">
        <v>2025</v>
      </c>
      <c r="D784">
        <v>10</v>
      </c>
      <c r="E784" t="s">
        <v>113</v>
      </c>
      <c r="F784" t="s">
        <v>40</v>
      </c>
      <c r="G784" t="s">
        <v>20</v>
      </c>
      <c r="H784" t="s">
        <v>12</v>
      </c>
      <c r="I784" t="s">
        <v>1029</v>
      </c>
      <c r="J784" t="s">
        <v>84</v>
      </c>
      <c r="K784" t="s">
        <v>13</v>
      </c>
      <c r="L784" t="s">
        <v>29</v>
      </c>
      <c r="M784" t="s">
        <v>10</v>
      </c>
    </row>
    <row r="785" spans="1:13">
      <c r="A785" t="s">
        <v>1810</v>
      </c>
      <c r="B785" s="2">
        <v>45953</v>
      </c>
      <c r="C785">
        <v>2025</v>
      </c>
      <c r="D785">
        <v>10</v>
      </c>
      <c r="E785" t="s">
        <v>113</v>
      </c>
      <c r="F785" t="s">
        <v>38</v>
      </c>
      <c r="G785" t="s">
        <v>27</v>
      </c>
      <c r="H785" t="s">
        <v>44</v>
      </c>
      <c r="I785" t="s">
        <v>1026</v>
      </c>
      <c r="J785" t="s">
        <v>446</v>
      </c>
      <c r="K785" t="s">
        <v>34</v>
      </c>
      <c r="L785" t="s">
        <v>9</v>
      </c>
      <c r="M785" t="s">
        <v>10</v>
      </c>
    </row>
    <row r="786" spans="1:13">
      <c r="A786" t="s">
        <v>1811</v>
      </c>
      <c r="B786" s="2">
        <v>45933</v>
      </c>
      <c r="C786">
        <v>2025</v>
      </c>
      <c r="D786">
        <v>10</v>
      </c>
      <c r="E786" t="s">
        <v>113</v>
      </c>
      <c r="F786" t="s">
        <v>19</v>
      </c>
      <c r="G786" t="s">
        <v>61</v>
      </c>
      <c r="H786" t="s">
        <v>33</v>
      </c>
      <c r="I786" t="s">
        <v>1026</v>
      </c>
      <c r="J786" t="s">
        <v>446</v>
      </c>
      <c r="K786" t="s">
        <v>50</v>
      </c>
      <c r="L786" t="s">
        <v>9</v>
      </c>
      <c r="M786" t="s">
        <v>10</v>
      </c>
    </row>
    <row r="787" spans="1:13">
      <c r="A787" t="s">
        <v>1812</v>
      </c>
      <c r="B787" s="2">
        <v>45933</v>
      </c>
      <c r="C787">
        <v>2025</v>
      </c>
      <c r="D787">
        <v>10</v>
      </c>
      <c r="E787" t="s">
        <v>113</v>
      </c>
      <c r="F787" t="s">
        <v>67</v>
      </c>
      <c r="G787" t="s">
        <v>20</v>
      </c>
      <c r="H787" t="s">
        <v>44</v>
      </c>
      <c r="I787" t="s">
        <v>1029</v>
      </c>
      <c r="J787" t="s">
        <v>452</v>
      </c>
      <c r="K787" t="s">
        <v>70</v>
      </c>
      <c r="L787" t="s">
        <v>9</v>
      </c>
      <c r="M787" t="s">
        <v>10</v>
      </c>
    </row>
    <row r="788" spans="1:13">
      <c r="A788" t="s">
        <v>1813</v>
      </c>
      <c r="B788" s="2">
        <v>45949</v>
      </c>
      <c r="C788">
        <v>2025</v>
      </c>
      <c r="D788">
        <v>10</v>
      </c>
      <c r="E788" t="s">
        <v>113</v>
      </c>
      <c r="F788" t="s">
        <v>67</v>
      </c>
      <c r="G788" t="s">
        <v>69</v>
      </c>
      <c r="H788" t="s">
        <v>33</v>
      </c>
      <c r="I788" t="s">
        <v>1029</v>
      </c>
      <c r="J788" t="s">
        <v>452</v>
      </c>
      <c r="K788" t="s">
        <v>34</v>
      </c>
      <c r="L788" t="s">
        <v>9</v>
      </c>
      <c r="M788" t="s">
        <v>10</v>
      </c>
    </row>
    <row r="789" spans="1:13">
      <c r="A789" t="s">
        <v>1814</v>
      </c>
      <c r="B789" s="2">
        <v>45932</v>
      </c>
      <c r="C789">
        <v>2025</v>
      </c>
      <c r="D789">
        <v>10</v>
      </c>
      <c r="E789" t="s">
        <v>113</v>
      </c>
      <c r="F789" t="s">
        <v>67</v>
      </c>
      <c r="G789" t="s">
        <v>38</v>
      </c>
      <c r="H789" t="s">
        <v>12</v>
      </c>
      <c r="I789" t="s">
        <v>1026</v>
      </c>
      <c r="J789" t="s">
        <v>454</v>
      </c>
      <c r="K789" t="s">
        <v>13</v>
      </c>
      <c r="L789" t="s">
        <v>36</v>
      </c>
      <c r="M789" t="s">
        <v>10</v>
      </c>
    </row>
    <row r="790" spans="1:13">
      <c r="A790" t="s">
        <v>1815</v>
      </c>
      <c r="B790" s="2">
        <v>45944</v>
      </c>
      <c r="C790">
        <v>2025</v>
      </c>
      <c r="D790">
        <v>10</v>
      </c>
      <c r="E790" t="s">
        <v>113</v>
      </c>
      <c r="F790" t="s">
        <v>19</v>
      </c>
      <c r="G790" t="s">
        <v>38</v>
      </c>
      <c r="H790" t="s">
        <v>44</v>
      </c>
      <c r="I790" t="s">
        <v>1037</v>
      </c>
      <c r="J790" t="s">
        <v>1024</v>
      </c>
      <c r="K790" t="s">
        <v>50</v>
      </c>
      <c r="L790" t="s">
        <v>36</v>
      </c>
      <c r="M790" t="s">
        <v>10</v>
      </c>
    </row>
    <row r="791" spans="1:13">
      <c r="A791" t="s">
        <v>1816</v>
      </c>
      <c r="B791" s="2">
        <v>45950</v>
      </c>
      <c r="C791">
        <v>2025</v>
      </c>
      <c r="D791">
        <v>10</v>
      </c>
      <c r="E791" t="s">
        <v>113</v>
      </c>
      <c r="F791" t="s">
        <v>40</v>
      </c>
      <c r="G791" t="s">
        <v>55</v>
      </c>
      <c r="H791" t="s">
        <v>33</v>
      </c>
      <c r="I791" t="s">
        <v>1029</v>
      </c>
      <c r="J791" t="s">
        <v>462</v>
      </c>
      <c r="K791" t="s">
        <v>70</v>
      </c>
      <c r="L791" t="s">
        <v>36</v>
      </c>
      <c r="M791" t="s">
        <v>10</v>
      </c>
    </row>
    <row r="792" spans="1:13">
      <c r="A792" t="s">
        <v>1817</v>
      </c>
      <c r="B792" s="2">
        <v>45951</v>
      </c>
      <c r="C792">
        <v>2025</v>
      </c>
      <c r="D792">
        <v>10</v>
      </c>
      <c r="E792" t="s">
        <v>113</v>
      </c>
      <c r="F792" t="s">
        <v>67</v>
      </c>
      <c r="G792" t="s">
        <v>32</v>
      </c>
      <c r="H792" t="s">
        <v>33</v>
      </c>
      <c r="I792" t="s">
        <v>1029</v>
      </c>
      <c r="J792" t="s">
        <v>473</v>
      </c>
      <c r="K792" t="s">
        <v>34</v>
      </c>
      <c r="L792" t="s">
        <v>16</v>
      </c>
      <c r="M792" t="s">
        <v>10</v>
      </c>
    </row>
    <row r="793" spans="1:13">
      <c r="A793" t="s">
        <v>1818</v>
      </c>
      <c r="B793" s="2">
        <v>45949</v>
      </c>
      <c r="C793">
        <v>2025</v>
      </c>
      <c r="D793">
        <v>10</v>
      </c>
      <c r="E793" t="s">
        <v>113</v>
      </c>
      <c r="F793" t="s">
        <v>2</v>
      </c>
      <c r="G793" t="s">
        <v>3</v>
      </c>
      <c r="H793" t="s">
        <v>4</v>
      </c>
      <c r="I793" t="s">
        <v>1029</v>
      </c>
      <c r="J793" t="s">
        <v>442</v>
      </c>
      <c r="K793" t="s">
        <v>6</v>
      </c>
      <c r="L793" t="s">
        <v>16</v>
      </c>
      <c r="M793" t="s">
        <v>10</v>
      </c>
    </row>
    <row r="794" spans="1:13">
      <c r="A794" t="s">
        <v>1819</v>
      </c>
      <c r="B794" s="2">
        <v>45950</v>
      </c>
      <c r="C794">
        <v>2025</v>
      </c>
      <c r="D794">
        <v>10</v>
      </c>
      <c r="E794" t="s">
        <v>113</v>
      </c>
      <c r="F794" t="s">
        <v>26</v>
      </c>
      <c r="G794" t="s">
        <v>3</v>
      </c>
      <c r="H794" t="s">
        <v>12</v>
      </c>
      <c r="I794" t="s">
        <v>1026</v>
      </c>
      <c r="J794" t="s">
        <v>446</v>
      </c>
      <c r="K794" t="s">
        <v>34</v>
      </c>
      <c r="L794" t="s">
        <v>29</v>
      </c>
      <c r="M794" t="s">
        <v>17</v>
      </c>
    </row>
    <row r="795" spans="1:13">
      <c r="A795" t="s">
        <v>1820</v>
      </c>
      <c r="B795" s="2">
        <v>45945</v>
      </c>
      <c r="C795">
        <v>2025</v>
      </c>
      <c r="D795">
        <v>10</v>
      </c>
      <c r="E795" t="s">
        <v>113</v>
      </c>
      <c r="F795" t="s">
        <v>19</v>
      </c>
      <c r="G795" t="s">
        <v>94</v>
      </c>
      <c r="H795" t="s">
        <v>4</v>
      </c>
      <c r="I795" t="s">
        <v>1037</v>
      </c>
      <c r="J795" t="s">
        <v>1024</v>
      </c>
      <c r="K795" t="s">
        <v>34</v>
      </c>
      <c r="L795" t="s">
        <v>9</v>
      </c>
      <c r="M795" t="s">
        <v>10</v>
      </c>
    </row>
    <row r="796" spans="1:13">
      <c r="A796" t="s">
        <v>1821</v>
      </c>
      <c r="B796" s="2">
        <v>45931</v>
      </c>
      <c r="C796">
        <v>2025</v>
      </c>
      <c r="D796">
        <v>10</v>
      </c>
      <c r="E796" t="s">
        <v>113</v>
      </c>
      <c r="F796" t="s">
        <v>40</v>
      </c>
      <c r="G796" t="s">
        <v>20</v>
      </c>
      <c r="H796" t="s">
        <v>33</v>
      </c>
      <c r="I796" t="s">
        <v>1029</v>
      </c>
      <c r="J796" t="s">
        <v>442</v>
      </c>
      <c r="K796" t="s">
        <v>70</v>
      </c>
      <c r="L796" t="s">
        <v>9</v>
      </c>
      <c r="M796" t="s">
        <v>17</v>
      </c>
    </row>
    <row r="797" spans="1:13">
      <c r="A797" t="s">
        <v>1822</v>
      </c>
      <c r="B797" s="2">
        <v>45985</v>
      </c>
      <c r="C797">
        <v>2025</v>
      </c>
      <c r="D797">
        <v>11</v>
      </c>
      <c r="E797" t="s">
        <v>117</v>
      </c>
      <c r="F797" t="s">
        <v>54</v>
      </c>
      <c r="G797" t="s">
        <v>32</v>
      </c>
      <c r="H797" t="s">
        <v>12</v>
      </c>
      <c r="I797" t="s">
        <v>1029</v>
      </c>
      <c r="J797" t="s">
        <v>84</v>
      </c>
      <c r="K797" t="s">
        <v>34</v>
      </c>
      <c r="L797" t="s">
        <v>16</v>
      </c>
      <c r="M797" t="s">
        <v>10</v>
      </c>
    </row>
    <row r="798" spans="1:13">
      <c r="A798" t="s">
        <v>1823</v>
      </c>
      <c r="B798" s="2">
        <v>45982</v>
      </c>
      <c r="C798">
        <v>2025</v>
      </c>
      <c r="D798">
        <v>11</v>
      </c>
      <c r="E798" t="s">
        <v>117</v>
      </c>
      <c r="F798" t="s">
        <v>2</v>
      </c>
      <c r="G798" t="s">
        <v>64</v>
      </c>
      <c r="H798" t="s">
        <v>4</v>
      </c>
      <c r="I798" t="s">
        <v>1029</v>
      </c>
      <c r="J798" t="s">
        <v>84</v>
      </c>
      <c r="K798" t="s">
        <v>70</v>
      </c>
      <c r="L798" t="s">
        <v>36</v>
      </c>
      <c r="M798" t="s">
        <v>10</v>
      </c>
    </row>
    <row r="799" spans="1:13">
      <c r="A799" t="s">
        <v>1824</v>
      </c>
      <c r="B799" s="2">
        <v>45986</v>
      </c>
      <c r="C799">
        <v>2025</v>
      </c>
      <c r="D799">
        <v>11</v>
      </c>
      <c r="E799" t="s">
        <v>117</v>
      </c>
      <c r="F799" t="s">
        <v>2</v>
      </c>
      <c r="G799" t="s">
        <v>74</v>
      </c>
      <c r="H799" t="s">
        <v>4</v>
      </c>
      <c r="I799" t="s">
        <v>1029</v>
      </c>
      <c r="J799" t="s">
        <v>464</v>
      </c>
      <c r="K799" t="s">
        <v>13</v>
      </c>
      <c r="L799" t="s">
        <v>9</v>
      </c>
      <c r="M799" t="s">
        <v>17</v>
      </c>
    </row>
    <row r="800" spans="1:13">
      <c r="A800" t="s">
        <v>1825</v>
      </c>
      <c r="B800" s="2">
        <v>45984</v>
      </c>
      <c r="C800">
        <v>2025</v>
      </c>
      <c r="D800">
        <v>11</v>
      </c>
      <c r="E800" t="s">
        <v>117</v>
      </c>
      <c r="F800" t="s">
        <v>38</v>
      </c>
      <c r="G800" t="s">
        <v>48</v>
      </c>
      <c r="H800" t="s">
        <v>44</v>
      </c>
      <c r="I800" t="s">
        <v>1029</v>
      </c>
      <c r="J800" t="s">
        <v>440</v>
      </c>
      <c r="K800" t="s">
        <v>6</v>
      </c>
      <c r="L800" t="s">
        <v>16</v>
      </c>
      <c r="M800" t="s">
        <v>17</v>
      </c>
    </row>
    <row r="801" spans="1:13">
      <c r="A801" t="s">
        <v>1826</v>
      </c>
      <c r="B801" s="2">
        <v>45981</v>
      </c>
      <c r="C801">
        <v>2025</v>
      </c>
      <c r="D801">
        <v>11</v>
      </c>
      <c r="E801" t="s">
        <v>117</v>
      </c>
      <c r="F801" t="s">
        <v>38</v>
      </c>
      <c r="G801" t="s">
        <v>74</v>
      </c>
      <c r="H801" t="s">
        <v>12</v>
      </c>
      <c r="I801" t="s">
        <v>1037</v>
      </c>
      <c r="J801" t="s">
        <v>1024</v>
      </c>
      <c r="K801" t="s">
        <v>70</v>
      </c>
      <c r="L801" t="s">
        <v>16</v>
      </c>
      <c r="M801" t="s">
        <v>10</v>
      </c>
    </row>
    <row r="802" spans="1:13">
      <c r="A802" t="s">
        <v>1827</v>
      </c>
      <c r="B802" s="2">
        <v>45989</v>
      </c>
      <c r="C802">
        <v>2025</v>
      </c>
      <c r="D802">
        <v>11</v>
      </c>
      <c r="E802" t="s">
        <v>117</v>
      </c>
      <c r="F802" t="s">
        <v>40</v>
      </c>
      <c r="G802" t="s">
        <v>38</v>
      </c>
      <c r="H802" t="s">
        <v>4</v>
      </c>
      <c r="I802" t="s">
        <v>1037</v>
      </c>
      <c r="J802" t="s">
        <v>1024</v>
      </c>
      <c r="K802" t="s">
        <v>70</v>
      </c>
      <c r="L802" t="s">
        <v>16</v>
      </c>
      <c r="M802" t="s">
        <v>10</v>
      </c>
    </row>
    <row r="803" spans="1:13">
      <c r="A803" t="s">
        <v>1828</v>
      </c>
      <c r="B803" s="2">
        <v>45987</v>
      </c>
      <c r="C803">
        <v>2025</v>
      </c>
      <c r="D803">
        <v>11</v>
      </c>
      <c r="E803" t="s">
        <v>117</v>
      </c>
      <c r="F803" t="s">
        <v>47</v>
      </c>
      <c r="G803" t="s">
        <v>61</v>
      </c>
      <c r="H803" t="s">
        <v>33</v>
      </c>
      <c r="I803" t="s">
        <v>1026</v>
      </c>
      <c r="J803" t="s">
        <v>470</v>
      </c>
      <c r="K803" t="s">
        <v>34</v>
      </c>
      <c r="L803" t="s">
        <v>9</v>
      </c>
      <c r="M803" t="s">
        <v>10</v>
      </c>
    </row>
    <row r="804" spans="1:13">
      <c r="A804" t="s">
        <v>1829</v>
      </c>
      <c r="B804" s="2">
        <v>45973</v>
      </c>
      <c r="C804">
        <v>2025</v>
      </c>
      <c r="D804">
        <v>11</v>
      </c>
      <c r="E804" t="s">
        <v>117</v>
      </c>
      <c r="F804" t="s">
        <v>26</v>
      </c>
      <c r="G804" t="s">
        <v>74</v>
      </c>
      <c r="H804" t="s">
        <v>4</v>
      </c>
      <c r="I804" t="s">
        <v>1023</v>
      </c>
      <c r="J804" t="s">
        <v>1024</v>
      </c>
      <c r="K804" t="s">
        <v>13</v>
      </c>
      <c r="L804" t="s">
        <v>9</v>
      </c>
      <c r="M804" t="s">
        <v>17</v>
      </c>
    </row>
    <row r="805" spans="1:13">
      <c r="A805" t="s">
        <v>1830</v>
      </c>
      <c r="B805" s="2">
        <v>45981</v>
      </c>
      <c r="C805">
        <v>2025</v>
      </c>
      <c r="D805">
        <v>11</v>
      </c>
      <c r="E805" t="s">
        <v>117</v>
      </c>
      <c r="F805" t="s">
        <v>78</v>
      </c>
      <c r="G805" t="s">
        <v>38</v>
      </c>
      <c r="H805" t="s">
        <v>33</v>
      </c>
      <c r="I805" t="s">
        <v>1029</v>
      </c>
      <c r="J805" t="s">
        <v>452</v>
      </c>
      <c r="K805" t="s">
        <v>50</v>
      </c>
      <c r="L805" t="s">
        <v>16</v>
      </c>
      <c r="M805" t="s">
        <v>10</v>
      </c>
    </row>
    <row r="806" spans="1:13">
      <c r="A806" t="s">
        <v>1831</v>
      </c>
      <c r="B806" s="2">
        <v>45966</v>
      </c>
      <c r="C806">
        <v>2025</v>
      </c>
      <c r="D806">
        <v>11</v>
      </c>
      <c r="E806" t="s">
        <v>117</v>
      </c>
      <c r="F806" t="s">
        <v>38</v>
      </c>
      <c r="G806" t="s">
        <v>38</v>
      </c>
      <c r="H806" t="s">
        <v>4</v>
      </c>
      <c r="I806" t="s">
        <v>1037</v>
      </c>
      <c r="J806" t="s">
        <v>1024</v>
      </c>
      <c r="K806" t="s">
        <v>13</v>
      </c>
      <c r="L806" t="s">
        <v>9</v>
      </c>
      <c r="M806" t="s">
        <v>10</v>
      </c>
    </row>
    <row r="807" spans="1:13">
      <c r="A807" t="s">
        <v>1832</v>
      </c>
      <c r="B807" s="2">
        <v>45976</v>
      </c>
      <c r="C807">
        <v>2025</v>
      </c>
      <c r="D807">
        <v>11</v>
      </c>
      <c r="E807" t="s">
        <v>117</v>
      </c>
      <c r="F807" t="s">
        <v>54</v>
      </c>
      <c r="G807" t="s">
        <v>27</v>
      </c>
      <c r="H807" t="s">
        <v>44</v>
      </c>
      <c r="I807" t="s">
        <v>1026</v>
      </c>
      <c r="J807" t="s">
        <v>454</v>
      </c>
      <c r="K807" t="s">
        <v>70</v>
      </c>
      <c r="L807" t="s">
        <v>9</v>
      </c>
      <c r="M807" t="s">
        <v>10</v>
      </c>
    </row>
    <row r="808" spans="1:13">
      <c r="A808" t="s">
        <v>1833</v>
      </c>
      <c r="B808" s="2">
        <v>45970</v>
      </c>
      <c r="C808">
        <v>2025</v>
      </c>
      <c r="D808">
        <v>11</v>
      </c>
      <c r="E808" t="s">
        <v>117</v>
      </c>
      <c r="F808" t="s">
        <v>54</v>
      </c>
      <c r="G808" t="s">
        <v>48</v>
      </c>
      <c r="H808" t="s">
        <v>33</v>
      </c>
      <c r="I808" t="s">
        <v>1037</v>
      </c>
      <c r="J808" t="s">
        <v>1024</v>
      </c>
      <c r="K808" t="s">
        <v>34</v>
      </c>
      <c r="L808" t="s">
        <v>9</v>
      </c>
      <c r="M808" t="s">
        <v>10</v>
      </c>
    </row>
    <row r="809" spans="1:13">
      <c r="A809" t="s">
        <v>1834</v>
      </c>
      <c r="B809" s="2">
        <v>45967</v>
      </c>
      <c r="C809">
        <v>2025</v>
      </c>
      <c r="D809">
        <v>11</v>
      </c>
      <c r="E809" t="s">
        <v>117</v>
      </c>
      <c r="F809" t="s">
        <v>26</v>
      </c>
      <c r="G809" t="s">
        <v>55</v>
      </c>
      <c r="H809" t="s">
        <v>12</v>
      </c>
      <c r="I809" t="s">
        <v>1037</v>
      </c>
      <c r="J809" t="s">
        <v>1024</v>
      </c>
      <c r="K809" t="s">
        <v>13</v>
      </c>
      <c r="L809" t="s">
        <v>36</v>
      </c>
      <c r="M809" t="s">
        <v>10</v>
      </c>
    </row>
    <row r="810" spans="1:13">
      <c r="A810" t="s">
        <v>1835</v>
      </c>
      <c r="B810" s="2">
        <v>45969</v>
      </c>
      <c r="C810">
        <v>2025</v>
      </c>
      <c r="D810">
        <v>11</v>
      </c>
      <c r="E810" t="s">
        <v>117</v>
      </c>
      <c r="F810" t="s">
        <v>40</v>
      </c>
      <c r="G810" t="s">
        <v>55</v>
      </c>
      <c r="H810" t="s">
        <v>4</v>
      </c>
      <c r="I810" t="s">
        <v>1029</v>
      </c>
      <c r="J810" t="s">
        <v>431</v>
      </c>
      <c r="K810" t="s">
        <v>34</v>
      </c>
      <c r="L810" t="s">
        <v>29</v>
      </c>
      <c r="M810" t="s">
        <v>10</v>
      </c>
    </row>
    <row r="811" spans="1:13">
      <c r="A811" t="s">
        <v>1836</v>
      </c>
      <c r="B811" s="2">
        <v>45971</v>
      </c>
      <c r="C811">
        <v>2025</v>
      </c>
      <c r="D811">
        <v>11</v>
      </c>
      <c r="E811" t="s">
        <v>117</v>
      </c>
      <c r="F811" t="s">
        <v>78</v>
      </c>
      <c r="G811" t="s">
        <v>55</v>
      </c>
      <c r="H811" t="s">
        <v>44</v>
      </c>
      <c r="I811" t="s">
        <v>1026</v>
      </c>
      <c r="J811" t="s">
        <v>454</v>
      </c>
      <c r="K811" t="s">
        <v>13</v>
      </c>
      <c r="L811" t="s">
        <v>29</v>
      </c>
      <c r="M811" t="s">
        <v>17</v>
      </c>
    </row>
    <row r="812" spans="1:13">
      <c r="A812" t="s">
        <v>1837</v>
      </c>
      <c r="B812" s="2">
        <v>45965</v>
      </c>
      <c r="C812">
        <v>2025</v>
      </c>
      <c r="D812">
        <v>11</v>
      </c>
      <c r="E812" t="s">
        <v>117</v>
      </c>
      <c r="F812" t="s">
        <v>26</v>
      </c>
      <c r="G812" t="s">
        <v>94</v>
      </c>
      <c r="H812" t="s">
        <v>4</v>
      </c>
      <c r="I812" t="s">
        <v>1026</v>
      </c>
      <c r="J812" t="s">
        <v>494</v>
      </c>
      <c r="K812" t="s">
        <v>50</v>
      </c>
      <c r="L812" t="s">
        <v>9</v>
      </c>
      <c r="M812" t="s">
        <v>17</v>
      </c>
    </row>
    <row r="813" spans="1:13">
      <c r="A813" t="s">
        <v>1838</v>
      </c>
      <c r="B813" s="2">
        <v>45971</v>
      </c>
      <c r="C813">
        <v>2025</v>
      </c>
      <c r="D813">
        <v>11</v>
      </c>
      <c r="E813" t="s">
        <v>117</v>
      </c>
      <c r="F813" t="s">
        <v>26</v>
      </c>
      <c r="G813" t="s">
        <v>48</v>
      </c>
      <c r="H813" t="s">
        <v>33</v>
      </c>
      <c r="I813" t="s">
        <v>1037</v>
      </c>
      <c r="J813" t="s">
        <v>1024</v>
      </c>
      <c r="K813" t="s">
        <v>70</v>
      </c>
      <c r="L813" t="s">
        <v>9</v>
      </c>
      <c r="M813" t="s">
        <v>10</v>
      </c>
    </row>
    <row r="814" spans="1:13">
      <c r="A814" t="s">
        <v>1839</v>
      </c>
      <c r="B814" s="2">
        <v>45985</v>
      </c>
      <c r="C814">
        <v>2025</v>
      </c>
      <c r="D814">
        <v>11</v>
      </c>
      <c r="E814" t="s">
        <v>117</v>
      </c>
      <c r="F814" t="s">
        <v>31</v>
      </c>
      <c r="G814" t="s">
        <v>61</v>
      </c>
      <c r="H814" t="s">
        <v>12</v>
      </c>
      <c r="I814" t="s">
        <v>1026</v>
      </c>
      <c r="J814" t="s">
        <v>470</v>
      </c>
      <c r="K814" t="s">
        <v>13</v>
      </c>
      <c r="L814" t="s">
        <v>36</v>
      </c>
      <c r="M814" t="s">
        <v>17</v>
      </c>
    </row>
    <row r="815" spans="1:13">
      <c r="A815" t="s">
        <v>1840</v>
      </c>
      <c r="B815" s="2">
        <v>45967</v>
      </c>
      <c r="C815">
        <v>2025</v>
      </c>
      <c r="D815">
        <v>11</v>
      </c>
      <c r="E815" t="s">
        <v>117</v>
      </c>
      <c r="F815" t="s">
        <v>47</v>
      </c>
      <c r="G815" t="s">
        <v>94</v>
      </c>
      <c r="H815" t="s">
        <v>44</v>
      </c>
      <c r="I815" t="s">
        <v>1029</v>
      </c>
      <c r="J815" t="s">
        <v>438</v>
      </c>
      <c r="K815" t="s">
        <v>50</v>
      </c>
      <c r="L815" t="s">
        <v>36</v>
      </c>
      <c r="M815" t="s">
        <v>10</v>
      </c>
    </row>
    <row r="816" spans="1:13">
      <c r="A816" t="s">
        <v>1841</v>
      </c>
      <c r="B816" s="2">
        <v>45985</v>
      </c>
      <c r="C816">
        <v>2025</v>
      </c>
      <c r="D816">
        <v>11</v>
      </c>
      <c r="E816" t="s">
        <v>117</v>
      </c>
      <c r="F816" t="s">
        <v>31</v>
      </c>
      <c r="G816" t="s">
        <v>38</v>
      </c>
      <c r="H816" t="s">
        <v>33</v>
      </c>
      <c r="I816" t="s">
        <v>1026</v>
      </c>
      <c r="J816" t="s">
        <v>519</v>
      </c>
      <c r="K816" t="s">
        <v>34</v>
      </c>
      <c r="L816" t="s">
        <v>16</v>
      </c>
      <c r="M816" t="s">
        <v>17</v>
      </c>
    </row>
    <row r="817" spans="1:13">
      <c r="A817" t="s">
        <v>1842</v>
      </c>
      <c r="B817" s="2">
        <v>45985</v>
      </c>
      <c r="C817">
        <v>2025</v>
      </c>
      <c r="D817">
        <v>11</v>
      </c>
      <c r="E817" t="s">
        <v>117</v>
      </c>
      <c r="F817" t="s">
        <v>78</v>
      </c>
      <c r="G817" t="s">
        <v>64</v>
      </c>
      <c r="H817" t="s">
        <v>12</v>
      </c>
      <c r="I817" t="s">
        <v>1026</v>
      </c>
      <c r="J817" t="s">
        <v>446</v>
      </c>
      <c r="K817" t="s">
        <v>50</v>
      </c>
      <c r="L817" t="s">
        <v>16</v>
      </c>
      <c r="M817" t="s">
        <v>10</v>
      </c>
    </row>
    <row r="818" spans="1:13">
      <c r="A818" t="s">
        <v>1843</v>
      </c>
      <c r="B818" s="2">
        <v>45970</v>
      </c>
      <c r="C818">
        <v>2025</v>
      </c>
      <c r="D818">
        <v>11</v>
      </c>
      <c r="E818" t="s">
        <v>117</v>
      </c>
      <c r="F818" t="s">
        <v>26</v>
      </c>
      <c r="G818" t="s">
        <v>74</v>
      </c>
      <c r="H818" t="s">
        <v>33</v>
      </c>
      <c r="I818" t="s">
        <v>1026</v>
      </c>
      <c r="J818" t="s">
        <v>444</v>
      </c>
      <c r="K818" t="s">
        <v>6</v>
      </c>
      <c r="L818" t="s">
        <v>29</v>
      </c>
      <c r="M818" t="s">
        <v>10</v>
      </c>
    </row>
    <row r="819" spans="1:13">
      <c r="A819" t="s">
        <v>1844</v>
      </c>
      <c r="B819" s="2">
        <v>45975</v>
      </c>
      <c r="C819">
        <v>2025</v>
      </c>
      <c r="D819">
        <v>11</v>
      </c>
      <c r="E819" t="s">
        <v>117</v>
      </c>
      <c r="F819" t="s">
        <v>2</v>
      </c>
      <c r="G819" t="s">
        <v>27</v>
      </c>
      <c r="H819" t="s">
        <v>44</v>
      </c>
      <c r="I819" t="s">
        <v>1029</v>
      </c>
      <c r="J819" t="s">
        <v>84</v>
      </c>
      <c r="K819" t="s">
        <v>34</v>
      </c>
      <c r="L819" t="s">
        <v>29</v>
      </c>
      <c r="M819" t="s">
        <v>17</v>
      </c>
    </row>
    <row r="820" spans="1:13">
      <c r="A820" t="s">
        <v>1845</v>
      </c>
      <c r="B820" s="2">
        <v>45965</v>
      </c>
      <c r="C820">
        <v>2025</v>
      </c>
      <c r="D820">
        <v>11</v>
      </c>
      <c r="E820" t="s">
        <v>117</v>
      </c>
      <c r="F820" t="s">
        <v>47</v>
      </c>
      <c r="G820" t="s">
        <v>74</v>
      </c>
      <c r="H820" t="s">
        <v>4</v>
      </c>
      <c r="I820" t="s">
        <v>1023</v>
      </c>
      <c r="J820" t="s">
        <v>1024</v>
      </c>
      <c r="K820" t="s">
        <v>70</v>
      </c>
      <c r="L820" t="s">
        <v>16</v>
      </c>
      <c r="M820" t="s">
        <v>10</v>
      </c>
    </row>
    <row r="821" spans="1:13">
      <c r="A821" t="s">
        <v>1846</v>
      </c>
      <c r="B821" s="2">
        <v>45965</v>
      </c>
      <c r="C821">
        <v>2025</v>
      </c>
      <c r="D821">
        <v>11</v>
      </c>
      <c r="E821" t="s">
        <v>117</v>
      </c>
      <c r="F821" t="s">
        <v>78</v>
      </c>
      <c r="G821" t="s">
        <v>38</v>
      </c>
      <c r="H821" t="s">
        <v>33</v>
      </c>
      <c r="I821" t="s">
        <v>1037</v>
      </c>
      <c r="J821" t="s">
        <v>1024</v>
      </c>
      <c r="K821" t="s">
        <v>50</v>
      </c>
      <c r="L821" t="s">
        <v>9</v>
      </c>
      <c r="M821" t="s">
        <v>17</v>
      </c>
    </row>
    <row r="822" spans="1:13">
      <c r="A822" t="s">
        <v>1847</v>
      </c>
      <c r="B822" s="2">
        <v>45966</v>
      </c>
      <c r="C822">
        <v>2025</v>
      </c>
      <c r="D822">
        <v>11</v>
      </c>
      <c r="E822" t="s">
        <v>117</v>
      </c>
      <c r="F822" t="s">
        <v>26</v>
      </c>
      <c r="G822" t="s">
        <v>3</v>
      </c>
      <c r="H822" t="s">
        <v>44</v>
      </c>
      <c r="I822" t="s">
        <v>1029</v>
      </c>
      <c r="J822" t="s">
        <v>435</v>
      </c>
      <c r="K822" t="s">
        <v>13</v>
      </c>
      <c r="L822" t="s">
        <v>16</v>
      </c>
      <c r="M822" t="s">
        <v>10</v>
      </c>
    </row>
    <row r="823" spans="1:13">
      <c r="A823" t="s">
        <v>1848</v>
      </c>
      <c r="B823" s="2">
        <v>45986</v>
      </c>
      <c r="C823">
        <v>2025</v>
      </c>
      <c r="D823">
        <v>11</v>
      </c>
      <c r="E823" t="s">
        <v>117</v>
      </c>
      <c r="F823" t="s">
        <v>40</v>
      </c>
      <c r="G823" t="s">
        <v>64</v>
      </c>
      <c r="H823" t="s">
        <v>33</v>
      </c>
      <c r="I823" t="s">
        <v>1026</v>
      </c>
      <c r="J823" t="s">
        <v>460</v>
      </c>
      <c r="K823" t="s">
        <v>6</v>
      </c>
      <c r="L823" t="s">
        <v>16</v>
      </c>
      <c r="M823" t="s">
        <v>10</v>
      </c>
    </row>
    <row r="824" spans="1:13">
      <c r="A824" t="s">
        <v>1849</v>
      </c>
      <c r="B824" s="2">
        <v>45977</v>
      </c>
      <c r="C824">
        <v>2025</v>
      </c>
      <c r="D824">
        <v>11</v>
      </c>
      <c r="E824" t="s">
        <v>117</v>
      </c>
      <c r="F824" t="s">
        <v>67</v>
      </c>
      <c r="G824" t="s">
        <v>69</v>
      </c>
      <c r="H824" t="s">
        <v>33</v>
      </c>
      <c r="I824" t="s">
        <v>1026</v>
      </c>
      <c r="J824" t="s">
        <v>460</v>
      </c>
      <c r="K824" t="s">
        <v>34</v>
      </c>
      <c r="L824" t="s">
        <v>29</v>
      </c>
      <c r="M824" t="s">
        <v>10</v>
      </c>
    </row>
    <row r="825" spans="1:13">
      <c r="A825" t="s">
        <v>1850</v>
      </c>
      <c r="B825" s="2">
        <v>45972</v>
      </c>
      <c r="C825">
        <v>2025</v>
      </c>
      <c r="D825">
        <v>11</v>
      </c>
      <c r="E825" t="s">
        <v>117</v>
      </c>
      <c r="F825" t="s">
        <v>38</v>
      </c>
      <c r="G825" t="s">
        <v>74</v>
      </c>
      <c r="H825" t="s">
        <v>12</v>
      </c>
      <c r="I825" t="s">
        <v>1029</v>
      </c>
      <c r="J825" t="s">
        <v>473</v>
      </c>
      <c r="K825" t="s">
        <v>70</v>
      </c>
      <c r="L825" t="s">
        <v>36</v>
      </c>
      <c r="M825" t="s">
        <v>10</v>
      </c>
    </row>
    <row r="826" spans="1:13">
      <c r="A826" t="s">
        <v>1851</v>
      </c>
      <c r="B826" s="2">
        <v>45968</v>
      </c>
      <c r="C826">
        <v>2025</v>
      </c>
      <c r="D826">
        <v>11</v>
      </c>
      <c r="E826" t="s">
        <v>117</v>
      </c>
      <c r="F826" t="s">
        <v>54</v>
      </c>
      <c r="G826" t="s">
        <v>48</v>
      </c>
      <c r="H826" t="s">
        <v>33</v>
      </c>
      <c r="I826" t="s">
        <v>1029</v>
      </c>
      <c r="J826" t="s">
        <v>431</v>
      </c>
      <c r="K826" t="s">
        <v>6</v>
      </c>
      <c r="L826" t="s">
        <v>9</v>
      </c>
      <c r="M826" t="s">
        <v>17</v>
      </c>
    </row>
    <row r="827" spans="1:13">
      <c r="A827" t="s">
        <v>1852</v>
      </c>
      <c r="B827" s="2">
        <v>45983</v>
      </c>
      <c r="C827">
        <v>2025</v>
      </c>
      <c r="D827">
        <v>11</v>
      </c>
      <c r="E827" t="s">
        <v>117</v>
      </c>
      <c r="F827" t="s">
        <v>38</v>
      </c>
      <c r="G827" t="s">
        <v>20</v>
      </c>
      <c r="H827" t="s">
        <v>4</v>
      </c>
      <c r="I827" t="s">
        <v>1026</v>
      </c>
      <c r="J827" t="s">
        <v>457</v>
      </c>
      <c r="K827" t="s">
        <v>34</v>
      </c>
      <c r="L827" t="s">
        <v>36</v>
      </c>
      <c r="M827" t="s">
        <v>10</v>
      </c>
    </row>
    <row r="828" spans="1:13">
      <c r="A828" t="s">
        <v>1853</v>
      </c>
      <c r="B828" s="2">
        <v>45972</v>
      </c>
      <c r="C828">
        <v>2025</v>
      </c>
      <c r="D828">
        <v>11</v>
      </c>
      <c r="E828" t="s">
        <v>117</v>
      </c>
      <c r="F828" t="s">
        <v>54</v>
      </c>
      <c r="G828" t="s">
        <v>3</v>
      </c>
      <c r="H828" t="s">
        <v>44</v>
      </c>
      <c r="I828" t="s">
        <v>1023</v>
      </c>
      <c r="J828" t="s">
        <v>1024</v>
      </c>
      <c r="K828" t="s">
        <v>50</v>
      </c>
      <c r="L828" t="s">
        <v>29</v>
      </c>
      <c r="M828" t="s">
        <v>10</v>
      </c>
    </row>
    <row r="829" spans="1:13">
      <c r="A829" t="s">
        <v>1854</v>
      </c>
      <c r="B829" s="2">
        <v>45972</v>
      </c>
      <c r="C829">
        <v>2025</v>
      </c>
      <c r="D829">
        <v>11</v>
      </c>
      <c r="E829" t="s">
        <v>117</v>
      </c>
      <c r="F829" t="s">
        <v>31</v>
      </c>
      <c r="G829" t="s">
        <v>74</v>
      </c>
      <c r="H829" t="s">
        <v>44</v>
      </c>
      <c r="I829" t="s">
        <v>1029</v>
      </c>
      <c r="J829" t="s">
        <v>435</v>
      </c>
      <c r="K829" t="s">
        <v>13</v>
      </c>
      <c r="L829" t="s">
        <v>36</v>
      </c>
      <c r="M829" t="s">
        <v>10</v>
      </c>
    </row>
    <row r="830" spans="1:13">
      <c r="A830" t="s">
        <v>1855</v>
      </c>
      <c r="B830" s="2">
        <v>45973</v>
      </c>
      <c r="C830">
        <v>2025</v>
      </c>
      <c r="D830">
        <v>11</v>
      </c>
      <c r="E830" t="s">
        <v>117</v>
      </c>
      <c r="F830" t="s">
        <v>2</v>
      </c>
      <c r="G830" t="s">
        <v>20</v>
      </c>
      <c r="H830" t="s">
        <v>12</v>
      </c>
      <c r="I830" t="s">
        <v>1026</v>
      </c>
      <c r="J830" t="s">
        <v>494</v>
      </c>
      <c r="K830" t="s">
        <v>34</v>
      </c>
      <c r="L830" t="s">
        <v>29</v>
      </c>
      <c r="M830" t="s">
        <v>17</v>
      </c>
    </row>
    <row r="831" spans="1:13">
      <c r="A831" t="s">
        <v>1856</v>
      </c>
      <c r="B831" s="2">
        <v>45989</v>
      </c>
      <c r="C831">
        <v>2025</v>
      </c>
      <c r="D831">
        <v>11</v>
      </c>
      <c r="E831" t="s">
        <v>117</v>
      </c>
      <c r="F831" t="s">
        <v>78</v>
      </c>
      <c r="G831" t="s">
        <v>61</v>
      </c>
      <c r="H831" t="s">
        <v>4</v>
      </c>
      <c r="I831" t="s">
        <v>1029</v>
      </c>
      <c r="J831" t="s">
        <v>438</v>
      </c>
      <c r="K831" t="s">
        <v>70</v>
      </c>
      <c r="L831" t="s">
        <v>29</v>
      </c>
      <c r="M831" t="s">
        <v>10</v>
      </c>
    </row>
    <row r="832" spans="1:13">
      <c r="A832" t="s">
        <v>1857</v>
      </c>
      <c r="B832" s="2">
        <v>45969</v>
      </c>
      <c r="C832">
        <v>2025</v>
      </c>
      <c r="D832">
        <v>11</v>
      </c>
      <c r="E832" t="s">
        <v>117</v>
      </c>
      <c r="F832" t="s">
        <v>67</v>
      </c>
      <c r="G832" t="s">
        <v>38</v>
      </c>
      <c r="H832" t="s">
        <v>4</v>
      </c>
      <c r="I832" t="s">
        <v>1026</v>
      </c>
      <c r="J832" t="s">
        <v>454</v>
      </c>
      <c r="K832" t="s">
        <v>70</v>
      </c>
      <c r="L832" t="s">
        <v>36</v>
      </c>
      <c r="M832" t="s">
        <v>17</v>
      </c>
    </row>
    <row r="833" spans="1:13">
      <c r="A833" t="s">
        <v>1858</v>
      </c>
      <c r="B833" s="2">
        <v>45988</v>
      </c>
      <c r="C833">
        <v>2025</v>
      </c>
      <c r="D833">
        <v>11</v>
      </c>
      <c r="E833" t="s">
        <v>117</v>
      </c>
      <c r="F833" t="s">
        <v>31</v>
      </c>
      <c r="G833" t="s">
        <v>94</v>
      </c>
      <c r="H833" t="s">
        <v>4</v>
      </c>
      <c r="I833" t="s">
        <v>1029</v>
      </c>
      <c r="J833" t="s">
        <v>464</v>
      </c>
      <c r="K833" t="s">
        <v>70</v>
      </c>
      <c r="L833" t="s">
        <v>36</v>
      </c>
      <c r="M833" t="s">
        <v>10</v>
      </c>
    </row>
    <row r="834" spans="1:13">
      <c r="A834" t="s">
        <v>1859</v>
      </c>
      <c r="B834" s="2">
        <v>45978</v>
      </c>
      <c r="C834">
        <v>2025</v>
      </c>
      <c r="D834">
        <v>11</v>
      </c>
      <c r="E834" t="s">
        <v>117</v>
      </c>
      <c r="F834" t="s">
        <v>47</v>
      </c>
      <c r="G834" t="s">
        <v>94</v>
      </c>
      <c r="H834" t="s">
        <v>4</v>
      </c>
      <c r="I834" t="s">
        <v>1037</v>
      </c>
      <c r="J834" t="s">
        <v>1024</v>
      </c>
      <c r="K834" t="s">
        <v>70</v>
      </c>
      <c r="L834" t="s">
        <v>36</v>
      </c>
      <c r="M834" t="s">
        <v>10</v>
      </c>
    </row>
    <row r="835" spans="1:13">
      <c r="A835" t="s">
        <v>1860</v>
      </c>
      <c r="B835" s="2">
        <v>45966</v>
      </c>
      <c r="C835">
        <v>2025</v>
      </c>
      <c r="D835">
        <v>11</v>
      </c>
      <c r="E835" t="s">
        <v>117</v>
      </c>
      <c r="F835" t="s">
        <v>40</v>
      </c>
      <c r="G835" t="s">
        <v>94</v>
      </c>
      <c r="H835" t="s">
        <v>44</v>
      </c>
      <c r="I835" t="s">
        <v>1023</v>
      </c>
      <c r="J835" t="s">
        <v>1024</v>
      </c>
      <c r="K835" t="s">
        <v>13</v>
      </c>
      <c r="L835" t="s">
        <v>29</v>
      </c>
      <c r="M835" t="s">
        <v>10</v>
      </c>
    </row>
    <row r="836" spans="1:13">
      <c r="A836" t="s">
        <v>1861</v>
      </c>
      <c r="B836" s="2">
        <v>45978</v>
      </c>
      <c r="C836">
        <v>2025</v>
      </c>
      <c r="D836">
        <v>11</v>
      </c>
      <c r="E836" t="s">
        <v>117</v>
      </c>
      <c r="F836" t="s">
        <v>19</v>
      </c>
      <c r="G836" t="s">
        <v>55</v>
      </c>
      <c r="H836" t="s">
        <v>33</v>
      </c>
      <c r="I836" t="s">
        <v>1026</v>
      </c>
      <c r="J836" t="s">
        <v>428</v>
      </c>
      <c r="K836" t="s">
        <v>50</v>
      </c>
      <c r="L836" t="s">
        <v>9</v>
      </c>
      <c r="M836" t="s">
        <v>10</v>
      </c>
    </row>
    <row r="837" spans="1:13">
      <c r="A837" t="s">
        <v>1862</v>
      </c>
      <c r="B837" s="2">
        <v>45984</v>
      </c>
      <c r="C837">
        <v>2025</v>
      </c>
      <c r="D837">
        <v>11</v>
      </c>
      <c r="E837" t="s">
        <v>117</v>
      </c>
      <c r="F837" t="s">
        <v>2</v>
      </c>
      <c r="G837" t="s">
        <v>74</v>
      </c>
      <c r="H837" t="s">
        <v>4</v>
      </c>
      <c r="I837" t="s">
        <v>1026</v>
      </c>
      <c r="J837" t="s">
        <v>519</v>
      </c>
      <c r="K837" t="s">
        <v>70</v>
      </c>
      <c r="L837" t="s">
        <v>16</v>
      </c>
      <c r="M837" t="s">
        <v>10</v>
      </c>
    </row>
    <row r="838" spans="1:13">
      <c r="A838" t="s">
        <v>1863</v>
      </c>
      <c r="B838" s="2">
        <v>45987</v>
      </c>
      <c r="C838">
        <v>2025</v>
      </c>
      <c r="D838">
        <v>11</v>
      </c>
      <c r="E838" t="s">
        <v>117</v>
      </c>
      <c r="F838" t="s">
        <v>40</v>
      </c>
      <c r="G838" t="s">
        <v>74</v>
      </c>
      <c r="H838" t="s">
        <v>12</v>
      </c>
      <c r="I838" t="s">
        <v>1029</v>
      </c>
      <c r="J838" t="s">
        <v>464</v>
      </c>
      <c r="K838" t="s">
        <v>50</v>
      </c>
      <c r="L838" t="s">
        <v>9</v>
      </c>
      <c r="M838" t="s">
        <v>17</v>
      </c>
    </row>
    <row r="839" spans="1:13">
      <c r="A839" t="s">
        <v>1864</v>
      </c>
      <c r="B839" s="2">
        <v>45971</v>
      </c>
      <c r="C839">
        <v>2025</v>
      </c>
      <c r="D839">
        <v>11</v>
      </c>
      <c r="E839" t="s">
        <v>117</v>
      </c>
      <c r="F839" t="s">
        <v>54</v>
      </c>
      <c r="G839" t="s">
        <v>94</v>
      </c>
      <c r="H839" t="s">
        <v>33</v>
      </c>
      <c r="I839" t="s">
        <v>1026</v>
      </c>
      <c r="J839" t="s">
        <v>470</v>
      </c>
      <c r="K839" t="s">
        <v>50</v>
      </c>
      <c r="L839" t="s">
        <v>36</v>
      </c>
      <c r="M839" t="s">
        <v>17</v>
      </c>
    </row>
    <row r="840" spans="1:13">
      <c r="A840" t="s">
        <v>1865</v>
      </c>
      <c r="B840" s="2">
        <v>45978</v>
      </c>
      <c r="C840">
        <v>2025</v>
      </c>
      <c r="D840">
        <v>11</v>
      </c>
      <c r="E840" t="s">
        <v>117</v>
      </c>
      <c r="F840" t="s">
        <v>47</v>
      </c>
      <c r="G840" t="s">
        <v>69</v>
      </c>
      <c r="H840" t="s">
        <v>33</v>
      </c>
      <c r="I840" t="s">
        <v>1037</v>
      </c>
      <c r="J840" t="s">
        <v>1024</v>
      </c>
      <c r="K840" t="s">
        <v>34</v>
      </c>
      <c r="L840" t="s">
        <v>16</v>
      </c>
      <c r="M840" t="s">
        <v>10</v>
      </c>
    </row>
    <row r="841" spans="1:13">
      <c r="A841" t="s">
        <v>1866</v>
      </c>
      <c r="B841" s="2">
        <v>45979</v>
      </c>
      <c r="C841">
        <v>2025</v>
      </c>
      <c r="D841">
        <v>11</v>
      </c>
      <c r="E841" t="s">
        <v>117</v>
      </c>
      <c r="F841" t="s">
        <v>47</v>
      </c>
      <c r="G841" t="s">
        <v>61</v>
      </c>
      <c r="H841" t="s">
        <v>33</v>
      </c>
      <c r="I841" t="s">
        <v>1023</v>
      </c>
      <c r="J841" t="s">
        <v>1024</v>
      </c>
      <c r="K841" t="s">
        <v>34</v>
      </c>
      <c r="L841" t="s">
        <v>9</v>
      </c>
      <c r="M841" t="s">
        <v>17</v>
      </c>
    </row>
    <row r="842" spans="1:13">
      <c r="A842" t="s">
        <v>1867</v>
      </c>
      <c r="B842" s="2">
        <v>45979</v>
      </c>
      <c r="C842">
        <v>2025</v>
      </c>
      <c r="D842">
        <v>11</v>
      </c>
      <c r="E842" t="s">
        <v>117</v>
      </c>
      <c r="F842" t="s">
        <v>54</v>
      </c>
      <c r="G842" t="s">
        <v>74</v>
      </c>
      <c r="H842" t="s">
        <v>12</v>
      </c>
      <c r="I842" t="s">
        <v>1026</v>
      </c>
      <c r="J842" t="s">
        <v>428</v>
      </c>
      <c r="K842" t="s">
        <v>6</v>
      </c>
      <c r="L842" t="s">
        <v>9</v>
      </c>
      <c r="M842" t="s">
        <v>10</v>
      </c>
    </row>
    <row r="843" spans="1:13">
      <c r="A843" t="s">
        <v>1868</v>
      </c>
      <c r="B843" s="2">
        <v>45986</v>
      </c>
      <c r="C843">
        <v>2025</v>
      </c>
      <c r="D843">
        <v>11</v>
      </c>
      <c r="E843" t="s">
        <v>117</v>
      </c>
      <c r="F843" t="s">
        <v>40</v>
      </c>
      <c r="G843" t="s">
        <v>27</v>
      </c>
      <c r="H843" t="s">
        <v>12</v>
      </c>
      <c r="I843" t="s">
        <v>1026</v>
      </c>
      <c r="J843" t="s">
        <v>470</v>
      </c>
      <c r="K843" t="s">
        <v>6</v>
      </c>
      <c r="L843" t="s">
        <v>16</v>
      </c>
      <c r="M843" t="s">
        <v>10</v>
      </c>
    </row>
    <row r="844" spans="1:13">
      <c r="A844" t="s">
        <v>1869</v>
      </c>
      <c r="B844" s="2">
        <v>45979</v>
      </c>
      <c r="C844">
        <v>2025</v>
      </c>
      <c r="D844">
        <v>11</v>
      </c>
      <c r="E844" t="s">
        <v>117</v>
      </c>
      <c r="F844" t="s">
        <v>26</v>
      </c>
      <c r="G844" t="s">
        <v>55</v>
      </c>
      <c r="H844" t="s">
        <v>44</v>
      </c>
      <c r="I844" t="s">
        <v>1029</v>
      </c>
      <c r="J844" t="s">
        <v>452</v>
      </c>
      <c r="K844" t="s">
        <v>50</v>
      </c>
      <c r="L844" t="s">
        <v>9</v>
      </c>
      <c r="M844" t="s">
        <v>10</v>
      </c>
    </row>
    <row r="845" spans="1:13">
      <c r="A845" t="s">
        <v>1870</v>
      </c>
      <c r="B845" s="2">
        <v>45967</v>
      </c>
      <c r="C845">
        <v>2025</v>
      </c>
      <c r="D845">
        <v>11</v>
      </c>
      <c r="E845" t="s">
        <v>117</v>
      </c>
      <c r="F845" t="s">
        <v>40</v>
      </c>
      <c r="G845" t="s">
        <v>61</v>
      </c>
      <c r="H845" t="s">
        <v>12</v>
      </c>
      <c r="I845" t="s">
        <v>1029</v>
      </c>
      <c r="J845" t="s">
        <v>452</v>
      </c>
      <c r="K845" t="s">
        <v>13</v>
      </c>
      <c r="L845" t="s">
        <v>36</v>
      </c>
      <c r="M845" t="s">
        <v>10</v>
      </c>
    </row>
    <row r="846" spans="1:13">
      <c r="A846" t="s">
        <v>1871</v>
      </c>
      <c r="B846" s="2">
        <v>45988</v>
      </c>
      <c r="C846">
        <v>2025</v>
      </c>
      <c r="D846">
        <v>11</v>
      </c>
      <c r="E846" t="s">
        <v>117</v>
      </c>
      <c r="F846" t="s">
        <v>2</v>
      </c>
      <c r="G846" t="s">
        <v>20</v>
      </c>
      <c r="H846" t="s">
        <v>44</v>
      </c>
      <c r="I846" t="s">
        <v>1026</v>
      </c>
      <c r="J846" t="s">
        <v>446</v>
      </c>
      <c r="K846" t="s">
        <v>13</v>
      </c>
      <c r="L846" t="s">
        <v>16</v>
      </c>
      <c r="M846" t="s">
        <v>10</v>
      </c>
    </row>
    <row r="847" spans="1:13">
      <c r="A847" t="s">
        <v>1872</v>
      </c>
      <c r="B847" s="2">
        <v>45989</v>
      </c>
      <c r="C847">
        <v>2025</v>
      </c>
      <c r="D847">
        <v>11</v>
      </c>
      <c r="E847" t="s">
        <v>117</v>
      </c>
      <c r="F847" t="s">
        <v>19</v>
      </c>
      <c r="G847" t="s">
        <v>27</v>
      </c>
      <c r="H847" t="s">
        <v>4</v>
      </c>
      <c r="I847" t="s">
        <v>1023</v>
      </c>
      <c r="J847" t="s">
        <v>1024</v>
      </c>
      <c r="K847" t="s">
        <v>34</v>
      </c>
      <c r="L847" t="s">
        <v>9</v>
      </c>
      <c r="M847" t="s">
        <v>10</v>
      </c>
    </row>
    <row r="848" spans="1:13">
      <c r="A848" t="s">
        <v>1873</v>
      </c>
      <c r="B848" s="2">
        <v>45986</v>
      </c>
      <c r="C848">
        <v>2025</v>
      </c>
      <c r="D848">
        <v>11</v>
      </c>
      <c r="E848" t="s">
        <v>117</v>
      </c>
      <c r="F848" t="s">
        <v>31</v>
      </c>
      <c r="G848" t="s">
        <v>27</v>
      </c>
      <c r="H848" t="s">
        <v>33</v>
      </c>
      <c r="I848" t="s">
        <v>1023</v>
      </c>
      <c r="J848" t="s">
        <v>1024</v>
      </c>
      <c r="K848" t="s">
        <v>50</v>
      </c>
      <c r="L848" t="s">
        <v>16</v>
      </c>
      <c r="M848" t="s">
        <v>10</v>
      </c>
    </row>
    <row r="849" spans="1:13">
      <c r="A849" t="s">
        <v>1874</v>
      </c>
      <c r="B849" s="2">
        <v>45983</v>
      </c>
      <c r="C849">
        <v>2025</v>
      </c>
      <c r="D849">
        <v>11</v>
      </c>
      <c r="E849" t="s">
        <v>117</v>
      </c>
      <c r="F849" t="s">
        <v>54</v>
      </c>
      <c r="G849" t="s">
        <v>20</v>
      </c>
      <c r="H849" t="s">
        <v>4</v>
      </c>
      <c r="I849" t="s">
        <v>1037</v>
      </c>
      <c r="J849" t="s">
        <v>1024</v>
      </c>
      <c r="K849" t="s">
        <v>13</v>
      </c>
      <c r="L849" t="s">
        <v>29</v>
      </c>
      <c r="M849" t="s">
        <v>10</v>
      </c>
    </row>
    <row r="850" spans="1:13">
      <c r="A850" t="s">
        <v>1875</v>
      </c>
      <c r="B850" s="2">
        <v>45974</v>
      </c>
      <c r="C850">
        <v>2025</v>
      </c>
      <c r="D850">
        <v>11</v>
      </c>
      <c r="E850" t="s">
        <v>117</v>
      </c>
      <c r="F850" t="s">
        <v>2</v>
      </c>
      <c r="G850" t="s">
        <v>69</v>
      </c>
      <c r="H850" t="s">
        <v>33</v>
      </c>
      <c r="I850" t="s">
        <v>1029</v>
      </c>
      <c r="J850" t="s">
        <v>464</v>
      </c>
      <c r="K850" t="s">
        <v>50</v>
      </c>
      <c r="L850" t="s">
        <v>29</v>
      </c>
      <c r="M850" t="s">
        <v>17</v>
      </c>
    </row>
    <row r="851" spans="1:13">
      <c r="A851" t="s">
        <v>1876</v>
      </c>
      <c r="B851" s="2">
        <v>45984</v>
      </c>
      <c r="C851">
        <v>2025</v>
      </c>
      <c r="D851">
        <v>11</v>
      </c>
      <c r="E851" t="s">
        <v>117</v>
      </c>
      <c r="F851" t="s">
        <v>26</v>
      </c>
      <c r="G851" t="s">
        <v>20</v>
      </c>
      <c r="H851" t="s">
        <v>33</v>
      </c>
      <c r="I851" t="s">
        <v>1026</v>
      </c>
      <c r="J851" t="s">
        <v>460</v>
      </c>
      <c r="K851" t="s">
        <v>70</v>
      </c>
      <c r="L851" t="s">
        <v>36</v>
      </c>
      <c r="M851" t="s">
        <v>17</v>
      </c>
    </row>
    <row r="852" spans="1:13">
      <c r="A852" t="s">
        <v>1877</v>
      </c>
      <c r="B852" s="2">
        <v>45964</v>
      </c>
      <c r="C852">
        <v>2025</v>
      </c>
      <c r="D852">
        <v>11</v>
      </c>
      <c r="E852" t="s">
        <v>117</v>
      </c>
      <c r="F852" t="s">
        <v>40</v>
      </c>
      <c r="G852" t="s">
        <v>27</v>
      </c>
      <c r="H852" t="s">
        <v>44</v>
      </c>
      <c r="I852" t="s">
        <v>1029</v>
      </c>
      <c r="J852" t="s">
        <v>452</v>
      </c>
      <c r="K852" t="s">
        <v>34</v>
      </c>
      <c r="L852" t="s">
        <v>16</v>
      </c>
      <c r="M852" t="s">
        <v>10</v>
      </c>
    </row>
    <row r="853" spans="1:13">
      <c r="A853" t="s">
        <v>1878</v>
      </c>
      <c r="B853" s="2">
        <v>46017</v>
      </c>
      <c r="C853">
        <v>2025</v>
      </c>
      <c r="D853">
        <v>12</v>
      </c>
      <c r="E853" t="s">
        <v>124</v>
      </c>
      <c r="F853" t="s">
        <v>47</v>
      </c>
      <c r="G853" t="s">
        <v>20</v>
      </c>
      <c r="H853" t="s">
        <v>44</v>
      </c>
      <c r="I853" t="s">
        <v>1029</v>
      </c>
      <c r="J853" t="s">
        <v>438</v>
      </c>
      <c r="K853" t="s">
        <v>70</v>
      </c>
      <c r="L853" t="s">
        <v>9</v>
      </c>
      <c r="M853" t="s">
        <v>10</v>
      </c>
    </row>
    <row r="854" spans="1:13">
      <c r="A854" t="s">
        <v>1879</v>
      </c>
      <c r="B854" s="2">
        <v>46000</v>
      </c>
      <c r="C854">
        <v>2025</v>
      </c>
      <c r="D854">
        <v>12</v>
      </c>
      <c r="E854" t="s">
        <v>124</v>
      </c>
      <c r="F854" t="s">
        <v>40</v>
      </c>
      <c r="G854" t="s">
        <v>55</v>
      </c>
      <c r="H854" t="s">
        <v>33</v>
      </c>
      <c r="I854" t="s">
        <v>1026</v>
      </c>
      <c r="J854" t="s">
        <v>428</v>
      </c>
      <c r="K854" t="s">
        <v>50</v>
      </c>
      <c r="L854" t="s">
        <v>16</v>
      </c>
      <c r="M854" t="s">
        <v>10</v>
      </c>
    </row>
    <row r="855" spans="1:13">
      <c r="A855" t="s">
        <v>1880</v>
      </c>
      <c r="B855" s="2">
        <v>46009</v>
      </c>
      <c r="C855">
        <v>2025</v>
      </c>
      <c r="D855">
        <v>12</v>
      </c>
      <c r="E855" t="s">
        <v>124</v>
      </c>
      <c r="F855" t="s">
        <v>67</v>
      </c>
      <c r="G855" t="s">
        <v>64</v>
      </c>
      <c r="H855" t="s">
        <v>33</v>
      </c>
      <c r="I855" t="s">
        <v>1029</v>
      </c>
      <c r="J855" t="s">
        <v>462</v>
      </c>
      <c r="K855" t="s">
        <v>6</v>
      </c>
      <c r="L855" t="s">
        <v>9</v>
      </c>
      <c r="M855" t="s">
        <v>10</v>
      </c>
    </row>
    <row r="856" spans="1:13">
      <c r="A856" t="s">
        <v>1881</v>
      </c>
      <c r="B856" s="2">
        <v>46010</v>
      </c>
      <c r="C856">
        <v>2025</v>
      </c>
      <c r="D856">
        <v>12</v>
      </c>
      <c r="E856" t="s">
        <v>124</v>
      </c>
      <c r="F856" t="s">
        <v>67</v>
      </c>
      <c r="G856" t="s">
        <v>74</v>
      </c>
      <c r="H856" t="s">
        <v>44</v>
      </c>
      <c r="I856" t="s">
        <v>1026</v>
      </c>
      <c r="J856" t="s">
        <v>494</v>
      </c>
      <c r="K856" t="s">
        <v>34</v>
      </c>
      <c r="L856" t="s">
        <v>29</v>
      </c>
      <c r="M856" t="s">
        <v>17</v>
      </c>
    </row>
    <row r="857" spans="1:13">
      <c r="A857" t="s">
        <v>1882</v>
      </c>
      <c r="B857" s="2">
        <v>46005</v>
      </c>
      <c r="C857">
        <v>2025</v>
      </c>
      <c r="D857">
        <v>12</v>
      </c>
      <c r="E857" t="s">
        <v>124</v>
      </c>
      <c r="F857" t="s">
        <v>54</v>
      </c>
      <c r="G857" t="s">
        <v>74</v>
      </c>
      <c r="H857" t="s">
        <v>4</v>
      </c>
      <c r="I857" t="s">
        <v>1026</v>
      </c>
      <c r="J857" t="s">
        <v>446</v>
      </c>
      <c r="K857" t="s">
        <v>70</v>
      </c>
      <c r="L857" t="s">
        <v>16</v>
      </c>
      <c r="M857" t="s">
        <v>10</v>
      </c>
    </row>
    <row r="858" spans="1:13">
      <c r="A858" t="s">
        <v>1883</v>
      </c>
      <c r="B858" s="2">
        <v>46013</v>
      </c>
      <c r="C858">
        <v>2025</v>
      </c>
      <c r="D858">
        <v>12</v>
      </c>
      <c r="E858" t="s">
        <v>124</v>
      </c>
      <c r="F858" t="s">
        <v>2</v>
      </c>
      <c r="G858" t="s">
        <v>3</v>
      </c>
      <c r="H858" t="s">
        <v>33</v>
      </c>
      <c r="I858" t="s">
        <v>1026</v>
      </c>
      <c r="J858" t="s">
        <v>470</v>
      </c>
      <c r="K858" t="s">
        <v>6</v>
      </c>
      <c r="L858" t="s">
        <v>9</v>
      </c>
      <c r="M858" t="s">
        <v>10</v>
      </c>
    </row>
    <row r="859" spans="1:13">
      <c r="A859" t="s">
        <v>1884</v>
      </c>
      <c r="B859" s="2">
        <v>46002</v>
      </c>
      <c r="C859">
        <v>2025</v>
      </c>
      <c r="D859">
        <v>12</v>
      </c>
      <c r="E859" t="s">
        <v>124</v>
      </c>
      <c r="F859" t="s">
        <v>26</v>
      </c>
      <c r="G859" t="s">
        <v>74</v>
      </c>
      <c r="H859" t="s">
        <v>44</v>
      </c>
      <c r="I859" t="s">
        <v>1026</v>
      </c>
      <c r="J859" t="s">
        <v>444</v>
      </c>
      <c r="K859" t="s">
        <v>50</v>
      </c>
      <c r="L859" t="s">
        <v>29</v>
      </c>
      <c r="M859" t="s">
        <v>17</v>
      </c>
    </row>
    <row r="860" spans="1:13">
      <c r="A860" t="s">
        <v>1885</v>
      </c>
      <c r="B860" s="2">
        <v>45993</v>
      </c>
      <c r="C860">
        <v>2025</v>
      </c>
      <c r="D860">
        <v>12</v>
      </c>
      <c r="E860" t="s">
        <v>124</v>
      </c>
      <c r="F860" t="s">
        <v>78</v>
      </c>
      <c r="G860" t="s">
        <v>55</v>
      </c>
      <c r="H860" t="s">
        <v>12</v>
      </c>
      <c r="I860" t="s">
        <v>1037</v>
      </c>
      <c r="J860" t="s">
        <v>1024</v>
      </c>
      <c r="K860" t="s">
        <v>34</v>
      </c>
      <c r="L860" t="s">
        <v>16</v>
      </c>
      <c r="M860" t="s">
        <v>10</v>
      </c>
    </row>
    <row r="861" spans="1:13">
      <c r="A861" t="s">
        <v>1886</v>
      </c>
      <c r="B861" s="2">
        <v>46003</v>
      </c>
      <c r="C861">
        <v>2025</v>
      </c>
      <c r="D861">
        <v>12</v>
      </c>
      <c r="E861" t="s">
        <v>124</v>
      </c>
      <c r="F861" t="s">
        <v>31</v>
      </c>
      <c r="G861" t="s">
        <v>32</v>
      </c>
      <c r="H861" t="s">
        <v>12</v>
      </c>
      <c r="I861" t="s">
        <v>1037</v>
      </c>
      <c r="J861" t="s">
        <v>1024</v>
      </c>
      <c r="K861" t="s">
        <v>34</v>
      </c>
      <c r="L861" t="s">
        <v>16</v>
      </c>
      <c r="M861" t="s">
        <v>10</v>
      </c>
    </row>
    <row r="862" spans="1:13">
      <c r="A862" t="s">
        <v>1887</v>
      </c>
      <c r="B862" s="2">
        <v>46009</v>
      </c>
      <c r="C862">
        <v>2025</v>
      </c>
      <c r="D862">
        <v>12</v>
      </c>
      <c r="E862" t="s">
        <v>124</v>
      </c>
      <c r="F862" t="s">
        <v>78</v>
      </c>
      <c r="G862" t="s">
        <v>27</v>
      </c>
      <c r="H862" t="s">
        <v>33</v>
      </c>
      <c r="I862" t="s">
        <v>1026</v>
      </c>
      <c r="J862" t="s">
        <v>494</v>
      </c>
      <c r="K862" t="s">
        <v>50</v>
      </c>
      <c r="L862" t="s">
        <v>29</v>
      </c>
      <c r="M862" t="s">
        <v>17</v>
      </c>
    </row>
    <row r="863" spans="1:13">
      <c r="A863" t="s">
        <v>1888</v>
      </c>
      <c r="B863" s="2">
        <v>45994</v>
      </c>
      <c r="C863">
        <v>2025</v>
      </c>
      <c r="D863">
        <v>12</v>
      </c>
      <c r="E863" t="s">
        <v>124</v>
      </c>
      <c r="F863" t="s">
        <v>38</v>
      </c>
      <c r="G863" t="s">
        <v>61</v>
      </c>
      <c r="H863" t="s">
        <v>4</v>
      </c>
      <c r="I863" t="s">
        <v>1026</v>
      </c>
      <c r="J863" t="s">
        <v>446</v>
      </c>
      <c r="K863" t="s">
        <v>70</v>
      </c>
      <c r="L863" t="s">
        <v>16</v>
      </c>
      <c r="M863" t="s">
        <v>10</v>
      </c>
    </row>
    <row r="864" spans="1:13">
      <c r="A864" t="s">
        <v>1889</v>
      </c>
      <c r="B864" s="2">
        <v>45995</v>
      </c>
      <c r="C864">
        <v>2025</v>
      </c>
      <c r="D864">
        <v>12</v>
      </c>
      <c r="E864" t="s">
        <v>124</v>
      </c>
      <c r="F864" t="s">
        <v>31</v>
      </c>
      <c r="G864" t="s">
        <v>38</v>
      </c>
      <c r="H864" t="s">
        <v>44</v>
      </c>
      <c r="I864" t="s">
        <v>1029</v>
      </c>
      <c r="J864" t="s">
        <v>452</v>
      </c>
      <c r="K864" t="s">
        <v>50</v>
      </c>
      <c r="L864" t="s">
        <v>16</v>
      </c>
      <c r="M864" t="s">
        <v>10</v>
      </c>
    </row>
    <row r="865" spans="1:13">
      <c r="A865" t="s">
        <v>1890</v>
      </c>
      <c r="B865" s="2">
        <v>46002</v>
      </c>
      <c r="C865">
        <v>2025</v>
      </c>
      <c r="D865">
        <v>12</v>
      </c>
      <c r="E865" t="s">
        <v>124</v>
      </c>
      <c r="F865" t="s">
        <v>38</v>
      </c>
      <c r="G865" t="s">
        <v>94</v>
      </c>
      <c r="H865" t="s">
        <v>44</v>
      </c>
      <c r="I865" t="s">
        <v>1029</v>
      </c>
      <c r="J865" t="s">
        <v>462</v>
      </c>
      <c r="K865" t="s">
        <v>6</v>
      </c>
      <c r="L865" t="s">
        <v>29</v>
      </c>
      <c r="M865" t="s">
        <v>10</v>
      </c>
    </row>
    <row r="866" spans="1:13">
      <c r="A866" t="s">
        <v>1891</v>
      </c>
      <c r="B866" s="2">
        <v>46015</v>
      </c>
      <c r="C866">
        <v>2025</v>
      </c>
      <c r="D866">
        <v>12</v>
      </c>
      <c r="E866" t="s">
        <v>124</v>
      </c>
      <c r="F866" t="s">
        <v>78</v>
      </c>
      <c r="G866" t="s">
        <v>32</v>
      </c>
      <c r="H866" t="s">
        <v>4</v>
      </c>
      <c r="I866" t="s">
        <v>1029</v>
      </c>
      <c r="J866" t="s">
        <v>438</v>
      </c>
      <c r="K866" t="s">
        <v>13</v>
      </c>
      <c r="L866" t="s">
        <v>9</v>
      </c>
      <c r="M866" t="s">
        <v>17</v>
      </c>
    </row>
    <row r="867" spans="1:13">
      <c r="A867" t="s">
        <v>1892</v>
      </c>
      <c r="B867" s="2">
        <v>45997</v>
      </c>
      <c r="C867">
        <v>2025</v>
      </c>
      <c r="D867">
        <v>12</v>
      </c>
      <c r="E867" t="s">
        <v>124</v>
      </c>
      <c r="F867" t="s">
        <v>67</v>
      </c>
      <c r="G867" t="s">
        <v>27</v>
      </c>
      <c r="H867" t="s">
        <v>44</v>
      </c>
      <c r="I867" t="s">
        <v>1023</v>
      </c>
      <c r="J867" t="s">
        <v>1024</v>
      </c>
      <c r="K867" t="s">
        <v>34</v>
      </c>
      <c r="L867" t="s">
        <v>36</v>
      </c>
      <c r="M867" t="s">
        <v>17</v>
      </c>
    </row>
    <row r="868" spans="1:13">
      <c r="A868" t="s">
        <v>1893</v>
      </c>
      <c r="B868" s="2">
        <v>45996</v>
      </c>
      <c r="C868">
        <v>2025</v>
      </c>
      <c r="D868">
        <v>12</v>
      </c>
      <c r="E868" t="s">
        <v>124</v>
      </c>
      <c r="F868" t="s">
        <v>67</v>
      </c>
      <c r="G868" t="s">
        <v>27</v>
      </c>
      <c r="H868" t="s">
        <v>44</v>
      </c>
      <c r="I868" t="s">
        <v>1029</v>
      </c>
      <c r="J868" t="s">
        <v>440</v>
      </c>
      <c r="K868" t="s">
        <v>50</v>
      </c>
      <c r="L868" t="s">
        <v>29</v>
      </c>
      <c r="M868" t="s">
        <v>17</v>
      </c>
    </row>
    <row r="869" spans="1:13">
      <c r="A869" t="s">
        <v>1894</v>
      </c>
      <c r="B869" s="2">
        <v>46008</v>
      </c>
      <c r="C869">
        <v>2025</v>
      </c>
      <c r="D869">
        <v>12</v>
      </c>
      <c r="E869" t="s">
        <v>124</v>
      </c>
      <c r="F869" t="s">
        <v>67</v>
      </c>
      <c r="G869" t="s">
        <v>48</v>
      </c>
      <c r="H869" t="s">
        <v>33</v>
      </c>
      <c r="I869" t="s">
        <v>1037</v>
      </c>
      <c r="J869" t="s">
        <v>1024</v>
      </c>
      <c r="K869" t="s">
        <v>34</v>
      </c>
      <c r="L869" t="s">
        <v>29</v>
      </c>
      <c r="M869" t="s">
        <v>17</v>
      </c>
    </row>
    <row r="870" spans="1:13">
      <c r="A870" t="s">
        <v>1895</v>
      </c>
      <c r="B870" s="2">
        <v>46003</v>
      </c>
      <c r="C870">
        <v>2025</v>
      </c>
      <c r="D870">
        <v>12</v>
      </c>
      <c r="E870" t="s">
        <v>124</v>
      </c>
      <c r="F870" t="s">
        <v>47</v>
      </c>
      <c r="G870" t="s">
        <v>74</v>
      </c>
      <c r="H870" t="s">
        <v>12</v>
      </c>
      <c r="I870" t="s">
        <v>1037</v>
      </c>
      <c r="J870" t="s">
        <v>1024</v>
      </c>
      <c r="K870" t="s">
        <v>13</v>
      </c>
      <c r="L870" t="s">
        <v>36</v>
      </c>
      <c r="M870" t="s">
        <v>17</v>
      </c>
    </row>
    <row r="871" spans="1:13">
      <c r="A871" t="s">
        <v>1896</v>
      </c>
      <c r="B871" s="2">
        <v>45996</v>
      </c>
      <c r="C871">
        <v>2025</v>
      </c>
      <c r="D871">
        <v>12</v>
      </c>
      <c r="E871" t="s">
        <v>124</v>
      </c>
      <c r="F871" t="s">
        <v>47</v>
      </c>
      <c r="G871" t="s">
        <v>74</v>
      </c>
      <c r="H871" t="s">
        <v>4</v>
      </c>
      <c r="I871" t="s">
        <v>1026</v>
      </c>
      <c r="J871" t="s">
        <v>444</v>
      </c>
      <c r="K871" t="s">
        <v>34</v>
      </c>
      <c r="L871" t="s">
        <v>9</v>
      </c>
      <c r="M871" t="s">
        <v>10</v>
      </c>
    </row>
    <row r="872" spans="1:13">
      <c r="A872" t="s">
        <v>1897</v>
      </c>
      <c r="B872" s="2">
        <v>46018</v>
      </c>
      <c r="C872">
        <v>2025</v>
      </c>
      <c r="D872">
        <v>12</v>
      </c>
      <c r="E872" t="s">
        <v>124</v>
      </c>
      <c r="F872" t="s">
        <v>26</v>
      </c>
      <c r="G872" t="s">
        <v>94</v>
      </c>
      <c r="H872" t="s">
        <v>12</v>
      </c>
      <c r="I872" t="s">
        <v>1026</v>
      </c>
      <c r="J872" t="s">
        <v>494</v>
      </c>
      <c r="K872" t="s">
        <v>13</v>
      </c>
      <c r="L872" t="s">
        <v>29</v>
      </c>
      <c r="M872" t="s">
        <v>10</v>
      </c>
    </row>
    <row r="873" spans="1:13">
      <c r="A873" t="s">
        <v>1898</v>
      </c>
      <c r="B873" s="2">
        <v>46000</v>
      </c>
      <c r="C873">
        <v>2025</v>
      </c>
      <c r="D873">
        <v>12</v>
      </c>
      <c r="E873" t="s">
        <v>124</v>
      </c>
      <c r="F873" t="s">
        <v>47</v>
      </c>
      <c r="G873" t="s">
        <v>3</v>
      </c>
      <c r="H873" t="s">
        <v>33</v>
      </c>
      <c r="I873" t="s">
        <v>1023</v>
      </c>
      <c r="J873" t="s">
        <v>1024</v>
      </c>
      <c r="K873" t="s">
        <v>50</v>
      </c>
      <c r="L873" t="s">
        <v>16</v>
      </c>
      <c r="M873" t="s">
        <v>10</v>
      </c>
    </row>
    <row r="874" spans="1:13">
      <c r="A874" t="s">
        <v>1899</v>
      </c>
      <c r="B874" s="2">
        <v>46011</v>
      </c>
      <c r="C874">
        <v>2025</v>
      </c>
      <c r="D874">
        <v>12</v>
      </c>
      <c r="E874" t="s">
        <v>124</v>
      </c>
      <c r="F874" t="s">
        <v>78</v>
      </c>
      <c r="G874" t="s">
        <v>20</v>
      </c>
      <c r="H874" t="s">
        <v>12</v>
      </c>
      <c r="I874" t="s">
        <v>1029</v>
      </c>
      <c r="J874" t="s">
        <v>440</v>
      </c>
      <c r="K874" t="s">
        <v>34</v>
      </c>
      <c r="L874" t="s">
        <v>16</v>
      </c>
      <c r="M874" t="s">
        <v>17</v>
      </c>
    </row>
    <row r="875" spans="1:13">
      <c r="A875" t="s">
        <v>1900</v>
      </c>
      <c r="B875" s="2">
        <v>46007</v>
      </c>
      <c r="C875">
        <v>2025</v>
      </c>
      <c r="D875">
        <v>12</v>
      </c>
      <c r="E875" t="s">
        <v>124</v>
      </c>
      <c r="F875" t="s">
        <v>2</v>
      </c>
      <c r="G875" t="s">
        <v>48</v>
      </c>
      <c r="H875" t="s">
        <v>33</v>
      </c>
      <c r="I875" t="s">
        <v>1029</v>
      </c>
      <c r="J875" t="s">
        <v>452</v>
      </c>
      <c r="K875" t="s">
        <v>34</v>
      </c>
      <c r="L875" t="s">
        <v>9</v>
      </c>
      <c r="M875" t="s">
        <v>10</v>
      </c>
    </row>
    <row r="876" spans="1:13">
      <c r="A876" t="s">
        <v>1901</v>
      </c>
      <c r="B876" s="2">
        <v>46006</v>
      </c>
      <c r="C876">
        <v>2025</v>
      </c>
      <c r="D876">
        <v>12</v>
      </c>
      <c r="E876" t="s">
        <v>124</v>
      </c>
      <c r="F876" t="s">
        <v>26</v>
      </c>
      <c r="G876" t="s">
        <v>94</v>
      </c>
      <c r="H876" t="s">
        <v>33</v>
      </c>
      <c r="I876" t="s">
        <v>1029</v>
      </c>
      <c r="J876" t="s">
        <v>473</v>
      </c>
      <c r="K876" t="s">
        <v>70</v>
      </c>
      <c r="L876" t="s">
        <v>16</v>
      </c>
      <c r="M876" t="s">
        <v>10</v>
      </c>
    </row>
    <row r="877" spans="1:13">
      <c r="A877" t="s">
        <v>1902</v>
      </c>
      <c r="B877" s="2">
        <v>46012</v>
      </c>
      <c r="C877">
        <v>2025</v>
      </c>
      <c r="D877">
        <v>12</v>
      </c>
      <c r="E877" t="s">
        <v>124</v>
      </c>
      <c r="F877" t="s">
        <v>2</v>
      </c>
      <c r="G877" t="s">
        <v>3</v>
      </c>
      <c r="H877" t="s">
        <v>12</v>
      </c>
      <c r="I877" t="s">
        <v>1037</v>
      </c>
      <c r="J877" t="s">
        <v>1024</v>
      </c>
      <c r="K877" t="s">
        <v>70</v>
      </c>
      <c r="L877" t="s">
        <v>36</v>
      </c>
      <c r="M877" t="s">
        <v>10</v>
      </c>
    </row>
    <row r="878" spans="1:13">
      <c r="A878" t="s">
        <v>1903</v>
      </c>
      <c r="B878" s="2">
        <v>45993</v>
      </c>
      <c r="C878">
        <v>2025</v>
      </c>
      <c r="D878">
        <v>12</v>
      </c>
      <c r="E878" t="s">
        <v>124</v>
      </c>
      <c r="F878" t="s">
        <v>67</v>
      </c>
      <c r="G878" t="s">
        <v>32</v>
      </c>
      <c r="H878" t="s">
        <v>44</v>
      </c>
      <c r="I878" t="s">
        <v>1026</v>
      </c>
      <c r="J878" t="s">
        <v>470</v>
      </c>
      <c r="K878" t="s">
        <v>13</v>
      </c>
      <c r="L878" t="s">
        <v>36</v>
      </c>
      <c r="M878" t="s">
        <v>10</v>
      </c>
    </row>
    <row r="879" spans="1:13">
      <c r="A879" t="s">
        <v>1904</v>
      </c>
      <c r="B879" s="2">
        <v>46012</v>
      </c>
      <c r="C879">
        <v>2025</v>
      </c>
      <c r="D879">
        <v>12</v>
      </c>
      <c r="E879" t="s">
        <v>124</v>
      </c>
      <c r="F879" t="s">
        <v>40</v>
      </c>
      <c r="G879" t="s">
        <v>55</v>
      </c>
      <c r="H879" t="s">
        <v>12</v>
      </c>
      <c r="I879" t="s">
        <v>1029</v>
      </c>
      <c r="J879" t="s">
        <v>435</v>
      </c>
      <c r="K879" t="s">
        <v>70</v>
      </c>
      <c r="L879" t="s">
        <v>29</v>
      </c>
      <c r="M879" t="s">
        <v>10</v>
      </c>
    </row>
    <row r="880" spans="1:13">
      <c r="A880" t="s">
        <v>1905</v>
      </c>
      <c r="B880" s="2">
        <v>45998</v>
      </c>
      <c r="C880">
        <v>2025</v>
      </c>
      <c r="D880">
        <v>12</v>
      </c>
      <c r="E880" t="s">
        <v>124</v>
      </c>
      <c r="F880" t="s">
        <v>31</v>
      </c>
      <c r="G880" t="s">
        <v>94</v>
      </c>
      <c r="H880" t="s">
        <v>33</v>
      </c>
      <c r="I880" t="s">
        <v>1026</v>
      </c>
      <c r="J880" t="s">
        <v>428</v>
      </c>
      <c r="K880" t="s">
        <v>13</v>
      </c>
      <c r="L880" t="s">
        <v>9</v>
      </c>
      <c r="M880" t="s">
        <v>10</v>
      </c>
    </row>
    <row r="881" spans="1:13">
      <c r="A881" t="s">
        <v>1906</v>
      </c>
      <c r="B881" s="2">
        <v>46011</v>
      </c>
      <c r="C881">
        <v>2025</v>
      </c>
      <c r="D881">
        <v>12</v>
      </c>
      <c r="E881" t="s">
        <v>124</v>
      </c>
      <c r="F881" t="s">
        <v>31</v>
      </c>
      <c r="G881" t="s">
        <v>61</v>
      </c>
      <c r="H881" t="s">
        <v>33</v>
      </c>
      <c r="I881" t="s">
        <v>1029</v>
      </c>
      <c r="J881" t="s">
        <v>435</v>
      </c>
      <c r="K881" t="s">
        <v>34</v>
      </c>
      <c r="L881" t="s">
        <v>29</v>
      </c>
      <c r="M881" t="s">
        <v>10</v>
      </c>
    </row>
    <row r="882" spans="1:13">
      <c r="A882" t="s">
        <v>1907</v>
      </c>
      <c r="B882" s="2">
        <v>46006</v>
      </c>
      <c r="C882">
        <v>2025</v>
      </c>
      <c r="D882">
        <v>12</v>
      </c>
      <c r="E882" t="s">
        <v>124</v>
      </c>
      <c r="F882" t="s">
        <v>26</v>
      </c>
      <c r="G882" t="s">
        <v>74</v>
      </c>
      <c r="H882" t="s">
        <v>4</v>
      </c>
      <c r="I882" t="s">
        <v>1029</v>
      </c>
      <c r="J882" t="s">
        <v>473</v>
      </c>
      <c r="K882" t="s">
        <v>34</v>
      </c>
      <c r="L882" t="s">
        <v>36</v>
      </c>
      <c r="M882" t="s">
        <v>17</v>
      </c>
    </row>
    <row r="883" spans="1:13">
      <c r="A883" t="s">
        <v>1908</v>
      </c>
      <c r="B883" s="2">
        <v>46019</v>
      </c>
      <c r="C883">
        <v>2025</v>
      </c>
      <c r="D883">
        <v>12</v>
      </c>
      <c r="E883" t="s">
        <v>124</v>
      </c>
      <c r="F883" t="s">
        <v>31</v>
      </c>
      <c r="G883" t="s">
        <v>20</v>
      </c>
      <c r="H883" t="s">
        <v>33</v>
      </c>
      <c r="I883" t="s">
        <v>1023</v>
      </c>
      <c r="J883" t="s">
        <v>1024</v>
      </c>
      <c r="K883" t="s">
        <v>34</v>
      </c>
      <c r="L883" t="s">
        <v>36</v>
      </c>
      <c r="M883" t="s">
        <v>10</v>
      </c>
    </row>
    <row r="884" spans="1:13">
      <c r="A884" t="s">
        <v>1909</v>
      </c>
      <c r="B884" s="2">
        <v>45999</v>
      </c>
      <c r="C884">
        <v>2025</v>
      </c>
      <c r="D884">
        <v>12</v>
      </c>
      <c r="E884" t="s">
        <v>124</v>
      </c>
      <c r="F884" t="s">
        <v>78</v>
      </c>
      <c r="G884" t="s">
        <v>38</v>
      </c>
      <c r="H884" t="s">
        <v>12</v>
      </c>
      <c r="I884" t="s">
        <v>1029</v>
      </c>
      <c r="J884" t="s">
        <v>452</v>
      </c>
      <c r="K884" t="s">
        <v>34</v>
      </c>
      <c r="L884" t="s">
        <v>36</v>
      </c>
      <c r="M884" t="s">
        <v>17</v>
      </c>
    </row>
    <row r="885" spans="1:13">
      <c r="A885" t="s">
        <v>1910</v>
      </c>
      <c r="B885" s="2">
        <v>46016</v>
      </c>
      <c r="C885">
        <v>2025</v>
      </c>
      <c r="D885">
        <v>12</v>
      </c>
      <c r="E885" t="s">
        <v>124</v>
      </c>
      <c r="F885" t="s">
        <v>40</v>
      </c>
      <c r="G885" t="s">
        <v>74</v>
      </c>
      <c r="H885" t="s">
        <v>12</v>
      </c>
      <c r="I885" t="s">
        <v>1029</v>
      </c>
      <c r="J885" t="s">
        <v>431</v>
      </c>
      <c r="K885" t="s">
        <v>13</v>
      </c>
      <c r="L885" t="s">
        <v>16</v>
      </c>
      <c r="M885" t="s">
        <v>10</v>
      </c>
    </row>
    <row r="886" spans="1:13">
      <c r="A886" t="s">
        <v>1911</v>
      </c>
      <c r="B886" s="2">
        <v>46008</v>
      </c>
      <c r="C886">
        <v>2025</v>
      </c>
      <c r="D886">
        <v>12</v>
      </c>
      <c r="E886" t="s">
        <v>124</v>
      </c>
      <c r="F886" t="s">
        <v>78</v>
      </c>
      <c r="G886" t="s">
        <v>61</v>
      </c>
      <c r="H886" t="s">
        <v>44</v>
      </c>
      <c r="I886" t="s">
        <v>1026</v>
      </c>
      <c r="J886" t="s">
        <v>446</v>
      </c>
      <c r="K886" t="s">
        <v>34</v>
      </c>
      <c r="L886" t="s">
        <v>36</v>
      </c>
      <c r="M886" t="s">
        <v>10</v>
      </c>
    </row>
    <row r="887" spans="1:13">
      <c r="A887" t="s">
        <v>1912</v>
      </c>
      <c r="B887" s="2">
        <v>45997</v>
      </c>
      <c r="C887">
        <v>2025</v>
      </c>
      <c r="D887">
        <v>12</v>
      </c>
      <c r="E887" t="s">
        <v>124</v>
      </c>
      <c r="F887" t="s">
        <v>40</v>
      </c>
      <c r="G887" t="s">
        <v>27</v>
      </c>
      <c r="H887" t="s">
        <v>44</v>
      </c>
      <c r="I887" t="s">
        <v>1023</v>
      </c>
      <c r="J887" t="s">
        <v>1024</v>
      </c>
      <c r="K887" t="s">
        <v>13</v>
      </c>
      <c r="L887" t="s">
        <v>29</v>
      </c>
      <c r="M887" t="s">
        <v>10</v>
      </c>
    </row>
    <row r="888" spans="1:13">
      <c r="A888" t="s">
        <v>1913</v>
      </c>
      <c r="B888" s="2">
        <v>45998</v>
      </c>
      <c r="C888">
        <v>2025</v>
      </c>
      <c r="D888">
        <v>12</v>
      </c>
      <c r="E888" t="s">
        <v>124</v>
      </c>
      <c r="F888" t="s">
        <v>54</v>
      </c>
      <c r="G888" t="s">
        <v>64</v>
      </c>
      <c r="H888" t="s">
        <v>4</v>
      </c>
      <c r="I888" t="s">
        <v>1026</v>
      </c>
      <c r="J888" t="s">
        <v>494</v>
      </c>
      <c r="K888" t="s">
        <v>6</v>
      </c>
      <c r="L888" t="s">
        <v>16</v>
      </c>
      <c r="M888" t="s">
        <v>10</v>
      </c>
    </row>
    <row r="889" spans="1:13">
      <c r="A889" t="s">
        <v>1914</v>
      </c>
      <c r="B889" s="2">
        <v>46017</v>
      </c>
      <c r="C889">
        <v>2025</v>
      </c>
      <c r="D889">
        <v>12</v>
      </c>
      <c r="E889" t="s">
        <v>124</v>
      </c>
      <c r="F889" t="s">
        <v>19</v>
      </c>
      <c r="G889" t="s">
        <v>64</v>
      </c>
      <c r="H889" t="s">
        <v>12</v>
      </c>
      <c r="I889" t="s">
        <v>1029</v>
      </c>
      <c r="J889" t="s">
        <v>440</v>
      </c>
      <c r="K889" t="s">
        <v>13</v>
      </c>
      <c r="L889" t="s">
        <v>9</v>
      </c>
      <c r="M889" t="s">
        <v>17</v>
      </c>
    </row>
    <row r="890" spans="1:13">
      <c r="A890" t="s">
        <v>1915</v>
      </c>
      <c r="B890" s="2">
        <v>46002</v>
      </c>
      <c r="C890">
        <v>2025</v>
      </c>
      <c r="D890">
        <v>12</v>
      </c>
      <c r="E890" t="s">
        <v>124</v>
      </c>
      <c r="F890" t="s">
        <v>31</v>
      </c>
      <c r="G890" t="s">
        <v>61</v>
      </c>
      <c r="H890" t="s">
        <v>33</v>
      </c>
      <c r="I890" t="s">
        <v>1026</v>
      </c>
      <c r="J890" t="s">
        <v>466</v>
      </c>
      <c r="K890" t="s">
        <v>70</v>
      </c>
      <c r="L890" t="s">
        <v>9</v>
      </c>
      <c r="M890" t="s">
        <v>17</v>
      </c>
    </row>
    <row r="891" spans="1:13">
      <c r="A891" t="s">
        <v>1916</v>
      </c>
      <c r="B891" s="2">
        <v>46007</v>
      </c>
      <c r="C891">
        <v>2025</v>
      </c>
      <c r="D891">
        <v>12</v>
      </c>
      <c r="E891" t="s">
        <v>124</v>
      </c>
      <c r="F891" t="s">
        <v>38</v>
      </c>
      <c r="G891" t="s">
        <v>74</v>
      </c>
      <c r="H891" t="s">
        <v>44</v>
      </c>
      <c r="I891" t="s">
        <v>1037</v>
      </c>
      <c r="J891" t="s">
        <v>1024</v>
      </c>
      <c r="K891" t="s">
        <v>70</v>
      </c>
      <c r="L891" t="s">
        <v>9</v>
      </c>
      <c r="M891" t="s">
        <v>10</v>
      </c>
    </row>
    <row r="892" spans="1:13">
      <c r="A892" t="s">
        <v>1917</v>
      </c>
      <c r="B892" s="2">
        <v>46006</v>
      </c>
      <c r="C892">
        <v>2025</v>
      </c>
      <c r="D892">
        <v>12</v>
      </c>
      <c r="E892" t="s">
        <v>124</v>
      </c>
      <c r="F892" t="s">
        <v>40</v>
      </c>
      <c r="G892" t="s">
        <v>69</v>
      </c>
      <c r="H892" t="s">
        <v>12</v>
      </c>
      <c r="I892" t="s">
        <v>1037</v>
      </c>
      <c r="J892" t="s">
        <v>1024</v>
      </c>
      <c r="K892" t="s">
        <v>34</v>
      </c>
      <c r="L892" t="s">
        <v>36</v>
      </c>
      <c r="M892" t="s">
        <v>10</v>
      </c>
    </row>
    <row r="893" spans="1:13">
      <c r="A893" t="s">
        <v>1918</v>
      </c>
      <c r="B893" s="2">
        <v>45996</v>
      </c>
      <c r="C893">
        <v>2025</v>
      </c>
      <c r="D893">
        <v>12</v>
      </c>
      <c r="E893" t="s">
        <v>124</v>
      </c>
      <c r="F893" t="s">
        <v>2</v>
      </c>
      <c r="G893" t="s">
        <v>20</v>
      </c>
      <c r="H893" t="s">
        <v>44</v>
      </c>
      <c r="I893" t="s">
        <v>1026</v>
      </c>
      <c r="J893" t="s">
        <v>428</v>
      </c>
      <c r="K893" t="s">
        <v>6</v>
      </c>
      <c r="L893" t="s">
        <v>36</v>
      </c>
      <c r="M893" t="s">
        <v>10</v>
      </c>
    </row>
    <row r="894" spans="1:13">
      <c r="A894" t="s">
        <v>1919</v>
      </c>
      <c r="B894" s="2">
        <v>45994</v>
      </c>
      <c r="C894">
        <v>2025</v>
      </c>
      <c r="D894">
        <v>12</v>
      </c>
      <c r="E894" t="s">
        <v>124</v>
      </c>
      <c r="F894" t="s">
        <v>2</v>
      </c>
      <c r="G894" t="s">
        <v>94</v>
      </c>
      <c r="H894" t="s">
        <v>4</v>
      </c>
      <c r="I894" t="s">
        <v>1026</v>
      </c>
      <c r="J894" t="s">
        <v>428</v>
      </c>
      <c r="K894" t="s">
        <v>34</v>
      </c>
      <c r="L894" t="s">
        <v>16</v>
      </c>
      <c r="M894" t="s">
        <v>17</v>
      </c>
    </row>
    <row r="895" spans="1:13">
      <c r="A895" t="s">
        <v>1920</v>
      </c>
      <c r="B895" s="2">
        <v>46014</v>
      </c>
      <c r="C895">
        <v>2025</v>
      </c>
      <c r="D895">
        <v>12</v>
      </c>
      <c r="E895" t="s">
        <v>124</v>
      </c>
      <c r="F895" t="s">
        <v>26</v>
      </c>
      <c r="G895" t="s">
        <v>74</v>
      </c>
      <c r="H895" t="s">
        <v>44</v>
      </c>
      <c r="I895" t="s">
        <v>1029</v>
      </c>
      <c r="J895" t="s">
        <v>464</v>
      </c>
      <c r="K895" t="s">
        <v>50</v>
      </c>
      <c r="L895" t="s">
        <v>29</v>
      </c>
      <c r="M895" t="s">
        <v>10</v>
      </c>
    </row>
    <row r="896" spans="1:13">
      <c r="A896" t="s">
        <v>1921</v>
      </c>
      <c r="B896" s="2">
        <v>45994</v>
      </c>
      <c r="C896">
        <v>2025</v>
      </c>
      <c r="D896">
        <v>12</v>
      </c>
      <c r="E896" t="s">
        <v>124</v>
      </c>
      <c r="F896" t="s">
        <v>26</v>
      </c>
      <c r="G896" t="s">
        <v>3</v>
      </c>
      <c r="H896" t="s">
        <v>4</v>
      </c>
      <c r="I896" t="s">
        <v>1029</v>
      </c>
      <c r="J896" t="s">
        <v>473</v>
      </c>
      <c r="K896" t="s">
        <v>13</v>
      </c>
      <c r="L896" t="s">
        <v>36</v>
      </c>
      <c r="M896" t="s">
        <v>10</v>
      </c>
    </row>
    <row r="897" spans="1:13">
      <c r="A897" t="s">
        <v>1922</v>
      </c>
      <c r="B897" s="2">
        <v>46015</v>
      </c>
      <c r="C897">
        <v>2025</v>
      </c>
      <c r="D897">
        <v>12</v>
      </c>
      <c r="E897" t="s">
        <v>124</v>
      </c>
      <c r="F897" t="s">
        <v>26</v>
      </c>
      <c r="G897" t="s">
        <v>48</v>
      </c>
      <c r="H897" t="s">
        <v>4</v>
      </c>
      <c r="I897" t="s">
        <v>1023</v>
      </c>
      <c r="J897" t="s">
        <v>1024</v>
      </c>
      <c r="K897" t="s">
        <v>70</v>
      </c>
      <c r="L897" t="s">
        <v>36</v>
      </c>
      <c r="M897" t="s">
        <v>10</v>
      </c>
    </row>
    <row r="898" spans="1:13">
      <c r="A898" t="s">
        <v>1923</v>
      </c>
      <c r="B898" s="2">
        <v>45998</v>
      </c>
      <c r="C898">
        <v>2025</v>
      </c>
      <c r="D898">
        <v>12</v>
      </c>
      <c r="E898" t="s">
        <v>124</v>
      </c>
      <c r="F898" t="s">
        <v>31</v>
      </c>
      <c r="G898" t="s">
        <v>32</v>
      </c>
      <c r="H898" t="s">
        <v>4</v>
      </c>
      <c r="I898" t="s">
        <v>1026</v>
      </c>
      <c r="J898" t="s">
        <v>457</v>
      </c>
      <c r="K898" t="s">
        <v>70</v>
      </c>
      <c r="L898" t="s">
        <v>36</v>
      </c>
      <c r="M898" t="s">
        <v>17</v>
      </c>
    </row>
    <row r="899" spans="1:13">
      <c r="A899" t="s">
        <v>1924</v>
      </c>
      <c r="B899" s="2">
        <v>45997</v>
      </c>
      <c r="C899">
        <v>2025</v>
      </c>
      <c r="D899">
        <v>12</v>
      </c>
      <c r="E899" t="s">
        <v>124</v>
      </c>
      <c r="F899" t="s">
        <v>54</v>
      </c>
      <c r="G899" t="s">
        <v>69</v>
      </c>
      <c r="H899" t="s">
        <v>44</v>
      </c>
      <c r="I899" t="s">
        <v>1037</v>
      </c>
      <c r="J899" t="s">
        <v>1024</v>
      </c>
      <c r="K899" t="s">
        <v>6</v>
      </c>
      <c r="L899" t="s">
        <v>36</v>
      </c>
      <c r="M899" t="s">
        <v>10</v>
      </c>
    </row>
    <row r="900" spans="1:13">
      <c r="A900" t="s">
        <v>1925</v>
      </c>
      <c r="B900" s="2">
        <v>46013</v>
      </c>
      <c r="C900">
        <v>2025</v>
      </c>
      <c r="D900">
        <v>12</v>
      </c>
      <c r="E900" t="s">
        <v>124</v>
      </c>
      <c r="F900" t="s">
        <v>26</v>
      </c>
      <c r="G900" t="s">
        <v>94</v>
      </c>
      <c r="H900" t="s">
        <v>33</v>
      </c>
      <c r="I900" t="s">
        <v>1029</v>
      </c>
      <c r="J900" t="s">
        <v>438</v>
      </c>
      <c r="K900" t="s">
        <v>50</v>
      </c>
      <c r="L900" t="s">
        <v>36</v>
      </c>
      <c r="M900" t="s">
        <v>10</v>
      </c>
    </row>
    <row r="901" spans="1:13">
      <c r="A901" t="s">
        <v>1926</v>
      </c>
      <c r="B901" s="2">
        <v>45994</v>
      </c>
      <c r="C901">
        <v>2025</v>
      </c>
      <c r="D901">
        <v>12</v>
      </c>
      <c r="E901" t="s">
        <v>124</v>
      </c>
      <c r="F901" t="s">
        <v>40</v>
      </c>
      <c r="G901" t="s">
        <v>48</v>
      </c>
      <c r="H901" t="s">
        <v>12</v>
      </c>
      <c r="I901" t="s">
        <v>1023</v>
      </c>
      <c r="J901" t="s">
        <v>1024</v>
      </c>
      <c r="K901" t="s">
        <v>70</v>
      </c>
      <c r="L901" t="s">
        <v>36</v>
      </c>
      <c r="M901" t="s">
        <v>10</v>
      </c>
    </row>
    <row r="902" spans="1:13">
      <c r="A902" t="s">
        <v>1927</v>
      </c>
      <c r="B902" s="2">
        <v>46009</v>
      </c>
      <c r="C902">
        <v>2025</v>
      </c>
      <c r="D902">
        <v>12</v>
      </c>
      <c r="E902" t="s">
        <v>124</v>
      </c>
      <c r="F902" t="s">
        <v>78</v>
      </c>
      <c r="G902" t="s">
        <v>3</v>
      </c>
      <c r="H902" t="s">
        <v>12</v>
      </c>
      <c r="I902" t="s">
        <v>1026</v>
      </c>
      <c r="J902" t="s">
        <v>460</v>
      </c>
      <c r="K902" t="s">
        <v>50</v>
      </c>
      <c r="L902" t="s">
        <v>36</v>
      </c>
      <c r="M902" t="s">
        <v>10</v>
      </c>
    </row>
    <row r="903" spans="1:13">
      <c r="A903" t="s">
        <v>1928</v>
      </c>
      <c r="B903" s="2">
        <v>46019</v>
      </c>
      <c r="C903">
        <v>2025</v>
      </c>
      <c r="D903">
        <v>12</v>
      </c>
      <c r="E903" t="s">
        <v>124</v>
      </c>
      <c r="F903" t="s">
        <v>26</v>
      </c>
      <c r="G903" t="s">
        <v>69</v>
      </c>
      <c r="H903" t="s">
        <v>12</v>
      </c>
      <c r="I903" t="s">
        <v>1026</v>
      </c>
      <c r="J903" t="s">
        <v>457</v>
      </c>
      <c r="K903" t="s">
        <v>50</v>
      </c>
      <c r="L903" t="s">
        <v>16</v>
      </c>
      <c r="M903" t="s">
        <v>10</v>
      </c>
    </row>
    <row r="904" spans="1:13">
      <c r="A904" t="s">
        <v>1929</v>
      </c>
      <c r="B904" s="2">
        <v>46039</v>
      </c>
      <c r="C904">
        <v>2026</v>
      </c>
      <c r="D904">
        <v>1</v>
      </c>
      <c r="E904" t="s">
        <v>1</v>
      </c>
      <c r="F904" t="s">
        <v>67</v>
      </c>
      <c r="G904" t="s">
        <v>61</v>
      </c>
      <c r="H904" t="s">
        <v>44</v>
      </c>
      <c r="I904" t="s">
        <v>1037</v>
      </c>
      <c r="J904" t="s">
        <v>1024</v>
      </c>
      <c r="K904" t="s">
        <v>34</v>
      </c>
      <c r="L904" t="s">
        <v>36</v>
      </c>
      <c r="M904" t="s">
        <v>17</v>
      </c>
    </row>
    <row r="905" spans="1:13">
      <c r="A905" t="s">
        <v>1930</v>
      </c>
      <c r="B905" s="2">
        <v>46050</v>
      </c>
      <c r="C905">
        <v>2026</v>
      </c>
      <c r="D905">
        <v>1</v>
      </c>
      <c r="E905" t="s">
        <v>1</v>
      </c>
      <c r="F905" t="s">
        <v>67</v>
      </c>
      <c r="G905" t="s">
        <v>20</v>
      </c>
      <c r="H905" t="s">
        <v>12</v>
      </c>
      <c r="I905" t="s">
        <v>1023</v>
      </c>
      <c r="J905" t="s">
        <v>1024</v>
      </c>
      <c r="K905" t="s">
        <v>13</v>
      </c>
      <c r="L905" t="s">
        <v>16</v>
      </c>
      <c r="M905" t="s">
        <v>10</v>
      </c>
    </row>
    <row r="906" spans="1:13">
      <c r="A906" t="s">
        <v>1931</v>
      </c>
      <c r="B906" s="2">
        <v>46028</v>
      </c>
      <c r="C906">
        <v>2026</v>
      </c>
      <c r="D906">
        <v>1</v>
      </c>
      <c r="E906" t="s">
        <v>1</v>
      </c>
      <c r="F906" t="s">
        <v>38</v>
      </c>
      <c r="G906" t="s">
        <v>74</v>
      </c>
      <c r="H906" t="s">
        <v>33</v>
      </c>
      <c r="I906" t="s">
        <v>1026</v>
      </c>
      <c r="J906" t="s">
        <v>460</v>
      </c>
      <c r="K906" t="s">
        <v>6</v>
      </c>
      <c r="L906" t="s">
        <v>36</v>
      </c>
      <c r="M906" t="s">
        <v>10</v>
      </c>
    </row>
    <row r="907" spans="1:13">
      <c r="A907" t="s">
        <v>1932</v>
      </c>
      <c r="B907" s="2">
        <v>46031</v>
      </c>
      <c r="C907">
        <v>2026</v>
      </c>
      <c r="D907">
        <v>1</v>
      </c>
      <c r="E907" t="s">
        <v>1</v>
      </c>
      <c r="F907" t="s">
        <v>2</v>
      </c>
      <c r="G907" t="s">
        <v>38</v>
      </c>
      <c r="H907" t="s">
        <v>12</v>
      </c>
      <c r="I907" t="s">
        <v>1023</v>
      </c>
      <c r="J907" t="s">
        <v>1024</v>
      </c>
      <c r="K907" t="s">
        <v>70</v>
      </c>
      <c r="L907" t="s">
        <v>9</v>
      </c>
      <c r="M907" t="s">
        <v>10</v>
      </c>
    </row>
    <row r="908" spans="1:13">
      <c r="A908" t="s">
        <v>1933</v>
      </c>
      <c r="B908" s="2">
        <v>46046</v>
      </c>
      <c r="C908">
        <v>2026</v>
      </c>
      <c r="D908">
        <v>1</v>
      </c>
      <c r="E908" t="s">
        <v>1</v>
      </c>
      <c r="F908" t="s">
        <v>31</v>
      </c>
      <c r="G908" t="s">
        <v>32</v>
      </c>
      <c r="H908" t="s">
        <v>12</v>
      </c>
      <c r="I908" t="s">
        <v>1026</v>
      </c>
      <c r="J908" t="s">
        <v>457</v>
      </c>
      <c r="K908" t="s">
        <v>6</v>
      </c>
      <c r="L908" t="s">
        <v>9</v>
      </c>
      <c r="M908" t="s">
        <v>10</v>
      </c>
    </row>
    <row r="909" spans="1:13">
      <c r="A909" t="s">
        <v>1934</v>
      </c>
      <c r="B909" s="2">
        <v>46049</v>
      </c>
      <c r="C909">
        <v>2026</v>
      </c>
      <c r="D909">
        <v>1</v>
      </c>
      <c r="E909" t="s">
        <v>1</v>
      </c>
      <c r="F909" t="s">
        <v>40</v>
      </c>
      <c r="G909" t="s">
        <v>94</v>
      </c>
      <c r="H909" t="s">
        <v>44</v>
      </c>
      <c r="I909" t="s">
        <v>1026</v>
      </c>
      <c r="J909" t="s">
        <v>519</v>
      </c>
      <c r="K909" t="s">
        <v>13</v>
      </c>
      <c r="L909" t="s">
        <v>29</v>
      </c>
      <c r="M909" t="s">
        <v>17</v>
      </c>
    </row>
    <row r="910" spans="1:13">
      <c r="A910" t="s">
        <v>1935</v>
      </c>
      <c r="B910" s="2">
        <v>46033</v>
      </c>
      <c r="C910">
        <v>2026</v>
      </c>
      <c r="D910">
        <v>1</v>
      </c>
      <c r="E910" t="s">
        <v>1</v>
      </c>
      <c r="F910" t="s">
        <v>2</v>
      </c>
      <c r="G910" t="s">
        <v>32</v>
      </c>
      <c r="H910" t="s">
        <v>12</v>
      </c>
      <c r="I910" t="s">
        <v>1029</v>
      </c>
      <c r="J910" t="s">
        <v>462</v>
      </c>
      <c r="K910" t="s">
        <v>13</v>
      </c>
      <c r="L910" t="s">
        <v>29</v>
      </c>
      <c r="M910" t="s">
        <v>10</v>
      </c>
    </row>
    <row r="911" spans="1:13">
      <c r="A911" t="s">
        <v>1936</v>
      </c>
      <c r="B911" s="2">
        <v>46046</v>
      </c>
      <c r="C911">
        <v>2026</v>
      </c>
      <c r="D911">
        <v>1</v>
      </c>
      <c r="E911" t="s">
        <v>1</v>
      </c>
      <c r="F911" t="s">
        <v>67</v>
      </c>
      <c r="G911" t="s">
        <v>55</v>
      </c>
      <c r="H911" t="s">
        <v>12</v>
      </c>
      <c r="I911" t="s">
        <v>1037</v>
      </c>
      <c r="J911" t="s">
        <v>1024</v>
      </c>
      <c r="K911" t="s">
        <v>50</v>
      </c>
      <c r="L911" t="s">
        <v>29</v>
      </c>
      <c r="M911" t="s">
        <v>10</v>
      </c>
    </row>
    <row r="912" spans="1:13">
      <c r="A912" t="s">
        <v>1937</v>
      </c>
      <c r="B912" s="2">
        <v>46024</v>
      </c>
      <c r="C912">
        <v>2026</v>
      </c>
      <c r="D912">
        <v>1</v>
      </c>
      <c r="E912" t="s">
        <v>1</v>
      </c>
      <c r="F912" t="s">
        <v>47</v>
      </c>
      <c r="G912" t="s">
        <v>27</v>
      </c>
      <c r="H912" t="s">
        <v>44</v>
      </c>
      <c r="I912" t="s">
        <v>1037</v>
      </c>
      <c r="J912" t="s">
        <v>1024</v>
      </c>
      <c r="K912" t="s">
        <v>34</v>
      </c>
      <c r="L912" t="s">
        <v>9</v>
      </c>
      <c r="M912" t="s">
        <v>17</v>
      </c>
    </row>
    <row r="913" spans="1:13">
      <c r="A913" t="s">
        <v>1938</v>
      </c>
      <c r="B913" s="2">
        <v>46041</v>
      </c>
      <c r="C913">
        <v>2026</v>
      </c>
      <c r="D913">
        <v>1</v>
      </c>
      <c r="E913" t="s">
        <v>1</v>
      </c>
      <c r="F913" t="s">
        <v>78</v>
      </c>
      <c r="G913" t="s">
        <v>32</v>
      </c>
      <c r="H913" t="s">
        <v>33</v>
      </c>
      <c r="I913" t="s">
        <v>1037</v>
      </c>
      <c r="J913" t="s">
        <v>1024</v>
      </c>
      <c r="K913" t="s">
        <v>13</v>
      </c>
      <c r="L913" t="s">
        <v>9</v>
      </c>
      <c r="M913" t="s">
        <v>10</v>
      </c>
    </row>
    <row r="914" spans="1:13">
      <c r="A914" t="s">
        <v>1939</v>
      </c>
      <c r="B914" s="2">
        <v>46036</v>
      </c>
      <c r="C914">
        <v>2026</v>
      </c>
      <c r="D914">
        <v>1</v>
      </c>
      <c r="E914" t="s">
        <v>1</v>
      </c>
      <c r="F914" t="s">
        <v>2</v>
      </c>
      <c r="G914" t="s">
        <v>20</v>
      </c>
      <c r="H914" t="s">
        <v>33</v>
      </c>
      <c r="I914" t="s">
        <v>1037</v>
      </c>
      <c r="J914" t="s">
        <v>1024</v>
      </c>
      <c r="K914" t="s">
        <v>70</v>
      </c>
      <c r="L914" t="s">
        <v>36</v>
      </c>
      <c r="M914" t="s">
        <v>10</v>
      </c>
    </row>
    <row r="915" spans="1:13">
      <c r="A915" t="s">
        <v>1940</v>
      </c>
      <c r="B915" s="2">
        <v>46025</v>
      </c>
      <c r="C915">
        <v>2026</v>
      </c>
      <c r="D915">
        <v>1</v>
      </c>
      <c r="E915" t="s">
        <v>1</v>
      </c>
      <c r="F915" t="s">
        <v>78</v>
      </c>
      <c r="G915" t="s">
        <v>32</v>
      </c>
      <c r="H915" t="s">
        <v>12</v>
      </c>
      <c r="I915" t="s">
        <v>1023</v>
      </c>
      <c r="J915" t="s">
        <v>1024</v>
      </c>
      <c r="K915" t="s">
        <v>70</v>
      </c>
      <c r="L915" t="s">
        <v>16</v>
      </c>
      <c r="M915" t="s">
        <v>17</v>
      </c>
    </row>
    <row r="916" spans="1:13">
      <c r="A916" t="s">
        <v>1941</v>
      </c>
      <c r="B916" s="2">
        <v>46036</v>
      </c>
      <c r="C916">
        <v>2026</v>
      </c>
      <c r="D916">
        <v>1</v>
      </c>
      <c r="E916" t="s">
        <v>1</v>
      </c>
      <c r="F916" t="s">
        <v>26</v>
      </c>
      <c r="G916" t="s">
        <v>55</v>
      </c>
      <c r="H916" t="s">
        <v>44</v>
      </c>
      <c r="I916" t="s">
        <v>1026</v>
      </c>
      <c r="J916" t="s">
        <v>454</v>
      </c>
      <c r="K916" t="s">
        <v>50</v>
      </c>
      <c r="L916" t="s">
        <v>16</v>
      </c>
      <c r="M916" t="s">
        <v>10</v>
      </c>
    </row>
    <row r="917" spans="1:13">
      <c r="A917" t="s">
        <v>1942</v>
      </c>
      <c r="B917" s="2">
        <v>46027</v>
      </c>
      <c r="C917">
        <v>2026</v>
      </c>
      <c r="D917">
        <v>1</v>
      </c>
      <c r="E917" t="s">
        <v>1</v>
      </c>
      <c r="F917" t="s">
        <v>47</v>
      </c>
      <c r="G917" t="s">
        <v>64</v>
      </c>
      <c r="H917" t="s">
        <v>12</v>
      </c>
      <c r="I917" t="s">
        <v>1037</v>
      </c>
      <c r="J917" t="s">
        <v>1024</v>
      </c>
      <c r="K917" t="s">
        <v>70</v>
      </c>
      <c r="L917" t="s">
        <v>9</v>
      </c>
      <c r="M917" t="s">
        <v>17</v>
      </c>
    </row>
    <row r="918" spans="1:13">
      <c r="A918" t="s">
        <v>1943</v>
      </c>
      <c r="B918" s="2">
        <v>46043</v>
      </c>
      <c r="C918">
        <v>2026</v>
      </c>
      <c r="D918">
        <v>1</v>
      </c>
      <c r="E918" t="s">
        <v>1</v>
      </c>
      <c r="F918" t="s">
        <v>67</v>
      </c>
      <c r="G918" t="s">
        <v>20</v>
      </c>
      <c r="H918" t="s">
        <v>4</v>
      </c>
      <c r="I918" t="s">
        <v>1026</v>
      </c>
      <c r="J918" t="s">
        <v>460</v>
      </c>
      <c r="K918" t="s">
        <v>50</v>
      </c>
      <c r="L918" t="s">
        <v>36</v>
      </c>
      <c r="M918" t="s">
        <v>10</v>
      </c>
    </row>
    <row r="919" spans="1:13">
      <c r="A919" t="s">
        <v>1944</v>
      </c>
      <c r="B919" s="2">
        <v>46024</v>
      </c>
      <c r="C919">
        <v>2026</v>
      </c>
      <c r="D919">
        <v>1</v>
      </c>
      <c r="E919" t="s">
        <v>1</v>
      </c>
      <c r="F919" t="s">
        <v>38</v>
      </c>
      <c r="G919" t="s">
        <v>61</v>
      </c>
      <c r="H919" t="s">
        <v>33</v>
      </c>
      <c r="I919" t="s">
        <v>1029</v>
      </c>
      <c r="J919" t="s">
        <v>440</v>
      </c>
      <c r="K919" t="s">
        <v>6</v>
      </c>
      <c r="L919" t="s">
        <v>9</v>
      </c>
      <c r="M919" t="s">
        <v>10</v>
      </c>
    </row>
    <row r="920" spans="1:13">
      <c r="A920" t="s">
        <v>1945</v>
      </c>
      <c r="B920" s="2">
        <v>46039</v>
      </c>
      <c r="C920">
        <v>2026</v>
      </c>
      <c r="D920">
        <v>1</v>
      </c>
      <c r="E920" t="s">
        <v>1</v>
      </c>
      <c r="F920" t="s">
        <v>26</v>
      </c>
      <c r="G920" t="s">
        <v>3</v>
      </c>
      <c r="H920" t="s">
        <v>4</v>
      </c>
      <c r="I920" t="s">
        <v>1029</v>
      </c>
      <c r="J920" t="s">
        <v>464</v>
      </c>
      <c r="K920" t="s">
        <v>50</v>
      </c>
      <c r="L920" t="s">
        <v>16</v>
      </c>
      <c r="M920" t="s">
        <v>10</v>
      </c>
    </row>
    <row r="921" spans="1:13">
      <c r="A921" t="s">
        <v>1946</v>
      </c>
      <c r="B921" s="2">
        <v>46035</v>
      </c>
      <c r="C921">
        <v>2026</v>
      </c>
      <c r="D921">
        <v>1</v>
      </c>
      <c r="E921" t="s">
        <v>1</v>
      </c>
      <c r="F921" t="s">
        <v>78</v>
      </c>
      <c r="G921" t="s">
        <v>74</v>
      </c>
      <c r="H921" t="s">
        <v>33</v>
      </c>
      <c r="I921" t="s">
        <v>1023</v>
      </c>
      <c r="J921" t="s">
        <v>1024</v>
      </c>
      <c r="K921" t="s">
        <v>70</v>
      </c>
      <c r="L921" t="s">
        <v>16</v>
      </c>
      <c r="M921" t="s">
        <v>17</v>
      </c>
    </row>
    <row r="922" spans="1:13">
      <c r="A922" t="s">
        <v>1947</v>
      </c>
      <c r="B922" s="2">
        <v>46050</v>
      </c>
      <c r="C922">
        <v>2026</v>
      </c>
      <c r="D922">
        <v>1</v>
      </c>
      <c r="E922" t="s">
        <v>1</v>
      </c>
      <c r="F922" t="s">
        <v>67</v>
      </c>
      <c r="G922" t="s">
        <v>61</v>
      </c>
      <c r="H922" t="s">
        <v>33</v>
      </c>
      <c r="I922" t="s">
        <v>1029</v>
      </c>
      <c r="J922" t="s">
        <v>438</v>
      </c>
      <c r="K922" t="s">
        <v>34</v>
      </c>
      <c r="L922" t="s">
        <v>16</v>
      </c>
      <c r="M922" t="s">
        <v>17</v>
      </c>
    </row>
    <row r="923" spans="1:13">
      <c r="A923" t="s">
        <v>1948</v>
      </c>
      <c r="B923" s="2">
        <v>46038</v>
      </c>
      <c r="C923">
        <v>2026</v>
      </c>
      <c r="D923">
        <v>1</v>
      </c>
      <c r="E923" t="s">
        <v>1</v>
      </c>
      <c r="F923" t="s">
        <v>54</v>
      </c>
      <c r="G923" t="s">
        <v>69</v>
      </c>
      <c r="H923" t="s">
        <v>12</v>
      </c>
      <c r="I923" t="s">
        <v>1029</v>
      </c>
      <c r="J923" t="s">
        <v>462</v>
      </c>
      <c r="K923" t="s">
        <v>70</v>
      </c>
      <c r="L923" t="s">
        <v>36</v>
      </c>
      <c r="M923" t="s">
        <v>10</v>
      </c>
    </row>
    <row r="924" spans="1:13">
      <c r="A924" t="s">
        <v>1949</v>
      </c>
      <c r="B924" s="2">
        <v>46038</v>
      </c>
      <c r="C924">
        <v>2026</v>
      </c>
      <c r="D924">
        <v>1</v>
      </c>
      <c r="E924" t="s">
        <v>1</v>
      </c>
      <c r="F924" t="s">
        <v>19</v>
      </c>
      <c r="G924" t="s">
        <v>64</v>
      </c>
      <c r="H924" t="s">
        <v>4</v>
      </c>
      <c r="I924" t="s">
        <v>1029</v>
      </c>
      <c r="J924" t="s">
        <v>438</v>
      </c>
      <c r="K924" t="s">
        <v>50</v>
      </c>
      <c r="L924" t="s">
        <v>29</v>
      </c>
      <c r="M924" t="s">
        <v>10</v>
      </c>
    </row>
    <row r="925" spans="1:13">
      <c r="A925" t="s">
        <v>1950</v>
      </c>
      <c r="B925" s="2">
        <v>46049</v>
      </c>
      <c r="C925">
        <v>2026</v>
      </c>
      <c r="D925">
        <v>1</v>
      </c>
      <c r="E925" t="s">
        <v>1</v>
      </c>
      <c r="F925" t="s">
        <v>40</v>
      </c>
      <c r="G925" t="s">
        <v>20</v>
      </c>
      <c r="H925" t="s">
        <v>33</v>
      </c>
      <c r="I925" t="s">
        <v>1029</v>
      </c>
      <c r="J925" t="s">
        <v>452</v>
      </c>
      <c r="K925" t="s">
        <v>6</v>
      </c>
      <c r="L925" t="s">
        <v>36</v>
      </c>
      <c r="M925" t="s">
        <v>17</v>
      </c>
    </row>
    <row r="926" spans="1:13">
      <c r="A926" t="s">
        <v>1951</v>
      </c>
      <c r="B926" s="2">
        <v>46039</v>
      </c>
      <c r="C926">
        <v>2026</v>
      </c>
      <c r="D926">
        <v>1</v>
      </c>
      <c r="E926" t="s">
        <v>1</v>
      </c>
      <c r="F926" t="s">
        <v>47</v>
      </c>
      <c r="G926" t="s">
        <v>3</v>
      </c>
      <c r="H926" t="s">
        <v>44</v>
      </c>
      <c r="I926" t="s">
        <v>1026</v>
      </c>
      <c r="J926" t="s">
        <v>494</v>
      </c>
      <c r="K926" t="s">
        <v>13</v>
      </c>
      <c r="L926" t="s">
        <v>36</v>
      </c>
      <c r="M926" t="s">
        <v>17</v>
      </c>
    </row>
    <row r="927" spans="1:13">
      <c r="A927" t="s">
        <v>1952</v>
      </c>
      <c r="B927" s="2">
        <v>46030</v>
      </c>
      <c r="C927">
        <v>2026</v>
      </c>
      <c r="D927">
        <v>1</v>
      </c>
      <c r="E927" t="s">
        <v>1</v>
      </c>
      <c r="F927" t="s">
        <v>78</v>
      </c>
      <c r="G927" t="s">
        <v>94</v>
      </c>
      <c r="H927" t="s">
        <v>44</v>
      </c>
      <c r="I927" t="s">
        <v>1029</v>
      </c>
      <c r="J927" t="s">
        <v>452</v>
      </c>
      <c r="K927" t="s">
        <v>13</v>
      </c>
      <c r="L927" t="s">
        <v>36</v>
      </c>
      <c r="M927" t="s">
        <v>10</v>
      </c>
    </row>
    <row r="928" spans="1:13">
      <c r="A928" t="s">
        <v>1953</v>
      </c>
      <c r="B928" s="2">
        <v>46047</v>
      </c>
      <c r="C928">
        <v>2026</v>
      </c>
      <c r="D928">
        <v>1</v>
      </c>
      <c r="E928" t="s">
        <v>1</v>
      </c>
      <c r="F928" t="s">
        <v>47</v>
      </c>
      <c r="G928" t="s">
        <v>74</v>
      </c>
      <c r="H928" t="s">
        <v>12</v>
      </c>
      <c r="I928" t="s">
        <v>1023</v>
      </c>
      <c r="J928" t="s">
        <v>1024</v>
      </c>
      <c r="K928" t="s">
        <v>13</v>
      </c>
      <c r="L928" t="s">
        <v>36</v>
      </c>
      <c r="M928" t="s">
        <v>17</v>
      </c>
    </row>
    <row r="929" spans="1:13">
      <c r="A929" t="s">
        <v>1954</v>
      </c>
      <c r="B929" s="2">
        <v>46030</v>
      </c>
      <c r="C929">
        <v>2026</v>
      </c>
      <c r="D929">
        <v>1</v>
      </c>
      <c r="E929" t="s">
        <v>1</v>
      </c>
      <c r="F929" t="s">
        <v>47</v>
      </c>
      <c r="G929" t="s">
        <v>20</v>
      </c>
      <c r="H929" t="s">
        <v>12</v>
      </c>
      <c r="I929" t="s">
        <v>1029</v>
      </c>
      <c r="J929" t="s">
        <v>452</v>
      </c>
      <c r="K929" t="s">
        <v>13</v>
      </c>
      <c r="L929" t="s">
        <v>36</v>
      </c>
      <c r="M929" t="s">
        <v>10</v>
      </c>
    </row>
    <row r="930" spans="1:13">
      <c r="A930" t="s">
        <v>1955</v>
      </c>
      <c r="B930" s="2">
        <v>46039</v>
      </c>
      <c r="C930">
        <v>2026</v>
      </c>
      <c r="D930">
        <v>1</v>
      </c>
      <c r="E930" t="s">
        <v>1</v>
      </c>
      <c r="F930" t="s">
        <v>54</v>
      </c>
      <c r="G930" t="s">
        <v>38</v>
      </c>
      <c r="H930" t="s">
        <v>33</v>
      </c>
      <c r="I930" t="s">
        <v>1023</v>
      </c>
      <c r="J930" t="s">
        <v>1024</v>
      </c>
      <c r="K930" t="s">
        <v>70</v>
      </c>
      <c r="L930" t="s">
        <v>36</v>
      </c>
      <c r="M930" t="s">
        <v>10</v>
      </c>
    </row>
    <row r="931" spans="1:13">
      <c r="A931" t="s">
        <v>1956</v>
      </c>
      <c r="B931" s="2">
        <v>46049</v>
      </c>
      <c r="C931">
        <v>2026</v>
      </c>
      <c r="D931">
        <v>1</v>
      </c>
      <c r="E931" t="s">
        <v>1</v>
      </c>
      <c r="F931" t="s">
        <v>78</v>
      </c>
      <c r="G931" t="s">
        <v>74</v>
      </c>
      <c r="H931" t="s">
        <v>44</v>
      </c>
      <c r="I931" t="s">
        <v>1037</v>
      </c>
      <c r="J931" t="s">
        <v>1024</v>
      </c>
      <c r="K931" t="s">
        <v>70</v>
      </c>
      <c r="L931" t="s">
        <v>16</v>
      </c>
      <c r="M931" t="s">
        <v>10</v>
      </c>
    </row>
    <row r="932" spans="1:13">
      <c r="A932" t="s">
        <v>1957</v>
      </c>
      <c r="B932" s="2">
        <v>46061</v>
      </c>
      <c r="C932">
        <v>2026</v>
      </c>
      <c r="D932">
        <v>2</v>
      </c>
      <c r="E932" t="s">
        <v>25</v>
      </c>
      <c r="F932" t="s">
        <v>78</v>
      </c>
      <c r="G932" t="s">
        <v>27</v>
      </c>
      <c r="H932" t="s">
        <v>12</v>
      </c>
      <c r="I932" t="s">
        <v>1037</v>
      </c>
      <c r="J932" t="s">
        <v>1024</v>
      </c>
      <c r="K932" t="s">
        <v>6</v>
      </c>
      <c r="L932" t="s">
        <v>36</v>
      </c>
      <c r="M932" t="s">
        <v>10</v>
      </c>
    </row>
    <row r="933" spans="1:13">
      <c r="A933" t="s">
        <v>1958</v>
      </c>
      <c r="B933" s="2">
        <v>46064</v>
      </c>
      <c r="C933">
        <v>2026</v>
      </c>
      <c r="D933">
        <v>2</v>
      </c>
      <c r="E933" t="s">
        <v>25</v>
      </c>
      <c r="F933" t="s">
        <v>47</v>
      </c>
      <c r="G933" t="s">
        <v>27</v>
      </c>
      <c r="H933" t="s">
        <v>44</v>
      </c>
      <c r="I933" t="s">
        <v>1026</v>
      </c>
      <c r="J933" t="s">
        <v>446</v>
      </c>
      <c r="K933" t="s">
        <v>6</v>
      </c>
      <c r="L933" t="s">
        <v>9</v>
      </c>
      <c r="M933" t="s">
        <v>17</v>
      </c>
    </row>
    <row r="934" spans="1:13">
      <c r="A934" t="s">
        <v>1959</v>
      </c>
      <c r="B934" s="2">
        <v>46073</v>
      </c>
      <c r="C934">
        <v>2026</v>
      </c>
      <c r="D934">
        <v>2</v>
      </c>
      <c r="E934" t="s">
        <v>25</v>
      </c>
      <c r="F934" t="s">
        <v>19</v>
      </c>
      <c r="G934" t="s">
        <v>64</v>
      </c>
      <c r="H934" t="s">
        <v>4</v>
      </c>
      <c r="I934" t="s">
        <v>1026</v>
      </c>
      <c r="J934" t="s">
        <v>470</v>
      </c>
      <c r="K934" t="s">
        <v>13</v>
      </c>
      <c r="L934" t="s">
        <v>29</v>
      </c>
      <c r="M934" t="s">
        <v>17</v>
      </c>
    </row>
    <row r="935" spans="1:13">
      <c r="A935" t="s">
        <v>1960</v>
      </c>
      <c r="B935" s="2">
        <v>46067</v>
      </c>
      <c r="C935">
        <v>2026</v>
      </c>
      <c r="D935">
        <v>2</v>
      </c>
      <c r="E935" t="s">
        <v>25</v>
      </c>
      <c r="F935" t="s">
        <v>19</v>
      </c>
      <c r="G935" t="s">
        <v>27</v>
      </c>
      <c r="H935" t="s">
        <v>44</v>
      </c>
      <c r="I935" t="s">
        <v>1026</v>
      </c>
      <c r="J935" t="s">
        <v>454</v>
      </c>
      <c r="K935" t="s">
        <v>6</v>
      </c>
      <c r="L935" t="s">
        <v>9</v>
      </c>
      <c r="M935" t="s">
        <v>10</v>
      </c>
    </row>
    <row r="936" spans="1:13">
      <c r="A936" t="s">
        <v>1961</v>
      </c>
      <c r="B936" s="2">
        <v>46059</v>
      </c>
      <c r="C936">
        <v>2026</v>
      </c>
      <c r="D936">
        <v>2</v>
      </c>
      <c r="E936" t="s">
        <v>25</v>
      </c>
      <c r="F936" t="s">
        <v>54</v>
      </c>
      <c r="G936" t="s">
        <v>64</v>
      </c>
      <c r="H936" t="s">
        <v>12</v>
      </c>
      <c r="I936" t="s">
        <v>1037</v>
      </c>
      <c r="J936" t="s">
        <v>1024</v>
      </c>
      <c r="K936" t="s">
        <v>34</v>
      </c>
      <c r="L936" t="s">
        <v>9</v>
      </c>
      <c r="M936" t="s">
        <v>10</v>
      </c>
    </row>
    <row r="937" spans="1:13">
      <c r="A937" t="s">
        <v>1962</v>
      </c>
      <c r="B937" s="2">
        <v>46062</v>
      </c>
      <c r="C937">
        <v>2026</v>
      </c>
      <c r="D937">
        <v>2</v>
      </c>
      <c r="E937" t="s">
        <v>25</v>
      </c>
      <c r="F937" t="s">
        <v>54</v>
      </c>
      <c r="G937" t="s">
        <v>27</v>
      </c>
      <c r="H937" t="s">
        <v>4</v>
      </c>
      <c r="I937" t="s">
        <v>1026</v>
      </c>
      <c r="J937" t="s">
        <v>446</v>
      </c>
      <c r="K937" t="s">
        <v>13</v>
      </c>
      <c r="L937" t="s">
        <v>16</v>
      </c>
      <c r="M937" t="s">
        <v>10</v>
      </c>
    </row>
    <row r="938" spans="1:13">
      <c r="A938" t="s">
        <v>1963</v>
      </c>
      <c r="B938" s="2">
        <v>46072</v>
      </c>
      <c r="C938">
        <v>2026</v>
      </c>
      <c r="D938">
        <v>2</v>
      </c>
      <c r="E938" t="s">
        <v>25</v>
      </c>
      <c r="F938" t="s">
        <v>31</v>
      </c>
      <c r="G938" t="s">
        <v>74</v>
      </c>
      <c r="H938" t="s">
        <v>33</v>
      </c>
      <c r="I938" t="s">
        <v>1037</v>
      </c>
      <c r="J938" t="s">
        <v>1024</v>
      </c>
      <c r="K938" t="s">
        <v>6</v>
      </c>
      <c r="L938" t="s">
        <v>9</v>
      </c>
      <c r="M938" t="s">
        <v>10</v>
      </c>
    </row>
    <row r="939" spans="1:13">
      <c r="A939" t="s">
        <v>1964</v>
      </c>
      <c r="B939" s="2">
        <v>46064</v>
      </c>
      <c r="C939">
        <v>2026</v>
      </c>
      <c r="D939">
        <v>2</v>
      </c>
      <c r="E939" t="s">
        <v>25</v>
      </c>
      <c r="F939" t="s">
        <v>67</v>
      </c>
      <c r="G939" t="s">
        <v>94</v>
      </c>
      <c r="H939" t="s">
        <v>4</v>
      </c>
      <c r="I939" t="s">
        <v>1026</v>
      </c>
      <c r="J939" t="s">
        <v>460</v>
      </c>
      <c r="K939" t="s">
        <v>70</v>
      </c>
      <c r="L939" t="s">
        <v>29</v>
      </c>
      <c r="M939" t="s">
        <v>10</v>
      </c>
    </row>
    <row r="940" spans="1:13">
      <c r="A940" t="s">
        <v>1965</v>
      </c>
      <c r="B940" s="2">
        <v>46062</v>
      </c>
      <c r="C940">
        <v>2026</v>
      </c>
      <c r="D940">
        <v>2</v>
      </c>
      <c r="E940" t="s">
        <v>25</v>
      </c>
      <c r="F940" t="s">
        <v>54</v>
      </c>
      <c r="G940" t="s">
        <v>94</v>
      </c>
      <c r="H940" t="s">
        <v>33</v>
      </c>
      <c r="I940" t="s">
        <v>1026</v>
      </c>
      <c r="J940" t="s">
        <v>428</v>
      </c>
      <c r="K940" t="s">
        <v>13</v>
      </c>
      <c r="L940" t="s">
        <v>9</v>
      </c>
      <c r="M940" t="s">
        <v>10</v>
      </c>
    </row>
    <row r="941" spans="1:13">
      <c r="A941" t="s">
        <v>1966</v>
      </c>
      <c r="B941" s="2">
        <v>46072</v>
      </c>
      <c r="C941">
        <v>2026</v>
      </c>
      <c r="D941">
        <v>2</v>
      </c>
      <c r="E941" t="s">
        <v>25</v>
      </c>
      <c r="F941" t="s">
        <v>2</v>
      </c>
      <c r="G941" t="s">
        <v>20</v>
      </c>
      <c r="H941" t="s">
        <v>12</v>
      </c>
      <c r="I941" t="s">
        <v>1029</v>
      </c>
      <c r="J941" t="s">
        <v>440</v>
      </c>
      <c r="K941" t="s">
        <v>50</v>
      </c>
      <c r="L941" t="s">
        <v>36</v>
      </c>
      <c r="M941" t="s">
        <v>10</v>
      </c>
    </row>
    <row r="942" spans="1:13">
      <c r="A942" t="s">
        <v>1967</v>
      </c>
      <c r="B942" s="2">
        <v>46062</v>
      </c>
      <c r="C942">
        <v>2026</v>
      </c>
      <c r="D942">
        <v>2</v>
      </c>
      <c r="E942" t="s">
        <v>25</v>
      </c>
      <c r="F942" t="s">
        <v>47</v>
      </c>
      <c r="G942" t="s">
        <v>69</v>
      </c>
      <c r="H942" t="s">
        <v>4</v>
      </c>
      <c r="I942" t="s">
        <v>1029</v>
      </c>
      <c r="J942" t="s">
        <v>435</v>
      </c>
      <c r="K942" t="s">
        <v>50</v>
      </c>
      <c r="L942" t="s">
        <v>29</v>
      </c>
      <c r="M942" t="s">
        <v>10</v>
      </c>
    </row>
    <row r="943" spans="1:13">
      <c r="A943" t="s">
        <v>1968</v>
      </c>
      <c r="B943" s="2">
        <v>46077</v>
      </c>
      <c r="C943">
        <v>2026</v>
      </c>
      <c r="D943">
        <v>2</v>
      </c>
      <c r="E943" t="s">
        <v>25</v>
      </c>
      <c r="F943" t="s">
        <v>2</v>
      </c>
      <c r="G943" t="s">
        <v>3</v>
      </c>
      <c r="H943" t="s">
        <v>4</v>
      </c>
      <c r="I943" t="s">
        <v>1026</v>
      </c>
      <c r="J943" t="s">
        <v>457</v>
      </c>
      <c r="K943" t="s">
        <v>70</v>
      </c>
      <c r="L943" t="s">
        <v>29</v>
      </c>
      <c r="M943" t="s">
        <v>10</v>
      </c>
    </row>
    <row r="944" spans="1:13">
      <c r="A944" t="s">
        <v>1969</v>
      </c>
      <c r="B944" s="2">
        <v>46055</v>
      </c>
      <c r="C944">
        <v>2026</v>
      </c>
      <c r="D944">
        <v>2</v>
      </c>
      <c r="E944" t="s">
        <v>25</v>
      </c>
      <c r="F944" t="s">
        <v>26</v>
      </c>
      <c r="G944" t="s">
        <v>64</v>
      </c>
      <c r="H944" t="s">
        <v>4</v>
      </c>
      <c r="I944" t="s">
        <v>1037</v>
      </c>
      <c r="J944" t="s">
        <v>1024</v>
      </c>
      <c r="K944" t="s">
        <v>70</v>
      </c>
      <c r="L944" t="s">
        <v>16</v>
      </c>
      <c r="M944" t="s">
        <v>17</v>
      </c>
    </row>
    <row r="945" spans="1:13">
      <c r="A945" t="s">
        <v>1970</v>
      </c>
      <c r="B945" s="2">
        <v>46062</v>
      </c>
      <c r="C945">
        <v>2026</v>
      </c>
      <c r="D945">
        <v>2</v>
      </c>
      <c r="E945" t="s">
        <v>25</v>
      </c>
      <c r="F945" t="s">
        <v>31</v>
      </c>
      <c r="G945" t="s">
        <v>38</v>
      </c>
      <c r="H945" t="s">
        <v>12</v>
      </c>
      <c r="I945" t="s">
        <v>1029</v>
      </c>
      <c r="J945" t="s">
        <v>464</v>
      </c>
      <c r="K945" t="s">
        <v>34</v>
      </c>
      <c r="L945" t="s">
        <v>36</v>
      </c>
      <c r="M945" t="s">
        <v>10</v>
      </c>
    </row>
    <row r="946" spans="1:13">
      <c r="A946" t="s">
        <v>1971</v>
      </c>
      <c r="B946" s="2">
        <v>46066</v>
      </c>
      <c r="C946">
        <v>2026</v>
      </c>
      <c r="D946">
        <v>2</v>
      </c>
      <c r="E946" t="s">
        <v>25</v>
      </c>
      <c r="F946" t="s">
        <v>26</v>
      </c>
      <c r="G946" t="s">
        <v>94</v>
      </c>
      <c r="H946" t="s">
        <v>44</v>
      </c>
      <c r="I946" t="s">
        <v>1029</v>
      </c>
      <c r="J946" t="s">
        <v>431</v>
      </c>
      <c r="K946" t="s">
        <v>6</v>
      </c>
      <c r="L946" t="s">
        <v>9</v>
      </c>
      <c r="M946" t="s">
        <v>10</v>
      </c>
    </row>
    <row r="947" spans="1:13">
      <c r="A947" t="s">
        <v>1972</v>
      </c>
      <c r="B947" s="2">
        <v>46076</v>
      </c>
      <c r="C947">
        <v>2026</v>
      </c>
      <c r="D947">
        <v>2</v>
      </c>
      <c r="E947" t="s">
        <v>25</v>
      </c>
      <c r="F947" t="s">
        <v>40</v>
      </c>
      <c r="G947" t="s">
        <v>69</v>
      </c>
      <c r="H947" t="s">
        <v>44</v>
      </c>
      <c r="I947" t="s">
        <v>1026</v>
      </c>
      <c r="J947" t="s">
        <v>444</v>
      </c>
      <c r="K947" t="s">
        <v>34</v>
      </c>
      <c r="L947" t="s">
        <v>29</v>
      </c>
      <c r="M947" t="s">
        <v>10</v>
      </c>
    </row>
    <row r="948" spans="1:13">
      <c r="A948" t="s">
        <v>1973</v>
      </c>
      <c r="B948" s="2">
        <v>46073</v>
      </c>
      <c r="C948">
        <v>2026</v>
      </c>
      <c r="D948">
        <v>2</v>
      </c>
      <c r="E948" t="s">
        <v>25</v>
      </c>
      <c r="F948" t="s">
        <v>40</v>
      </c>
      <c r="G948" t="s">
        <v>61</v>
      </c>
      <c r="H948" t="s">
        <v>4</v>
      </c>
      <c r="I948" t="s">
        <v>1029</v>
      </c>
      <c r="J948" t="s">
        <v>442</v>
      </c>
      <c r="K948" t="s">
        <v>6</v>
      </c>
      <c r="L948" t="s">
        <v>29</v>
      </c>
      <c r="M948" t="s">
        <v>10</v>
      </c>
    </row>
    <row r="949" spans="1:13">
      <c r="A949" t="s">
        <v>1974</v>
      </c>
      <c r="B949" s="2">
        <v>46076</v>
      </c>
      <c r="C949">
        <v>2026</v>
      </c>
      <c r="D949">
        <v>2</v>
      </c>
      <c r="E949" t="s">
        <v>25</v>
      </c>
      <c r="F949" t="s">
        <v>38</v>
      </c>
      <c r="G949" t="s">
        <v>38</v>
      </c>
      <c r="H949" t="s">
        <v>44</v>
      </c>
      <c r="I949" t="s">
        <v>1037</v>
      </c>
      <c r="J949" t="s">
        <v>1024</v>
      </c>
      <c r="K949" t="s">
        <v>6</v>
      </c>
      <c r="L949" t="s">
        <v>9</v>
      </c>
      <c r="M949" t="s">
        <v>10</v>
      </c>
    </row>
    <row r="950" spans="1:13">
      <c r="A950" t="s">
        <v>1975</v>
      </c>
      <c r="B950" s="2">
        <v>46061</v>
      </c>
      <c r="C950">
        <v>2026</v>
      </c>
      <c r="D950">
        <v>2</v>
      </c>
      <c r="E950" t="s">
        <v>25</v>
      </c>
      <c r="F950" t="s">
        <v>67</v>
      </c>
      <c r="G950" t="s">
        <v>61</v>
      </c>
      <c r="H950" t="s">
        <v>12</v>
      </c>
      <c r="I950" t="s">
        <v>1029</v>
      </c>
      <c r="J950" t="s">
        <v>84</v>
      </c>
      <c r="K950" t="s">
        <v>6</v>
      </c>
      <c r="L950" t="s">
        <v>9</v>
      </c>
      <c r="M950" t="s">
        <v>17</v>
      </c>
    </row>
    <row r="951" spans="1:13">
      <c r="A951" t="s">
        <v>1976</v>
      </c>
      <c r="B951" s="2">
        <v>46054</v>
      </c>
      <c r="C951">
        <v>2026</v>
      </c>
      <c r="D951">
        <v>2</v>
      </c>
      <c r="E951" t="s">
        <v>25</v>
      </c>
      <c r="F951" t="s">
        <v>26</v>
      </c>
      <c r="G951" t="s">
        <v>74</v>
      </c>
      <c r="H951" t="s">
        <v>44</v>
      </c>
      <c r="I951" t="s">
        <v>1023</v>
      </c>
      <c r="J951" t="s">
        <v>1024</v>
      </c>
      <c r="K951" t="s">
        <v>34</v>
      </c>
      <c r="L951" t="s">
        <v>36</v>
      </c>
      <c r="M951" t="s">
        <v>17</v>
      </c>
    </row>
    <row r="952" spans="1:13">
      <c r="A952" t="s">
        <v>1977</v>
      </c>
      <c r="B952" s="2">
        <v>46068</v>
      </c>
      <c r="C952">
        <v>2026</v>
      </c>
      <c r="D952">
        <v>2</v>
      </c>
      <c r="E952" t="s">
        <v>25</v>
      </c>
      <c r="F952" t="s">
        <v>67</v>
      </c>
      <c r="G952" t="s">
        <v>48</v>
      </c>
      <c r="H952" t="s">
        <v>4</v>
      </c>
      <c r="I952" t="s">
        <v>1026</v>
      </c>
      <c r="J952" t="s">
        <v>428</v>
      </c>
      <c r="K952" t="s">
        <v>6</v>
      </c>
      <c r="L952" t="s">
        <v>9</v>
      </c>
      <c r="M952" t="s">
        <v>10</v>
      </c>
    </row>
    <row r="953" spans="1:13">
      <c r="A953" t="s">
        <v>1978</v>
      </c>
      <c r="B953" s="2">
        <v>46073</v>
      </c>
      <c r="C953">
        <v>2026</v>
      </c>
      <c r="D953">
        <v>2</v>
      </c>
      <c r="E953" t="s">
        <v>25</v>
      </c>
      <c r="F953" t="s">
        <v>19</v>
      </c>
      <c r="G953" t="s">
        <v>20</v>
      </c>
      <c r="H953" t="s">
        <v>44</v>
      </c>
      <c r="I953" t="s">
        <v>1029</v>
      </c>
      <c r="J953" t="s">
        <v>431</v>
      </c>
      <c r="K953" t="s">
        <v>50</v>
      </c>
      <c r="L953" t="s">
        <v>9</v>
      </c>
      <c r="M953" t="s">
        <v>17</v>
      </c>
    </row>
    <row r="954" spans="1:13">
      <c r="A954" t="s">
        <v>1979</v>
      </c>
      <c r="B954" s="2">
        <v>46069</v>
      </c>
      <c r="C954">
        <v>2026</v>
      </c>
      <c r="D954">
        <v>2</v>
      </c>
      <c r="E954" t="s">
        <v>25</v>
      </c>
      <c r="F954" t="s">
        <v>47</v>
      </c>
      <c r="G954" t="s">
        <v>64</v>
      </c>
      <c r="H954" t="s">
        <v>4</v>
      </c>
      <c r="I954" t="s">
        <v>1037</v>
      </c>
      <c r="J954" t="s">
        <v>1024</v>
      </c>
      <c r="K954" t="s">
        <v>13</v>
      </c>
      <c r="L954" t="s">
        <v>29</v>
      </c>
      <c r="M954" t="s">
        <v>10</v>
      </c>
    </row>
    <row r="955" spans="1:13">
      <c r="A955" t="s">
        <v>1980</v>
      </c>
      <c r="B955" s="2">
        <v>46078</v>
      </c>
      <c r="C955">
        <v>2026</v>
      </c>
      <c r="D955">
        <v>2</v>
      </c>
      <c r="E955" t="s">
        <v>25</v>
      </c>
      <c r="F955" t="s">
        <v>31</v>
      </c>
      <c r="G955" t="s">
        <v>38</v>
      </c>
      <c r="H955" t="s">
        <v>12</v>
      </c>
      <c r="I955" t="s">
        <v>1037</v>
      </c>
      <c r="J955" t="s">
        <v>1024</v>
      </c>
      <c r="K955" t="s">
        <v>70</v>
      </c>
      <c r="L955" t="s">
        <v>16</v>
      </c>
      <c r="M955" t="s">
        <v>10</v>
      </c>
    </row>
    <row r="956" spans="1:13">
      <c r="A956" t="s">
        <v>1981</v>
      </c>
      <c r="B956" s="2">
        <v>46073</v>
      </c>
      <c r="C956">
        <v>2026</v>
      </c>
      <c r="D956">
        <v>2</v>
      </c>
      <c r="E956" t="s">
        <v>25</v>
      </c>
      <c r="F956" t="s">
        <v>2</v>
      </c>
      <c r="G956" t="s">
        <v>27</v>
      </c>
      <c r="H956" t="s">
        <v>4</v>
      </c>
      <c r="I956" t="s">
        <v>1029</v>
      </c>
      <c r="J956" t="s">
        <v>438</v>
      </c>
      <c r="K956" t="s">
        <v>6</v>
      </c>
      <c r="L956" t="s">
        <v>16</v>
      </c>
      <c r="M956" t="s">
        <v>17</v>
      </c>
    </row>
    <row r="957" spans="1:13">
      <c r="A957" t="s">
        <v>1982</v>
      </c>
      <c r="B957" s="2">
        <v>46078</v>
      </c>
      <c r="C957">
        <v>2026</v>
      </c>
      <c r="D957">
        <v>2</v>
      </c>
      <c r="E957" t="s">
        <v>25</v>
      </c>
      <c r="F957" t="s">
        <v>19</v>
      </c>
      <c r="G957" t="s">
        <v>55</v>
      </c>
      <c r="H957" t="s">
        <v>33</v>
      </c>
      <c r="I957" t="s">
        <v>1026</v>
      </c>
      <c r="J957" t="s">
        <v>494</v>
      </c>
      <c r="K957" t="s">
        <v>6</v>
      </c>
      <c r="L957" t="s">
        <v>36</v>
      </c>
      <c r="M957" t="s">
        <v>10</v>
      </c>
    </row>
    <row r="958" spans="1:13">
      <c r="A958" t="s">
        <v>1983</v>
      </c>
      <c r="B958" s="2">
        <v>46070</v>
      </c>
      <c r="C958">
        <v>2026</v>
      </c>
      <c r="D958">
        <v>2</v>
      </c>
      <c r="E958" t="s">
        <v>25</v>
      </c>
      <c r="F958" t="s">
        <v>19</v>
      </c>
      <c r="G958" t="s">
        <v>55</v>
      </c>
      <c r="H958" t="s">
        <v>33</v>
      </c>
      <c r="I958" t="s">
        <v>1026</v>
      </c>
      <c r="J958" t="s">
        <v>466</v>
      </c>
      <c r="K958" t="s">
        <v>13</v>
      </c>
      <c r="L958" t="s">
        <v>29</v>
      </c>
      <c r="M958" t="s">
        <v>10</v>
      </c>
    </row>
    <row r="959" spans="1:13">
      <c r="A959" t="s">
        <v>1984</v>
      </c>
      <c r="B959" s="2">
        <v>46067</v>
      </c>
      <c r="C959">
        <v>2026</v>
      </c>
      <c r="D959">
        <v>2</v>
      </c>
      <c r="E959" t="s">
        <v>25</v>
      </c>
      <c r="F959" t="s">
        <v>40</v>
      </c>
      <c r="G959" t="s">
        <v>94</v>
      </c>
      <c r="H959" t="s">
        <v>44</v>
      </c>
      <c r="I959" t="s">
        <v>1029</v>
      </c>
      <c r="J959" t="s">
        <v>431</v>
      </c>
      <c r="K959" t="s">
        <v>6</v>
      </c>
      <c r="L959" t="s">
        <v>9</v>
      </c>
      <c r="M959" t="s">
        <v>10</v>
      </c>
    </row>
    <row r="960" spans="1:13">
      <c r="A960" t="s">
        <v>1985</v>
      </c>
      <c r="B960" s="2">
        <v>46060</v>
      </c>
      <c r="C960">
        <v>2026</v>
      </c>
      <c r="D960">
        <v>2</v>
      </c>
      <c r="E960" t="s">
        <v>25</v>
      </c>
      <c r="F960" t="s">
        <v>26</v>
      </c>
      <c r="G960" t="s">
        <v>69</v>
      </c>
      <c r="H960" t="s">
        <v>44</v>
      </c>
      <c r="I960" t="s">
        <v>1026</v>
      </c>
      <c r="J960" t="s">
        <v>470</v>
      </c>
      <c r="K960" t="s">
        <v>6</v>
      </c>
      <c r="L960" t="s">
        <v>29</v>
      </c>
      <c r="M960" t="s">
        <v>17</v>
      </c>
    </row>
    <row r="961" spans="1:13">
      <c r="A961" t="s">
        <v>1986</v>
      </c>
      <c r="B961" s="2">
        <v>46054</v>
      </c>
      <c r="C961">
        <v>2026</v>
      </c>
      <c r="D961">
        <v>2</v>
      </c>
      <c r="E961" t="s">
        <v>25</v>
      </c>
      <c r="F961" t="s">
        <v>67</v>
      </c>
      <c r="G961" t="s">
        <v>48</v>
      </c>
      <c r="H961" t="s">
        <v>12</v>
      </c>
      <c r="I961" t="s">
        <v>1026</v>
      </c>
      <c r="J961" t="s">
        <v>454</v>
      </c>
      <c r="K961" t="s">
        <v>70</v>
      </c>
      <c r="L961" t="s">
        <v>16</v>
      </c>
      <c r="M961" t="s">
        <v>17</v>
      </c>
    </row>
    <row r="962" spans="1:13">
      <c r="A962" t="s">
        <v>1987</v>
      </c>
      <c r="B962" s="2">
        <v>46060</v>
      </c>
      <c r="C962">
        <v>2026</v>
      </c>
      <c r="D962">
        <v>2</v>
      </c>
      <c r="E962" t="s">
        <v>25</v>
      </c>
      <c r="F962" t="s">
        <v>47</v>
      </c>
      <c r="G962" t="s">
        <v>48</v>
      </c>
      <c r="H962" t="s">
        <v>33</v>
      </c>
      <c r="I962" t="s">
        <v>1029</v>
      </c>
      <c r="J962" t="s">
        <v>84</v>
      </c>
      <c r="K962" t="s">
        <v>34</v>
      </c>
      <c r="L962" t="s">
        <v>36</v>
      </c>
      <c r="M962" t="s">
        <v>10</v>
      </c>
    </row>
    <row r="963" spans="1:13">
      <c r="A963" t="s">
        <v>1988</v>
      </c>
      <c r="B963" s="2">
        <v>46081</v>
      </c>
      <c r="C963">
        <v>2026</v>
      </c>
      <c r="D963">
        <v>2</v>
      </c>
      <c r="E963" t="s">
        <v>25</v>
      </c>
      <c r="F963" t="s">
        <v>40</v>
      </c>
      <c r="G963" t="s">
        <v>64</v>
      </c>
      <c r="H963" t="s">
        <v>33</v>
      </c>
      <c r="I963" t="s">
        <v>1026</v>
      </c>
      <c r="J963" t="s">
        <v>519</v>
      </c>
      <c r="K963" t="s">
        <v>70</v>
      </c>
      <c r="L963" t="s">
        <v>36</v>
      </c>
      <c r="M963" t="s">
        <v>10</v>
      </c>
    </row>
    <row r="964" spans="1:13">
      <c r="A964" t="s">
        <v>1989</v>
      </c>
      <c r="B964" s="2">
        <v>46071</v>
      </c>
      <c r="C964">
        <v>2026</v>
      </c>
      <c r="D964">
        <v>2</v>
      </c>
      <c r="E964" t="s">
        <v>25</v>
      </c>
      <c r="F964" t="s">
        <v>54</v>
      </c>
      <c r="G964" t="s">
        <v>55</v>
      </c>
      <c r="H964" t="s">
        <v>44</v>
      </c>
      <c r="I964" t="s">
        <v>1029</v>
      </c>
      <c r="J964" t="s">
        <v>464</v>
      </c>
      <c r="K964" t="s">
        <v>13</v>
      </c>
      <c r="L964" t="s">
        <v>16</v>
      </c>
      <c r="M964" t="s">
        <v>10</v>
      </c>
    </row>
    <row r="965" spans="1:13">
      <c r="A965" t="s">
        <v>1990</v>
      </c>
      <c r="B965" s="2">
        <v>46073</v>
      </c>
      <c r="C965">
        <v>2026</v>
      </c>
      <c r="D965">
        <v>2</v>
      </c>
      <c r="E965" t="s">
        <v>25</v>
      </c>
      <c r="F965" t="s">
        <v>19</v>
      </c>
      <c r="G965" t="s">
        <v>61</v>
      </c>
      <c r="H965" t="s">
        <v>44</v>
      </c>
      <c r="I965" t="s">
        <v>1026</v>
      </c>
      <c r="J965" t="s">
        <v>494</v>
      </c>
      <c r="K965" t="s">
        <v>70</v>
      </c>
      <c r="L965" t="s">
        <v>16</v>
      </c>
      <c r="M965" t="s">
        <v>10</v>
      </c>
    </row>
    <row r="966" spans="1:13">
      <c r="A966" t="s">
        <v>1991</v>
      </c>
      <c r="B966" s="2">
        <v>46060</v>
      </c>
      <c r="C966">
        <v>2026</v>
      </c>
      <c r="D966">
        <v>2</v>
      </c>
      <c r="E966" t="s">
        <v>25</v>
      </c>
      <c r="F966" t="s">
        <v>2</v>
      </c>
      <c r="G966" t="s">
        <v>38</v>
      </c>
      <c r="H966" t="s">
        <v>12</v>
      </c>
      <c r="I966" t="s">
        <v>1029</v>
      </c>
      <c r="J966" t="s">
        <v>438</v>
      </c>
      <c r="K966" t="s">
        <v>70</v>
      </c>
      <c r="L966" t="s">
        <v>9</v>
      </c>
      <c r="M966" t="s">
        <v>10</v>
      </c>
    </row>
    <row r="967" spans="1:13">
      <c r="A967" t="s">
        <v>1992</v>
      </c>
      <c r="B967" s="2">
        <v>46070</v>
      </c>
      <c r="C967">
        <v>2026</v>
      </c>
      <c r="D967">
        <v>2</v>
      </c>
      <c r="E967" t="s">
        <v>25</v>
      </c>
      <c r="F967" t="s">
        <v>67</v>
      </c>
      <c r="G967" t="s">
        <v>55</v>
      </c>
      <c r="H967" t="s">
        <v>33</v>
      </c>
      <c r="I967" t="s">
        <v>1037</v>
      </c>
      <c r="J967" t="s">
        <v>1024</v>
      </c>
      <c r="K967" t="s">
        <v>13</v>
      </c>
      <c r="L967" t="s">
        <v>29</v>
      </c>
      <c r="M967" t="s">
        <v>10</v>
      </c>
    </row>
    <row r="968" spans="1:13">
      <c r="A968" t="s">
        <v>1993</v>
      </c>
      <c r="B968" s="2">
        <v>46069</v>
      </c>
      <c r="C968">
        <v>2026</v>
      </c>
      <c r="D968">
        <v>2</v>
      </c>
      <c r="E968" t="s">
        <v>25</v>
      </c>
      <c r="F968" t="s">
        <v>40</v>
      </c>
      <c r="G968" t="s">
        <v>94</v>
      </c>
      <c r="H968" t="s">
        <v>4</v>
      </c>
      <c r="I968" t="s">
        <v>1026</v>
      </c>
      <c r="J968" t="s">
        <v>444</v>
      </c>
      <c r="K968" t="s">
        <v>70</v>
      </c>
      <c r="L968" t="s">
        <v>29</v>
      </c>
      <c r="M968" t="s">
        <v>17</v>
      </c>
    </row>
    <row r="969" spans="1:13">
      <c r="A969" t="s">
        <v>1994</v>
      </c>
      <c r="B969" s="2">
        <v>46085</v>
      </c>
      <c r="C969">
        <v>2026</v>
      </c>
      <c r="D969">
        <v>3</v>
      </c>
      <c r="E969" t="s">
        <v>60</v>
      </c>
      <c r="F969" t="s">
        <v>47</v>
      </c>
      <c r="G969" t="s">
        <v>20</v>
      </c>
      <c r="H969" t="s">
        <v>12</v>
      </c>
      <c r="I969" t="s">
        <v>1037</v>
      </c>
      <c r="J969" t="s">
        <v>1024</v>
      </c>
      <c r="K969" t="s">
        <v>34</v>
      </c>
      <c r="L969" t="s">
        <v>29</v>
      </c>
      <c r="M969" t="s">
        <v>17</v>
      </c>
    </row>
    <row r="970" spans="1:13">
      <c r="A970" t="s">
        <v>1995</v>
      </c>
      <c r="B970" s="2">
        <v>46087</v>
      </c>
      <c r="C970">
        <v>2026</v>
      </c>
      <c r="D970">
        <v>3</v>
      </c>
      <c r="E970" t="s">
        <v>60</v>
      </c>
      <c r="F970" t="s">
        <v>78</v>
      </c>
      <c r="G970" t="s">
        <v>48</v>
      </c>
      <c r="H970" t="s">
        <v>33</v>
      </c>
      <c r="I970" t="s">
        <v>1029</v>
      </c>
      <c r="J970" t="s">
        <v>464</v>
      </c>
      <c r="K970" t="s">
        <v>6</v>
      </c>
      <c r="L970" t="s">
        <v>36</v>
      </c>
      <c r="M970" t="s">
        <v>10</v>
      </c>
    </row>
    <row r="971" spans="1:13">
      <c r="A971" t="s">
        <v>1996</v>
      </c>
      <c r="B971" s="2">
        <v>46083</v>
      </c>
      <c r="C971">
        <v>2026</v>
      </c>
      <c r="D971">
        <v>3</v>
      </c>
      <c r="E971" t="s">
        <v>60</v>
      </c>
      <c r="F971" t="s">
        <v>31</v>
      </c>
      <c r="G971" t="s">
        <v>27</v>
      </c>
      <c r="H971" t="s">
        <v>4</v>
      </c>
      <c r="I971" t="s">
        <v>1026</v>
      </c>
      <c r="J971" t="s">
        <v>466</v>
      </c>
      <c r="K971" t="s">
        <v>34</v>
      </c>
      <c r="L971" t="s">
        <v>9</v>
      </c>
      <c r="M971" t="s">
        <v>10</v>
      </c>
    </row>
    <row r="972" spans="1:13">
      <c r="A972" t="s">
        <v>1997</v>
      </c>
      <c r="B972" s="2">
        <v>46107</v>
      </c>
      <c r="C972">
        <v>2026</v>
      </c>
      <c r="D972">
        <v>3</v>
      </c>
      <c r="E972" t="s">
        <v>60</v>
      </c>
      <c r="F972" t="s">
        <v>2</v>
      </c>
      <c r="G972" t="s">
        <v>38</v>
      </c>
      <c r="H972" t="s">
        <v>4</v>
      </c>
      <c r="I972" t="s">
        <v>1029</v>
      </c>
      <c r="J972" t="s">
        <v>462</v>
      </c>
      <c r="K972" t="s">
        <v>6</v>
      </c>
      <c r="L972" t="s">
        <v>29</v>
      </c>
      <c r="M972" t="s">
        <v>17</v>
      </c>
    </row>
    <row r="973" spans="1:13">
      <c r="A973" t="s">
        <v>1998</v>
      </c>
      <c r="B973" s="2">
        <v>46108</v>
      </c>
      <c r="C973">
        <v>2026</v>
      </c>
      <c r="D973">
        <v>3</v>
      </c>
      <c r="E973" t="s">
        <v>60</v>
      </c>
      <c r="F973" t="s">
        <v>54</v>
      </c>
      <c r="G973" t="s">
        <v>38</v>
      </c>
      <c r="H973" t="s">
        <v>12</v>
      </c>
      <c r="I973" t="s">
        <v>1026</v>
      </c>
      <c r="J973" t="s">
        <v>454</v>
      </c>
      <c r="K973" t="s">
        <v>13</v>
      </c>
      <c r="L973" t="s">
        <v>36</v>
      </c>
      <c r="M973" t="s">
        <v>10</v>
      </c>
    </row>
    <row r="974" spans="1:13">
      <c r="A974" t="s">
        <v>1999</v>
      </c>
      <c r="B974" s="2">
        <v>46083</v>
      </c>
      <c r="C974">
        <v>2026</v>
      </c>
      <c r="D974">
        <v>3</v>
      </c>
      <c r="E974" t="s">
        <v>60</v>
      </c>
      <c r="F974" t="s">
        <v>78</v>
      </c>
      <c r="G974" t="s">
        <v>94</v>
      </c>
      <c r="H974" t="s">
        <v>44</v>
      </c>
      <c r="I974" t="s">
        <v>1029</v>
      </c>
      <c r="J974" t="s">
        <v>442</v>
      </c>
      <c r="K974" t="s">
        <v>50</v>
      </c>
      <c r="L974" t="s">
        <v>9</v>
      </c>
      <c r="M974" t="s">
        <v>10</v>
      </c>
    </row>
    <row r="975" spans="1:13">
      <c r="A975" t="s">
        <v>2000</v>
      </c>
      <c r="B975" s="2">
        <v>46096</v>
      </c>
      <c r="C975">
        <v>2026</v>
      </c>
      <c r="D975">
        <v>3</v>
      </c>
      <c r="E975" t="s">
        <v>60</v>
      </c>
      <c r="F975" t="s">
        <v>2</v>
      </c>
      <c r="G975" t="s">
        <v>74</v>
      </c>
      <c r="H975" t="s">
        <v>33</v>
      </c>
      <c r="I975" t="s">
        <v>1026</v>
      </c>
      <c r="J975" t="s">
        <v>466</v>
      </c>
      <c r="K975" t="s">
        <v>6</v>
      </c>
      <c r="L975" t="s">
        <v>36</v>
      </c>
      <c r="M975" t="s">
        <v>17</v>
      </c>
    </row>
    <row r="976" spans="1:13">
      <c r="A976" t="s">
        <v>2001</v>
      </c>
      <c r="B976" s="2">
        <v>46097</v>
      </c>
      <c r="C976">
        <v>2026</v>
      </c>
      <c r="D976">
        <v>3</v>
      </c>
      <c r="E976" t="s">
        <v>60</v>
      </c>
      <c r="F976" t="s">
        <v>54</v>
      </c>
      <c r="G976" t="s">
        <v>69</v>
      </c>
      <c r="H976" t="s">
        <v>44</v>
      </c>
      <c r="I976" t="s">
        <v>1029</v>
      </c>
      <c r="J976" t="s">
        <v>442</v>
      </c>
      <c r="K976" t="s">
        <v>34</v>
      </c>
      <c r="L976" t="s">
        <v>29</v>
      </c>
      <c r="M976" t="s">
        <v>10</v>
      </c>
    </row>
    <row r="977" spans="1:13">
      <c r="A977" t="s">
        <v>2002</v>
      </c>
      <c r="B977" s="2">
        <v>46087</v>
      </c>
      <c r="C977">
        <v>2026</v>
      </c>
      <c r="D977">
        <v>3</v>
      </c>
      <c r="E977" t="s">
        <v>60</v>
      </c>
      <c r="F977" t="s">
        <v>2</v>
      </c>
      <c r="G977" t="s">
        <v>32</v>
      </c>
      <c r="H977" t="s">
        <v>33</v>
      </c>
      <c r="I977" t="s">
        <v>1026</v>
      </c>
      <c r="J977" t="s">
        <v>494</v>
      </c>
      <c r="K977" t="s">
        <v>70</v>
      </c>
      <c r="L977" t="s">
        <v>36</v>
      </c>
      <c r="M977" t="s">
        <v>10</v>
      </c>
    </row>
    <row r="978" spans="1:13">
      <c r="A978" t="s">
        <v>2003</v>
      </c>
      <c r="B978" s="2">
        <v>46103</v>
      </c>
      <c r="C978">
        <v>2026</v>
      </c>
      <c r="D978">
        <v>3</v>
      </c>
      <c r="E978" t="s">
        <v>60</v>
      </c>
      <c r="F978" t="s">
        <v>26</v>
      </c>
      <c r="G978" t="s">
        <v>94</v>
      </c>
      <c r="H978" t="s">
        <v>33</v>
      </c>
      <c r="I978" t="s">
        <v>1026</v>
      </c>
      <c r="J978" t="s">
        <v>446</v>
      </c>
      <c r="K978" t="s">
        <v>50</v>
      </c>
      <c r="L978" t="s">
        <v>36</v>
      </c>
      <c r="M978" t="s">
        <v>10</v>
      </c>
    </row>
    <row r="979" spans="1:13">
      <c r="A979" t="s">
        <v>2004</v>
      </c>
      <c r="B979" s="2">
        <v>46108</v>
      </c>
      <c r="C979">
        <v>2026</v>
      </c>
      <c r="D979">
        <v>3</v>
      </c>
      <c r="E979" t="s">
        <v>60</v>
      </c>
      <c r="F979" t="s">
        <v>26</v>
      </c>
      <c r="G979" t="s">
        <v>32</v>
      </c>
      <c r="H979" t="s">
        <v>12</v>
      </c>
      <c r="I979" t="s">
        <v>1037</v>
      </c>
      <c r="J979" t="s">
        <v>1024</v>
      </c>
      <c r="K979" t="s">
        <v>50</v>
      </c>
      <c r="L979" t="s">
        <v>36</v>
      </c>
      <c r="M979" t="s">
        <v>10</v>
      </c>
    </row>
    <row r="980" spans="1:13">
      <c r="A980" t="s">
        <v>2005</v>
      </c>
      <c r="B980" s="2">
        <v>46099</v>
      </c>
      <c r="C980">
        <v>2026</v>
      </c>
      <c r="D980">
        <v>3</v>
      </c>
      <c r="E980" t="s">
        <v>60</v>
      </c>
      <c r="F980" t="s">
        <v>19</v>
      </c>
      <c r="G980" t="s">
        <v>27</v>
      </c>
      <c r="H980" t="s">
        <v>12</v>
      </c>
      <c r="I980" t="s">
        <v>1026</v>
      </c>
      <c r="J980" t="s">
        <v>446</v>
      </c>
      <c r="K980" t="s">
        <v>6</v>
      </c>
      <c r="L980" t="s">
        <v>36</v>
      </c>
      <c r="M980" t="s">
        <v>17</v>
      </c>
    </row>
    <row r="981" spans="1:13">
      <c r="A981" t="s">
        <v>2006</v>
      </c>
      <c r="B981" s="2">
        <v>46082</v>
      </c>
      <c r="C981">
        <v>2026</v>
      </c>
      <c r="D981">
        <v>3</v>
      </c>
      <c r="E981" t="s">
        <v>60</v>
      </c>
      <c r="F981" t="s">
        <v>54</v>
      </c>
      <c r="G981" t="s">
        <v>55</v>
      </c>
      <c r="H981" t="s">
        <v>4</v>
      </c>
      <c r="I981" t="s">
        <v>1026</v>
      </c>
      <c r="J981" t="s">
        <v>466</v>
      </c>
      <c r="K981" t="s">
        <v>34</v>
      </c>
      <c r="L981" t="s">
        <v>9</v>
      </c>
      <c r="M981" t="s">
        <v>10</v>
      </c>
    </row>
    <row r="982" spans="1:13">
      <c r="A982" t="s">
        <v>2007</v>
      </c>
      <c r="B982" s="2">
        <v>46083</v>
      </c>
      <c r="C982">
        <v>2026</v>
      </c>
      <c r="D982">
        <v>3</v>
      </c>
      <c r="E982" t="s">
        <v>60</v>
      </c>
      <c r="F982" t="s">
        <v>47</v>
      </c>
      <c r="G982" t="s">
        <v>38</v>
      </c>
      <c r="H982" t="s">
        <v>4</v>
      </c>
      <c r="I982" t="s">
        <v>1026</v>
      </c>
      <c r="J982" t="s">
        <v>454</v>
      </c>
      <c r="K982" t="s">
        <v>70</v>
      </c>
      <c r="L982" t="s">
        <v>29</v>
      </c>
      <c r="M982" t="s">
        <v>10</v>
      </c>
    </row>
    <row r="983" spans="1:13">
      <c r="A983" t="s">
        <v>2008</v>
      </c>
      <c r="B983" s="2">
        <v>46085</v>
      </c>
      <c r="C983">
        <v>2026</v>
      </c>
      <c r="D983">
        <v>3</v>
      </c>
      <c r="E983" t="s">
        <v>60</v>
      </c>
      <c r="F983" t="s">
        <v>31</v>
      </c>
      <c r="G983" t="s">
        <v>74</v>
      </c>
      <c r="H983" t="s">
        <v>33</v>
      </c>
      <c r="I983" t="s">
        <v>1026</v>
      </c>
      <c r="J983" t="s">
        <v>454</v>
      </c>
      <c r="K983" t="s">
        <v>50</v>
      </c>
      <c r="L983" t="s">
        <v>9</v>
      </c>
      <c r="M983" t="s">
        <v>10</v>
      </c>
    </row>
    <row r="984" spans="1:13">
      <c r="A984" t="s">
        <v>2009</v>
      </c>
      <c r="B984" s="2">
        <v>46096</v>
      </c>
      <c r="C984">
        <v>2026</v>
      </c>
      <c r="D984">
        <v>3</v>
      </c>
      <c r="E984" t="s">
        <v>60</v>
      </c>
      <c r="F984" t="s">
        <v>38</v>
      </c>
      <c r="G984" t="s">
        <v>94</v>
      </c>
      <c r="H984" t="s">
        <v>12</v>
      </c>
      <c r="I984" t="s">
        <v>1029</v>
      </c>
      <c r="J984" t="s">
        <v>438</v>
      </c>
      <c r="K984" t="s">
        <v>50</v>
      </c>
      <c r="L984" t="s">
        <v>29</v>
      </c>
      <c r="M984" t="s">
        <v>10</v>
      </c>
    </row>
    <row r="985" spans="1:13">
      <c r="A985" t="s">
        <v>2010</v>
      </c>
      <c r="B985" s="2">
        <v>46090</v>
      </c>
      <c r="C985">
        <v>2026</v>
      </c>
      <c r="D985">
        <v>3</v>
      </c>
      <c r="E985" t="s">
        <v>60</v>
      </c>
      <c r="F985" t="s">
        <v>38</v>
      </c>
      <c r="G985" t="s">
        <v>20</v>
      </c>
      <c r="H985" t="s">
        <v>12</v>
      </c>
      <c r="I985" t="s">
        <v>1037</v>
      </c>
      <c r="J985" t="s">
        <v>1024</v>
      </c>
      <c r="K985" t="s">
        <v>6</v>
      </c>
      <c r="L985" t="s">
        <v>36</v>
      </c>
      <c r="M985" t="s">
        <v>10</v>
      </c>
    </row>
    <row r="986" spans="1:13">
      <c r="A986" t="s">
        <v>2011</v>
      </c>
      <c r="B986" s="2">
        <v>46092</v>
      </c>
      <c r="C986">
        <v>2026</v>
      </c>
      <c r="D986">
        <v>3</v>
      </c>
      <c r="E986" t="s">
        <v>60</v>
      </c>
      <c r="F986" t="s">
        <v>31</v>
      </c>
      <c r="G986" t="s">
        <v>64</v>
      </c>
      <c r="H986" t="s">
        <v>33</v>
      </c>
      <c r="I986" t="s">
        <v>1023</v>
      </c>
      <c r="J986" t="s">
        <v>1024</v>
      </c>
      <c r="K986" t="s">
        <v>34</v>
      </c>
      <c r="L986" t="s">
        <v>9</v>
      </c>
      <c r="M986" t="s">
        <v>10</v>
      </c>
    </row>
    <row r="987" spans="1:13">
      <c r="A987" t="s">
        <v>2012</v>
      </c>
      <c r="B987" s="2">
        <v>46090</v>
      </c>
      <c r="C987">
        <v>2026</v>
      </c>
      <c r="D987">
        <v>3</v>
      </c>
      <c r="E987" t="s">
        <v>60</v>
      </c>
      <c r="F987" t="s">
        <v>54</v>
      </c>
      <c r="G987" t="s">
        <v>32</v>
      </c>
      <c r="H987" t="s">
        <v>12</v>
      </c>
      <c r="I987" t="s">
        <v>1037</v>
      </c>
      <c r="J987" t="s">
        <v>1024</v>
      </c>
      <c r="K987" t="s">
        <v>13</v>
      </c>
      <c r="L987" t="s">
        <v>16</v>
      </c>
      <c r="M987" t="s">
        <v>17</v>
      </c>
    </row>
    <row r="988" spans="1:13">
      <c r="A988" t="s">
        <v>2013</v>
      </c>
      <c r="B988" s="2">
        <v>46098</v>
      </c>
      <c r="C988">
        <v>2026</v>
      </c>
      <c r="D988">
        <v>3</v>
      </c>
      <c r="E988" t="s">
        <v>60</v>
      </c>
      <c r="F988" t="s">
        <v>47</v>
      </c>
      <c r="G988" t="s">
        <v>32</v>
      </c>
      <c r="H988" t="s">
        <v>33</v>
      </c>
      <c r="I988" t="s">
        <v>1026</v>
      </c>
      <c r="J988" t="s">
        <v>444</v>
      </c>
      <c r="K988" t="s">
        <v>50</v>
      </c>
      <c r="L988" t="s">
        <v>9</v>
      </c>
      <c r="M988" t="s">
        <v>10</v>
      </c>
    </row>
    <row r="989" spans="1:13">
      <c r="A989" t="s">
        <v>2014</v>
      </c>
      <c r="B989" s="2">
        <v>46095</v>
      </c>
      <c r="C989">
        <v>2026</v>
      </c>
      <c r="D989">
        <v>3</v>
      </c>
      <c r="E989" t="s">
        <v>60</v>
      </c>
      <c r="F989" t="s">
        <v>67</v>
      </c>
      <c r="G989" t="s">
        <v>69</v>
      </c>
      <c r="H989" t="s">
        <v>44</v>
      </c>
      <c r="I989" t="s">
        <v>1026</v>
      </c>
      <c r="J989" t="s">
        <v>446</v>
      </c>
      <c r="K989" t="s">
        <v>70</v>
      </c>
      <c r="L989" t="s">
        <v>16</v>
      </c>
      <c r="M989" t="s">
        <v>10</v>
      </c>
    </row>
    <row r="990" spans="1:13">
      <c r="A990" t="s">
        <v>2015</v>
      </c>
      <c r="B990" s="2">
        <v>46099</v>
      </c>
      <c r="C990">
        <v>2026</v>
      </c>
      <c r="D990">
        <v>3</v>
      </c>
      <c r="E990" t="s">
        <v>60</v>
      </c>
      <c r="F990" t="s">
        <v>31</v>
      </c>
      <c r="G990" t="s">
        <v>48</v>
      </c>
      <c r="H990" t="s">
        <v>12</v>
      </c>
      <c r="I990" t="s">
        <v>1026</v>
      </c>
      <c r="J990" t="s">
        <v>444</v>
      </c>
      <c r="K990" t="s">
        <v>13</v>
      </c>
      <c r="L990" t="s">
        <v>9</v>
      </c>
      <c r="M990" t="s">
        <v>10</v>
      </c>
    </row>
    <row r="991" spans="1:13">
      <c r="A991" t="s">
        <v>2016</v>
      </c>
      <c r="B991" s="2">
        <v>46082</v>
      </c>
      <c r="C991">
        <v>2026</v>
      </c>
      <c r="D991">
        <v>3</v>
      </c>
      <c r="E991" t="s">
        <v>60</v>
      </c>
      <c r="F991" t="s">
        <v>38</v>
      </c>
      <c r="G991" t="s">
        <v>32</v>
      </c>
      <c r="H991" t="s">
        <v>4</v>
      </c>
      <c r="I991" t="s">
        <v>1029</v>
      </c>
      <c r="J991" t="s">
        <v>435</v>
      </c>
      <c r="K991" t="s">
        <v>34</v>
      </c>
      <c r="L991" t="s">
        <v>16</v>
      </c>
      <c r="M991" t="s">
        <v>17</v>
      </c>
    </row>
    <row r="992" spans="1:13">
      <c r="A992" t="s">
        <v>2017</v>
      </c>
      <c r="B992" s="2">
        <v>46099</v>
      </c>
      <c r="C992">
        <v>2026</v>
      </c>
      <c r="D992">
        <v>3</v>
      </c>
      <c r="E992" t="s">
        <v>60</v>
      </c>
      <c r="F992" t="s">
        <v>40</v>
      </c>
      <c r="G992" t="s">
        <v>74</v>
      </c>
      <c r="H992" t="s">
        <v>12</v>
      </c>
      <c r="I992" t="s">
        <v>1023</v>
      </c>
      <c r="J992" t="s">
        <v>1024</v>
      </c>
      <c r="K992" t="s">
        <v>50</v>
      </c>
      <c r="L992" t="s">
        <v>29</v>
      </c>
      <c r="M992" t="s">
        <v>10</v>
      </c>
    </row>
    <row r="993" spans="1:13">
      <c r="A993" t="s">
        <v>2018</v>
      </c>
      <c r="B993" s="2">
        <v>46101</v>
      </c>
      <c r="C993">
        <v>2026</v>
      </c>
      <c r="D993">
        <v>3</v>
      </c>
      <c r="E993" t="s">
        <v>60</v>
      </c>
      <c r="F993" t="s">
        <v>38</v>
      </c>
      <c r="G993" t="s">
        <v>74</v>
      </c>
      <c r="H993" t="s">
        <v>33</v>
      </c>
      <c r="I993" t="s">
        <v>1029</v>
      </c>
      <c r="J993" t="s">
        <v>473</v>
      </c>
      <c r="K993" t="s">
        <v>50</v>
      </c>
      <c r="L993" t="s">
        <v>36</v>
      </c>
      <c r="M993" t="s">
        <v>10</v>
      </c>
    </row>
    <row r="994" spans="1:13">
      <c r="A994" t="s">
        <v>2019</v>
      </c>
      <c r="B994" s="2">
        <v>46096</v>
      </c>
      <c r="C994">
        <v>2026</v>
      </c>
      <c r="D994">
        <v>3</v>
      </c>
      <c r="E994" t="s">
        <v>60</v>
      </c>
      <c r="F994" t="s">
        <v>2</v>
      </c>
      <c r="G994" t="s">
        <v>27</v>
      </c>
      <c r="H994" t="s">
        <v>4</v>
      </c>
      <c r="I994" t="s">
        <v>1029</v>
      </c>
      <c r="J994" t="s">
        <v>438</v>
      </c>
      <c r="K994" t="s">
        <v>6</v>
      </c>
      <c r="L994" t="s">
        <v>16</v>
      </c>
      <c r="M994" t="s">
        <v>10</v>
      </c>
    </row>
    <row r="995" spans="1:13">
      <c r="A995" t="s">
        <v>2020</v>
      </c>
      <c r="B995" s="2">
        <v>46090</v>
      </c>
      <c r="C995">
        <v>2026</v>
      </c>
      <c r="D995">
        <v>3</v>
      </c>
      <c r="E995" t="s">
        <v>60</v>
      </c>
      <c r="F995" t="s">
        <v>26</v>
      </c>
      <c r="G995" t="s">
        <v>69</v>
      </c>
      <c r="H995" t="s">
        <v>33</v>
      </c>
      <c r="I995" t="s">
        <v>1029</v>
      </c>
      <c r="J995" t="s">
        <v>431</v>
      </c>
      <c r="K995" t="s">
        <v>13</v>
      </c>
      <c r="L995" t="s">
        <v>36</v>
      </c>
      <c r="M995" t="s">
        <v>10</v>
      </c>
    </row>
    <row r="996" spans="1:13">
      <c r="A996" t="s">
        <v>2021</v>
      </c>
      <c r="B996" s="2">
        <v>46082</v>
      </c>
      <c r="C996">
        <v>2026</v>
      </c>
      <c r="D996">
        <v>3</v>
      </c>
      <c r="E996" t="s">
        <v>60</v>
      </c>
      <c r="F996" t="s">
        <v>47</v>
      </c>
      <c r="G996" t="s">
        <v>38</v>
      </c>
      <c r="H996" t="s">
        <v>33</v>
      </c>
      <c r="I996" t="s">
        <v>1037</v>
      </c>
      <c r="J996" t="s">
        <v>1024</v>
      </c>
      <c r="K996" t="s">
        <v>50</v>
      </c>
      <c r="L996" t="s">
        <v>9</v>
      </c>
      <c r="M996" t="s">
        <v>10</v>
      </c>
    </row>
    <row r="997" spans="1:13">
      <c r="A997" t="s">
        <v>2022</v>
      </c>
      <c r="B997" s="2">
        <v>46100</v>
      </c>
      <c r="C997">
        <v>2026</v>
      </c>
      <c r="D997">
        <v>3</v>
      </c>
      <c r="E997" t="s">
        <v>60</v>
      </c>
      <c r="F997" t="s">
        <v>38</v>
      </c>
      <c r="G997" t="s">
        <v>64</v>
      </c>
      <c r="H997" t="s">
        <v>12</v>
      </c>
      <c r="I997" t="s">
        <v>1026</v>
      </c>
      <c r="J997" t="s">
        <v>494</v>
      </c>
      <c r="K997" t="s">
        <v>13</v>
      </c>
      <c r="L997" t="s">
        <v>29</v>
      </c>
      <c r="M997" t="s">
        <v>17</v>
      </c>
    </row>
    <row r="998" spans="1:13">
      <c r="A998" t="s">
        <v>2023</v>
      </c>
      <c r="B998" s="2">
        <v>46094</v>
      </c>
      <c r="C998">
        <v>2026</v>
      </c>
      <c r="D998">
        <v>3</v>
      </c>
      <c r="E998" t="s">
        <v>60</v>
      </c>
      <c r="F998" t="s">
        <v>67</v>
      </c>
      <c r="G998" t="s">
        <v>32</v>
      </c>
      <c r="H998" t="s">
        <v>4</v>
      </c>
      <c r="I998" t="s">
        <v>1029</v>
      </c>
      <c r="J998" t="s">
        <v>462</v>
      </c>
      <c r="K998" t="s">
        <v>50</v>
      </c>
      <c r="L998" t="s">
        <v>9</v>
      </c>
      <c r="M998" t="s">
        <v>10</v>
      </c>
    </row>
    <row r="999" spans="1:13">
      <c r="A999" t="s">
        <v>2024</v>
      </c>
      <c r="B999" s="2">
        <v>46092</v>
      </c>
      <c r="C999">
        <v>2026</v>
      </c>
      <c r="D999">
        <v>3</v>
      </c>
      <c r="E999" t="s">
        <v>60</v>
      </c>
      <c r="F999" t="s">
        <v>19</v>
      </c>
      <c r="G999" t="s">
        <v>69</v>
      </c>
      <c r="H999" t="s">
        <v>44</v>
      </c>
      <c r="I999" t="s">
        <v>1026</v>
      </c>
      <c r="J999" t="s">
        <v>444</v>
      </c>
      <c r="K999" t="s">
        <v>50</v>
      </c>
      <c r="L999" t="s">
        <v>16</v>
      </c>
      <c r="M999" t="s">
        <v>10</v>
      </c>
    </row>
    <row r="1000" spans="1:13">
      <c r="A1000" t="s">
        <v>2025</v>
      </c>
      <c r="B1000" s="2">
        <v>46093</v>
      </c>
      <c r="C1000">
        <v>2026</v>
      </c>
      <c r="D1000">
        <v>3</v>
      </c>
      <c r="E1000" t="s">
        <v>60</v>
      </c>
      <c r="F1000" t="s">
        <v>54</v>
      </c>
      <c r="G1000" t="s">
        <v>48</v>
      </c>
      <c r="H1000" t="s">
        <v>12</v>
      </c>
      <c r="I1000" t="s">
        <v>1029</v>
      </c>
      <c r="J1000" t="s">
        <v>464</v>
      </c>
      <c r="K1000" t="s">
        <v>34</v>
      </c>
      <c r="L1000" t="s">
        <v>29</v>
      </c>
      <c r="M1000" t="s">
        <v>10</v>
      </c>
    </row>
    <row r="1001" spans="1:13">
      <c r="A1001" t="s">
        <v>2026</v>
      </c>
      <c r="B1001" s="2">
        <v>46083</v>
      </c>
      <c r="C1001">
        <v>2026</v>
      </c>
      <c r="D1001">
        <v>3</v>
      </c>
      <c r="E1001" t="s">
        <v>60</v>
      </c>
      <c r="F1001" t="s">
        <v>38</v>
      </c>
      <c r="G1001" t="s">
        <v>38</v>
      </c>
      <c r="H1001" t="s">
        <v>12</v>
      </c>
      <c r="I1001" t="s">
        <v>1023</v>
      </c>
      <c r="J1001" t="s">
        <v>1024</v>
      </c>
      <c r="K1001" t="s">
        <v>70</v>
      </c>
      <c r="L1001" t="s">
        <v>29</v>
      </c>
      <c r="M1001" t="s">
        <v>17</v>
      </c>
    </row>
    <row r="1002" spans="1:13">
      <c r="A1002" t="s">
        <v>2027</v>
      </c>
      <c r="B1002" s="2">
        <v>46093</v>
      </c>
      <c r="C1002">
        <v>2026</v>
      </c>
      <c r="D1002">
        <v>3</v>
      </c>
      <c r="E1002" t="s">
        <v>60</v>
      </c>
      <c r="F1002" t="s">
        <v>54</v>
      </c>
      <c r="G1002" t="s">
        <v>69</v>
      </c>
      <c r="H1002" t="s">
        <v>33</v>
      </c>
      <c r="I1002" t="s">
        <v>1029</v>
      </c>
      <c r="J1002" t="s">
        <v>431</v>
      </c>
      <c r="K1002" t="s">
        <v>6</v>
      </c>
      <c r="L1002" t="s">
        <v>9</v>
      </c>
      <c r="M1002" t="s">
        <v>17</v>
      </c>
    </row>
    <row r="1003" spans="1:13">
      <c r="A1003" t="s">
        <v>2028</v>
      </c>
      <c r="B1003" s="2">
        <v>46114</v>
      </c>
      <c r="C1003">
        <v>2026</v>
      </c>
      <c r="D1003">
        <v>4</v>
      </c>
      <c r="E1003" t="s">
        <v>73</v>
      </c>
      <c r="F1003" t="s">
        <v>19</v>
      </c>
      <c r="G1003" t="s">
        <v>38</v>
      </c>
      <c r="H1003" t="s">
        <v>4</v>
      </c>
      <c r="I1003" t="s">
        <v>1037</v>
      </c>
      <c r="J1003" t="s">
        <v>1024</v>
      </c>
      <c r="K1003" t="s">
        <v>70</v>
      </c>
      <c r="L1003" t="s">
        <v>36</v>
      </c>
      <c r="M1003" t="s">
        <v>10</v>
      </c>
    </row>
    <row r="1004" spans="1:13">
      <c r="A1004" t="s">
        <v>2029</v>
      </c>
      <c r="B1004" s="2">
        <v>46123</v>
      </c>
      <c r="C1004">
        <v>2026</v>
      </c>
      <c r="D1004">
        <v>4</v>
      </c>
      <c r="E1004" t="s">
        <v>73</v>
      </c>
      <c r="F1004" t="s">
        <v>38</v>
      </c>
      <c r="G1004" t="s">
        <v>55</v>
      </c>
      <c r="H1004" t="s">
        <v>44</v>
      </c>
      <c r="I1004" t="s">
        <v>1037</v>
      </c>
      <c r="J1004" t="s">
        <v>1024</v>
      </c>
      <c r="K1004" t="s">
        <v>34</v>
      </c>
      <c r="L1004" t="s">
        <v>36</v>
      </c>
      <c r="M1004" t="s">
        <v>17</v>
      </c>
    </row>
    <row r="1005" spans="1:13">
      <c r="A1005" t="s">
        <v>2030</v>
      </c>
      <c r="B1005" s="2">
        <v>46125</v>
      </c>
      <c r="C1005">
        <v>2026</v>
      </c>
      <c r="D1005">
        <v>4</v>
      </c>
      <c r="E1005" t="s">
        <v>73</v>
      </c>
      <c r="F1005" t="s">
        <v>38</v>
      </c>
      <c r="G1005" t="s">
        <v>48</v>
      </c>
      <c r="H1005" t="s">
        <v>44</v>
      </c>
      <c r="I1005" t="s">
        <v>1026</v>
      </c>
      <c r="J1005" t="s">
        <v>460</v>
      </c>
      <c r="K1005" t="s">
        <v>70</v>
      </c>
      <c r="L1005" t="s">
        <v>16</v>
      </c>
      <c r="M1005" t="s">
        <v>17</v>
      </c>
    </row>
    <row r="1006" spans="1:13">
      <c r="A1006" t="s">
        <v>2031</v>
      </c>
      <c r="B1006" s="2">
        <v>46126</v>
      </c>
      <c r="C1006">
        <v>2026</v>
      </c>
      <c r="D1006">
        <v>4</v>
      </c>
      <c r="E1006" t="s">
        <v>73</v>
      </c>
      <c r="F1006" t="s">
        <v>67</v>
      </c>
      <c r="G1006" t="s">
        <v>64</v>
      </c>
      <c r="H1006" t="s">
        <v>44</v>
      </c>
      <c r="I1006" t="s">
        <v>1026</v>
      </c>
      <c r="J1006" t="s">
        <v>519</v>
      </c>
      <c r="K1006" t="s">
        <v>6</v>
      </c>
      <c r="L1006" t="s">
        <v>9</v>
      </c>
      <c r="M1006" t="s">
        <v>10</v>
      </c>
    </row>
    <row r="1007" spans="1:13">
      <c r="A1007" t="s">
        <v>2032</v>
      </c>
      <c r="B1007" s="2">
        <v>46119</v>
      </c>
      <c r="C1007">
        <v>2026</v>
      </c>
      <c r="D1007">
        <v>4</v>
      </c>
      <c r="E1007" t="s">
        <v>73</v>
      </c>
      <c r="F1007" t="s">
        <v>40</v>
      </c>
      <c r="G1007" t="s">
        <v>38</v>
      </c>
      <c r="H1007" t="s">
        <v>44</v>
      </c>
      <c r="I1007" t="s">
        <v>1026</v>
      </c>
      <c r="J1007" t="s">
        <v>428</v>
      </c>
      <c r="K1007" t="s">
        <v>50</v>
      </c>
      <c r="L1007" t="s">
        <v>29</v>
      </c>
      <c r="M1007" t="s">
        <v>17</v>
      </c>
    </row>
    <row r="1008" spans="1:13">
      <c r="A1008" t="s">
        <v>2033</v>
      </c>
      <c r="B1008" s="2">
        <v>46132</v>
      </c>
      <c r="C1008">
        <v>2026</v>
      </c>
      <c r="D1008">
        <v>4</v>
      </c>
      <c r="E1008" t="s">
        <v>73</v>
      </c>
      <c r="F1008" t="s">
        <v>19</v>
      </c>
      <c r="G1008" t="s">
        <v>94</v>
      </c>
      <c r="H1008" t="s">
        <v>33</v>
      </c>
      <c r="I1008" t="s">
        <v>1026</v>
      </c>
      <c r="J1008" t="s">
        <v>428</v>
      </c>
      <c r="K1008" t="s">
        <v>13</v>
      </c>
      <c r="L1008" t="s">
        <v>9</v>
      </c>
      <c r="M1008" t="s">
        <v>10</v>
      </c>
    </row>
    <row r="1009" spans="1:13">
      <c r="A1009" t="s">
        <v>2034</v>
      </c>
      <c r="B1009" s="2">
        <v>46124</v>
      </c>
      <c r="C1009">
        <v>2026</v>
      </c>
      <c r="D1009">
        <v>4</v>
      </c>
      <c r="E1009" t="s">
        <v>73</v>
      </c>
      <c r="F1009" t="s">
        <v>40</v>
      </c>
      <c r="G1009" t="s">
        <v>74</v>
      </c>
      <c r="H1009" t="s">
        <v>4</v>
      </c>
      <c r="I1009" t="s">
        <v>1029</v>
      </c>
      <c r="J1009" t="s">
        <v>84</v>
      </c>
      <c r="K1009" t="s">
        <v>34</v>
      </c>
      <c r="L1009" t="s">
        <v>9</v>
      </c>
      <c r="M1009" t="s">
        <v>10</v>
      </c>
    </row>
    <row r="1010" spans="1:13">
      <c r="A1010" t="s">
        <v>2035</v>
      </c>
      <c r="B1010" s="2">
        <v>46133</v>
      </c>
      <c r="C1010">
        <v>2026</v>
      </c>
      <c r="D1010">
        <v>4</v>
      </c>
      <c r="E1010" t="s">
        <v>73</v>
      </c>
      <c r="F1010" t="s">
        <v>19</v>
      </c>
      <c r="G1010" t="s">
        <v>94</v>
      </c>
      <c r="H1010" t="s">
        <v>33</v>
      </c>
      <c r="I1010" t="s">
        <v>1026</v>
      </c>
      <c r="J1010" t="s">
        <v>494</v>
      </c>
      <c r="K1010" t="s">
        <v>34</v>
      </c>
      <c r="L1010" t="s">
        <v>29</v>
      </c>
      <c r="M1010" t="s">
        <v>17</v>
      </c>
    </row>
    <row r="1011" spans="1:13">
      <c r="A1011" t="s">
        <v>2036</v>
      </c>
      <c r="B1011" s="2">
        <v>46119</v>
      </c>
      <c r="C1011">
        <v>2026</v>
      </c>
      <c r="D1011">
        <v>4</v>
      </c>
      <c r="E1011" t="s">
        <v>73</v>
      </c>
      <c r="F1011" t="s">
        <v>38</v>
      </c>
      <c r="G1011" t="s">
        <v>27</v>
      </c>
      <c r="H1011" t="s">
        <v>33</v>
      </c>
      <c r="I1011" t="s">
        <v>1029</v>
      </c>
      <c r="J1011" t="s">
        <v>442</v>
      </c>
      <c r="K1011" t="s">
        <v>13</v>
      </c>
      <c r="L1011" t="s">
        <v>9</v>
      </c>
      <c r="M1011" t="s">
        <v>10</v>
      </c>
    </row>
    <row r="1012" spans="1:13">
      <c r="A1012" t="s">
        <v>2037</v>
      </c>
      <c r="B1012" s="2">
        <v>46138</v>
      </c>
      <c r="C1012">
        <v>2026</v>
      </c>
      <c r="D1012">
        <v>4</v>
      </c>
      <c r="E1012" t="s">
        <v>73</v>
      </c>
      <c r="F1012" t="s">
        <v>67</v>
      </c>
      <c r="G1012" t="s">
        <v>32</v>
      </c>
      <c r="H1012" t="s">
        <v>12</v>
      </c>
      <c r="I1012" t="s">
        <v>1026</v>
      </c>
      <c r="J1012" t="s">
        <v>494</v>
      </c>
      <c r="K1012" t="s">
        <v>50</v>
      </c>
      <c r="L1012" t="s">
        <v>29</v>
      </c>
      <c r="M1012" t="s">
        <v>10</v>
      </c>
    </row>
    <row r="1013" spans="1:13">
      <c r="A1013" t="s">
        <v>2038</v>
      </c>
      <c r="B1013" s="2">
        <v>46126</v>
      </c>
      <c r="C1013">
        <v>2026</v>
      </c>
      <c r="D1013">
        <v>4</v>
      </c>
      <c r="E1013" t="s">
        <v>73</v>
      </c>
      <c r="F1013" t="s">
        <v>26</v>
      </c>
      <c r="G1013" t="s">
        <v>27</v>
      </c>
      <c r="H1013" t="s">
        <v>44</v>
      </c>
      <c r="I1013" t="s">
        <v>1026</v>
      </c>
      <c r="J1013" t="s">
        <v>460</v>
      </c>
      <c r="K1013" t="s">
        <v>70</v>
      </c>
      <c r="L1013" t="s">
        <v>36</v>
      </c>
      <c r="M1013" t="s">
        <v>10</v>
      </c>
    </row>
    <row r="1014" spans="1:13">
      <c r="A1014" t="s">
        <v>2039</v>
      </c>
      <c r="B1014" s="2">
        <v>46121</v>
      </c>
      <c r="C1014">
        <v>2026</v>
      </c>
      <c r="D1014">
        <v>4</v>
      </c>
      <c r="E1014" t="s">
        <v>73</v>
      </c>
      <c r="F1014" t="s">
        <v>19</v>
      </c>
      <c r="G1014" t="s">
        <v>69</v>
      </c>
      <c r="H1014" t="s">
        <v>33</v>
      </c>
      <c r="I1014" t="s">
        <v>1026</v>
      </c>
      <c r="J1014" t="s">
        <v>519</v>
      </c>
      <c r="K1014" t="s">
        <v>13</v>
      </c>
      <c r="L1014" t="s">
        <v>9</v>
      </c>
      <c r="M1014" t="s">
        <v>10</v>
      </c>
    </row>
    <row r="1015" spans="1:13">
      <c r="A1015" t="s">
        <v>2040</v>
      </c>
      <c r="B1015" s="2">
        <v>46133</v>
      </c>
      <c r="C1015">
        <v>2026</v>
      </c>
      <c r="D1015">
        <v>4</v>
      </c>
      <c r="E1015" t="s">
        <v>73</v>
      </c>
      <c r="F1015" t="s">
        <v>19</v>
      </c>
      <c r="G1015" t="s">
        <v>48</v>
      </c>
      <c r="H1015" t="s">
        <v>33</v>
      </c>
      <c r="I1015" t="s">
        <v>1026</v>
      </c>
      <c r="J1015" t="s">
        <v>454</v>
      </c>
      <c r="K1015" t="s">
        <v>70</v>
      </c>
      <c r="L1015" t="s">
        <v>29</v>
      </c>
      <c r="M1015" t="s">
        <v>10</v>
      </c>
    </row>
    <row r="1016" spans="1:13">
      <c r="A1016" t="s">
        <v>2041</v>
      </c>
      <c r="B1016" s="2">
        <v>46136</v>
      </c>
      <c r="C1016">
        <v>2026</v>
      </c>
      <c r="D1016">
        <v>4</v>
      </c>
      <c r="E1016" t="s">
        <v>73</v>
      </c>
      <c r="F1016" t="s">
        <v>38</v>
      </c>
      <c r="G1016" t="s">
        <v>20</v>
      </c>
      <c r="H1016" t="s">
        <v>44</v>
      </c>
      <c r="I1016" t="s">
        <v>1029</v>
      </c>
      <c r="J1016" t="s">
        <v>435</v>
      </c>
      <c r="K1016" t="s">
        <v>50</v>
      </c>
      <c r="L1016" t="s">
        <v>29</v>
      </c>
      <c r="M1016" t="s">
        <v>10</v>
      </c>
    </row>
    <row r="1017" spans="1:13">
      <c r="A1017" t="s">
        <v>2042</v>
      </c>
      <c r="B1017" s="2">
        <v>46113</v>
      </c>
      <c r="C1017">
        <v>2026</v>
      </c>
      <c r="D1017">
        <v>4</v>
      </c>
      <c r="E1017" t="s">
        <v>73</v>
      </c>
      <c r="F1017" t="s">
        <v>40</v>
      </c>
      <c r="G1017" t="s">
        <v>61</v>
      </c>
      <c r="H1017" t="s">
        <v>12</v>
      </c>
      <c r="I1017" t="s">
        <v>1026</v>
      </c>
      <c r="J1017" t="s">
        <v>428</v>
      </c>
      <c r="K1017" t="s">
        <v>13</v>
      </c>
      <c r="L1017" t="s">
        <v>16</v>
      </c>
      <c r="M1017" t="s">
        <v>10</v>
      </c>
    </row>
    <row r="1018" spans="1:13">
      <c r="A1018" t="s">
        <v>2043</v>
      </c>
      <c r="B1018" s="2">
        <v>46139</v>
      </c>
      <c r="C1018">
        <v>2026</v>
      </c>
      <c r="D1018">
        <v>4</v>
      </c>
      <c r="E1018" t="s">
        <v>73</v>
      </c>
      <c r="F1018" t="s">
        <v>19</v>
      </c>
      <c r="G1018" t="s">
        <v>32</v>
      </c>
      <c r="H1018" t="s">
        <v>33</v>
      </c>
      <c r="I1018" t="s">
        <v>1023</v>
      </c>
      <c r="J1018" t="s">
        <v>1024</v>
      </c>
      <c r="K1018" t="s">
        <v>70</v>
      </c>
      <c r="L1018" t="s">
        <v>9</v>
      </c>
      <c r="M1018" t="s">
        <v>10</v>
      </c>
    </row>
    <row r="1019" spans="1:13">
      <c r="A1019" t="s">
        <v>2044</v>
      </c>
      <c r="B1019" s="2">
        <v>46114</v>
      </c>
      <c r="C1019">
        <v>2026</v>
      </c>
      <c r="D1019">
        <v>4</v>
      </c>
      <c r="E1019" t="s">
        <v>73</v>
      </c>
      <c r="F1019" t="s">
        <v>2</v>
      </c>
      <c r="G1019" t="s">
        <v>94</v>
      </c>
      <c r="H1019" t="s">
        <v>44</v>
      </c>
      <c r="I1019" t="s">
        <v>1029</v>
      </c>
      <c r="J1019" t="s">
        <v>452</v>
      </c>
      <c r="K1019" t="s">
        <v>70</v>
      </c>
      <c r="L1019" t="s">
        <v>29</v>
      </c>
      <c r="M1019" t="s">
        <v>17</v>
      </c>
    </row>
    <row r="1020" spans="1:13">
      <c r="A1020" t="s">
        <v>2045</v>
      </c>
      <c r="B1020" s="2">
        <v>46121</v>
      </c>
      <c r="C1020">
        <v>2026</v>
      </c>
      <c r="D1020">
        <v>4</v>
      </c>
      <c r="E1020" t="s">
        <v>73</v>
      </c>
      <c r="F1020" t="s">
        <v>26</v>
      </c>
      <c r="G1020" t="s">
        <v>55</v>
      </c>
      <c r="H1020" t="s">
        <v>4</v>
      </c>
      <c r="I1020" t="s">
        <v>1029</v>
      </c>
      <c r="J1020" t="s">
        <v>438</v>
      </c>
      <c r="K1020" t="s">
        <v>34</v>
      </c>
      <c r="L1020" t="s">
        <v>9</v>
      </c>
      <c r="M1020" t="s">
        <v>10</v>
      </c>
    </row>
    <row r="1021" spans="1:13">
      <c r="A1021" t="s">
        <v>2046</v>
      </c>
      <c r="B1021" s="2">
        <v>46140</v>
      </c>
      <c r="C1021">
        <v>2026</v>
      </c>
      <c r="D1021">
        <v>4</v>
      </c>
      <c r="E1021" t="s">
        <v>73</v>
      </c>
      <c r="F1021" t="s">
        <v>2</v>
      </c>
      <c r="G1021" t="s">
        <v>74</v>
      </c>
      <c r="H1021" t="s">
        <v>12</v>
      </c>
      <c r="I1021" t="s">
        <v>1023</v>
      </c>
      <c r="J1021" t="s">
        <v>1024</v>
      </c>
      <c r="K1021" t="s">
        <v>13</v>
      </c>
      <c r="L1021" t="s">
        <v>16</v>
      </c>
      <c r="M1021" t="s">
        <v>10</v>
      </c>
    </row>
    <row r="1022" spans="1:13">
      <c r="A1022" t="s">
        <v>2047</v>
      </c>
      <c r="B1022" s="2">
        <v>46129</v>
      </c>
      <c r="C1022">
        <v>2026</v>
      </c>
      <c r="D1022">
        <v>4</v>
      </c>
      <c r="E1022" t="s">
        <v>73</v>
      </c>
      <c r="F1022" t="s">
        <v>78</v>
      </c>
      <c r="G1022" t="s">
        <v>69</v>
      </c>
      <c r="H1022" t="s">
        <v>33</v>
      </c>
      <c r="I1022" t="s">
        <v>1026</v>
      </c>
      <c r="J1022" t="s">
        <v>466</v>
      </c>
      <c r="K1022" t="s">
        <v>70</v>
      </c>
      <c r="L1022" t="s">
        <v>16</v>
      </c>
      <c r="M1022" t="s">
        <v>10</v>
      </c>
    </row>
    <row r="1023" spans="1:13">
      <c r="A1023" t="s">
        <v>2048</v>
      </c>
      <c r="B1023" s="2">
        <v>46131</v>
      </c>
      <c r="C1023">
        <v>2026</v>
      </c>
      <c r="D1023">
        <v>4</v>
      </c>
      <c r="E1023" t="s">
        <v>73</v>
      </c>
      <c r="F1023" t="s">
        <v>40</v>
      </c>
      <c r="G1023" t="s">
        <v>32</v>
      </c>
      <c r="H1023" t="s">
        <v>4</v>
      </c>
      <c r="I1023" t="s">
        <v>1037</v>
      </c>
      <c r="J1023" t="s">
        <v>1024</v>
      </c>
      <c r="K1023" t="s">
        <v>70</v>
      </c>
      <c r="L1023" t="s">
        <v>29</v>
      </c>
      <c r="M1023" t="s">
        <v>10</v>
      </c>
    </row>
    <row r="1024" spans="1:13">
      <c r="A1024" t="s">
        <v>2049</v>
      </c>
      <c r="B1024" s="2">
        <v>46130</v>
      </c>
      <c r="C1024">
        <v>2026</v>
      </c>
      <c r="D1024">
        <v>4</v>
      </c>
      <c r="E1024" t="s">
        <v>73</v>
      </c>
      <c r="F1024" t="s">
        <v>40</v>
      </c>
      <c r="G1024" t="s">
        <v>3</v>
      </c>
      <c r="H1024" t="s">
        <v>12</v>
      </c>
      <c r="I1024" t="s">
        <v>1029</v>
      </c>
      <c r="J1024" t="s">
        <v>473</v>
      </c>
      <c r="K1024" t="s">
        <v>70</v>
      </c>
      <c r="L1024" t="s">
        <v>9</v>
      </c>
      <c r="M1024" t="s">
        <v>10</v>
      </c>
    </row>
    <row r="1025" spans="1:13">
      <c r="A1025" t="s">
        <v>2050</v>
      </c>
      <c r="B1025" s="2">
        <v>46134</v>
      </c>
      <c r="C1025">
        <v>2026</v>
      </c>
      <c r="D1025">
        <v>4</v>
      </c>
      <c r="E1025" t="s">
        <v>73</v>
      </c>
      <c r="F1025" t="s">
        <v>31</v>
      </c>
      <c r="G1025" t="s">
        <v>48</v>
      </c>
      <c r="H1025" t="s">
        <v>33</v>
      </c>
      <c r="I1025" t="s">
        <v>1037</v>
      </c>
      <c r="J1025" t="s">
        <v>1024</v>
      </c>
      <c r="K1025" t="s">
        <v>34</v>
      </c>
      <c r="L1025" t="s">
        <v>36</v>
      </c>
      <c r="M1025" t="s">
        <v>10</v>
      </c>
    </row>
    <row r="1026" spans="1:13">
      <c r="A1026" t="s">
        <v>2051</v>
      </c>
      <c r="B1026" s="2">
        <v>46133</v>
      </c>
      <c r="C1026">
        <v>2026</v>
      </c>
      <c r="D1026">
        <v>4</v>
      </c>
      <c r="E1026" t="s">
        <v>73</v>
      </c>
      <c r="F1026" t="s">
        <v>78</v>
      </c>
      <c r="G1026" t="s">
        <v>94</v>
      </c>
      <c r="H1026" t="s">
        <v>12</v>
      </c>
      <c r="I1026" t="s">
        <v>1026</v>
      </c>
      <c r="J1026" t="s">
        <v>428</v>
      </c>
      <c r="K1026" t="s">
        <v>6</v>
      </c>
      <c r="L1026" t="s">
        <v>36</v>
      </c>
      <c r="M1026" t="s">
        <v>10</v>
      </c>
    </row>
    <row r="1027" spans="1:13">
      <c r="A1027" t="s">
        <v>2052</v>
      </c>
      <c r="B1027" s="2">
        <v>46122</v>
      </c>
      <c r="C1027">
        <v>2026</v>
      </c>
      <c r="D1027">
        <v>4</v>
      </c>
      <c r="E1027" t="s">
        <v>73</v>
      </c>
      <c r="F1027" t="s">
        <v>40</v>
      </c>
      <c r="G1027" t="s">
        <v>3</v>
      </c>
      <c r="H1027" t="s">
        <v>33</v>
      </c>
      <c r="I1027" t="s">
        <v>1026</v>
      </c>
      <c r="J1027" t="s">
        <v>470</v>
      </c>
      <c r="K1027" t="s">
        <v>50</v>
      </c>
      <c r="L1027" t="s">
        <v>29</v>
      </c>
      <c r="M1027" t="s">
        <v>17</v>
      </c>
    </row>
    <row r="1028" spans="1:13">
      <c r="A1028" t="s">
        <v>2053</v>
      </c>
      <c r="B1028" s="2">
        <v>46140</v>
      </c>
      <c r="C1028">
        <v>2026</v>
      </c>
      <c r="D1028">
        <v>4</v>
      </c>
      <c r="E1028" t="s">
        <v>73</v>
      </c>
      <c r="F1028" t="s">
        <v>2</v>
      </c>
      <c r="G1028" t="s">
        <v>69</v>
      </c>
      <c r="H1028" t="s">
        <v>12</v>
      </c>
      <c r="I1028" t="s">
        <v>1026</v>
      </c>
      <c r="J1028" t="s">
        <v>460</v>
      </c>
      <c r="K1028" t="s">
        <v>50</v>
      </c>
      <c r="L1028" t="s">
        <v>9</v>
      </c>
      <c r="M1028" t="s">
        <v>17</v>
      </c>
    </row>
    <row r="1029" spans="1:13">
      <c r="A1029" t="s">
        <v>2054</v>
      </c>
      <c r="B1029" s="2">
        <v>46131</v>
      </c>
      <c r="C1029">
        <v>2026</v>
      </c>
      <c r="D1029">
        <v>4</v>
      </c>
      <c r="E1029" t="s">
        <v>73</v>
      </c>
      <c r="F1029" t="s">
        <v>40</v>
      </c>
      <c r="G1029" t="s">
        <v>3</v>
      </c>
      <c r="H1029" t="s">
        <v>4</v>
      </c>
      <c r="I1029" t="s">
        <v>1029</v>
      </c>
      <c r="J1029" t="s">
        <v>462</v>
      </c>
      <c r="K1029" t="s">
        <v>34</v>
      </c>
      <c r="L1029" t="s">
        <v>36</v>
      </c>
      <c r="M1029" t="s">
        <v>10</v>
      </c>
    </row>
    <row r="1030" spans="1:13">
      <c r="A1030" t="s">
        <v>2055</v>
      </c>
      <c r="B1030" s="2">
        <v>46114</v>
      </c>
      <c r="C1030">
        <v>2026</v>
      </c>
      <c r="D1030">
        <v>4</v>
      </c>
      <c r="E1030" t="s">
        <v>73</v>
      </c>
      <c r="F1030" t="s">
        <v>67</v>
      </c>
      <c r="G1030" t="s">
        <v>64</v>
      </c>
      <c r="H1030" t="s">
        <v>33</v>
      </c>
      <c r="I1030" t="s">
        <v>1026</v>
      </c>
      <c r="J1030" t="s">
        <v>460</v>
      </c>
      <c r="K1030" t="s">
        <v>34</v>
      </c>
      <c r="L1030" t="s">
        <v>9</v>
      </c>
      <c r="M1030" t="s">
        <v>17</v>
      </c>
    </row>
    <row r="1031" spans="1:13">
      <c r="A1031" t="s">
        <v>2056</v>
      </c>
      <c r="B1031" s="2">
        <v>46132</v>
      </c>
      <c r="C1031">
        <v>2026</v>
      </c>
      <c r="D1031">
        <v>4</v>
      </c>
      <c r="E1031" t="s">
        <v>73</v>
      </c>
      <c r="F1031" t="s">
        <v>78</v>
      </c>
      <c r="G1031" t="s">
        <v>55</v>
      </c>
      <c r="H1031" t="s">
        <v>44</v>
      </c>
      <c r="I1031" t="s">
        <v>1023</v>
      </c>
      <c r="J1031" t="s">
        <v>1024</v>
      </c>
      <c r="K1031" t="s">
        <v>6</v>
      </c>
      <c r="L1031" t="s">
        <v>36</v>
      </c>
      <c r="M1031" t="s">
        <v>10</v>
      </c>
    </row>
    <row r="1032" spans="1:13">
      <c r="A1032" t="s">
        <v>2057</v>
      </c>
      <c r="B1032" s="2">
        <v>46139</v>
      </c>
      <c r="C1032">
        <v>2026</v>
      </c>
      <c r="D1032">
        <v>4</v>
      </c>
      <c r="E1032" t="s">
        <v>73</v>
      </c>
      <c r="F1032" t="s">
        <v>54</v>
      </c>
      <c r="G1032" t="s">
        <v>61</v>
      </c>
      <c r="H1032" t="s">
        <v>44</v>
      </c>
      <c r="I1032" t="s">
        <v>1023</v>
      </c>
      <c r="J1032" t="s">
        <v>1024</v>
      </c>
      <c r="K1032" t="s">
        <v>6</v>
      </c>
      <c r="L1032" t="s">
        <v>29</v>
      </c>
      <c r="M1032" t="s">
        <v>10</v>
      </c>
    </row>
    <row r="1033" spans="1:13">
      <c r="A1033" t="s">
        <v>2058</v>
      </c>
      <c r="B1033" s="2">
        <v>46123</v>
      </c>
      <c r="C1033">
        <v>2026</v>
      </c>
      <c r="D1033">
        <v>4</v>
      </c>
      <c r="E1033" t="s">
        <v>73</v>
      </c>
      <c r="F1033" t="s">
        <v>40</v>
      </c>
      <c r="G1033" t="s">
        <v>48</v>
      </c>
      <c r="H1033" t="s">
        <v>33</v>
      </c>
      <c r="I1033" t="s">
        <v>1037</v>
      </c>
      <c r="J1033" t="s">
        <v>1024</v>
      </c>
      <c r="K1033" t="s">
        <v>34</v>
      </c>
      <c r="L1033" t="s">
        <v>9</v>
      </c>
      <c r="M1033" t="s">
        <v>10</v>
      </c>
    </row>
    <row r="1034" spans="1:13">
      <c r="A1034" t="s">
        <v>2059</v>
      </c>
      <c r="B1034" s="2">
        <v>46123</v>
      </c>
      <c r="C1034">
        <v>2026</v>
      </c>
      <c r="D1034">
        <v>4</v>
      </c>
      <c r="E1034" t="s">
        <v>73</v>
      </c>
      <c r="F1034" t="s">
        <v>67</v>
      </c>
      <c r="G1034" t="s">
        <v>94</v>
      </c>
      <c r="H1034" t="s">
        <v>44</v>
      </c>
      <c r="I1034" t="s">
        <v>1026</v>
      </c>
      <c r="J1034" t="s">
        <v>444</v>
      </c>
      <c r="K1034" t="s">
        <v>34</v>
      </c>
      <c r="L1034" t="s">
        <v>36</v>
      </c>
      <c r="M1034" t="s">
        <v>10</v>
      </c>
    </row>
    <row r="1035" spans="1:13">
      <c r="A1035" t="s">
        <v>2060</v>
      </c>
      <c r="B1035" s="2">
        <v>46129</v>
      </c>
      <c r="C1035">
        <v>2026</v>
      </c>
      <c r="D1035">
        <v>4</v>
      </c>
      <c r="E1035" t="s">
        <v>73</v>
      </c>
      <c r="F1035" t="s">
        <v>67</v>
      </c>
      <c r="G1035" t="s">
        <v>20</v>
      </c>
      <c r="H1035" t="s">
        <v>44</v>
      </c>
      <c r="I1035" t="s">
        <v>1023</v>
      </c>
      <c r="J1035" t="s">
        <v>1024</v>
      </c>
      <c r="K1035" t="s">
        <v>70</v>
      </c>
      <c r="L1035" t="s">
        <v>29</v>
      </c>
      <c r="M1035" t="s">
        <v>10</v>
      </c>
    </row>
    <row r="1036" spans="1:13">
      <c r="A1036" t="s">
        <v>2061</v>
      </c>
      <c r="B1036" s="2">
        <v>46133</v>
      </c>
      <c r="C1036">
        <v>2026</v>
      </c>
      <c r="D1036">
        <v>4</v>
      </c>
      <c r="E1036" t="s">
        <v>73</v>
      </c>
      <c r="F1036" t="s">
        <v>54</v>
      </c>
      <c r="G1036" t="s">
        <v>20</v>
      </c>
      <c r="H1036" t="s">
        <v>4</v>
      </c>
      <c r="I1036" t="s">
        <v>1023</v>
      </c>
      <c r="J1036" t="s">
        <v>1024</v>
      </c>
      <c r="K1036" t="s">
        <v>6</v>
      </c>
      <c r="L1036" t="s">
        <v>16</v>
      </c>
      <c r="M1036" t="s">
        <v>10</v>
      </c>
    </row>
    <row r="1037" spans="1:13">
      <c r="A1037" t="s">
        <v>2062</v>
      </c>
      <c r="B1037" s="2">
        <v>46124</v>
      </c>
      <c r="C1037">
        <v>2026</v>
      </c>
      <c r="D1037">
        <v>4</v>
      </c>
      <c r="E1037" t="s">
        <v>73</v>
      </c>
      <c r="F1037" t="s">
        <v>19</v>
      </c>
      <c r="G1037" t="s">
        <v>64</v>
      </c>
      <c r="H1037" t="s">
        <v>4</v>
      </c>
      <c r="I1037" t="s">
        <v>1029</v>
      </c>
      <c r="J1037" t="s">
        <v>452</v>
      </c>
      <c r="K1037" t="s">
        <v>6</v>
      </c>
      <c r="L1037" t="s">
        <v>36</v>
      </c>
      <c r="M1037" t="s">
        <v>10</v>
      </c>
    </row>
    <row r="1038" spans="1:13">
      <c r="A1038" t="s">
        <v>2063</v>
      </c>
      <c r="B1038" s="2">
        <v>46134</v>
      </c>
      <c r="C1038">
        <v>2026</v>
      </c>
      <c r="D1038">
        <v>4</v>
      </c>
      <c r="E1038" t="s">
        <v>73</v>
      </c>
      <c r="F1038" t="s">
        <v>26</v>
      </c>
      <c r="G1038" t="s">
        <v>94</v>
      </c>
      <c r="H1038" t="s">
        <v>44</v>
      </c>
      <c r="I1038" t="s">
        <v>1029</v>
      </c>
      <c r="J1038" t="s">
        <v>438</v>
      </c>
      <c r="K1038" t="s">
        <v>50</v>
      </c>
      <c r="L1038" t="s">
        <v>36</v>
      </c>
      <c r="M1038" t="s">
        <v>10</v>
      </c>
    </row>
    <row r="1039" spans="1:13">
      <c r="A1039" t="s">
        <v>2064</v>
      </c>
      <c r="B1039" s="2">
        <v>46118</v>
      </c>
      <c r="C1039">
        <v>2026</v>
      </c>
      <c r="D1039">
        <v>4</v>
      </c>
      <c r="E1039" t="s">
        <v>73</v>
      </c>
      <c r="F1039" t="s">
        <v>31</v>
      </c>
      <c r="G1039" t="s">
        <v>27</v>
      </c>
      <c r="H1039" t="s">
        <v>12</v>
      </c>
      <c r="I1039" t="s">
        <v>1026</v>
      </c>
      <c r="J1039" t="s">
        <v>457</v>
      </c>
      <c r="K1039" t="s">
        <v>6</v>
      </c>
      <c r="L1039" t="s">
        <v>36</v>
      </c>
      <c r="M1039" t="s">
        <v>10</v>
      </c>
    </row>
    <row r="1040" spans="1:13">
      <c r="A1040" t="s">
        <v>2065</v>
      </c>
      <c r="B1040" s="2">
        <v>46136</v>
      </c>
      <c r="C1040">
        <v>2026</v>
      </c>
      <c r="D1040">
        <v>4</v>
      </c>
      <c r="E1040" t="s">
        <v>73</v>
      </c>
      <c r="F1040" t="s">
        <v>2</v>
      </c>
      <c r="G1040" t="s">
        <v>94</v>
      </c>
      <c r="H1040" t="s">
        <v>44</v>
      </c>
      <c r="I1040" t="s">
        <v>1023</v>
      </c>
      <c r="J1040" t="s">
        <v>1024</v>
      </c>
      <c r="K1040" t="s">
        <v>6</v>
      </c>
      <c r="L1040" t="s">
        <v>9</v>
      </c>
      <c r="M1040" t="s">
        <v>17</v>
      </c>
    </row>
    <row r="1041" spans="1:13">
      <c r="A1041" t="s">
        <v>2066</v>
      </c>
      <c r="B1041" s="2">
        <v>46129</v>
      </c>
      <c r="C1041">
        <v>2026</v>
      </c>
      <c r="D1041">
        <v>4</v>
      </c>
      <c r="E1041" t="s">
        <v>73</v>
      </c>
      <c r="F1041" t="s">
        <v>2</v>
      </c>
      <c r="G1041" t="s">
        <v>27</v>
      </c>
      <c r="H1041" t="s">
        <v>12</v>
      </c>
      <c r="I1041" t="s">
        <v>1026</v>
      </c>
      <c r="J1041" t="s">
        <v>446</v>
      </c>
      <c r="K1041" t="s">
        <v>13</v>
      </c>
      <c r="L1041" t="s">
        <v>29</v>
      </c>
      <c r="M1041" t="s">
        <v>10</v>
      </c>
    </row>
    <row r="1042" spans="1:13">
      <c r="A1042" t="s">
        <v>2067</v>
      </c>
      <c r="B1042" s="2">
        <v>46132</v>
      </c>
      <c r="C1042">
        <v>2026</v>
      </c>
      <c r="D1042">
        <v>4</v>
      </c>
      <c r="E1042" t="s">
        <v>73</v>
      </c>
      <c r="F1042" t="s">
        <v>54</v>
      </c>
      <c r="G1042" t="s">
        <v>74</v>
      </c>
      <c r="H1042" t="s">
        <v>33</v>
      </c>
      <c r="I1042" t="s">
        <v>1037</v>
      </c>
      <c r="J1042" t="s">
        <v>1024</v>
      </c>
      <c r="K1042" t="s">
        <v>50</v>
      </c>
      <c r="L1042" t="s">
        <v>29</v>
      </c>
      <c r="M1042" t="s">
        <v>10</v>
      </c>
    </row>
    <row r="1043" spans="1:13">
      <c r="A1043" t="s">
        <v>2068</v>
      </c>
      <c r="B1043" s="2">
        <v>46154</v>
      </c>
      <c r="C1043">
        <v>2026</v>
      </c>
      <c r="D1043">
        <v>5</v>
      </c>
      <c r="E1043" t="s">
        <v>83</v>
      </c>
      <c r="F1043" t="s">
        <v>54</v>
      </c>
      <c r="G1043" t="s">
        <v>20</v>
      </c>
      <c r="H1043" t="s">
        <v>12</v>
      </c>
      <c r="I1043" t="s">
        <v>1037</v>
      </c>
      <c r="J1043" t="s">
        <v>1024</v>
      </c>
      <c r="K1043" t="s">
        <v>34</v>
      </c>
      <c r="L1043" t="s">
        <v>36</v>
      </c>
      <c r="M1043" t="s">
        <v>10</v>
      </c>
    </row>
    <row r="1044" spans="1:13">
      <c r="A1044" t="s">
        <v>2069</v>
      </c>
      <c r="B1044" s="2">
        <v>46151</v>
      </c>
      <c r="C1044">
        <v>2026</v>
      </c>
      <c r="D1044">
        <v>5</v>
      </c>
      <c r="E1044" t="s">
        <v>83</v>
      </c>
      <c r="F1044" t="s">
        <v>67</v>
      </c>
      <c r="G1044" t="s">
        <v>55</v>
      </c>
      <c r="H1044" t="s">
        <v>33</v>
      </c>
      <c r="I1044" t="s">
        <v>1026</v>
      </c>
      <c r="J1044" t="s">
        <v>494</v>
      </c>
      <c r="K1044" t="s">
        <v>6</v>
      </c>
      <c r="L1044" t="s">
        <v>36</v>
      </c>
      <c r="M1044" t="s">
        <v>10</v>
      </c>
    </row>
    <row r="1045" spans="1:13">
      <c r="A1045" t="s">
        <v>2070</v>
      </c>
      <c r="B1045" s="2">
        <v>46143</v>
      </c>
      <c r="C1045">
        <v>2026</v>
      </c>
      <c r="D1045">
        <v>5</v>
      </c>
      <c r="E1045" t="s">
        <v>83</v>
      </c>
      <c r="F1045" t="s">
        <v>40</v>
      </c>
      <c r="G1045" t="s">
        <v>74</v>
      </c>
      <c r="H1045" t="s">
        <v>44</v>
      </c>
      <c r="I1045" t="s">
        <v>1029</v>
      </c>
      <c r="J1045" t="s">
        <v>438</v>
      </c>
      <c r="K1045" t="s">
        <v>50</v>
      </c>
      <c r="L1045" t="s">
        <v>29</v>
      </c>
      <c r="M1045" t="s">
        <v>10</v>
      </c>
    </row>
    <row r="1046" spans="1:13">
      <c r="A1046" t="s">
        <v>2071</v>
      </c>
      <c r="B1046" s="2">
        <v>46167</v>
      </c>
      <c r="C1046">
        <v>2026</v>
      </c>
      <c r="D1046">
        <v>5</v>
      </c>
      <c r="E1046" t="s">
        <v>83</v>
      </c>
      <c r="F1046" t="s">
        <v>38</v>
      </c>
      <c r="G1046" t="s">
        <v>64</v>
      </c>
      <c r="H1046" t="s">
        <v>4</v>
      </c>
      <c r="I1046" t="s">
        <v>1026</v>
      </c>
      <c r="J1046" t="s">
        <v>446</v>
      </c>
      <c r="K1046" t="s">
        <v>70</v>
      </c>
      <c r="L1046" t="s">
        <v>9</v>
      </c>
      <c r="M1046" t="s">
        <v>17</v>
      </c>
    </row>
    <row r="1047" spans="1:13">
      <c r="A1047" t="s">
        <v>2072</v>
      </c>
      <c r="B1047" s="2">
        <v>46151</v>
      </c>
      <c r="C1047">
        <v>2026</v>
      </c>
      <c r="D1047">
        <v>5</v>
      </c>
      <c r="E1047" t="s">
        <v>83</v>
      </c>
      <c r="F1047" t="s">
        <v>78</v>
      </c>
      <c r="G1047" t="s">
        <v>64</v>
      </c>
      <c r="H1047" t="s">
        <v>12</v>
      </c>
      <c r="I1047" t="s">
        <v>1023</v>
      </c>
      <c r="J1047" t="s">
        <v>1024</v>
      </c>
      <c r="K1047" t="s">
        <v>70</v>
      </c>
      <c r="L1047" t="s">
        <v>9</v>
      </c>
      <c r="M1047" t="s">
        <v>10</v>
      </c>
    </row>
    <row r="1048" spans="1:13">
      <c r="A1048" t="s">
        <v>2073</v>
      </c>
      <c r="B1048" s="2">
        <v>46144</v>
      </c>
      <c r="C1048">
        <v>2026</v>
      </c>
      <c r="D1048">
        <v>5</v>
      </c>
      <c r="E1048" t="s">
        <v>83</v>
      </c>
      <c r="F1048" t="s">
        <v>54</v>
      </c>
      <c r="G1048" t="s">
        <v>94</v>
      </c>
      <c r="H1048" t="s">
        <v>44</v>
      </c>
      <c r="I1048" t="s">
        <v>1026</v>
      </c>
      <c r="J1048" t="s">
        <v>470</v>
      </c>
      <c r="K1048" t="s">
        <v>70</v>
      </c>
      <c r="L1048" t="s">
        <v>36</v>
      </c>
      <c r="M1048" t="s">
        <v>10</v>
      </c>
    </row>
    <row r="1049" spans="1:13">
      <c r="A1049" t="s">
        <v>2074</v>
      </c>
      <c r="B1049" s="2">
        <v>46150</v>
      </c>
      <c r="C1049">
        <v>2026</v>
      </c>
      <c r="D1049">
        <v>5</v>
      </c>
      <c r="E1049" t="s">
        <v>83</v>
      </c>
      <c r="F1049" t="s">
        <v>67</v>
      </c>
      <c r="G1049" t="s">
        <v>32</v>
      </c>
      <c r="H1049" t="s">
        <v>33</v>
      </c>
      <c r="I1049" t="s">
        <v>1029</v>
      </c>
      <c r="J1049" t="s">
        <v>431</v>
      </c>
      <c r="K1049" t="s">
        <v>13</v>
      </c>
      <c r="L1049" t="s">
        <v>36</v>
      </c>
      <c r="M1049" t="s">
        <v>10</v>
      </c>
    </row>
    <row r="1050" spans="1:13">
      <c r="A1050" t="s">
        <v>2075</v>
      </c>
      <c r="B1050" s="2">
        <v>46162</v>
      </c>
      <c r="C1050">
        <v>2026</v>
      </c>
      <c r="D1050">
        <v>5</v>
      </c>
      <c r="E1050" t="s">
        <v>83</v>
      </c>
      <c r="F1050" t="s">
        <v>31</v>
      </c>
      <c r="G1050" t="s">
        <v>3</v>
      </c>
      <c r="H1050" t="s">
        <v>4</v>
      </c>
      <c r="I1050" t="s">
        <v>1029</v>
      </c>
      <c r="J1050" t="s">
        <v>440</v>
      </c>
      <c r="K1050" t="s">
        <v>6</v>
      </c>
      <c r="L1050" t="s">
        <v>9</v>
      </c>
      <c r="M1050" t="s">
        <v>10</v>
      </c>
    </row>
    <row r="1051" spans="1:13">
      <c r="A1051" t="s">
        <v>2076</v>
      </c>
      <c r="B1051" s="2">
        <v>46143</v>
      </c>
      <c r="C1051">
        <v>2026</v>
      </c>
      <c r="D1051">
        <v>5</v>
      </c>
      <c r="E1051" t="s">
        <v>83</v>
      </c>
      <c r="F1051" t="s">
        <v>40</v>
      </c>
      <c r="G1051" t="s">
        <v>27</v>
      </c>
      <c r="H1051" t="s">
        <v>4</v>
      </c>
      <c r="I1051" t="s">
        <v>1029</v>
      </c>
      <c r="J1051" t="s">
        <v>435</v>
      </c>
      <c r="K1051" t="s">
        <v>50</v>
      </c>
      <c r="L1051" t="s">
        <v>36</v>
      </c>
      <c r="M1051" t="s">
        <v>17</v>
      </c>
    </row>
    <row r="1052" spans="1:13">
      <c r="A1052" t="s">
        <v>2077</v>
      </c>
      <c r="B1052" s="2">
        <v>46165</v>
      </c>
      <c r="C1052">
        <v>2026</v>
      </c>
      <c r="D1052">
        <v>5</v>
      </c>
      <c r="E1052" t="s">
        <v>83</v>
      </c>
      <c r="F1052" t="s">
        <v>2</v>
      </c>
      <c r="G1052" t="s">
        <v>74</v>
      </c>
      <c r="H1052" t="s">
        <v>33</v>
      </c>
      <c r="I1052" t="s">
        <v>1026</v>
      </c>
      <c r="J1052" t="s">
        <v>454</v>
      </c>
      <c r="K1052" t="s">
        <v>70</v>
      </c>
      <c r="L1052" t="s">
        <v>29</v>
      </c>
      <c r="M1052" t="s">
        <v>10</v>
      </c>
    </row>
    <row r="1053" spans="1:13">
      <c r="A1053" t="s">
        <v>2078</v>
      </c>
      <c r="B1053" s="2">
        <v>46148</v>
      </c>
      <c r="C1053">
        <v>2026</v>
      </c>
      <c r="D1053">
        <v>5</v>
      </c>
      <c r="E1053" t="s">
        <v>83</v>
      </c>
      <c r="F1053" t="s">
        <v>47</v>
      </c>
      <c r="G1053" t="s">
        <v>64</v>
      </c>
      <c r="H1053" t="s">
        <v>44</v>
      </c>
      <c r="I1053" t="s">
        <v>1026</v>
      </c>
      <c r="J1053" t="s">
        <v>470</v>
      </c>
      <c r="K1053" t="s">
        <v>13</v>
      </c>
      <c r="L1053" t="s">
        <v>29</v>
      </c>
      <c r="M1053" t="s">
        <v>10</v>
      </c>
    </row>
    <row r="1054" spans="1:13">
      <c r="A1054" t="s">
        <v>2079</v>
      </c>
      <c r="B1054" s="2">
        <v>46148</v>
      </c>
      <c r="C1054">
        <v>2026</v>
      </c>
      <c r="D1054">
        <v>5</v>
      </c>
      <c r="E1054" t="s">
        <v>83</v>
      </c>
      <c r="F1054" t="s">
        <v>47</v>
      </c>
      <c r="G1054" t="s">
        <v>20</v>
      </c>
      <c r="H1054" t="s">
        <v>44</v>
      </c>
      <c r="I1054" t="s">
        <v>1029</v>
      </c>
      <c r="J1054" t="s">
        <v>438</v>
      </c>
      <c r="K1054" t="s">
        <v>70</v>
      </c>
      <c r="L1054" t="s">
        <v>9</v>
      </c>
      <c r="M1054" t="s">
        <v>10</v>
      </c>
    </row>
    <row r="1055" spans="1:13">
      <c r="A1055" t="s">
        <v>2080</v>
      </c>
      <c r="B1055" s="2">
        <v>46149</v>
      </c>
      <c r="C1055">
        <v>2026</v>
      </c>
      <c r="D1055">
        <v>5</v>
      </c>
      <c r="E1055" t="s">
        <v>83</v>
      </c>
      <c r="F1055" t="s">
        <v>54</v>
      </c>
      <c r="G1055" t="s">
        <v>64</v>
      </c>
      <c r="H1055" t="s">
        <v>12</v>
      </c>
      <c r="I1055" t="s">
        <v>1037</v>
      </c>
      <c r="J1055" t="s">
        <v>1024</v>
      </c>
      <c r="K1055" t="s">
        <v>70</v>
      </c>
      <c r="L1055" t="s">
        <v>36</v>
      </c>
      <c r="M1055" t="s">
        <v>10</v>
      </c>
    </row>
    <row r="1056" spans="1:13">
      <c r="A1056" t="s">
        <v>2081</v>
      </c>
      <c r="B1056" s="2">
        <v>46170</v>
      </c>
      <c r="C1056">
        <v>2026</v>
      </c>
      <c r="D1056">
        <v>5</v>
      </c>
      <c r="E1056" t="s">
        <v>83</v>
      </c>
      <c r="F1056" t="s">
        <v>19</v>
      </c>
      <c r="G1056" t="s">
        <v>3</v>
      </c>
      <c r="H1056" t="s">
        <v>12</v>
      </c>
      <c r="I1056" t="s">
        <v>1026</v>
      </c>
      <c r="J1056" t="s">
        <v>457</v>
      </c>
      <c r="K1056" t="s">
        <v>34</v>
      </c>
      <c r="L1056" t="s">
        <v>36</v>
      </c>
      <c r="M1056" t="s">
        <v>10</v>
      </c>
    </row>
    <row r="1057" spans="1:13">
      <c r="A1057" t="s">
        <v>2082</v>
      </c>
      <c r="B1057" s="2">
        <v>46152</v>
      </c>
      <c r="C1057">
        <v>2026</v>
      </c>
      <c r="D1057">
        <v>5</v>
      </c>
      <c r="E1057" t="s">
        <v>83</v>
      </c>
      <c r="F1057" t="s">
        <v>2</v>
      </c>
      <c r="G1057" t="s">
        <v>61</v>
      </c>
      <c r="H1057" t="s">
        <v>4</v>
      </c>
      <c r="I1057" t="s">
        <v>1023</v>
      </c>
      <c r="J1057" t="s">
        <v>1024</v>
      </c>
      <c r="K1057" t="s">
        <v>13</v>
      </c>
      <c r="L1057" t="s">
        <v>9</v>
      </c>
      <c r="M1057" t="s">
        <v>10</v>
      </c>
    </row>
    <row r="1058" spans="1:13">
      <c r="A1058" t="s">
        <v>2083</v>
      </c>
      <c r="B1058" s="2">
        <v>46154</v>
      </c>
      <c r="C1058">
        <v>2026</v>
      </c>
      <c r="D1058">
        <v>5</v>
      </c>
      <c r="E1058" t="s">
        <v>83</v>
      </c>
      <c r="F1058" t="s">
        <v>31</v>
      </c>
      <c r="G1058" t="s">
        <v>20</v>
      </c>
      <c r="H1058" t="s">
        <v>4</v>
      </c>
      <c r="I1058" t="s">
        <v>1029</v>
      </c>
      <c r="J1058" t="s">
        <v>452</v>
      </c>
      <c r="K1058" t="s">
        <v>50</v>
      </c>
      <c r="L1058" t="s">
        <v>16</v>
      </c>
      <c r="M1058" t="s">
        <v>17</v>
      </c>
    </row>
    <row r="1059" spans="1:13">
      <c r="A1059" t="s">
        <v>2084</v>
      </c>
      <c r="B1059" s="2">
        <v>46150</v>
      </c>
      <c r="C1059">
        <v>2026</v>
      </c>
      <c r="D1059">
        <v>5</v>
      </c>
      <c r="E1059" t="s">
        <v>83</v>
      </c>
      <c r="F1059" t="s">
        <v>2</v>
      </c>
      <c r="G1059" t="s">
        <v>64</v>
      </c>
      <c r="H1059" t="s">
        <v>33</v>
      </c>
      <c r="I1059" t="s">
        <v>1026</v>
      </c>
      <c r="J1059" t="s">
        <v>494</v>
      </c>
      <c r="K1059" t="s">
        <v>6</v>
      </c>
      <c r="L1059" t="s">
        <v>29</v>
      </c>
      <c r="M1059" t="s">
        <v>10</v>
      </c>
    </row>
    <row r="1060" spans="1:13">
      <c r="A1060" t="s">
        <v>2085</v>
      </c>
      <c r="B1060" s="2">
        <v>46158</v>
      </c>
      <c r="C1060">
        <v>2026</v>
      </c>
      <c r="D1060">
        <v>5</v>
      </c>
      <c r="E1060" t="s">
        <v>83</v>
      </c>
      <c r="F1060" t="s">
        <v>67</v>
      </c>
      <c r="G1060" t="s">
        <v>55</v>
      </c>
      <c r="H1060" t="s">
        <v>44</v>
      </c>
      <c r="I1060" t="s">
        <v>1023</v>
      </c>
      <c r="J1060" t="s">
        <v>1024</v>
      </c>
      <c r="K1060" t="s">
        <v>70</v>
      </c>
      <c r="L1060" t="s">
        <v>36</v>
      </c>
      <c r="M1060" t="s">
        <v>17</v>
      </c>
    </row>
    <row r="1061" spans="1:13">
      <c r="A1061" t="s">
        <v>2086</v>
      </c>
      <c r="B1061" s="2">
        <v>46167</v>
      </c>
      <c r="C1061">
        <v>2026</v>
      </c>
      <c r="D1061">
        <v>5</v>
      </c>
      <c r="E1061" t="s">
        <v>83</v>
      </c>
      <c r="F1061" t="s">
        <v>47</v>
      </c>
      <c r="G1061" t="s">
        <v>74</v>
      </c>
      <c r="H1061" t="s">
        <v>4</v>
      </c>
      <c r="I1061" t="s">
        <v>1023</v>
      </c>
      <c r="J1061" t="s">
        <v>1024</v>
      </c>
      <c r="K1061" t="s">
        <v>34</v>
      </c>
      <c r="L1061" t="s">
        <v>9</v>
      </c>
      <c r="M1061" t="s">
        <v>10</v>
      </c>
    </row>
    <row r="1062" spans="1:13">
      <c r="A1062" t="s">
        <v>2087</v>
      </c>
      <c r="B1062" s="2">
        <v>46154</v>
      </c>
      <c r="C1062">
        <v>2026</v>
      </c>
      <c r="D1062">
        <v>5</v>
      </c>
      <c r="E1062" t="s">
        <v>83</v>
      </c>
      <c r="F1062" t="s">
        <v>54</v>
      </c>
      <c r="G1062" t="s">
        <v>64</v>
      </c>
      <c r="H1062" t="s">
        <v>12</v>
      </c>
      <c r="I1062" t="s">
        <v>1023</v>
      </c>
      <c r="J1062" t="s">
        <v>1024</v>
      </c>
      <c r="K1062" t="s">
        <v>70</v>
      </c>
      <c r="L1062" t="s">
        <v>36</v>
      </c>
      <c r="M1062" t="s">
        <v>10</v>
      </c>
    </row>
    <row r="1063" spans="1:13">
      <c r="A1063" t="s">
        <v>2088</v>
      </c>
      <c r="B1063" s="2">
        <v>46152</v>
      </c>
      <c r="C1063">
        <v>2026</v>
      </c>
      <c r="D1063">
        <v>5</v>
      </c>
      <c r="E1063" t="s">
        <v>83</v>
      </c>
      <c r="F1063" t="s">
        <v>2</v>
      </c>
      <c r="G1063" t="s">
        <v>3</v>
      </c>
      <c r="H1063" t="s">
        <v>12</v>
      </c>
      <c r="I1063" t="s">
        <v>1026</v>
      </c>
      <c r="J1063" t="s">
        <v>444</v>
      </c>
      <c r="K1063" t="s">
        <v>70</v>
      </c>
      <c r="L1063" t="s">
        <v>29</v>
      </c>
      <c r="M1063" t="s">
        <v>10</v>
      </c>
    </row>
    <row r="1064" spans="1:13">
      <c r="A1064" t="s">
        <v>2089</v>
      </c>
      <c r="B1064" s="2">
        <v>46166</v>
      </c>
      <c r="C1064">
        <v>2026</v>
      </c>
      <c r="D1064">
        <v>5</v>
      </c>
      <c r="E1064" t="s">
        <v>83</v>
      </c>
      <c r="F1064" t="s">
        <v>31</v>
      </c>
      <c r="G1064" t="s">
        <v>27</v>
      </c>
      <c r="H1064" t="s">
        <v>4</v>
      </c>
      <c r="I1064" t="s">
        <v>1023</v>
      </c>
      <c r="J1064" t="s">
        <v>1024</v>
      </c>
      <c r="K1064" t="s">
        <v>6</v>
      </c>
      <c r="L1064" t="s">
        <v>16</v>
      </c>
      <c r="M1064" t="s">
        <v>17</v>
      </c>
    </row>
    <row r="1065" spans="1:13">
      <c r="A1065" t="s">
        <v>2090</v>
      </c>
      <c r="B1065" s="2">
        <v>46143</v>
      </c>
      <c r="C1065">
        <v>2026</v>
      </c>
      <c r="D1065">
        <v>5</v>
      </c>
      <c r="E1065" t="s">
        <v>83</v>
      </c>
      <c r="F1065" t="s">
        <v>67</v>
      </c>
      <c r="G1065" t="s">
        <v>64</v>
      </c>
      <c r="H1065" t="s">
        <v>12</v>
      </c>
      <c r="I1065" t="s">
        <v>1023</v>
      </c>
      <c r="J1065" t="s">
        <v>1024</v>
      </c>
      <c r="K1065" t="s">
        <v>6</v>
      </c>
      <c r="L1065" t="s">
        <v>9</v>
      </c>
      <c r="M1065" t="s">
        <v>10</v>
      </c>
    </row>
    <row r="1066" spans="1:13">
      <c r="A1066" t="s">
        <v>2091</v>
      </c>
      <c r="B1066" s="2">
        <v>46160</v>
      </c>
      <c r="C1066">
        <v>2026</v>
      </c>
      <c r="D1066">
        <v>5</v>
      </c>
      <c r="E1066" t="s">
        <v>83</v>
      </c>
      <c r="F1066" t="s">
        <v>19</v>
      </c>
      <c r="G1066" t="s">
        <v>55</v>
      </c>
      <c r="H1066" t="s">
        <v>4</v>
      </c>
      <c r="I1066" t="s">
        <v>1026</v>
      </c>
      <c r="J1066" t="s">
        <v>519</v>
      </c>
      <c r="K1066" t="s">
        <v>70</v>
      </c>
      <c r="L1066" t="s">
        <v>16</v>
      </c>
      <c r="M1066" t="s">
        <v>17</v>
      </c>
    </row>
    <row r="1067" spans="1:13">
      <c r="A1067" t="s">
        <v>2092</v>
      </c>
      <c r="B1067" s="2">
        <v>46158</v>
      </c>
      <c r="C1067">
        <v>2026</v>
      </c>
      <c r="D1067">
        <v>5</v>
      </c>
      <c r="E1067" t="s">
        <v>83</v>
      </c>
      <c r="F1067" t="s">
        <v>19</v>
      </c>
      <c r="G1067" t="s">
        <v>64</v>
      </c>
      <c r="H1067" t="s">
        <v>4</v>
      </c>
      <c r="I1067" t="s">
        <v>1029</v>
      </c>
      <c r="J1067" t="s">
        <v>435</v>
      </c>
      <c r="K1067" t="s">
        <v>34</v>
      </c>
      <c r="L1067" t="s">
        <v>36</v>
      </c>
      <c r="M1067" t="s">
        <v>10</v>
      </c>
    </row>
    <row r="1068" spans="1:13">
      <c r="A1068" t="s">
        <v>2093</v>
      </c>
      <c r="B1068" s="2">
        <v>46166</v>
      </c>
      <c r="C1068">
        <v>2026</v>
      </c>
      <c r="D1068">
        <v>5</v>
      </c>
      <c r="E1068" t="s">
        <v>83</v>
      </c>
      <c r="F1068" t="s">
        <v>19</v>
      </c>
      <c r="G1068" t="s">
        <v>32</v>
      </c>
      <c r="H1068" t="s">
        <v>33</v>
      </c>
      <c r="I1068" t="s">
        <v>1029</v>
      </c>
      <c r="J1068" t="s">
        <v>464</v>
      </c>
      <c r="K1068" t="s">
        <v>6</v>
      </c>
      <c r="L1068" t="s">
        <v>9</v>
      </c>
      <c r="M1068" t="s">
        <v>10</v>
      </c>
    </row>
    <row r="1069" spans="1:13">
      <c r="A1069" t="s">
        <v>2094</v>
      </c>
      <c r="B1069" s="2">
        <v>46147</v>
      </c>
      <c r="C1069">
        <v>2026</v>
      </c>
      <c r="D1069">
        <v>5</v>
      </c>
      <c r="E1069" t="s">
        <v>83</v>
      </c>
      <c r="F1069" t="s">
        <v>54</v>
      </c>
      <c r="G1069" t="s">
        <v>94</v>
      </c>
      <c r="H1069" t="s">
        <v>33</v>
      </c>
      <c r="I1069" t="s">
        <v>1023</v>
      </c>
      <c r="J1069" t="s">
        <v>1024</v>
      </c>
      <c r="K1069" t="s">
        <v>6</v>
      </c>
      <c r="L1069" t="s">
        <v>16</v>
      </c>
      <c r="M1069" t="s">
        <v>10</v>
      </c>
    </row>
    <row r="1070" spans="1:13">
      <c r="A1070" t="s">
        <v>2095</v>
      </c>
      <c r="B1070" s="2">
        <v>46146</v>
      </c>
      <c r="C1070">
        <v>2026</v>
      </c>
      <c r="D1070">
        <v>5</v>
      </c>
      <c r="E1070" t="s">
        <v>83</v>
      </c>
      <c r="F1070" t="s">
        <v>26</v>
      </c>
      <c r="G1070" t="s">
        <v>32</v>
      </c>
      <c r="H1070" t="s">
        <v>44</v>
      </c>
      <c r="I1070" t="s">
        <v>1029</v>
      </c>
      <c r="J1070" t="s">
        <v>84</v>
      </c>
      <c r="K1070" t="s">
        <v>70</v>
      </c>
      <c r="L1070" t="s">
        <v>36</v>
      </c>
      <c r="M1070" t="s">
        <v>10</v>
      </c>
    </row>
    <row r="1071" spans="1:13">
      <c r="A1071" t="s">
        <v>2096</v>
      </c>
      <c r="B1071" s="2">
        <v>46154</v>
      </c>
      <c r="C1071">
        <v>2026</v>
      </c>
      <c r="D1071">
        <v>5</v>
      </c>
      <c r="E1071" t="s">
        <v>83</v>
      </c>
      <c r="F1071" t="s">
        <v>2</v>
      </c>
      <c r="G1071" t="s">
        <v>69</v>
      </c>
      <c r="H1071" t="s">
        <v>4</v>
      </c>
      <c r="I1071" t="s">
        <v>1029</v>
      </c>
      <c r="J1071" t="s">
        <v>431</v>
      </c>
      <c r="K1071" t="s">
        <v>34</v>
      </c>
      <c r="L1071" t="s">
        <v>36</v>
      </c>
      <c r="M1071" t="s">
        <v>17</v>
      </c>
    </row>
    <row r="1072" spans="1:13">
      <c r="A1072" t="s">
        <v>2097</v>
      </c>
      <c r="B1072" s="2">
        <v>46145</v>
      </c>
      <c r="C1072">
        <v>2026</v>
      </c>
      <c r="D1072">
        <v>5</v>
      </c>
      <c r="E1072" t="s">
        <v>83</v>
      </c>
      <c r="F1072" t="s">
        <v>26</v>
      </c>
      <c r="G1072" t="s">
        <v>94</v>
      </c>
      <c r="H1072" t="s">
        <v>44</v>
      </c>
      <c r="I1072" t="s">
        <v>1029</v>
      </c>
      <c r="J1072" t="s">
        <v>84</v>
      </c>
      <c r="K1072" t="s">
        <v>13</v>
      </c>
      <c r="L1072" t="s">
        <v>16</v>
      </c>
      <c r="M1072" t="s">
        <v>10</v>
      </c>
    </row>
    <row r="1073" spans="1:13">
      <c r="A1073" t="s">
        <v>2098</v>
      </c>
      <c r="B1073" s="2">
        <v>46152</v>
      </c>
      <c r="C1073">
        <v>2026</v>
      </c>
      <c r="D1073">
        <v>5</v>
      </c>
      <c r="E1073" t="s">
        <v>83</v>
      </c>
      <c r="F1073" t="s">
        <v>67</v>
      </c>
      <c r="G1073" t="s">
        <v>32</v>
      </c>
      <c r="H1073" t="s">
        <v>4</v>
      </c>
      <c r="I1073" t="s">
        <v>1023</v>
      </c>
      <c r="J1073" t="s">
        <v>1024</v>
      </c>
      <c r="K1073" t="s">
        <v>50</v>
      </c>
      <c r="L1073" t="s">
        <v>36</v>
      </c>
      <c r="M1073" t="s">
        <v>10</v>
      </c>
    </row>
    <row r="1074" spans="1:13">
      <c r="A1074" t="s">
        <v>2099</v>
      </c>
      <c r="B1074" s="2">
        <v>46144</v>
      </c>
      <c r="C1074">
        <v>2026</v>
      </c>
      <c r="D1074">
        <v>5</v>
      </c>
      <c r="E1074" t="s">
        <v>83</v>
      </c>
      <c r="F1074" t="s">
        <v>38</v>
      </c>
      <c r="G1074" t="s">
        <v>20</v>
      </c>
      <c r="H1074" t="s">
        <v>44</v>
      </c>
      <c r="I1074" t="s">
        <v>1026</v>
      </c>
      <c r="J1074" t="s">
        <v>466</v>
      </c>
      <c r="K1074" t="s">
        <v>50</v>
      </c>
      <c r="L1074" t="s">
        <v>36</v>
      </c>
      <c r="M1074" t="s">
        <v>10</v>
      </c>
    </row>
    <row r="1075" spans="1:13">
      <c r="A1075" t="s">
        <v>2100</v>
      </c>
      <c r="B1075" s="2">
        <v>46165</v>
      </c>
      <c r="C1075">
        <v>2026</v>
      </c>
      <c r="D1075">
        <v>5</v>
      </c>
      <c r="E1075" t="s">
        <v>83</v>
      </c>
      <c r="F1075" t="s">
        <v>26</v>
      </c>
      <c r="G1075" t="s">
        <v>48</v>
      </c>
      <c r="H1075" t="s">
        <v>12</v>
      </c>
      <c r="I1075" t="s">
        <v>1029</v>
      </c>
      <c r="J1075" t="s">
        <v>435</v>
      </c>
      <c r="K1075" t="s">
        <v>6</v>
      </c>
      <c r="L1075" t="s">
        <v>16</v>
      </c>
      <c r="M1075" t="s">
        <v>10</v>
      </c>
    </row>
    <row r="1076" spans="1:13">
      <c r="A1076" t="s">
        <v>2101</v>
      </c>
      <c r="B1076" s="2">
        <v>46146</v>
      </c>
      <c r="C1076">
        <v>2026</v>
      </c>
      <c r="D1076">
        <v>5</v>
      </c>
      <c r="E1076" t="s">
        <v>83</v>
      </c>
      <c r="F1076" t="s">
        <v>47</v>
      </c>
      <c r="G1076" t="s">
        <v>74</v>
      </c>
      <c r="H1076" t="s">
        <v>33</v>
      </c>
      <c r="I1076" t="s">
        <v>1029</v>
      </c>
      <c r="J1076" t="s">
        <v>440</v>
      </c>
      <c r="K1076" t="s">
        <v>50</v>
      </c>
      <c r="L1076" t="s">
        <v>36</v>
      </c>
      <c r="M1076" t="s">
        <v>10</v>
      </c>
    </row>
    <row r="1077" spans="1:13">
      <c r="A1077" t="s">
        <v>2102</v>
      </c>
      <c r="B1077" s="2">
        <v>46146</v>
      </c>
      <c r="C1077">
        <v>2026</v>
      </c>
      <c r="D1077">
        <v>5</v>
      </c>
      <c r="E1077" t="s">
        <v>83</v>
      </c>
      <c r="F1077" t="s">
        <v>40</v>
      </c>
      <c r="G1077" t="s">
        <v>27</v>
      </c>
      <c r="H1077" t="s">
        <v>12</v>
      </c>
      <c r="I1077" t="s">
        <v>1037</v>
      </c>
      <c r="J1077" t="s">
        <v>1024</v>
      </c>
      <c r="K1077" t="s">
        <v>6</v>
      </c>
      <c r="L1077" t="s">
        <v>36</v>
      </c>
      <c r="M1077" t="s">
        <v>17</v>
      </c>
    </row>
    <row r="1078" spans="1:13">
      <c r="A1078" t="s">
        <v>2103</v>
      </c>
      <c r="B1078" s="2">
        <v>46156</v>
      </c>
      <c r="C1078">
        <v>2026</v>
      </c>
      <c r="D1078">
        <v>5</v>
      </c>
      <c r="E1078" t="s">
        <v>83</v>
      </c>
      <c r="F1078" t="s">
        <v>40</v>
      </c>
      <c r="G1078" t="s">
        <v>20</v>
      </c>
      <c r="H1078" t="s">
        <v>12</v>
      </c>
      <c r="I1078" t="s">
        <v>1026</v>
      </c>
      <c r="J1078" t="s">
        <v>446</v>
      </c>
      <c r="K1078" t="s">
        <v>50</v>
      </c>
      <c r="L1078" t="s">
        <v>36</v>
      </c>
      <c r="M1078" t="s">
        <v>10</v>
      </c>
    </row>
    <row r="1079" spans="1:13">
      <c r="A1079" t="s">
        <v>2104</v>
      </c>
      <c r="B1079" s="2">
        <v>46165</v>
      </c>
      <c r="C1079">
        <v>2026</v>
      </c>
      <c r="D1079">
        <v>5</v>
      </c>
      <c r="E1079" t="s">
        <v>83</v>
      </c>
      <c r="F1079" t="s">
        <v>67</v>
      </c>
      <c r="G1079" t="s">
        <v>20</v>
      </c>
      <c r="H1079" t="s">
        <v>44</v>
      </c>
      <c r="I1079" t="s">
        <v>1026</v>
      </c>
      <c r="J1079" t="s">
        <v>457</v>
      </c>
      <c r="K1079" t="s">
        <v>34</v>
      </c>
      <c r="L1079" t="s">
        <v>16</v>
      </c>
      <c r="M1079" t="s">
        <v>10</v>
      </c>
    </row>
    <row r="1080" spans="1:13">
      <c r="A1080" t="s">
        <v>2105</v>
      </c>
      <c r="B1080" s="2">
        <v>46151</v>
      </c>
      <c r="C1080">
        <v>2026</v>
      </c>
      <c r="D1080">
        <v>5</v>
      </c>
      <c r="E1080" t="s">
        <v>83</v>
      </c>
      <c r="F1080" t="s">
        <v>67</v>
      </c>
      <c r="G1080" t="s">
        <v>69</v>
      </c>
      <c r="H1080" t="s">
        <v>33</v>
      </c>
      <c r="I1080" t="s">
        <v>1029</v>
      </c>
      <c r="J1080" t="s">
        <v>84</v>
      </c>
      <c r="K1080" t="s">
        <v>6</v>
      </c>
      <c r="L1080" t="s">
        <v>16</v>
      </c>
      <c r="M1080" t="s">
        <v>10</v>
      </c>
    </row>
    <row r="1081" spans="1:13">
      <c r="A1081" t="s">
        <v>2106</v>
      </c>
      <c r="B1081" s="2">
        <v>46152</v>
      </c>
      <c r="C1081">
        <v>2026</v>
      </c>
      <c r="D1081">
        <v>5</v>
      </c>
      <c r="E1081" t="s">
        <v>83</v>
      </c>
      <c r="F1081" t="s">
        <v>19</v>
      </c>
      <c r="G1081" t="s">
        <v>32</v>
      </c>
      <c r="H1081" t="s">
        <v>44</v>
      </c>
      <c r="I1081" t="s">
        <v>1029</v>
      </c>
      <c r="J1081" t="s">
        <v>452</v>
      </c>
      <c r="K1081" t="s">
        <v>70</v>
      </c>
      <c r="L1081" t="s">
        <v>9</v>
      </c>
      <c r="M1081" t="s">
        <v>10</v>
      </c>
    </row>
    <row r="1082" spans="1:13">
      <c r="A1082" t="s">
        <v>2107</v>
      </c>
      <c r="B1082" s="2">
        <v>46152</v>
      </c>
      <c r="C1082">
        <v>2026</v>
      </c>
      <c r="D1082">
        <v>5</v>
      </c>
      <c r="E1082" t="s">
        <v>83</v>
      </c>
      <c r="F1082" t="s">
        <v>54</v>
      </c>
      <c r="G1082" t="s">
        <v>64</v>
      </c>
      <c r="H1082" t="s">
        <v>44</v>
      </c>
      <c r="I1082" t="s">
        <v>1029</v>
      </c>
      <c r="J1082" t="s">
        <v>462</v>
      </c>
      <c r="K1082" t="s">
        <v>70</v>
      </c>
      <c r="L1082" t="s">
        <v>9</v>
      </c>
      <c r="M1082" t="s">
        <v>10</v>
      </c>
    </row>
    <row r="1083" spans="1:13">
      <c r="A1083" t="s">
        <v>2108</v>
      </c>
      <c r="B1083" s="2">
        <v>46169</v>
      </c>
      <c r="C1083">
        <v>2026</v>
      </c>
      <c r="D1083">
        <v>5</v>
      </c>
      <c r="E1083" t="s">
        <v>83</v>
      </c>
      <c r="F1083" t="s">
        <v>67</v>
      </c>
      <c r="G1083" t="s">
        <v>27</v>
      </c>
      <c r="H1083" t="s">
        <v>44</v>
      </c>
      <c r="I1083" t="s">
        <v>1029</v>
      </c>
      <c r="J1083" t="s">
        <v>462</v>
      </c>
      <c r="K1083" t="s">
        <v>34</v>
      </c>
      <c r="L1083" t="s">
        <v>9</v>
      </c>
      <c r="M1083" t="s">
        <v>10</v>
      </c>
    </row>
    <row r="1084" spans="1:13">
      <c r="A1084" t="s">
        <v>2109</v>
      </c>
      <c r="B1084" s="2">
        <v>46150</v>
      </c>
      <c r="C1084">
        <v>2026</v>
      </c>
      <c r="D1084">
        <v>5</v>
      </c>
      <c r="E1084" t="s">
        <v>83</v>
      </c>
      <c r="F1084" t="s">
        <v>2</v>
      </c>
      <c r="G1084" t="s">
        <v>94</v>
      </c>
      <c r="H1084" t="s">
        <v>12</v>
      </c>
      <c r="I1084" t="s">
        <v>1026</v>
      </c>
      <c r="J1084" t="s">
        <v>454</v>
      </c>
      <c r="K1084" t="s">
        <v>50</v>
      </c>
      <c r="L1084" t="s">
        <v>29</v>
      </c>
      <c r="M1084" t="s">
        <v>10</v>
      </c>
    </row>
    <row r="1085" spans="1:13">
      <c r="A1085" t="s">
        <v>2110</v>
      </c>
      <c r="B1085" s="2">
        <v>46163</v>
      </c>
      <c r="C1085">
        <v>2026</v>
      </c>
      <c r="D1085">
        <v>5</v>
      </c>
      <c r="E1085" t="s">
        <v>83</v>
      </c>
      <c r="F1085" t="s">
        <v>54</v>
      </c>
      <c r="G1085" t="s">
        <v>48</v>
      </c>
      <c r="H1085" t="s">
        <v>33</v>
      </c>
      <c r="I1085" t="s">
        <v>1023</v>
      </c>
      <c r="J1085" t="s">
        <v>1024</v>
      </c>
      <c r="K1085" t="s">
        <v>13</v>
      </c>
      <c r="L1085" t="s">
        <v>16</v>
      </c>
      <c r="M1085" t="s">
        <v>10</v>
      </c>
    </row>
    <row r="1086" spans="1:13">
      <c r="A1086" t="s">
        <v>2111</v>
      </c>
      <c r="B1086" s="2">
        <v>46168</v>
      </c>
      <c r="C1086">
        <v>2026</v>
      </c>
      <c r="D1086">
        <v>5</v>
      </c>
      <c r="E1086" t="s">
        <v>83</v>
      </c>
      <c r="F1086" t="s">
        <v>31</v>
      </c>
      <c r="G1086" t="s">
        <v>61</v>
      </c>
      <c r="H1086" t="s">
        <v>4</v>
      </c>
      <c r="I1086" t="s">
        <v>1023</v>
      </c>
      <c r="J1086" t="s">
        <v>1024</v>
      </c>
      <c r="K1086" t="s">
        <v>6</v>
      </c>
      <c r="L1086" t="s">
        <v>36</v>
      </c>
      <c r="M1086" t="s">
        <v>10</v>
      </c>
    </row>
    <row r="1087" spans="1:13">
      <c r="A1087" t="s">
        <v>2112</v>
      </c>
      <c r="B1087" s="2">
        <v>46149</v>
      </c>
      <c r="C1087">
        <v>2026</v>
      </c>
      <c r="D1087">
        <v>5</v>
      </c>
      <c r="E1087" t="s">
        <v>83</v>
      </c>
      <c r="F1087" t="s">
        <v>19</v>
      </c>
      <c r="G1087" t="s">
        <v>3</v>
      </c>
      <c r="H1087" t="s">
        <v>12</v>
      </c>
      <c r="I1087" t="s">
        <v>1023</v>
      </c>
      <c r="J1087" t="s">
        <v>1024</v>
      </c>
      <c r="K1087" t="s">
        <v>50</v>
      </c>
      <c r="L1087" t="s">
        <v>9</v>
      </c>
      <c r="M1087" t="s">
        <v>10</v>
      </c>
    </row>
    <row r="1088" spans="1:13">
      <c r="A1088" t="s">
        <v>2113</v>
      </c>
      <c r="B1088" s="2">
        <v>46158</v>
      </c>
      <c r="C1088">
        <v>2026</v>
      </c>
      <c r="D1088">
        <v>5</v>
      </c>
      <c r="E1088" t="s">
        <v>83</v>
      </c>
      <c r="F1088" t="s">
        <v>31</v>
      </c>
      <c r="G1088" t="s">
        <v>55</v>
      </c>
      <c r="H1088" t="s">
        <v>44</v>
      </c>
      <c r="I1088" t="s">
        <v>1026</v>
      </c>
      <c r="J1088" t="s">
        <v>444</v>
      </c>
      <c r="K1088" t="s">
        <v>13</v>
      </c>
      <c r="L1088" t="s">
        <v>16</v>
      </c>
      <c r="M1088" t="s">
        <v>17</v>
      </c>
    </row>
    <row r="1089" spans="1:13">
      <c r="A1089" t="s">
        <v>2114</v>
      </c>
      <c r="B1089" s="2">
        <v>46144</v>
      </c>
      <c r="C1089">
        <v>2026</v>
      </c>
      <c r="D1089">
        <v>5</v>
      </c>
      <c r="E1089" t="s">
        <v>83</v>
      </c>
      <c r="F1089" t="s">
        <v>19</v>
      </c>
      <c r="G1089" t="s">
        <v>48</v>
      </c>
      <c r="H1089" t="s">
        <v>4</v>
      </c>
      <c r="I1089" t="s">
        <v>1023</v>
      </c>
      <c r="J1089" t="s">
        <v>1024</v>
      </c>
      <c r="K1089" t="s">
        <v>13</v>
      </c>
      <c r="L1089" t="s">
        <v>16</v>
      </c>
      <c r="M1089" t="s">
        <v>10</v>
      </c>
    </row>
    <row r="1090" spans="1:13">
      <c r="A1090" t="s">
        <v>2115</v>
      </c>
      <c r="B1090" s="2">
        <v>46158</v>
      </c>
      <c r="C1090">
        <v>2026</v>
      </c>
      <c r="D1090">
        <v>5</v>
      </c>
      <c r="E1090" t="s">
        <v>83</v>
      </c>
      <c r="F1090" t="s">
        <v>38</v>
      </c>
      <c r="G1090" t="s">
        <v>69</v>
      </c>
      <c r="H1090" t="s">
        <v>44</v>
      </c>
      <c r="I1090" t="s">
        <v>1037</v>
      </c>
      <c r="J1090" t="s">
        <v>1024</v>
      </c>
      <c r="K1090" t="s">
        <v>70</v>
      </c>
      <c r="L1090" t="s">
        <v>36</v>
      </c>
      <c r="M1090" t="s">
        <v>10</v>
      </c>
    </row>
    <row r="1091" spans="1:13">
      <c r="A1091" t="s">
        <v>2116</v>
      </c>
      <c r="B1091" s="2">
        <v>46163</v>
      </c>
      <c r="C1091">
        <v>2026</v>
      </c>
      <c r="D1091">
        <v>5</v>
      </c>
      <c r="E1091" t="s">
        <v>83</v>
      </c>
      <c r="F1091" t="s">
        <v>31</v>
      </c>
      <c r="G1091" t="s">
        <v>61</v>
      </c>
      <c r="H1091" t="s">
        <v>4</v>
      </c>
      <c r="I1091" t="s">
        <v>1026</v>
      </c>
      <c r="J1091" t="s">
        <v>470</v>
      </c>
      <c r="K1091" t="s">
        <v>70</v>
      </c>
      <c r="L1091" t="s">
        <v>9</v>
      </c>
      <c r="M1091" t="s">
        <v>10</v>
      </c>
    </row>
    <row r="1092" spans="1:13">
      <c r="A1092" t="s">
        <v>2117</v>
      </c>
      <c r="B1092" s="2">
        <v>46181</v>
      </c>
      <c r="C1092">
        <v>2026</v>
      </c>
      <c r="D1092">
        <v>6</v>
      </c>
      <c r="E1092" t="s">
        <v>87</v>
      </c>
      <c r="F1092" t="s">
        <v>67</v>
      </c>
      <c r="G1092" t="s">
        <v>38</v>
      </c>
      <c r="H1092" t="s">
        <v>44</v>
      </c>
      <c r="I1092" t="s">
        <v>1029</v>
      </c>
      <c r="J1092" t="s">
        <v>473</v>
      </c>
      <c r="K1092" t="s">
        <v>50</v>
      </c>
      <c r="L1092" t="s">
        <v>29</v>
      </c>
      <c r="M1092" t="s">
        <v>10</v>
      </c>
    </row>
    <row r="1093" spans="1:13">
      <c r="A1093" t="s">
        <v>2118</v>
      </c>
      <c r="B1093" s="2">
        <v>46183</v>
      </c>
      <c r="C1093">
        <v>2026</v>
      </c>
      <c r="D1093">
        <v>6</v>
      </c>
      <c r="E1093" t="s">
        <v>87</v>
      </c>
      <c r="F1093" t="s">
        <v>47</v>
      </c>
      <c r="G1093" t="s">
        <v>55</v>
      </c>
      <c r="H1093" t="s">
        <v>33</v>
      </c>
      <c r="I1093" t="s">
        <v>1026</v>
      </c>
      <c r="J1093" t="s">
        <v>470</v>
      </c>
      <c r="K1093" t="s">
        <v>34</v>
      </c>
      <c r="L1093" t="s">
        <v>9</v>
      </c>
      <c r="M1093" t="s">
        <v>10</v>
      </c>
    </row>
    <row r="1094" spans="1:13">
      <c r="A1094" t="s">
        <v>2119</v>
      </c>
      <c r="B1094" s="2">
        <v>46181</v>
      </c>
      <c r="C1094">
        <v>2026</v>
      </c>
      <c r="D1094">
        <v>6</v>
      </c>
      <c r="E1094" t="s">
        <v>87</v>
      </c>
      <c r="F1094" t="s">
        <v>40</v>
      </c>
      <c r="G1094" t="s">
        <v>94</v>
      </c>
      <c r="H1094" t="s">
        <v>4</v>
      </c>
      <c r="I1094" t="s">
        <v>1023</v>
      </c>
      <c r="J1094" t="s">
        <v>1024</v>
      </c>
      <c r="K1094" t="s">
        <v>34</v>
      </c>
      <c r="L1094" t="s">
        <v>29</v>
      </c>
      <c r="M1094" t="s">
        <v>10</v>
      </c>
    </row>
    <row r="1095" spans="1:13">
      <c r="A1095" t="s">
        <v>2120</v>
      </c>
      <c r="B1095" s="2">
        <v>46183</v>
      </c>
      <c r="C1095">
        <v>2026</v>
      </c>
      <c r="D1095">
        <v>6</v>
      </c>
      <c r="E1095" t="s">
        <v>87</v>
      </c>
      <c r="F1095" t="s">
        <v>31</v>
      </c>
      <c r="G1095" t="s">
        <v>48</v>
      </c>
      <c r="H1095" t="s">
        <v>4</v>
      </c>
      <c r="I1095" t="s">
        <v>1026</v>
      </c>
      <c r="J1095" t="s">
        <v>457</v>
      </c>
      <c r="K1095" t="s">
        <v>13</v>
      </c>
      <c r="L1095" t="s">
        <v>9</v>
      </c>
      <c r="M1095" t="s">
        <v>10</v>
      </c>
    </row>
    <row r="1096" spans="1:13">
      <c r="A1096" t="s">
        <v>2121</v>
      </c>
      <c r="B1096" s="2">
        <v>46175</v>
      </c>
      <c r="C1096">
        <v>2026</v>
      </c>
      <c r="D1096">
        <v>6</v>
      </c>
      <c r="E1096" t="s">
        <v>87</v>
      </c>
      <c r="F1096" t="s">
        <v>40</v>
      </c>
      <c r="G1096" t="s">
        <v>64</v>
      </c>
      <c r="H1096" t="s">
        <v>12</v>
      </c>
      <c r="I1096" t="s">
        <v>1023</v>
      </c>
      <c r="J1096" t="s">
        <v>1024</v>
      </c>
      <c r="K1096" t="s">
        <v>6</v>
      </c>
      <c r="L1096" t="s">
        <v>16</v>
      </c>
      <c r="M1096" t="s">
        <v>10</v>
      </c>
    </row>
    <row r="1097" spans="1:13">
      <c r="A1097" t="s">
        <v>2122</v>
      </c>
      <c r="B1097" s="2">
        <v>46184</v>
      </c>
      <c r="C1097">
        <v>2026</v>
      </c>
      <c r="D1097">
        <v>6</v>
      </c>
      <c r="E1097" t="s">
        <v>87</v>
      </c>
      <c r="F1097" t="s">
        <v>19</v>
      </c>
      <c r="G1097" t="s">
        <v>74</v>
      </c>
      <c r="H1097" t="s">
        <v>44</v>
      </c>
      <c r="I1097" t="s">
        <v>1026</v>
      </c>
      <c r="J1097" t="s">
        <v>494</v>
      </c>
      <c r="K1097" t="s">
        <v>50</v>
      </c>
      <c r="L1097" t="s">
        <v>36</v>
      </c>
      <c r="M1097" t="s">
        <v>10</v>
      </c>
    </row>
    <row r="1098" spans="1:13">
      <c r="A1098" t="s">
        <v>2123</v>
      </c>
      <c r="B1098" s="2">
        <v>46189</v>
      </c>
      <c r="C1098">
        <v>2026</v>
      </c>
      <c r="D1098">
        <v>6</v>
      </c>
      <c r="E1098" t="s">
        <v>87</v>
      </c>
      <c r="F1098" t="s">
        <v>67</v>
      </c>
      <c r="G1098" t="s">
        <v>27</v>
      </c>
      <c r="H1098" t="s">
        <v>44</v>
      </c>
      <c r="I1098" t="s">
        <v>1023</v>
      </c>
      <c r="J1098" t="s">
        <v>1024</v>
      </c>
      <c r="K1098" t="s">
        <v>70</v>
      </c>
      <c r="L1098" t="s">
        <v>16</v>
      </c>
      <c r="M1098" t="s">
        <v>10</v>
      </c>
    </row>
    <row r="1099" spans="1:13">
      <c r="A1099" t="s">
        <v>2124</v>
      </c>
      <c r="B1099" s="2">
        <v>46179</v>
      </c>
      <c r="C1099">
        <v>2026</v>
      </c>
      <c r="D1099">
        <v>6</v>
      </c>
      <c r="E1099" t="s">
        <v>87</v>
      </c>
      <c r="F1099" t="s">
        <v>54</v>
      </c>
      <c r="G1099" t="s">
        <v>20</v>
      </c>
      <c r="H1099" t="s">
        <v>12</v>
      </c>
      <c r="I1099" t="s">
        <v>1023</v>
      </c>
      <c r="J1099" t="s">
        <v>1024</v>
      </c>
      <c r="K1099" t="s">
        <v>50</v>
      </c>
      <c r="L1099" t="s">
        <v>16</v>
      </c>
      <c r="M1099" t="s">
        <v>10</v>
      </c>
    </row>
    <row r="1100" spans="1:13">
      <c r="A1100" t="s">
        <v>2125</v>
      </c>
      <c r="B1100" s="2">
        <v>46190</v>
      </c>
      <c r="C1100">
        <v>2026</v>
      </c>
      <c r="D1100">
        <v>6</v>
      </c>
      <c r="E1100" t="s">
        <v>87</v>
      </c>
      <c r="F1100" t="s">
        <v>38</v>
      </c>
      <c r="G1100" t="s">
        <v>3</v>
      </c>
      <c r="H1100" t="s">
        <v>12</v>
      </c>
      <c r="I1100" t="s">
        <v>1029</v>
      </c>
      <c r="J1100" t="s">
        <v>438</v>
      </c>
      <c r="K1100" t="s">
        <v>50</v>
      </c>
      <c r="L1100" t="s">
        <v>36</v>
      </c>
      <c r="M1100" t="s">
        <v>10</v>
      </c>
    </row>
    <row r="1101" spans="1:13">
      <c r="A1101" t="s">
        <v>2126</v>
      </c>
      <c r="B1101" s="2">
        <v>46197</v>
      </c>
      <c r="C1101">
        <v>2026</v>
      </c>
      <c r="D1101">
        <v>6</v>
      </c>
      <c r="E1101" t="s">
        <v>87</v>
      </c>
      <c r="F1101" t="s">
        <v>26</v>
      </c>
      <c r="G1101" t="s">
        <v>27</v>
      </c>
      <c r="H1101" t="s">
        <v>4</v>
      </c>
      <c r="I1101" t="s">
        <v>1026</v>
      </c>
      <c r="J1101" t="s">
        <v>460</v>
      </c>
      <c r="K1101" t="s">
        <v>50</v>
      </c>
      <c r="L1101" t="s">
        <v>16</v>
      </c>
      <c r="M1101" t="s">
        <v>17</v>
      </c>
    </row>
    <row r="1102" spans="1:13">
      <c r="A1102" t="s">
        <v>2127</v>
      </c>
      <c r="B1102" s="2">
        <v>46178</v>
      </c>
      <c r="C1102">
        <v>2026</v>
      </c>
      <c r="D1102">
        <v>6</v>
      </c>
      <c r="E1102" t="s">
        <v>87</v>
      </c>
      <c r="F1102" t="s">
        <v>78</v>
      </c>
      <c r="G1102" t="s">
        <v>20</v>
      </c>
      <c r="H1102" t="s">
        <v>4</v>
      </c>
      <c r="I1102" t="s">
        <v>1026</v>
      </c>
      <c r="J1102" t="s">
        <v>457</v>
      </c>
      <c r="K1102" t="s">
        <v>50</v>
      </c>
      <c r="L1102" t="s">
        <v>9</v>
      </c>
      <c r="M1102" t="s">
        <v>10</v>
      </c>
    </row>
    <row r="1103" spans="1:13">
      <c r="A1103" t="s">
        <v>2128</v>
      </c>
      <c r="B1103" s="2">
        <v>46192</v>
      </c>
      <c r="C1103">
        <v>2026</v>
      </c>
      <c r="D1103">
        <v>6</v>
      </c>
      <c r="E1103" t="s">
        <v>87</v>
      </c>
      <c r="F1103" t="s">
        <v>54</v>
      </c>
      <c r="G1103" t="s">
        <v>48</v>
      </c>
      <c r="H1103" t="s">
        <v>33</v>
      </c>
      <c r="I1103" t="s">
        <v>1029</v>
      </c>
      <c r="J1103" t="s">
        <v>464</v>
      </c>
      <c r="K1103" t="s">
        <v>50</v>
      </c>
      <c r="L1103" t="s">
        <v>16</v>
      </c>
      <c r="M1103" t="s">
        <v>10</v>
      </c>
    </row>
    <row r="1104" spans="1:13">
      <c r="A1104" t="s">
        <v>2129</v>
      </c>
      <c r="B1104" s="2">
        <v>46183</v>
      </c>
      <c r="C1104">
        <v>2026</v>
      </c>
      <c r="D1104">
        <v>6</v>
      </c>
      <c r="E1104" t="s">
        <v>87</v>
      </c>
      <c r="F1104" t="s">
        <v>2</v>
      </c>
      <c r="G1104" t="s">
        <v>64</v>
      </c>
      <c r="H1104" t="s">
        <v>4</v>
      </c>
      <c r="I1104" t="s">
        <v>1029</v>
      </c>
      <c r="J1104" t="s">
        <v>462</v>
      </c>
      <c r="K1104" t="s">
        <v>50</v>
      </c>
      <c r="L1104" t="s">
        <v>29</v>
      </c>
      <c r="M1104" t="s">
        <v>17</v>
      </c>
    </row>
    <row r="1105" spans="1:13">
      <c r="A1105" t="s">
        <v>2130</v>
      </c>
      <c r="B1105" s="2">
        <v>46181</v>
      </c>
      <c r="C1105">
        <v>2026</v>
      </c>
      <c r="D1105">
        <v>6</v>
      </c>
      <c r="E1105" t="s">
        <v>87</v>
      </c>
      <c r="F1105" t="s">
        <v>26</v>
      </c>
      <c r="G1105" t="s">
        <v>27</v>
      </c>
      <c r="H1105" t="s">
        <v>44</v>
      </c>
      <c r="I1105" t="s">
        <v>1037</v>
      </c>
      <c r="J1105" t="s">
        <v>1024</v>
      </c>
      <c r="K1105" t="s">
        <v>6</v>
      </c>
      <c r="L1105" t="s">
        <v>16</v>
      </c>
      <c r="M1105" t="s">
        <v>10</v>
      </c>
    </row>
    <row r="1106" spans="1:13">
      <c r="A1106" t="s">
        <v>2131</v>
      </c>
      <c r="B1106" s="2">
        <v>46183</v>
      </c>
      <c r="C1106">
        <v>2026</v>
      </c>
      <c r="D1106">
        <v>6</v>
      </c>
      <c r="E1106" t="s">
        <v>87</v>
      </c>
      <c r="F1106" t="s">
        <v>54</v>
      </c>
      <c r="G1106" t="s">
        <v>61</v>
      </c>
      <c r="H1106" t="s">
        <v>12</v>
      </c>
      <c r="I1106" t="s">
        <v>1037</v>
      </c>
      <c r="J1106" t="s">
        <v>1024</v>
      </c>
      <c r="K1106" t="s">
        <v>70</v>
      </c>
      <c r="L1106" t="s">
        <v>9</v>
      </c>
      <c r="M1106" t="s">
        <v>10</v>
      </c>
    </row>
    <row r="1107" spans="1:13">
      <c r="A1107" t="s">
        <v>2132</v>
      </c>
      <c r="B1107" s="2">
        <v>46200</v>
      </c>
      <c r="C1107">
        <v>2026</v>
      </c>
      <c r="D1107">
        <v>6</v>
      </c>
      <c r="E1107" t="s">
        <v>87</v>
      </c>
      <c r="F1107" t="s">
        <v>54</v>
      </c>
      <c r="G1107" t="s">
        <v>55</v>
      </c>
      <c r="H1107" t="s">
        <v>33</v>
      </c>
      <c r="I1107" t="s">
        <v>1026</v>
      </c>
      <c r="J1107" t="s">
        <v>428</v>
      </c>
      <c r="K1107" t="s">
        <v>50</v>
      </c>
      <c r="L1107" t="s">
        <v>9</v>
      </c>
      <c r="M1107" t="s">
        <v>10</v>
      </c>
    </row>
    <row r="1108" spans="1:13">
      <c r="A1108" t="s">
        <v>2133</v>
      </c>
      <c r="B1108" s="2">
        <v>46193</v>
      </c>
      <c r="C1108">
        <v>2026</v>
      </c>
      <c r="D1108">
        <v>6</v>
      </c>
      <c r="E1108" t="s">
        <v>87</v>
      </c>
      <c r="F1108" t="s">
        <v>2</v>
      </c>
      <c r="G1108" t="s">
        <v>32</v>
      </c>
      <c r="H1108" t="s">
        <v>33</v>
      </c>
      <c r="I1108" t="s">
        <v>1023</v>
      </c>
      <c r="J1108" t="s">
        <v>1024</v>
      </c>
      <c r="K1108" t="s">
        <v>13</v>
      </c>
      <c r="L1108" t="s">
        <v>9</v>
      </c>
      <c r="M1108" t="s">
        <v>10</v>
      </c>
    </row>
    <row r="1109" spans="1:13">
      <c r="A1109" t="s">
        <v>2134</v>
      </c>
      <c r="B1109" s="2">
        <v>46183</v>
      </c>
      <c r="C1109">
        <v>2026</v>
      </c>
      <c r="D1109">
        <v>6</v>
      </c>
      <c r="E1109" t="s">
        <v>87</v>
      </c>
      <c r="F1109" t="s">
        <v>78</v>
      </c>
      <c r="G1109" t="s">
        <v>74</v>
      </c>
      <c r="H1109" t="s">
        <v>33</v>
      </c>
      <c r="I1109" t="s">
        <v>1023</v>
      </c>
      <c r="J1109" t="s">
        <v>1024</v>
      </c>
      <c r="K1109" t="s">
        <v>6</v>
      </c>
      <c r="L1109" t="s">
        <v>36</v>
      </c>
      <c r="M1109" t="s">
        <v>10</v>
      </c>
    </row>
    <row r="1110" spans="1:13">
      <c r="A1110" t="s">
        <v>2135</v>
      </c>
      <c r="B1110" s="2">
        <v>46185</v>
      </c>
      <c r="C1110">
        <v>2026</v>
      </c>
      <c r="D1110">
        <v>6</v>
      </c>
      <c r="E1110" t="s">
        <v>87</v>
      </c>
      <c r="F1110" t="s">
        <v>31</v>
      </c>
      <c r="G1110" t="s">
        <v>20</v>
      </c>
      <c r="H1110" t="s">
        <v>4</v>
      </c>
      <c r="I1110" t="s">
        <v>1037</v>
      </c>
      <c r="J1110" t="s">
        <v>1024</v>
      </c>
      <c r="K1110" t="s">
        <v>70</v>
      </c>
      <c r="L1110" t="s">
        <v>9</v>
      </c>
      <c r="M1110" t="s">
        <v>10</v>
      </c>
    </row>
    <row r="1111" spans="1:13">
      <c r="A1111" t="s">
        <v>2136</v>
      </c>
      <c r="B1111" s="2">
        <v>46192</v>
      </c>
      <c r="C1111">
        <v>2026</v>
      </c>
      <c r="D1111">
        <v>6</v>
      </c>
      <c r="E1111" t="s">
        <v>87</v>
      </c>
      <c r="F1111" t="s">
        <v>19</v>
      </c>
      <c r="G1111" t="s">
        <v>74</v>
      </c>
      <c r="H1111" t="s">
        <v>12</v>
      </c>
      <c r="I1111" t="s">
        <v>1026</v>
      </c>
      <c r="J1111" t="s">
        <v>466</v>
      </c>
      <c r="K1111" t="s">
        <v>6</v>
      </c>
      <c r="L1111" t="s">
        <v>9</v>
      </c>
      <c r="M1111" t="s">
        <v>10</v>
      </c>
    </row>
    <row r="1112" spans="1:13">
      <c r="A1112" t="s">
        <v>2137</v>
      </c>
      <c r="B1112" s="2">
        <v>46177</v>
      </c>
      <c r="C1112">
        <v>2026</v>
      </c>
      <c r="D1112">
        <v>6</v>
      </c>
      <c r="E1112" t="s">
        <v>87</v>
      </c>
      <c r="F1112" t="s">
        <v>38</v>
      </c>
      <c r="G1112" t="s">
        <v>20</v>
      </c>
      <c r="H1112" t="s">
        <v>4</v>
      </c>
      <c r="I1112" t="s">
        <v>1026</v>
      </c>
      <c r="J1112" t="s">
        <v>446</v>
      </c>
      <c r="K1112" t="s">
        <v>13</v>
      </c>
      <c r="L1112" t="s">
        <v>36</v>
      </c>
      <c r="M1112" t="s">
        <v>10</v>
      </c>
    </row>
    <row r="1113" spans="1:13">
      <c r="A1113" t="s">
        <v>2138</v>
      </c>
      <c r="B1113" s="2">
        <v>46188</v>
      </c>
      <c r="C1113">
        <v>2026</v>
      </c>
      <c r="D1113">
        <v>6</v>
      </c>
      <c r="E1113" t="s">
        <v>87</v>
      </c>
      <c r="F1113" t="s">
        <v>78</v>
      </c>
      <c r="G1113" t="s">
        <v>48</v>
      </c>
      <c r="H1113" t="s">
        <v>44</v>
      </c>
      <c r="I1113" t="s">
        <v>1037</v>
      </c>
      <c r="J1113" t="s">
        <v>1024</v>
      </c>
      <c r="K1113" t="s">
        <v>50</v>
      </c>
      <c r="L1113" t="s">
        <v>29</v>
      </c>
      <c r="M1113" t="s">
        <v>10</v>
      </c>
    </row>
    <row r="1114" spans="1:13">
      <c r="A1114" t="s">
        <v>2139</v>
      </c>
      <c r="B1114" s="2">
        <v>46200</v>
      </c>
      <c r="C1114">
        <v>2026</v>
      </c>
      <c r="D1114">
        <v>6</v>
      </c>
      <c r="E1114" t="s">
        <v>87</v>
      </c>
      <c r="F1114" t="s">
        <v>67</v>
      </c>
      <c r="G1114" t="s">
        <v>61</v>
      </c>
      <c r="H1114" t="s">
        <v>4</v>
      </c>
      <c r="I1114" t="s">
        <v>1026</v>
      </c>
      <c r="J1114" t="s">
        <v>454</v>
      </c>
      <c r="K1114" t="s">
        <v>13</v>
      </c>
      <c r="L1114" t="s">
        <v>16</v>
      </c>
      <c r="M1114" t="s">
        <v>10</v>
      </c>
    </row>
    <row r="1115" spans="1:13">
      <c r="A1115" t="s">
        <v>2140</v>
      </c>
      <c r="B1115" s="2">
        <v>46201</v>
      </c>
      <c r="C1115">
        <v>2026</v>
      </c>
      <c r="D1115">
        <v>6</v>
      </c>
      <c r="E1115" t="s">
        <v>87</v>
      </c>
      <c r="F1115" t="s">
        <v>54</v>
      </c>
      <c r="G1115" t="s">
        <v>3</v>
      </c>
      <c r="H1115" t="s">
        <v>12</v>
      </c>
      <c r="I1115" t="s">
        <v>1029</v>
      </c>
      <c r="J1115" t="s">
        <v>431</v>
      </c>
      <c r="K1115" t="s">
        <v>50</v>
      </c>
      <c r="L1115" t="s">
        <v>16</v>
      </c>
      <c r="M1115" t="s">
        <v>10</v>
      </c>
    </row>
    <row r="1116" spans="1:13">
      <c r="A1116" t="s">
        <v>2141</v>
      </c>
      <c r="B1116" s="2">
        <v>46186</v>
      </c>
      <c r="C1116">
        <v>2026</v>
      </c>
      <c r="D1116">
        <v>6</v>
      </c>
      <c r="E1116" t="s">
        <v>87</v>
      </c>
      <c r="F1116" t="s">
        <v>78</v>
      </c>
      <c r="G1116" t="s">
        <v>32</v>
      </c>
      <c r="H1116" t="s">
        <v>33</v>
      </c>
      <c r="I1116" t="s">
        <v>1029</v>
      </c>
      <c r="J1116" t="s">
        <v>435</v>
      </c>
      <c r="K1116" t="s">
        <v>70</v>
      </c>
      <c r="L1116" t="s">
        <v>36</v>
      </c>
      <c r="M1116" t="s">
        <v>10</v>
      </c>
    </row>
    <row r="1117" spans="1:13">
      <c r="A1117" t="s">
        <v>2142</v>
      </c>
      <c r="B1117" s="2">
        <v>46183</v>
      </c>
      <c r="C1117">
        <v>2026</v>
      </c>
      <c r="D1117">
        <v>6</v>
      </c>
      <c r="E1117" t="s">
        <v>87</v>
      </c>
      <c r="F1117" t="s">
        <v>26</v>
      </c>
      <c r="G1117" t="s">
        <v>20</v>
      </c>
      <c r="H1117" t="s">
        <v>33</v>
      </c>
      <c r="I1117" t="s">
        <v>1023</v>
      </c>
      <c r="J1117" t="s">
        <v>1024</v>
      </c>
      <c r="K1117" t="s">
        <v>13</v>
      </c>
      <c r="L1117" t="s">
        <v>16</v>
      </c>
      <c r="M1117" t="s">
        <v>10</v>
      </c>
    </row>
    <row r="1118" spans="1:13">
      <c r="A1118" t="s">
        <v>2143</v>
      </c>
      <c r="B1118" s="2">
        <v>46193</v>
      </c>
      <c r="C1118">
        <v>2026</v>
      </c>
      <c r="D1118">
        <v>6</v>
      </c>
      <c r="E1118" t="s">
        <v>87</v>
      </c>
      <c r="F1118" t="s">
        <v>40</v>
      </c>
      <c r="G1118" t="s">
        <v>32</v>
      </c>
      <c r="H1118" t="s">
        <v>12</v>
      </c>
      <c r="I1118" t="s">
        <v>1026</v>
      </c>
      <c r="J1118" t="s">
        <v>460</v>
      </c>
      <c r="K1118" t="s">
        <v>70</v>
      </c>
      <c r="L1118" t="s">
        <v>9</v>
      </c>
      <c r="M1118" t="s">
        <v>10</v>
      </c>
    </row>
    <row r="1119" spans="1:13">
      <c r="A1119" t="s">
        <v>2144</v>
      </c>
      <c r="B1119" s="2">
        <v>46193</v>
      </c>
      <c r="C1119">
        <v>2026</v>
      </c>
      <c r="D1119">
        <v>6</v>
      </c>
      <c r="E1119" t="s">
        <v>87</v>
      </c>
      <c r="F1119" t="s">
        <v>67</v>
      </c>
      <c r="G1119" t="s">
        <v>32</v>
      </c>
      <c r="H1119" t="s">
        <v>44</v>
      </c>
      <c r="I1119" t="s">
        <v>1029</v>
      </c>
      <c r="J1119" t="s">
        <v>440</v>
      </c>
      <c r="K1119" t="s">
        <v>50</v>
      </c>
      <c r="L1119" t="s">
        <v>29</v>
      </c>
      <c r="M1119" t="s">
        <v>10</v>
      </c>
    </row>
    <row r="1120" spans="1:13">
      <c r="A1120" t="s">
        <v>2145</v>
      </c>
      <c r="B1120" s="2">
        <v>46185</v>
      </c>
      <c r="C1120">
        <v>2026</v>
      </c>
      <c r="D1120">
        <v>6</v>
      </c>
      <c r="E1120" t="s">
        <v>87</v>
      </c>
      <c r="F1120" t="s">
        <v>2</v>
      </c>
      <c r="G1120" t="s">
        <v>3</v>
      </c>
      <c r="H1120" t="s">
        <v>33</v>
      </c>
      <c r="I1120" t="s">
        <v>1029</v>
      </c>
      <c r="J1120" t="s">
        <v>435</v>
      </c>
      <c r="K1120" t="s">
        <v>50</v>
      </c>
      <c r="L1120" t="s">
        <v>36</v>
      </c>
      <c r="M1120" t="s">
        <v>10</v>
      </c>
    </row>
    <row r="1121" spans="1:13">
      <c r="A1121" t="s">
        <v>2146</v>
      </c>
      <c r="B1121" s="2">
        <v>46198</v>
      </c>
      <c r="C1121">
        <v>2026</v>
      </c>
      <c r="D1121">
        <v>6</v>
      </c>
      <c r="E1121" t="s">
        <v>87</v>
      </c>
      <c r="F1121" t="s">
        <v>26</v>
      </c>
      <c r="G1121" t="s">
        <v>20</v>
      </c>
      <c r="H1121" t="s">
        <v>4</v>
      </c>
      <c r="I1121" t="s">
        <v>1029</v>
      </c>
      <c r="J1121" t="s">
        <v>435</v>
      </c>
      <c r="K1121" t="s">
        <v>13</v>
      </c>
      <c r="L1121" t="s">
        <v>29</v>
      </c>
      <c r="M1121" t="s">
        <v>10</v>
      </c>
    </row>
    <row r="1122" spans="1:13">
      <c r="A1122" t="s">
        <v>2147</v>
      </c>
      <c r="B1122" s="2">
        <v>46200</v>
      </c>
      <c r="C1122">
        <v>2026</v>
      </c>
      <c r="D1122">
        <v>6</v>
      </c>
      <c r="E1122" t="s">
        <v>87</v>
      </c>
      <c r="F1122" t="s">
        <v>26</v>
      </c>
      <c r="G1122" t="s">
        <v>74</v>
      </c>
      <c r="H1122" t="s">
        <v>12</v>
      </c>
      <c r="I1122" t="s">
        <v>1029</v>
      </c>
      <c r="J1122" t="s">
        <v>440</v>
      </c>
      <c r="K1122" t="s">
        <v>50</v>
      </c>
      <c r="L1122" t="s">
        <v>9</v>
      </c>
      <c r="M1122" t="s">
        <v>10</v>
      </c>
    </row>
    <row r="1123" spans="1:13">
      <c r="A1123" t="s">
        <v>2148</v>
      </c>
      <c r="B1123" s="2">
        <v>46187</v>
      </c>
      <c r="C1123">
        <v>2026</v>
      </c>
      <c r="D1123">
        <v>6</v>
      </c>
      <c r="E1123" t="s">
        <v>87</v>
      </c>
      <c r="F1123" t="s">
        <v>40</v>
      </c>
      <c r="G1123" t="s">
        <v>55</v>
      </c>
      <c r="H1123" t="s">
        <v>44</v>
      </c>
      <c r="I1123" t="s">
        <v>1029</v>
      </c>
      <c r="J1123" t="s">
        <v>440</v>
      </c>
      <c r="K1123" t="s">
        <v>70</v>
      </c>
      <c r="L1123" t="s">
        <v>36</v>
      </c>
      <c r="M1123" t="s">
        <v>10</v>
      </c>
    </row>
    <row r="1124" spans="1:13">
      <c r="A1124" t="s">
        <v>2149</v>
      </c>
      <c r="B1124" s="2">
        <v>46179</v>
      </c>
      <c r="C1124">
        <v>2026</v>
      </c>
      <c r="D1124">
        <v>6</v>
      </c>
      <c r="E1124" t="s">
        <v>87</v>
      </c>
      <c r="F1124" t="s">
        <v>2</v>
      </c>
      <c r="G1124" t="s">
        <v>38</v>
      </c>
      <c r="H1124" t="s">
        <v>4</v>
      </c>
      <c r="I1124" t="s">
        <v>1026</v>
      </c>
      <c r="J1124" t="s">
        <v>444</v>
      </c>
      <c r="K1124" t="s">
        <v>13</v>
      </c>
      <c r="L1124" t="s">
        <v>16</v>
      </c>
      <c r="M1124" t="s">
        <v>17</v>
      </c>
    </row>
    <row r="1125" spans="1:13">
      <c r="A1125" t="s">
        <v>2150</v>
      </c>
      <c r="B1125" s="2">
        <v>46175</v>
      </c>
      <c r="C1125">
        <v>2026</v>
      </c>
      <c r="D1125">
        <v>6</v>
      </c>
      <c r="E1125" t="s">
        <v>87</v>
      </c>
      <c r="F1125" t="s">
        <v>2</v>
      </c>
      <c r="G1125" t="s">
        <v>48</v>
      </c>
      <c r="H1125" t="s">
        <v>4</v>
      </c>
      <c r="I1125" t="s">
        <v>1029</v>
      </c>
      <c r="J1125" t="s">
        <v>473</v>
      </c>
      <c r="K1125" t="s">
        <v>70</v>
      </c>
      <c r="L1125" t="s">
        <v>9</v>
      </c>
      <c r="M1125" t="s">
        <v>10</v>
      </c>
    </row>
    <row r="1126" spans="1:13">
      <c r="A1126" t="s">
        <v>2151</v>
      </c>
      <c r="B1126" s="2">
        <v>46200</v>
      </c>
      <c r="C1126">
        <v>2026</v>
      </c>
      <c r="D1126">
        <v>6</v>
      </c>
      <c r="E1126" t="s">
        <v>87</v>
      </c>
      <c r="F1126" t="s">
        <v>19</v>
      </c>
      <c r="G1126" t="s">
        <v>32</v>
      </c>
      <c r="H1126" t="s">
        <v>33</v>
      </c>
      <c r="I1126" t="s">
        <v>1029</v>
      </c>
      <c r="J1126" t="s">
        <v>440</v>
      </c>
      <c r="K1126" t="s">
        <v>6</v>
      </c>
      <c r="L1126" t="s">
        <v>36</v>
      </c>
      <c r="M1126" t="s">
        <v>10</v>
      </c>
    </row>
    <row r="1127" spans="1:13">
      <c r="A1127" t="s">
        <v>2152</v>
      </c>
      <c r="B1127" s="2">
        <v>46189</v>
      </c>
      <c r="C1127">
        <v>2026</v>
      </c>
      <c r="D1127">
        <v>6</v>
      </c>
      <c r="E1127" t="s">
        <v>87</v>
      </c>
      <c r="F1127" t="s">
        <v>54</v>
      </c>
      <c r="G1127" t="s">
        <v>55</v>
      </c>
      <c r="H1127" t="s">
        <v>12</v>
      </c>
      <c r="I1127" t="s">
        <v>1029</v>
      </c>
      <c r="J1127" t="s">
        <v>440</v>
      </c>
      <c r="K1127" t="s">
        <v>6</v>
      </c>
      <c r="L1127" t="s">
        <v>29</v>
      </c>
      <c r="M1127" t="s">
        <v>10</v>
      </c>
    </row>
  </sheetData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</sheetPr>
  <dimension ref="A1:M230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11.7109375" customWidth="1"/>
    <col min="8" max="8" width="13.7109375" customWidth="1"/>
    <col min="9" max="11" width="11.7109375" customWidth="1"/>
  </cols>
  <sheetData>
    <row r="1" spans="1:13">
      <c r="A1" t="s">
        <v>2384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1026</v>
      </c>
      <c r="I1" t="s">
        <v>195</v>
      </c>
      <c r="J1" t="s">
        <v>193</v>
      </c>
      <c r="K1" t="s">
        <v>201</v>
      </c>
      <c r="M1" s="1" t="s">
        <v>203</v>
      </c>
    </row>
    <row r="2" spans="1:13">
      <c r="A2" t="s">
        <v>2155</v>
      </c>
      <c r="B2" s="2">
        <v>45311</v>
      </c>
      <c r="C2">
        <v>2024</v>
      </c>
      <c r="D2">
        <v>1</v>
      </c>
      <c r="E2" t="s">
        <v>1</v>
      </c>
      <c r="F2" t="s">
        <v>47</v>
      </c>
      <c r="G2" t="s">
        <v>27</v>
      </c>
      <c r="H2" t="s">
        <v>466</v>
      </c>
      <c r="I2" t="s">
        <v>34</v>
      </c>
      <c r="J2" t="s">
        <v>4</v>
      </c>
      <c r="K2" t="s">
        <v>17</v>
      </c>
    </row>
    <row r="3" spans="1:13">
      <c r="A3" t="s">
        <v>2156</v>
      </c>
      <c r="B3" s="2">
        <v>45294</v>
      </c>
      <c r="C3">
        <v>2024</v>
      </c>
      <c r="D3">
        <v>1</v>
      </c>
      <c r="E3" t="s">
        <v>1</v>
      </c>
      <c r="F3" t="s">
        <v>78</v>
      </c>
      <c r="G3" t="s">
        <v>69</v>
      </c>
      <c r="H3" t="s">
        <v>428</v>
      </c>
      <c r="I3" t="s">
        <v>34</v>
      </c>
      <c r="J3" t="s">
        <v>44</v>
      </c>
      <c r="K3" t="s">
        <v>10</v>
      </c>
    </row>
    <row r="4" spans="1:13">
      <c r="A4" t="s">
        <v>2157</v>
      </c>
      <c r="B4" s="2">
        <v>45306</v>
      </c>
      <c r="C4">
        <v>2024</v>
      </c>
      <c r="D4">
        <v>1</v>
      </c>
      <c r="E4" t="s">
        <v>1</v>
      </c>
      <c r="F4" t="s">
        <v>2</v>
      </c>
      <c r="G4" t="s">
        <v>27</v>
      </c>
      <c r="H4" t="s">
        <v>444</v>
      </c>
      <c r="I4" t="s">
        <v>6</v>
      </c>
      <c r="J4" t="s">
        <v>4</v>
      </c>
      <c r="K4" t="s">
        <v>17</v>
      </c>
    </row>
    <row r="5" spans="1:13">
      <c r="A5" t="s">
        <v>2158</v>
      </c>
      <c r="B5" s="2">
        <v>45294</v>
      </c>
      <c r="C5">
        <v>2024</v>
      </c>
      <c r="D5">
        <v>1</v>
      </c>
      <c r="E5" t="s">
        <v>1</v>
      </c>
      <c r="F5" t="s">
        <v>26</v>
      </c>
      <c r="G5" t="s">
        <v>74</v>
      </c>
      <c r="H5" t="s">
        <v>519</v>
      </c>
      <c r="I5" t="s">
        <v>70</v>
      </c>
      <c r="J5" t="s">
        <v>12</v>
      </c>
      <c r="K5" t="s">
        <v>17</v>
      </c>
    </row>
    <row r="6" spans="1:13">
      <c r="A6" t="s">
        <v>2159</v>
      </c>
      <c r="B6" s="2">
        <v>45347</v>
      </c>
      <c r="C6">
        <v>2024</v>
      </c>
      <c r="D6">
        <v>2</v>
      </c>
      <c r="E6" t="s">
        <v>25</v>
      </c>
      <c r="F6" t="s">
        <v>54</v>
      </c>
      <c r="G6" t="s">
        <v>3</v>
      </c>
      <c r="H6" t="s">
        <v>428</v>
      </c>
      <c r="I6" t="s">
        <v>70</v>
      </c>
      <c r="J6" t="s">
        <v>33</v>
      </c>
      <c r="K6" t="s">
        <v>10</v>
      </c>
    </row>
    <row r="7" spans="1:13">
      <c r="A7" t="s">
        <v>2160</v>
      </c>
      <c r="B7" s="2">
        <v>45335</v>
      </c>
      <c r="C7">
        <v>2024</v>
      </c>
      <c r="D7">
        <v>2</v>
      </c>
      <c r="E7" t="s">
        <v>25</v>
      </c>
      <c r="F7" t="s">
        <v>47</v>
      </c>
      <c r="G7" t="s">
        <v>3</v>
      </c>
      <c r="H7" t="s">
        <v>466</v>
      </c>
      <c r="I7" t="s">
        <v>70</v>
      </c>
      <c r="J7" t="s">
        <v>4</v>
      </c>
      <c r="K7" t="s">
        <v>10</v>
      </c>
    </row>
    <row r="8" spans="1:13">
      <c r="A8" t="s">
        <v>2161</v>
      </c>
      <c r="B8" s="2">
        <v>45334</v>
      </c>
      <c r="C8">
        <v>2024</v>
      </c>
      <c r="D8">
        <v>2</v>
      </c>
      <c r="E8" t="s">
        <v>25</v>
      </c>
      <c r="F8" t="s">
        <v>54</v>
      </c>
      <c r="G8" t="s">
        <v>48</v>
      </c>
      <c r="H8" t="s">
        <v>460</v>
      </c>
      <c r="I8" t="s">
        <v>50</v>
      </c>
      <c r="J8" t="s">
        <v>4</v>
      </c>
      <c r="K8" t="s">
        <v>10</v>
      </c>
    </row>
    <row r="9" spans="1:13">
      <c r="A9" t="s">
        <v>2162</v>
      </c>
      <c r="B9" s="2">
        <v>45328</v>
      </c>
      <c r="C9">
        <v>2024</v>
      </c>
      <c r="D9">
        <v>2</v>
      </c>
      <c r="E9" t="s">
        <v>25</v>
      </c>
      <c r="F9" t="s">
        <v>26</v>
      </c>
      <c r="G9" t="s">
        <v>3</v>
      </c>
      <c r="H9" t="s">
        <v>460</v>
      </c>
      <c r="I9" t="s">
        <v>50</v>
      </c>
      <c r="J9" t="s">
        <v>4</v>
      </c>
      <c r="K9" t="s">
        <v>17</v>
      </c>
    </row>
    <row r="10" spans="1:13">
      <c r="A10" t="s">
        <v>2163</v>
      </c>
      <c r="B10" s="2">
        <v>45335</v>
      </c>
      <c r="C10">
        <v>2024</v>
      </c>
      <c r="D10">
        <v>2</v>
      </c>
      <c r="E10" t="s">
        <v>25</v>
      </c>
      <c r="F10" t="s">
        <v>54</v>
      </c>
      <c r="G10" t="s">
        <v>48</v>
      </c>
      <c r="H10" t="s">
        <v>454</v>
      </c>
      <c r="I10" t="s">
        <v>50</v>
      </c>
      <c r="J10" t="s">
        <v>33</v>
      </c>
      <c r="K10" t="s">
        <v>17</v>
      </c>
    </row>
    <row r="11" spans="1:13">
      <c r="A11" t="s">
        <v>2164</v>
      </c>
      <c r="B11" s="2">
        <v>45378</v>
      </c>
      <c r="C11">
        <v>2024</v>
      </c>
      <c r="D11">
        <v>3</v>
      </c>
      <c r="E11" t="s">
        <v>60</v>
      </c>
      <c r="F11" t="s">
        <v>47</v>
      </c>
      <c r="G11" t="s">
        <v>64</v>
      </c>
      <c r="H11" t="s">
        <v>466</v>
      </c>
      <c r="I11" t="s">
        <v>70</v>
      </c>
      <c r="J11" t="s">
        <v>44</v>
      </c>
      <c r="K11" t="s">
        <v>10</v>
      </c>
    </row>
    <row r="12" spans="1:13">
      <c r="A12" t="s">
        <v>2165</v>
      </c>
      <c r="B12" s="2">
        <v>45354</v>
      </c>
      <c r="C12">
        <v>2024</v>
      </c>
      <c r="D12">
        <v>3</v>
      </c>
      <c r="E12" t="s">
        <v>60</v>
      </c>
      <c r="F12" t="s">
        <v>38</v>
      </c>
      <c r="G12" t="s">
        <v>64</v>
      </c>
      <c r="H12" t="s">
        <v>454</v>
      </c>
      <c r="I12" t="s">
        <v>13</v>
      </c>
      <c r="J12" t="s">
        <v>33</v>
      </c>
      <c r="K12" t="s">
        <v>10</v>
      </c>
    </row>
    <row r="13" spans="1:13">
      <c r="A13" t="s">
        <v>2166</v>
      </c>
      <c r="B13" s="2">
        <v>45355</v>
      </c>
      <c r="C13">
        <v>2024</v>
      </c>
      <c r="D13">
        <v>3</v>
      </c>
      <c r="E13" t="s">
        <v>60</v>
      </c>
      <c r="F13" t="s">
        <v>47</v>
      </c>
      <c r="G13" t="s">
        <v>48</v>
      </c>
      <c r="H13" t="s">
        <v>494</v>
      </c>
      <c r="I13" t="s">
        <v>50</v>
      </c>
      <c r="J13" t="s">
        <v>4</v>
      </c>
      <c r="K13" t="s">
        <v>10</v>
      </c>
    </row>
    <row r="14" spans="1:13">
      <c r="A14" t="s">
        <v>2167</v>
      </c>
      <c r="B14" s="2">
        <v>45354</v>
      </c>
      <c r="C14">
        <v>2024</v>
      </c>
      <c r="D14">
        <v>3</v>
      </c>
      <c r="E14" t="s">
        <v>60</v>
      </c>
      <c r="F14" t="s">
        <v>2</v>
      </c>
      <c r="G14" t="s">
        <v>69</v>
      </c>
      <c r="H14" t="s">
        <v>444</v>
      </c>
      <c r="I14" t="s">
        <v>6</v>
      </c>
      <c r="J14" t="s">
        <v>33</v>
      </c>
      <c r="K14" t="s">
        <v>17</v>
      </c>
    </row>
    <row r="15" spans="1:13">
      <c r="A15" t="s">
        <v>2168</v>
      </c>
      <c r="B15" s="2">
        <v>45368</v>
      </c>
      <c r="C15">
        <v>2024</v>
      </c>
      <c r="D15">
        <v>3</v>
      </c>
      <c r="E15" t="s">
        <v>60</v>
      </c>
      <c r="F15" t="s">
        <v>19</v>
      </c>
      <c r="G15" t="s">
        <v>3</v>
      </c>
      <c r="H15" t="s">
        <v>494</v>
      </c>
      <c r="I15" t="s">
        <v>70</v>
      </c>
      <c r="J15" t="s">
        <v>4</v>
      </c>
      <c r="K15" t="s">
        <v>10</v>
      </c>
    </row>
    <row r="16" spans="1:13">
      <c r="A16" t="s">
        <v>2169</v>
      </c>
      <c r="B16" s="2">
        <v>45367</v>
      </c>
      <c r="C16">
        <v>2024</v>
      </c>
      <c r="D16">
        <v>3</v>
      </c>
      <c r="E16" t="s">
        <v>60</v>
      </c>
      <c r="F16" t="s">
        <v>38</v>
      </c>
      <c r="G16" t="s">
        <v>32</v>
      </c>
      <c r="H16" t="s">
        <v>457</v>
      </c>
      <c r="I16" t="s">
        <v>50</v>
      </c>
      <c r="J16" t="s">
        <v>12</v>
      </c>
      <c r="K16" t="s">
        <v>10</v>
      </c>
    </row>
    <row r="17" spans="1:11">
      <c r="A17" t="s">
        <v>2170</v>
      </c>
      <c r="B17" s="2">
        <v>45409</v>
      </c>
      <c r="C17">
        <v>2024</v>
      </c>
      <c r="D17">
        <v>4</v>
      </c>
      <c r="E17" t="s">
        <v>73</v>
      </c>
      <c r="F17" t="s">
        <v>19</v>
      </c>
      <c r="G17" t="s">
        <v>20</v>
      </c>
      <c r="H17" t="s">
        <v>457</v>
      </c>
      <c r="I17" t="s">
        <v>50</v>
      </c>
      <c r="J17" t="s">
        <v>33</v>
      </c>
      <c r="K17" t="s">
        <v>10</v>
      </c>
    </row>
    <row r="18" spans="1:11">
      <c r="A18" t="s">
        <v>2171</v>
      </c>
      <c r="B18" s="2">
        <v>45392</v>
      </c>
      <c r="C18">
        <v>2024</v>
      </c>
      <c r="D18">
        <v>4</v>
      </c>
      <c r="E18" t="s">
        <v>73</v>
      </c>
      <c r="F18" t="s">
        <v>38</v>
      </c>
      <c r="G18" t="s">
        <v>27</v>
      </c>
      <c r="H18" t="s">
        <v>460</v>
      </c>
      <c r="I18" t="s">
        <v>13</v>
      </c>
      <c r="J18" t="s">
        <v>44</v>
      </c>
      <c r="K18" t="s">
        <v>10</v>
      </c>
    </row>
    <row r="19" spans="1:11">
      <c r="A19" t="s">
        <v>2172</v>
      </c>
      <c r="B19" s="2">
        <v>45408</v>
      </c>
      <c r="C19">
        <v>2024</v>
      </c>
      <c r="D19">
        <v>4</v>
      </c>
      <c r="E19" t="s">
        <v>73</v>
      </c>
      <c r="F19" t="s">
        <v>78</v>
      </c>
      <c r="G19" t="s">
        <v>20</v>
      </c>
      <c r="H19" t="s">
        <v>470</v>
      </c>
      <c r="I19" t="s">
        <v>50</v>
      </c>
      <c r="J19" t="s">
        <v>12</v>
      </c>
      <c r="K19" t="s">
        <v>10</v>
      </c>
    </row>
    <row r="20" spans="1:11">
      <c r="A20" t="s">
        <v>2173</v>
      </c>
      <c r="B20" s="2">
        <v>45398</v>
      </c>
      <c r="C20">
        <v>2024</v>
      </c>
      <c r="D20">
        <v>4</v>
      </c>
      <c r="E20" t="s">
        <v>73</v>
      </c>
      <c r="F20" t="s">
        <v>67</v>
      </c>
      <c r="G20" t="s">
        <v>61</v>
      </c>
      <c r="H20" t="s">
        <v>494</v>
      </c>
      <c r="I20" t="s">
        <v>50</v>
      </c>
      <c r="J20" t="s">
        <v>33</v>
      </c>
      <c r="K20" t="s">
        <v>17</v>
      </c>
    </row>
    <row r="21" spans="1:11">
      <c r="A21" t="s">
        <v>2174</v>
      </c>
      <c r="B21" s="2">
        <v>45383</v>
      </c>
      <c r="C21">
        <v>2024</v>
      </c>
      <c r="D21">
        <v>4</v>
      </c>
      <c r="E21" t="s">
        <v>73</v>
      </c>
      <c r="F21" t="s">
        <v>2</v>
      </c>
      <c r="G21" t="s">
        <v>64</v>
      </c>
      <c r="H21" t="s">
        <v>494</v>
      </c>
      <c r="I21" t="s">
        <v>50</v>
      </c>
      <c r="J21" t="s">
        <v>4</v>
      </c>
      <c r="K21" t="s">
        <v>10</v>
      </c>
    </row>
    <row r="22" spans="1:11">
      <c r="A22" t="s">
        <v>2175</v>
      </c>
      <c r="B22" s="2">
        <v>45421</v>
      </c>
      <c r="C22">
        <v>2024</v>
      </c>
      <c r="D22">
        <v>5</v>
      </c>
      <c r="E22" t="s">
        <v>83</v>
      </c>
      <c r="F22" t="s">
        <v>78</v>
      </c>
      <c r="G22" t="s">
        <v>20</v>
      </c>
      <c r="H22" t="s">
        <v>457</v>
      </c>
      <c r="I22" t="s">
        <v>6</v>
      </c>
      <c r="J22" t="s">
        <v>44</v>
      </c>
      <c r="K22" t="s">
        <v>10</v>
      </c>
    </row>
    <row r="23" spans="1:11">
      <c r="A23" t="s">
        <v>2176</v>
      </c>
      <c r="B23" s="2">
        <v>45439</v>
      </c>
      <c r="C23">
        <v>2024</v>
      </c>
      <c r="D23">
        <v>5</v>
      </c>
      <c r="E23" t="s">
        <v>83</v>
      </c>
      <c r="F23" t="s">
        <v>2</v>
      </c>
      <c r="G23" t="s">
        <v>94</v>
      </c>
      <c r="H23" t="s">
        <v>519</v>
      </c>
      <c r="I23" t="s">
        <v>70</v>
      </c>
      <c r="J23" t="s">
        <v>44</v>
      </c>
      <c r="K23" t="s">
        <v>10</v>
      </c>
    </row>
    <row r="24" spans="1:11">
      <c r="A24" t="s">
        <v>2177</v>
      </c>
      <c r="B24" s="2">
        <v>45422</v>
      </c>
      <c r="C24">
        <v>2024</v>
      </c>
      <c r="D24">
        <v>5</v>
      </c>
      <c r="E24" t="s">
        <v>83</v>
      </c>
      <c r="F24" t="s">
        <v>47</v>
      </c>
      <c r="G24" t="s">
        <v>20</v>
      </c>
      <c r="H24" t="s">
        <v>457</v>
      </c>
      <c r="I24" t="s">
        <v>13</v>
      </c>
      <c r="J24" t="s">
        <v>4</v>
      </c>
      <c r="K24" t="s">
        <v>10</v>
      </c>
    </row>
    <row r="25" spans="1:11">
      <c r="A25" t="s">
        <v>2178</v>
      </c>
      <c r="B25" s="2">
        <v>45430</v>
      </c>
      <c r="C25">
        <v>2024</v>
      </c>
      <c r="D25">
        <v>5</v>
      </c>
      <c r="E25" t="s">
        <v>83</v>
      </c>
      <c r="F25" t="s">
        <v>47</v>
      </c>
      <c r="G25" t="s">
        <v>94</v>
      </c>
      <c r="H25" t="s">
        <v>428</v>
      </c>
      <c r="I25" t="s">
        <v>6</v>
      </c>
      <c r="J25" t="s">
        <v>12</v>
      </c>
      <c r="K25" t="s">
        <v>10</v>
      </c>
    </row>
    <row r="26" spans="1:11">
      <c r="A26" t="s">
        <v>2179</v>
      </c>
      <c r="B26" s="2">
        <v>45444</v>
      </c>
      <c r="C26">
        <v>2024</v>
      </c>
      <c r="D26">
        <v>6</v>
      </c>
      <c r="E26" t="s">
        <v>87</v>
      </c>
      <c r="F26" t="s">
        <v>26</v>
      </c>
      <c r="G26" t="s">
        <v>94</v>
      </c>
      <c r="H26" t="s">
        <v>460</v>
      </c>
      <c r="I26" t="s">
        <v>6</v>
      </c>
      <c r="J26" t="s">
        <v>44</v>
      </c>
      <c r="K26" t="s">
        <v>10</v>
      </c>
    </row>
    <row r="27" spans="1:11">
      <c r="A27" t="s">
        <v>2180</v>
      </c>
      <c r="B27" s="2">
        <v>45456</v>
      </c>
      <c r="C27">
        <v>2024</v>
      </c>
      <c r="D27">
        <v>6</v>
      </c>
      <c r="E27" t="s">
        <v>87</v>
      </c>
      <c r="F27" t="s">
        <v>26</v>
      </c>
      <c r="G27" t="s">
        <v>3</v>
      </c>
      <c r="H27" t="s">
        <v>457</v>
      </c>
      <c r="I27" t="s">
        <v>70</v>
      </c>
      <c r="J27" t="s">
        <v>12</v>
      </c>
      <c r="K27" t="s">
        <v>10</v>
      </c>
    </row>
    <row r="28" spans="1:11">
      <c r="A28" t="s">
        <v>2181</v>
      </c>
      <c r="B28" s="2">
        <v>45466</v>
      </c>
      <c r="C28">
        <v>2024</v>
      </c>
      <c r="D28">
        <v>6</v>
      </c>
      <c r="E28" t="s">
        <v>87</v>
      </c>
      <c r="F28" t="s">
        <v>78</v>
      </c>
      <c r="G28" t="s">
        <v>48</v>
      </c>
      <c r="H28" t="s">
        <v>428</v>
      </c>
      <c r="I28" t="s">
        <v>50</v>
      </c>
      <c r="J28" t="s">
        <v>44</v>
      </c>
      <c r="K28" t="s">
        <v>17</v>
      </c>
    </row>
    <row r="29" spans="1:11">
      <c r="A29" t="s">
        <v>2182</v>
      </c>
      <c r="B29" s="2">
        <v>45449</v>
      </c>
      <c r="C29">
        <v>2024</v>
      </c>
      <c r="D29">
        <v>6</v>
      </c>
      <c r="E29" t="s">
        <v>87</v>
      </c>
      <c r="F29" t="s">
        <v>31</v>
      </c>
      <c r="G29" t="s">
        <v>69</v>
      </c>
      <c r="H29" t="s">
        <v>457</v>
      </c>
      <c r="I29" t="s">
        <v>6</v>
      </c>
      <c r="J29" t="s">
        <v>33</v>
      </c>
      <c r="K29" t="s">
        <v>10</v>
      </c>
    </row>
    <row r="30" spans="1:11">
      <c r="A30" t="s">
        <v>2183</v>
      </c>
      <c r="B30" s="2">
        <v>45453</v>
      </c>
      <c r="C30">
        <v>2024</v>
      </c>
      <c r="D30">
        <v>6</v>
      </c>
      <c r="E30" t="s">
        <v>87</v>
      </c>
      <c r="F30" t="s">
        <v>54</v>
      </c>
      <c r="G30" t="s">
        <v>61</v>
      </c>
      <c r="H30" t="s">
        <v>454</v>
      </c>
      <c r="I30" t="s">
        <v>50</v>
      </c>
      <c r="J30" t="s">
        <v>12</v>
      </c>
      <c r="K30" t="s">
        <v>10</v>
      </c>
    </row>
    <row r="31" spans="1:11">
      <c r="A31" t="s">
        <v>2184</v>
      </c>
      <c r="B31" s="2">
        <v>45448</v>
      </c>
      <c r="C31">
        <v>2024</v>
      </c>
      <c r="D31">
        <v>6</v>
      </c>
      <c r="E31" t="s">
        <v>87</v>
      </c>
      <c r="F31" t="s">
        <v>78</v>
      </c>
      <c r="G31" t="s">
        <v>69</v>
      </c>
      <c r="H31" t="s">
        <v>457</v>
      </c>
      <c r="I31" t="s">
        <v>34</v>
      </c>
      <c r="J31" t="s">
        <v>44</v>
      </c>
      <c r="K31" t="s">
        <v>10</v>
      </c>
    </row>
    <row r="32" spans="1:11">
      <c r="A32" t="s">
        <v>2185</v>
      </c>
      <c r="B32" s="2">
        <v>45460</v>
      </c>
      <c r="C32">
        <v>2024</v>
      </c>
      <c r="D32">
        <v>6</v>
      </c>
      <c r="E32" t="s">
        <v>87</v>
      </c>
      <c r="F32" t="s">
        <v>38</v>
      </c>
      <c r="G32" t="s">
        <v>94</v>
      </c>
      <c r="H32" t="s">
        <v>494</v>
      </c>
      <c r="I32" t="s">
        <v>50</v>
      </c>
      <c r="J32" t="s">
        <v>44</v>
      </c>
      <c r="K32" t="s">
        <v>10</v>
      </c>
    </row>
    <row r="33" spans="1:11">
      <c r="A33" t="s">
        <v>2186</v>
      </c>
      <c r="B33" s="2">
        <v>45463</v>
      </c>
      <c r="C33">
        <v>2024</v>
      </c>
      <c r="D33">
        <v>6</v>
      </c>
      <c r="E33" t="s">
        <v>87</v>
      </c>
      <c r="F33" t="s">
        <v>19</v>
      </c>
      <c r="G33" t="s">
        <v>48</v>
      </c>
      <c r="H33" t="s">
        <v>519</v>
      </c>
      <c r="I33" t="s">
        <v>50</v>
      </c>
      <c r="J33" t="s">
        <v>33</v>
      </c>
      <c r="K33" t="s">
        <v>10</v>
      </c>
    </row>
    <row r="34" spans="1:11">
      <c r="A34" t="s">
        <v>2187</v>
      </c>
      <c r="B34" s="2">
        <v>45445</v>
      </c>
      <c r="C34">
        <v>2024</v>
      </c>
      <c r="D34">
        <v>6</v>
      </c>
      <c r="E34" t="s">
        <v>87</v>
      </c>
      <c r="F34" t="s">
        <v>78</v>
      </c>
      <c r="G34" t="s">
        <v>64</v>
      </c>
      <c r="H34" t="s">
        <v>466</v>
      </c>
      <c r="I34" t="s">
        <v>34</v>
      </c>
      <c r="J34" t="s">
        <v>4</v>
      </c>
      <c r="K34" t="s">
        <v>10</v>
      </c>
    </row>
    <row r="35" spans="1:11">
      <c r="A35" t="s">
        <v>2188</v>
      </c>
      <c r="B35" s="2">
        <v>45451</v>
      </c>
      <c r="C35">
        <v>2024</v>
      </c>
      <c r="D35">
        <v>6</v>
      </c>
      <c r="E35" t="s">
        <v>87</v>
      </c>
      <c r="F35" t="s">
        <v>38</v>
      </c>
      <c r="G35" t="s">
        <v>74</v>
      </c>
      <c r="H35" t="s">
        <v>428</v>
      </c>
      <c r="I35" t="s">
        <v>34</v>
      </c>
      <c r="J35" t="s">
        <v>33</v>
      </c>
      <c r="K35" t="s">
        <v>17</v>
      </c>
    </row>
    <row r="36" spans="1:11">
      <c r="A36" t="s">
        <v>2189</v>
      </c>
      <c r="B36" s="2">
        <v>45470</v>
      </c>
      <c r="C36">
        <v>2024</v>
      </c>
      <c r="D36">
        <v>6</v>
      </c>
      <c r="E36" t="s">
        <v>87</v>
      </c>
      <c r="F36" t="s">
        <v>31</v>
      </c>
      <c r="G36" t="s">
        <v>61</v>
      </c>
      <c r="H36" t="s">
        <v>446</v>
      </c>
      <c r="I36" t="s">
        <v>50</v>
      </c>
      <c r="J36" t="s">
        <v>4</v>
      </c>
      <c r="K36" t="s">
        <v>10</v>
      </c>
    </row>
    <row r="37" spans="1:11">
      <c r="A37" t="s">
        <v>2190</v>
      </c>
      <c r="B37" s="2">
        <v>45466</v>
      </c>
      <c r="C37">
        <v>2024</v>
      </c>
      <c r="D37">
        <v>6</v>
      </c>
      <c r="E37" t="s">
        <v>87</v>
      </c>
      <c r="F37" t="s">
        <v>2</v>
      </c>
      <c r="G37" t="s">
        <v>55</v>
      </c>
      <c r="H37" t="s">
        <v>446</v>
      </c>
      <c r="I37" t="s">
        <v>13</v>
      </c>
      <c r="J37" t="s">
        <v>12</v>
      </c>
      <c r="K37" t="s">
        <v>10</v>
      </c>
    </row>
    <row r="38" spans="1:11">
      <c r="A38" t="s">
        <v>2191</v>
      </c>
      <c r="B38" s="2">
        <v>45489</v>
      </c>
      <c r="C38">
        <v>2024</v>
      </c>
      <c r="D38">
        <v>7</v>
      </c>
      <c r="E38" t="s">
        <v>93</v>
      </c>
      <c r="F38" t="s">
        <v>54</v>
      </c>
      <c r="G38" t="s">
        <v>69</v>
      </c>
      <c r="H38" t="s">
        <v>460</v>
      </c>
      <c r="I38" t="s">
        <v>34</v>
      </c>
      <c r="J38" t="s">
        <v>44</v>
      </c>
      <c r="K38" t="s">
        <v>17</v>
      </c>
    </row>
    <row r="39" spans="1:11">
      <c r="A39" t="s">
        <v>2192</v>
      </c>
      <c r="B39" s="2">
        <v>45488</v>
      </c>
      <c r="C39">
        <v>2024</v>
      </c>
      <c r="D39">
        <v>7</v>
      </c>
      <c r="E39" t="s">
        <v>93</v>
      </c>
      <c r="F39" t="s">
        <v>31</v>
      </c>
      <c r="G39" t="s">
        <v>48</v>
      </c>
      <c r="H39" t="s">
        <v>446</v>
      </c>
      <c r="I39" t="s">
        <v>13</v>
      </c>
      <c r="J39" t="s">
        <v>4</v>
      </c>
      <c r="K39" t="s">
        <v>10</v>
      </c>
    </row>
    <row r="40" spans="1:11">
      <c r="A40" t="s">
        <v>2193</v>
      </c>
      <c r="B40" s="2">
        <v>45487</v>
      </c>
      <c r="C40">
        <v>2024</v>
      </c>
      <c r="D40">
        <v>7</v>
      </c>
      <c r="E40" t="s">
        <v>93</v>
      </c>
      <c r="F40" t="s">
        <v>31</v>
      </c>
      <c r="G40" t="s">
        <v>20</v>
      </c>
      <c r="H40" t="s">
        <v>494</v>
      </c>
      <c r="I40" t="s">
        <v>50</v>
      </c>
      <c r="J40" t="s">
        <v>4</v>
      </c>
      <c r="K40" t="s">
        <v>10</v>
      </c>
    </row>
    <row r="41" spans="1:11">
      <c r="A41" t="s">
        <v>2194</v>
      </c>
      <c r="B41" s="2">
        <v>45498</v>
      </c>
      <c r="C41">
        <v>2024</v>
      </c>
      <c r="D41">
        <v>7</v>
      </c>
      <c r="E41" t="s">
        <v>93</v>
      </c>
      <c r="F41" t="s">
        <v>19</v>
      </c>
      <c r="G41" t="s">
        <v>27</v>
      </c>
      <c r="H41" t="s">
        <v>454</v>
      </c>
      <c r="I41" t="s">
        <v>50</v>
      </c>
      <c r="J41" t="s">
        <v>12</v>
      </c>
      <c r="K41" t="s">
        <v>10</v>
      </c>
    </row>
    <row r="42" spans="1:11">
      <c r="A42" t="s">
        <v>2195</v>
      </c>
      <c r="B42" s="2">
        <v>45499</v>
      </c>
      <c r="C42">
        <v>2024</v>
      </c>
      <c r="D42">
        <v>7</v>
      </c>
      <c r="E42" t="s">
        <v>93</v>
      </c>
      <c r="F42" t="s">
        <v>31</v>
      </c>
      <c r="G42" t="s">
        <v>55</v>
      </c>
      <c r="H42" t="s">
        <v>446</v>
      </c>
      <c r="I42" t="s">
        <v>70</v>
      </c>
      <c r="J42" t="s">
        <v>12</v>
      </c>
      <c r="K42" t="s">
        <v>10</v>
      </c>
    </row>
    <row r="43" spans="1:11">
      <c r="A43" t="s">
        <v>2196</v>
      </c>
      <c r="B43" s="2">
        <v>45481</v>
      </c>
      <c r="C43">
        <v>2024</v>
      </c>
      <c r="D43">
        <v>7</v>
      </c>
      <c r="E43" t="s">
        <v>93</v>
      </c>
      <c r="F43" t="s">
        <v>31</v>
      </c>
      <c r="G43" t="s">
        <v>38</v>
      </c>
      <c r="H43" t="s">
        <v>446</v>
      </c>
      <c r="I43" t="s">
        <v>50</v>
      </c>
      <c r="J43" t="s">
        <v>44</v>
      </c>
      <c r="K43" t="s">
        <v>17</v>
      </c>
    </row>
    <row r="44" spans="1:11">
      <c r="A44" t="s">
        <v>2197</v>
      </c>
      <c r="B44" s="2">
        <v>45498</v>
      </c>
      <c r="C44">
        <v>2024</v>
      </c>
      <c r="D44">
        <v>7</v>
      </c>
      <c r="E44" t="s">
        <v>93</v>
      </c>
      <c r="F44" t="s">
        <v>19</v>
      </c>
      <c r="G44" t="s">
        <v>20</v>
      </c>
      <c r="H44" t="s">
        <v>470</v>
      </c>
      <c r="I44" t="s">
        <v>34</v>
      </c>
      <c r="J44" t="s">
        <v>44</v>
      </c>
      <c r="K44" t="s">
        <v>10</v>
      </c>
    </row>
    <row r="45" spans="1:11">
      <c r="A45" t="s">
        <v>2198</v>
      </c>
      <c r="B45" s="2">
        <v>45484</v>
      </c>
      <c r="C45">
        <v>2024</v>
      </c>
      <c r="D45">
        <v>7</v>
      </c>
      <c r="E45" t="s">
        <v>93</v>
      </c>
      <c r="F45" t="s">
        <v>38</v>
      </c>
      <c r="G45" t="s">
        <v>61</v>
      </c>
      <c r="H45" t="s">
        <v>519</v>
      </c>
      <c r="I45" t="s">
        <v>50</v>
      </c>
      <c r="J45" t="s">
        <v>44</v>
      </c>
      <c r="K45" t="s">
        <v>10</v>
      </c>
    </row>
    <row r="46" spans="1:11">
      <c r="A46" t="s">
        <v>2199</v>
      </c>
      <c r="B46" s="2">
        <v>45505</v>
      </c>
      <c r="C46">
        <v>2024</v>
      </c>
      <c r="D46">
        <v>8</v>
      </c>
      <c r="E46" t="s">
        <v>101</v>
      </c>
      <c r="F46" t="s">
        <v>19</v>
      </c>
      <c r="G46" t="s">
        <v>64</v>
      </c>
      <c r="H46" t="s">
        <v>466</v>
      </c>
      <c r="I46" t="s">
        <v>34</v>
      </c>
      <c r="J46" t="s">
        <v>33</v>
      </c>
      <c r="K46" t="s">
        <v>10</v>
      </c>
    </row>
    <row r="47" spans="1:11">
      <c r="A47" t="s">
        <v>2200</v>
      </c>
      <c r="B47" s="2">
        <v>45505</v>
      </c>
      <c r="C47">
        <v>2024</v>
      </c>
      <c r="D47">
        <v>8</v>
      </c>
      <c r="E47" t="s">
        <v>101</v>
      </c>
      <c r="F47" t="s">
        <v>40</v>
      </c>
      <c r="G47" t="s">
        <v>55</v>
      </c>
      <c r="H47" t="s">
        <v>454</v>
      </c>
      <c r="I47" t="s">
        <v>34</v>
      </c>
      <c r="J47" t="s">
        <v>4</v>
      </c>
      <c r="K47" t="s">
        <v>17</v>
      </c>
    </row>
    <row r="48" spans="1:11">
      <c r="A48" t="s">
        <v>2201</v>
      </c>
      <c r="B48" s="2">
        <v>45519</v>
      </c>
      <c r="C48">
        <v>2024</v>
      </c>
      <c r="D48">
        <v>8</v>
      </c>
      <c r="E48" t="s">
        <v>101</v>
      </c>
      <c r="F48" t="s">
        <v>54</v>
      </c>
      <c r="G48" t="s">
        <v>55</v>
      </c>
      <c r="H48" t="s">
        <v>519</v>
      </c>
      <c r="I48" t="s">
        <v>6</v>
      </c>
      <c r="J48" t="s">
        <v>12</v>
      </c>
      <c r="K48" t="s">
        <v>17</v>
      </c>
    </row>
    <row r="49" spans="1:11">
      <c r="A49" t="s">
        <v>2202</v>
      </c>
      <c r="B49" s="2">
        <v>45516</v>
      </c>
      <c r="C49">
        <v>2024</v>
      </c>
      <c r="D49">
        <v>8</v>
      </c>
      <c r="E49" t="s">
        <v>101</v>
      </c>
      <c r="F49" t="s">
        <v>47</v>
      </c>
      <c r="G49" t="s">
        <v>20</v>
      </c>
      <c r="H49" t="s">
        <v>470</v>
      </c>
      <c r="I49" t="s">
        <v>13</v>
      </c>
      <c r="J49" t="s">
        <v>33</v>
      </c>
      <c r="K49" t="s">
        <v>10</v>
      </c>
    </row>
    <row r="50" spans="1:11">
      <c r="A50" t="s">
        <v>2203</v>
      </c>
      <c r="B50" s="2">
        <v>45548</v>
      </c>
      <c r="C50">
        <v>2024</v>
      </c>
      <c r="D50">
        <v>9</v>
      </c>
      <c r="E50" t="s">
        <v>105</v>
      </c>
      <c r="F50" t="s">
        <v>47</v>
      </c>
      <c r="G50" t="s">
        <v>38</v>
      </c>
      <c r="H50" t="s">
        <v>494</v>
      </c>
      <c r="I50" t="s">
        <v>50</v>
      </c>
      <c r="J50" t="s">
        <v>4</v>
      </c>
      <c r="K50" t="s">
        <v>10</v>
      </c>
    </row>
    <row r="51" spans="1:11">
      <c r="A51" t="s">
        <v>2204</v>
      </c>
      <c r="B51" s="2">
        <v>45550</v>
      </c>
      <c r="C51">
        <v>2024</v>
      </c>
      <c r="D51">
        <v>9</v>
      </c>
      <c r="E51" t="s">
        <v>105</v>
      </c>
      <c r="F51" t="s">
        <v>40</v>
      </c>
      <c r="G51" t="s">
        <v>55</v>
      </c>
      <c r="H51" t="s">
        <v>454</v>
      </c>
      <c r="I51" t="s">
        <v>13</v>
      </c>
      <c r="J51" t="s">
        <v>4</v>
      </c>
      <c r="K51" t="s">
        <v>10</v>
      </c>
    </row>
    <row r="52" spans="1:11">
      <c r="A52" t="s">
        <v>2205</v>
      </c>
      <c r="B52" s="2">
        <v>45550</v>
      </c>
      <c r="C52">
        <v>2024</v>
      </c>
      <c r="D52">
        <v>9</v>
      </c>
      <c r="E52" t="s">
        <v>105</v>
      </c>
      <c r="F52" t="s">
        <v>26</v>
      </c>
      <c r="G52" t="s">
        <v>55</v>
      </c>
      <c r="H52" t="s">
        <v>519</v>
      </c>
      <c r="I52" t="s">
        <v>50</v>
      </c>
      <c r="J52" t="s">
        <v>12</v>
      </c>
      <c r="K52" t="s">
        <v>10</v>
      </c>
    </row>
    <row r="53" spans="1:11">
      <c r="A53" t="s">
        <v>2206</v>
      </c>
      <c r="B53" s="2">
        <v>45541</v>
      </c>
      <c r="C53">
        <v>2024</v>
      </c>
      <c r="D53">
        <v>9</v>
      </c>
      <c r="E53" t="s">
        <v>105</v>
      </c>
      <c r="F53" t="s">
        <v>2</v>
      </c>
      <c r="G53" t="s">
        <v>94</v>
      </c>
      <c r="H53" t="s">
        <v>519</v>
      </c>
      <c r="I53" t="s">
        <v>13</v>
      </c>
      <c r="J53" t="s">
        <v>4</v>
      </c>
      <c r="K53" t="s">
        <v>10</v>
      </c>
    </row>
    <row r="54" spans="1:11">
      <c r="A54" t="s">
        <v>2207</v>
      </c>
      <c r="B54" s="2">
        <v>45553</v>
      </c>
      <c r="C54">
        <v>2024</v>
      </c>
      <c r="D54">
        <v>9</v>
      </c>
      <c r="E54" t="s">
        <v>105</v>
      </c>
      <c r="F54" t="s">
        <v>38</v>
      </c>
      <c r="G54" t="s">
        <v>69</v>
      </c>
      <c r="H54" t="s">
        <v>446</v>
      </c>
      <c r="I54" t="s">
        <v>13</v>
      </c>
      <c r="J54" t="s">
        <v>44</v>
      </c>
      <c r="K54" t="s">
        <v>17</v>
      </c>
    </row>
    <row r="55" spans="1:11">
      <c r="A55" t="s">
        <v>2208</v>
      </c>
      <c r="B55" s="2">
        <v>45551</v>
      </c>
      <c r="C55">
        <v>2024</v>
      </c>
      <c r="D55">
        <v>9</v>
      </c>
      <c r="E55" t="s">
        <v>105</v>
      </c>
      <c r="F55" t="s">
        <v>2</v>
      </c>
      <c r="G55" t="s">
        <v>32</v>
      </c>
      <c r="H55" t="s">
        <v>454</v>
      </c>
      <c r="I55" t="s">
        <v>70</v>
      </c>
      <c r="J55" t="s">
        <v>44</v>
      </c>
      <c r="K55" t="s">
        <v>17</v>
      </c>
    </row>
    <row r="56" spans="1:11">
      <c r="A56" t="s">
        <v>2209</v>
      </c>
      <c r="B56" s="2">
        <v>45541</v>
      </c>
      <c r="C56">
        <v>2024</v>
      </c>
      <c r="D56">
        <v>9</v>
      </c>
      <c r="E56" t="s">
        <v>105</v>
      </c>
      <c r="F56" t="s">
        <v>31</v>
      </c>
      <c r="G56" t="s">
        <v>38</v>
      </c>
      <c r="H56" t="s">
        <v>454</v>
      </c>
      <c r="I56" t="s">
        <v>6</v>
      </c>
      <c r="J56" t="s">
        <v>12</v>
      </c>
      <c r="K56" t="s">
        <v>17</v>
      </c>
    </row>
    <row r="57" spans="1:11">
      <c r="A57" t="s">
        <v>2210</v>
      </c>
      <c r="B57" s="2">
        <v>45568</v>
      </c>
      <c r="C57">
        <v>2024</v>
      </c>
      <c r="D57">
        <v>10</v>
      </c>
      <c r="E57" t="s">
        <v>113</v>
      </c>
      <c r="F57" t="s">
        <v>31</v>
      </c>
      <c r="G57" t="s">
        <v>27</v>
      </c>
      <c r="H57" t="s">
        <v>470</v>
      </c>
      <c r="I57" t="s">
        <v>6</v>
      </c>
      <c r="J57" t="s">
        <v>12</v>
      </c>
      <c r="K57" t="s">
        <v>10</v>
      </c>
    </row>
    <row r="58" spans="1:11">
      <c r="A58" t="s">
        <v>2211</v>
      </c>
      <c r="B58" s="2">
        <v>45589</v>
      </c>
      <c r="C58">
        <v>2024</v>
      </c>
      <c r="D58">
        <v>10</v>
      </c>
      <c r="E58" t="s">
        <v>113</v>
      </c>
      <c r="F58" t="s">
        <v>47</v>
      </c>
      <c r="G58" t="s">
        <v>27</v>
      </c>
      <c r="H58" t="s">
        <v>494</v>
      </c>
      <c r="I58" t="s">
        <v>34</v>
      </c>
      <c r="J58" t="s">
        <v>12</v>
      </c>
      <c r="K58" t="s">
        <v>17</v>
      </c>
    </row>
    <row r="59" spans="1:11">
      <c r="A59" t="s">
        <v>2212</v>
      </c>
      <c r="B59" s="2">
        <v>45588</v>
      </c>
      <c r="C59">
        <v>2024</v>
      </c>
      <c r="D59">
        <v>10</v>
      </c>
      <c r="E59" t="s">
        <v>113</v>
      </c>
      <c r="F59" t="s">
        <v>38</v>
      </c>
      <c r="G59" t="s">
        <v>32</v>
      </c>
      <c r="H59" t="s">
        <v>470</v>
      </c>
      <c r="I59" t="s">
        <v>6</v>
      </c>
      <c r="J59" t="s">
        <v>12</v>
      </c>
      <c r="K59" t="s">
        <v>10</v>
      </c>
    </row>
    <row r="60" spans="1:11">
      <c r="A60" t="s">
        <v>2213</v>
      </c>
      <c r="B60" s="2">
        <v>45589</v>
      </c>
      <c r="C60">
        <v>2024</v>
      </c>
      <c r="D60">
        <v>10</v>
      </c>
      <c r="E60" t="s">
        <v>113</v>
      </c>
      <c r="F60" t="s">
        <v>38</v>
      </c>
      <c r="G60" t="s">
        <v>20</v>
      </c>
      <c r="H60" t="s">
        <v>454</v>
      </c>
      <c r="I60" t="s">
        <v>70</v>
      </c>
      <c r="J60" t="s">
        <v>4</v>
      </c>
      <c r="K60" t="s">
        <v>10</v>
      </c>
    </row>
    <row r="61" spans="1:11">
      <c r="A61" t="s">
        <v>2214</v>
      </c>
      <c r="B61" s="2">
        <v>45592</v>
      </c>
      <c r="C61">
        <v>2024</v>
      </c>
      <c r="D61">
        <v>10</v>
      </c>
      <c r="E61" t="s">
        <v>113</v>
      </c>
      <c r="F61" t="s">
        <v>78</v>
      </c>
      <c r="G61" t="s">
        <v>3</v>
      </c>
      <c r="H61" t="s">
        <v>466</v>
      </c>
      <c r="I61" t="s">
        <v>13</v>
      </c>
      <c r="J61" t="s">
        <v>33</v>
      </c>
      <c r="K61" t="s">
        <v>17</v>
      </c>
    </row>
    <row r="62" spans="1:11">
      <c r="A62" t="s">
        <v>2215</v>
      </c>
      <c r="B62" s="2">
        <v>45583</v>
      </c>
      <c r="C62">
        <v>2024</v>
      </c>
      <c r="D62">
        <v>10</v>
      </c>
      <c r="E62" t="s">
        <v>113</v>
      </c>
      <c r="F62" t="s">
        <v>38</v>
      </c>
      <c r="G62" t="s">
        <v>20</v>
      </c>
      <c r="H62" t="s">
        <v>494</v>
      </c>
      <c r="I62" t="s">
        <v>13</v>
      </c>
      <c r="J62" t="s">
        <v>12</v>
      </c>
      <c r="K62" t="s">
        <v>10</v>
      </c>
    </row>
    <row r="63" spans="1:11">
      <c r="A63" t="s">
        <v>2216</v>
      </c>
      <c r="B63" s="2">
        <v>45571</v>
      </c>
      <c r="C63">
        <v>2024</v>
      </c>
      <c r="D63">
        <v>10</v>
      </c>
      <c r="E63" t="s">
        <v>113</v>
      </c>
      <c r="F63" t="s">
        <v>38</v>
      </c>
      <c r="G63" t="s">
        <v>3</v>
      </c>
      <c r="H63" t="s">
        <v>460</v>
      </c>
      <c r="I63" t="s">
        <v>34</v>
      </c>
      <c r="J63" t="s">
        <v>4</v>
      </c>
      <c r="K63" t="s">
        <v>17</v>
      </c>
    </row>
    <row r="64" spans="1:11">
      <c r="A64" t="s">
        <v>2217</v>
      </c>
      <c r="B64" s="2">
        <v>45583</v>
      </c>
      <c r="C64">
        <v>2024</v>
      </c>
      <c r="D64">
        <v>10</v>
      </c>
      <c r="E64" t="s">
        <v>113</v>
      </c>
      <c r="F64" t="s">
        <v>40</v>
      </c>
      <c r="G64" t="s">
        <v>32</v>
      </c>
      <c r="H64" t="s">
        <v>519</v>
      </c>
      <c r="I64" t="s">
        <v>50</v>
      </c>
      <c r="J64" t="s">
        <v>44</v>
      </c>
      <c r="K64" t="s">
        <v>10</v>
      </c>
    </row>
    <row r="65" spans="1:11">
      <c r="A65" t="s">
        <v>2218</v>
      </c>
      <c r="B65" s="2">
        <v>45588</v>
      </c>
      <c r="C65">
        <v>2024</v>
      </c>
      <c r="D65">
        <v>10</v>
      </c>
      <c r="E65" t="s">
        <v>113</v>
      </c>
      <c r="F65" t="s">
        <v>2</v>
      </c>
      <c r="G65" t="s">
        <v>69</v>
      </c>
      <c r="H65" t="s">
        <v>519</v>
      </c>
      <c r="I65" t="s">
        <v>70</v>
      </c>
      <c r="J65" t="s">
        <v>4</v>
      </c>
      <c r="K65" t="s">
        <v>10</v>
      </c>
    </row>
    <row r="66" spans="1:11">
      <c r="A66" t="s">
        <v>2219</v>
      </c>
      <c r="B66" s="2">
        <v>45579</v>
      </c>
      <c r="C66">
        <v>2024</v>
      </c>
      <c r="D66">
        <v>10</v>
      </c>
      <c r="E66" t="s">
        <v>113</v>
      </c>
      <c r="F66" t="s">
        <v>2</v>
      </c>
      <c r="G66" t="s">
        <v>3</v>
      </c>
      <c r="H66" t="s">
        <v>460</v>
      </c>
      <c r="I66" t="s">
        <v>34</v>
      </c>
      <c r="J66" t="s">
        <v>33</v>
      </c>
      <c r="K66" t="s">
        <v>17</v>
      </c>
    </row>
    <row r="67" spans="1:11">
      <c r="A67" t="s">
        <v>2220</v>
      </c>
      <c r="B67" s="2">
        <v>45573</v>
      </c>
      <c r="C67">
        <v>2024</v>
      </c>
      <c r="D67">
        <v>10</v>
      </c>
      <c r="E67" t="s">
        <v>113</v>
      </c>
      <c r="F67" t="s">
        <v>40</v>
      </c>
      <c r="G67" t="s">
        <v>38</v>
      </c>
      <c r="H67" t="s">
        <v>466</v>
      </c>
      <c r="I67" t="s">
        <v>70</v>
      </c>
      <c r="J67" t="s">
        <v>33</v>
      </c>
      <c r="K67" t="s">
        <v>10</v>
      </c>
    </row>
    <row r="68" spans="1:11">
      <c r="A68" t="s">
        <v>2221</v>
      </c>
      <c r="B68" s="2">
        <v>45577</v>
      </c>
      <c r="C68">
        <v>2024</v>
      </c>
      <c r="D68">
        <v>10</v>
      </c>
      <c r="E68" t="s">
        <v>113</v>
      </c>
      <c r="F68" t="s">
        <v>47</v>
      </c>
      <c r="G68" t="s">
        <v>48</v>
      </c>
      <c r="H68" t="s">
        <v>446</v>
      </c>
      <c r="I68" t="s">
        <v>6</v>
      </c>
      <c r="J68" t="s">
        <v>44</v>
      </c>
      <c r="K68" t="s">
        <v>10</v>
      </c>
    </row>
    <row r="69" spans="1:11">
      <c r="A69" t="s">
        <v>2222</v>
      </c>
      <c r="B69" s="2">
        <v>45597</v>
      </c>
      <c r="C69">
        <v>2024</v>
      </c>
      <c r="D69">
        <v>11</v>
      </c>
      <c r="E69" t="s">
        <v>117</v>
      </c>
      <c r="F69" t="s">
        <v>67</v>
      </c>
      <c r="G69" t="s">
        <v>64</v>
      </c>
      <c r="H69" t="s">
        <v>466</v>
      </c>
      <c r="I69" t="s">
        <v>13</v>
      </c>
      <c r="J69" t="s">
        <v>44</v>
      </c>
      <c r="K69" t="s">
        <v>17</v>
      </c>
    </row>
    <row r="70" spans="1:11">
      <c r="A70" t="s">
        <v>2223</v>
      </c>
      <c r="B70" s="2">
        <v>45606</v>
      </c>
      <c r="C70">
        <v>2024</v>
      </c>
      <c r="D70">
        <v>11</v>
      </c>
      <c r="E70" t="s">
        <v>117</v>
      </c>
      <c r="F70" t="s">
        <v>31</v>
      </c>
      <c r="G70" t="s">
        <v>94</v>
      </c>
      <c r="H70" t="s">
        <v>470</v>
      </c>
      <c r="I70" t="s">
        <v>34</v>
      </c>
      <c r="J70" t="s">
        <v>44</v>
      </c>
      <c r="K70" t="s">
        <v>10</v>
      </c>
    </row>
    <row r="71" spans="1:11">
      <c r="A71" t="s">
        <v>2224</v>
      </c>
      <c r="B71" s="2">
        <v>45619</v>
      </c>
      <c r="C71">
        <v>2024</v>
      </c>
      <c r="D71">
        <v>11</v>
      </c>
      <c r="E71" t="s">
        <v>117</v>
      </c>
      <c r="F71" t="s">
        <v>67</v>
      </c>
      <c r="G71" t="s">
        <v>27</v>
      </c>
      <c r="H71" t="s">
        <v>466</v>
      </c>
      <c r="I71" t="s">
        <v>70</v>
      </c>
      <c r="J71" t="s">
        <v>12</v>
      </c>
      <c r="K71" t="s">
        <v>10</v>
      </c>
    </row>
    <row r="72" spans="1:11">
      <c r="A72" t="s">
        <v>2225</v>
      </c>
      <c r="B72" s="2">
        <v>45621</v>
      </c>
      <c r="C72">
        <v>2024</v>
      </c>
      <c r="D72">
        <v>11</v>
      </c>
      <c r="E72" t="s">
        <v>117</v>
      </c>
      <c r="F72" t="s">
        <v>31</v>
      </c>
      <c r="G72" t="s">
        <v>94</v>
      </c>
      <c r="H72" t="s">
        <v>494</v>
      </c>
      <c r="I72" t="s">
        <v>6</v>
      </c>
      <c r="J72" t="s">
        <v>44</v>
      </c>
      <c r="K72" t="s">
        <v>17</v>
      </c>
    </row>
    <row r="73" spans="1:11">
      <c r="A73" t="s">
        <v>2226</v>
      </c>
      <c r="B73" s="2">
        <v>45602</v>
      </c>
      <c r="C73">
        <v>2024</v>
      </c>
      <c r="D73">
        <v>11</v>
      </c>
      <c r="E73" t="s">
        <v>117</v>
      </c>
      <c r="F73" t="s">
        <v>54</v>
      </c>
      <c r="G73" t="s">
        <v>55</v>
      </c>
      <c r="H73" t="s">
        <v>454</v>
      </c>
      <c r="I73" t="s">
        <v>34</v>
      </c>
      <c r="J73" t="s">
        <v>12</v>
      </c>
      <c r="K73" t="s">
        <v>17</v>
      </c>
    </row>
    <row r="74" spans="1:11">
      <c r="A74" t="s">
        <v>2227</v>
      </c>
      <c r="B74" s="2">
        <v>45604</v>
      </c>
      <c r="C74">
        <v>2024</v>
      </c>
      <c r="D74">
        <v>11</v>
      </c>
      <c r="E74" t="s">
        <v>117</v>
      </c>
      <c r="F74" t="s">
        <v>38</v>
      </c>
      <c r="G74" t="s">
        <v>20</v>
      </c>
      <c r="H74" t="s">
        <v>519</v>
      </c>
      <c r="I74" t="s">
        <v>50</v>
      </c>
      <c r="J74" t="s">
        <v>4</v>
      </c>
      <c r="K74" t="s">
        <v>10</v>
      </c>
    </row>
    <row r="75" spans="1:11">
      <c r="A75" t="s">
        <v>2228</v>
      </c>
      <c r="B75" s="2">
        <v>45598</v>
      </c>
      <c r="C75">
        <v>2024</v>
      </c>
      <c r="D75">
        <v>11</v>
      </c>
      <c r="E75" t="s">
        <v>117</v>
      </c>
      <c r="F75" t="s">
        <v>67</v>
      </c>
      <c r="G75" t="s">
        <v>55</v>
      </c>
      <c r="H75" t="s">
        <v>446</v>
      </c>
      <c r="I75" t="s">
        <v>50</v>
      </c>
      <c r="J75" t="s">
        <v>12</v>
      </c>
      <c r="K75" t="s">
        <v>17</v>
      </c>
    </row>
    <row r="76" spans="1:11">
      <c r="A76" t="s">
        <v>2229</v>
      </c>
      <c r="B76" s="2">
        <v>45606</v>
      </c>
      <c r="C76">
        <v>2024</v>
      </c>
      <c r="D76">
        <v>11</v>
      </c>
      <c r="E76" t="s">
        <v>117</v>
      </c>
      <c r="F76" t="s">
        <v>2</v>
      </c>
      <c r="G76" t="s">
        <v>48</v>
      </c>
      <c r="H76" t="s">
        <v>470</v>
      </c>
      <c r="I76" t="s">
        <v>13</v>
      </c>
      <c r="J76" t="s">
        <v>44</v>
      </c>
      <c r="K76" t="s">
        <v>10</v>
      </c>
    </row>
    <row r="77" spans="1:11">
      <c r="A77" t="s">
        <v>2230</v>
      </c>
      <c r="B77" s="2">
        <v>45652</v>
      </c>
      <c r="C77">
        <v>2024</v>
      </c>
      <c r="D77">
        <v>12</v>
      </c>
      <c r="E77" t="s">
        <v>124</v>
      </c>
      <c r="F77" t="s">
        <v>40</v>
      </c>
      <c r="G77" t="s">
        <v>55</v>
      </c>
      <c r="H77" t="s">
        <v>454</v>
      </c>
      <c r="I77" t="s">
        <v>50</v>
      </c>
      <c r="J77" t="s">
        <v>44</v>
      </c>
      <c r="K77" t="s">
        <v>17</v>
      </c>
    </row>
    <row r="78" spans="1:11">
      <c r="A78" t="s">
        <v>2231</v>
      </c>
      <c r="B78" s="2">
        <v>45629</v>
      </c>
      <c r="C78">
        <v>2024</v>
      </c>
      <c r="D78">
        <v>12</v>
      </c>
      <c r="E78" t="s">
        <v>124</v>
      </c>
      <c r="F78" t="s">
        <v>40</v>
      </c>
      <c r="G78" t="s">
        <v>3</v>
      </c>
      <c r="H78" t="s">
        <v>457</v>
      </c>
      <c r="I78" t="s">
        <v>6</v>
      </c>
      <c r="J78" t="s">
        <v>33</v>
      </c>
      <c r="K78" t="s">
        <v>10</v>
      </c>
    </row>
    <row r="79" spans="1:11">
      <c r="A79" t="s">
        <v>2232</v>
      </c>
      <c r="B79" s="2">
        <v>45639</v>
      </c>
      <c r="C79">
        <v>2024</v>
      </c>
      <c r="D79">
        <v>12</v>
      </c>
      <c r="E79" t="s">
        <v>124</v>
      </c>
      <c r="F79" t="s">
        <v>54</v>
      </c>
      <c r="G79" t="s">
        <v>74</v>
      </c>
      <c r="H79" t="s">
        <v>428</v>
      </c>
      <c r="I79" t="s">
        <v>34</v>
      </c>
      <c r="J79" t="s">
        <v>4</v>
      </c>
      <c r="K79" t="s">
        <v>17</v>
      </c>
    </row>
    <row r="80" spans="1:11">
      <c r="A80" t="s">
        <v>2233</v>
      </c>
      <c r="B80" s="2">
        <v>45637</v>
      </c>
      <c r="C80">
        <v>2024</v>
      </c>
      <c r="D80">
        <v>12</v>
      </c>
      <c r="E80" t="s">
        <v>124</v>
      </c>
      <c r="F80" t="s">
        <v>19</v>
      </c>
      <c r="G80" t="s">
        <v>48</v>
      </c>
      <c r="H80" t="s">
        <v>466</v>
      </c>
      <c r="I80" t="s">
        <v>13</v>
      </c>
      <c r="J80" t="s">
        <v>44</v>
      </c>
      <c r="K80" t="s">
        <v>17</v>
      </c>
    </row>
    <row r="81" spans="1:11">
      <c r="A81" t="s">
        <v>2234</v>
      </c>
      <c r="B81" s="2">
        <v>45646</v>
      </c>
      <c r="C81">
        <v>2024</v>
      </c>
      <c r="D81">
        <v>12</v>
      </c>
      <c r="E81" t="s">
        <v>124</v>
      </c>
      <c r="F81" t="s">
        <v>19</v>
      </c>
      <c r="G81" t="s">
        <v>3</v>
      </c>
      <c r="H81" t="s">
        <v>494</v>
      </c>
      <c r="I81" t="s">
        <v>70</v>
      </c>
      <c r="J81" t="s">
        <v>33</v>
      </c>
      <c r="K81" t="s">
        <v>10</v>
      </c>
    </row>
    <row r="82" spans="1:11">
      <c r="A82" t="s">
        <v>2235</v>
      </c>
      <c r="B82" s="2">
        <v>45632</v>
      </c>
      <c r="C82">
        <v>2024</v>
      </c>
      <c r="D82">
        <v>12</v>
      </c>
      <c r="E82" t="s">
        <v>124</v>
      </c>
      <c r="F82" t="s">
        <v>2</v>
      </c>
      <c r="G82" t="s">
        <v>32</v>
      </c>
      <c r="H82" t="s">
        <v>460</v>
      </c>
      <c r="I82" t="s">
        <v>70</v>
      </c>
      <c r="J82" t="s">
        <v>4</v>
      </c>
      <c r="K82" t="s">
        <v>10</v>
      </c>
    </row>
    <row r="83" spans="1:11">
      <c r="A83" t="s">
        <v>2236</v>
      </c>
      <c r="B83" s="2">
        <v>45654</v>
      </c>
      <c r="C83">
        <v>2024</v>
      </c>
      <c r="D83">
        <v>12</v>
      </c>
      <c r="E83" t="s">
        <v>124</v>
      </c>
      <c r="F83" t="s">
        <v>40</v>
      </c>
      <c r="G83" t="s">
        <v>27</v>
      </c>
      <c r="H83" t="s">
        <v>466</v>
      </c>
      <c r="I83" t="s">
        <v>70</v>
      </c>
      <c r="J83" t="s">
        <v>33</v>
      </c>
      <c r="K83" t="s">
        <v>10</v>
      </c>
    </row>
    <row r="84" spans="1:11">
      <c r="A84" t="s">
        <v>2237</v>
      </c>
      <c r="B84" s="2">
        <v>45654</v>
      </c>
      <c r="C84">
        <v>2024</v>
      </c>
      <c r="D84">
        <v>12</v>
      </c>
      <c r="E84" t="s">
        <v>124</v>
      </c>
      <c r="F84" t="s">
        <v>54</v>
      </c>
      <c r="G84" t="s">
        <v>20</v>
      </c>
      <c r="H84" t="s">
        <v>466</v>
      </c>
      <c r="I84" t="s">
        <v>6</v>
      </c>
      <c r="J84" t="s">
        <v>12</v>
      </c>
      <c r="K84" t="s">
        <v>10</v>
      </c>
    </row>
    <row r="85" spans="1:11">
      <c r="A85" t="s">
        <v>2238</v>
      </c>
      <c r="B85" s="2">
        <v>45654</v>
      </c>
      <c r="C85">
        <v>2024</v>
      </c>
      <c r="D85">
        <v>12</v>
      </c>
      <c r="E85" t="s">
        <v>124</v>
      </c>
      <c r="F85" t="s">
        <v>38</v>
      </c>
      <c r="G85" t="s">
        <v>48</v>
      </c>
      <c r="H85" t="s">
        <v>494</v>
      </c>
      <c r="I85" t="s">
        <v>70</v>
      </c>
      <c r="J85" t="s">
        <v>44</v>
      </c>
      <c r="K85" t="s">
        <v>10</v>
      </c>
    </row>
    <row r="86" spans="1:11">
      <c r="A86" t="s">
        <v>2239</v>
      </c>
      <c r="B86" s="2">
        <v>45641</v>
      </c>
      <c r="C86">
        <v>2024</v>
      </c>
      <c r="D86">
        <v>12</v>
      </c>
      <c r="E86" t="s">
        <v>124</v>
      </c>
      <c r="F86" t="s">
        <v>38</v>
      </c>
      <c r="G86" t="s">
        <v>3</v>
      </c>
      <c r="H86" t="s">
        <v>460</v>
      </c>
      <c r="I86" t="s">
        <v>13</v>
      </c>
      <c r="J86" t="s">
        <v>44</v>
      </c>
      <c r="K86" t="s">
        <v>17</v>
      </c>
    </row>
    <row r="87" spans="1:11">
      <c r="A87" t="s">
        <v>2240</v>
      </c>
      <c r="B87" s="2">
        <v>45646</v>
      </c>
      <c r="C87">
        <v>2024</v>
      </c>
      <c r="D87">
        <v>12</v>
      </c>
      <c r="E87" t="s">
        <v>124</v>
      </c>
      <c r="F87" t="s">
        <v>26</v>
      </c>
      <c r="G87" t="s">
        <v>74</v>
      </c>
      <c r="H87" t="s">
        <v>519</v>
      </c>
      <c r="I87" t="s">
        <v>70</v>
      </c>
      <c r="J87" t="s">
        <v>4</v>
      </c>
      <c r="K87" t="s">
        <v>10</v>
      </c>
    </row>
    <row r="88" spans="1:11">
      <c r="A88" t="s">
        <v>2241</v>
      </c>
      <c r="B88" s="2">
        <v>45640</v>
      </c>
      <c r="C88">
        <v>2024</v>
      </c>
      <c r="D88">
        <v>12</v>
      </c>
      <c r="E88" t="s">
        <v>124</v>
      </c>
      <c r="F88" t="s">
        <v>31</v>
      </c>
      <c r="G88" t="s">
        <v>20</v>
      </c>
      <c r="H88" t="s">
        <v>457</v>
      </c>
      <c r="I88" t="s">
        <v>50</v>
      </c>
      <c r="J88" t="s">
        <v>33</v>
      </c>
      <c r="K88" t="s">
        <v>10</v>
      </c>
    </row>
    <row r="89" spans="1:11">
      <c r="A89" t="s">
        <v>2242</v>
      </c>
      <c r="B89" s="2">
        <v>45666</v>
      </c>
      <c r="C89">
        <v>2025</v>
      </c>
      <c r="D89">
        <v>1</v>
      </c>
      <c r="E89" t="s">
        <v>1</v>
      </c>
      <c r="F89" t="s">
        <v>26</v>
      </c>
      <c r="G89" t="s">
        <v>48</v>
      </c>
      <c r="H89" t="s">
        <v>457</v>
      </c>
      <c r="I89" t="s">
        <v>50</v>
      </c>
      <c r="J89" t="s">
        <v>12</v>
      </c>
      <c r="K89" t="s">
        <v>17</v>
      </c>
    </row>
    <row r="90" spans="1:11">
      <c r="A90" t="s">
        <v>2243</v>
      </c>
      <c r="B90" s="2">
        <v>45659</v>
      </c>
      <c r="C90">
        <v>2025</v>
      </c>
      <c r="D90">
        <v>1</v>
      </c>
      <c r="E90" t="s">
        <v>1</v>
      </c>
      <c r="F90" t="s">
        <v>78</v>
      </c>
      <c r="G90" t="s">
        <v>38</v>
      </c>
      <c r="H90" t="s">
        <v>466</v>
      </c>
      <c r="I90" t="s">
        <v>6</v>
      </c>
      <c r="J90" t="s">
        <v>33</v>
      </c>
      <c r="K90" t="s">
        <v>17</v>
      </c>
    </row>
    <row r="91" spans="1:11">
      <c r="A91" t="s">
        <v>2244</v>
      </c>
      <c r="B91" s="2">
        <v>45669</v>
      </c>
      <c r="C91">
        <v>2025</v>
      </c>
      <c r="D91">
        <v>1</v>
      </c>
      <c r="E91" t="s">
        <v>1</v>
      </c>
      <c r="F91" t="s">
        <v>78</v>
      </c>
      <c r="G91" t="s">
        <v>61</v>
      </c>
      <c r="H91" t="s">
        <v>519</v>
      </c>
      <c r="I91" t="s">
        <v>70</v>
      </c>
      <c r="J91" t="s">
        <v>4</v>
      </c>
      <c r="K91" t="s">
        <v>17</v>
      </c>
    </row>
    <row r="92" spans="1:11">
      <c r="A92" t="s">
        <v>2245</v>
      </c>
      <c r="B92" s="2">
        <v>45672</v>
      </c>
      <c r="C92">
        <v>2025</v>
      </c>
      <c r="D92">
        <v>1</v>
      </c>
      <c r="E92" t="s">
        <v>1</v>
      </c>
      <c r="F92" t="s">
        <v>26</v>
      </c>
      <c r="G92" t="s">
        <v>64</v>
      </c>
      <c r="H92" t="s">
        <v>454</v>
      </c>
      <c r="I92" t="s">
        <v>34</v>
      </c>
      <c r="J92" t="s">
        <v>4</v>
      </c>
      <c r="K92" t="s">
        <v>10</v>
      </c>
    </row>
    <row r="93" spans="1:11">
      <c r="A93" t="s">
        <v>2246</v>
      </c>
      <c r="B93" s="2">
        <v>45660</v>
      </c>
      <c r="C93">
        <v>2025</v>
      </c>
      <c r="D93">
        <v>1</v>
      </c>
      <c r="E93" t="s">
        <v>1</v>
      </c>
      <c r="F93" t="s">
        <v>2</v>
      </c>
      <c r="G93" t="s">
        <v>38</v>
      </c>
      <c r="H93" t="s">
        <v>470</v>
      </c>
      <c r="I93" t="s">
        <v>50</v>
      </c>
      <c r="J93" t="s">
        <v>33</v>
      </c>
      <c r="K93" t="s">
        <v>10</v>
      </c>
    </row>
    <row r="94" spans="1:11">
      <c r="A94" t="s">
        <v>2247</v>
      </c>
      <c r="B94" s="2">
        <v>45682</v>
      </c>
      <c r="C94">
        <v>2025</v>
      </c>
      <c r="D94">
        <v>1</v>
      </c>
      <c r="E94" t="s">
        <v>1</v>
      </c>
      <c r="F94" t="s">
        <v>54</v>
      </c>
      <c r="G94" t="s">
        <v>94</v>
      </c>
      <c r="H94" t="s">
        <v>454</v>
      </c>
      <c r="I94" t="s">
        <v>34</v>
      </c>
      <c r="J94" t="s">
        <v>44</v>
      </c>
      <c r="K94" t="s">
        <v>10</v>
      </c>
    </row>
    <row r="95" spans="1:11">
      <c r="A95" t="s">
        <v>2248</v>
      </c>
      <c r="B95" s="2">
        <v>45671</v>
      </c>
      <c r="C95">
        <v>2025</v>
      </c>
      <c r="D95">
        <v>1</v>
      </c>
      <c r="E95" t="s">
        <v>1</v>
      </c>
      <c r="F95" t="s">
        <v>40</v>
      </c>
      <c r="G95" t="s">
        <v>94</v>
      </c>
      <c r="H95" t="s">
        <v>457</v>
      </c>
      <c r="I95" t="s">
        <v>34</v>
      </c>
      <c r="J95" t="s">
        <v>4</v>
      </c>
      <c r="K95" t="s">
        <v>10</v>
      </c>
    </row>
    <row r="96" spans="1:11">
      <c r="A96" t="s">
        <v>2249</v>
      </c>
      <c r="B96" s="2">
        <v>45685</v>
      </c>
      <c r="C96">
        <v>2025</v>
      </c>
      <c r="D96">
        <v>1</v>
      </c>
      <c r="E96" t="s">
        <v>1</v>
      </c>
      <c r="F96" t="s">
        <v>31</v>
      </c>
      <c r="G96" t="s">
        <v>3</v>
      </c>
      <c r="H96" t="s">
        <v>466</v>
      </c>
      <c r="I96" t="s">
        <v>13</v>
      </c>
      <c r="J96" t="s">
        <v>4</v>
      </c>
      <c r="K96" t="s">
        <v>10</v>
      </c>
    </row>
    <row r="97" spans="1:11">
      <c r="A97" t="s">
        <v>2250</v>
      </c>
      <c r="B97" s="2">
        <v>45660</v>
      </c>
      <c r="C97">
        <v>2025</v>
      </c>
      <c r="D97">
        <v>1</v>
      </c>
      <c r="E97" t="s">
        <v>1</v>
      </c>
      <c r="F97" t="s">
        <v>67</v>
      </c>
      <c r="G97" t="s">
        <v>3</v>
      </c>
      <c r="H97" t="s">
        <v>466</v>
      </c>
      <c r="I97" t="s">
        <v>70</v>
      </c>
      <c r="J97" t="s">
        <v>44</v>
      </c>
      <c r="K97" t="s">
        <v>10</v>
      </c>
    </row>
    <row r="98" spans="1:11">
      <c r="A98" t="s">
        <v>2251</v>
      </c>
      <c r="B98" s="2">
        <v>45665</v>
      </c>
      <c r="C98">
        <v>2025</v>
      </c>
      <c r="D98">
        <v>1</v>
      </c>
      <c r="E98" t="s">
        <v>1</v>
      </c>
      <c r="F98" t="s">
        <v>40</v>
      </c>
      <c r="G98" t="s">
        <v>69</v>
      </c>
      <c r="H98" t="s">
        <v>466</v>
      </c>
      <c r="I98" t="s">
        <v>70</v>
      </c>
      <c r="J98" t="s">
        <v>33</v>
      </c>
      <c r="K98" t="s">
        <v>10</v>
      </c>
    </row>
    <row r="99" spans="1:11">
      <c r="A99" t="s">
        <v>2252</v>
      </c>
      <c r="B99" s="2">
        <v>45672</v>
      </c>
      <c r="C99">
        <v>2025</v>
      </c>
      <c r="D99">
        <v>1</v>
      </c>
      <c r="E99" t="s">
        <v>1</v>
      </c>
      <c r="F99" t="s">
        <v>2</v>
      </c>
      <c r="G99" t="s">
        <v>3</v>
      </c>
      <c r="H99" t="s">
        <v>470</v>
      </c>
      <c r="I99" t="s">
        <v>50</v>
      </c>
      <c r="J99" t="s">
        <v>44</v>
      </c>
      <c r="K99" t="s">
        <v>17</v>
      </c>
    </row>
    <row r="100" spans="1:11">
      <c r="A100" t="s">
        <v>2253</v>
      </c>
      <c r="B100" s="2">
        <v>45706</v>
      </c>
      <c r="C100">
        <v>2025</v>
      </c>
      <c r="D100">
        <v>2</v>
      </c>
      <c r="E100" t="s">
        <v>25</v>
      </c>
      <c r="F100" t="s">
        <v>40</v>
      </c>
      <c r="G100" t="s">
        <v>64</v>
      </c>
      <c r="H100" t="s">
        <v>494</v>
      </c>
      <c r="I100" t="s">
        <v>13</v>
      </c>
      <c r="J100" t="s">
        <v>12</v>
      </c>
      <c r="K100" t="s">
        <v>10</v>
      </c>
    </row>
    <row r="101" spans="1:11">
      <c r="A101" t="s">
        <v>2254</v>
      </c>
      <c r="B101" s="2">
        <v>45691</v>
      </c>
      <c r="C101">
        <v>2025</v>
      </c>
      <c r="D101">
        <v>2</v>
      </c>
      <c r="E101" t="s">
        <v>25</v>
      </c>
      <c r="F101" t="s">
        <v>31</v>
      </c>
      <c r="G101" t="s">
        <v>38</v>
      </c>
      <c r="H101" t="s">
        <v>457</v>
      </c>
      <c r="I101" t="s">
        <v>34</v>
      </c>
      <c r="J101" t="s">
        <v>44</v>
      </c>
      <c r="K101" t="s">
        <v>10</v>
      </c>
    </row>
    <row r="102" spans="1:11">
      <c r="A102" t="s">
        <v>2255</v>
      </c>
      <c r="B102" s="2">
        <v>45711</v>
      </c>
      <c r="C102">
        <v>2025</v>
      </c>
      <c r="D102">
        <v>2</v>
      </c>
      <c r="E102" t="s">
        <v>25</v>
      </c>
      <c r="F102" t="s">
        <v>78</v>
      </c>
      <c r="G102" t="s">
        <v>61</v>
      </c>
      <c r="H102" t="s">
        <v>428</v>
      </c>
      <c r="I102" t="s">
        <v>50</v>
      </c>
      <c r="J102" t="s">
        <v>33</v>
      </c>
      <c r="K102" t="s">
        <v>10</v>
      </c>
    </row>
    <row r="103" spans="1:11">
      <c r="A103" t="s">
        <v>2256</v>
      </c>
      <c r="B103" s="2">
        <v>45698</v>
      </c>
      <c r="C103">
        <v>2025</v>
      </c>
      <c r="D103">
        <v>2</v>
      </c>
      <c r="E103" t="s">
        <v>25</v>
      </c>
      <c r="F103" t="s">
        <v>19</v>
      </c>
      <c r="G103" t="s">
        <v>74</v>
      </c>
      <c r="H103" t="s">
        <v>428</v>
      </c>
      <c r="I103" t="s">
        <v>50</v>
      </c>
      <c r="J103" t="s">
        <v>4</v>
      </c>
      <c r="K103" t="s">
        <v>10</v>
      </c>
    </row>
    <row r="104" spans="1:11">
      <c r="A104" t="s">
        <v>2257</v>
      </c>
      <c r="B104" s="2">
        <v>45689</v>
      </c>
      <c r="C104">
        <v>2025</v>
      </c>
      <c r="D104">
        <v>2</v>
      </c>
      <c r="E104" t="s">
        <v>25</v>
      </c>
      <c r="F104" t="s">
        <v>26</v>
      </c>
      <c r="G104" t="s">
        <v>38</v>
      </c>
      <c r="H104" t="s">
        <v>519</v>
      </c>
      <c r="I104" t="s">
        <v>70</v>
      </c>
      <c r="J104" t="s">
        <v>12</v>
      </c>
      <c r="K104" t="s">
        <v>10</v>
      </c>
    </row>
    <row r="105" spans="1:11">
      <c r="A105" t="s">
        <v>2258</v>
      </c>
      <c r="B105" s="2">
        <v>45698</v>
      </c>
      <c r="C105">
        <v>2025</v>
      </c>
      <c r="D105">
        <v>2</v>
      </c>
      <c r="E105" t="s">
        <v>25</v>
      </c>
      <c r="F105" t="s">
        <v>78</v>
      </c>
      <c r="G105" t="s">
        <v>64</v>
      </c>
      <c r="H105" t="s">
        <v>460</v>
      </c>
      <c r="I105" t="s">
        <v>6</v>
      </c>
      <c r="J105" t="s">
        <v>44</v>
      </c>
      <c r="K105" t="s">
        <v>10</v>
      </c>
    </row>
    <row r="106" spans="1:11">
      <c r="A106" t="s">
        <v>2259</v>
      </c>
      <c r="B106" s="2">
        <v>45699</v>
      </c>
      <c r="C106">
        <v>2025</v>
      </c>
      <c r="D106">
        <v>2</v>
      </c>
      <c r="E106" t="s">
        <v>25</v>
      </c>
      <c r="F106" t="s">
        <v>31</v>
      </c>
      <c r="G106" t="s">
        <v>38</v>
      </c>
      <c r="H106" t="s">
        <v>446</v>
      </c>
      <c r="I106" t="s">
        <v>70</v>
      </c>
      <c r="J106" t="s">
        <v>4</v>
      </c>
      <c r="K106" t="s">
        <v>10</v>
      </c>
    </row>
    <row r="107" spans="1:11">
      <c r="A107" t="s">
        <v>2260</v>
      </c>
      <c r="B107" s="2">
        <v>45744</v>
      </c>
      <c r="C107">
        <v>2025</v>
      </c>
      <c r="D107">
        <v>3</v>
      </c>
      <c r="E107" t="s">
        <v>60</v>
      </c>
      <c r="F107" t="s">
        <v>31</v>
      </c>
      <c r="G107" t="s">
        <v>61</v>
      </c>
      <c r="H107" t="s">
        <v>428</v>
      </c>
      <c r="I107" t="s">
        <v>34</v>
      </c>
      <c r="J107" t="s">
        <v>12</v>
      </c>
      <c r="K107" t="s">
        <v>10</v>
      </c>
    </row>
    <row r="108" spans="1:11">
      <c r="A108" t="s">
        <v>2261</v>
      </c>
      <c r="B108" s="2">
        <v>45737</v>
      </c>
      <c r="C108">
        <v>2025</v>
      </c>
      <c r="D108">
        <v>3</v>
      </c>
      <c r="E108" t="s">
        <v>60</v>
      </c>
      <c r="F108" t="s">
        <v>54</v>
      </c>
      <c r="G108" t="s">
        <v>48</v>
      </c>
      <c r="H108" t="s">
        <v>466</v>
      </c>
      <c r="I108" t="s">
        <v>70</v>
      </c>
      <c r="J108" t="s">
        <v>33</v>
      </c>
      <c r="K108" t="s">
        <v>10</v>
      </c>
    </row>
    <row r="109" spans="1:11">
      <c r="A109" t="s">
        <v>2262</v>
      </c>
      <c r="B109" s="2">
        <v>45740</v>
      </c>
      <c r="C109">
        <v>2025</v>
      </c>
      <c r="D109">
        <v>3</v>
      </c>
      <c r="E109" t="s">
        <v>60</v>
      </c>
      <c r="F109" t="s">
        <v>78</v>
      </c>
      <c r="G109" t="s">
        <v>27</v>
      </c>
      <c r="H109" t="s">
        <v>470</v>
      </c>
      <c r="I109" t="s">
        <v>70</v>
      </c>
      <c r="J109" t="s">
        <v>33</v>
      </c>
      <c r="K109" t="s">
        <v>10</v>
      </c>
    </row>
    <row r="110" spans="1:11">
      <c r="A110" t="s">
        <v>2263</v>
      </c>
      <c r="B110" s="2">
        <v>45723</v>
      </c>
      <c r="C110">
        <v>2025</v>
      </c>
      <c r="D110">
        <v>3</v>
      </c>
      <c r="E110" t="s">
        <v>60</v>
      </c>
      <c r="F110" t="s">
        <v>40</v>
      </c>
      <c r="G110" t="s">
        <v>61</v>
      </c>
      <c r="H110" t="s">
        <v>428</v>
      </c>
      <c r="I110" t="s">
        <v>13</v>
      </c>
      <c r="J110" t="s">
        <v>33</v>
      </c>
      <c r="K110" t="s">
        <v>10</v>
      </c>
    </row>
    <row r="111" spans="1:11">
      <c r="A111" t="s">
        <v>2264</v>
      </c>
      <c r="B111" s="2">
        <v>45729</v>
      </c>
      <c r="C111">
        <v>2025</v>
      </c>
      <c r="D111">
        <v>3</v>
      </c>
      <c r="E111" t="s">
        <v>60</v>
      </c>
      <c r="F111" t="s">
        <v>54</v>
      </c>
      <c r="G111" t="s">
        <v>32</v>
      </c>
      <c r="H111" t="s">
        <v>519</v>
      </c>
      <c r="I111" t="s">
        <v>50</v>
      </c>
      <c r="J111" t="s">
        <v>4</v>
      </c>
      <c r="K111" t="s">
        <v>10</v>
      </c>
    </row>
    <row r="112" spans="1:11">
      <c r="A112" t="s">
        <v>2265</v>
      </c>
      <c r="B112" s="2">
        <v>45724</v>
      </c>
      <c r="C112">
        <v>2025</v>
      </c>
      <c r="D112">
        <v>3</v>
      </c>
      <c r="E112" t="s">
        <v>60</v>
      </c>
      <c r="F112" t="s">
        <v>38</v>
      </c>
      <c r="G112" t="s">
        <v>20</v>
      </c>
      <c r="H112" t="s">
        <v>428</v>
      </c>
      <c r="I112" t="s">
        <v>13</v>
      </c>
      <c r="J112" t="s">
        <v>4</v>
      </c>
      <c r="K112" t="s">
        <v>17</v>
      </c>
    </row>
    <row r="113" spans="1:11">
      <c r="A113" t="s">
        <v>2266</v>
      </c>
      <c r="B113" s="2">
        <v>45761</v>
      </c>
      <c r="C113">
        <v>2025</v>
      </c>
      <c r="D113">
        <v>4</v>
      </c>
      <c r="E113" t="s">
        <v>73</v>
      </c>
      <c r="F113" t="s">
        <v>47</v>
      </c>
      <c r="G113" t="s">
        <v>74</v>
      </c>
      <c r="H113" t="s">
        <v>428</v>
      </c>
      <c r="I113" t="s">
        <v>13</v>
      </c>
      <c r="J113" t="s">
        <v>12</v>
      </c>
      <c r="K113" t="s">
        <v>10</v>
      </c>
    </row>
    <row r="114" spans="1:11">
      <c r="A114" t="s">
        <v>2267</v>
      </c>
      <c r="B114" s="2">
        <v>45751</v>
      </c>
      <c r="C114">
        <v>2025</v>
      </c>
      <c r="D114">
        <v>4</v>
      </c>
      <c r="E114" t="s">
        <v>73</v>
      </c>
      <c r="F114" t="s">
        <v>26</v>
      </c>
      <c r="G114" t="s">
        <v>32</v>
      </c>
      <c r="H114" t="s">
        <v>460</v>
      </c>
      <c r="I114" t="s">
        <v>13</v>
      </c>
      <c r="J114" t="s">
        <v>33</v>
      </c>
      <c r="K114" t="s">
        <v>10</v>
      </c>
    </row>
    <row r="115" spans="1:11">
      <c r="A115" t="s">
        <v>2268</v>
      </c>
      <c r="B115" s="2">
        <v>45765</v>
      </c>
      <c r="C115">
        <v>2025</v>
      </c>
      <c r="D115">
        <v>4</v>
      </c>
      <c r="E115" t="s">
        <v>73</v>
      </c>
      <c r="F115" t="s">
        <v>2</v>
      </c>
      <c r="G115" t="s">
        <v>55</v>
      </c>
      <c r="H115" t="s">
        <v>428</v>
      </c>
      <c r="I115" t="s">
        <v>70</v>
      </c>
      <c r="J115" t="s">
        <v>12</v>
      </c>
      <c r="K115" t="s">
        <v>10</v>
      </c>
    </row>
    <row r="116" spans="1:11">
      <c r="A116" t="s">
        <v>2269</v>
      </c>
      <c r="B116" s="2">
        <v>45763</v>
      </c>
      <c r="C116">
        <v>2025</v>
      </c>
      <c r="D116">
        <v>4</v>
      </c>
      <c r="E116" t="s">
        <v>73</v>
      </c>
      <c r="F116" t="s">
        <v>54</v>
      </c>
      <c r="G116" t="s">
        <v>94</v>
      </c>
      <c r="H116" t="s">
        <v>428</v>
      </c>
      <c r="I116" t="s">
        <v>50</v>
      </c>
      <c r="J116" t="s">
        <v>33</v>
      </c>
      <c r="K116" t="s">
        <v>10</v>
      </c>
    </row>
    <row r="117" spans="1:11">
      <c r="A117" t="s">
        <v>2270</v>
      </c>
      <c r="B117" s="2">
        <v>45751</v>
      </c>
      <c r="C117">
        <v>2025</v>
      </c>
      <c r="D117">
        <v>4</v>
      </c>
      <c r="E117" t="s">
        <v>73</v>
      </c>
      <c r="F117" t="s">
        <v>38</v>
      </c>
      <c r="G117" t="s">
        <v>38</v>
      </c>
      <c r="H117" t="s">
        <v>466</v>
      </c>
      <c r="I117" t="s">
        <v>50</v>
      </c>
      <c r="J117" t="s">
        <v>44</v>
      </c>
      <c r="K117" t="s">
        <v>17</v>
      </c>
    </row>
    <row r="118" spans="1:11">
      <c r="A118" t="s">
        <v>2271</v>
      </c>
      <c r="B118" s="2">
        <v>45771</v>
      </c>
      <c r="C118">
        <v>2025</v>
      </c>
      <c r="D118">
        <v>4</v>
      </c>
      <c r="E118" t="s">
        <v>73</v>
      </c>
      <c r="F118" t="s">
        <v>54</v>
      </c>
      <c r="G118" t="s">
        <v>32</v>
      </c>
      <c r="H118" t="s">
        <v>466</v>
      </c>
      <c r="I118" t="s">
        <v>34</v>
      </c>
      <c r="J118" t="s">
        <v>4</v>
      </c>
      <c r="K118" t="s">
        <v>10</v>
      </c>
    </row>
    <row r="119" spans="1:11">
      <c r="A119" t="s">
        <v>2272</v>
      </c>
      <c r="B119" s="2">
        <v>45766</v>
      </c>
      <c r="C119">
        <v>2025</v>
      </c>
      <c r="D119">
        <v>4</v>
      </c>
      <c r="E119" t="s">
        <v>73</v>
      </c>
      <c r="F119" t="s">
        <v>40</v>
      </c>
      <c r="G119" t="s">
        <v>20</v>
      </c>
      <c r="H119" t="s">
        <v>428</v>
      </c>
      <c r="I119" t="s">
        <v>13</v>
      </c>
      <c r="J119" t="s">
        <v>33</v>
      </c>
      <c r="K119" t="s">
        <v>10</v>
      </c>
    </row>
    <row r="120" spans="1:11">
      <c r="A120" t="s">
        <v>2273</v>
      </c>
      <c r="B120" s="2">
        <v>45755</v>
      </c>
      <c r="C120">
        <v>2025</v>
      </c>
      <c r="D120">
        <v>4</v>
      </c>
      <c r="E120" t="s">
        <v>73</v>
      </c>
      <c r="F120" t="s">
        <v>78</v>
      </c>
      <c r="G120" t="s">
        <v>32</v>
      </c>
      <c r="H120" t="s">
        <v>457</v>
      </c>
      <c r="I120" t="s">
        <v>6</v>
      </c>
      <c r="J120" t="s">
        <v>33</v>
      </c>
      <c r="K120" t="s">
        <v>17</v>
      </c>
    </row>
    <row r="121" spans="1:11">
      <c r="A121" t="s">
        <v>2274</v>
      </c>
      <c r="B121" s="2">
        <v>45796</v>
      </c>
      <c r="C121">
        <v>2025</v>
      </c>
      <c r="D121">
        <v>5</v>
      </c>
      <c r="E121" t="s">
        <v>83</v>
      </c>
      <c r="F121" t="s">
        <v>47</v>
      </c>
      <c r="G121" t="s">
        <v>3</v>
      </c>
      <c r="H121" t="s">
        <v>460</v>
      </c>
      <c r="I121" t="s">
        <v>50</v>
      </c>
      <c r="J121" t="s">
        <v>44</v>
      </c>
      <c r="K121" t="s">
        <v>17</v>
      </c>
    </row>
    <row r="122" spans="1:11">
      <c r="A122" t="s">
        <v>2275</v>
      </c>
      <c r="B122" s="2">
        <v>45778</v>
      </c>
      <c r="C122">
        <v>2025</v>
      </c>
      <c r="D122">
        <v>5</v>
      </c>
      <c r="E122" t="s">
        <v>83</v>
      </c>
      <c r="F122" t="s">
        <v>31</v>
      </c>
      <c r="G122" t="s">
        <v>20</v>
      </c>
      <c r="H122" t="s">
        <v>519</v>
      </c>
      <c r="I122" t="s">
        <v>70</v>
      </c>
      <c r="J122" t="s">
        <v>33</v>
      </c>
      <c r="K122" t="s">
        <v>10</v>
      </c>
    </row>
    <row r="123" spans="1:11">
      <c r="A123" t="s">
        <v>2276</v>
      </c>
      <c r="B123" s="2">
        <v>45781</v>
      </c>
      <c r="C123">
        <v>2025</v>
      </c>
      <c r="D123">
        <v>5</v>
      </c>
      <c r="E123" t="s">
        <v>83</v>
      </c>
      <c r="F123" t="s">
        <v>2</v>
      </c>
      <c r="G123" t="s">
        <v>55</v>
      </c>
      <c r="H123" t="s">
        <v>444</v>
      </c>
      <c r="I123" t="s">
        <v>13</v>
      </c>
      <c r="J123" t="s">
        <v>33</v>
      </c>
      <c r="K123" t="s">
        <v>17</v>
      </c>
    </row>
    <row r="124" spans="1:11">
      <c r="A124" t="s">
        <v>2277</v>
      </c>
      <c r="B124" s="2">
        <v>45802</v>
      </c>
      <c r="C124">
        <v>2025</v>
      </c>
      <c r="D124">
        <v>5</v>
      </c>
      <c r="E124" t="s">
        <v>83</v>
      </c>
      <c r="F124" t="s">
        <v>26</v>
      </c>
      <c r="G124" t="s">
        <v>32</v>
      </c>
      <c r="H124" t="s">
        <v>460</v>
      </c>
      <c r="I124" t="s">
        <v>50</v>
      </c>
      <c r="J124" t="s">
        <v>33</v>
      </c>
      <c r="K124" t="s">
        <v>10</v>
      </c>
    </row>
    <row r="125" spans="1:11">
      <c r="A125" t="s">
        <v>2278</v>
      </c>
      <c r="B125" s="2">
        <v>45797</v>
      </c>
      <c r="C125">
        <v>2025</v>
      </c>
      <c r="D125">
        <v>5</v>
      </c>
      <c r="E125" t="s">
        <v>83</v>
      </c>
      <c r="F125" t="s">
        <v>67</v>
      </c>
      <c r="G125" t="s">
        <v>55</v>
      </c>
      <c r="H125" t="s">
        <v>446</v>
      </c>
      <c r="I125" t="s">
        <v>50</v>
      </c>
      <c r="J125" t="s">
        <v>12</v>
      </c>
      <c r="K125" t="s">
        <v>10</v>
      </c>
    </row>
    <row r="126" spans="1:11">
      <c r="A126" t="s">
        <v>2279</v>
      </c>
      <c r="B126" s="2">
        <v>45784</v>
      </c>
      <c r="C126">
        <v>2025</v>
      </c>
      <c r="D126">
        <v>5</v>
      </c>
      <c r="E126" t="s">
        <v>83</v>
      </c>
      <c r="F126" t="s">
        <v>26</v>
      </c>
      <c r="G126" t="s">
        <v>48</v>
      </c>
      <c r="H126" t="s">
        <v>457</v>
      </c>
      <c r="I126" t="s">
        <v>13</v>
      </c>
      <c r="J126" t="s">
        <v>33</v>
      </c>
      <c r="K126" t="s">
        <v>10</v>
      </c>
    </row>
    <row r="127" spans="1:11">
      <c r="A127" t="s">
        <v>2280</v>
      </c>
      <c r="B127" s="2">
        <v>45800</v>
      </c>
      <c r="C127">
        <v>2025</v>
      </c>
      <c r="D127">
        <v>5</v>
      </c>
      <c r="E127" t="s">
        <v>83</v>
      </c>
      <c r="F127" t="s">
        <v>2</v>
      </c>
      <c r="G127" t="s">
        <v>74</v>
      </c>
      <c r="H127" t="s">
        <v>466</v>
      </c>
      <c r="I127" t="s">
        <v>13</v>
      </c>
      <c r="J127" t="s">
        <v>4</v>
      </c>
      <c r="K127" t="s">
        <v>10</v>
      </c>
    </row>
    <row r="128" spans="1:11">
      <c r="A128" t="s">
        <v>2281</v>
      </c>
      <c r="B128" s="2">
        <v>45782</v>
      </c>
      <c r="C128">
        <v>2025</v>
      </c>
      <c r="D128">
        <v>5</v>
      </c>
      <c r="E128" t="s">
        <v>83</v>
      </c>
      <c r="F128" t="s">
        <v>38</v>
      </c>
      <c r="G128" t="s">
        <v>69</v>
      </c>
      <c r="H128" t="s">
        <v>457</v>
      </c>
      <c r="I128" t="s">
        <v>6</v>
      </c>
      <c r="J128" t="s">
        <v>33</v>
      </c>
      <c r="K128" t="s">
        <v>10</v>
      </c>
    </row>
    <row r="129" spans="1:11">
      <c r="A129" t="s">
        <v>2282</v>
      </c>
      <c r="B129" s="2">
        <v>45805</v>
      </c>
      <c r="C129">
        <v>2025</v>
      </c>
      <c r="D129">
        <v>5</v>
      </c>
      <c r="E129" t="s">
        <v>83</v>
      </c>
      <c r="F129" t="s">
        <v>54</v>
      </c>
      <c r="G129" t="s">
        <v>48</v>
      </c>
      <c r="H129" t="s">
        <v>460</v>
      </c>
      <c r="I129" t="s">
        <v>13</v>
      </c>
      <c r="J129" t="s">
        <v>12</v>
      </c>
      <c r="K129" t="s">
        <v>10</v>
      </c>
    </row>
    <row r="130" spans="1:11">
      <c r="A130" t="s">
        <v>2283</v>
      </c>
      <c r="B130" s="2">
        <v>45796</v>
      </c>
      <c r="C130">
        <v>2025</v>
      </c>
      <c r="D130">
        <v>5</v>
      </c>
      <c r="E130" t="s">
        <v>83</v>
      </c>
      <c r="F130" t="s">
        <v>38</v>
      </c>
      <c r="G130" t="s">
        <v>55</v>
      </c>
      <c r="H130" t="s">
        <v>519</v>
      </c>
      <c r="I130" t="s">
        <v>13</v>
      </c>
      <c r="J130" t="s">
        <v>12</v>
      </c>
      <c r="K130" t="s">
        <v>10</v>
      </c>
    </row>
    <row r="131" spans="1:11">
      <c r="A131" t="s">
        <v>2284</v>
      </c>
      <c r="B131" s="2">
        <v>45820</v>
      </c>
      <c r="C131">
        <v>2025</v>
      </c>
      <c r="D131">
        <v>6</v>
      </c>
      <c r="E131" t="s">
        <v>87</v>
      </c>
      <c r="F131" t="s">
        <v>2</v>
      </c>
      <c r="G131" t="s">
        <v>55</v>
      </c>
      <c r="H131" t="s">
        <v>446</v>
      </c>
      <c r="I131" t="s">
        <v>13</v>
      </c>
      <c r="J131" t="s">
        <v>44</v>
      </c>
      <c r="K131" t="s">
        <v>17</v>
      </c>
    </row>
    <row r="132" spans="1:11">
      <c r="A132" t="s">
        <v>2285</v>
      </c>
      <c r="B132" s="2">
        <v>45824</v>
      </c>
      <c r="C132">
        <v>2025</v>
      </c>
      <c r="D132">
        <v>6</v>
      </c>
      <c r="E132" t="s">
        <v>87</v>
      </c>
      <c r="F132" t="s">
        <v>2</v>
      </c>
      <c r="G132" t="s">
        <v>69</v>
      </c>
      <c r="H132" t="s">
        <v>494</v>
      </c>
      <c r="I132" t="s">
        <v>13</v>
      </c>
      <c r="J132" t="s">
        <v>12</v>
      </c>
      <c r="K132" t="s">
        <v>10</v>
      </c>
    </row>
    <row r="133" spans="1:11">
      <c r="A133" t="s">
        <v>2286</v>
      </c>
      <c r="B133" s="2">
        <v>45822</v>
      </c>
      <c r="C133">
        <v>2025</v>
      </c>
      <c r="D133">
        <v>6</v>
      </c>
      <c r="E133" t="s">
        <v>87</v>
      </c>
      <c r="F133" t="s">
        <v>78</v>
      </c>
      <c r="G133" t="s">
        <v>61</v>
      </c>
      <c r="H133" t="s">
        <v>428</v>
      </c>
      <c r="I133" t="s">
        <v>70</v>
      </c>
      <c r="J133" t="s">
        <v>33</v>
      </c>
      <c r="K133" t="s">
        <v>10</v>
      </c>
    </row>
    <row r="134" spans="1:11">
      <c r="A134" t="s">
        <v>2287</v>
      </c>
      <c r="B134" s="2">
        <v>45816</v>
      </c>
      <c r="C134">
        <v>2025</v>
      </c>
      <c r="D134">
        <v>6</v>
      </c>
      <c r="E134" t="s">
        <v>87</v>
      </c>
      <c r="F134" t="s">
        <v>78</v>
      </c>
      <c r="G134" t="s">
        <v>74</v>
      </c>
      <c r="H134" t="s">
        <v>446</v>
      </c>
      <c r="I134" t="s">
        <v>50</v>
      </c>
      <c r="J134" t="s">
        <v>33</v>
      </c>
      <c r="K134" t="s">
        <v>10</v>
      </c>
    </row>
    <row r="135" spans="1:11">
      <c r="A135" t="s">
        <v>2288</v>
      </c>
      <c r="B135" s="2">
        <v>45820</v>
      </c>
      <c r="C135">
        <v>2025</v>
      </c>
      <c r="D135">
        <v>6</v>
      </c>
      <c r="E135" t="s">
        <v>87</v>
      </c>
      <c r="F135" t="s">
        <v>54</v>
      </c>
      <c r="G135" t="s">
        <v>38</v>
      </c>
      <c r="H135" t="s">
        <v>519</v>
      </c>
      <c r="I135" t="s">
        <v>6</v>
      </c>
      <c r="J135" t="s">
        <v>33</v>
      </c>
      <c r="K135" t="s">
        <v>10</v>
      </c>
    </row>
    <row r="136" spans="1:11">
      <c r="A136" t="s">
        <v>2289</v>
      </c>
      <c r="B136" s="2">
        <v>45823</v>
      </c>
      <c r="C136">
        <v>2025</v>
      </c>
      <c r="D136">
        <v>6</v>
      </c>
      <c r="E136" t="s">
        <v>87</v>
      </c>
      <c r="F136" t="s">
        <v>54</v>
      </c>
      <c r="G136" t="s">
        <v>55</v>
      </c>
      <c r="H136" t="s">
        <v>428</v>
      </c>
      <c r="I136" t="s">
        <v>50</v>
      </c>
      <c r="J136" t="s">
        <v>33</v>
      </c>
      <c r="K136" t="s">
        <v>10</v>
      </c>
    </row>
    <row r="137" spans="1:11">
      <c r="A137" t="s">
        <v>2290</v>
      </c>
      <c r="B137" s="2">
        <v>45812</v>
      </c>
      <c r="C137">
        <v>2025</v>
      </c>
      <c r="D137">
        <v>6</v>
      </c>
      <c r="E137" t="s">
        <v>87</v>
      </c>
      <c r="F137" t="s">
        <v>40</v>
      </c>
      <c r="G137" t="s">
        <v>20</v>
      </c>
      <c r="H137" t="s">
        <v>470</v>
      </c>
      <c r="I137" t="s">
        <v>6</v>
      </c>
      <c r="J137" t="s">
        <v>4</v>
      </c>
      <c r="K137" t="s">
        <v>10</v>
      </c>
    </row>
    <row r="138" spans="1:11">
      <c r="A138" t="s">
        <v>2291</v>
      </c>
      <c r="B138" s="2">
        <v>45810</v>
      </c>
      <c r="C138">
        <v>2025</v>
      </c>
      <c r="D138">
        <v>6</v>
      </c>
      <c r="E138" t="s">
        <v>87</v>
      </c>
      <c r="F138" t="s">
        <v>2</v>
      </c>
      <c r="G138" t="s">
        <v>61</v>
      </c>
      <c r="H138" t="s">
        <v>466</v>
      </c>
      <c r="I138" t="s">
        <v>50</v>
      </c>
      <c r="J138" t="s">
        <v>4</v>
      </c>
      <c r="K138" t="s">
        <v>10</v>
      </c>
    </row>
    <row r="139" spans="1:11">
      <c r="A139" t="s">
        <v>2292</v>
      </c>
      <c r="B139" s="2">
        <v>45825</v>
      </c>
      <c r="C139">
        <v>2025</v>
      </c>
      <c r="D139">
        <v>6</v>
      </c>
      <c r="E139" t="s">
        <v>87</v>
      </c>
      <c r="F139" t="s">
        <v>40</v>
      </c>
      <c r="G139" t="s">
        <v>94</v>
      </c>
      <c r="H139" t="s">
        <v>470</v>
      </c>
      <c r="I139" t="s">
        <v>6</v>
      </c>
      <c r="J139" t="s">
        <v>4</v>
      </c>
      <c r="K139" t="s">
        <v>17</v>
      </c>
    </row>
    <row r="140" spans="1:11">
      <c r="A140" t="s">
        <v>2293</v>
      </c>
      <c r="B140" s="2">
        <v>45827</v>
      </c>
      <c r="C140">
        <v>2025</v>
      </c>
      <c r="D140">
        <v>6</v>
      </c>
      <c r="E140" t="s">
        <v>87</v>
      </c>
      <c r="F140" t="s">
        <v>47</v>
      </c>
      <c r="G140" t="s">
        <v>20</v>
      </c>
      <c r="H140" t="s">
        <v>444</v>
      </c>
      <c r="I140" t="s">
        <v>70</v>
      </c>
      <c r="J140" t="s">
        <v>4</v>
      </c>
      <c r="K140" t="s">
        <v>17</v>
      </c>
    </row>
    <row r="141" spans="1:11">
      <c r="A141" t="s">
        <v>2294</v>
      </c>
      <c r="B141" s="2">
        <v>45825</v>
      </c>
      <c r="C141">
        <v>2025</v>
      </c>
      <c r="D141">
        <v>6</v>
      </c>
      <c r="E141" t="s">
        <v>87</v>
      </c>
      <c r="F141" t="s">
        <v>38</v>
      </c>
      <c r="G141" t="s">
        <v>74</v>
      </c>
      <c r="H141" t="s">
        <v>470</v>
      </c>
      <c r="I141" t="s">
        <v>13</v>
      </c>
      <c r="J141" t="s">
        <v>44</v>
      </c>
      <c r="K141" t="s">
        <v>17</v>
      </c>
    </row>
    <row r="142" spans="1:11">
      <c r="A142" t="s">
        <v>2295</v>
      </c>
      <c r="B142" s="2">
        <v>45845</v>
      </c>
      <c r="C142">
        <v>2025</v>
      </c>
      <c r="D142">
        <v>7</v>
      </c>
      <c r="E142" t="s">
        <v>93</v>
      </c>
      <c r="F142" t="s">
        <v>40</v>
      </c>
      <c r="G142" t="s">
        <v>69</v>
      </c>
      <c r="H142" t="s">
        <v>446</v>
      </c>
      <c r="I142" t="s">
        <v>6</v>
      </c>
      <c r="J142" t="s">
        <v>4</v>
      </c>
      <c r="K142" t="s">
        <v>10</v>
      </c>
    </row>
    <row r="143" spans="1:11">
      <c r="A143" t="s">
        <v>2296</v>
      </c>
      <c r="B143" s="2">
        <v>45842</v>
      </c>
      <c r="C143">
        <v>2025</v>
      </c>
      <c r="D143">
        <v>7</v>
      </c>
      <c r="E143" t="s">
        <v>93</v>
      </c>
      <c r="F143" t="s">
        <v>40</v>
      </c>
      <c r="G143" t="s">
        <v>55</v>
      </c>
      <c r="H143" t="s">
        <v>460</v>
      </c>
      <c r="I143" t="s">
        <v>50</v>
      </c>
      <c r="J143" t="s">
        <v>44</v>
      </c>
      <c r="K143" t="s">
        <v>10</v>
      </c>
    </row>
    <row r="144" spans="1:11">
      <c r="A144" t="s">
        <v>2297</v>
      </c>
      <c r="B144" s="2">
        <v>45866</v>
      </c>
      <c r="C144">
        <v>2025</v>
      </c>
      <c r="D144">
        <v>7</v>
      </c>
      <c r="E144" t="s">
        <v>93</v>
      </c>
      <c r="F144" t="s">
        <v>38</v>
      </c>
      <c r="G144" t="s">
        <v>27</v>
      </c>
      <c r="H144" t="s">
        <v>494</v>
      </c>
      <c r="I144" t="s">
        <v>34</v>
      </c>
      <c r="J144" t="s">
        <v>33</v>
      </c>
      <c r="K144" t="s">
        <v>10</v>
      </c>
    </row>
    <row r="145" spans="1:11">
      <c r="A145" t="s">
        <v>2298</v>
      </c>
      <c r="B145" s="2">
        <v>45856</v>
      </c>
      <c r="C145">
        <v>2025</v>
      </c>
      <c r="D145">
        <v>7</v>
      </c>
      <c r="E145" t="s">
        <v>93</v>
      </c>
      <c r="F145" t="s">
        <v>47</v>
      </c>
      <c r="G145" t="s">
        <v>64</v>
      </c>
      <c r="H145" t="s">
        <v>428</v>
      </c>
      <c r="I145" t="s">
        <v>6</v>
      </c>
      <c r="J145" t="s">
        <v>12</v>
      </c>
      <c r="K145" t="s">
        <v>10</v>
      </c>
    </row>
    <row r="146" spans="1:11">
      <c r="A146" t="s">
        <v>2299</v>
      </c>
      <c r="B146" s="2">
        <v>45875</v>
      </c>
      <c r="C146">
        <v>2025</v>
      </c>
      <c r="D146">
        <v>8</v>
      </c>
      <c r="E146" t="s">
        <v>101</v>
      </c>
      <c r="F146" t="s">
        <v>40</v>
      </c>
      <c r="G146" t="s">
        <v>94</v>
      </c>
      <c r="H146" t="s">
        <v>460</v>
      </c>
      <c r="I146" t="s">
        <v>13</v>
      </c>
      <c r="J146" t="s">
        <v>33</v>
      </c>
      <c r="K146" t="s">
        <v>10</v>
      </c>
    </row>
    <row r="147" spans="1:11">
      <c r="A147" t="s">
        <v>2300</v>
      </c>
      <c r="B147" s="2">
        <v>45887</v>
      </c>
      <c r="C147">
        <v>2025</v>
      </c>
      <c r="D147">
        <v>8</v>
      </c>
      <c r="E147" t="s">
        <v>101</v>
      </c>
      <c r="F147" t="s">
        <v>38</v>
      </c>
      <c r="G147" t="s">
        <v>27</v>
      </c>
      <c r="H147" t="s">
        <v>494</v>
      </c>
      <c r="I147" t="s">
        <v>50</v>
      </c>
      <c r="J147" t="s">
        <v>4</v>
      </c>
      <c r="K147" t="s">
        <v>10</v>
      </c>
    </row>
    <row r="148" spans="1:11">
      <c r="A148" t="s">
        <v>2301</v>
      </c>
      <c r="B148" s="2">
        <v>45871</v>
      </c>
      <c r="C148">
        <v>2025</v>
      </c>
      <c r="D148">
        <v>8</v>
      </c>
      <c r="E148" t="s">
        <v>101</v>
      </c>
      <c r="F148" t="s">
        <v>40</v>
      </c>
      <c r="G148" t="s">
        <v>64</v>
      </c>
      <c r="H148" t="s">
        <v>519</v>
      </c>
      <c r="I148" t="s">
        <v>50</v>
      </c>
      <c r="J148" t="s">
        <v>4</v>
      </c>
      <c r="K148" t="s">
        <v>17</v>
      </c>
    </row>
    <row r="149" spans="1:11">
      <c r="A149" t="s">
        <v>2302</v>
      </c>
      <c r="B149" s="2">
        <v>45886</v>
      </c>
      <c r="C149">
        <v>2025</v>
      </c>
      <c r="D149">
        <v>8</v>
      </c>
      <c r="E149" t="s">
        <v>101</v>
      </c>
      <c r="F149" t="s">
        <v>31</v>
      </c>
      <c r="G149" t="s">
        <v>32</v>
      </c>
      <c r="H149" t="s">
        <v>444</v>
      </c>
      <c r="I149" t="s">
        <v>70</v>
      </c>
      <c r="J149" t="s">
        <v>12</v>
      </c>
      <c r="K149" t="s">
        <v>10</v>
      </c>
    </row>
    <row r="150" spans="1:11">
      <c r="A150" t="s">
        <v>2303</v>
      </c>
      <c r="B150" s="2">
        <v>45874</v>
      </c>
      <c r="C150">
        <v>2025</v>
      </c>
      <c r="D150">
        <v>8</v>
      </c>
      <c r="E150" t="s">
        <v>101</v>
      </c>
      <c r="F150" t="s">
        <v>2</v>
      </c>
      <c r="G150" t="s">
        <v>38</v>
      </c>
      <c r="H150" t="s">
        <v>466</v>
      </c>
      <c r="I150" t="s">
        <v>34</v>
      </c>
      <c r="J150" t="s">
        <v>12</v>
      </c>
      <c r="K150" t="s">
        <v>10</v>
      </c>
    </row>
    <row r="151" spans="1:11">
      <c r="A151" t="s">
        <v>2304</v>
      </c>
      <c r="B151" s="2">
        <v>45873</v>
      </c>
      <c r="C151">
        <v>2025</v>
      </c>
      <c r="D151">
        <v>8</v>
      </c>
      <c r="E151" t="s">
        <v>101</v>
      </c>
      <c r="F151" t="s">
        <v>67</v>
      </c>
      <c r="G151" t="s">
        <v>74</v>
      </c>
      <c r="H151" t="s">
        <v>519</v>
      </c>
      <c r="I151" t="s">
        <v>13</v>
      </c>
      <c r="J151" t="s">
        <v>33</v>
      </c>
      <c r="K151" t="s">
        <v>10</v>
      </c>
    </row>
    <row r="152" spans="1:11">
      <c r="A152" t="s">
        <v>2305</v>
      </c>
      <c r="B152" s="2">
        <v>45884</v>
      </c>
      <c r="C152">
        <v>2025</v>
      </c>
      <c r="D152">
        <v>8</v>
      </c>
      <c r="E152" t="s">
        <v>101</v>
      </c>
      <c r="F152" t="s">
        <v>47</v>
      </c>
      <c r="G152" t="s">
        <v>27</v>
      </c>
      <c r="H152" t="s">
        <v>444</v>
      </c>
      <c r="I152" t="s">
        <v>13</v>
      </c>
      <c r="J152" t="s">
        <v>33</v>
      </c>
      <c r="K152" t="s">
        <v>10</v>
      </c>
    </row>
    <row r="153" spans="1:11">
      <c r="A153" t="s">
        <v>2306</v>
      </c>
      <c r="B153" s="2">
        <v>45895</v>
      </c>
      <c r="C153">
        <v>2025</v>
      </c>
      <c r="D153">
        <v>8</v>
      </c>
      <c r="E153" t="s">
        <v>101</v>
      </c>
      <c r="F153" t="s">
        <v>78</v>
      </c>
      <c r="G153" t="s">
        <v>55</v>
      </c>
      <c r="H153" t="s">
        <v>519</v>
      </c>
      <c r="I153" t="s">
        <v>70</v>
      </c>
      <c r="J153" t="s">
        <v>33</v>
      </c>
      <c r="K153" t="s">
        <v>10</v>
      </c>
    </row>
    <row r="154" spans="1:11">
      <c r="A154" t="s">
        <v>2307</v>
      </c>
      <c r="B154" s="2">
        <v>45880</v>
      </c>
      <c r="C154">
        <v>2025</v>
      </c>
      <c r="D154">
        <v>8</v>
      </c>
      <c r="E154" t="s">
        <v>101</v>
      </c>
      <c r="F154" t="s">
        <v>26</v>
      </c>
      <c r="G154" t="s">
        <v>64</v>
      </c>
      <c r="H154" t="s">
        <v>428</v>
      </c>
      <c r="I154" t="s">
        <v>70</v>
      </c>
      <c r="J154" t="s">
        <v>44</v>
      </c>
      <c r="K154" t="s">
        <v>10</v>
      </c>
    </row>
    <row r="155" spans="1:11">
      <c r="A155" t="s">
        <v>2308</v>
      </c>
      <c r="B155" s="2">
        <v>45874</v>
      </c>
      <c r="C155">
        <v>2025</v>
      </c>
      <c r="D155">
        <v>8</v>
      </c>
      <c r="E155" t="s">
        <v>101</v>
      </c>
      <c r="F155" t="s">
        <v>78</v>
      </c>
      <c r="G155" t="s">
        <v>94</v>
      </c>
      <c r="H155" t="s">
        <v>494</v>
      </c>
      <c r="I155" t="s">
        <v>34</v>
      </c>
      <c r="J155" t="s">
        <v>12</v>
      </c>
      <c r="K155" t="s">
        <v>10</v>
      </c>
    </row>
    <row r="156" spans="1:11">
      <c r="A156" t="s">
        <v>2309</v>
      </c>
      <c r="B156" s="2">
        <v>45883</v>
      </c>
      <c r="C156">
        <v>2025</v>
      </c>
      <c r="D156">
        <v>8</v>
      </c>
      <c r="E156" t="s">
        <v>101</v>
      </c>
      <c r="F156" t="s">
        <v>54</v>
      </c>
      <c r="G156" t="s">
        <v>20</v>
      </c>
      <c r="H156" t="s">
        <v>460</v>
      </c>
      <c r="I156" t="s">
        <v>50</v>
      </c>
      <c r="J156" t="s">
        <v>44</v>
      </c>
      <c r="K156" t="s">
        <v>10</v>
      </c>
    </row>
    <row r="157" spans="1:11">
      <c r="A157" t="s">
        <v>2310</v>
      </c>
      <c r="B157" s="2">
        <v>45913</v>
      </c>
      <c r="C157">
        <v>2025</v>
      </c>
      <c r="D157">
        <v>9</v>
      </c>
      <c r="E157" t="s">
        <v>105</v>
      </c>
      <c r="F157" t="s">
        <v>54</v>
      </c>
      <c r="G157" t="s">
        <v>38</v>
      </c>
      <c r="H157" t="s">
        <v>466</v>
      </c>
      <c r="I157" t="s">
        <v>50</v>
      </c>
      <c r="J157" t="s">
        <v>12</v>
      </c>
      <c r="K157" t="s">
        <v>10</v>
      </c>
    </row>
    <row r="158" spans="1:11">
      <c r="A158" t="s">
        <v>2311</v>
      </c>
      <c r="B158" s="2">
        <v>45928</v>
      </c>
      <c r="C158">
        <v>2025</v>
      </c>
      <c r="D158">
        <v>9</v>
      </c>
      <c r="E158" t="s">
        <v>105</v>
      </c>
      <c r="F158" t="s">
        <v>78</v>
      </c>
      <c r="G158" t="s">
        <v>74</v>
      </c>
      <c r="H158" t="s">
        <v>466</v>
      </c>
      <c r="I158" t="s">
        <v>50</v>
      </c>
      <c r="J158" t="s">
        <v>4</v>
      </c>
      <c r="K158" t="s">
        <v>10</v>
      </c>
    </row>
    <row r="159" spans="1:11">
      <c r="A159" t="s">
        <v>2312</v>
      </c>
      <c r="B159" s="2">
        <v>45917</v>
      </c>
      <c r="C159">
        <v>2025</v>
      </c>
      <c r="D159">
        <v>9</v>
      </c>
      <c r="E159" t="s">
        <v>105</v>
      </c>
      <c r="F159" t="s">
        <v>47</v>
      </c>
      <c r="G159" t="s">
        <v>61</v>
      </c>
      <c r="H159" t="s">
        <v>457</v>
      </c>
      <c r="I159" t="s">
        <v>13</v>
      </c>
      <c r="J159" t="s">
        <v>4</v>
      </c>
      <c r="K159" t="s">
        <v>10</v>
      </c>
    </row>
    <row r="160" spans="1:11">
      <c r="A160" t="s">
        <v>2313</v>
      </c>
      <c r="B160" s="2">
        <v>45925</v>
      </c>
      <c r="C160">
        <v>2025</v>
      </c>
      <c r="D160">
        <v>9</v>
      </c>
      <c r="E160" t="s">
        <v>105</v>
      </c>
      <c r="F160" t="s">
        <v>78</v>
      </c>
      <c r="G160" t="s">
        <v>64</v>
      </c>
      <c r="H160" t="s">
        <v>466</v>
      </c>
      <c r="I160" t="s">
        <v>13</v>
      </c>
      <c r="J160" t="s">
        <v>33</v>
      </c>
      <c r="K160" t="s">
        <v>10</v>
      </c>
    </row>
    <row r="161" spans="1:11">
      <c r="A161" t="s">
        <v>2314</v>
      </c>
      <c r="B161" s="2">
        <v>45933</v>
      </c>
      <c r="C161">
        <v>2025</v>
      </c>
      <c r="D161">
        <v>10</v>
      </c>
      <c r="E161" t="s">
        <v>113</v>
      </c>
      <c r="F161" t="s">
        <v>54</v>
      </c>
      <c r="G161" t="s">
        <v>27</v>
      </c>
      <c r="H161" t="s">
        <v>466</v>
      </c>
      <c r="I161" t="s">
        <v>50</v>
      </c>
      <c r="J161" t="s">
        <v>33</v>
      </c>
      <c r="K161" t="s">
        <v>10</v>
      </c>
    </row>
    <row r="162" spans="1:11">
      <c r="A162" t="s">
        <v>2315</v>
      </c>
      <c r="B162" s="2">
        <v>45952</v>
      </c>
      <c r="C162">
        <v>2025</v>
      </c>
      <c r="D162">
        <v>10</v>
      </c>
      <c r="E162" t="s">
        <v>113</v>
      </c>
      <c r="F162" t="s">
        <v>19</v>
      </c>
      <c r="G162" t="s">
        <v>64</v>
      </c>
      <c r="H162" t="s">
        <v>519</v>
      </c>
      <c r="I162" t="s">
        <v>13</v>
      </c>
      <c r="J162" t="s">
        <v>44</v>
      </c>
      <c r="K162" t="s">
        <v>17</v>
      </c>
    </row>
    <row r="163" spans="1:11">
      <c r="A163" t="s">
        <v>2316</v>
      </c>
      <c r="B163" s="2">
        <v>45939</v>
      </c>
      <c r="C163">
        <v>2025</v>
      </c>
      <c r="D163">
        <v>10</v>
      </c>
      <c r="E163" t="s">
        <v>113</v>
      </c>
      <c r="F163" t="s">
        <v>26</v>
      </c>
      <c r="G163" t="s">
        <v>61</v>
      </c>
      <c r="H163" t="s">
        <v>519</v>
      </c>
      <c r="I163" t="s">
        <v>6</v>
      </c>
      <c r="J163" t="s">
        <v>44</v>
      </c>
      <c r="K163" t="s">
        <v>10</v>
      </c>
    </row>
    <row r="164" spans="1:11">
      <c r="A164" t="s">
        <v>2317</v>
      </c>
      <c r="B164" s="2">
        <v>45946</v>
      </c>
      <c r="C164">
        <v>2025</v>
      </c>
      <c r="D164">
        <v>10</v>
      </c>
      <c r="E164" t="s">
        <v>113</v>
      </c>
      <c r="F164" t="s">
        <v>38</v>
      </c>
      <c r="G164" t="s">
        <v>69</v>
      </c>
      <c r="H164" t="s">
        <v>466</v>
      </c>
      <c r="I164" t="s">
        <v>13</v>
      </c>
      <c r="J164" t="s">
        <v>4</v>
      </c>
      <c r="K164" t="s">
        <v>10</v>
      </c>
    </row>
    <row r="165" spans="1:11">
      <c r="A165" t="s">
        <v>2318</v>
      </c>
      <c r="B165" s="2">
        <v>45967</v>
      </c>
      <c r="C165">
        <v>2025</v>
      </c>
      <c r="D165">
        <v>11</v>
      </c>
      <c r="E165" t="s">
        <v>117</v>
      </c>
      <c r="F165" t="s">
        <v>40</v>
      </c>
      <c r="G165" t="s">
        <v>74</v>
      </c>
      <c r="H165" t="s">
        <v>454</v>
      </c>
      <c r="I165" t="s">
        <v>13</v>
      </c>
      <c r="J165" t="s">
        <v>44</v>
      </c>
      <c r="K165" t="s">
        <v>10</v>
      </c>
    </row>
    <row r="166" spans="1:11">
      <c r="A166" t="s">
        <v>2319</v>
      </c>
      <c r="B166" s="2">
        <v>45964</v>
      </c>
      <c r="C166">
        <v>2025</v>
      </c>
      <c r="D166">
        <v>11</v>
      </c>
      <c r="E166" t="s">
        <v>117</v>
      </c>
      <c r="F166" t="s">
        <v>26</v>
      </c>
      <c r="G166" t="s">
        <v>69</v>
      </c>
      <c r="H166" t="s">
        <v>446</v>
      </c>
      <c r="I166" t="s">
        <v>34</v>
      </c>
      <c r="J166" t="s">
        <v>44</v>
      </c>
      <c r="K166" t="s">
        <v>10</v>
      </c>
    </row>
    <row r="167" spans="1:11">
      <c r="A167" t="s">
        <v>2320</v>
      </c>
      <c r="B167" s="2">
        <v>45976</v>
      </c>
      <c r="C167">
        <v>2025</v>
      </c>
      <c r="D167">
        <v>11</v>
      </c>
      <c r="E167" t="s">
        <v>117</v>
      </c>
      <c r="F167" t="s">
        <v>67</v>
      </c>
      <c r="G167" t="s">
        <v>69</v>
      </c>
      <c r="H167" t="s">
        <v>457</v>
      </c>
      <c r="I167" t="s">
        <v>70</v>
      </c>
      <c r="J167" t="s">
        <v>44</v>
      </c>
      <c r="K167" t="s">
        <v>10</v>
      </c>
    </row>
    <row r="168" spans="1:11">
      <c r="A168" t="s">
        <v>2321</v>
      </c>
      <c r="B168" s="2">
        <v>45983</v>
      </c>
      <c r="C168">
        <v>2025</v>
      </c>
      <c r="D168">
        <v>11</v>
      </c>
      <c r="E168" t="s">
        <v>117</v>
      </c>
      <c r="F168" t="s">
        <v>19</v>
      </c>
      <c r="G168" t="s">
        <v>20</v>
      </c>
      <c r="H168" t="s">
        <v>470</v>
      </c>
      <c r="I168" t="s">
        <v>70</v>
      </c>
      <c r="J168" t="s">
        <v>44</v>
      </c>
      <c r="K168" t="s">
        <v>10</v>
      </c>
    </row>
    <row r="169" spans="1:11">
      <c r="A169" t="s">
        <v>2322</v>
      </c>
      <c r="B169" s="2">
        <v>45981</v>
      </c>
      <c r="C169">
        <v>2025</v>
      </c>
      <c r="D169">
        <v>11</v>
      </c>
      <c r="E169" t="s">
        <v>117</v>
      </c>
      <c r="F169" t="s">
        <v>78</v>
      </c>
      <c r="G169" t="s">
        <v>48</v>
      </c>
      <c r="H169" t="s">
        <v>460</v>
      </c>
      <c r="I169" t="s">
        <v>6</v>
      </c>
      <c r="J169" t="s">
        <v>12</v>
      </c>
      <c r="K169" t="s">
        <v>17</v>
      </c>
    </row>
    <row r="170" spans="1:11">
      <c r="A170" t="s">
        <v>2323</v>
      </c>
      <c r="B170" s="2">
        <v>45984</v>
      </c>
      <c r="C170">
        <v>2025</v>
      </c>
      <c r="D170">
        <v>11</v>
      </c>
      <c r="E170" t="s">
        <v>117</v>
      </c>
      <c r="F170" t="s">
        <v>38</v>
      </c>
      <c r="G170" t="s">
        <v>61</v>
      </c>
      <c r="H170" t="s">
        <v>470</v>
      </c>
      <c r="I170" t="s">
        <v>6</v>
      </c>
      <c r="J170" t="s">
        <v>4</v>
      </c>
      <c r="K170" t="s">
        <v>10</v>
      </c>
    </row>
    <row r="171" spans="1:11">
      <c r="A171" t="s">
        <v>2324</v>
      </c>
      <c r="B171" s="2">
        <v>45973</v>
      </c>
      <c r="C171">
        <v>2025</v>
      </c>
      <c r="D171">
        <v>11</v>
      </c>
      <c r="E171" t="s">
        <v>117</v>
      </c>
      <c r="F171" t="s">
        <v>31</v>
      </c>
      <c r="G171" t="s">
        <v>64</v>
      </c>
      <c r="H171" t="s">
        <v>470</v>
      </c>
      <c r="I171" t="s">
        <v>70</v>
      </c>
      <c r="J171" t="s">
        <v>33</v>
      </c>
      <c r="K171" t="s">
        <v>10</v>
      </c>
    </row>
    <row r="172" spans="1:11">
      <c r="A172" t="s">
        <v>2325</v>
      </c>
      <c r="B172" s="2">
        <v>45985</v>
      </c>
      <c r="C172">
        <v>2025</v>
      </c>
      <c r="D172">
        <v>11</v>
      </c>
      <c r="E172" t="s">
        <v>117</v>
      </c>
      <c r="F172" t="s">
        <v>78</v>
      </c>
      <c r="G172" t="s">
        <v>27</v>
      </c>
      <c r="H172" t="s">
        <v>494</v>
      </c>
      <c r="I172" t="s">
        <v>70</v>
      </c>
      <c r="J172" t="s">
        <v>4</v>
      </c>
      <c r="K172" t="s">
        <v>10</v>
      </c>
    </row>
    <row r="173" spans="1:11">
      <c r="A173" t="s">
        <v>2326</v>
      </c>
      <c r="B173" s="2">
        <v>45966</v>
      </c>
      <c r="C173">
        <v>2025</v>
      </c>
      <c r="D173">
        <v>11</v>
      </c>
      <c r="E173" t="s">
        <v>117</v>
      </c>
      <c r="F173" t="s">
        <v>38</v>
      </c>
      <c r="G173" t="s">
        <v>74</v>
      </c>
      <c r="H173" t="s">
        <v>519</v>
      </c>
      <c r="I173" t="s">
        <v>50</v>
      </c>
      <c r="J173" t="s">
        <v>4</v>
      </c>
      <c r="K173" t="s">
        <v>17</v>
      </c>
    </row>
    <row r="174" spans="1:11">
      <c r="A174" t="s">
        <v>2327</v>
      </c>
      <c r="B174" s="2">
        <v>45979</v>
      </c>
      <c r="C174">
        <v>2025</v>
      </c>
      <c r="D174">
        <v>11</v>
      </c>
      <c r="E174" t="s">
        <v>117</v>
      </c>
      <c r="F174" t="s">
        <v>47</v>
      </c>
      <c r="G174" t="s">
        <v>61</v>
      </c>
      <c r="H174" t="s">
        <v>457</v>
      </c>
      <c r="I174" t="s">
        <v>50</v>
      </c>
      <c r="J174" t="s">
        <v>33</v>
      </c>
      <c r="K174" t="s">
        <v>17</v>
      </c>
    </row>
    <row r="175" spans="1:11">
      <c r="A175" t="s">
        <v>2328</v>
      </c>
      <c r="B175" s="2">
        <v>45996</v>
      </c>
      <c r="C175">
        <v>2025</v>
      </c>
      <c r="D175">
        <v>12</v>
      </c>
      <c r="E175" t="s">
        <v>124</v>
      </c>
      <c r="F175" t="s">
        <v>67</v>
      </c>
      <c r="G175" t="s">
        <v>38</v>
      </c>
      <c r="H175" t="s">
        <v>466</v>
      </c>
      <c r="I175" t="s">
        <v>50</v>
      </c>
      <c r="J175" t="s">
        <v>44</v>
      </c>
      <c r="K175" t="s">
        <v>17</v>
      </c>
    </row>
    <row r="176" spans="1:11">
      <c r="A176" t="s">
        <v>2329</v>
      </c>
      <c r="B176" s="2">
        <v>46009</v>
      </c>
      <c r="C176">
        <v>2025</v>
      </c>
      <c r="D176">
        <v>12</v>
      </c>
      <c r="E176" t="s">
        <v>124</v>
      </c>
      <c r="F176" t="s">
        <v>67</v>
      </c>
      <c r="G176" t="s">
        <v>64</v>
      </c>
      <c r="H176" t="s">
        <v>428</v>
      </c>
      <c r="I176" t="s">
        <v>50</v>
      </c>
      <c r="J176" t="s">
        <v>33</v>
      </c>
      <c r="K176" t="s">
        <v>10</v>
      </c>
    </row>
    <row r="177" spans="1:11">
      <c r="A177" t="s">
        <v>2330</v>
      </c>
      <c r="B177" s="2">
        <v>45996</v>
      </c>
      <c r="C177">
        <v>2025</v>
      </c>
      <c r="D177">
        <v>12</v>
      </c>
      <c r="E177" t="s">
        <v>124</v>
      </c>
      <c r="F177" t="s">
        <v>54</v>
      </c>
      <c r="G177" t="s">
        <v>27</v>
      </c>
      <c r="H177" t="s">
        <v>444</v>
      </c>
      <c r="I177" t="s">
        <v>13</v>
      </c>
      <c r="J177" t="s">
        <v>33</v>
      </c>
      <c r="K177" t="s">
        <v>17</v>
      </c>
    </row>
    <row r="178" spans="1:11">
      <c r="A178" t="s">
        <v>2331</v>
      </c>
      <c r="B178" s="2">
        <v>46013</v>
      </c>
      <c r="C178">
        <v>2025</v>
      </c>
      <c r="D178">
        <v>12</v>
      </c>
      <c r="E178" t="s">
        <v>124</v>
      </c>
      <c r="F178" t="s">
        <v>47</v>
      </c>
      <c r="G178" t="s">
        <v>32</v>
      </c>
      <c r="H178" t="s">
        <v>519</v>
      </c>
      <c r="I178" t="s">
        <v>70</v>
      </c>
      <c r="J178" t="s">
        <v>44</v>
      </c>
      <c r="K178" t="s">
        <v>10</v>
      </c>
    </row>
    <row r="179" spans="1:11">
      <c r="A179" t="s">
        <v>2332</v>
      </c>
      <c r="B179" s="2">
        <v>46015</v>
      </c>
      <c r="C179">
        <v>2025</v>
      </c>
      <c r="D179">
        <v>12</v>
      </c>
      <c r="E179" t="s">
        <v>124</v>
      </c>
      <c r="F179" t="s">
        <v>26</v>
      </c>
      <c r="G179" t="s">
        <v>3</v>
      </c>
      <c r="H179" t="s">
        <v>460</v>
      </c>
      <c r="I179" t="s">
        <v>70</v>
      </c>
      <c r="J179" t="s">
        <v>4</v>
      </c>
      <c r="K179" t="s">
        <v>10</v>
      </c>
    </row>
    <row r="180" spans="1:11">
      <c r="A180" t="s">
        <v>2333</v>
      </c>
      <c r="B180" s="2">
        <v>46003</v>
      </c>
      <c r="C180">
        <v>2025</v>
      </c>
      <c r="D180">
        <v>12</v>
      </c>
      <c r="E180" t="s">
        <v>124</v>
      </c>
      <c r="F180" t="s">
        <v>67</v>
      </c>
      <c r="G180" t="s">
        <v>3</v>
      </c>
      <c r="H180" t="s">
        <v>494</v>
      </c>
      <c r="I180" t="s">
        <v>6</v>
      </c>
      <c r="J180" t="s">
        <v>12</v>
      </c>
      <c r="K180" t="s">
        <v>10</v>
      </c>
    </row>
    <row r="181" spans="1:11">
      <c r="A181" t="s">
        <v>2334</v>
      </c>
      <c r="B181" s="2">
        <v>46032</v>
      </c>
      <c r="C181">
        <v>2026</v>
      </c>
      <c r="D181">
        <v>1</v>
      </c>
      <c r="E181" t="s">
        <v>1</v>
      </c>
      <c r="F181" t="s">
        <v>38</v>
      </c>
      <c r="G181" t="s">
        <v>20</v>
      </c>
      <c r="H181" t="s">
        <v>457</v>
      </c>
      <c r="I181" t="s">
        <v>70</v>
      </c>
      <c r="J181" t="s">
        <v>4</v>
      </c>
      <c r="K181" t="s">
        <v>10</v>
      </c>
    </row>
    <row r="182" spans="1:11">
      <c r="A182" t="s">
        <v>2335</v>
      </c>
      <c r="B182" s="2">
        <v>46034</v>
      </c>
      <c r="C182">
        <v>2026</v>
      </c>
      <c r="D182">
        <v>1</v>
      </c>
      <c r="E182" t="s">
        <v>1</v>
      </c>
      <c r="F182" t="s">
        <v>38</v>
      </c>
      <c r="G182" t="s">
        <v>38</v>
      </c>
      <c r="H182" t="s">
        <v>494</v>
      </c>
      <c r="I182" t="s">
        <v>50</v>
      </c>
      <c r="J182" t="s">
        <v>33</v>
      </c>
      <c r="K182" t="s">
        <v>10</v>
      </c>
    </row>
    <row r="183" spans="1:11">
      <c r="A183" t="s">
        <v>2336</v>
      </c>
      <c r="B183" s="2">
        <v>46034</v>
      </c>
      <c r="C183">
        <v>2026</v>
      </c>
      <c r="D183">
        <v>1</v>
      </c>
      <c r="E183" t="s">
        <v>1</v>
      </c>
      <c r="F183" t="s">
        <v>19</v>
      </c>
      <c r="G183" t="s">
        <v>69</v>
      </c>
      <c r="H183" t="s">
        <v>444</v>
      </c>
      <c r="I183" t="s">
        <v>34</v>
      </c>
      <c r="J183" t="s">
        <v>33</v>
      </c>
      <c r="K183" t="s">
        <v>10</v>
      </c>
    </row>
    <row r="184" spans="1:11">
      <c r="A184" t="s">
        <v>2337</v>
      </c>
      <c r="B184" s="2">
        <v>46042</v>
      </c>
      <c r="C184">
        <v>2026</v>
      </c>
      <c r="D184">
        <v>1</v>
      </c>
      <c r="E184" t="s">
        <v>1</v>
      </c>
      <c r="F184" t="s">
        <v>40</v>
      </c>
      <c r="G184" t="s">
        <v>48</v>
      </c>
      <c r="H184" t="s">
        <v>454</v>
      </c>
      <c r="I184" t="s">
        <v>70</v>
      </c>
      <c r="J184" t="s">
        <v>33</v>
      </c>
      <c r="K184" t="s">
        <v>10</v>
      </c>
    </row>
    <row r="185" spans="1:11">
      <c r="A185" t="s">
        <v>2338</v>
      </c>
      <c r="B185" s="2">
        <v>46038</v>
      </c>
      <c r="C185">
        <v>2026</v>
      </c>
      <c r="D185">
        <v>1</v>
      </c>
      <c r="E185" t="s">
        <v>1</v>
      </c>
      <c r="F185" t="s">
        <v>26</v>
      </c>
      <c r="G185" t="s">
        <v>94</v>
      </c>
      <c r="H185" t="s">
        <v>466</v>
      </c>
      <c r="I185" t="s">
        <v>50</v>
      </c>
      <c r="J185" t="s">
        <v>33</v>
      </c>
      <c r="K185" t="s">
        <v>17</v>
      </c>
    </row>
    <row r="186" spans="1:11">
      <c r="A186" t="s">
        <v>2339</v>
      </c>
      <c r="B186" s="2">
        <v>46033</v>
      </c>
      <c r="C186">
        <v>2026</v>
      </c>
      <c r="D186">
        <v>1</v>
      </c>
      <c r="E186" t="s">
        <v>1</v>
      </c>
      <c r="F186" t="s">
        <v>40</v>
      </c>
      <c r="G186" t="s">
        <v>32</v>
      </c>
      <c r="H186" t="s">
        <v>454</v>
      </c>
      <c r="I186" t="s">
        <v>34</v>
      </c>
      <c r="J186" t="s">
        <v>33</v>
      </c>
      <c r="K186" t="s">
        <v>17</v>
      </c>
    </row>
    <row r="187" spans="1:11">
      <c r="A187" t="s">
        <v>2340</v>
      </c>
      <c r="B187" s="2">
        <v>46046</v>
      </c>
      <c r="C187">
        <v>2026</v>
      </c>
      <c r="D187">
        <v>1</v>
      </c>
      <c r="E187" t="s">
        <v>1</v>
      </c>
      <c r="F187" t="s">
        <v>31</v>
      </c>
      <c r="G187" t="s">
        <v>55</v>
      </c>
      <c r="H187" t="s">
        <v>444</v>
      </c>
      <c r="I187" t="s">
        <v>50</v>
      </c>
      <c r="J187" t="s">
        <v>44</v>
      </c>
      <c r="K187" t="s">
        <v>10</v>
      </c>
    </row>
    <row r="188" spans="1:11">
      <c r="A188" t="s">
        <v>2341</v>
      </c>
      <c r="B188" s="2">
        <v>46026</v>
      </c>
      <c r="C188">
        <v>2026</v>
      </c>
      <c r="D188">
        <v>1</v>
      </c>
      <c r="E188" t="s">
        <v>1</v>
      </c>
      <c r="F188" t="s">
        <v>54</v>
      </c>
      <c r="G188" t="s">
        <v>3</v>
      </c>
      <c r="H188" t="s">
        <v>454</v>
      </c>
      <c r="I188" t="s">
        <v>70</v>
      </c>
      <c r="J188" t="s">
        <v>33</v>
      </c>
      <c r="K188" t="s">
        <v>10</v>
      </c>
    </row>
    <row r="189" spans="1:11">
      <c r="A189" t="s">
        <v>2342</v>
      </c>
      <c r="B189" s="2">
        <v>46047</v>
      </c>
      <c r="C189">
        <v>2026</v>
      </c>
      <c r="D189">
        <v>1</v>
      </c>
      <c r="E189" t="s">
        <v>1</v>
      </c>
      <c r="F189" t="s">
        <v>38</v>
      </c>
      <c r="G189" t="s">
        <v>38</v>
      </c>
      <c r="H189" t="s">
        <v>444</v>
      </c>
      <c r="I189" t="s">
        <v>13</v>
      </c>
      <c r="J189" t="s">
        <v>44</v>
      </c>
      <c r="K189" t="s">
        <v>10</v>
      </c>
    </row>
    <row r="190" spans="1:11">
      <c r="A190" t="s">
        <v>2343</v>
      </c>
      <c r="B190" s="2">
        <v>46048</v>
      </c>
      <c r="C190">
        <v>2026</v>
      </c>
      <c r="D190">
        <v>1</v>
      </c>
      <c r="E190" t="s">
        <v>1</v>
      </c>
      <c r="F190" t="s">
        <v>54</v>
      </c>
      <c r="G190" t="s">
        <v>20</v>
      </c>
      <c r="H190" t="s">
        <v>470</v>
      </c>
      <c r="I190" t="s">
        <v>13</v>
      </c>
      <c r="J190" t="s">
        <v>33</v>
      </c>
      <c r="K190" t="s">
        <v>10</v>
      </c>
    </row>
    <row r="191" spans="1:11">
      <c r="A191" t="s">
        <v>2344</v>
      </c>
      <c r="B191" s="2">
        <v>46041</v>
      </c>
      <c r="C191">
        <v>2026</v>
      </c>
      <c r="D191">
        <v>1</v>
      </c>
      <c r="E191" t="s">
        <v>1</v>
      </c>
      <c r="F191" t="s">
        <v>26</v>
      </c>
      <c r="G191" t="s">
        <v>64</v>
      </c>
      <c r="H191" t="s">
        <v>470</v>
      </c>
      <c r="I191" t="s">
        <v>34</v>
      </c>
      <c r="J191" t="s">
        <v>44</v>
      </c>
      <c r="K191" t="s">
        <v>10</v>
      </c>
    </row>
    <row r="192" spans="1:11">
      <c r="A192" t="s">
        <v>2345</v>
      </c>
      <c r="B192" s="2">
        <v>46075</v>
      </c>
      <c r="C192">
        <v>2026</v>
      </c>
      <c r="D192">
        <v>2</v>
      </c>
      <c r="E192" t="s">
        <v>25</v>
      </c>
      <c r="F192" t="s">
        <v>40</v>
      </c>
      <c r="G192" t="s">
        <v>48</v>
      </c>
      <c r="H192" t="s">
        <v>466</v>
      </c>
      <c r="I192" t="s">
        <v>6</v>
      </c>
      <c r="J192" t="s">
        <v>12</v>
      </c>
      <c r="K192" t="s">
        <v>17</v>
      </c>
    </row>
    <row r="193" spans="1:11">
      <c r="A193" t="s">
        <v>2346</v>
      </c>
      <c r="B193" s="2">
        <v>46080</v>
      </c>
      <c r="C193">
        <v>2026</v>
      </c>
      <c r="D193">
        <v>2</v>
      </c>
      <c r="E193" t="s">
        <v>25</v>
      </c>
      <c r="F193" t="s">
        <v>67</v>
      </c>
      <c r="G193" t="s">
        <v>69</v>
      </c>
      <c r="H193" t="s">
        <v>519</v>
      </c>
      <c r="I193" t="s">
        <v>13</v>
      </c>
      <c r="J193" t="s">
        <v>44</v>
      </c>
      <c r="K193" t="s">
        <v>10</v>
      </c>
    </row>
    <row r="194" spans="1:11">
      <c r="A194" t="s">
        <v>2347</v>
      </c>
      <c r="B194" s="2">
        <v>46058</v>
      </c>
      <c r="C194">
        <v>2026</v>
      </c>
      <c r="D194">
        <v>2</v>
      </c>
      <c r="E194" t="s">
        <v>25</v>
      </c>
      <c r="F194" t="s">
        <v>2</v>
      </c>
      <c r="G194" t="s">
        <v>38</v>
      </c>
      <c r="H194" t="s">
        <v>460</v>
      </c>
      <c r="I194" t="s">
        <v>13</v>
      </c>
      <c r="J194" t="s">
        <v>44</v>
      </c>
      <c r="K194" t="s">
        <v>17</v>
      </c>
    </row>
    <row r="195" spans="1:11">
      <c r="A195" t="s">
        <v>2348</v>
      </c>
      <c r="B195" s="2">
        <v>46077</v>
      </c>
      <c r="C195">
        <v>2026</v>
      </c>
      <c r="D195">
        <v>2</v>
      </c>
      <c r="E195" t="s">
        <v>25</v>
      </c>
      <c r="F195" t="s">
        <v>47</v>
      </c>
      <c r="G195" t="s">
        <v>38</v>
      </c>
      <c r="H195" t="s">
        <v>457</v>
      </c>
      <c r="I195" t="s">
        <v>6</v>
      </c>
      <c r="J195" t="s">
        <v>33</v>
      </c>
      <c r="K195" t="s">
        <v>17</v>
      </c>
    </row>
    <row r="196" spans="1:11">
      <c r="A196" t="s">
        <v>2349</v>
      </c>
      <c r="B196" s="2">
        <v>46083</v>
      </c>
      <c r="C196">
        <v>2026</v>
      </c>
      <c r="D196">
        <v>3</v>
      </c>
      <c r="E196" t="s">
        <v>60</v>
      </c>
      <c r="F196" t="s">
        <v>19</v>
      </c>
      <c r="G196" t="s">
        <v>3</v>
      </c>
      <c r="H196" t="s">
        <v>446</v>
      </c>
      <c r="I196" t="s">
        <v>13</v>
      </c>
      <c r="J196" t="s">
        <v>44</v>
      </c>
      <c r="K196" t="s">
        <v>10</v>
      </c>
    </row>
    <row r="197" spans="1:11">
      <c r="A197" t="s">
        <v>2350</v>
      </c>
      <c r="B197" s="2">
        <v>46093</v>
      </c>
      <c r="C197">
        <v>2026</v>
      </c>
      <c r="D197">
        <v>3</v>
      </c>
      <c r="E197" t="s">
        <v>60</v>
      </c>
      <c r="F197" t="s">
        <v>31</v>
      </c>
      <c r="G197" t="s">
        <v>3</v>
      </c>
      <c r="H197" t="s">
        <v>454</v>
      </c>
      <c r="I197" t="s">
        <v>70</v>
      </c>
      <c r="J197" t="s">
        <v>12</v>
      </c>
      <c r="K197" t="s">
        <v>10</v>
      </c>
    </row>
    <row r="198" spans="1:11">
      <c r="A198" t="s">
        <v>2351</v>
      </c>
      <c r="B198" s="2">
        <v>46083</v>
      </c>
      <c r="C198">
        <v>2026</v>
      </c>
      <c r="D198">
        <v>3</v>
      </c>
      <c r="E198" t="s">
        <v>60</v>
      </c>
      <c r="F198" t="s">
        <v>78</v>
      </c>
      <c r="G198" t="s">
        <v>32</v>
      </c>
      <c r="H198" t="s">
        <v>428</v>
      </c>
      <c r="I198" t="s">
        <v>70</v>
      </c>
      <c r="J198" t="s">
        <v>4</v>
      </c>
      <c r="K198" t="s">
        <v>10</v>
      </c>
    </row>
    <row r="199" spans="1:11">
      <c r="A199" t="s">
        <v>2352</v>
      </c>
      <c r="B199" s="2">
        <v>46106</v>
      </c>
      <c r="C199">
        <v>2026</v>
      </c>
      <c r="D199">
        <v>3</v>
      </c>
      <c r="E199" t="s">
        <v>60</v>
      </c>
      <c r="F199" t="s">
        <v>19</v>
      </c>
      <c r="G199" t="s">
        <v>3</v>
      </c>
      <c r="H199" t="s">
        <v>466</v>
      </c>
      <c r="I199" t="s">
        <v>6</v>
      </c>
      <c r="J199" t="s">
        <v>4</v>
      </c>
      <c r="K199" t="s">
        <v>17</v>
      </c>
    </row>
    <row r="200" spans="1:11">
      <c r="A200" t="s">
        <v>2353</v>
      </c>
      <c r="B200" s="2">
        <v>46082</v>
      </c>
      <c r="C200">
        <v>2026</v>
      </c>
      <c r="D200">
        <v>3</v>
      </c>
      <c r="E200" t="s">
        <v>60</v>
      </c>
      <c r="F200" t="s">
        <v>19</v>
      </c>
      <c r="G200" t="s">
        <v>55</v>
      </c>
      <c r="H200" t="s">
        <v>470</v>
      </c>
      <c r="I200" t="s">
        <v>70</v>
      </c>
      <c r="J200" t="s">
        <v>4</v>
      </c>
      <c r="K200" t="s">
        <v>17</v>
      </c>
    </row>
    <row r="201" spans="1:11">
      <c r="A201" t="s">
        <v>2354</v>
      </c>
      <c r="B201" s="2">
        <v>46093</v>
      </c>
      <c r="C201">
        <v>2026</v>
      </c>
      <c r="D201">
        <v>3</v>
      </c>
      <c r="E201" t="s">
        <v>60</v>
      </c>
      <c r="F201" t="s">
        <v>78</v>
      </c>
      <c r="G201" t="s">
        <v>3</v>
      </c>
      <c r="H201" t="s">
        <v>466</v>
      </c>
      <c r="I201" t="s">
        <v>34</v>
      </c>
      <c r="J201" t="s">
        <v>4</v>
      </c>
      <c r="K201" t="s">
        <v>17</v>
      </c>
    </row>
    <row r="202" spans="1:11">
      <c r="A202" t="s">
        <v>2355</v>
      </c>
      <c r="B202" s="2">
        <v>46098</v>
      </c>
      <c r="C202">
        <v>2026</v>
      </c>
      <c r="D202">
        <v>3</v>
      </c>
      <c r="E202" t="s">
        <v>60</v>
      </c>
      <c r="F202" t="s">
        <v>54</v>
      </c>
      <c r="G202" t="s">
        <v>64</v>
      </c>
      <c r="H202" t="s">
        <v>454</v>
      </c>
      <c r="I202" t="s">
        <v>13</v>
      </c>
      <c r="J202" t="s">
        <v>4</v>
      </c>
      <c r="K202" t="s">
        <v>17</v>
      </c>
    </row>
    <row r="203" spans="1:11">
      <c r="A203" t="s">
        <v>2356</v>
      </c>
      <c r="B203" s="2">
        <v>46108</v>
      </c>
      <c r="C203">
        <v>2026</v>
      </c>
      <c r="D203">
        <v>3</v>
      </c>
      <c r="E203" t="s">
        <v>60</v>
      </c>
      <c r="F203" t="s">
        <v>40</v>
      </c>
      <c r="G203" t="s">
        <v>74</v>
      </c>
      <c r="H203" t="s">
        <v>466</v>
      </c>
      <c r="I203" t="s">
        <v>70</v>
      </c>
      <c r="J203" t="s">
        <v>12</v>
      </c>
      <c r="K203" t="s">
        <v>10</v>
      </c>
    </row>
    <row r="204" spans="1:11">
      <c r="A204" t="s">
        <v>2357</v>
      </c>
      <c r="B204" s="2">
        <v>46105</v>
      </c>
      <c r="C204">
        <v>2026</v>
      </c>
      <c r="D204">
        <v>3</v>
      </c>
      <c r="E204" t="s">
        <v>60</v>
      </c>
      <c r="F204" t="s">
        <v>19</v>
      </c>
      <c r="G204" t="s">
        <v>32</v>
      </c>
      <c r="H204" t="s">
        <v>454</v>
      </c>
      <c r="I204" t="s">
        <v>50</v>
      </c>
      <c r="J204" t="s">
        <v>4</v>
      </c>
      <c r="K204" t="s">
        <v>10</v>
      </c>
    </row>
    <row r="205" spans="1:11">
      <c r="A205" t="s">
        <v>2358</v>
      </c>
      <c r="B205" s="2">
        <v>46131</v>
      </c>
      <c r="C205">
        <v>2026</v>
      </c>
      <c r="D205">
        <v>4</v>
      </c>
      <c r="E205" t="s">
        <v>73</v>
      </c>
      <c r="F205" t="s">
        <v>38</v>
      </c>
      <c r="G205" t="s">
        <v>20</v>
      </c>
      <c r="H205" t="s">
        <v>466</v>
      </c>
      <c r="I205" t="s">
        <v>50</v>
      </c>
      <c r="J205" t="s">
        <v>33</v>
      </c>
      <c r="K205" t="s">
        <v>17</v>
      </c>
    </row>
    <row r="206" spans="1:11">
      <c r="A206" t="s">
        <v>2359</v>
      </c>
      <c r="B206" s="2">
        <v>46125</v>
      </c>
      <c r="C206">
        <v>2026</v>
      </c>
      <c r="D206">
        <v>4</v>
      </c>
      <c r="E206" t="s">
        <v>73</v>
      </c>
      <c r="F206" t="s">
        <v>78</v>
      </c>
      <c r="G206" t="s">
        <v>3</v>
      </c>
      <c r="H206" t="s">
        <v>470</v>
      </c>
      <c r="I206" t="s">
        <v>6</v>
      </c>
      <c r="J206" t="s">
        <v>4</v>
      </c>
      <c r="K206" t="s">
        <v>10</v>
      </c>
    </row>
    <row r="207" spans="1:11">
      <c r="A207" t="s">
        <v>2360</v>
      </c>
      <c r="B207" s="2">
        <v>46131</v>
      </c>
      <c r="C207">
        <v>2026</v>
      </c>
      <c r="D207">
        <v>4</v>
      </c>
      <c r="E207" t="s">
        <v>73</v>
      </c>
      <c r="F207" t="s">
        <v>38</v>
      </c>
      <c r="G207" t="s">
        <v>48</v>
      </c>
      <c r="H207" t="s">
        <v>457</v>
      </c>
      <c r="I207" t="s">
        <v>6</v>
      </c>
      <c r="J207" t="s">
        <v>12</v>
      </c>
      <c r="K207" t="s">
        <v>17</v>
      </c>
    </row>
    <row r="208" spans="1:11">
      <c r="A208" t="s">
        <v>2361</v>
      </c>
      <c r="B208" s="2">
        <v>46139</v>
      </c>
      <c r="C208">
        <v>2026</v>
      </c>
      <c r="D208">
        <v>4</v>
      </c>
      <c r="E208" t="s">
        <v>73</v>
      </c>
      <c r="F208" t="s">
        <v>47</v>
      </c>
      <c r="G208" t="s">
        <v>38</v>
      </c>
      <c r="H208" t="s">
        <v>466</v>
      </c>
      <c r="I208" t="s">
        <v>50</v>
      </c>
      <c r="J208" t="s">
        <v>44</v>
      </c>
      <c r="K208" t="s">
        <v>17</v>
      </c>
    </row>
    <row r="209" spans="1:11">
      <c r="A209" t="s">
        <v>2362</v>
      </c>
      <c r="B209" s="2">
        <v>46140</v>
      </c>
      <c r="C209">
        <v>2026</v>
      </c>
      <c r="D209">
        <v>4</v>
      </c>
      <c r="E209" t="s">
        <v>73</v>
      </c>
      <c r="F209" t="s">
        <v>19</v>
      </c>
      <c r="G209" t="s">
        <v>20</v>
      </c>
      <c r="H209" t="s">
        <v>457</v>
      </c>
      <c r="I209" t="s">
        <v>6</v>
      </c>
      <c r="J209" t="s">
        <v>44</v>
      </c>
      <c r="K209" t="s">
        <v>17</v>
      </c>
    </row>
    <row r="210" spans="1:11">
      <c r="A210" t="s">
        <v>2363</v>
      </c>
      <c r="B210" s="2">
        <v>46114</v>
      </c>
      <c r="C210">
        <v>2026</v>
      </c>
      <c r="D210">
        <v>4</v>
      </c>
      <c r="E210" t="s">
        <v>73</v>
      </c>
      <c r="F210" t="s">
        <v>40</v>
      </c>
      <c r="G210" t="s">
        <v>55</v>
      </c>
      <c r="H210" t="s">
        <v>446</v>
      </c>
      <c r="I210" t="s">
        <v>50</v>
      </c>
      <c r="J210" t="s">
        <v>12</v>
      </c>
      <c r="K210" t="s">
        <v>10</v>
      </c>
    </row>
    <row r="211" spans="1:11">
      <c r="A211" t="s">
        <v>2364</v>
      </c>
      <c r="B211" s="2">
        <v>46115</v>
      </c>
      <c r="C211">
        <v>2026</v>
      </c>
      <c r="D211">
        <v>4</v>
      </c>
      <c r="E211" t="s">
        <v>73</v>
      </c>
      <c r="F211" t="s">
        <v>2</v>
      </c>
      <c r="G211" t="s">
        <v>3</v>
      </c>
      <c r="H211" t="s">
        <v>444</v>
      </c>
      <c r="I211" t="s">
        <v>13</v>
      </c>
      <c r="J211" t="s">
        <v>4</v>
      </c>
      <c r="K211" t="s">
        <v>10</v>
      </c>
    </row>
    <row r="212" spans="1:11">
      <c r="A212" t="s">
        <v>2365</v>
      </c>
      <c r="B212" s="2">
        <v>46137</v>
      </c>
      <c r="C212">
        <v>2026</v>
      </c>
      <c r="D212">
        <v>4</v>
      </c>
      <c r="E212" t="s">
        <v>73</v>
      </c>
      <c r="F212" t="s">
        <v>26</v>
      </c>
      <c r="G212" t="s">
        <v>55</v>
      </c>
      <c r="H212" t="s">
        <v>460</v>
      </c>
      <c r="I212" t="s">
        <v>13</v>
      </c>
      <c r="J212" t="s">
        <v>44</v>
      </c>
      <c r="K212" t="s">
        <v>10</v>
      </c>
    </row>
    <row r="213" spans="1:11">
      <c r="A213" t="s">
        <v>2366</v>
      </c>
      <c r="B213" s="2">
        <v>46150</v>
      </c>
      <c r="C213">
        <v>2026</v>
      </c>
      <c r="D213">
        <v>5</v>
      </c>
      <c r="E213" t="s">
        <v>83</v>
      </c>
      <c r="F213" t="s">
        <v>54</v>
      </c>
      <c r="G213" t="s">
        <v>48</v>
      </c>
      <c r="H213" t="s">
        <v>444</v>
      </c>
      <c r="I213" t="s">
        <v>50</v>
      </c>
      <c r="J213" t="s">
        <v>44</v>
      </c>
      <c r="K213" t="s">
        <v>10</v>
      </c>
    </row>
    <row r="214" spans="1:11">
      <c r="A214" t="s">
        <v>2367</v>
      </c>
      <c r="B214" s="2">
        <v>46164</v>
      </c>
      <c r="C214">
        <v>2026</v>
      </c>
      <c r="D214">
        <v>5</v>
      </c>
      <c r="E214" t="s">
        <v>83</v>
      </c>
      <c r="F214" t="s">
        <v>67</v>
      </c>
      <c r="G214" t="s">
        <v>48</v>
      </c>
      <c r="H214" t="s">
        <v>470</v>
      </c>
      <c r="I214" t="s">
        <v>50</v>
      </c>
      <c r="J214" t="s">
        <v>44</v>
      </c>
      <c r="K214" t="s">
        <v>17</v>
      </c>
    </row>
    <row r="215" spans="1:11">
      <c r="A215" t="s">
        <v>2368</v>
      </c>
      <c r="B215" s="2">
        <v>46151</v>
      </c>
      <c r="C215">
        <v>2026</v>
      </c>
      <c r="D215">
        <v>5</v>
      </c>
      <c r="E215" t="s">
        <v>83</v>
      </c>
      <c r="F215" t="s">
        <v>47</v>
      </c>
      <c r="G215" t="s">
        <v>48</v>
      </c>
      <c r="H215" t="s">
        <v>466</v>
      </c>
      <c r="I215" t="s">
        <v>50</v>
      </c>
      <c r="J215" t="s">
        <v>4</v>
      </c>
      <c r="K215" t="s">
        <v>10</v>
      </c>
    </row>
    <row r="216" spans="1:11">
      <c r="A216" t="s">
        <v>2369</v>
      </c>
      <c r="B216" s="2">
        <v>46169</v>
      </c>
      <c r="C216">
        <v>2026</v>
      </c>
      <c r="D216">
        <v>5</v>
      </c>
      <c r="E216" t="s">
        <v>83</v>
      </c>
      <c r="F216" t="s">
        <v>67</v>
      </c>
      <c r="G216" t="s">
        <v>48</v>
      </c>
      <c r="H216" t="s">
        <v>454</v>
      </c>
      <c r="I216" t="s">
        <v>70</v>
      </c>
      <c r="J216" t="s">
        <v>44</v>
      </c>
      <c r="K216" t="s">
        <v>10</v>
      </c>
    </row>
    <row r="217" spans="1:11">
      <c r="A217" t="s">
        <v>2370</v>
      </c>
      <c r="B217" s="2">
        <v>46144</v>
      </c>
      <c r="C217">
        <v>2026</v>
      </c>
      <c r="D217">
        <v>5</v>
      </c>
      <c r="E217" t="s">
        <v>83</v>
      </c>
      <c r="F217" t="s">
        <v>67</v>
      </c>
      <c r="G217" t="s">
        <v>48</v>
      </c>
      <c r="H217" t="s">
        <v>519</v>
      </c>
      <c r="I217" t="s">
        <v>6</v>
      </c>
      <c r="J217" t="s">
        <v>44</v>
      </c>
      <c r="K217" t="s">
        <v>10</v>
      </c>
    </row>
    <row r="218" spans="1:11">
      <c r="A218" t="s">
        <v>2371</v>
      </c>
      <c r="B218" s="2">
        <v>46161</v>
      </c>
      <c r="C218">
        <v>2026</v>
      </c>
      <c r="D218">
        <v>5</v>
      </c>
      <c r="E218" t="s">
        <v>83</v>
      </c>
      <c r="F218" t="s">
        <v>26</v>
      </c>
      <c r="G218" t="s">
        <v>20</v>
      </c>
      <c r="H218" t="s">
        <v>460</v>
      </c>
      <c r="I218" t="s">
        <v>13</v>
      </c>
      <c r="J218" t="s">
        <v>44</v>
      </c>
      <c r="K218" t="s">
        <v>17</v>
      </c>
    </row>
    <row r="219" spans="1:11">
      <c r="A219" t="s">
        <v>2372</v>
      </c>
      <c r="B219" s="2">
        <v>46169</v>
      </c>
      <c r="C219">
        <v>2026</v>
      </c>
      <c r="D219">
        <v>5</v>
      </c>
      <c r="E219" t="s">
        <v>83</v>
      </c>
      <c r="F219" t="s">
        <v>47</v>
      </c>
      <c r="G219" t="s">
        <v>32</v>
      </c>
      <c r="H219" t="s">
        <v>466</v>
      </c>
      <c r="I219" t="s">
        <v>70</v>
      </c>
      <c r="J219" t="s">
        <v>33</v>
      </c>
      <c r="K219" t="s">
        <v>10</v>
      </c>
    </row>
    <row r="220" spans="1:11">
      <c r="A220" t="s">
        <v>2373</v>
      </c>
      <c r="B220" s="2">
        <v>46164</v>
      </c>
      <c r="C220">
        <v>2026</v>
      </c>
      <c r="D220">
        <v>5</v>
      </c>
      <c r="E220" t="s">
        <v>83</v>
      </c>
      <c r="F220" t="s">
        <v>31</v>
      </c>
      <c r="G220" t="s">
        <v>61</v>
      </c>
      <c r="H220" t="s">
        <v>470</v>
      </c>
      <c r="I220" t="s">
        <v>50</v>
      </c>
      <c r="J220" t="s">
        <v>4</v>
      </c>
      <c r="K220" t="s">
        <v>10</v>
      </c>
    </row>
    <row r="221" spans="1:11">
      <c r="A221" t="s">
        <v>2374</v>
      </c>
      <c r="B221" s="2">
        <v>46143</v>
      </c>
      <c r="C221">
        <v>2026</v>
      </c>
      <c r="D221">
        <v>5</v>
      </c>
      <c r="E221" t="s">
        <v>83</v>
      </c>
      <c r="F221" t="s">
        <v>26</v>
      </c>
      <c r="G221" t="s">
        <v>27</v>
      </c>
      <c r="H221" t="s">
        <v>444</v>
      </c>
      <c r="I221" t="s">
        <v>6</v>
      </c>
      <c r="J221" t="s">
        <v>12</v>
      </c>
      <c r="K221" t="s">
        <v>17</v>
      </c>
    </row>
    <row r="222" spans="1:11">
      <c r="A222" t="s">
        <v>2375</v>
      </c>
      <c r="B222" s="2">
        <v>46158</v>
      </c>
      <c r="C222">
        <v>2026</v>
      </c>
      <c r="D222">
        <v>5</v>
      </c>
      <c r="E222" t="s">
        <v>83</v>
      </c>
      <c r="F222" t="s">
        <v>47</v>
      </c>
      <c r="G222" t="s">
        <v>74</v>
      </c>
      <c r="H222" t="s">
        <v>519</v>
      </c>
      <c r="I222" t="s">
        <v>34</v>
      </c>
      <c r="J222" t="s">
        <v>12</v>
      </c>
      <c r="K222" t="s">
        <v>10</v>
      </c>
    </row>
    <row r="223" spans="1:11">
      <c r="A223" t="s">
        <v>2376</v>
      </c>
      <c r="B223" s="2">
        <v>46168</v>
      </c>
      <c r="C223">
        <v>2026</v>
      </c>
      <c r="D223">
        <v>5</v>
      </c>
      <c r="E223" t="s">
        <v>83</v>
      </c>
      <c r="F223" t="s">
        <v>26</v>
      </c>
      <c r="G223" t="s">
        <v>94</v>
      </c>
      <c r="H223" t="s">
        <v>519</v>
      </c>
      <c r="I223" t="s">
        <v>6</v>
      </c>
      <c r="J223" t="s">
        <v>33</v>
      </c>
      <c r="K223" t="s">
        <v>10</v>
      </c>
    </row>
    <row r="224" spans="1:11">
      <c r="A224" t="s">
        <v>2377</v>
      </c>
      <c r="B224" s="2">
        <v>46197</v>
      </c>
      <c r="C224">
        <v>2026</v>
      </c>
      <c r="D224">
        <v>6</v>
      </c>
      <c r="E224" t="s">
        <v>87</v>
      </c>
      <c r="F224" t="s">
        <v>2</v>
      </c>
      <c r="G224" t="s">
        <v>74</v>
      </c>
      <c r="H224" t="s">
        <v>466</v>
      </c>
      <c r="I224" t="s">
        <v>6</v>
      </c>
      <c r="J224" t="s">
        <v>44</v>
      </c>
      <c r="K224" t="s">
        <v>10</v>
      </c>
    </row>
    <row r="225" spans="1:11">
      <c r="A225" t="s">
        <v>2378</v>
      </c>
      <c r="B225" s="2">
        <v>46179</v>
      </c>
      <c r="C225">
        <v>2026</v>
      </c>
      <c r="D225">
        <v>6</v>
      </c>
      <c r="E225" t="s">
        <v>87</v>
      </c>
      <c r="F225" t="s">
        <v>19</v>
      </c>
      <c r="G225" t="s">
        <v>69</v>
      </c>
      <c r="H225" t="s">
        <v>519</v>
      </c>
      <c r="I225" t="s">
        <v>70</v>
      </c>
      <c r="J225" t="s">
        <v>44</v>
      </c>
      <c r="K225" t="s">
        <v>17</v>
      </c>
    </row>
    <row r="226" spans="1:11">
      <c r="A226" t="s">
        <v>2379</v>
      </c>
      <c r="B226" s="2">
        <v>46187</v>
      </c>
      <c r="C226">
        <v>2026</v>
      </c>
      <c r="D226">
        <v>6</v>
      </c>
      <c r="E226" t="s">
        <v>87</v>
      </c>
      <c r="F226" t="s">
        <v>38</v>
      </c>
      <c r="G226" t="s">
        <v>64</v>
      </c>
      <c r="H226" t="s">
        <v>457</v>
      </c>
      <c r="I226" t="s">
        <v>50</v>
      </c>
      <c r="J226" t="s">
        <v>4</v>
      </c>
      <c r="K226" t="s">
        <v>10</v>
      </c>
    </row>
    <row r="227" spans="1:11">
      <c r="A227" t="s">
        <v>2380</v>
      </c>
      <c r="B227" s="2">
        <v>46174</v>
      </c>
      <c r="C227">
        <v>2026</v>
      </c>
      <c r="D227">
        <v>6</v>
      </c>
      <c r="E227" t="s">
        <v>87</v>
      </c>
      <c r="F227" t="s">
        <v>26</v>
      </c>
      <c r="G227" t="s">
        <v>3</v>
      </c>
      <c r="H227" t="s">
        <v>457</v>
      </c>
      <c r="I227" t="s">
        <v>50</v>
      </c>
      <c r="J227" t="s">
        <v>4</v>
      </c>
      <c r="K227" t="s">
        <v>17</v>
      </c>
    </row>
    <row r="228" spans="1:11">
      <c r="A228" t="s">
        <v>2381</v>
      </c>
      <c r="B228" s="2">
        <v>46198</v>
      </c>
      <c r="C228">
        <v>2026</v>
      </c>
      <c r="D228">
        <v>6</v>
      </c>
      <c r="E228" t="s">
        <v>87</v>
      </c>
      <c r="F228" t="s">
        <v>19</v>
      </c>
      <c r="G228" t="s">
        <v>61</v>
      </c>
      <c r="H228" t="s">
        <v>466</v>
      </c>
      <c r="I228" t="s">
        <v>13</v>
      </c>
      <c r="J228" t="s">
        <v>4</v>
      </c>
      <c r="K228" t="s">
        <v>10</v>
      </c>
    </row>
    <row r="229" spans="1:11">
      <c r="A229" t="s">
        <v>2382</v>
      </c>
      <c r="B229" s="2">
        <v>46174</v>
      </c>
      <c r="C229">
        <v>2026</v>
      </c>
      <c r="D229">
        <v>6</v>
      </c>
      <c r="E229" t="s">
        <v>87</v>
      </c>
      <c r="F229" t="s">
        <v>2</v>
      </c>
      <c r="G229" t="s">
        <v>55</v>
      </c>
      <c r="H229" t="s">
        <v>466</v>
      </c>
      <c r="I229" t="s">
        <v>50</v>
      </c>
      <c r="J229" t="s">
        <v>12</v>
      </c>
      <c r="K229" t="s">
        <v>10</v>
      </c>
    </row>
    <row r="230" spans="1:11">
      <c r="A230" t="s">
        <v>2383</v>
      </c>
      <c r="B230" s="2">
        <v>46184</v>
      </c>
      <c r="C230">
        <v>2026</v>
      </c>
      <c r="D230">
        <v>6</v>
      </c>
      <c r="E230" t="s">
        <v>87</v>
      </c>
      <c r="F230" t="s">
        <v>47</v>
      </c>
      <c r="G230" t="s">
        <v>32</v>
      </c>
      <c r="H230" t="s">
        <v>460</v>
      </c>
      <c r="I230" t="s">
        <v>70</v>
      </c>
      <c r="J230" t="s">
        <v>44</v>
      </c>
      <c r="K230" t="s">
        <v>10</v>
      </c>
    </row>
  </sheetData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</sheetPr>
  <dimension ref="A1:M265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11.7109375" customWidth="1"/>
    <col min="8" max="8" width="19.7109375" customWidth="1"/>
    <col min="9" max="11" width="11.7109375" customWidth="1"/>
  </cols>
  <sheetData>
    <row r="1" spans="1:13">
      <c r="A1" t="s">
        <v>2649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1029</v>
      </c>
      <c r="I1" t="s">
        <v>195</v>
      </c>
      <c r="J1" t="s">
        <v>193</v>
      </c>
      <c r="K1" t="s">
        <v>201</v>
      </c>
      <c r="M1" s="1" t="s">
        <v>203</v>
      </c>
    </row>
    <row r="2" spans="1:13">
      <c r="A2" t="s">
        <v>2385</v>
      </c>
      <c r="B2" s="2">
        <v>45299</v>
      </c>
      <c r="C2">
        <v>2024</v>
      </c>
      <c r="D2">
        <v>1</v>
      </c>
      <c r="E2" t="s">
        <v>1</v>
      </c>
      <c r="F2" t="s">
        <v>19</v>
      </c>
      <c r="G2" t="s">
        <v>55</v>
      </c>
      <c r="H2" t="s">
        <v>462</v>
      </c>
      <c r="I2" t="s">
        <v>50</v>
      </c>
      <c r="J2" t="s">
        <v>33</v>
      </c>
      <c r="K2" t="s">
        <v>17</v>
      </c>
    </row>
    <row r="3" spans="1:13">
      <c r="A3" t="s">
        <v>2386</v>
      </c>
      <c r="B3" s="2">
        <v>45311</v>
      </c>
      <c r="C3">
        <v>2024</v>
      </c>
      <c r="D3">
        <v>1</v>
      </c>
      <c r="E3" t="s">
        <v>1</v>
      </c>
      <c r="F3" t="s">
        <v>26</v>
      </c>
      <c r="G3" t="s">
        <v>69</v>
      </c>
      <c r="H3" t="s">
        <v>84</v>
      </c>
      <c r="I3" t="s">
        <v>50</v>
      </c>
      <c r="J3" t="s">
        <v>44</v>
      </c>
      <c r="K3" t="s">
        <v>17</v>
      </c>
    </row>
    <row r="4" spans="1:13">
      <c r="A4" t="s">
        <v>2387</v>
      </c>
      <c r="B4" s="2">
        <v>45305</v>
      </c>
      <c r="C4">
        <v>2024</v>
      </c>
      <c r="D4">
        <v>1</v>
      </c>
      <c r="E4" t="s">
        <v>1</v>
      </c>
      <c r="F4" t="s">
        <v>2</v>
      </c>
      <c r="G4" t="s">
        <v>69</v>
      </c>
      <c r="H4" t="s">
        <v>442</v>
      </c>
      <c r="I4" t="s">
        <v>70</v>
      </c>
      <c r="J4" t="s">
        <v>33</v>
      </c>
      <c r="K4" t="s">
        <v>10</v>
      </c>
    </row>
    <row r="5" spans="1:13">
      <c r="A5" t="s">
        <v>2388</v>
      </c>
      <c r="B5" s="2">
        <v>45293</v>
      </c>
      <c r="C5">
        <v>2024</v>
      </c>
      <c r="D5">
        <v>1</v>
      </c>
      <c r="E5" t="s">
        <v>1</v>
      </c>
      <c r="F5" t="s">
        <v>40</v>
      </c>
      <c r="G5" t="s">
        <v>61</v>
      </c>
      <c r="H5" t="s">
        <v>473</v>
      </c>
      <c r="I5" t="s">
        <v>6</v>
      </c>
      <c r="J5" t="s">
        <v>4</v>
      </c>
      <c r="K5" t="s">
        <v>17</v>
      </c>
    </row>
    <row r="6" spans="1:13">
      <c r="A6" t="s">
        <v>2389</v>
      </c>
      <c r="B6" s="2">
        <v>45308</v>
      </c>
      <c r="C6">
        <v>2024</v>
      </c>
      <c r="D6">
        <v>1</v>
      </c>
      <c r="E6" t="s">
        <v>1</v>
      </c>
      <c r="F6" t="s">
        <v>38</v>
      </c>
      <c r="G6" t="s">
        <v>94</v>
      </c>
      <c r="H6" t="s">
        <v>440</v>
      </c>
      <c r="I6" t="s">
        <v>70</v>
      </c>
      <c r="J6" t="s">
        <v>33</v>
      </c>
      <c r="K6" t="s">
        <v>10</v>
      </c>
    </row>
    <row r="7" spans="1:13">
      <c r="A7" t="s">
        <v>2390</v>
      </c>
      <c r="B7" s="2">
        <v>45293</v>
      </c>
      <c r="C7">
        <v>2024</v>
      </c>
      <c r="D7">
        <v>1</v>
      </c>
      <c r="E7" t="s">
        <v>1</v>
      </c>
      <c r="F7" t="s">
        <v>2</v>
      </c>
      <c r="G7" t="s">
        <v>69</v>
      </c>
      <c r="H7" t="s">
        <v>452</v>
      </c>
      <c r="I7" t="s">
        <v>13</v>
      </c>
      <c r="J7" t="s">
        <v>44</v>
      </c>
      <c r="K7" t="s">
        <v>10</v>
      </c>
    </row>
    <row r="8" spans="1:13">
      <c r="A8" t="s">
        <v>2391</v>
      </c>
      <c r="B8" s="2">
        <v>45336</v>
      </c>
      <c r="C8">
        <v>2024</v>
      </c>
      <c r="D8">
        <v>2</v>
      </c>
      <c r="E8" t="s">
        <v>25</v>
      </c>
      <c r="F8" t="s">
        <v>38</v>
      </c>
      <c r="G8" t="s">
        <v>94</v>
      </c>
      <c r="H8" t="s">
        <v>431</v>
      </c>
      <c r="I8" t="s">
        <v>50</v>
      </c>
      <c r="J8" t="s">
        <v>12</v>
      </c>
      <c r="K8" t="s">
        <v>17</v>
      </c>
    </row>
    <row r="9" spans="1:13">
      <c r="A9" t="s">
        <v>2392</v>
      </c>
      <c r="B9" s="2">
        <v>45323</v>
      </c>
      <c r="C9">
        <v>2024</v>
      </c>
      <c r="D9">
        <v>2</v>
      </c>
      <c r="E9" t="s">
        <v>25</v>
      </c>
      <c r="F9" t="s">
        <v>2</v>
      </c>
      <c r="G9" t="s">
        <v>38</v>
      </c>
      <c r="H9" t="s">
        <v>84</v>
      </c>
      <c r="I9" t="s">
        <v>6</v>
      </c>
      <c r="J9" t="s">
        <v>12</v>
      </c>
      <c r="K9" t="s">
        <v>10</v>
      </c>
    </row>
    <row r="10" spans="1:13">
      <c r="A10" t="s">
        <v>2393</v>
      </c>
      <c r="B10" s="2">
        <v>45340</v>
      </c>
      <c r="C10">
        <v>2024</v>
      </c>
      <c r="D10">
        <v>2</v>
      </c>
      <c r="E10" t="s">
        <v>25</v>
      </c>
      <c r="F10" t="s">
        <v>47</v>
      </c>
      <c r="G10" t="s">
        <v>74</v>
      </c>
      <c r="H10" t="s">
        <v>462</v>
      </c>
      <c r="I10" t="s">
        <v>6</v>
      </c>
      <c r="J10" t="s">
        <v>33</v>
      </c>
      <c r="K10" t="s">
        <v>10</v>
      </c>
    </row>
    <row r="11" spans="1:13">
      <c r="A11" t="s">
        <v>2394</v>
      </c>
      <c r="B11" s="2">
        <v>45342</v>
      </c>
      <c r="C11">
        <v>2024</v>
      </c>
      <c r="D11">
        <v>2</v>
      </c>
      <c r="E11" t="s">
        <v>25</v>
      </c>
      <c r="F11" t="s">
        <v>40</v>
      </c>
      <c r="G11" t="s">
        <v>20</v>
      </c>
      <c r="H11" t="s">
        <v>462</v>
      </c>
      <c r="I11" t="s">
        <v>34</v>
      </c>
      <c r="J11" t="s">
        <v>33</v>
      </c>
      <c r="K11" t="s">
        <v>10</v>
      </c>
    </row>
    <row r="12" spans="1:13">
      <c r="A12" t="s">
        <v>2395</v>
      </c>
      <c r="B12" s="2">
        <v>45323</v>
      </c>
      <c r="C12">
        <v>2024</v>
      </c>
      <c r="D12">
        <v>2</v>
      </c>
      <c r="E12" t="s">
        <v>25</v>
      </c>
      <c r="F12" t="s">
        <v>26</v>
      </c>
      <c r="G12" t="s">
        <v>55</v>
      </c>
      <c r="H12" t="s">
        <v>462</v>
      </c>
      <c r="I12" t="s">
        <v>13</v>
      </c>
      <c r="J12" t="s">
        <v>33</v>
      </c>
      <c r="K12" t="s">
        <v>10</v>
      </c>
    </row>
    <row r="13" spans="1:13">
      <c r="A13" t="s">
        <v>2396</v>
      </c>
      <c r="B13" s="2">
        <v>45330</v>
      </c>
      <c r="C13">
        <v>2024</v>
      </c>
      <c r="D13">
        <v>2</v>
      </c>
      <c r="E13" t="s">
        <v>25</v>
      </c>
      <c r="F13" t="s">
        <v>31</v>
      </c>
      <c r="G13" t="s">
        <v>55</v>
      </c>
      <c r="H13" t="s">
        <v>440</v>
      </c>
      <c r="I13" t="s">
        <v>34</v>
      </c>
      <c r="J13" t="s">
        <v>44</v>
      </c>
      <c r="K13" t="s">
        <v>10</v>
      </c>
    </row>
    <row r="14" spans="1:13">
      <c r="A14" t="s">
        <v>2397</v>
      </c>
      <c r="B14" s="2">
        <v>45344</v>
      </c>
      <c r="C14">
        <v>2024</v>
      </c>
      <c r="D14">
        <v>2</v>
      </c>
      <c r="E14" t="s">
        <v>25</v>
      </c>
      <c r="F14" t="s">
        <v>19</v>
      </c>
      <c r="G14" t="s">
        <v>32</v>
      </c>
      <c r="H14" t="s">
        <v>84</v>
      </c>
      <c r="I14" t="s">
        <v>50</v>
      </c>
      <c r="J14" t="s">
        <v>33</v>
      </c>
      <c r="K14" t="s">
        <v>10</v>
      </c>
    </row>
    <row r="15" spans="1:13">
      <c r="A15" t="s">
        <v>2398</v>
      </c>
      <c r="B15" s="2">
        <v>45373</v>
      </c>
      <c r="C15">
        <v>2024</v>
      </c>
      <c r="D15">
        <v>3</v>
      </c>
      <c r="E15" t="s">
        <v>60</v>
      </c>
      <c r="F15" t="s">
        <v>31</v>
      </c>
      <c r="G15" t="s">
        <v>3</v>
      </c>
      <c r="H15" t="s">
        <v>473</v>
      </c>
      <c r="I15" t="s">
        <v>70</v>
      </c>
      <c r="J15" t="s">
        <v>33</v>
      </c>
      <c r="K15" t="s">
        <v>10</v>
      </c>
    </row>
    <row r="16" spans="1:13">
      <c r="A16" t="s">
        <v>2399</v>
      </c>
      <c r="B16" s="2">
        <v>45372</v>
      </c>
      <c r="C16">
        <v>2024</v>
      </c>
      <c r="D16">
        <v>3</v>
      </c>
      <c r="E16" t="s">
        <v>60</v>
      </c>
      <c r="F16" t="s">
        <v>2</v>
      </c>
      <c r="G16" t="s">
        <v>61</v>
      </c>
      <c r="H16" t="s">
        <v>438</v>
      </c>
      <c r="I16" t="s">
        <v>6</v>
      </c>
      <c r="J16" t="s">
        <v>44</v>
      </c>
      <c r="K16" t="s">
        <v>10</v>
      </c>
    </row>
    <row r="17" spans="1:11">
      <c r="A17" t="s">
        <v>2400</v>
      </c>
      <c r="B17" s="2">
        <v>45358</v>
      </c>
      <c r="C17">
        <v>2024</v>
      </c>
      <c r="D17">
        <v>3</v>
      </c>
      <c r="E17" t="s">
        <v>60</v>
      </c>
      <c r="F17" t="s">
        <v>38</v>
      </c>
      <c r="G17" t="s">
        <v>27</v>
      </c>
      <c r="H17" t="s">
        <v>435</v>
      </c>
      <c r="I17" t="s">
        <v>13</v>
      </c>
      <c r="J17" t="s">
        <v>4</v>
      </c>
      <c r="K17" t="s">
        <v>10</v>
      </c>
    </row>
    <row r="18" spans="1:11">
      <c r="A18" t="s">
        <v>2401</v>
      </c>
      <c r="B18" s="2">
        <v>45366</v>
      </c>
      <c r="C18">
        <v>2024</v>
      </c>
      <c r="D18">
        <v>3</v>
      </c>
      <c r="E18" t="s">
        <v>60</v>
      </c>
      <c r="F18" t="s">
        <v>40</v>
      </c>
      <c r="G18" t="s">
        <v>3</v>
      </c>
      <c r="H18" t="s">
        <v>464</v>
      </c>
      <c r="I18" t="s">
        <v>34</v>
      </c>
      <c r="J18" t="s">
        <v>44</v>
      </c>
      <c r="K18" t="s">
        <v>10</v>
      </c>
    </row>
    <row r="19" spans="1:11">
      <c r="A19" t="s">
        <v>2402</v>
      </c>
      <c r="B19" s="2">
        <v>45355</v>
      </c>
      <c r="C19">
        <v>2024</v>
      </c>
      <c r="D19">
        <v>3</v>
      </c>
      <c r="E19" t="s">
        <v>60</v>
      </c>
      <c r="F19" t="s">
        <v>38</v>
      </c>
      <c r="G19" t="s">
        <v>3</v>
      </c>
      <c r="H19" t="s">
        <v>473</v>
      </c>
      <c r="I19" t="s">
        <v>70</v>
      </c>
      <c r="J19" t="s">
        <v>44</v>
      </c>
      <c r="K19" t="s">
        <v>10</v>
      </c>
    </row>
    <row r="20" spans="1:11">
      <c r="A20" t="s">
        <v>2403</v>
      </c>
      <c r="B20" s="2">
        <v>45370</v>
      </c>
      <c r="C20">
        <v>2024</v>
      </c>
      <c r="D20">
        <v>3</v>
      </c>
      <c r="E20" t="s">
        <v>60</v>
      </c>
      <c r="F20" t="s">
        <v>54</v>
      </c>
      <c r="G20" t="s">
        <v>20</v>
      </c>
      <c r="H20" t="s">
        <v>431</v>
      </c>
      <c r="I20" t="s">
        <v>6</v>
      </c>
      <c r="J20" t="s">
        <v>33</v>
      </c>
      <c r="K20" t="s">
        <v>10</v>
      </c>
    </row>
    <row r="21" spans="1:11">
      <c r="A21" t="s">
        <v>2404</v>
      </c>
      <c r="B21" s="2">
        <v>45406</v>
      </c>
      <c r="C21">
        <v>2024</v>
      </c>
      <c r="D21">
        <v>4</v>
      </c>
      <c r="E21" t="s">
        <v>73</v>
      </c>
      <c r="F21" t="s">
        <v>19</v>
      </c>
      <c r="G21" t="s">
        <v>32</v>
      </c>
      <c r="H21" t="s">
        <v>84</v>
      </c>
      <c r="I21" t="s">
        <v>50</v>
      </c>
      <c r="J21" t="s">
        <v>4</v>
      </c>
      <c r="K21" t="s">
        <v>10</v>
      </c>
    </row>
    <row r="22" spans="1:11">
      <c r="A22" t="s">
        <v>2405</v>
      </c>
      <c r="B22" s="2">
        <v>45393</v>
      </c>
      <c r="C22">
        <v>2024</v>
      </c>
      <c r="D22">
        <v>4</v>
      </c>
      <c r="E22" t="s">
        <v>73</v>
      </c>
      <c r="F22" t="s">
        <v>78</v>
      </c>
      <c r="G22" t="s">
        <v>32</v>
      </c>
      <c r="H22" t="s">
        <v>84</v>
      </c>
      <c r="I22" t="s">
        <v>34</v>
      </c>
      <c r="J22" t="s">
        <v>12</v>
      </c>
      <c r="K22" t="s">
        <v>17</v>
      </c>
    </row>
    <row r="23" spans="1:11">
      <c r="A23" t="s">
        <v>2406</v>
      </c>
      <c r="B23" s="2">
        <v>45386</v>
      </c>
      <c r="C23">
        <v>2024</v>
      </c>
      <c r="D23">
        <v>4</v>
      </c>
      <c r="E23" t="s">
        <v>73</v>
      </c>
      <c r="F23" t="s">
        <v>26</v>
      </c>
      <c r="G23" t="s">
        <v>64</v>
      </c>
      <c r="H23" t="s">
        <v>431</v>
      </c>
      <c r="I23" t="s">
        <v>6</v>
      </c>
      <c r="J23" t="s">
        <v>33</v>
      </c>
      <c r="K23" t="s">
        <v>10</v>
      </c>
    </row>
    <row r="24" spans="1:11">
      <c r="A24" t="s">
        <v>2407</v>
      </c>
      <c r="B24" s="2">
        <v>45386</v>
      </c>
      <c r="C24">
        <v>2024</v>
      </c>
      <c r="D24">
        <v>4</v>
      </c>
      <c r="E24" t="s">
        <v>73</v>
      </c>
      <c r="F24" t="s">
        <v>19</v>
      </c>
      <c r="G24" t="s">
        <v>38</v>
      </c>
      <c r="H24" t="s">
        <v>462</v>
      </c>
      <c r="I24" t="s">
        <v>34</v>
      </c>
      <c r="J24" t="s">
        <v>33</v>
      </c>
      <c r="K24" t="s">
        <v>10</v>
      </c>
    </row>
    <row r="25" spans="1:11">
      <c r="A25" t="s">
        <v>2408</v>
      </c>
      <c r="B25" s="2">
        <v>45406</v>
      </c>
      <c r="C25">
        <v>2024</v>
      </c>
      <c r="D25">
        <v>4</v>
      </c>
      <c r="E25" t="s">
        <v>73</v>
      </c>
      <c r="F25" t="s">
        <v>47</v>
      </c>
      <c r="G25" t="s">
        <v>74</v>
      </c>
      <c r="H25" t="s">
        <v>431</v>
      </c>
      <c r="I25" t="s">
        <v>50</v>
      </c>
      <c r="J25" t="s">
        <v>4</v>
      </c>
      <c r="K25" t="s">
        <v>10</v>
      </c>
    </row>
    <row r="26" spans="1:11">
      <c r="A26" t="s">
        <v>2409</v>
      </c>
      <c r="B26" s="2">
        <v>45400</v>
      </c>
      <c r="C26">
        <v>2024</v>
      </c>
      <c r="D26">
        <v>4</v>
      </c>
      <c r="E26" t="s">
        <v>73</v>
      </c>
      <c r="F26" t="s">
        <v>2</v>
      </c>
      <c r="G26" t="s">
        <v>27</v>
      </c>
      <c r="H26" t="s">
        <v>440</v>
      </c>
      <c r="I26" t="s">
        <v>70</v>
      </c>
      <c r="J26" t="s">
        <v>33</v>
      </c>
      <c r="K26" t="s">
        <v>10</v>
      </c>
    </row>
    <row r="27" spans="1:11">
      <c r="A27" t="s">
        <v>2410</v>
      </c>
      <c r="B27" s="2">
        <v>45404</v>
      </c>
      <c r="C27">
        <v>2024</v>
      </c>
      <c r="D27">
        <v>4</v>
      </c>
      <c r="E27" t="s">
        <v>73</v>
      </c>
      <c r="F27" t="s">
        <v>40</v>
      </c>
      <c r="G27" t="s">
        <v>27</v>
      </c>
      <c r="H27" t="s">
        <v>464</v>
      </c>
      <c r="I27" t="s">
        <v>50</v>
      </c>
      <c r="J27" t="s">
        <v>4</v>
      </c>
      <c r="K27" t="s">
        <v>10</v>
      </c>
    </row>
    <row r="28" spans="1:11">
      <c r="A28" t="s">
        <v>2411</v>
      </c>
      <c r="B28" s="2">
        <v>45408</v>
      </c>
      <c r="C28">
        <v>2024</v>
      </c>
      <c r="D28">
        <v>4</v>
      </c>
      <c r="E28" t="s">
        <v>73</v>
      </c>
      <c r="F28" t="s">
        <v>19</v>
      </c>
      <c r="G28" t="s">
        <v>32</v>
      </c>
      <c r="H28" t="s">
        <v>462</v>
      </c>
      <c r="I28" t="s">
        <v>70</v>
      </c>
      <c r="J28" t="s">
        <v>12</v>
      </c>
      <c r="K28" t="s">
        <v>10</v>
      </c>
    </row>
    <row r="29" spans="1:11">
      <c r="A29" t="s">
        <v>2412</v>
      </c>
      <c r="B29" s="2">
        <v>45405</v>
      </c>
      <c r="C29">
        <v>2024</v>
      </c>
      <c r="D29">
        <v>4</v>
      </c>
      <c r="E29" t="s">
        <v>73</v>
      </c>
      <c r="F29" t="s">
        <v>19</v>
      </c>
      <c r="G29" t="s">
        <v>38</v>
      </c>
      <c r="H29" t="s">
        <v>84</v>
      </c>
      <c r="I29" t="s">
        <v>50</v>
      </c>
      <c r="J29" t="s">
        <v>44</v>
      </c>
      <c r="K29" t="s">
        <v>10</v>
      </c>
    </row>
    <row r="30" spans="1:11">
      <c r="A30" t="s">
        <v>2413</v>
      </c>
      <c r="B30" s="2">
        <v>45436</v>
      </c>
      <c r="C30">
        <v>2024</v>
      </c>
      <c r="D30">
        <v>5</v>
      </c>
      <c r="E30" t="s">
        <v>83</v>
      </c>
      <c r="F30" t="s">
        <v>67</v>
      </c>
      <c r="G30" t="s">
        <v>32</v>
      </c>
      <c r="H30" t="s">
        <v>442</v>
      </c>
      <c r="I30" t="s">
        <v>13</v>
      </c>
      <c r="J30" t="s">
        <v>44</v>
      </c>
      <c r="K30" t="s">
        <v>10</v>
      </c>
    </row>
    <row r="31" spans="1:11">
      <c r="A31" t="s">
        <v>2414</v>
      </c>
      <c r="B31" s="2">
        <v>45423</v>
      </c>
      <c r="C31">
        <v>2024</v>
      </c>
      <c r="D31">
        <v>5</v>
      </c>
      <c r="E31" t="s">
        <v>83</v>
      </c>
      <c r="F31" t="s">
        <v>19</v>
      </c>
      <c r="G31" t="s">
        <v>94</v>
      </c>
      <c r="H31" t="s">
        <v>473</v>
      </c>
      <c r="I31" t="s">
        <v>6</v>
      </c>
      <c r="J31" t="s">
        <v>12</v>
      </c>
      <c r="K31" t="s">
        <v>10</v>
      </c>
    </row>
    <row r="32" spans="1:11">
      <c r="A32" t="s">
        <v>2415</v>
      </c>
      <c r="B32" s="2">
        <v>45435</v>
      </c>
      <c r="C32">
        <v>2024</v>
      </c>
      <c r="D32">
        <v>5</v>
      </c>
      <c r="E32" t="s">
        <v>83</v>
      </c>
      <c r="F32" t="s">
        <v>19</v>
      </c>
      <c r="G32" t="s">
        <v>94</v>
      </c>
      <c r="H32" t="s">
        <v>462</v>
      </c>
      <c r="I32" t="s">
        <v>70</v>
      </c>
      <c r="J32" t="s">
        <v>44</v>
      </c>
      <c r="K32" t="s">
        <v>10</v>
      </c>
    </row>
    <row r="33" spans="1:11">
      <c r="A33" t="s">
        <v>2416</v>
      </c>
      <c r="B33" s="2">
        <v>45415</v>
      </c>
      <c r="C33">
        <v>2024</v>
      </c>
      <c r="D33">
        <v>5</v>
      </c>
      <c r="E33" t="s">
        <v>83</v>
      </c>
      <c r="F33" t="s">
        <v>67</v>
      </c>
      <c r="G33" t="s">
        <v>64</v>
      </c>
      <c r="H33" t="s">
        <v>440</v>
      </c>
      <c r="I33" t="s">
        <v>50</v>
      </c>
      <c r="J33" t="s">
        <v>12</v>
      </c>
      <c r="K33" t="s">
        <v>10</v>
      </c>
    </row>
    <row r="34" spans="1:11">
      <c r="A34" t="s">
        <v>2417</v>
      </c>
      <c r="B34" s="2">
        <v>45434</v>
      </c>
      <c r="C34">
        <v>2024</v>
      </c>
      <c r="D34">
        <v>5</v>
      </c>
      <c r="E34" t="s">
        <v>83</v>
      </c>
      <c r="F34" t="s">
        <v>2</v>
      </c>
      <c r="G34" t="s">
        <v>38</v>
      </c>
      <c r="H34" t="s">
        <v>452</v>
      </c>
      <c r="I34" t="s">
        <v>6</v>
      </c>
      <c r="J34" t="s">
        <v>44</v>
      </c>
      <c r="K34" t="s">
        <v>10</v>
      </c>
    </row>
    <row r="35" spans="1:11">
      <c r="A35" t="s">
        <v>2418</v>
      </c>
      <c r="B35" s="2">
        <v>45416</v>
      </c>
      <c r="C35">
        <v>2024</v>
      </c>
      <c r="D35">
        <v>5</v>
      </c>
      <c r="E35" t="s">
        <v>83</v>
      </c>
      <c r="F35" t="s">
        <v>26</v>
      </c>
      <c r="G35" t="s">
        <v>32</v>
      </c>
      <c r="H35" t="s">
        <v>440</v>
      </c>
      <c r="I35" t="s">
        <v>34</v>
      </c>
      <c r="J35" t="s">
        <v>4</v>
      </c>
      <c r="K35" t="s">
        <v>10</v>
      </c>
    </row>
    <row r="36" spans="1:11">
      <c r="A36" t="s">
        <v>2419</v>
      </c>
      <c r="B36" s="2">
        <v>45421</v>
      </c>
      <c r="C36">
        <v>2024</v>
      </c>
      <c r="D36">
        <v>5</v>
      </c>
      <c r="E36" t="s">
        <v>83</v>
      </c>
      <c r="F36" t="s">
        <v>2</v>
      </c>
      <c r="G36" t="s">
        <v>74</v>
      </c>
      <c r="H36" t="s">
        <v>438</v>
      </c>
      <c r="I36" t="s">
        <v>34</v>
      </c>
      <c r="J36" t="s">
        <v>12</v>
      </c>
      <c r="K36" t="s">
        <v>10</v>
      </c>
    </row>
    <row r="37" spans="1:11">
      <c r="A37" t="s">
        <v>2420</v>
      </c>
      <c r="B37" s="2">
        <v>45414</v>
      </c>
      <c r="C37">
        <v>2024</v>
      </c>
      <c r="D37">
        <v>5</v>
      </c>
      <c r="E37" t="s">
        <v>83</v>
      </c>
      <c r="F37" t="s">
        <v>40</v>
      </c>
      <c r="G37" t="s">
        <v>69</v>
      </c>
      <c r="H37" t="s">
        <v>435</v>
      </c>
      <c r="I37" t="s">
        <v>6</v>
      </c>
      <c r="J37" t="s">
        <v>4</v>
      </c>
      <c r="K37" t="s">
        <v>10</v>
      </c>
    </row>
    <row r="38" spans="1:11">
      <c r="A38" t="s">
        <v>2421</v>
      </c>
      <c r="B38" s="2">
        <v>45421</v>
      </c>
      <c r="C38">
        <v>2024</v>
      </c>
      <c r="D38">
        <v>5</v>
      </c>
      <c r="E38" t="s">
        <v>83</v>
      </c>
      <c r="F38" t="s">
        <v>2</v>
      </c>
      <c r="G38" t="s">
        <v>38</v>
      </c>
      <c r="H38" t="s">
        <v>464</v>
      </c>
      <c r="I38" t="s">
        <v>70</v>
      </c>
      <c r="J38" t="s">
        <v>33</v>
      </c>
      <c r="K38" t="s">
        <v>10</v>
      </c>
    </row>
    <row r="39" spans="1:11">
      <c r="A39" t="s">
        <v>2422</v>
      </c>
      <c r="B39" s="2">
        <v>45426</v>
      </c>
      <c r="C39">
        <v>2024</v>
      </c>
      <c r="D39">
        <v>5</v>
      </c>
      <c r="E39" t="s">
        <v>83</v>
      </c>
      <c r="F39" t="s">
        <v>67</v>
      </c>
      <c r="G39" t="s">
        <v>27</v>
      </c>
      <c r="H39" t="s">
        <v>442</v>
      </c>
      <c r="I39" t="s">
        <v>34</v>
      </c>
      <c r="J39" t="s">
        <v>33</v>
      </c>
      <c r="K39" t="s">
        <v>10</v>
      </c>
    </row>
    <row r="40" spans="1:11">
      <c r="A40" t="s">
        <v>2423</v>
      </c>
      <c r="B40" s="2">
        <v>45457</v>
      </c>
      <c r="C40">
        <v>2024</v>
      </c>
      <c r="D40">
        <v>6</v>
      </c>
      <c r="E40" t="s">
        <v>87</v>
      </c>
      <c r="F40" t="s">
        <v>67</v>
      </c>
      <c r="G40" t="s">
        <v>61</v>
      </c>
      <c r="H40" t="s">
        <v>464</v>
      </c>
      <c r="I40" t="s">
        <v>6</v>
      </c>
      <c r="J40" t="s">
        <v>33</v>
      </c>
      <c r="K40" t="s">
        <v>17</v>
      </c>
    </row>
    <row r="41" spans="1:11">
      <c r="A41" t="s">
        <v>2424</v>
      </c>
      <c r="B41" s="2">
        <v>45448</v>
      </c>
      <c r="C41">
        <v>2024</v>
      </c>
      <c r="D41">
        <v>6</v>
      </c>
      <c r="E41" t="s">
        <v>87</v>
      </c>
      <c r="F41" t="s">
        <v>78</v>
      </c>
      <c r="G41" t="s">
        <v>74</v>
      </c>
      <c r="H41" t="s">
        <v>84</v>
      </c>
      <c r="I41" t="s">
        <v>50</v>
      </c>
      <c r="J41" t="s">
        <v>12</v>
      </c>
      <c r="K41" t="s">
        <v>10</v>
      </c>
    </row>
    <row r="42" spans="1:11">
      <c r="A42" t="s">
        <v>2425</v>
      </c>
      <c r="B42" s="2">
        <v>45449</v>
      </c>
      <c r="C42">
        <v>2024</v>
      </c>
      <c r="D42">
        <v>6</v>
      </c>
      <c r="E42" t="s">
        <v>87</v>
      </c>
      <c r="F42" t="s">
        <v>40</v>
      </c>
      <c r="G42" t="s">
        <v>61</v>
      </c>
      <c r="H42" t="s">
        <v>473</v>
      </c>
      <c r="I42" t="s">
        <v>34</v>
      </c>
      <c r="J42" t="s">
        <v>44</v>
      </c>
      <c r="K42" t="s">
        <v>17</v>
      </c>
    </row>
    <row r="43" spans="1:11">
      <c r="A43" t="s">
        <v>2426</v>
      </c>
      <c r="B43" s="2">
        <v>45465</v>
      </c>
      <c r="C43">
        <v>2024</v>
      </c>
      <c r="D43">
        <v>6</v>
      </c>
      <c r="E43" t="s">
        <v>87</v>
      </c>
      <c r="F43" t="s">
        <v>19</v>
      </c>
      <c r="G43" t="s">
        <v>20</v>
      </c>
      <c r="H43" t="s">
        <v>473</v>
      </c>
      <c r="I43" t="s">
        <v>70</v>
      </c>
      <c r="J43" t="s">
        <v>4</v>
      </c>
      <c r="K43" t="s">
        <v>10</v>
      </c>
    </row>
    <row r="44" spans="1:11">
      <c r="A44" t="s">
        <v>2427</v>
      </c>
      <c r="B44" s="2">
        <v>45467</v>
      </c>
      <c r="C44">
        <v>2024</v>
      </c>
      <c r="D44">
        <v>6</v>
      </c>
      <c r="E44" t="s">
        <v>87</v>
      </c>
      <c r="F44" t="s">
        <v>26</v>
      </c>
      <c r="G44" t="s">
        <v>3</v>
      </c>
      <c r="H44" t="s">
        <v>440</v>
      </c>
      <c r="I44" t="s">
        <v>70</v>
      </c>
      <c r="J44" t="s">
        <v>4</v>
      </c>
      <c r="K44" t="s">
        <v>10</v>
      </c>
    </row>
    <row r="45" spans="1:11">
      <c r="A45" t="s">
        <v>2428</v>
      </c>
      <c r="B45" s="2">
        <v>45462</v>
      </c>
      <c r="C45">
        <v>2024</v>
      </c>
      <c r="D45">
        <v>6</v>
      </c>
      <c r="E45" t="s">
        <v>87</v>
      </c>
      <c r="F45" t="s">
        <v>26</v>
      </c>
      <c r="G45" t="s">
        <v>69</v>
      </c>
      <c r="H45" t="s">
        <v>435</v>
      </c>
      <c r="I45" t="s">
        <v>6</v>
      </c>
      <c r="J45" t="s">
        <v>33</v>
      </c>
      <c r="K45" t="s">
        <v>17</v>
      </c>
    </row>
    <row r="46" spans="1:11">
      <c r="A46" t="s">
        <v>2429</v>
      </c>
      <c r="B46" s="2">
        <v>45448</v>
      </c>
      <c r="C46">
        <v>2024</v>
      </c>
      <c r="D46">
        <v>6</v>
      </c>
      <c r="E46" t="s">
        <v>87</v>
      </c>
      <c r="F46" t="s">
        <v>38</v>
      </c>
      <c r="G46" t="s">
        <v>64</v>
      </c>
      <c r="H46" t="s">
        <v>462</v>
      </c>
      <c r="I46" t="s">
        <v>6</v>
      </c>
      <c r="J46" t="s">
        <v>4</v>
      </c>
      <c r="K46" t="s">
        <v>17</v>
      </c>
    </row>
    <row r="47" spans="1:11">
      <c r="A47" t="s">
        <v>2430</v>
      </c>
      <c r="B47" s="2">
        <v>45448</v>
      </c>
      <c r="C47">
        <v>2024</v>
      </c>
      <c r="D47">
        <v>6</v>
      </c>
      <c r="E47" t="s">
        <v>87</v>
      </c>
      <c r="F47" t="s">
        <v>78</v>
      </c>
      <c r="G47" t="s">
        <v>32</v>
      </c>
      <c r="H47" t="s">
        <v>473</v>
      </c>
      <c r="I47" t="s">
        <v>34</v>
      </c>
      <c r="J47" t="s">
        <v>44</v>
      </c>
      <c r="K47" t="s">
        <v>17</v>
      </c>
    </row>
    <row r="48" spans="1:11">
      <c r="A48" t="s">
        <v>2431</v>
      </c>
      <c r="B48" s="2">
        <v>45468</v>
      </c>
      <c r="C48">
        <v>2024</v>
      </c>
      <c r="D48">
        <v>6</v>
      </c>
      <c r="E48" t="s">
        <v>87</v>
      </c>
      <c r="F48" t="s">
        <v>78</v>
      </c>
      <c r="G48" t="s">
        <v>94</v>
      </c>
      <c r="H48" t="s">
        <v>431</v>
      </c>
      <c r="I48" t="s">
        <v>34</v>
      </c>
      <c r="J48" t="s">
        <v>33</v>
      </c>
      <c r="K48" t="s">
        <v>10</v>
      </c>
    </row>
    <row r="49" spans="1:11">
      <c r="A49" t="s">
        <v>2432</v>
      </c>
      <c r="B49" s="2">
        <v>45476</v>
      </c>
      <c r="C49">
        <v>2024</v>
      </c>
      <c r="D49">
        <v>7</v>
      </c>
      <c r="E49" t="s">
        <v>93</v>
      </c>
      <c r="F49" t="s">
        <v>26</v>
      </c>
      <c r="G49" t="s">
        <v>69</v>
      </c>
      <c r="H49" t="s">
        <v>473</v>
      </c>
      <c r="I49" t="s">
        <v>50</v>
      </c>
      <c r="J49" t="s">
        <v>44</v>
      </c>
      <c r="K49" t="s">
        <v>10</v>
      </c>
    </row>
    <row r="50" spans="1:11">
      <c r="A50" t="s">
        <v>2433</v>
      </c>
      <c r="B50" s="2">
        <v>45497</v>
      </c>
      <c r="C50">
        <v>2024</v>
      </c>
      <c r="D50">
        <v>7</v>
      </c>
      <c r="E50" t="s">
        <v>93</v>
      </c>
      <c r="F50" t="s">
        <v>31</v>
      </c>
      <c r="G50" t="s">
        <v>48</v>
      </c>
      <c r="H50" t="s">
        <v>431</v>
      </c>
      <c r="I50" t="s">
        <v>50</v>
      </c>
      <c r="J50" t="s">
        <v>33</v>
      </c>
      <c r="K50" t="s">
        <v>10</v>
      </c>
    </row>
    <row r="51" spans="1:11">
      <c r="A51" t="s">
        <v>2434</v>
      </c>
      <c r="B51" s="2">
        <v>45492</v>
      </c>
      <c r="C51">
        <v>2024</v>
      </c>
      <c r="D51">
        <v>7</v>
      </c>
      <c r="E51" t="s">
        <v>93</v>
      </c>
      <c r="F51" t="s">
        <v>26</v>
      </c>
      <c r="G51" t="s">
        <v>38</v>
      </c>
      <c r="H51" t="s">
        <v>464</v>
      </c>
      <c r="I51" t="s">
        <v>6</v>
      </c>
      <c r="J51" t="s">
        <v>12</v>
      </c>
      <c r="K51" t="s">
        <v>10</v>
      </c>
    </row>
    <row r="52" spans="1:11">
      <c r="A52" t="s">
        <v>2435</v>
      </c>
      <c r="B52" s="2">
        <v>45494</v>
      </c>
      <c r="C52">
        <v>2024</v>
      </c>
      <c r="D52">
        <v>7</v>
      </c>
      <c r="E52" t="s">
        <v>93</v>
      </c>
      <c r="F52" t="s">
        <v>54</v>
      </c>
      <c r="G52" t="s">
        <v>64</v>
      </c>
      <c r="H52" t="s">
        <v>440</v>
      </c>
      <c r="I52" t="s">
        <v>13</v>
      </c>
      <c r="J52" t="s">
        <v>4</v>
      </c>
      <c r="K52" t="s">
        <v>10</v>
      </c>
    </row>
    <row r="53" spans="1:11">
      <c r="A53" t="s">
        <v>2436</v>
      </c>
      <c r="B53" s="2">
        <v>45480</v>
      </c>
      <c r="C53">
        <v>2024</v>
      </c>
      <c r="D53">
        <v>7</v>
      </c>
      <c r="E53" t="s">
        <v>93</v>
      </c>
      <c r="F53" t="s">
        <v>78</v>
      </c>
      <c r="G53" t="s">
        <v>27</v>
      </c>
      <c r="H53" t="s">
        <v>435</v>
      </c>
      <c r="I53" t="s">
        <v>34</v>
      </c>
      <c r="J53" t="s">
        <v>33</v>
      </c>
      <c r="K53" t="s">
        <v>10</v>
      </c>
    </row>
    <row r="54" spans="1:11">
      <c r="A54" t="s">
        <v>2437</v>
      </c>
      <c r="B54" s="2">
        <v>45484</v>
      </c>
      <c r="C54">
        <v>2024</v>
      </c>
      <c r="D54">
        <v>7</v>
      </c>
      <c r="E54" t="s">
        <v>93</v>
      </c>
      <c r="F54" t="s">
        <v>67</v>
      </c>
      <c r="G54" t="s">
        <v>55</v>
      </c>
      <c r="H54" t="s">
        <v>438</v>
      </c>
      <c r="I54" t="s">
        <v>50</v>
      </c>
      <c r="J54" t="s">
        <v>44</v>
      </c>
      <c r="K54" t="s">
        <v>10</v>
      </c>
    </row>
    <row r="55" spans="1:11">
      <c r="A55" t="s">
        <v>2438</v>
      </c>
      <c r="B55" s="2">
        <v>45483</v>
      </c>
      <c r="C55">
        <v>2024</v>
      </c>
      <c r="D55">
        <v>7</v>
      </c>
      <c r="E55" t="s">
        <v>93</v>
      </c>
      <c r="F55" t="s">
        <v>31</v>
      </c>
      <c r="G55" t="s">
        <v>3</v>
      </c>
      <c r="H55" t="s">
        <v>462</v>
      </c>
      <c r="I55" t="s">
        <v>6</v>
      </c>
      <c r="J55" t="s">
        <v>12</v>
      </c>
      <c r="K55" t="s">
        <v>10</v>
      </c>
    </row>
    <row r="56" spans="1:11">
      <c r="A56" t="s">
        <v>2439</v>
      </c>
      <c r="B56" s="2">
        <v>45497</v>
      </c>
      <c r="C56">
        <v>2024</v>
      </c>
      <c r="D56">
        <v>7</v>
      </c>
      <c r="E56" t="s">
        <v>93</v>
      </c>
      <c r="F56" t="s">
        <v>67</v>
      </c>
      <c r="G56" t="s">
        <v>94</v>
      </c>
      <c r="H56" t="s">
        <v>462</v>
      </c>
      <c r="I56" t="s">
        <v>70</v>
      </c>
      <c r="J56" t="s">
        <v>33</v>
      </c>
      <c r="K56" t="s">
        <v>10</v>
      </c>
    </row>
    <row r="57" spans="1:11">
      <c r="A57" t="s">
        <v>2440</v>
      </c>
      <c r="B57" s="2">
        <v>45519</v>
      </c>
      <c r="C57">
        <v>2024</v>
      </c>
      <c r="D57">
        <v>8</v>
      </c>
      <c r="E57" t="s">
        <v>101</v>
      </c>
      <c r="F57" t="s">
        <v>26</v>
      </c>
      <c r="G57" t="s">
        <v>55</v>
      </c>
      <c r="H57" t="s">
        <v>442</v>
      </c>
      <c r="I57" t="s">
        <v>70</v>
      </c>
      <c r="J57" t="s">
        <v>4</v>
      </c>
      <c r="K57" t="s">
        <v>10</v>
      </c>
    </row>
    <row r="58" spans="1:11">
      <c r="A58" t="s">
        <v>2441</v>
      </c>
      <c r="B58" s="2">
        <v>45520</v>
      </c>
      <c r="C58">
        <v>2024</v>
      </c>
      <c r="D58">
        <v>8</v>
      </c>
      <c r="E58" t="s">
        <v>101</v>
      </c>
      <c r="F58" t="s">
        <v>38</v>
      </c>
      <c r="G58" t="s">
        <v>69</v>
      </c>
      <c r="H58" t="s">
        <v>452</v>
      </c>
      <c r="I58" t="s">
        <v>6</v>
      </c>
      <c r="J58" t="s">
        <v>4</v>
      </c>
      <c r="K58" t="s">
        <v>17</v>
      </c>
    </row>
    <row r="59" spans="1:11">
      <c r="A59" t="s">
        <v>2442</v>
      </c>
      <c r="B59" s="2">
        <v>45509</v>
      </c>
      <c r="C59">
        <v>2024</v>
      </c>
      <c r="D59">
        <v>8</v>
      </c>
      <c r="E59" t="s">
        <v>101</v>
      </c>
      <c r="F59" t="s">
        <v>26</v>
      </c>
      <c r="G59" t="s">
        <v>74</v>
      </c>
      <c r="H59" t="s">
        <v>431</v>
      </c>
      <c r="I59" t="s">
        <v>34</v>
      </c>
      <c r="J59" t="s">
        <v>4</v>
      </c>
      <c r="K59" t="s">
        <v>10</v>
      </c>
    </row>
    <row r="60" spans="1:11">
      <c r="A60" t="s">
        <v>2443</v>
      </c>
      <c r="B60" s="2">
        <v>45508</v>
      </c>
      <c r="C60">
        <v>2024</v>
      </c>
      <c r="D60">
        <v>8</v>
      </c>
      <c r="E60" t="s">
        <v>101</v>
      </c>
      <c r="F60" t="s">
        <v>31</v>
      </c>
      <c r="G60" t="s">
        <v>48</v>
      </c>
      <c r="H60" t="s">
        <v>435</v>
      </c>
      <c r="I60" t="s">
        <v>70</v>
      </c>
      <c r="J60" t="s">
        <v>33</v>
      </c>
      <c r="K60" t="s">
        <v>10</v>
      </c>
    </row>
    <row r="61" spans="1:11">
      <c r="A61" t="s">
        <v>2444</v>
      </c>
      <c r="B61" s="2">
        <v>45528</v>
      </c>
      <c r="C61">
        <v>2024</v>
      </c>
      <c r="D61">
        <v>8</v>
      </c>
      <c r="E61" t="s">
        <v>101</v>
      </c>
      <c r="F61" t="s">
        <v>26</v>
      </c>
      <c r="G61" t="s">
        <v>69</v>
      </c>
      <c r="H61" t="s">
        <v>452</v>
      </c>
      <c r="I61" t="s">
        <v>6</v>
      </c>
      <c r="J61" t="s">
        <v>4</v>
      </c>
      <c r="K61" t="s">
        <v>10</v>
      </c>
    </row>
    <row r="62" spans="1:11">
      <c r="A62" t="s">
        <v>2445</v>
      </c>
      <c r="B62" s="2">
        <v>45515</v>
      </c>
      <c r="C62">
        <v>2024</v>
      </c>
      <c r="D62">
        <v>8</v>
      </c>
      <c r="E62" t="s">
        <v>101</v>
      </c>
      <c r="F62" t="s">
        <v>54</v>
      </c>
      <c r="G62" t="s">
        <v>74</v>
      </c>
      <c r="H62" t="s">
        <v>462</v>
      </c>
      <c r="I62" t="s">
        <v>34</v>
      </c>
      <c r="J62" t="s">
        <v>44</v>
      </c>
      <c r="K62" t="s">
        <v>10</v>
      </c>
    </row>
    <row r="63" spans="1:11">
      <c r="A63" t="s">
        <v>2446</v>
      </c>
      <c r="B63" s="2">
        <v>45513</v>
      </c>
      <c r="C63">
        <v>2024</v>
      </c>
      <c r="D63">
        <v>8</v>
      </c>
      <c r="E63" t="s">
        <v>101</v>
      </c>
      <c r="F63" t="s">
        <v>26</v>
      </c>
      <c r="G63" t="s">
        <v>64</v>
      </c>
      <c r="H63" t="s">
        <v>438</v>
      </c>
      <c r="I63" t="s">
        <v>50</v>
      </c>
      <c r="J63" t="s">
        <v>44</v>
      </c>
      <c r="K63" t="s">
        <v>10</v>
      </c>
    </row>
    <row r="64" spans="1:11">
      <c r="A64" t="s">
        <v>2447</v>
      </c>
      <c r="B64" s="2">
        <v>45530</v>
      </c>
      <c r="C64">
        <v>2024</v>
      </c>
      <c r="D64">
        <v>8</v>
      </c>
      <c r="E64" t="s">
        <v>101</v>
      </c>
      <c r="F64" t="s">
        <v>2</v>
      </c>
      <c r="G64" t="s">
        <v>61</v>
      </c>
      <c r="H64" t="s">
        <v>473</v>
      </c>
      <c r="I64" t="s">
        <v>50</v>
      </c>
      <c r="J64" t="s">
        <v>44</v>
      </c>
      <c r="K64" t="s">
        <v>10</v>
      </c>
    </row>
    <row r="65" spans="1:11">
      <c r="A65" t="s">
        <v>2448</v>
      </c>
      <c r="B65" s="2">
        <v>45538</v>
      </c>
      <c r="C65">
        <v>2024</v>
      </c>
      <c r="D65">
        <v>9</v>
      </c>
      <c r="E65" t="s">
        <v>105</v>
      </c>
      <c r="F65" t="s">
        <v>26</v>
      </c>
      <c r="G65" t="s">
        <v>3</v>
      </c>
      <c r="H65" t="s">
        <v>435</v>
      </c>
      <c r="I65" t="s">
        <v>6</v>
      </c>
      <c r="J65" t="s">
        <v>44</v>
      </c>
      <c r="K65" t="s">
        <v>17</v>
      </c>
    </row>
    <row r="66" spans="1:11">
      <c r="A66" t="s">
        <v>2449</v>
      </c>
      <c r="B66" s="2">
        <v>45550</v>
      </c>
      <c r="C66">
        <v>2024</v>
      </c>
      <c r="D66">
        <v>9</v>
      </c>
      <c r="E66" t="s">
        <v>105</v>
      </c>
      <c r="F66" t="s">
        <v>2</v>
      </c>
      <c r="G66" t="s">
        <v>27</v>
      </c>
      <c r="H66" t="s">
        <v>440</v>
      </c>
      <c r="I66" t="s">
        <v>34</v>
      </c>
      <c r="J66" t="s">
        <v>12</v>
      </c>
      <c r="K66" t="s">
        <v>10</v>
      </c>
    </row>
    <row r="67" spans="1:11">
      <c r="A67" t="s">
        <v>2450</v>
      </c>
      <c r="B67" s="2">
        <v>45552</v>
      </c>
      <c r="C67">
        <v>2024</v>
      </c>
      <c r="D67">
        <v>9</v>
      </c>
      <c r="E67" t="s">
        <v>105</v>
      </c>
      <c r="F67" t="s">
        <v>67</v>
      </c>
      <c r="G67" t="s">
        <v>69</v>
      </c>
      <c r="H67" t="s">
        <v>473</v>
      </c>
      <c r="I67" t="s">
        <v>13</v>
      </c>
      <c r="J67" t="s">
        <v>12</v>
      </c>
      <c r="K67" t="s">
        <v>10</v>
      </c>
    </row>
    <row r="68" spans="1:11">
      <c r="A68" t="s">
        <v>2451</v>
      </c>
      <c r="B68" s="2">
        <v>45538</v>
      </c>
      <c r="C68">
        <v>2024</v>
      </c>
      <c r="D68">
        <v>9</v>
      </c>
      <c r="E68" t="s">
        <v>105</v>
      </c>
      <c r="F68" t="s">
        <v>47</v>
      </c>
      <c r="G68" t="s">
        <v>20</v>
      </c>
      <c r="H68" t="s">
        <v>440</v>
      </c>
      <c r="I68" t="s">
        <v>50</v>
      </c>
      <c r="J68" t="s">
        <v>4</v>
      </c>
      <c r="K68" t="s">
        <v>10</v>
      </c>
    </row>
    <row r="69" spans="1:11">
      <c r="A69" t="s">
        <v>2452</v>
      </c>
      <c r="B69" s="2">
        <v>45543</v>
      </c>
      <c r="C69">
        <v>2024</v>
      </c>
      <c r="D69">
        <v>9</v>
      </c>
      <c r="E69" t="s">
        <v>105</v>
      </c>
      <c r="F69" t="s">
        <v>54</v>
      </c>
      <c r="G69" t="s">
        <v>94</v>
      </c>
      <c r="H69" t="s">
        <v>440</v>
      </c>
      <c r="I69" t="s">
        <v>70</v>
      </c>
      <c r="J69" t="s">
        <v>12</v>
      </c>
      <c r="K69" t="s">
        <v>10</v>
      </c>
    </row>
    <row r="70" spans="1:11">
      <c r="A70" t="s">
        <v>2453</v>
      </c>
      <c r="B70" s="2">
        <v>45549</v>
      </c>
      <c r="C70">
        <v>2024</v>
      </c>
      <c r="D70">
        <v>9</v>
      </c>
      <c r="E70" t="s">
        <v>105</v>
      </c>
      <c r="F70" t="s">
        <v>38</v>
      </c>
      <c r="G70" t="s">
        <v>38</v>
      </c>
      <c r="H70" t="s">
        <v>438</v>
      </c>
      <c r="I70" t="s">
        <v>50</v>
      </c>
      <c r="J70" t="s">
        <v>33</v>
      </c>
      <c r="K70" t="s">
        <v>10</v>
      </c>
    </row>
    <row r="71" spans="1:11">
      <c r="A71" t="s">
        <v>2454</v>
      </c>
      <c r="B71" s="2">
        <v>45540</v>
      </c>
      <c r="C71">
        <v>2024</v>
      </c>
      <c r="D71">
        <v>9</v>
      </c>
      <c r="E71" t="s">
        <v>105</v>
      </c>
      <c r="F71" t="s">
        <v>67</v>
      </c>
      <c r="G71" t="s">
        <v>55</v>
      </c>
      <c r="H71" t="s">
        <v>435</v>
      </c>
      <c r="I71" t="s">
        <v>6</v>
      </c>
      <c r="J71" t="s">
        <v>44</v>
      </c>
      <c r="K71" t="s">
        <v>10</v>
      </c>
    </row>
    <row r="72" spans="1:11">
      <c r="A72" t="s">
        <v>2455</v>
      </c>
      <c r="B72" s="2">
        <v>45546</v>
      </c>
      <c r="C72">
        <v>2024</v>
      </c>
      <c r="D72">
        <v>9</v>
      </c>
      <c r="E72" t="s">
        <v>105</v>
      </c>
      <c r="F72" t="s">
        <v>38</v>
      </c>
      <c r="G72" t="s">
        <v>48</v>
      </c>
      <c r="H72" t="s">
        <v>452</v>
      </c>
      <c r="I72" t="s">
        <v>6</v>
      </c>
      <c r="J72" t="s">
        <v>44</v>
      </c>
      <c r="K72" t="s">
        <v>10</v>
      </c>
    </row>
    <row r="73" spans="1:11">
      <c r="A73" t="s">
        <v>2456</v>
      </c>
      <c r="B73" s="2">
        <v>45541</v>
      </c>
      <c r="C73">
        <v>2024</v>
      </c>
      <c r="D73">
        <v>9</v>
      </c>
      <c r="E73" t="s">
        <v>105</v>
      </c>
      <c r="F73" t="s">
        <v>31</v>
      </c>
      <c r="G73" t="s">
        <v>74</v>
      </c>
      <c r="H73" t="s">
        <v>473</v>
      </c>
      <c r="I73" t="s">
        <v>13</v>
      </c>
      <c r="J73" t="s">
        <v>4</v>
      </c>
      <c r="K73" t="s">
        <v>17</v>
      </c>
    </row>
    <row r="74" spans="1:11">
      <c r="A74" t="s">
        <v>2457</v>
      </c>
      <c r="B74" s="2">
        <v>45558</v>
      </c>
      <c r="C74">
        <v>2024</v>
      </c>
      <c r="D74">
        <v>9</v>
      </c>
      <c r="E74" t="s">
        <v>105</v>
      </c>
      <c r="F74" t="s">
        <v>40</v>
      </c>
      <c r="G74" t="s">
        <v>27</v>
      </c>
      <c r="H74" t="s">
        <v>438</v>
      </c>
      <c r="I74" t="s">
        <v>13</v>
      </c>
      <c r="J74" t="s">
        <v>33</v>
      </c>
      <c r="K74" t="s">
        <v>10</v>
      </c>
    </row>
    <row r="75" spans="1:11">
      <c r="A75" t="s">
        <v>2458</v>
      </c>
      <c r="B75" s="2">
        <v>45554</v>
      </c>
      <c r="C75">
        <v>2024</v>
      </c>
      <c r="D75">
        <v>9</v>
      </c>
      <c r="E75" t="s">
        <v>105</v>
      </c>
      <c r="F75" t="s">
        <v>31</v>
      </c>
      <c r="G75" t="s">
        <v>38</v>
      </c>
      <c r="H75" t="s">
        <v>84</v>
      </c>
      <c r="I75" t="s">
        <v>34</v>
      </c>
      <c r="J75" t="s">
        <v>4</v>
      </c>
      <c r="K75" t="s">
        <v>10</v>
      </c>
    </row>
    <row r="76" spans="1:11">
      <c r="A76" t="s">
        <v>2459</v>
      </c>
      <c r="B76" s="2">
        <v>45560</v>
      </c>
      <c r="C76">
        <v>2024</v>
      </c>
      <c r="D76">
        <v>9</v>
      </c>
      <c r="E76" t="s">
        <v>105</v>
      </c>
      <c r="F76" t="s">
        <v>78</v>
      </c>
      <c r="G76" t="s">
        <v>38</v>
      </c>
      <c r="H76" t="s">
        <v>84</v>
      </c>
      <c r="I76" t="s">
        <v>6</v>
      </c>
      <c r="J76" t="s">
        <v>44</v>
      </c>
      <c r="K76" t="s">
        <v>10</v>
      </c>
    </row>
    <row r="77" spans="1:11">
      <c r="A77" t="s">
        <v>2460</v>
      </c>
      <c r="B77" s="2">
        <v>45583</v>
      </c>
      <c r="C77">
        <v>2024</v>
      </c>
      <c r="D77">
        <v>10</v>
      </c>
      <c r="E77" t="s">
        <v>113</v>
      </c>
      <c r="F77" t="s">
        <v>40</v>
      </c>
      <c r="G77" t="s">
        <v>74</v>
      </c>
      <c r="H77" t="s">
        <v>473</v>
      </c>
      <c r="I77" t="s">
        <v>70</v>
      </c>
      <c r="J77" t="s">
        <v>44</v>
      </c>
      <c r="K77" t="s">
        <v>17</v>
      </c>
    </row>
    <row r="78" spans="1:11">
      <c r="A78" t="s">
        <v>2461</v>
      </c>
      <c r="B78" s="2">
        <v>45574</v>
      </c>
      <c r="C78">
        <v>2024</v>
      </c>
      <c r="D78">
        <v>10</v>
      </c>
      <c r="E78" t="s">
        <v>113</v>
      </c>
      <c r="F78" t="s">
        <v>19</v>
      </c>
      <c r="G78" t="s">
        <v>32</v>
      </c>
      <c r="H78" t="s">
        <v>452</v>
      </c>
      <c r="I78" t="s">
        <v>70</v>
      </c>
      <c r="J78" t="s">
        <v>12</v>
      </c>
      <c r="K78" t="s">
        <v>10</v>
      </c>
    </row>
    <row r="79" spans="1:11">
      <c r="A79" t="s">
        <v>2462</v>
      </c>
      <c r="B79" s="2">
        <v>45587</v>
      </c>
      <c r="C79">
        <v>2024</v>
      </c>
      <c r="D79">
        <v>10</v>
      </c>
      <c r="E79" t="s">
        <v>113</v>
      </c>
      <c r="F79" t="s">
        <v>78</v>
      </c>
      <c r="G79" t="s">
        <v>94</v>
      </c>
      <c r="H79" t="s">
        <v>431</v>
      </c>
      <c r="I79" t="s">
        <v>70</v>
      </c>
      <c r="J79" t="s">
        <v>44</v>
      </c>
      <c r="K79" t="s">
        <v>17</v>
      </c>
    </row>
    <row r="80" spans="1:11">
      <c r="A80" t="s">
        <v>2463</v>
      </c>
      <c r="B80" s="2">
        <v>45566</v>
      </c>
      <c r="C80">
        <v>2024</v>
      </c>
      <c r="D80">
        <v>10</v>
      </c>
      <c r="E80" t="s">
        <v>113</v>
      </c>
      <c r="F80" t="s">
        <v>67</v>
      </c>
      <c r="G80" t="s">
        <v>27</v>
      </c>
      <c r="H80" t="s">
        <v>464</v>
      </c>
      <c r="I80" t="s">
        <v>13</v>
      </c>
      <c r="J80" t="s">
        <v>44</v>
      </c>
      <c r="K80" t="s">
        <v>17</v>
      </c>
    </row>
    <row r="81" spans="1:11">
      <c r="A81" t="s">
        <v>2464</v>
      </c>
      <c r="B81" s="2">
        <v>45580</v>
      </c>
      <c r="C81">
        <v>2024</v>
      </c>
      <c r="D81">
        <v>10</v>
      </c>
      <c r="E81" t="s">
        <v>113</v>
      </c>
      <c r="F81" t="s">
        <v>78</v>
      </c>
      <c r="G81" t="s">
        <v>48</v>
      </c>
      <c r="H81" t="s">
        <v>84</v>
      </c>
      <c r="I81" t="s">
        <v>70</v>
      </c>
      <c r="J81" t="s">
        <v>4</v>
      </c>
      <c r="K81" t="s">
        <v>17</v>
      </c>
    </row>
    <row r="82" spans="1:11">
      <c r="A82" t="s">
        <v>2465</v>
      </c>
      <c r="B82" s="2">
        <v>45566</v>
      </c>
      <c r="C82">
        <v>2024</v>
      </c>
      <c r="D82">
        <v>10</v>
      </c>
      <c r="E82" t="s">
        <v>113</v>
      </c>
      <c r="F82" t="s">
        <v>19</v>
      </c>
      <c r="G82" t="s">
        <v>94</v>
      </c>
      <c r="H82" t="s">
        <v>473</v>
      </c>
      <c r="I82" t="s">
        <v>13</v>
      </c>
      <c r="J82" t="s">
        <v>4</v>
      </c>
      <c r="K82" t="s">
        <v>10</v>
      </c>
    </row>
    <row r="83" spans="1:11">
      <c r="A83" t="s">
        <v>2466</v>
      </c>
      <c r="B83" s="2">
        <v>45582</v>
      </c>
      <c r="C83">
        <v>2024</v>
      </c>
      <c r="D83">
        <v>10</v>
      </c>
      <c r="E83" t="s">
        <v>113</v>
      </c>
      <c r="F83" t="s">
        <v>2</v>
      </c>
      <c r="G83" t="s">
        <v>64</v>
      </c>
      <c r="H83" t="s">
        <v>435</v>
      </c>
      <c r="I83" t="s">
        <v>13</v>
      </c>
      <c r="J83" t="s">
        <v>4</v>
      </c>
      <c r="K83" t="s">
        <v>10</v>
      </c>
    </row>
    <row r="84" spans="1:11">
      <c r="A84" t="s">
        <v>2467</v>
      </c>
      <c r="B84" s="2">
        <v>45573</v>
      </c>
      <c r="C84">
        <v>2024</v>
      </c>
      <c r="D84">
        <v>10</v>
      </c>
      <c r="E84" t="s">
        <v>113</v>
      </c>
      <c r="F84" t="s">
        <v>19</v>
      </c>
      <c r="G84" t="s">
        <v>69</v>
      </c>
      <c r="H84" t="s">
        <v>440</v>
      </c>
      <c r="I84" t="s">
        <v>50</v>
      </c>
      <c r="J84" t="s">
        <v>33</v>
      </c>
      <c r="K84" t="s">
        <v>17</v>
      </c>
    </row>
    <row r="85" spans="1:11">
      <c r="A85" t="s">
        <v>2468</v>
      </c>
      <c r="B85" s="2">
        <v>45585</v>
      </c>
      <c r="C85">
        <v>2024</v>
      </c>
      <c r="D85">
        <v>10</v>
      </c>
      <c r="E85" t="s">
        <v>113</v>
      </c>
      <c r="F85" t="s">
        <v>26</v>
      </c>
      <c r="G85" t="s">
        <v>64</v>
      </c>
      <c r="H85" t="s">
        <v>442</v>
      </c>
      <c r="I85" t="s">
        <v>70</v>
      </c>
      <c r="J85" t="s">
        <v>4</v>
      </c>
      <c r="K85" t="s">
        <v>10</v>
      </c>
    </row>
    <row r="86" spans="1:11">
      <c r="A86" t="s">
        <v>2469</v>
      </c>
      <c r="B86" s="2">
        <v>45572</v>
      </c>
      <c r="C86">
        <v>2024</v>
      </c>
      <c r="D86">
        <v>10</v>
      </c>
      <c r="E86" t="s">
        <v>113</v>
      </c>
      <c r="F86" t="s">
        <v>26</v>
      </c>
      <c r="G86" t="s">
        <v>64</v>
      </c>
      <c r="H86" t="s">
        <v>431</v>
      </c>
      <c r="I86" t="s">
        <v>13</v>
      </c>
      <c r="J86" t="s">
        <v>4</v>
      </c>
      <c r="K86" t="s">
        <v>10</v>
      </c>
    </row>
    <row r="87" spans="1:11">
      <c r="A87" t="s">
        <v>2470</v>
      </c>
      <c r="B87" s="2">
        <v>45605</v>
      </c>
      <c r="C87">
        <v>2024</v>
      </c>
      <c r="D87">
        <v>11</v>
      </c>
      <c r="E87" t="s">
        <v>117</v>
      </c>
      <c r="F87" t="s">
        <v>2</v>
      </c>
      <c r="G87" t="s">
        <v>64</v>
      </c>
      <c r="H87" t="s">
        <v>435</v>
      </c>
      <c r="I87" t="s">
        <v>70</v>
      </c>
      <c r="J87" t="s">
        <v>4</v>
      </c>
      <c r="K87" t="s">
        <v>10</v>
      </c>
    </row>
    <row r="88" spans="1:11">
      <c r="A88" t="s">
        <v>2471</v>
      </c>
      <c r="B88" s="2">
        <v>45611</v>
      </c>
      <c r="C88">
        <v>2024</v>
      </c>
      <c r="D88">
        <v>11</v>
      </c>
      <c r="E88" t="s">
        <v>117</v>
      </c>
      <c r="F88" t="s">
        <v>2</v>
      </c>
      <c r="G88" t="s">
        <v>64</v>
      </c>
      <c r="H88" t="s">
        <v>431</v>
      </c>
      <c r="I88" t="s">
        <v>13</v>
      </c>
      <c r="J88" t="s">
        <v>12</v>
      </c>
      <c r="K88" t="s">
        <v>10</v>
      </c>
    </row>
    <row r="89" spans="1:11">
      <c r="A89" t="s">
        <v>2472</v>
      </c>
      <c r="B89" s="2">
        <v>45605</v>
      </c>
      <c r="C89">
        <v>2024</v>
      </c>
      <c r="D89">
        <v>11</v>
      </c>
      <c r="E89" t="s">
        <v>117</v>
      </c>
      <c r="F89" t="s">
        <v>31</v>
      </c>
      <c r="G89" t="s">
        <v>38</v>
      </c>
      <c r="H89" t="s">
        <v>462</v>
      </c>
      <c r="I89" t="s">
        <v>13</v>
      </c>
      <c r="J89" t="s">
        <v>44</v>
      </c>
      <c r="K89" t="s">
        <v>10</v>
      </c>
    </row>
    <row r="90" spans="1:11">
      <c r="A90" t="s">
        <v>2473</v>
      </c>
      <c r="B90" s="2">
        <v>45599</v>
      </c>
      <c r="C90">
        <v>2024</v>
      </c>
      <c r="D90">
        <v>11</v>
      </c>
      <c r="E90" t="s">
        <v>117</v>
      </c>
      <c r="F90" t="s">
        <v>26</v>
      </c>
      <c r="G90" t="s">
        <v>55</v>
      </c>
      <c r="H90" t="s">
        <v>462</v>
      </c>
      <c r="I90" t="s">
        <v>50</v>
      </c>
      <c r="J90" t="s">
        <v>44</v>
      </c>
      <c r="K90" t="s">
        <v>10</v>
      </c>
    </row>
    <row r="91" spans="1:11">
      <c r="A91" t="s">
        <v>2474</v>
      </c>
      <c r="B91" s="2">
        <v>45610</v>
      </c>
      <c r="C91">
        <v>2024</v>
      </c>
      <c r="D91">
        <v>11</v>
      </c>
      <c r="E91" t="s">
        <v>117</v>
      </c>
      <c r="F91" t="s">
        <v>78</v>
      </c>
      <c r="G91" t="s">
        <v>69</v>
      </c>
      <c r="H91" t="s">
        <v>440</v>
      </c>
      <c r="I91" t="s">
        <v>50</v>
      </c>
      <c r="J91" t="s">
        <v>4</v>
      </c>
      <c r="K91" t="s">
        <v>17</v>
      </c>
    </row>
    <row r="92" spans="1:11">
      <c r="A92" t="s">
        <v>2475</v>
      </c>
      <c r="B92" s="2">
        <v>45604</v>
      </c>
      <c r="C92">
        <v>2024</v>
      </c>
      <c r="D92">
        <v>11</v>
      </c>
      <c r="E92" t="s">
        <v>117</v>
      </c>
      <c r="F92" t="s">
        <v>26</v>
      </c>
      <c r="G92" t="s">
        <v>3</v>
      </c>
      <c r="H92" t="s">
        <v>84</v>
      </c>
      <c r="I92" t="s">
        <v>34</v>
      </c>
      <c r="J92" t="s">
        <v>44</v>
      </c>
      <c r="K92" t="s">
        <v>17</v>
      </c>
    </row>
    <row r="93" spans="1:11">
      <c r="A93" t="s">
        <v>2476</v>
      </c>
      <c r="B93" s="2">
        <v>45600</v>
      </c>
      <c r="C93">
        <v>2024</v>
      </c>
      <c r="D93">
        <v>11</v>
      </c>
      <c r="E93" t="s">
        <v>117</v>
      </c>
      <c r="F93" t="s">
        <v>19</v>
      </c>
      <c r="G93" t="s">
        <v>32</v>
      </c>
      <c r="H93" t="s">
        <v>438</v>
      </c>
      <c r="I93" t="s">
        <v>6</v>
      </c>
      <c r="J93" t="s">
        <v>44</v>
      </c>
      <c r="K93" t="s">
        <v>10</v>
      </c>
    </row>
    <row r="94" spans="1:11">
      <c r="A94" t="s">
        <v>2477</v>
      </c>
      <c r="B94" s="2">
        <v>45604</v>
      </c>
      <c r="C94">
        <v>2024</v>
      </c>
      <c r="D94">
        <v>11</v>
      </c>
      <c r="E94" t="s">
        <v>117</v>
      </c>
      <c r="F94" t="s">
        <v>47</v>
      </c>
      <c r="G94" t="s">
        <v>20</v>
      </c>
      <c r="H94" t="s">
        <v>473</v>
      </c>
      <c r="I94" t="s">
        <v>70</v>
      </c>
      <c r="J94" t="s">
        <v>33</v>
      </c>
      <c r="K94" t="s">
        <v>10</v>
      </c>
    </row>
    <row r="95" spans="1:11">
      <c r="A95" t="s">
        <v>2478</v>
      </c>
      <c r="B95" s="2">
        <v>45599</v>
      </c>
      <c r="C95">
        <v>2024</v>
      </c>
      <c r="D95">
        <v>11</v>
      </c>
      <c r="E95" t="s">
        <v>117</v>
      </c>
      <c r="F95" t="s">
        <v>67</v>
      </c>
      <c r="G95" t="s">
        <v>3</v>
      </c>
      <c r="H95" t="s">
        <v>442</v>
      </c>
      <c r="I95" t="s">
        <v>6</v>
      </c>
      <c r="J95" t="s">
        <v>4</v>
      </c>
      <c r="K95" t="s">
        <v>17</v>
      </c>
    </row>
    <row r="96" spans="1:11">
      <c r="A96" t="s">
        <v>2479</v>
      </c>
      <c r="B96" s="2">
        <v>45616</v>
      </c>
      <c r="C96">
        <v>2024</v>
      </c>
      <c r="D96">
        <v>11</v>
      </c>
      <c r="E96" t="s">
        <v>117</v>
      </c>
      <c r="F96" t="s">
        <v>19</v>
      </c>
      <c r="G96" t="s">
        <v>61</v>
      </c>
      <c r="H96" t="s">
        <v>84</v>
      </c>
      <c r="I96" t="s">
        <v>50</v>
      </c>
      <c r="J96" t="s">
        <v>12</v>
      </c>
      <c r="K96" t="s">
        <v>10</v>
      </c>
    </row>
    <row r="97" spans="1:11">
      <c r="A97" t="s">
        <v>2480</v>
      </c>
      <c r="B97" s="2">
        <v>45608</v>
      </c>
      <c r="C97">
        <v>2024</v>
      </c>
      <c r="D97">
        <v>11</v>
      </c>
      <c r="E97" t="s">
        <v>117</v>
      </c>
      <c r="F97" t="s">
        <v>47</v>
      </c>
      <c r="G97" t="s">
        <v>3</v>
      </c>
      <c r="H97" t="s">
        <v>440</v>
      </c>
      <c r="I97" t="s">
        <v>50</v>
      </c>
      <c r="J97" t="s">
        <v>33</v>
      </c>
      <c r="K97" t="s">
        <v>10</v>
      </c>
    </row>
    <row r="98" spans="1:11">
      <c r="A98" t="s">
        <v>2481</v>
      </c>
      <c r="B98" s="2">
        <v>45616</v>
      </c>
      <c r="C98">
        <v>2024</v>
      </c>
      <c r="D98">
        <v>11</v>
      </c>
      <c r="E98" t="s">
        <v>117</v>
      </c>
      <c r="F98" t="s">
        <v>19</v>
      </c>
      <c r="G98" t="s">
        <v>94</v>
      </c>
      <c r="H98" t="s">
        <v>435</v>
      </c>
      <c r="I98" t="s">
        <v>70</v>
      </c>
      <c r="J98" t="s">
        <v>12</v>
      </c>
      <c r="K98" t="s">
        <v>10</v>
      </c>
    </row>
    <row r="99" spans="1:11">
      <c r="A99" t="s">
        <v>2482</v>
      </c>
      <c r="B99" s="2">
        <v>45628</v>
      </c>
      <c r="C99">
        <v>2024</v>
      </c>
      <c r="D99">
        <v>12</v>
      </c>
      <c r="E99" t="s">
        <v>124</v>
      </c>
      <c r="F99" t="s">
        <v>47</v>
      </c>
      <c r="G99" t="s">
        <v>94</v>
      </c>
      <c r="H99" t="s">
        <v>84</v>
      </c>
      <c r="I99" t="s">
        <v>70</v>
      </c>
      <c r="J99" t="s">
        <v>33</v>
      </c>
      <c r="K99" t="s">
        <v>10</v>
      </c>
    </row>
    <row r="100" spans="1:11">
      <c r="A100" t="s">
        <v>2483</v>
      </c>
      <c r="B100" s="2">
        <v>45632</v>
      </c>
      <c r="C100">
        <v>2024</v>
      </c>
      <c r="D100">
        <v>12</v>
      </c>
      <c r="E100" t="s">
        <v>124</v>
      </c>
      <c r="F100" t="s">
        <v>78</v>
      </c>
      <c r="G100" t="s">
        <v>48</v>
      </c>
      <c r="H100" t="s">
        <v>452</v>
      </c>
      <c r="I100" t="s">
        <v>13</v>
      </c>
      <c r="J100" t="s">
        <v>44</v>
      </c>
      <c r="K100" t="s">
        <v>17</v>
      </c>
    </row>
    <row r="101" spans="1:11">
      <c r="A101" t="s">
        <v>2484</v>
      </c>
      <c r="B101" s="2">
        <v>45629</v>
      </c>
      <c r="C101">
        <v>2024</v>
      </c>
      <c r="D101">
        <v>12</v>
      </c>
      <c r="E101" t="s">
        <v>124</v>
      </c>
      <c r="F101" t="s">
        <v>2</v>
      </c>
      <c r="G101" t="s">
        <v>94</v>
      </c>
      <c r="H101" t="s">
        <v>438</v>
      </c>
      <c r="I101" t="s">
        <v>70</v>
      </c>
      <c r="J101" t="s">
        <v>33</v>
      </c>
      <c r="K101" t="s">
        <v>10</v>
      </c>
    </row>
    <row r="102" spans="1:11">
      <c r="A102" t="s">
        <v>2485</v>
      </c>
      <c r="B102" s="2">
        <v>45641</v>
      </c>
      <c r="C102">
        <v>2024</v>
      </c>
      <c r="D102">
        <v>12</v>
      </c>
      <c r="E102" t="s">
        <v>124</v>
      </c>
      <c r="F102" t="s">
        <v>26</v>
      </c>
      <c r="G102" t="s">
        <v>38</v>
      </c>
      <c r="H102" t="s">
        <v>84</v>
      </c>
      <c r="I102" t="s">
        <v>13</v>
      </c>
      <c r="J102" t="s">
        <v>33</v>
      </c>
      <c r="K102" t="s">
        <v>10</v>
      </c>
    </row>
    <row r="103" spans="1:11">
      <c r="A103" t="s">
        <v>2486</v>
      </c>
      <c r="B103" s="2">
        <v>45638</v>
      </c>
      <c r="C103">
        <v>2024</v>
      </c>
      <c r="D103">
        <v>12</v>
      </c>
      <c r="E103" t="s">
        <v>124</v>
      </c>
      <c r="F103" t="s">
        <v>67</v>
      </c>
      <c r="G103" t="s">
        <v>38</v>
      </c>
      <c r="H103" t="s">
        <v>435</v>
      </c>
      <c r="I103" t="s">
        <v>6</v>
      </c>
      <c r="J103" t="s">
        <v>12</v>
      </c>
      <c r="K103" t="s">
        <v>10</v>
      </c>
    </row>
    <row r="104" spans="1:11">
      <c r="A104" t="s">
        <v>2487</v>
      </c>
      <c r="B104" s="2">
        <v>45636</v>
      </c>
      <c r="C104">
        <v>2024</v>
      </c>
      <c r="D104">
        <v>12</v>
      </c>
      <c r="E104" t="s">
        <v>124</v>
      </c>
      <c r="F104" t="s">
        <v>31</v>
      </c>
      <c r="G104" t="s">
        <v>55</v>
      </c>
      <c r="H104" t="s">
        <v>464</v>
      </c>
      <c r="I104" t="s">
        <v>13</v>
      </c>
      <c r="J104" t="s">
        <v>44</v>
      </c>
      <c r="K104" t="s">
        <v>10</v>
      </c>
    </row>
    <row r="105" spans="1:11">
      <c r="A105" t="s">
        <v>2488</v>
      </c>
      <c r="B105" s="2">
        <v>45637</v>
      </c>
      <c r="C105">
        <v>2024</v>
      </c>
      <c r="D105">
        <v>12</v>
      </c>
      <c r="E105" t="s">
        <v>124</v>
      </c>
      <c r="F105" t="s">
        <v>19</v>
      </c>
      <c r="G105" t="s">
        <v>32</v>
      </c>
      <c r="H105" t="s">
        <v>442</v>
      </c>
      <c r="I105" t="s">
        <v>70</v>
      </c>
      <c r="J105" t="s">
        <v>44</v>
      </c>
      <c r="K105" t="s">
        <v>10</v>
      </c>
    </row>
    <row r="106" spans="1:11">
      <c r="A106" t="s">
        <v>2489</v>
      </c>
      <c r="B106" s="2">
        <v>45659</v>
      </c>
      <c r="C106">
        <v>2025</v>
      </c>
      <c r="D106">
        <v>1</v>
      </c>
      <c r="E106" t="s">
        <v>1</v>
      </c>
      <c r="F106" t="s">
        <v>78</v>
      </c>
      <c r="G106" t="s">
        <v>69</v>
      </c>
      <c r="H106" t="s">
        <v>438</v>
      </c>
      <c r="I106" t="s">
        <v>13</v>
      </c>
      <c r="J106" t="s">
        <v>33</v>
      </c>
      <c r="K106" t="s">
        <v>10</v>
      </c>
    </row>
    <row r="107" spans="1:11">
      <c r="A107" t="s">
        <v>2490</v>
      </c>
      <c r="B107" s="2">
        <v>45678</v>
      </c>
      <c r="C107">
        <v>2025</v>
      </c>
      <c r="D107">
        <v>1</v>
      </c>
      <c r="E107" t="s">
        <v>1</v>
      </c>
      <c r="F107" t="s">
        <v>38</v>
      </c>
      <c r="G107" t="s">
        <v>27</v>
      </c>
      <c r="H107" t="s">
        <v>462</v>
      </c>
      <c r="I107" t="s">
        <v>70</v>
      </c>
      <c r="J107" t="s">
        <v>12</v>
      </c>
      <c r="K107" t="s">
        <v>17</v>
      </c>
    </row>
    <row r="108" spans="1:11">
      <c r="A108" t="s">
        <v>2491</v>
      </c>
      <c r="B108" s="2">
        <v>45673</v>
      </c>
      <c r="C108">
        <v>2025</v>
      </c>
      <c r="D108">
        <v>1</v>
      </c>
      <c r="E108" t="s">
        <v>1</v>
      </c>
      <c r="F108" t="s">
        <v>2</v>
      </c>
      <c r="G108" t="s">
        <v>20</v>
      </c>
      <c r="H108" t="s">
        <v>440</v>
      </c>
      <c r="I108" t="s">
        <v>34</v>
      </c>
      <c r="J108" t="s">
        <v>44</v>
      </c>
      <c r="K108" t="s">
        <v>10</v>
      </c>
    </row>
    <row r="109" spans="1:11">
      <c r="A109" t="s">
        <v>2492</v>
      </c>
      <c r="B109" s="2">
        <v>45671</v>
      </c>
      <c r="C109">
        <v>2025</v>
      </c>
      <c r="D109">
        <v>1</v>
      </c>
      <c r="E109" t="s">
        <v>1</v>
      </c>
      <c r="F109" t="s">
        <v>38</v>
      </c>
      <c r="G109" t="s">
        <v>94</v>
      </c>
      <c r="H109" t="s">
        <v>473</v>
      </c>
      <c r="I109" t="s">
        <v>34</v>
      </c>
      <c r="J109" t="s">
        <v>12</v>
      </c>
      <c r="K109" t="s">
        <v>10</v>
      </c>
    </row>
    <row r="110" spans="1:11">
      <c r="A110" t="s">
        <v>2493</v>
      </c>
      <c r="B110" s="2">
        <v>45675</v>
      </c>
      <c r="C110">
        <v>2025</v>
      </c>
      <c r="D110">
        <v>1</v>
      </c>
      <c r="E110" t="s">
        <v>1</v>
      </c>
      <c r="F110" t="s">
        <v>67</v>
      </c>
      <c r="G110" t="s">
        <v>61</v>
      </c>
      <c r="H110" t="s">
        <v>440</v>
      </c>
      <c r="I110" t="s">
        <v>13</v>
      </c>
      <c r="J110" t="s">
        <v>12</v>
      </c>
      <c r="K110" t="s">
        <v>10</v>
      </c>
    </row>
    <row r="111" spans="1:11">
      <c r="A111" t="s">
        <v>2494</v>
      </c>
      <c r="B111" s="2">
        <v>45714</v>
      </c>
      <c r="C111">
        <v>2025</v>
      </c>
      <c r="D111">
        <v>2</v>
      </c>
      <c r="E111" t="s">
        <v>25</v>
      </c>
      <c r="F111" t="s">
        <v>31</v>
      </c>
      <c r="G111" t="s">
        <v>55</v>
      </c>
      <c r="H111" t="s">
        <v>442</v>
      </c>
      <c r="I111" t="s">
        <v>70</v>
      </c>
      <c r="J111" t="s">
        <v>4</v>
      </c>
      <c r="K111" t="s">
        <v>10</v>
      </c>
    </row>
    <row r="112" spans="1:11">
      <c r="A112" t="s">
        <v>2495</v>
      </c>
      <c r="B112" s="2">
        <v>45707</v>
      </c>
      <c r="C112">
        <v>2025</v>
      </c>
      <c r="D112">
        <v>2</v>
      </c>
      <c r="E112" t="s">
        <v>25</v>
      </c>
      <c r="F112" t="s">
        <v>31</v>
      </c>
      <c r="G112" t="s">
        <v>61</v>
      </c>
      <c r="H112" t="s">
        <v>473</v>
      </c>
      <c r="I112" t="s">
        <v>13</v>
      </c>
      <c r="J112" t="s">
        <v>12</v>
      </c>
      <c r="K112" t="s">
        <v>10</v>
      </c>
    </row>
    <row r="113" spans="1:11">
      <c r="A113" t="s">
        <v>2496</v>
      </c>
      <c r="B113" s="2">
        <v>45709</v>
      </c>
      <c r="C113">
        <v>2025</v>
      </c>
      <c r="D113">
        <v>2</v>
      </c>
      <c r="E113" t="s">
        <v>25</v>
      </c>
      <c r="F113" t="s">
        <v>26</v>
      </c>
      <c r="G113" t="s">
        <v>94</v>
      </c>
      <c r="H113" t="s">
        <v>440</v>
      </c>
      <c r="I113" t="s">
        <v>70</v>
      </c>
      <c r="J113" t="s">
        <v>4</v>
      </c>
      <c r="K113" t="s">
        <v>17</v>
      </c>
    </row>
    <row r="114" spans="1:11">
      <c r="A114" t="s">
        <v>2497</v>
      </c>
      <c r="B114" s="2">
        <v>45703</v>
      </c>
      <c r="C114">
        <v>2025</v>
      </c>
      <c r="D114">
        <v>2</v>
      </c>
      <c r="E114" t="s">
        <v>25</v>
      </c>
      <c r="F114" t="s">
        <v>54</v>
      </c>
      <c r="G114" t="s">
        <v>27</v>
      </c>
      <c r="H114" t="s">
        <v>462</v>
      </c>
      <c r="I114" t="s">
        <v>50</v>
      </c>
      <c r="J114" t="s">
        <v>33</v>
      </c>
      <c r="K114" t="s">
        <v>10</v>
      </c>
    </row>
    <row r="115" spans="1:11">
      <c r="A115" t="s">
        <v>2498</v>
      </c>
      <c r="B115" s="2">
        <v>45716</v>
      </c>
      <c r="C115">
        <v>2025</v>
      </c>
      <c r="D115">
        <v>2</v>
      </c>
      <c r="E115" t="s">
        <v>25</v>
      </c>
      <c r="F115" t="s">
        <v>40</v>
      </c>
      <c r="G115" t="s">
        <v>27</v>
      </c>
      <c r="H115" t="s">
        <v>431</v>
      </c>
      <c r="I115" t="s">
        <v>34</v>
      </c>
      <c r="J115" t="s">
        <v>4</v>
      </c>
      <c r="K115" t="s">
        <v>10</v>
      </c>
    </row>
    <row r="116" spans="1:11">
      <c r="A116" t="s">
        <v>2499</v>
      </c>
      <c r="B116" s="2">
        <v>45689</v>
      </c>
      <c r="C116">
        <v>2025</v>
      </c>
      <c r="D116">
        <v>2</v>
      </c>
      <c r="E116" t="s">
        <v>25</v>
      </c>
      <c r="F116" t="s">
        <v>31</v>
      </c>
      <c r="G116" t="s">
        <v>61</v>
      </c>
      <c r="H116" t="s">
        <v>462</v>
      </c>
      <c r="I116" t="s">
        <v>34</v>
      </c>
      <c r="J116" t="s">
        <v>33</v>
      </c>
      <c r="K116" t="s">
        <v>10</v>
      </c>
    </row>
    <row r="117" spans="1:11">
      <c r="A117" t="s">
        <v>2500</v>
      </c>
      <c r="B117" s="2">
        <v>45692</v>
      </c>
      <c r="C117">
        <v>2025</v>
      </c>
      <c r="D117">
        <v>2</v>
      </c>
      <c r="E117" t="s">
        <v>25</v>
      </c>
      <c r="F117" t="s">
        <v>2</v>
      </c>
      <c r="G117" t="s">
        <v>3</v>
      </c>
      <c r="H117" t="s">
        <v>440</v>
      </c>
      <c r="I117" t="s">
        <v>50</v>
      </c>
      <c r="J117" t="s">
        <v>33</v>
      </c>
      <c r="K117" t="s">
        <v>17</v>
      </c>
    </row>
    <row r="118" spans="1:11">
      <c r="A118" t="s">
        <v>2501</v>
      </c>
      <c r="B118" s="2">
        <v>45699</v>
      </c>
      <c r="C118">
        <v>2025</v>
      </c>
      <c r="D118">
        <v>2</v>
      </c>
      <c r="E118" t="s">
        <v>25</v>
      </c>
      <c r="F118" t="s">
        <v>38</v>
      </c>
      <c r="G118" t="s">
        <v>64</v>
      </c>
      <c r="H118" t="s">
        <v>440</v>
      </c>
      <c r="I118" t="s">
        <v>13</v>
      </c>
      <c r="J118" t="s">
        <v>4</v>
      </c>
      <c r="K118" t="s">
        <v>10</v>
      </c>
    </row>
    <row r="119" spans="1:11">
      <c r="A119" t="s">
        <v>2502</v>
      </c>
      <c r="B119" s="2">
        <v>45708</v>
      </c>
      <c r="C119">
        <v>2025</v>
      </c>
      <c r="D119">
        <v>2</v>
      </c>
      <c r="E119" t="s">
        <v>25</v>
      </c>
      <c r="F119" t="s">
        <v>38</v>
      </c>
      <c r="G119" t="s">
        <v>38</v>
      </c>
      <c r="H119" t="s">
        <v>438</v>
      </c>
      <c r="I119" t="s">
        <v>50</v>
      </c>
      <c r="J119" t="s">
        <v>4</v>
      </c>
      <c r="K119" t="s">
        <v>10</v>
      </c>
    </row>
    <row r="120" spans="1:11">
      <c r="A120" t="s">
        <v>2503</v>
      </c>
      <c r="B120" s="2">
        <v>45731</v>
      </c>
      <c r="C120">
        <v>2025</v>
      </c>
      <c r="D120">
        <v>3</v>
      </c>
      <c r="E120" t="s">
        <v>60</v>
      </c>
      <c r="F120" t="s">
        <v>47</v>
      </c>
      <c r="G120" t="s">
        <v>32</v>
      </c>
      <c r="H120" t="s">
        <v>452</v>
      </c>
      <c r="I120" t="s">
        <v>13</v>
      </c>
      <c r="J120" t="s">
        <v>4</v>
      </c>
      <c r="K120" t="s">
        <v>10</v>
      </c>
    </row>
    <row r="121" spans="1:11">
      <c r="A121" t="s">
        <v>2504</v>
      </c>
      <c r="B121" s="2">
        <v>45740</v>
      </c>
      <c r="C121">
        <v>2025</v>
      </c>
      <c r="D121">
        <v>3</v>
      </c>
      <c r="E121" t="s">
        <v>60</v>
      </c>
      <c r="F121" t="s">
        <v>38</v>
      </c>
      <c r="G121" t="s">
        <v>55</v>
      </c>
      <c r="H121" t="s">
        <v>431</v>
      </c>
      <c r="I121" t="s">
        <v>50</v>
      </c>
      <c r="J121" t="s">
        <v>33</v>
      </c>
      <c r="K121" t="s">
        <v>10</v>
      </c>
    </row>
    <row r="122" spans="1:11">
      <c r="A122" t="s">
        <v>2505</v>
      </c>
      <c r="B122" s="2">
        <v>45726</v>
      </c>
      <c r="C122">
        <v>2025</v>
      </c>
      <c r="D122">
        <v>3</v>
      </c>
      <c r="E122" t="s">
        <v>60</v>
      </c>
      <c r="F122" t="s">
        <v>54</v>
      </c>
      <c r="G122" t="s">
        <v>55</v>
      </c>
      <c r="H122" t="s">
        <v>435</v>
      </c>
      <c r="I122" t="s">
        <v>50</v>
      </c>
      <c r="J122" t="s">
        <v>4</v>
      </c>
      <c r="K122" t="s">
        <v>10</v>
      </c>
    </row>
    <row r="123" spans="1:11">
      <c r="A123" t="s">
        <v>2506</v>
      </c>
      <c r="B123" s="2">
        <v>45739</v>
      </c>
      <c r="C123">
        <v>2025</v>
      </c>
      <c r="D123">
        <v>3</v>
      </c>
      <c r="E123" t="s">
        <v>60</v>
      </c>
      <c r="F123" t="s">
        <v>26</v>
      </c>
      <c r="G123" t="s">
        <v>3</v>
      </c>
      <c r="H123" t="s">
        <v>452</v>
      </c>
      <c r="I123" t="s">
        <v>34</v>
      </c>
      <c r="J123" t="s">
        <v>44</v>
      </c>
      <c r="K123" t="s">
        <v>10</v>
      </c>
    </row>
    <row r="124" spans="1:11">
      <c r="A124" t="s">
        <v>2507</v>
      </c>
      <c r="B124" s="2">
        <v>45729</v>
      </c>
      <c r="C124">
        <v>2025</v>
      </c>
      <c r="D124">
        <v>3</v>
      </c>
      <c r="E124" t="s">
        <v>60</v>
      </c>
      <c r="F124" t="s">
        <v>38</v>
      </c>
      <c r="G124" t="s">
        <v>94</v>
      </c>
      <c r="H124" t="s">
        <v>438</v>
      </c>
      <c r="I124" t="s">
        <v>70</v>
      </c>
      <c r="J124" t="s">
        <v>44</v>
      </c>
      <c r="K124" t="s">
        <v>17</v>
      </c>
    </row>
    <row r="125" spans="1:11">
      <c r="A125" t="s">
        <v>2508</v>
      </c>
      <c r="B125" s="2">
        <v>45737</v>
      </c>
      <c r="C125">
        <v>2025</v>
      </c>
      <c r="D125">
        <v>3</v>
      </c>
      <c r="E125" t="s">
        <v>60</v>
      </c>
      <c r="F125" t="s">
        <v>19</v>
      </c>
      <c r="G125" t="s">
        <v>69</v>
      </c>
      <c r="H125" t="s">
        <v>462</v>
      </c>
      <c r="I125" t="s">
        <v>70</v>
      </c>
      <c r="J125" t="s">
        <v>33</v>
      </c>
      <c r="K125" t="s">
        <v>10</v>
      </c>
    </row>
    <row r="126" spans="1:11">
      <c r="A126" t="s">
        <v>2509</v>
      </c>
      <c r="B126" s="2">
        <v>45732</v>
      </c>
      <c r="C126">
        <v>2025</v>
      </c>
      <c r="D126">
        <v>3</v>
      </c>
      <c r="E126" t="s">
        <v>60</v>
      </c>
      <c r="F126" t="s">
        <v>19</v>
      </c>
      <c r="G126" t="s">
        <v>61</v>
      </c>
      <c r="H126" t="s">
        <v>84</v>
      </c>
      <c r="I126" t="s">
        <v>13</v>
      </c>
      <c r="J126" t="s">
        <v>44</v>
      </c>
      <c r="K126" t="s">
        <v>10</v>
      </c>
    </row>
    <row r="127" spans="1:11">
      <c r="A127" t="s">
        <v>2510</v>
      </c>
      <c r="B127" s="2">
        <v>45733</v>
      </c>
      <c r="C127">
        <v>2025</v>
      </c>
      <c r="D127">
        <v>3</v>
      </c>
      <c r="E127" t="s">
        <v>60</v>
      </c>
      <c r="F127" t="s">
        <v>31</v>
      </c>
      <c r="G127" t="s">
        <v>61</v>
      </c>
      <c r="H127" t="s">
        <v>440</v>
      </c>
      <c r="I127" t="s">
        <v>50</v>
      </c>
      <c r="J127" t="s">
        <v>44</v>
      </c>
      <c r="K127" t="s">
        <v>10</v>
      </c>
    </row>
    <row r="128" spans="1:11">
      <c r="A128" t="s">
        <v>2511</v>
      </c>
      <c r="B128" s="2">
        <v>45724</v>
      </c>
      <c r="C128">
        <v>2025</v>
      </c>
      <c r="D128">
        <v>3</v>
      </c>
      <c r="E128" t="s">
        <v>60</v>
      </c>
      <c r="F128" t="s">
        <v>67</v>
      </c>
      <c r="G128" t="s">
        <v>69</v>
      </c>
      <c r="H128" t="s">
        <v>440</v>
      </c>
      <c r="I128" t="s">
        <v>50</v>
      </c>
      <c r="J128" t="s">
        <v>33</v>
      </c>
      <c r="K128" t="s">
        <v>10</v>
      </c>
    </row>
    <row r="129" spans="1:11">
      <c r="A129" t="s">
        <v>2512</v>
      </c>
      <c r="B129" s="2">
        <v>45774</v>
      </c>
      <c r="C129">
        <v>2025</v>
      </c>
      <c r="D129">
        <v>4</v>
      </c>
      <c r="E129" t="s">
        <v>73</v>
      </c>
      <c r="F129" t="s">
        <v>47</v>
      </c>
      <c r="G129" t="s">
        <v>55</v>
      </c>
      <c r="H129" t="s">
        <v>435</v>
      </c>
      <c r="I129" t="s">
        <v>34</v>
      </c>
      <c r="J129" t="s">
        <v>4</v>
      </c>
      <c r="K129" t="s">
        <v>10</v>
      </c>
    </row>
    <row r="130" spans="1:11">
      <c r="A130" t="s">
        <v>2513</v>
      </c>
      <c r="B130" s="2">
        <v>45771</v>
      </c>
      <c r="C130">
        <v>2025</v>
      </c>
      <c r="D130">
        <v>4</v>
      </c>
      <c r="E130" t="s">
        <v>73</v>
      </c>
      <c r="F130" t="s">
        <v>26</v>
      </c>
      <c r="G130" t="s">
        <v>55</v>
      </c>
      <c r="H130" t="s">
        <v>435</v>
      </c>
      <c r="I130" t="s">
        <v>70</v>
      </c>
      <c r="J130" t="s">
        <v>12</v>
      </c>
      <c r="K130" t="s">
        <v>10</v>
      </c>
    </row>
    <row r="131" spans="1:11">
      <c r="A131" t="s">
        <v>2514</v>
      </c>
      <c r="B131" s="2">
        <v>45758</v>
      </c>
      <c r="C131">
        <v>2025</v>
      </c>
      <c r="D131">
        <v>4</v>
      </c>
      <c r="E131" t="s">
        <v>73</v>
      </c>
      <c r="F131" t="s">
        <v>54</v>
      </c>
      <c r="G131" t="s">
        <v>94</v>
      </c>
      <c r="H131" t="s">
        <v>464</v>
      </c>
      <c r="I131" t="s">
        <v>50</v>
      </c>
      <c r="J131" t="s">
        <v>33</v>
      </c>
      <c r="K131" t="s">
        <v>17</v>
      </c>
    </row>
    <row r="132" spans="1:11">
      <c r="A132" t="s">
        <v>2515</v>
      </c>
      <c r="B132" s="2">
        <v>45768</v>
      </c>
      <c r="C132">
        <v>2025</v>
      </c>
      <c r="D132">
        <v>4</v>
      </c>
      <c r="E132" t="s">
        <v>73</v>
      </c>
      <c r="F132" t="s">
        <v>26</v>
      </c>
      <c r="G132" t="s">
        <v>55</v>
      </c>
      <c r="H132" t="s">
        <v>84</v>
      </c>
      <c r="I132" t="s">
        <v>13</v>
      </c>
      <c r="J132" t="s">
        <v>12</v>
      </c>
      <c r="K132" t="s">
        <v>17</v>
      </c>
    </row>
    <row r="133" spans="1:11">
      <c r="A133" t="s">
        <v>2516</v>
      </c>
      <c r="B133" s="2">
        <v>45769</v>
      </c>
      <c r="C133">
        <v>2025</v>
      </c>
      <c r="D133">
        <v>4</v>
      </c>
      <c r="E133" t="s">
        <v>73</v>
      </c>
      <c r="F133" t="s">
        <v>38</v>
      </c>
      <c r="G133" t="s">
        <v>20</v>
      </c>
      <c r="H133" t="s">
        <v>438</v>
      </c>
      <c r="I133" t="s">
        <v>70</v>
      </c>
      <c r="J133" t="s">
        <v>33</v>
      </c>
      <c r="K133" t="s">
        <v>17</v>
      </c>
    </row>
    <row r="134" spans="1:11">
      <c r="A134" t="s">
        <v>2517</v>
      </c>
      <c r="B134" s="2">
        <v>45751</v>
      </c>
      <c r="C134">
        <v>2025</v>
      </c>
      <c r="D134">
        <v>4</v>
      </c>
      <c r="E134" t="s">
        <v>73</v>
      </c>
      <c r="F134" t="s">
        <v>31</v>
      </c>
      <c r="G134" t="s">
        <v>64</v>
      </c>
      <c r="H134" t="s">
        <v>431</v>
      </c>
      <c r="I134" t="s">
        <v>70</v>
      </c>
      <c r="J134" t="s">
        <v>4</v>
      </c>
      <c r="K134" t="s">
        <v>10</v>
      </c>
    </row>
    <row r="135" spans="1:11">
      <c r="A135" t="s">
        <v>2518</v>
      </c>
      <c r="B135" s="2">
        <v>45757</v>
      </c>
      <c r="C135">
        <v>2025</v>
      </c>
      <c r="D135">
        <v>4</v>
      </c>
      <c r="E135" t="s">
        <v>73</v>
      </c>
      <c r="F135" t="s">
        <v>31</v>
      </c>
      <c r="G135" t="s">
        <v>64</v>
      </c>
      <c r="H135" t="s">
        <v>438</v>
      </c>
      <c r="I135" t="s">
        <v>6</v>
      </c>
      <c r="J135" t="s">
        <v>33</v>
      </c>
      <c r="K135" t="s">
        <v>10</v>
      </c>
    </row>
    <row r="136" spans="1:11">
      <c r="A136" t="s">
        <v>2519</v>
      </c>
      <c r="B136" s="2">
        <v>45762</v>
      </c>
      <c r="C136">
        <v>2025</v>
      </c>
      <c r="D136">
        <v>4</v>
      </c>
      <c r="E136" t="s">
        <v>73</v>
      </c>
      <c r="F136" t="s">
        <v>19</v>
      </c>
      <c r="G136" t="s">
        <v>3</v>
      </c>
      <c r="H136" t="s">
        <v>452</v>
      </c>
      <c r="I136" t="s">
        <v>34</v>
      </c>
      <c r="J136" t="s">
        <v>33</v>
      </c>
      <c r="K136" t="s">
        <v>10</v>
      </c>
    </row>
    <row r="137" spans="1:11">
      <c r="A137" t="s">
        <v>2520</v>
      </c>
      <c r="B137" s="2">
        <v>45755</v>
      </c>
      <c r="C137">
        <v>2025</v>
      </c>
      <c r="D137">
        <v>4</v>
      </c>
      <c r="E137" t="s">
        <v>73</v>
      </c>
      <c r="F137" t="s">
        <v>19</v>
      </c>
      <c r="G137" t="s">
        <v>38</v>
      </c>
      <c r="H137" t="s">
        <v>84</v>
      </c>
      <c r="I137" t="s">
        <v>13</v>
      </c>
      <c r="J137" t="s">
        <v>12</v>
      </c>
      <c r="K137" t="s">
        <v>10</v>
      </c>
    </row>
    <row r="138" spans="1:11">
      <c r="A138" t="s">
        <v>2521</v>
      </c>
      <c r="B138" s="2">
        <v>45773</v>
      </c>
      <c r="C138">
        <v>2025</v>
      </c>
      <c r="D138">
        <v>4</v>
      </c>
      <c r="E138" t="s">
        <v>73</v>
      </c>
      <c r="F138" t="s">
        <v>78</v>
      </c>
      <c r="G138" t="s">
        <v>69</v>
      </c>
      <c r="H138" t="s">
        <v>462</v>
      </c>
      <c r="I138" t="s">
        <v>50</v>
      </c>
      <c r="J138" t="s">
        <v>33</v>
      </c>
      <c r="K138" t="s">
        <v>10</v>
      </c>
    </row>
    <row r="139" spans="1:11">
      <c r="A139" t="s">
        <v>2522</v>
      </c>
      <c r="B139" s="2">
        <v>45768</v>
      </c>
      <c r="C139">
        <v>2025</v>
      </c>
      <c r="D139">
        <v>4</v>
      </c>
      <c r="E139" t="s">
        <v>73</v>
      </c>
      <c r="F139" t="s">
        <v>38</v>
      </c>
      <c r="G139" t="s">
        <v>32</v>
      </c>
      <c r="H139" t="s">
        <v>431</v>
      </c>
      <c r="I139" t="s">
        <v>70</v>
      </c>
      <c r="J139" t="s">
        <v>33</v>
      </c>
      <c r="K139" t="s">
        <v>10</v>
      </c>
    </row>
    <row r="140" spans="1:11">
      <c r="A140" t="s">
        <v>2523</v>
      </c>
      <c r="B140" s="2">
        <v>45756</v>
      </c>
      <c r="C140">
        <v>2025</v>
      </c>
      <c r="D140">
        <v>4</v>
      </c>
      <c r="E140" t="s">
        <v>73</v>
      </c>
      <c r="F140" t="s">
        <v>54</v>
      </c>
      <c r="G140" t="s">
        <v>55</v>
      </c>
      <c r="H140" t="s">
        <v>438</v>
      </c>
      <c r="I140" t="s">
        <v>34</v>
      </c>
      <c r="J140" t="s">
        <v>33</v>
      </c>
      <c r="K140" t="s">
        <v>10</v>
      </c>
    </row>
    <row r="141" spans="1:11">
      <c r="A141" t="s">
        <v>2524</v>
      </c>
      <c r="B141" s="2">
        <v>45783</v>
      </c>
      <c r="C141">
        <v>2025</v>
      </c>
      <c r="D141">
        <v>5</v>
      </c>
      <c r="E141" t="s">
        <v>83</v>
      </c>
      <c r="F141" t="s">
        <v>2</v>
      </c>
      <c r="G141" t="s">
        <v>3</v>
      </c>
      <c r="H141" t="s">
        <v>84</v>
      </c>
      <c r="I141" t="s">
        <v>6</v>
      </c>
      <c r="J141" t="s">
        <v>12</v>
      </c>
      <c r="K141" t="s">
        <v>10</v>
      </c>
    </row>
    <row r="142" spans="1:11">
      <c r="A142" t="s">
        <v>2525</v>
      </c>
      <c r="B142" s="2">
        <v>45793</v>
      </c>
      <c r="C142">
        <v>2025</v>
      </c>
      <c r="D142">
        <v>5</v>
      </c>
      <c r="E142" t="s">
        <v>83</v>
      </c>
      <c r="F142" t="s">
        <v>54</v>
      </c>
      <c r="G142" t="s">
        <v>48</v>
      </c>
      <c r="H142" t="s">
        <v>452</v>
      </c>
      <c r="I142" t="s">
        <v>70</v>
      </c>
      <c r="J142" t="s">
        <v>12</v>
      </c>
      <c r="K142" t="s">
        <v>10</v>
      </c>
    </row>
    <row r="143" spans="1:11">
      <c r="A143" t="s">
        <v>2526</v>
      </c>
      <c r="B143" s="2">
        <v>45792</v>
      </c>
      <c r="C143">
        <v>2025</v>
      </c>
      <c r="D143">
        <v>5</v>
      </c>
      <c r="E143" t="s">
        <v>83</v>
      </c>
      <c r="F143" t="s">
        <v>40</v>
      </c>
      <c r="G143" t="s">
        <v>48</v>
      </c>
      <c r="H143" t="s">
        <v>431</v>
      </c>
      <c r="I143" t="s">
        <v>34</v>
      </c>
      <c r="J143" t="s">
        <v>44</v>
      </c>
      <c r="K143" t="s">
        <v>10</v>
      </c>
    </row>
    <row r="144" spans="1:11">
      <c r="A144" t="s">
        <v>2527</v>
      </c>
      <c r="B144" s="2">
        <v>45795</v>
      </c>
      <c r="C144">
        <v>2025</v>
      </c>
      <c r="D144">
        <v>5</v>
      </c>
      <c r="E144" t="s">
        <v>83</v>
      </c>
      <c r="F144" t="s">
        <v>2</v>
      </c>
      <c r="G144" t="s">
        <v>94</v>
      </c>
      <c r="H144" t="s">
        <v>452</v>
      </c>
      <c r="I144" t="s">
        <v>6</v>
      </c>
      <c r="J144" t="s">
        <v>4</v>
      </c>
      <c r="K144" t="s">
        <v>10</v>
      </c>
    </row>
    <row r="145" spans="1:11">
      <c r="A145" t="s">
        <v>2528</v>
      </c>
      <c r="B145" s="2">
        <v>45798</v>
      </c>
      <c r="C145">
        <v>2025</v>
      </c>
      <c r="D145">
        <v>5</v>
      </c>
      <c r="E145" t="s">
        <v>83</v>
      </c>
      <c r="F145" t="s">
        <v>78</v>
      </c>
      <c r="G145" t="s">
        <v>55</v>
      </c>
      <c r="H145" t="s">
        <v>464</v>
      </c>
      <c r="I145" t="s">
        <v>13</v>
      </c>
      <c r="J145" t="s">
        <v>33</v>
      </c>
      <c r="K145" t="s">
        <v>10</v>
      </c>
    </row>
    <row r="146" spans="1:11">
      <c r="A146" t="s">
        <v>2529</v>
      </c>
      <c r="B146" s="2">
        <v>45815</v>
      </c>
      <c r="C146">
        <v>2025</v>
      </c>
      <c r="D146">
        <v>6</v>
      </c>
      <c r="E146" t="s">
        <v>87</v>
      </c>
      <c r="F146" t="s">
        <v>47</v>
      </c>
      <c r="G146" t="s">
        <v>69</v>
      </c>
      <c r="H146" t="s">
        <v>464</v>
      </c>
      <c r="I146" t="s">
        <v>13</v>
      </c>
      <c r="J146" t="s">
        <v>33</v>
      </c>
      <c r="K146" t="s">
        <v>17</v>
      </c>
    </row>
    <row r="147" spans="1:11">
      <c r="A147" t="s">
        <v>2530</v>
      </c>
      <c r="B147" s="2">
        <v>45830</v>
      </c>
      <c r="C147">
        <v>2025</v>
      </c>
      <c r="D147">
        <v>6</v>
      </c>
      <c r="E147" t="s">
        <v>87</v>
      </c>
      <c r="F147" t="s">
        <v>47</v>
      </c>
      <c r="G147" t="s">
        <v>64</v>
      </c>
      <c r="H147" t="s">
        <v>435</v>
      </c>
      <c r="I147" t="s">
        <v>13</v>
      </c>
      <c r="J147" t="s">
        <v>44</v>
      </c>
      <c r="K147" t="s">
        <v>17</v>
      </c>
    </row>
    <row r="148" spans="1:11">
      <c r="A148" t="s">
        <v>2531</v>
      </c>
      <c r="B148" s="2">
        <v>45831</v>
      </c>
      <c r="C148">
        <v>2025</v>
      </c>
      <c r="D148">
        <v>6</v>
      </c>
      <c r="E148" t="s">
        <v>87</v>
      </c>
      <c r="F148" t="s">
        <v>38</v>
      </c>
      <c r="G148" t="s">
        <v>27</v>
      </c>
      <c r="H148" t="s">
        <v>464</v>
      </c>
      <c r="I148" t="s">
        <v>6</v>
      </c>
      <c r="J148" t="s">
        <v>4</v>
      </c>
      <c r="K148" t="s">
        <v>10</v>
      </c>
    </row>
    <row r="149" spans="1:11">
      <c r="A149" t="s">
        <v>2532</v>
      </c>
      <c r="B149" s="2">
        <v>45826</v>
      </c>
      <c r="C149">
        <v>2025</v>
      </c>
      <c r="D149">
        <v>6</v>
      </c>
      <c r="E149" t="s">
        <v>87</v>
      </c>
      <c r="F149" t="s">
        <v>47</v>
      </c>
      <c r="G149" t="s">
        <v>69</v>
      </c>
      <c r="H149" t="s">
        <v>435</v>
      </c>
      <c r="I149" t="s">
        <v>13</v>
      </c>
      <c r="J149" t="s">
        <v>12</v>
      </c>
      <c r="K149" t="s">
        <v>10</v>
      </c>
    </row>
    <row r="150" spans="1:11">
      <c r="A150" t="s">
        <v>2533</v>
      </c>
      <c r="B150" s="2">
        <v>45809</v>
      </c>
      <c r="C150">
        <v>2025</v>
      </c>
      <c r="D150">
        <v>6</v>
      </c>
      <c r="E150" t="s">
        <v>87</v>
      </c>
      <c r="F150" t="s">
        <v>2</v>
      </c>
      <c r="G150" t="s">
        <v>3</v>
      </c>
      <c r="H150" t="s">
        <v>473</v>
      </c>
      <c r="I150" t="s">
        <v>70</v>
      </c>
      <c r="J150" t="s">
        <v>12</v>
      </c>
      <c r="K150" t="s">
        <v>10</v>
      </c>
    </row>
    <row r="151" spans="1:11">
      <c r="A151" t="s">
        <v>2534</v>
      </c>
      <c r="B151" s="2">
        <v>45827</v>
      </c>
      <c r="C151">
        <v>2025</v>
      </c>
      <c r="D151">
        <v>6</v>
      </c>
      <c r="E151" t="s">
        <v>87</v>
      </c>
      <c r="F151" t="s">
        <v>67</v>
      </c>
      <c r="G151" t="s">
        <v>94</v>
      </c>
      <c r="H151" t="s">
        <v>431</v>
      </c>
      <c r="I151" t="s">
        <v>34</v>
      </c>
      <c r="J151" t="s">
        <v>44</v>
      </c>
      <c r="K151" t="s">
        <v>10</v>
      </c>
    </row>
    <row r="152" spans="1:11">
      <c r="A152" t="s">
        <v>2535</v>
      </c>
      <c r="B152" s="2">
        <v>45823</v>
      </c>
      <c r="C152">
        <v>2025</v>
      </c>
      <c r="D152">
        <v>6</v>
      </c>
      <c r="E152" t="s">
        <v>87</v>
      </c>
      <c r="F152" t="s">
        <v>67</v>
      </c>
      <c r="G152" t="s">
        <v>55</v>
      </c>
      <c r="H152" t="s">
        <v>84</v>
      </c>
      <c r="I152" t="s">
        <v>70</v>
      </c>
      <c r="J152" t="s">
        <v>4</v>
      </c>
      <c r="K152" t="s">
        <v>10</v>
      </c>
    </row>
    <row r="153" spans="1:11">
      <c r="A153" t="s">
        <v>2536</v>
      </c>
      <c r="B153" s="2">
        <v>45833</v>
      </c>
      <c r="C153">
        <v>2025</v>
      </c>
      <c r="D153">
        <v>6</v>
      </c>
      <c r="E153" t="s">
        <v>87</v>
      </c>
      <c r="F153" t="s">
        <v>19</v>
      </c>
      <c r="G153" t="s">
        <v>69</v>
      </c>
      <c r="H153" t="s">
        <v>440</v>
      </c>
      <c r="I153" t="s">
        <v>70</v>
      </c>
      <c r="J153" t="s">
        <v>33</v>
      </c>
      <c r="K153" t="s">
        <v>17</v>
      </c>
    </row>
    <row r="154" spans="1:11">
      <c r="A154" t="s">
        <v>2537</v>
      </c>
      <c r="B154" s="2">
        <v>45814</v>
      </c>
      <c r="C154">
        <v>2025</v>
      </c>
      <c r="D154">
        <v>6</v>
      </c>
      <c r="E154" t="s">
        <v>87</v>
      </c>
      <c r="F154" t="s">
        <v>40</v>
      </c>
      <c r="G154" t="s">
        <v>20</v>
      </c>
      <c r="H154" t="s">
        <v>442</v>
      </c>
      <c r="I154" t="s">
        <v>13</v>
      </c>
      <c r="J154" t="s">
        <v>44</v>
      </c>
      <c r="K154" t="s">
        <v>10</v>
      </c>
    </row>
    <row r="155" spans="1:11">
      <c r="A155" t="s">
        <v>2538</v>
      </c>
      <c r="B155" s="2">
        <v>45828</v>
      </c>
      <c r="C155">
        <v>2025</v>
      </c>
      <c r="D155">
        <v>6</v>
      </c>
      <c r="E155" t="s">
        <v>87</v>
      </c>
      <c r="F155" t="s">
        <v>54</v>
      </c>
      <c r="G155" t="s">
        <v>74</v>
      </c>
      <c r="H155" t="s">
        <v>473</v>
      </c>
      <c r="I155" t="s">
        <v>13</v>
      </c>
      <c r="J155" t="s">
        <v>33</v>
      </c>
      <c r="K155" t="s">
        <v>17</v>
      </c>
    </row>
    <row r="156" spans="1:11">
      <c r="A156" t="s">
        <v>2539</v>
      </c>
      <c r="B156" s="2">
        <v>45827</v>
      </c>
      <c r="C156">
        <v>2025</v>
      </c>
      <c r="D156">
        <v>6</v>
      </c>
      <c r="E156" t="s">
        <v>87</v>
      </c>
      <c r="F156" t="s">
        <v>19</v>
      </c>
      <c r="G156" t="s">
        <v>32</v>
      </c>
      <c r="H156" t="s">
        <v>435</v>
      </c>
      <c r="I156" t="s">
        <v>70</v>
      </c>
      <c r="J156" t="s">
        <v>33</v>
      </c>
      <c r="K156" t="s">
        <v>17</v>
      </c>
    </row>
    <row r="157" spans="1:11">
      <c r="A157" t="s">
        <v>2540</v>
      </c>
      <c r="B157" s="2">
        <v>45852</v>
      </c>
      <c r="C157">
        <v>2025</v>
      </c>
      <c r="D157">
        <v>7</v>
      </c>
      <c r="E157" t="s">
        <v>93</v>
      </c>
      <c r="F157" t="s">
        <v>54</v>
      </c>
      <c r="G157" t="s">
        <v>20</v>
      </c>
      <c r="H157" t="s">
        <v>438</v>
      </c>
      <c r="I157" t="s">
        <v>13</v>
      </c>
      <c r="J157" t="s">
        <v>44</v>
      </c>
      <c r="K157" t="s">
        <v>10</v>
      </c>
    </row>
    <row r="158" spans="1:11">
      <c r="A158" t="s">
        <v>2541</v>
      </c>
      <c r="B158" s="2">
        <v>45843</v>
      </c>
      <c r="C158">
        <v>2025</v>
      </c>
      <c r="D158">
        <v>7</v>
      </c>
      <c r="E158" t="s">
        <v>93</v>
      </c>
      <c r="F158" t="s">
        <v>26</v>
      </c>
      <c r="G158" t="s">
        <v>32</v>
      </c>
      <c r="H158" t="s">
        <v>431</v>
      </c>
      <c r="I158" t="s">
        <v>6</v>
      </c>
      <c r="J158" t="s">
        <v>12</v>
      </c>
      <c r="K158" t="s">
        <v>10</v>
      </c>
    </row>
    <row r="159" spans="1:11">
      <c r="A159" t="s">
        <v>2542</v>
      </c>
      <c r="B159" s="2">
        <v>45840</v>
      </c>
      <c r="C159">
        <v>2025</v>
      </c>
      <c r="D159">
        <v>7</v>
      </c>
      <c r="E159" t="s">
        <v>93</v>
      </c>
      <c r="F159" t="s">
        <v>38</v>
      </c>
      <c r="G159" t="s">
        <v>3</v>
      </c>
      <c r="H159" t="s">
        <v>462</v>
      </c>
      <c r="I159" t="s">
        <v>34</v>
      </c>
      <c r="J159" t="s">
        <v>4</v>
      </c>
      <c r="K159" t="s">
        <v>17</v>
      </c>
    </row>
    <row r="160" spans="1:11">
      <c r="A160" t="s">
        <v>2543</v>
      </c>
      <c r="B160" s="2">
        <v>45847</v>
      </c>
      <c r="C160">
        <v>2025</v>
      </c>
      <c r="D160">
        <v>7</v>
      </c>
      <c r="E160" t="s">
        <v>93</v>
      </c>
      <c r="F160" t="s">
        <v>26</v>
      </c>
      <c r="G160" t="s">
        <v>48</v>
      </c>
      <c r="H160" t="s">
        <v>435</v>
      </c>
      <c r="I160" t="s">
        <v>70</v>
      </c>
      <c r="J160" t="s">
        <v>12</v>
      </c>
      <c r="K160" t="s">
        <v>10</v>
      </c>
    </row>
    <row r="161" spans="1:11">
      <c r="A161" t="s">
        <v>2544</v>
      </c>
      <c r="B161" s="2">
        <v>45858</v>
      </c>
      <c r="C161">
        <v>2025</v>
      </c>
      <c r="D161">
        <v>7</v>
      </c>
      <c r="E161" t="s">
        <v>93</v>
      </c>
      <c r="F161" t="s">
        <v>31</v>
      </c>
      <c r="G161" t="s">
        <v>32</v>
      </c>
      <c r="H161" t="s">
        <v>442</v>
      </c>
      <c r="I161" t="s">
        <v>50</v>
      </c>
      <c r="J161" t="s">
        <v>33</v>
      </c>
      <c r="K161" t="s">
        <v>10</v>
      </c>
    </row>
    <row r="162" spans="1:11">
      <c r="A162" t="s">
        <v>2545</v>
      </c>
      <c r="B162" s="2">
        <v>45859</v>
      </c>
      <c r="C162">
        <v>2025</v>
      </c>
      <c r="D162">
        <v>7</v>
      </c>
      <c r="E162" t="s">
        <v>93</v>
      </c>
      <c r="F162" t="s">
        <v>26</v>
      </c>
      <c r="G162" t="s">
        <v>32</v>
      </c>
      <c r="H162" t="s">
        <v>438</v>
      </c>
      <c r="I162" t="s">
        <v>34</v>
      </c>
      <c r="J162" t="s">
        <v>4</v>
      </c>
      <c r="K162" t="s">
        <v>10</v>
      </c>
    </row>
    <row r="163" spans="1:11">
      <c r="A163" t="s">
        <v>2546</v>
      </c>
      <c r="B163" s="2">
        <v>45840</v>
      </c>
      <c r="C163">
        <v>2025</v>
      </c>
      <c r="D163">
        <v>7</v>
      </c>
      <c r="E163" t="s">
        <v>93</v>
      </c>
      <c r="F163" t="s">
        <v>40</v>
      </c>
      <c r="G163" t="s">
        <v>61</v>
      </c>
      <c r="H163" t="s">
        <v>440</v>
      </c>
      <c r="I163" t="s">
        <v>50</v>
      </c>
      <c r="J163" t="s">
        <v>33</v>
      </c>
      <c r="K163" t="s">
        <v>10</v>
      </c>
    </row>
    <row r="164" spans="1:11">
      <c r="A164" t="s">
        <v>2547</v>
      </c>
      <c r="B164" s="2">
        <v>45864</v>
      </c>
      <c r="C164">
        <v>2025</v>
      </c>
      <c r="D164">
        <v>7</v>
      </c>
      <c r="E164" t="s">
        <v>93</v>
      </c>
      <c r="F164" t="s">
        <v>2</v>
      </c>
      <c r="G164" t="s">
        <v>32</v>
      </c>
      <c r="H164" t="s">
        <v>438</v>
      </c>
      <c r="I164" t="s">
        <v>34</v>
      </c>
      <c r="J164" t="s">
        <v>33</v>
      </c>
      <c r="K164" t="s">
        <v>10</v>
      </c>
    </row>
    <row r="165" spans="1:11">
      <c r="A165" t="s">
        <v>2548</v>
      </c>
      <c r="B165" s="2">
        <v>45865</v>
      </c>
      <c r="C165">
        <v>2025</v>
      </c>
      <c r="D165">
        <v>7</v>
      </c>
      <c r="E165" t="s">
        <v>93</v>
      </c>
      <c r="F165" t="s">
        <v>54</v>
      </c>
      <c r="G165" t="s">
        <v>64</v>
      </c>
      <c r="H165" t="s">
        <v>431</v>
      </c>
      <c r="I165" t="s">
        <v>6</v>
      </c>
      <c r="J165" t="s">
        <v>33</v>
      </c>
      <c r="K165" t="s">
        <v>10</v>
      </c>
    </row>
    <row r="166" spans="1:11">
      <c r="A166" t="s">
        <v>2549</v>
      </c>
      <c r="B166" s="2">
        <v>45888</v>
      </c>
      <c r="C166">
        <v>2025</v>
      </c>
      <c r="D166">
        <v>8</v>
      </c>
      <c r="E166" t="s">
        <v>101</v>
      </c>
      <c r="F166" t="s">
        <v>47</v>
      </c>
      <c r="G166" t="s">
        <v>64</v>
      </c>
      <c r="H166" t="s">
        <v>462</v>
      </c>
      <c r="I166" t="s">
        <v>13</v>
      </c>
      <c r="J166" t="s">
        <v>33</v>
      </c>
      <c r="K166" t="s">
        <v>10</v>
      </c>
    </row>
    <row r="167" spans="1:11">
      <c r="A167" t="s">
        <v>2550</v>
      </c>
      <c r="B167" s="2">
        <v>45891</v>
      </c>
      <c r="C167">
        <v>2025</v>
      </c>
      <c r="D167">
        <v>8</v>
      </c>
      <c r="E167" t="s">
        <v>101</v>
      </c>
      <c r="F167" t="s">
        <v>40</v>
      </c>
      <c r="G167" t="s">
        <v>48</v>
      </c>
      <c r="H167" t="s">
        <v>473</v>
      </c>
      <c r="I167" t="s">
        <v>70</v>
      </c>
      <c r="J167" t="s">
        <v>33</v>
      </c>
      <c r="K167" t="s">
        <v>10</v>
      </c>
    </row>
    <row r="168" spans="1:11">
      <c r="A168" t="s">
        <v>2551</v>
      </c>
      <c r="B168" s="2">
        <v>45880</v>
      </c>
      <c r="C168">
        <v>2025</v>
      </c>
      <c r="D168">
        <v>8</v>
      </c>
      <c r="E168" t="s">
        <v>101</v>
      </c>
      <c r="F168" t="s">
        <v>19</v>
      </c>
      <c r="G168" t="s">
        <v>74</v>
      </c>
      <c r="H168" t="s">
        <v>462</v>
      </c>
      <c r="I168" t="s">
        <v>13</v>
      </c>
      <c r="J168" t="s">
        <v>33</v>
      </c>
      <c r="K168" t="s">
        <v>10</v>
      </c>
    </row>
    <row r="169" spans="1:11">
      <c r="A169" t="s">
        <v>2552</v>
      </c>
      <c r="B169" s="2">
        <v>45881</v>
      </c>
      <c r="C169">
        <v>2025</v>
      </c>
      <c r="D169">
        <v>8</v>
      </c>
      <c r="E169" t="s">
        <v>101</v>
      </c>
      <c r="F169" t="s">
        <v>54</v>
      </c>
      <c r="G169" t="s">
        <v>27</v>
      </c>
      <c r="H169" t="s">
        <v>452</v>
      </c>
      <c r="I169" t="s">
        <v>6</v>
      </c>
      <c r="J169" t="s">
        <v>33</v>
      </c>
      <c r="K169" t="s">
        <v>17</v>
      </c>
    </row>
    <row r="170" spans="1:11">
      <c r="A170" t="s">
        <v>2553</v>
      </c>
      <c r="B170" s="2">
        <v>45902</v>
      </c>
      <c r="C170">
        <v>2025</v>
      </c>
      <c r="D170">
        <v>9</v>
      </c>
      <c r="E170" t="s">
        <v>105</v>
      </c>
      <c r="F170" t="s">
        <v>54</v>
      </c>
      <c r="G170" t="s">
        <v>20</v>
      </c>
      <c r="H170" t="s">
        <v>464</v>
      </c>
      <c r="I170" t="s">
        <v>6</v>
      </c>
      <c r="J170" t="s">
        <v>44</v>
      </c>
      <c r="K170" t="s">
        <v>10</v>
      </c>
    </row>
    <row r="171" spans="1:11">
      <c r="A171" t="s">
        <v>2554</v>
      </c>
      <c r="B171" s="2">
        <v>45917</v>
      </c>
      <c r="C171">
        <v>2025</v>
      </c>
      <c r="D171">
        <v>9</v>
      </c>
      <c r="E171" t="s">
        <v>105</v>
      </c>
      <c r="F171" t="s">
        <v>67</v>
      </c>
      <c r="G171" t="s">
        <v>20</v>
      </c>
      <c r="H171" t="s">
        <v>452</v>
      </c>
      <c r="I171" t="s">
        <v>13</v>
      </c>
      <c r="J171" t="s">
        <v>33</v>
      </c>
      <c r="K171" t="s">
        <v>10</v>
      </c>
    </row>
    <row r="172" spans="1:11">
      <c r="A172" t="s">
        <v>2555</v>
      </c>
      <c r="B172" s="2">
        <v>45922</v>
      </c>
      <c r="C172">
        <v>2025</v>
      </c>
      <c r="D172">
        <v>9</v>
      </c>
      <c r="E172" t="s">
        <v>105</v>
      </c>
      <c r="F172" t="s">
        <v>2</v>
      </c>
      <c r="G172" t="s">
        <v>94</v>
      </c>
      <c r="H172" t="s">
        <v>452</v>
      </c>
      <c r="I172" t="s">
        <v>13</v>
      </c>
      <c r="J172" t="s">
        <v>44</v>
      </c>
      <c r="K172" t="s">
        <v>10</v>
      </c>
    </row>
    <row r="173" spans="1:11">
      <c r="A173" t="s">
        <v>2556</v>
      </c>
      <c r="B173" s="2">
        <v>45917</v>
      </c>
      <c r="C173">
        <v>2025</v>
      </c>
      <c r="D173">
        <v>9</v>
      </c>
      <c r="E173" t="s">
        <v>105</v>
      </c>
      <c r="F173" t="s">
        <v>19</v>
      </c>
      <c r="G173" t="s">
        <v>69</v>
      </c>
      <c r="H173" t="s">
        <v>452</v>
      </c>
      <c r="I173" t="s">
        <v>13</v>
      </c>
      <c r="J173" t="s">
        <v>4</v>
      </c>
      <c r="K173" t="s">
        <v>10</v>
      </c>
    </row>
    <row r="174" spans="1:11">
      <c r="A174" t="s">
        <v>2557</v>
      </c>
      <c r="B174" s="2">
        <v>45910</v>
      </c>
      <c r="C174">
        <v>2025</v>
      </c>
      <c r="D174">
        <v>9</v>
      </c>
      <c r="E174" t="s">
        <v>105</v>
      </c>
      <c r="F174" t="s">
        <v>78</v>
      </c>
      <c r="G174" t="s">
        <v>38</v>
      </c>
      <c r="H174" t="s">
        <v>431</v>
      </c>
      <c r="I174" t="s">
        <v>50</v>
      </c>
      <c r="J174" t="s">
        <v>12</v>
      </c>
      <c r="K174" t="s">
        <v>10</v>
      </c>
    </row>
    <row r="175" spans="1:11">
      <c r="A175" t="s">
        <v>2558</v>
      </c>
      <c r="B175" s="2">
        <v>45950</v>
      </c>
      <c r="C175">
        <v>2025</v>
      </c>
      <c r="D175">
        <v>10</v>
      </c>
      <c r="E175" t="s">
        <v>113</v>
      </c>
      <c r="F175" t="s">
        <v>19</v>
      </c>
      <c r="G175" t="s">
        <v>38</v>
      </c>
      <c r="H175" t="s">
        <v>462</v>
      </c>
      <c r="I175" t="s">
        <v>34</v>
      </c>
      <c r="J175" t="s">
        <v>4</v>
      </c>
      <c r="K175" t="s">
        <v>10</v>
      </c>
    </row>
    <row r="176" spans="1:11">
      <c r="A176" t="s">
        <v>2559</v>
      </c>
      <c r="B176" s="2">
        <v>45957</v>
      </c>
      <c r="C176">
        <v>2025</v>
      </c>
      <c r="D176">
        <v>10</v>
      </c>
      <c r="E176" t="s">
        <v>113</v>
      </c>
      <c r="F176" t="s">
        <v>40</v>
      </c>
      <c r="G176" t="s">
        <v>38</v>
      </c>
      <c r="H176" t="s">
        <v>431</v>
      </c>
      <c r="I176" t="s">
        <v>13</v>
      </c>
      <c r="J176" t="s">
        <v>44</v>
      </c>
      <c r="K176" t="s">
        <v>10</v>
      </c>
    </row>
    <row r="177" spans="1:11">
      <c r="A177" t="s">
        <v>2560</v>
      </c>
      <c r="B177" s="2">
        <v>45955</v>
      </c>
      <c r="C177">
        <v>2025</v>
      </c>
      <c r="D177">
        <v>10</v>
      </c>
      <c r="E177" t="s">
        <v>113</v>
      </c>
      <c r="F177" t="s">
        <v>54</v>
      </c>
      <c r="G177" t="s">
        <v>69</v>
      </c>
      <c r="H177" t="s">
        <v>473</v>
      </c>
      <c r="I177" t="s">
        <v>50</v>
      </c>
      <c r="J177" t="s">
        <v>33</v>
      </c>
      <c r="K177" t="s">
        <v>10</v>
      </c>
    </row>
    <row r="178" spans="1:11">
      <c r="A178" t="s">
        <v>2561</v>
      </c>
      <c r="B178" s="2">
        <v>45941</v>
      </c>
      <c r="C178">
        <v>2025</v>
      </c>
      <c r="D178">
        <v>10</v>
      </c>
      <c r="E178" t="s">
        <v>113</v>
      </c>
      <c r="F178" t="s">
        <v>78</v>
      </c>
      <c r="G178" t="s">
        <v>38</v>
      </c>
      <c r="H178" t="s">
        <v>464</v>
      </c>
      <c r="I178" t="s">
        <v>6</v>
      </c>
      <c r="J178" t="s">
        <v>44</v>
      </c>
      <c r="K178" t="s">
        <v>10</v>
      </c>
    </row>
    <row r="179" spans="1:11">
      <c r="A179" t="s">
        <v>2562</v>
      </c>
      <c r="B179" s="2">
        <v>45951</v>
      </c>
      <c r="C179">
        <v>2025</v>
      </c>
      <c r="D179">
        <v>10</v>
      </c>
      <c r="E179" t="s">
        <v>113</v>
      </c>
      <c r="F179" t="s">
        <v>47</v>
      </c>
      <c r="G179" t="s">
        <v>32</v>
      </c>
      <c r="H179" t="s">
        <v>431</v>
      </c>
      <c r="I179" t="s">
        <v>70</v>
      </c>
      <c r="J179" t="s">
        <v>12</v>
      </c>
      <c r="K179" t="s">
        <v>10</v>
      </c>
    </row>
    <row r="180" spans="1:11">
      <c r="A180" t="s">
        <v>2563</v>
      </c>
      <c r="B180" s="2">
        <v>45938</v>
      </c>
      <c r="C180">
        <v>2025</v>
      </c>
      <c r="D180">
        <v>10</v>
      </c>
      <c r="E180" t="s">
        <v>113</v>
      </c>
      <c r="F180" t="s">
        <v>54</v>
      </c>
      <c r="G180" t="s">
        <v>27</v>
      </c>
      <c r="H180" t="s">
        <v>462</v>
      </c>
      <c r="I180" t="s">
        <v>70</v>
      </c>
      <c r="J180" t="s">
        <v>4</v>
      </c>
      <c r="K180" t="s">
        <v>17</v>
      </c>
    </row>
    <row r="181" spans="1:11">
      <c r="A181" t="s">
        <v>2564</v>
      </c>
      <c r="B181" s="2">
        <v>45957</v>
      </c>
      <c r="C181">
        <v>2025</v>
      </c>
      <c r="D181">
        <v>10</v>
      </c>
      <c r="E181" t="s">
        <v>113</v>
      </c>
      <c r="F181" t="s">
        <v>31</v>
      </c>
      <c r="G181" t="s">
        <v>38</v>
      </c>
      <c r="H181" t="s">
        <v>462</v>
      </c>
      <c r="I181" t="s">
        <v>6</v>
      </c>
      <c r="J181" t="s">
        <v>4</v>
      </c>
      <c r="K181" t="s">
        <v>10</v>
      </c>
    </row>
    <row r="182" spans="1:11">
      <c r="A182" t="s">
        <v>2565</v>
      </c>
      <c r="B182" s="2">
        <v>45956</v>
      </c>
      <c r="C182">
        <v>2025</v>
      </c>
      <c r="D182">
        <v>10</v>
      </c>
      <c r="E182" t="s">
        <v>113</v>
      </c>
      <c r="F182" t="s">
        <v>47</v>
      </c>
      <c r="G182" t="s">
        <v>74</v>
      </c>
      <c r="H182" t="s">
        <v>84</v>
      </c>
      <c r="I182" t="s">
        <v>50</v>
      </c>
      <c r="J182" t="s">
        <v>44</v>
      </c>
      <c r="K182" t="s">
        <v>17</v>
      </c>
    </row>
    <row r="183" spans="1:11">
      <c r="A183" t="s">
        <v>2566</v>
      </c>
      <c r="B183" s="2">
        <v>45954</v>
      </c>
      <c r="C183">
        <v>2025</v>
      </c>
      <c r="D183">
        <v>10</v>
      </c>
      <c r="E183" t="s">
        <v>113</v>
      </c>
      <c r="F183" t="s">
        <v>54</v>
      </c>
      <c r="G183" t="s">
        <v>48</v>
      </c>
      <c r="H183" t="s">
        <v>84</v>
      </c>
      <c r="I183" t="s">
        <v>50</v>
      </c>
      <c r="J183" t="s">
        <v>12</v>
      </c>
      <c r="K183" t="s">
        <v>17</v>
      </c>
    </row>
    <row r="184" spans="1:11">
      <c r="A184" t="s">
        <v>2567</v>
      </c>
      <c r="B184" s="2">
        <v>45944</v>
      </c>
      <c r="C184">
        <v>2025</v>
      </c>
      <c r="D184">
        <v>10</v>
      </c>
      <c r="E184" t="s">
        <v>113</v>
      </c>
      <c r="F184" t="s">
        <v>40</v>
      </c>
      <c r="G184" t="s">
        <v>64</v>
      </c>
      <c r="H184" t="s">
        <v>452</v>
      </c>
      <c r="I184" t="s">
        <v>50</v>
      </c>
      <c r="J184" t="s">
        <v>12</v>
      </c>
      <c r="K184" t="s">
        <v>10</v>
      </c>
    </row>
    <row r="185" spans="1:11">
      <c r="A185" t="s">
        <v>2568</v>
      </c>
      <c r="B185" s="2">
        <v>45940</v>
      </c>
      <c r="C185">
        <v>2025</v>
      </c>
      <c r="D185">
        <v>10</v>
      </c>
      <c r="E185" t="s">
        <v>113</v>
      </c>
      <c r="F185" t="s">
        <v>54</v>
      </c>
      <c r="G185" t="s">
        <v>32</v>
      </c>
      <c r="H185" t="s">
        <v>435</v>
      </c>
      <c r="I185" t="s">
        <v>6</v>
      </c>
      <c r="J185" t="s">
        <v>12</v>
      </c>
      <c r="K185" t="s">
        <v>10</v>
      </c>
    </row>
    <row r="186" spans="1:11">
      <c r="A186" t="s">
        <v>2569</v>
      </c>
      <c r="B186" s="2">
        <v>45947</v>
      </c>
      <c r="C186">
        <v>2025</v>
      </c>
      <c r="D186">
        <v>10</v>
      </c>
      <c r="E186" t="s">
        <v>113</v>
      </c>
      <c r="F186" t="s">
        <v>31</v>
      </c>
      <c r="G186" t="s">
        <v>61</v>
      </c>
      <c r="H186" t="s">
        <v>452</v>
      </c>
      <c r="I186" t="s">
        <v>13</v>
      </c>
      <c r="J186" t="s">
        <v>4</v>
      </c>
      <c r="K186" t="s">
        <v>10</v>
      </c>
    </row>
    <row r="187" spans="1:11">
      <c r="A187" t="s">
        <v>2570</v>
      </c>
      <c r="B187" s="2">
        <v>45977</v>
      </c>
      <c r="C187">
        <v>2025</v>
      </c>
      <c r="D187">
        <v>11</v>
      </c>
      <c r="E187" t="s">
        <v>117</v>
      </c>
      <c r="F187" t="s">
        <v>40</v>
      </c>
      <c r="G187" t="s">
        <v>64</v>
      </c>
      <c r="H187" t="s">
        <v>431</v>
      </c>
      <c r="I187" t="s">
        <v>6</v>
      </c>
      <c r="J187" t="s">
        <v>12</v>
      </c>
      <c r="K187" t="s">
        <v>17</v>
      </c>
    </row>
    <row r="188" spans="1:11">
      <c r="A188" t="s">
        <v>2571</v>
      </c>
      <c r="B188" s="2">
        <v>45983</v>
      </c>
      <c r="C188">
        <v>2025</v>
      </c>
      <c r="D188">
        <v>11</v>
      </c>
      <c r="E188" t="s">
        <v>117</v>
      </c>
      <c r="F188" t="s">
        <v>40</v>
      </c>
      <c r="G188" t="s">
        <v>94</v>
      </c>
      <c r="H188" t="s">
        <v>431</v>
      </c>
      <c r="I188" t="s">
        <v>6</v>
      </c>
      <c r="J188" t="s">
        <v>4</v>
      </c>
      <c r="K188" t="s">
        <v>17</v>
      </c>
    </row>
    <row r="189" spans="1:11">
      <c r="A189" t="s">
        <v>2572</v>
      </c>
      <c r="B189" s="2">
        <v>45978</v>
      </c>
      <c r="C189">
        <v>2025</v>
      </c>
      <c r="D189">
        <v>11</v>
      </c>
      <c r="E189" t="s">
        <v>117</v>
      </c>
      <c r="F189" t="s">
        <v>67</v>
      </c>
      <c r="G189" t="s">
        <v>38</v>
      </c>
      <c r="H189" t="s">
        <v>452</v>
      </c>
      <c r="I189" t="s">
        <v>6</v>
      </c>
      <c r="J189" t="s">
        <v>33</v>
      </c>
      <c r="K189" t="s">
        <v>10</v>
      </c>
    </row>
    <row r="190" spans="1:11">
      <c r="A190" t="s">
        <v>2573</v>
      </c>
      <c r="B190" s="2">
        <v>45975</v>
      </c>
      <c r="C190">
        <v>2025</v>
      </c>
      <c r="D190">
        <v>11</v>
      </c>
      <c r="E190" t="s">
        <v>117</v>
      </c>
      <c r="F190" t="s">
        <v>19</v>
      </c>
      <c r="G190" t="s">
        <v>32</v>
      </c>
      <c r="H190" t="s">
        <v>440</v>
      </c>
      <c r="I190" t="s">
        <v>70</v>
      </c>
      <c r="J190" t="s">
        <v>12</v>
      </c>
      <c r="K190" t="s">
        <v>10</v>
      </c>
    </row>
    <row r="191" spans="1:11">
      <c r="A191" t="s">
        <v>2574</v>
      </c>
      <c r="B191" s="2">
        <v>45975</v>
      </c>
      <c r="C191">
        <v>2025</v>
      </c>
      <c r="D191">
        <v>11</v>
      </c>
      <c r="E191" t="s">
        <v>117</v>
      </c>
      <c r="F191" t="s">
        <v>19</v>
      </c>
      <c r="G191" t="s">
        <v>32</v>
      </c>
      <c r="H191" t="s">
        <v>435</v>
      </c>
      <c r="I191" t="s">
        <v>70</v>
      </c>
      <c r="J191" t="s">
        <v>12</v>
      </c>
      <c r="K191" t="s">
        <v>17</v>
      </c>
    </row>
    <row r="192" spans="1:11">
      <c r="A192" t="s">
        <v>2575</v>
      </c>
      <c r="B192" s="2">
        <v>45963</v>
      </c>
      <c r="C192">
        <v>2025</v>
      </c>
      <c r="D192">
        <v>11</v>
      </c>
      <c r="E192" t="s">
        <v>117</v>
      </c>
      <c r="F192" t="s">
        <v>40</v>
      </c>
      <c r="G192" t="s">
        <v>64</v>
      </c>
      <c r="H192" t="s">
        <v>435</v>
      </c>
      <c r="I192" t="s">
        <v>70</v>
      </c>
      <c r="J192" t="s">
        <v>33</v>
      </c>
      <c r="K192" t="s">
        <v>17</v>
      </c>
    </row>
    <row r="193" spans="1:11">
      <c r="A193" t="s">
        <v>2576</v>
      </c>
      <c r="B193" s="2">
        <v>45965</v>
      </c>
      <c r="C193">
        <v>2025</v>
      </c>
      <c r="D193">
        <v>11</v>
      </c>
      <c r="E193" t="s">
        <v>117</v>
      </c>
      <c r="F193" t="s">
        <v>47</v>
      </c>
      <c r="G193" t="s">
        <v>32</v>
      </c>
      <c r="H193" t="s">
        <v>84</v>
      </c>
      <c r="I193" t="s">
        <v>50</v>
      </c>
      <c r="J193" t="s">
        <v>44</v>
      </c>
      <c r="K193" t="s">
        <v>10</v>
      </c>
    </row>
    <row r="194" spans="1:11">
      <c r="A194" t="s">
        <v>2577</v>
      </c>
      <c r="B194" s="2">
        <v>45963</v>
      </c>
      <c r="C194">
        <v>2025</v>
      </c>
      <c r="D194">
        <v>11</v>
      </c>
      <c r="E194" t="s">
        <v>117</v>
      </c>
      <c r="F194" t="s">
        <v>78</v>
      </c>
      <c r="G194" t="s">
        <v>48</v>
      </c>
      <c r="H194" t="s">
        <v>438</v>
      </c>
      <c r="I194" t="s">
        <v>34</v>
      </c>
      <c r="J194" t="s">
        <v>4</v>
      </c>
      <c r="K194" t="s">
        <v>10</v>
      </c>
    </row>
    <row r="195" spans="1:11">
      <c r="A195" t="s">
        <v>2578</v>
      </c>
      <c r="B195" s="2">
        <v>45976</v>
      </c>
      <c r="C195">
        <v>2025</v>
      </c>
      <c r="D195">
        <v>11</v>
      </c>
      <c r="E195" t="s">
        <v>117</v>
      </c>
      <c r="F195" t="s">
        <v>38</v>
      </c>
      <c r="G195" t="s">
        <v>48</v>
      </c>
      <c r="H195" t="s">
        <v>438</v>
      </c>
      <c r="I195" t="s">
        <v>6</v>
      </c>
      <c r="J195" t="s">
        <v>4</v>
      </c>
      <c r="K195" t="s">
        <v>17</v>
      </c>
    </row>
    <row r="196" spans="1:11">
      <c r="A196" t="s">
        <v>2579</v>
      </c>
      <c r="B196" s="2">
        <v>45981</v>
      </c>
      <c r="C196">
        <v>2025</v>
      </c>
      <c r="D196">
        <v>11</v>
      </c>
      <c r="E196" t="s">
        <v>117</v>
      </c>
      <c r="F196" t="s">
        <v>38</v>
      </c>
      <c r="G196" t="s">
        <v>48</v>
      </c>
      <c r="H196" t="s">
        <v>462</v>
      </c>
      <c r="I196" t="s">
        <v>13</v>
      </c>
      <c r="J196" t="s">
        <v>44</v>
      </c>
      <c r="K196" t="s">
        <v>10</v>
      </c>
    </row>
    <row r="197" spans="1:11">
      <c r="A197" t="s">
        <v>2580</v>
      </c>
      <c r="B197" s="2">
        <v>46014</v>
      </c>
      <c r="C197">
        <v>2025</v>
      </c>
      <c r="D197">
        <v>12</v>
      </c>
      <c r="E197" t="s">
        <v>124</v>
      </c>
      <c r="F197" t="s">
        <v>19</v>
      </c>
      <c r="G197" t="s">
        <v>27</v>
      </c>
      <c r="H197" t="s">
        <v>438</v>
      </c>
      <c r="I197" t="s">
        <v>34</v>
      </c>
      <c r="J197" t="s">
        <v>44</v>
      </c>
      <c r="K197" t="s">
        <v>17</v>
      </c>
    </row>
    <row r="198" spans="1:11">
      <c r="A198" t="s">
        <v>2581</v>
      </c>
      <c r="B198" s="2">
        <v>46011</v>
      </c>
      <c r="C198">
        <v>2025</v>
      </c>
      <c r="D198">
        <v>12</v>
      </c>
      <c r="E198" t="s">
        <v>124</v>
      </c>
      <c r="F198" t="s">
        <v>2</v>
      </c>
      <c r="G198" t="s">
        <v>3</v>
      </c>
      <c r="H198" t="s">
        <v>442</v>
      </c>
      <c r="I198" t="s">
        <v>13</v>
      </c>
      <c r="J198" t="s">
        <v>33</v>
      </c>
      <c r="K198" t="s">
        <v>10</v>
      </c>
    </row>
    <row r="199" spans="1:11">
      <c r="A199" t="s">
        <v>2582</v>
      </c>
      <c r="B199" s="2">
        <v>45999</v>
      </c>
      <c r="C199">
        <v>2025</v>
      </c>
      <c r="D199">
        <v>12</v>
      </c>
      <c r="E199" t="s">
        <v>124</v>
      </c>
      <c r="F199" t="s">
        <v>19</v>
      </c>
      <c r="G199" t="s">
        <v>3</v>
      </c>
      <c r="H199" t="s">
        <v>462</v>
      </c>
      <c r="I199" t="s">
        <v>34</v>
      </c>
      <c r="J199" t="s">
        <v>4</v>
      </c>
      <c r="K199" t="s">
        <v>10</v>
      </c>
    </row>
    <row r="200" spans="1:11">
      <c r="A200" t="s">
        <v>2583</v>
      </c>
      <c r="B200" s="2">
        <v>46012</v>
      </c>
      <c r="C200">
        <v>2025</v>
      </c>
      <c r="D200">
        <v>12</v>
      </c>
      <c r="E200" t="s">
        <v>124</v>
      </c>
      <c r="F200" t="s">
        <v>78</v>
      </c>
      <c r="G200" t="s">
        <v>55</v>
      </c>
      <c r="H200" t="s">
        <v>452</v>
      </c>
      <c r="I200" t="s">
        <v>34</v>
      </c>
      <c r="J200" t="s">
        <v>4</v>
      </c>
      <c r="K200" t="s">
        <v>10</v>
      </c>
    </row>
    <row r="201" spans="1:11">
      <c r="A201" t="s">
        <v>2584</v>
      </c>
      <c r="B201" s="2">
        <v>46002</v>
      </c>
      <c r="C201">
        <v>2025</v>
      </c>
      <c r="D201">
        <v>12</v>
      </c>
      <c r="E201" t="s">
        <v>124</v>
      </c>
      <c r="F201" t="s">
        <v>67</v>
      </c>
      <c r="G201" t="s">
        <v>94</v>
      </c>
      <c r="H201" t="s">
        <v>438</v>
      </c>
      <c r="I201" t="s">
        <v>6</v>
      </c>
      <c r="J201" t="s">
        <v>12</v>
      </c>
      <c r="K201" t="s">
        <v>10</v>
      </c>
    </row>
    <row r="202" spans="1:11">
      <c r="A202" t="s">
        <v>2585</v>
      </c>
      <c r="B202" s="2">
        <v>45997</v>
      </c>
      <c r="C202">
        <v>2025</v>
      </c>
      <c r="D202">
        <v>12</v>
      </c>
      <c r="E202" t="s">
        <v>124</v>
      </c>
      <c r="F202" t="s">
        <v>26</v>
      </c>
      <c r="G202" t="s">
        <v>69</v>
      </c>
      <c r="H202" t="s">
        <v>435</v>
      </c>
      <c r="I202" t="s">
        <v>70</v>
      </c>
      <c r="J202" t="s">
        <v>4</v>
      </c>
      <c r="K202" t="s">
        <v>10</v>
      </c>
    </row>
    <row r="203" spans="1:11">
      <c r="A203" t="s">
        <v>2586</v>
      </c>
      <c r="B203" s="2">
        <v>46048</v>
      </c>
      <c r="C203">
        <v>2026</v>
      </c>
      <c r="D203">
        <v>1</v>
      </c>
      <c r="E203" t="s">
        <v>1</v>
      </c>
      <c r="F203" t="s">
        <v>26</v>
      </c>
      <c r="G203" t="s">
        <v>64</v>
      </c>
      <c r="H203" t="s">
        <v>464</v>
      </c>
      <c r="I203" t="s">
        <v>34</v>
      </c>
      <c r="J203" t="s">
        <v>12</v>
      </c>
      <c r="K203" t="s">
        <v>10</v>
      </c>
    </row>
    <row r="204" spans="1:11">
      <c r="A204" t="s">
        <v>2587</v>
      </c>
      <c r="B204" s="2">
        <v>46028</v>
      </c>
      <c r="C204">
        <v>2026</v>
      </c>
      <c r="D204">
        <v>1</v>
      </c>
      <c r="E204" t="s">
        <v>1</v>
      </c>
      <c r="F204" t="s">
        <v>31</v>
      </c>
      <c r="G204" t="s">
        <v>48</v>
      </c>
      <c r="H204" t="s">
        <v>438</v>
      </c>
      <c r="I204" t="s">
        <v>34</v>
      </c>
      <c r="J204" t="s">
        <v>4</v>
      </c>
      <c r="K204" t="s">
        <v>10</v>
      </c>
    </row>
    <row r="205" spans="1:11">
      <c r="A205" t="s">
        <v>2588</v>
      </c>
      <c r="B205" s="2">
        <v>46045</v>
      </c>
      <c r="C205">
        <v>2026</v>
      </c>
      <c r="D205">
        <v>1</v>
      </c>
      <c r="E205" t="s">
        <v>1</v>
      </c>
      <c r="F205" t="s">
        <v>40</v>
      </c>
      <c r="G205" t="s">
        <v>38</v>
      </c>
      <c r="H205" t="s">
        <v>442</v>
      </c>
      <c r="I205" t="s">
        <v>13</v>
      </c>
      <c r="J205" t="s">
        <v>12</v>
      </c>
      <c r="K205" t="s">
        <v>10</v>
      </c>
    </row>
    <row r="206" spans="1:11">
      <c r="A206" t="s">
        <v>2589</v>
      </c>
      <c r="B206" s="2">
        <v>46041</v>
      </c>
      <c r="C206">
        <v>2026</v>
      </c>
      <c r="D206">
        <v>1</v>
      </c>
      <c r="E206" t="s">
        <v>1</v>
      </c>
      <c r="F206" t="s">
        <v>31</v>
      </c>
      <c r="G206" t="s">
        <v>48</v>
      </c>
      <c r="H206" t="s">
        <v>452</v>
      </c>
      <c r="I206" t="s">
        <v>13</v>
      </c>
      <c r="J206" t="s">
        <v>12</v>
      </c>
      <c r="K206" t="s">
        <v>17</v>
      </c>
    </row>
    <row r="207" spans="1:11">
      <c r="A207" t="s">
        <v>2590</v>
      </c>
      <c r="B207" s="2">
        <v>46030</v>
      </c>
      <c r="C207">
        <v>2026</v>
      </c>
      <c r="D207">
        <v>1</v>
      </c>
      <c r="E207" t="s">
        <v>1</v>
      </c>
      <c r="F207" t="s">
        <v>38</v>
      </c>
      <c r="G207" t="s">
        <v>20</v>
      </c>
      <c r="H207" t="s">
        <v>442</v>
      </c>
      <c r="I207" t="s">
        <v>50</v>
      </c>
      <c r="J207" t="s">
        <v>4</v>
      </c>
      <c r="K207" t="s">
        <v>10</v>
      </c>
    </row>
    <row r="208" spans="1:11">
      <c r="A208" t="s">
        <v>2591</v>
      </c>
      <c r="B208" s="2">
        <v>46050</v>
      </c>
      <c r="C208">
        <v>2026</v>
      </c>
      <c r="D208">
        <v>1</v>
      </c>
      <c r="E208" t="s">
        <v>1</v>
      </c>
      <c r="F208" t="s">
        <v>40</v>
      </c>
      <c r="G208" t="s">
        <v>38</v>
      </c>
      <c r="H208" t="s">
        <v>473</v>
      </c>
      <c r="I208" t="s">
        <v>34</v>
      </c>
      <c r="J208" t="s">
        <v>33</v>
      </c>
      <c r="K208" t="s">
        <v>10</v>
      </c>
    </row>
    <row r="209" spans="1:11">
      <c r="A209" t="s">
        <v>2592</v>
      </c>
      <c r="B209" s="2">
        <v>46041</v>
      </c>
      <c r="C209">
        <v>2026</v>
      </c>
      <c r="D209">
        <v>1</v>
      </c>
      <c r="E209" t="s">
        <v>1</v>
      </c>
      <c r="F209" t="s">
        <v>2</v>
      </c>
      <c r="G209" t="s">
        <v>32</v>
      </c>
      <c r="H209" t="s">
        <v>462</v>
      </c>
      <c r="I209" t="s">
        <v>6</v>
      </c>
      <c r="J209" t="s">
        <v>4</v>
      </c>
      <c r="K209" t="s">
        <v>10</v>
      </c>
    </row>
    <row r="210" spans="1:11">
      <c r="A210" t="s">
        <v>2593</v>
      </c>
      <c r="B210" s="2">
        <v>46042</v>
      </c>
      <c r="C210">
        <v>2026</v>
      </c>
      <c r="D210">
        <v>1</v>
      </c>
      <c r="E210" t="s">
        <v>1</v>
      </c>
      <c r="F210" t="s">
        <v>54</v>
      </c>
      <c r="G210" t="s">
        <v>69</v>
      </c>
      <c r="H210" t="s">
        <v>452</v>
      </c>
      <c r="I210" t="s">
        <v>34</v>
      </c>
      <c r="J210" t="s">
        <v>4</v>
      </c>
      <c r="K210" t="s">
        <v>10</v>
      </c>
    </row>
    <row r="211" spans="1:11">
      <c r="A211" t="s">
        <v>2594</v>
      </c>
      <c r="B211" s="2">
        <v>46034</v>
      </c>
      <c r="C211">
        <v>2026</v>
      </c>
      <c r="D211">
        <v>1</v>
      </c>
      <c r="E211" t="s">
        <v>1</v>
      </c>
      <c r="F211" t="s">
        <v>54</v>
      </c>
      <c r="G211" t="s">
        <v>64</v>
      </c>
      <c r="H211" t="s">
        <v>473</v>
      </c>
      <c r="I211" t="s">
        <v>34</v>
      </c>
      <c r="J211" t="s">
        <v>33</v>
      </c>
      <c r="K211" t="s">
        <v>10</v>
      </c>
    </row>
    <row r="212" spans="1:11">
      <c r="A212" t="s">
        <v>2595</v>
      </c>
      <c r="B212" s="2">
        <v>46050</v>
      </c>
      <c r="C212">
        <v>2026</v>
      </c>
      <c r="D212">
        <v>1</v>
      </c>
      <c r="E212" t="s">
        <v>1</v>
      </c>
      <c r="F212" t="s">
        <v>2</v>
      </c>
      <c r="G212" t="s">
        <v>94</v>
      </c>
      <c r="H212" t="s">
        <v>462</v>
      </c>
      <c r="I212" t="s">
        <v>13</v>
      </c>
      <c r="J212" t="s">
        <v>33</v>
      </c>
      <c r="K212" t="s">
        <v>10</v>
      </c>
    </row>
    <row r="213" spans="1:11">
      <c r="A213" t="s">
        <v>2596</v>
      </c>
      <c r="B213" s="2">
        <v>46063</v>
      </c>
      <c r="C213">
        <v>2026</v>
      </c>
      <c r="D213">
        <v>2</v>
      </c>
      <c r="E213" t="s">
        <v>25</v>
      </c>
      <c r="F213" t="s">
        <v>38</v>
      </c>
      <c r="G213" t="s">
        <v>55</v>
      </c>
      <c r="H213" t="s">
        <v>473</v>
      </c>
      <c r="I213" t="s">
        <v>13</v>
      </c>
      <c r="J213" t="s">
        <v>44</v>
      </c>
      <c r="K213" t="s">
        <v>10</v>
      </c>
    </row>
    <row r="214" spans="1:11">
      <c r="A214" t="s">
        <v>2597</v>
      </c>
      <c r="B214" s="2">
        <v>46071</v>
      </c>
      <c r="C214">
        <v>2026</v>
      </c>
      <c r="D214">
        <v>2</v>
      </c>
      <c r="E214" t="s">
        <v>25</v>
      </c>
      <c r="F214" t="s">
        <v>19</v>
      </c>
      <c r="G214" t="s">
        <v>64</v>
      </c>
      <c r="H214" t="s">
        <v>435</v>
      </c>
      <c r="I214" t="s">
        <v>70</v>
      </c>
      <c r="J214" t="s">
        <v>12</v>
      </c>
      <c r="K214" t="s">
        <v>10</v>
      </c>
    </row>
    <row r="215" spans="1:11">
      <c r="A215" t="s">
        <v>2598</v>
      </c>
      <c r="B215" s="2">
        <v>46080</v>
      </c>
      <c r="C215">
        <v>2026</v>
      </c>
      <c r="D215">
        <v>2</v>
      </c>
      <c r="E215" t="s">
        <v>25</v>
      </c>
      <c r="F215" t="s">
        <v>19</v>
      </c>
      <c r="G215" t="s">
        <v>69</v>
      </c>
      <c r="H215" t="s">
        <v>464</v>
      </c>
      <c r="I215" t="s">
        <v>6</v>
      </c>
      <c r="J215" t="s">
        <v>33</v>
      </c>
      <c r="K215" t="s">
        <v>10</v>
      </c>
    </row>
    <row r="216" spans="1:11">
      <c r="A216" t="s">
        <v>2599</v>
      </c>
      <c r="B216" s="2">
        <v>46064</v>
      </c>
      <c r="C216">
        <v>2026</v>
      </c>
      <c r="D216">
        <v>2</v>
      </c>
      <c r="E216" t="s">
        <v>25</v>
      </c>
      <c r="F216" t="s">
        <v>40</v>
      </c>
      <c r="G216" t="s">
        <v>20</v>
      </c>
      <c r="H216" t="s">
        <v>442</v>
      </c>
      <c r="I216" t="s">
        <v>13</v>
      </c>
      <c r="J216" t="s">
        <v>33</v>
      </c>
      <c r="K216" t="s">
        <v>10</v>
      </c>
    </row>
    <row r="217" spans="1:11">
      <c r="A217" t="s">
        <v>2600</v>
      </c>
      <c r="B217" s="2">
        <v>46078</v>
      </c>
      <c r="C217">
        <v>2026</v>
      </c>
      <c r="D217">
        <v>2</v>
      </c>
      <c r="E217" t="s">
        <v>25</v>
      </c>
      <c r="F217" t="s">
        <v>40</v>
      </c>
      <c r="G217" t="s">
        <v>3</v>
      </c>
      <c r="H217" t="s">
        <v>464</v>
      </c>
      <c r="I217" t="s">
        <v>70</v>
      </c>
      <c r="J217" t="s">
        <v>4</v>
      </c>
      <c r="K217" t="s">
        <v>10</v>
      </c>
    </row>
    <row r="218" spans="1:11">
      <c r="A218" t="s">
        <v>2601</v>
      </c>
      <c r="B218" s="2">
        <v>46063</v>
      </c>
      <c r="C218">
        <v>2026</v>
      </c>
      <c r="D218">
        <v>2</v>
      </c>
      <c r="E218" t="s">
        <v>25</v>
      </c>
      <c r="F218" t="s">
        <v>26</v>
      </c>
      <c r="G218" t="s">
        <v>55</v>
      </c>
      <c r="H218" t="s">
        <v>464</v>
      </c>
      <c r="I218" t="s">
        <v>13</v>
      </c>
      <c r="J218" t="s">
        <v>33</v>
      </c>
      <c r="K218" t="s">
        <v>10</v>
      </c>
    </row>
    <row r="219" spans="1:11">
      <c r="A219" t="s">
        <v>2602</v>
      </c>
      <c r="B219" s="2">
        <v>46059</v>
      </c>
      <c r="C219">
        <v>2026</v>
      </c>
      <c r="D219">
        <v>2</v>
      </c>
      <c r="E219" t="s">
        <v>25</v>
      </c>
      <c r="F219" t="s">
        <v>26</v>
      </c>
      <c r="G219" t="s">
        <v>55</v>
      </c>
      <c r="H219" t="s">
        <v>442</v>
      </c>
      <c r="I219" t="s">
        <v>50</v>
      </c>
      <c r="J219" t="s">
        <v>44</v>
      </c>
      <c r="K219" t="s">
        <v>17</v>
      </c>
    </row>
    <row r="220" spans="1:11">
      <c r="A220" t="s">
        <v>2603</v>
      </c>
      <c r="B220" s="2">
        <v>46061</v>
      </c>
      <c r="C220">
        <v>2026</v>
      </c>
      <c r="D220">
        <v>2</v>
      </c>
      <c r="E220" t="s">
        <v>25</v>
      </c>
      <c r="F220" t="s">
        <v>19</v>
      </c>
      <c r="G220" t="s">
        <v>55</v>
      </c>
      <c r="H220" t="s">
        <v>442</v>
      </c>
      <c r="I220" t="s">
        <v>70</v>
      </c>
      <c r="J220" t="s">
        <v>44</v>
      </c>
      <c r="K220" t="s">
        <v>17</v>
      </c>
    </row>
    <row r="221" spans="1:11">
      <c r="A221" t="s">
        <v>2604</v>
      </c>
      <c r="B221" s="2">
        <v>46078</v>
      </c>
      <c r="C221">
        <v>2026</v>
      </c>
      <c r="D221">
        <v>2</v>
      </c>
      <c r="E221" t="s">
        <v>25</v>
      </c>
      <c r="F221" t="s">
        <v>67</v>
      </c>
      <c r="G221" t="s">
        <v>74</v>
      </c>
      <c r="H221" t="s">
        <v>473</v>
      </c>
      <c r="I221" t="s">
        <v>50</v>
      </c>
      <c r="J221" t="s">
        <v>12</v>
      </c>
      <c r="K221" t="s">
        <v>17</v>
      </c>
    </row>
    <row r="222" spans="1:11">
      <c r="A222" t="s">
        <v>2605</v>
      </c>
      <c r="B222" s="2">
        <v>46078</v>
      </c>
      <c r="C222">
        <v>2026</v>
      </c>
      <c r="D222">
        <v>2</v>
      </c>
      <c r="E222" t="s">
        <v>25</v>
      </c>
      <c r="F222" t="s">
        <v>38</v>
      </c>
      <c r="G222" t="s">
        <v>94</v>
      </c>
      <c r="H222" t="s">
        <v>452</v>
      </c>
      <c r="I222" t="s">
        <v>6</v>
      </c>
      <c r="J222" t="s">
        <v>4</v>
      </c>
      <c r="K222" t="s">
        <v>10</v>
      </c>
    </row>
    <row r="223" spans="1:11">
      <c r="A223" t="s">
        <v>2606</v>
      </c>
      <c r="B223" s="2">
        <v>46072</v>
      </c>
      <c r="C223">
        <v>2026</v>
      </c>
      <c r="D223">
        <v>2</v>
      </c>
      <c r="E223" t="s">
        <v>25</v>
      </c>
      <c r="F223" t="s">
        <v>31</v>
      </c>
      <c r="G223" t="s">
        <v>94</v>
      </c>
      <c r="H223" t="s">
        <v>473</v>
      </c>
      <c r="I223" t="s">
        <v>13</v>
      </c>
      <c r="J223" t="s">
        <v>4</v>
      </c>
      <c r="K223" t="s">
        <v>10</v>
      </c>
    </row>
    <row r="224" spans="1:11">
      <c r="A224" t="s">
        <v>2607</v>
      </c>
      <c r="B224" s="2">
        <v>46074</v>
      </c>
      <c r="C224">
        <v>2026</v>
      </c>
      <c r="D224">
        <v>2</v>
      </c>
      <c r="E224" t="s">
        <v>25</v>
      </c>
      <c r="F224" t="s">
        <v>2</v>
      </c>
      <c r="G224" t="s">
        <v>74</v>
      </c>
      <c r="H224" t="s">
        <v>452</v>
      </c>
      <c r="I224" t="s">
        <v>6</v>
      </c>
      <c r="J224" t="s">
        <v>44</v>
      </c>
      <c r="K224" t="s">
        <v>10</v>
      </c>
    </row>
    <row r="225" spans="1:11">
      <c r="A225" t="s">
        <v>2608</v>
      </c>
      <c r="B225" s="2">
        <v>46085</v>
      </c>
      <c r="C225">
        <v>2026</v>
      </c>
      <c r="D225">
        <v>3</v>
      </c>
      <c r="E225" t="s">
        <v>60</v>
      </c>
      <c r="F225" t="s">
        <v>78</v>
      </c>
      <c r="G225" t="s">
        <v>32</v>
      </c>
      <c r="H225" t="s">
        <v>464</v>
      </c>
      <c r="I225" t="s">
        <v>50</v>
      </c>
      <c r="J225" t="s">
        <v>4</v>
      </c>
      <c r="K225" t="s">
        <v>10</v>
      </c>
    </row>
    <row r="226" spans="1:11">
      <c r="A226" t="s">
        <v>2609</v>
      </c>
      <c r="B226" s="2">
        <v>46085</v>
      </c>
      <c r="C226">
        <v>2026</v>
      </c>
      <c r="D226">
        <v>3</v>
      </c>
      <c r="E226" t="s">
        <v>60</v>
      </c>
      <c r="F226" t="s">
        <v>47</v>
      </c>
      <c r="G226" t="s">
        <v>27</v>
      </c>
      <c r="H226" t="s">
        <v>435</v>
      </c>
      <c r="I226" t="s">
        <v>13</v>
      </c>
      <c r="J226" t="s">
        <v>12</v>
      </c>
      <c r="K226" t="s">
        <v>17</v>
      </c>
    </row>
    <row r="227" spans="1:11">
      <c r="A227" t="s">
        <v>2610</v>
      </c>
      <c r="B227" s="2">
        <v>46092</v>
      </c>
      <c r="C227">
        <v>2026</v>
      </c>
      <c r="D227">
        <v>3</v>
      </c>
      <c r="E227" t="s">
        <v>60</v>
      </c>
      <c r="F227" t="s">
        <v>54</v>
      </c>
      <c r="G227" t="s">
        <v>38</v>
      </c>
      <c r="H227" t="s">
        <v>438</v>
      </c>
      <c r="I227" t="s">
        <v>6</v>
      </c>
      <c r="J227" t="s">
        <v>33</v>
      </c>
      <c r="K227" t="s">
        <v>10</v>
      </c>
    </row>
    <row r="228" spans="1:11">
      <c r="A228" t="s">
        <v>2611</v>
      </c>
      <c r="B228" s="2">
        <v>46087</v>
      </c>
      <c r="C228">
        <v>2026</v>
      </c>
      <c r="D228">
        <v>3</v>
      </c>
      <c r="E228" t="s">
        <v>60</v>
      </c>
      <c r="F228" t="s">
        <v>54</v>
      </c>
      <c r="G228" t="s">
        <v>38</v>
      </c>
      <c r="H228" t="s">
        <v>435</v>
      </c>
      <c r="I228" t="s">
        <v>34</v>
      </c>
      <c r="J228" t="s">
        <v>12</v>
      </c>
      <c r="K228" t="s">
        <v>10</v>
      </c>
    </row>
    <row r="229" spans="1:11">
      <c r="A229" t="s">
        <v>2612</v>
      </c>
      <c r="B229" s="2">
        <v>46085</v>
      </c>
      <c r="C229">
        <v>2026</v>
      </c>
      <c r="D229">
        <v>3</v>
      </c>
      <c r="E229" t="s">
        <v>60</v>
      </c>
      <c r="F229" t="s">
        <v>47</v>
      </c>
      <c r="G229" t="s">
        <v>20</v>
      </c>
      <c r="H229" t="s">
        <v>435</v>
      </c>
      <c r="I229" t="s">
        <v>13</v>
      </c>
      <c r="J229" t="s">
        <v>4</v>
      </c>
      <c r="K229" t="s">
        <v>10</v>
      </c>
    </row>
    <row r="230" spans="1:11">
      <c r="A230" t="s">
        <v>2613</v>
      </c>
      <c r="B230" s="2">
        <v>46108</v>
      </c>
      <c r="C230">
        <v>2026</v>
      </c>
      <c r="D230">
        <v>3</v>
      </c>
      <c r="E230" t="s">
        <v>60</v>
      </c>
      <c r="F230" t="s">
        <v>26</v>
      </c>
      <c r="G230" t="s">
        <v>69</v>
      </c>
      <c r="H230" t="s">
        <v>452</v>
      </c>
      <c r="I230" t="s">
        <v>34</v>
      </c>
      <c r="J230" t="s">
        <v>33</v>
      </c>
      <c r="K230" t="s">
        <v>17</v>
      </c>
    </row>
    <row r="231" spans="1:11">
      <c r="A231" t="s">
        <v>2614</v>
      </c>
      <c r="B231" s="2">
        <v>46105</v>
      </c>
      <c r="C231">
        <v>2026</v>
      </c>
      <c r="D231">
        <v>3</v>
      </c>
      <c r="E231" t="s">
        <v>60</v>
      </c>
      <c r="F231" t="s">
        <v>31</v>
      </c>
      <c r="G231" t="s">
        <v>32</v>
      </c>
      <c r="H231" t="s">
        <v>435</v>
      </c>
      <c r="I231" t="s">
        <v>70</v>
      </c>
      <c r="J231" t="s">
        <v>44</v>
      </c>
      <c r="K231" t="s">
        <v>10</v>
      </c>
    </row>
    <row r="232" spans="1:11">
      <c r="A232" t="s">
        <v>2615</v>
      </c>
      <c r="B232" s="2">
        <v>46109</v>
      </c>
      <c r="C232">
        <v>2026</v>
      </c>
      <c r="D232">
        <v>3</v>
      </c>
      <c r="E232" t="s">
        <v>60</v>
      </c>
      <c r="F232" t="s">
        <v>47</v>
      </c>
      <c r="G232" t="s">
        <v>48</v>
      </c>
      <c r="H232" t="s">
        <v>464</v>
      </c>
      <c r="I232" t="s">
        <v>13</v>
      </c>
      <c r="J232" t="s">
        <v>12</v>
      </c>
      <c r="K232" t="s">
        <v>17</v>
      </c>
    </row>
    <row r="233" spans="1:11">
      <c r="A233" t="s">
        <v>2616</v>
      </c>
      <c r="B233" s="2">
        <v>46089</v>
      </c>
      <c r="C233">
        <v>2026</v>
      </c>
      <c r="D233">
        <v>3</v>
      </c>
      <c r="E233" t="s">
        <v>60</v>
      </c>
      <c r="F233" t="s">
        <v>26</v>
      </c>
      <c r="G233" t="s">
        <v>61</v>
      </c>
      <c r="H233" t="s">
        <v>435</v>
      </c>
      <c r="I233" t="s">
        <v>6</v>
      </c>
      <c r="J233" t="s">
        <v>33</v>
      </c>
      <c r="K233" t="s">
        <v>10</v>
      </c>
    </row>
    <row r="234" spans="1:11">
      <c r="A234" t="s">
        <v>2617</v>
      </c>
      <c r="B234" s="2">
        <v>46105</v>
      </c>
      <c r="C234">
        <v>2026</v>
      </c>
      <c r="D234">
        <v>3</v>
      </c>
      <c r="E234" t="s">
        <v>60</v>
      </c>
      <c r="F234" t="s">
        <v>26</v>
      </c>
      <c r="G234" t="s">
        <v>94</v>
      </c>
      <c r="H234" t="s">
        <v>462</v>
      </c>
      <c r="I234" t="s">
        <v>6</v>
      </c>
      <c r="J234" t="s">
        <v>44</v>
      </c>
      <c r="K234" t="s">
        <v>10</v>
      </c>
    </row>
    <row r="235" spans="1:11">
      <c r="A235" t="s">
        <v>2618</v>
      </c>
      <c r="B235" s="2">
        <v>46093</v>
      </c>
      <c r="C235">
        <v>2026</v>
      </c>
      <c r="D235">
        <v>3</v>
      </c>
      <c r="E235" t="s">
        <v>60</v>
      </c>
      <c r="F235" t="s">
        <v>54</v>
      </c>
      <c r="G235" t="s">
        <v>20</v>
      </c>
      <c r="H235" t="s">
        <v>84</v>
      </c>
      <c r="I235" t="s">
        <v>34</v>
      </c>
      <c r="J235" t="s">
        <v>12</v>
      </c>
      <c r="K235" t="s">
        <v>10</v>
      </c>
    </row>
    <row r="236" spans="1:11">
      <c r="A236" t="s">
        <v>2619</v>
      </c>
      <c r="B236" s="2">
        <v>46132</v>
      </c>
      <c r="C236">
        <v>2026</v>
      </c>
      <c r="D236">
        <v>4</v>
      </c>
      <c r="E236" t="s">
        <v>73</v>
      </c>
      <c r="F236" t="s">
        <v>54</v>
      </c>
      <c r="G236" t="s">
        <v>55</v>
      </c>
      <c r="H236" t="s">
        <v>464</v>
      </c>
      <c r="I236" t="s">
        <v>70</v>
      </c>
      <c r="J236" t="s">
        <v>12</v>
      </c>
      <c r="K236" t="s">
        <v>10</v>
      </c>
    </row>
    <row r="237" spans="1:11">
      <c r="A237" t="s">
        <v>2620</v>
      </c>
      <c r="B237" s="2">
        <v>46137</v>
      </c>
      <c r="C237">
        <v>2026</v>
      </c>
      <c r="D237">
        <v>4</v>
      </c>
      <c r="E237" t="s">
        <v>73</v>
      </c>
      <c r="F237" t="s">
        <v>26</v>
      </c>
      <c r="G237" t="s">
        <v>64</v>
      </c>
      <c r="H237" t="s">
        <v>438</v>
      </c>
      <c r="I237" t="s">
        <v>6</v>
      </c>
      <c r="J237" t="s">
        <v>44</v>
      </c>
      <c r="K237" t="s">
        <v>10</v>
      </c>
    </row>
    <row r="238" spans="1:11">
      <c r="A238" t="s">
        <v>2621</v>
      </c>
      <c r="B238" s="2">
        <v>46130</v>
      </c>
      <c r="C238">
        <v>2026</v>
      </c>
      <c r="D238">
        <v>4</v>
      </c>
      <c r="E238" t="s">
        <v>73</v>
      </c>
      <c r="F238" t="s">
        <v>54</v>
      </c>
      <c r="G238" t="s">
        <v>20</v>
      </c>
      <c r="H238" t="s">
        <v>464</v>
      </c>
      <c r="I238" t="s">
        <v>70</v>
      </c>
      <c r="J238" t="s">
        <v>33</v>
      </c>
      <c r="K238" t="s">
        <v>10</v>
      </c>
    </row>
    <row r="239" spans="1:11">
      <c r="A239" t="s">
        <v>2622</v>
      </c>
      <c r="B239" s="2">
        <v>46116</v>
      </c>
      <c r="C239">
        <v>2026</v>
      </c>
      <c r="D239">
        <v>4</v>
      </c>
      <c r="E239" t="s">
        <v>73</v>
      </c>
      <c r="F239" t="s">
        <v>47</v>
      </c>
      <c r="G239" t="s">
        <v>38</v>
      </c>
      <c r="H239" t="s">
        <v>452</v>
      </c>
      <c r="I239" t="s">
        <v>70</v>
      </c>
      <c r="J239" t="s">
        <v>4</v>
      </c>
      <c r="K239" t="s">
        <v>10</v>
      </c>
    </row>
    <row r="240" spans="1:11">
      <c r="A240" t="s">
        <v>2623</v>
      </c>
      <c r="B240" s="2">
        <v>46124</v>
      </c>
      <c r="C240">
        <v>2026</v>
      </c>
      <c r="D240">
        <v>4</v>
      </c>
      <c r="E240" t="s">
        <v>73</v>
      </c>
      <c r="F240" t="s">
        <v>67</v>
      </c>
      <c r="G240" t="s">
        <v>55</v>
      </c>
      <c r="H240" t="s">
        <v>452</v>
      </c>
      <c r="I240" t="s">
        <v>6</v>
      </c>
      <c r="J240" t="s">
        <v>4</v>
      </c>
      <c r="K240" t="s">
        <v>10</v>
      </c>
    </row>
    <row r="241" spans="1:11">
      <c r="A241" t="s">
        <v>2624</v>
      </c>
      <c r="B241" s="2">
        <v>46123</v>
      </c>
      <c r="C241">
        <v>2026</v>
      </c>
      <c r="D241">
        <v>4</v>
      </c>
      <c r="E241" t="s">
        <v>73</v>
      </c>
      <c r="F241" t="s">
        <v>19</v>
      </c>
      <c r="G241" t="s">
        <v>20</v>
      </c>
      <c r="H241" t="s">
        <v>440</v>
      </c>
      <c r="I241" t="s">
        <v>13</v>
      </c>
      <c r="J241" t="s">
        <v>33</v>
      </c>
      <c r="K241" t="s">
        <v>17</v>
      </c>
    </row>
    <row r="242" spans="1:11">
      <c r="A242" t="s">
        <v>2625</v>
      </c>
      <c r="B242" s="2">
        <v>46139</v>
      </c>
      <c r="C242">
        <v>2026</v>
      </c>
      <c r="D242">
        <v>4</v>
      </c>
      <c r="E242" t="s">
        <v>73</v>
      </c>
      <c r="F242" t="s">
        <v>54</v>
      </c>
      <c r="G242" t="s">
        <v>74</v>
      </c>
      <c r="H242" t="s">
        <v>435</v>
      </c>
      <c r="I242" t="s">
        <v>34</v>
      </c>
      <c r="J242" t="s">
        <v>33</v>
      </c>
      <c r="K242" t="s">
        <v>10</v>
      </c>
    </row>
    <row r="243" spans="1:11">
      <c r="A243" t="s">
        <v>2626</v>
      </c>
      <c r="B243" s="2">
        <v>46113</v>
      </c>
      <c r="C243">
        <v>2026</v>
      </c>
      <c r="D243">
        <v>4</v>
      </c>
      <c r="E243" t="s">
        <v>73</v>
      </c>
      <c r="F243" t="s">
        <v>67</v>
      </c>
      <c r="G243" t="s">
        <v>32</v>
      </c>
      <c r="H243" t="s">
        <v>435</v>
      </c>
      <c r="I243" t="s">
        <v>70</v>
      </c>
      <c r="J243" t="s">
        <v>4</v>
      </c>
      <c r="K243" t="s">
        <v>10</v>
      </c>
    </row>
    <row r="244" spans="1:11">
      <c r="A244" t="s">
        <v>2627</v>
      </c>
      <c r="B244" s="2">
        <v>46127</v>
      </c>
      <c r="C244">
        <v>2026</v>
      </c>
      <c r="D244">
        <v>4</v>
      </c>
      <c r="E244" t="s">
        <v>73</v>
      </c>
      <c r="F244" t="s">
        <v>40</v>
      </c>
      <c r="G244" t="s">
        <v>94</v>
      </c>
      <c r="H244" t="s">
        <v>452</v>
      </c>
      <c r="I244" t="s">
        <v>13</v>
      </c>
      <c r="J244" t="s">
        <v>12</v>
      </c>
      <c r="K244" t="s">
        <v>10</v>
      </c>
    </row>
    <row r="245" spans="1:11">
      <c r="A245" t="s">
        <v>2628</v>
      </c>
      <c r="B245" s="2">
        <v>46121</v>
      </c>
      <c r="C245">
        <v>2026</v>
      </c>
      <c r="D245">
        <v>4</v>
      </c>
      <c r="E245" t="s">
        <v>73</v>
      </c>
      <c r="F245" t="s">
        <v>19</v>
      </c>
      <c r="G245" t="s">
        <v>20</v>
      </c>
      <c r="H245" t="s">
        <v>464</v>
      </c>
      <c r="I245" t="s">
        <v>6</v>
      </c>
      <c r="J245" t="s">
        <v>33</v>
      </c>
      <c r="K245" t="s">
        <v>10</v>
      </c>
    </row>
    <row r="246" spans="1:11">
      <c r="A246" t="s">
        <v>2629</v>
      </c>
      <c r="B246" s="2">
        <v>46161</v>
      </c>
      <c r="C246">
        <v>2026</v>
      </c>
      <c r="D246">
        <v>5</v>
      </c>
      <c r="E246" t="s">
        <v>83</v>
      </c>
      <c r="F246" t="s">
        <v>54</v>
      </c>
      <c r="G246" t="s">
        <v>55</v>
      </c>
      <c r="H246" t="s">
        <v>435</v>
      </c>
      <c r="I246" t="s">
        <v>34</v>
      </c>
      <c r="J246" t="s">
        <v>33</v>
      </c>
      <c r="K246" t="s">
        <v>10</v>
      </c>
    </row>
    <row r="247" spans="1:11">
      <c r="A247" t="s">
        <v>2630</v>
      </c>
      <c r="B247" s="2">
        <v>46149</v>
      </c>
      <c r="C247">
        <v>2026</v>
      </c>
      <c r="D247">
        <v>5</v>
      </c>
      <c r="E247" t="s">
        <v>83</v>
      </c>
      <c r="F247" t="s">
        <v>38</v>
      </c>
      <c r="G247" t="s">
        <v>32</v>
      </c>
      <c r="H247" t="s">
        <v>473</v>
      </c>
      <c r="I247" t="s">
        <v>50</v>
      </c>
      <c r="J247" t="s">
        <v>4</v>
      </c>
      <c r="K247" t="s">
        <v>10</v>
      </c>
    </row>
    <row r="248" spans="1:11">
      <c r="A248" t="s">
        <v>2631</v>
      </c>
      <c r="B248" s="2">
        <v>46155</v>
      </c>
      <c r="C248">
        <v>2026</v>
      </c>
      <c r="D248">
        <v>5</v>
      </c>
      <c r="E248" t="s">
        <v>83</v>
      </c>
      <c r="F248" t="s">
        <v>31</v>
      </c>
      <c r="G248" t="s">
        <v>69</v>
      </c>
      <c r="H248" t="s">
        <v>473</v>
      </c>
      <c r="I248" t="s">
        <v>13</v>
      </c>
      <c r="J248" t="s">
        <v>12</v>
      </c>
      <c r="K248" t="s">
        <v>17</v>
      </c>
    </row>
    <row r="249" spans="1:11">
      <c r="A249" t="s">
        <v>2632</v>
      </c>
      <c r="B249" s="2">
        <v>46169</v>
      </c>
      <c r="C249">
        <v>2026</v>
      </c>
      <c r="D249">
        <v>5</v>
      </c>
      <c r="E249" t="s">
        <v>83</v>
      </c>
      <c r="F249" t="s">
        <v>40</v>
      </c>
      <c r="G249" t="s">
        <v>61</v>
      </c>
      <c r="H249" t="s">
        <v>462</v>
      </c>
      <c r="I249" t="s">
        <v>13</v>
      </c>
      <c r="J249" t="s">
        <v>33</v>
      </c>
      <c r="K249" t="s">
        <v>10</v>
      </c>
    </row>
    <row r="250" spans="1:11">
      <c r="A250" t="s">
        <v>2633</v>
      </c>
      <c r="B250" s="2">
        <v>46145</v>
      </c>
      <c r="C250">
        <v>2026</v>
      </c>
      <c r="D250">
        <v>5</v>
      </c>
      <c r="E250" t="s">
        <v>83</v>
      </c>
      <c r="F250" t="s">
        <v>26</v>
      </c>
      <c r="G250" t="s">
        <v>94</v>
      </c>
      <c r="H250" t="s">
        <v>435</v>
      </c>
      <c r="I250" t="s">
        <v>70</v>
      </c>
      <c r="J250" t="s">
        <v>33</v>
      </c>
      <c r="K250" t="s">
        <v>10</v>
      </c>
    </row>
    <row r="251" spans="1:11">
      <c r="A251" t="s">
        <v>2634</v>
      </c>
      <c r="B251" s="2">
        <v>46158</v>
      </c>
      <c r="C251">
        <v>2026</v>
      </c>
      <c r="D251">
        <v>5</v>
      </c>
      <c r="E251" t="s">
        <v>83</v>
      </c>
      <c r="F251" t="s">
        <v>26</v>
      </c>
      <c r="G251" t="s">
        <v>27</v>
      </c>
      <c r="H251" t="s">
        <v>442</v>
      </c>
      <c r="I251" t="s">
        <v>13</v>
      </c>
      <c r="J251" t="s">
        <v>33</v>
      </c>
      <c r="K251" t="s">
        <v>10</v>
      </c>
    </row>
    <row r="252" spans="1:11">
      <c r="A252" t="s">
        <v>2635</v>
      </c>
      <c r="B252" s="2">
        <v>46166</v>
      </c>
      <c r="C252">
        <v>2026</v>
      </c>
      <c r="D252">
        <v>5</v>
      </c>
      <c r="E252" t="s">
        <v>83</v>
      </c>
      <c r="F252" t="s">
        <v>2</v>
      </c>
      <c r="G252" t="s">
        <v>61</v>
      </c>
      <c r="H252" t="s">
        <v>438</v>
      </c>
      <c r="I252" t="s">
        <v>6</v>
      </c>
      <c r="J252" t="s">
        <v>33</v>
      </c>
      <c r="K252" t="s">
        <v>10</v>
      </c>
    </row>
    <row r="253" spans="1:11">
      <c r="A253" t="s">
        <v>2636</v>
      </c>
      <c r="B253" s="2">
        <v>46146</v>
      </c>
      <c r="C253">
        <v>2026</v>
      </c>
      <c r="D253">
        <v>5</v>
      </c>
      <c r="E253" t="s">
        <v>83</v>
      </c>
      <c r="F253" t="s">
        <v>78</v>
      </c>
      <c r="G253" t="s">
        <v>74</v>
      </c>
      <c r="H253" t="s">
        <v>442</v>
      </c>
      <c r="I253" t="s">
        <v>6</v>
      </c>
      <c r="J253" t="s">
        <v>44</v>
      </c>
      <c r="K253" t="s">
        <v>10</v>
      </c>
    </row>
    <row r="254" spans="1:11">
      <c r="A254" t="s">
        <v>2637</v>
      </c>
      <c r="B254" s="2">
        <v>46155</v>
      </c>
      <c r="C254">
        <v>2026</v>
      </c>
      <c r="D254">
        <v>5</v>
      </c>
      <c r="E254" t="s">
        <v>83</v>
      </c>
      <c r="F254" t="s">
        <v>54</v>
      </c>
      <c r="G254" t="s">
        <v>94</v>
      </c>
      <c r="H254" t="s">
        <v>464</v>
      </c>
      <c r="I254" t="s">
        <v>50</v>
      </c>
      <c r="J254" t="s">
        <v>12</v>
      </c>
      <c r="K254" t="s">
        <v>10</v>
      </c>
    </row>
    <row r="255" spans="1:11">
      <c r="A255" t="s">
        <v>2638</v>
      </c>
      <c r="B255" s="2">
        <v>46167</v>
      </c>
      <c r="C255">
        <v>2026</v>
      </c>
      <c r="D255">
        <v>5</v>
      </c>
      <c r="E255" t="s">
        <v>83</v>
      </c>
      <c r="F255" t="s">
        <v>19</v>
      </c>
      <c r="G255" t="s">
        <v>38</v>
      </c>
      <c r="H255" t="s">
        <v>84</v>
      </c>
      <c r="I255" t="s">
        <v>34</v>
      </c>
      <c r="J255" t="s">
        <v>12</v>
      </c>
      <c r="K255" t="s">
        <v>10</v>
      </c>
    </row>
    <row r="256" spans="1:11">
      <c r="A256" t="s">
        <v>2639</v>
      </c>
      <c r="B256" s="2">
        <v>46150</v>
      </c>
      <c r="C256">
        <v>2026</v>
      </c>
      <c r="D256">
        <v>5</v>
      </c>
      <c r="E256" t="s">
        <v>83</v>
      </c>
      <c r="F256" t="s">
        <v>31</v>
      </c>
      <c r="G256" t="s">
        <v>94</v>
      </c>
      <c r="H256" t="s">
        <v>473</v>
      </c>
      <c r="I256" t="s">
        <v>6</v>
      </c>
      <c r="J256" t="s">
        <v>33</v>
      </c>
      <c r="K256" t="s">
        <v>10</v>
      </c>
    </row>
    <row r="257" spans="1:11">
      <c r="A257" t="s">
        <v>2640</v>
      </c>
      <c r="B257" s="2">
        <v>46151</v>
      </c>
      <c r="C257">
        <v>2026</v>
      </c>
      <c r="D257">
        <v>5</v>
      </c>
      <c r="E257" t="s">
        <v>83</v>
      </c>
      <c r="F257" t="s">
        <v>47</v>
      </c>
      <c r="G257" t="s">
        <v>74</v>
      </c>
      <c r="H257" t="s">
        <v>462</v>
      </c>
      <c r="I257" t="s">
        <v>50</v>
      </c>
      <c r="J257" t="s">
        <v>44</v>
      </c>
      <c r="K257" t="s">
        <v>10</v>
      </c>
    </row>
    <row r="258" spans="1:11">
      <c r="A258" t="s">
        <v>2641</v>
      </c>
      <c r="B258" s="2">
        <v>46199</v>
      </c>
      <c r="C258">
        <v>2026</v>
      </c>
      <c r="D258">
        <v>6</v>
      </c>
      <c r="E258" t="s">
        <v>87</v>
      </c>
      <c r="F258" t="s">
        <v>31</v>
      </c>
      <c r="G258" t="s">
        <v>27</v>
      </c>
      <c r="H258" t="s">
        <v>464</v>
      </c>
      <c r="I258" t="s">
        <v>6</v>
      </c>
      <c r="J258" t="s">
        <v>44</v>
      </c>
      <c r="K258" t="s">
        <v>10</v>
      </c>
    </row>
    <row r="259" spans="1:11">
      <c r="A259" t="s">
        <v>2642</v>
      </c>
      <c r="B259" s="2">
        <v>46197</v>
      </c>
      <c r="C259">
        <v>2026</v>
      </c>
      <c r="D259">
        <v>6</v>
      </c>
      <c r="E259" t="s">
        <v>87</v>
      </c>
      <c r="F259" t="s">
        <v>26</v>
      </c>
      <c r="G259" t="s">
        <v>3</v>
      </c>
      <c r="H259" t="s">
        <v>452</v>
      </c>
      <c r="I259" t="s">
        <v>34</v>
      </c>
      <c r="J259" t="s">
        <v>44</v>
      </c>
      <c r="K259" t="s">
        <v>17</v>
      </c>
    </row>
    <row r="260" spans="1:11">
      <c r="A260" t="s">
        <v>2643</v>
      </c>
      <c r="B260" s="2">
        <v>46180</v>
      </c>
      <c r="C260">
        <v>2026</v>
      </c>
      <c r="D260">
        <v>6</v>
      </c>
      <c r="E260" t="s">
        <v>87</v>
      </c>
      <c r="F260" t="s">
        <v>54</v>
      </c>
      <c r="G260" t="s">
        <v>38</v>
      </c>
      <c r="H260" t="s">
        <v>462</v>
      </c>
      <c r="I260" t="s">
        <v>13</v>
      </c>
      <c r="J260" t="s">
        <v>33</v>
      </c>
      <c r="K260" t="s">
        <v>17</v>
      </c>
    </row>
    <row r="261" spans="1:11">
      <c r="A261" t="s">
        <v>2644</v>
      </c>
      <c r="B261" s="2">
        <v>46182</v>
      </c>
      <c r="C261">
        <v>2026</v>
      </c>
      <c r="D261">
        <v>6</v>
      </c>
      <c r="E261" t="s">
        <v>87</v>
      </c>
      <c r="F261" t="s">
        <v>67</v>
      </c>
      <c r="G261" t="s">
        <v>32</v>
      </c>
      <c r="H261" t="s">
        <v>431</v>
      </c>
      <c r="I261" t="s">
        <v>13</v>
      </c>
      <c r="J261" t="s">
        <v>44</v>
      </c>
      <c r="K261" t="s">
        <v>17</v>
      </c>
    </row>
    <row r="262" spans="1:11">
      <c r="A262" t="s">
        <v>2645</v>
      </c>
      <c r="B262" s="2">
        <v>46198</v>
      </c>
      <c r="C262">
        <v>2026</v>
      </c>
      <c r="D262">
        <v>6</v>
      </c>
      <c r="E262" t="s">
        <v>87</v>
      </c>
      <c r="F262" t="s">
        <v>67</v>
      </c>
      <c r="G262" t="s">
        <v>69</v>
      </c>
      <c r="H262" t="s">
        <v>442</v>
      </c>
      <c r="I262" t="s">
        <v>70</v>
      </c>
      <c r="J262" t="s">
        <v>12</v>
      </c>
      <c r="K262" t="s">
        <v>10</v>
      </c>
    </row>
    <row r="263" spans="1:11">
      <c r="A263" t="s">
        <v>2646</v>
      </c>
      <c r="B263" s="2">
        <v>46199</v>
      </c>
      <c r="C263">
        <v>2026</v>
      </c>
      <c r="D263">
        <v>6</v>
      </c>
      <c r="E263" t="s">
        <v>87</v>
      </c>
      <c r="F263" t="s">
        <v>26</v>
      </c>
      <c r="G263" t="s">
        <v>61</v>
      </c>
      <c r="H263" t="s">
        <v>438</v>
      </c>
      <c r="I263" t="s">
        <v>6</v>
      </c>
      <c r="J263" t="s">
        <v>12</v>
      </c>
      <c r="K263" t="s">
        <v>10</v>
      </c>
    </row>
    <row r="264" spans="1:11">
      <c r="A264" t="s">
        <v>2647</v>
      </c>
      <c r="B264" s="2">
        <v>46197</v>
      </c>
      <c r="C264">
        <v>2026</v>
      </c>
      <c r="D264">
        <v>6</v>
      </c>
      <c r="E264" t="s">
        <v>87</v>
      </c>
      <c r="F264" t="s">
        <v>47</v>
      </c>
      <c r="G264" t="s">
        <v>32</v>
      </c>
      <c r="H264" t="s">
        <v>431</v>
      </c>
      <c r="I264" t="s">
        <v>13</v>
      </c>
      <c r="J264" t="s">
        <v>4</v>
      </c>
      <c r="K264" t="s">
        <v>10</v>
      </c>
    </row>
    <row r="265" spans="1:11">
      <c r="A265" t="s">
        <v>2648</v>
      </c>
      <c r="B265" s="2">
        <v>46201</v>
      </c>
      <c r="C265">
        <v>2026</v>
      </c>
      <c r="D265">
        <v>6</v>
      </c>
      <c r="E265" t="s">
        <v>87</v>
      </c>
      <c r="F265" t="s">
        <v>26</v>
      </c>
      <c r="G265" t="s">
        <v>74</v>
      </c>
      <c r="H265" t="s">
        <v>440</v>
      </c>
      <c r="I265" t="s">
        <v>34</v>
      </c>
      <c r="J265" t="s">
        <v>33</v>
      </c>
      <c r="K265" t="s">
        <v>17</v>
      </c>
    </row>
  </sheetData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</sheetPr>
  <dimension ref="A1:O233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11.7109375" customWidth="1"/>
    <col min="8" max="8" width="18.7109375" customWidth="1"/>
    <col min="9" max="9" width="11.7109375" customWidth="1"/>
    <col min="10" max="10" width="12.7109375" customWidth="1"/>
    <col min="11" max="11" width="11.7109375" customWidth="1"/>
    <col min="12" max="12" width="18.7109375" customWidth="1"/>
    <col min="13" max="13" width="11.7109375" customWidth="1"/>
  </cols>
  <sheetData>
    <row r="1" spans="1:15">
      <c r="A1" t="s">
        <v>2888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2889</v>
      </c>
      <c r="I1" t="s">
        <v>2890</v>
      </c>
      <c r="J1" t="s">
        <v>2891</v>
      </c>
      <c r="K1" t="s">
        <v>2892</v>
      </c>
      <c r="L1" t="s">
        <v>2893</v>
      </c>
      <c r="M1" t="s">
        <v>201</v>
      </c>
      <c r="O1" s="1" t="s">
        <v>203</v>
      </c>
    </row>
    <row r="2" spans="1:15">
      <c r="A2" t="s">
        <v>2650</v>
      </c>
      <c r="B2" s="2">
        <v>45315</v>
      </c>
      <c r="C2">
        <v>2024</v>
      </c>
      <c r="D2">
        <v>1</v>
      </c>
      <c r="E2" t="s">
        <v>1</v>
      </c>
      <c r="F2" t="s">
        <v>54</v>
      </c>
      <c r="G2" t="s">
        <v>55</v>
      </c>
      <c r="H2" t="s">
        <v>2651</v>
      </c>
      <c r="I2">
        <v>1</v>
      </c>
      <c r="J2">
        <v>1</v>
      </c>
      <c r="K2">
        <v>2</v>
      </c>
      <c r="L2">
        <v>0</v>
      </c>
      <c r="M2" t="s">
        <v>17</v>
      </c>
    </row>
    <row r="3" spans="1:15">
      <c r="A3" t="s">
        <v>2652</v>
      </c>
      <c r="B3" s="2">
        <v>45300</v>
      </c>
      <c r="C3">
        <v>2024</v>
      </c>
      <c r="D3">
        <v>1</v>
      </c>
      <c r="E3" t="s">
        <v>1</v>
      </c>
      <c r="F3" t="s">
        <v>2</v>
      </c>
      <c r="G3" t="s">
        <v>55</v>
      </c>
      <c r="H3" t="s">
        <v>2653</v>
      </c>
      <c r="I3">
        <v>1</v>
      </c>
      <c r="J3">
        <v>1</v>
      </c>
      <c r="K3">
        <v>5</v>
      </c>
      <c r="L3">
        <v>1</v>
      </c>
      <c r="M3" t="s">
        <v>17</v>
      </c>
    </row>
    <row r="4" spans="1:15">
      <c r="A4" t="s">
        <v>2654</v>
      </c>
      <c r="B4" s="2">
        <v>45298</v>
      </c>
      <c r="C4">
        <v>2024</v>
      </c>
      <c r="D4">
        <v>1</v>
      </c>
      <c r="E4" t="s">
        <v>1</v>
      </c>
      <c r="F4" t="s">
        <v>38</v>
      </c>
      <c r="G4" t="s">
        <v>38</v>
      </c>
      <c r="H4" t="s">
        <v>2651</v>
      </c>
      <c r="I4">
        <v>1</v>
      </c>
      <c r="J4">
        <v>0</v>
      </c>
      <c r="K4">
        <v>0</v>
      </c>
      <c r="L4">
        <v>0</v>
      </c>
      <c r="M4" t="s">
        <v>17</v>
      </c>
    </row>
    <row r="5" spans="1:15">
      <c r="A5" t="s">
        <v>2655</v>
      </c>
      <c r="B5" s="2">
        <v>45318</v>
      </c>
      <c r="C5">
        <v>2024</v>
      </c>
      <c r="D5">
        <v>1</v>
      </c>
      <c r="E5" t="s">
        <v>1</v>
      </c>
      <c r="F5" t="s">
        <v>78</v>
      </c>
      <c r="G5" t="s">
        <v>20</v>
      </c>
      <c r="H5" t="s">
        <v>2651</v>
      </c>
      <c r="I5">
        <v>1</v>
      </c>
      <c r="J5">
        <v>1</v>
      </c>
      <c r="K5">
        <v>7</v>
      </c>
      <c r="L5">
        <v>5</v>
      </c>
      <c r="M5" t="s">
        <v>17</v>
      </c>
    </row>
    <row r="6" spans="1:15">
      <c r="A6" t="s">
        <v>2656</v>
      </c>
      <c r="B6" s="2">
        <v>45312</v>
      </c>
      <c r="C6">
        <v>2024</v>
      </c>
      <c r="D6">
        <v>1</v>
      </c>
      <c r="E6" t="s">
        <v>1</v>
      </c>
      <c r="F6" t="s">
        <v>19</v>
      </c>
      <c r="G6" t="s">
        <v>27</v>
      </c>
      <c r="H6" t="s">
        <v>2657</v>
      </c>
      <c r="I6">
        <v>1</v>
      </c>
      <c r="J6">
        <v>1</v>
      </c>
      <c r="K6">
        <v>1</v>
      </c>
      <c r="L6">
        <v>0</v>
      </c>
      <c r="M6" t="s">
        <v>17</v>
      </c>
    </row>
    <row r="7" spans="1:15">
      <c r="A7" t="s">
        <v>2658</v>
      </c>
      <c r="B7" s="2">
        <v>45293</v>
      </c>
      <c r="C7">
        <v>2024</v>
      </c>
      <c r="D7">
        <v>1</v>
      </c>
      <c r="E7" t="s">
        <v>1</v>
      </c>
      <c r="F7" t="s">
        <v>26</v>
      </c>
      <c r="G7" t="s">
        <v>69</v>
      </c>
      <c r="H7" t="s">
        <v>2657</v>
      </c>
      <c r="I7">
        <v>1</v>
      </c>
      <c r="J7">
        <v>0</v>
      </c>
      <c r="K7">
        <v>0</v>
      </c>
      <c r="L7">
        <v>0</v>
      </c>
      <c r="M7" t="s">
        <v>17</v>
      </c>
    </row>
    <row r="8" spans="1:15">
      <c r="A8" t="s">
        <v>2659</v>
      </c>
      <c r="B8" s="2">
        <v>45312</v>
      </c>
      <c r="C8">
        <v>2024</v>
      </c>
      <c r="D8">
        <v>1</v>
      </c>
      <c r="E8" t="s">
        <v>1</v>
      </c>
      <c r="F8" t="s">
        <v>47</v>
      </c>
      <c r="G8" t="s">
        <v>69</v>
      </c>
      <c r="H8" t="s">
        <v>2660</v>
      </c>
      <c r="I8">
        <v>1</v>
      </c>
      <c r="J8">
        <v>1</v>
      </c>
      <c r="K8">
        <v>5</v>
      </c>
      <c r="L8">
        <v>5</v>
      </c>
      <c r="M8" t="s">
        <v>10</v>
      </c>
    </row>
    <row r="9" spans="1:15">
      <c r="A9" t="s">
        <v>2661</v>
      </c>
      <c r="B9" s="2">
        <v>45301</v>
      </c>
      <c r="C9">
        <v>2024</v>
      </c>
      <c r="D9">
        <v>1</v>
      </c>
      <c r="E9" t="s">
        <v>1</v>
      </c>
      <c r="F9" t="s">
        <v>40</v>
      </c>
      <c r="G9" t="s">
        <v>20</v>
      </c>
      <c r="H9" t="s">
        <v>2657</v>
      </c>
      <c r="I9">
        <v>1</v>
      </c>
      <c r="J9">
        <v>1</v>
      </c>
      <c r="K9">
        <v>1</v>
      </c>
      <c r="L9">
        <v>1</v>
      </c>
      <c r="M9" t="s">
        <v>10</v>
      </c>
    </row>
    <row r="10" spans="1:15">
      <c r="A10" t="s">
        <v>2662</v>
      </c>
      <c r="B10" s="2">
        <v>45295</v>
      </c>
      <c r="C10">
        <v>2024</v>
      </c>
      <c r="D10">
        <v>1</v>
      </c>
      <c r="E10" t="s">
        <v>1</v>
      </c>
      <c r="F10" t="s">
        <v>31</v>
      </c>
      <c r="G10" t="s">
        <v>32</v>
      </c>
      <c r="H10" t="s">
        <v>2663</v>
      </c>
      <c r="I10">
        <v>1</v>
      </c>
      <c r="J10">
        <v>1</v>
      </c>
      <c r="K10">
        <v>2</v>
      </c>
      <c r="L10">
        <v>1</v>
      </c>
      <c r="M10" t="s">
        <v>17</v>
      </c>
    </row>
    <row r="11" spans="1:15">
      <c r="A11" t="s">
        <v>2664</v>
      </c>
      <c r="B11" s="2">
        <v>45305</v>
      </c>
      <c r="C11">
        <v>2024</v>
      </c>
      <c r="D11">
        <v>1</v>
      </c>
      <c r="E11" t="s">
        <v>1</v>
      </c>
      <c r="F11" t="s">
        <v>67</v>
      </c>
      <c r="G11" t="s">
        <v>55</v>
      </c>
      <c r="H11" t="s">
        <v>2663</v>
      </c>
      <c r="I11">
        <v>1</v>
      </c>
      <c r="J11">
        <v>1</v>
      </c>
      <c r="K11">
        <v>8</v>
      </c>
      <c r="L11">
        <v>1</v>
      </c>
      <c r="M11" t="s">
        <v>17</v>
      </c>
    </row>
    <row r="12" spans="1:15">
      <c r="A12" t="s">
        <v>2665</v>
      </c>
      <c r="B12" s="2">
        <v>45338</v>
      </c>
      <c r="C12">
        <v>2024</v>
      </c>
      <c r="D12">
        <v>2</v>
      </c>
      <c r="E12" t="s">
        <v>25</v>
      </c>
      <c r="F12" t="s">
        <v>40</v>
      </c>
      <c r="G12" t="s">
        <v>74</v>
      </c>
      <c r="H12" t="s">
        <v>2666</v>
      </c>
      <c r="I12">
        <v>1</v>
      </c>
      <c r="J12">
        <v>1</v>
      </c>
      <c r="K12">
        <v>8</v>
      </c>
      <c r="L12">
        <v>1</v>
      </c>
      <c r="M12" t="s">
        <v>17</v>
      </c>
    </row>
    <row r="13" spans="1:15">
      <c r="A13" t="s">
        <v>2667</v>
      </c>
      <c r="B13" s="2">
        <v>45347</v>
      </c>
      <c r="C13">
        <v>2024</v>
      </c>
      <c r="D13">
        <v>2</v>
      </c>
      <c r="E13" t="s">
        <v>25</v>
      </c>
      <c r="F13" t="s">
        <v>78</v>
      </c>
      <c r="G13" t="s">
        <v>38</v>
      </c>
      <c r="H13" t="s">
        <v>2660</v>
      </c>
      <c r="I13">
        <v>1</v>
      </c>
      <c r="J13">
        <v>1</v>
      </c>
      <c r="K13">
        <v>3</v>
      </c>
      <c r="L13">
        <v>1</v>
      </c>
      <c r="M13" t="s">
        <v>17</v>
      </c>
    </row>
    <row r="14" spans="1:15">
      <c r="A14" t="s">
        <v>2668</v>
      </c>
      <c r="B14" s="2">
        <v>45324</v>
      </c>
      <c r="C14">
        <v>2024</v>
      </c>
      <c r="D14">
        <v>2</v>
      </c>
      <c r="E14" t="s">
        <v>25</v>
      </c>
      <c r="F14" t="s">
        <v>31</v>
      </c>
      <c r="G14" t="s">
        <v>48</v>
      </c>
      <c r="H14" t="s">
        <v>2663</v>
      </c>
      <c r="I14">
        <v>1</v>
      </c>
      <c r="J14">
        <v>1</v>
      </c>
      <c r="K14">
        <v>1</v>
      </c>
      <c r="L14">
        <v>0</v>
      </c>
      <c r="M14" t="s">
        <v>17</v>
      </c>
    </row>
    <row r="15" spans="1:15">
      <c r="A15" t="s">
        <v>2669</v>
      </c>
      <c r="B15" s="2">
        <v>45332</v>
      </c>
      <c r="C15">
        <v>2024</v>
      </c>
      <c r="D15">
        <v>2</v>
      </c>
      <c r="E15" t="s">
        <v>25</v>
      </c>
      <c r="F15" t="s">
        <v>54</v>
      </c>
      <c r="G15" t="s">
        <v>61</v>
      </c>
      <c r="H15" t="s">
        <v>2651</v>
      </c>
      <c r="I15">
        <v>1</v>
      </c>
      <c r="J15">
        <v>1</v>
      </c>
      <c r="K15">
        <v>4</v>
      </c>
      <c r="L15">
        <v>4</v>
      </c>
      <c r="M15" t="s">
        <v>10</v>
      </c>
    </row>
    <row r="16" spans="1:15">
      <c r="A16" t="s">
        <v>2670</v>
      </c>
      <c r="B16" s="2">
        <v>45326</v>
      </c>
      <c r="C16">
        <v>2024</v>
      </c>
      <c r="D16">
        <v>2</v>
      </c>
      <c r="E16" t="s">
        <v>25</v>
      </c>
      <c r="F16" t="s">
        <v>26</v>
      </c>
      <c r="G16" t="s">
        <v>32</v>
      </c>
      <c r="H16" t="s">
        <v>2660</v>
      </c>
      <c r="I16">
        <v>1</v>
      </c>
      <c r="J16">
        <v>1</v>
      </c>
      <c r="K16">
        <v>6</v>
      </c>
      <c r="L16">
        <v>5</v>
      </c>
      <c r="M16" t="s">
        <v>17</v>
      </c>
    </row>
    <row r="17" spans="1:13">
      <c r="A17" t="s">
        <v>2671</v>
      </c>
      <c r="B17" s="2">
        <v>45328</v>
      </c>
      <c r="C17">
        <v>2024</v>
      </c>
      <c r="D17">
        <v>2</v>
      </c>
      <c r="E17" t="s">
        <v>25</v>
      </c>
      <c r="F17" t="s">
        <v>67</v>
      </c>
      <c r="G17" t="s">
        <v>61</v>
      </c>
      <c r="H17" t="s">
        <v>2663</v>
      </c>
      <c r="I17">
        <v>1</v>
      </c>
      <c r="J17">
        <v>1</v>
      </c>
      <c r="K17">
        <v>4</v>
      </c>
      <c r="L17">
        <v>1</v>
      </c>
      <c r="M17" t="s">
        <v>17</v>
      </c>
    </row>
    <row r="18" spans="1:13">
      <c r="A18" t="s">
        <v>2672</v>
      </c>
      <c r="B18" s="2">
        <v>45323</v>
      </c>
      <c r="C18">
        <v>2024</v>
      </c>
      <c r="D18">
        <v>2</v>
      </c>
      <c r="E18" t="s">
        <v>25</v>
      </c>
      <c r="F18" t="s">
        <v>38</v>
      </c>
      <c r="G18" t="s">
        <v>61</v>
      </c>
      <c r="H18" t="s">
        <v>2657</v>
      </c>
      <c r="I18">
        <v>1</v>
      </c>
      <c r="J18">
        <v>1</v>
      </c>
      <c r="K18">
        <v>5</v>
      </c>
      <c r="L18">
        <v>5</v>
      </c>
      <c r="M18" t="s">
        <v>10</v>
      </c>
    </row>
    <row r="19" spans="1:13">
      <c r="A19" t="s">
        <v>2673</v>
      </c>
      <c r="B19" s="2">
        <v>45324</v>
      </c>
      <c r="C19">
        <v>2024</v>
      </c>
      <c r="D19">
        <v>2</v>
      </c>
      <c r="E19" t="s">
        <v>25</v>
      </c>
      <c r="F19" t="s">
        <v>2</v>
      </c>
      <c r="G19" t="s">
        <v>64</v>
      </c>
      <c r="H19" t="s">
        <v>2657</v>
      </c>
      <c r="I19">
        <v>1</v>
      </c>
      <c r="J19">
        <v>1</v>
      </c>
      <c r="K19">
        <v>5</v>
      </c>
      <c r="L19">
        <v>2</v>
      </c>
      <c r="M19" t="s">
        <v>17</v>
      </c>
    </row>
    <row r="20" spans="1:13">
      <c r="A20" t="s">
        <v>2674</v>
      </c>
      <c r="B20" s="2">
        <v>45323</v>
      </c>
      <c r="C20">
        <v>2024</v>
      </c>
      <c r="D20">
        <v>2</v>
      </c>
      <c r="E20" t="s">
        <v>25</v>
      </c>
      <c r="F20" t="s">
        <v>47</v>
      </c>
      <c r="G20" t="s">
        <v>48</v>
      </c>
      <c r="H20" t="s">
        <v>56</v>
      </c>
      <c r="I20">
        <v>1</v>
      </c>
      <c r="J20">
        <v>1</v>
      </c>
      <c r="K20">
        <v>6</v>
      </c>
      <c r="L20">
        <v>4</v>
      </c>
      <c r="M20" t="s">
        <v>17</v>
      </c>
    </row>
    <row r="21" spans="1:13">
      <c r="A21" t="s">
        <v>2675</v>
      </c>
      <c r="B21" s="2">
        <v>45325</v>
      </c>
      <c r="C21">
        <v>2024</v>
      </c>
      <c r="D21">
        <v>2</v>
      </c>
      <c r="E21" t="s">
        <v>25</v>
      </c>
      <c r="F21" t="s">
        <v>19</v>
      </c>
      <c r="G21" t="s">
        <v>74</v>
      </c>
      <c r="H21" t="s">
        <v>2653</v>
      </c>
      <c r="I21">
        <v>1</v>
      </c>
      <c r="J21">
        <v>1</v>
      </c>
      <c r="K21">
        <v>6</v>
      </c>
      <c r="L21">
        <v>6</v>
      </c>
      <c r="M21" t="s">
        <v>10</v>
      </c>
    </row>
    <row r="22" spans="1:13">
      <c r="A22" t="s">
        <v>2676</v>
      </c>
      <c r="B22" s="2">
        <v>45357</v>
      </c>
      <c r="C22">
        <v>2024</v>
      </c>
      <c r="D22">
        <v>3</v>
      </c>
      <c r="E22" t="s">
        <v>60</v>
      </c>
      <c r="F22" t="s">
        <v>26</v>
      </c>
      <c r="G22" t="s">
        <v>94</v>
      </c>
      <c r="H22" t="s">
        <v>56</v>
      </c>
      <c r="I22">
        <v>1</v>
      </c>
      <c r="J22">
        <v>1</v>
      </c>
      <c r="K22">
        <v>5</v>
      </c>
      <c r="L22">
        <v>4</v>
      </c>
      <c r="M22" t="s">
        <v>17</v>
      </c>
    </row>
    <row r="23" spans="1:13">
      <c r="A23" t="s">
        <v>2677</v>
      </c>
      <c r="B23" s="2">
        <v>45364</v>
      </c>
      <c r="C23">
        <v>2024</v>
      </c>
      <c r="D23">
        <v>3</v>
      </c>
      <c r="E23" t="s">
        <v>60</v>
      </c>
      <c r="F23" t="s">
        <v>54</v>
      </c>
      <c r="G23" t="s">
        <v>64</v>
      </c>
      <c r="H23" t="s">
        <v>2653</v>
      </c>
      <c r="I23">
        <v>1</v>
      </c>
      <c r="J23">
        <v>1</v>
      </c>
      <c r="K23">
        <v>6</v>
      </c>
      <c r="L23">
        <v>6</v>
      </c>
      <c r="M23" t="s">
        <v>10</v>
      </c>
    </row>
    <row r="24" spans="1:13">
      <c r="A24" t="s">
        <v>2678</v>
      </c>
      <c r="B24" s="2">
        <v>45372</v>
      </c>
      <c r="C24">
        <v>2024</v>
      </c>
      <c r="D24">
        <v>3</v>
      </c>
      <c r="E24" t="s">
        <v>60</v>
      </c>
      <c r="F24" t="s">
        <v>78</v>
      </c>
      <c r="G24" t="s">
        <v>64</v>
      </c>
      <c r="H24" t="s">
        <v>2653</v>
      </c>
      <c r="I24">
        <v>1</v>
      </c>
      <c r="J24">
        <v>1</v>
      </c>
      <c r="K24">
        <v>3</v>
      </c>
      <c r="L24">
        <v>2</v>
      </c>
      <c r="M24" t="s">
        <v>17</v>
      </c>
    </row>
    <row r="25" spans="1:13">
      <c r="A25" t="s">
        <v>2679</v>
      </c>
      <c r="B25" s="2">
        <v>45352</v>
      </c>
      <c r="C25">
        <v>2024</v>
      </c>
      <c r="D25">
        <v>3</v>
      </c>
      <c r="E25" t="s">
        <v>60</v>
      </c>
      <c r="F25" t="s">
        <v>38</v>
      </c>
      <c r="G25" t="s">
        <v>32</v>
      </c>
      <c r="H25" t="s">
        <v>2651</v>
      </c>
      <c r="I25">
        <v>1</v>
      </c>
      <c r="J25">
        <v>1</v>
      </c>
      <c r="K25">
        <v>3</v>
      </c>
      <c r="L25">
        <v>3</v>
      </c>
      <c r="M25" t="s">
        <v>10</v>
      </c>
    </row>
    <row r="26" spans="1:13">
      <c r="A26" t="s">
        <v>2680</v>
      </c>
      <c r="B26" s="2">
        <v>45352</v>
      </c>
      <c r="C26">
        <v>2024</v>
      </c>
      <c r="D26">
        <v>3</v>
      </c>
      <c r="E26" t="s">
        <v>60</v>
      </c>
      <c r="F26" t="s">
        <v>31</v>
      </c>
      <c r="G26" t="s">
        <v>61</v>
      </c>
      <c r="H26" t="s">
        <v>2653</v>
      </c>
      <c r="I26">
        <v>1</v>
      </c>
      <c r="J26">
        <v>1</v>
      </c>
      <c r="K26">
        <v>6</v>
      </c>
      <c r="L26">
        <v>6</v>
      </c>
      <c r="M26" t="s">
        <v>10</v>
      </c>
    </row>
    <row r="27" spans="1:13">
      <c r="A27" t="s">
        <v>2681</v>
      </c>
      <c r="B27" s="2">
        <v>45361</v>
      </c>
      <c r="C27">
        <v>2024</v>
      </c>
      <c r="D27">
        <v>3</v>
      </c>
      <c r="E27" t="s">
        <v>60</v>
      </c>
      <c r="F27" t="s">
        <v>47</v>
      </c>
      <c r="G27" t="s">
        <v>61</v>
      </c>
      <c r="H27" t="s">
        <v>2657</v>
      </c>
      <c r="I27">
        <v>1</v>
      </c>
      <c r="J27">
        <v>1</v>
      </c>
      <c r="K27">
        <v>4</v>
      </c>
      <c r="L27">
        <v>2</v>
      </c>
      <c r="M27" t="s">
        <v>17</v>
      </c>
    </row>
    <row r="28" spans="1:13">
      <c r="A28" t="s">
        <v>2682</v>
      </c>
      <c r="B28" s="2">
        <v>45366</v>
      </c>
      <c r="C28">
        <v>2024</v>
      </c>
      <c r="D28">
        <v>3</v>
      </c>
      <c r="E28" t="s">
        <v>60</v>
      </c>
      <c r="F28" t="s">
        <v>2</v>
      </c>
      <c r="G28" t="s">
        <v>74</v>
      </c>
      <c r="H28" t="s">
        <v>2653</v>
      </c>
      <c r="I28">
        <v>1</v>
      </c>
      <c r="J28">
        <v>1</v>
      </c>
      <c r="K28">
        <v>4</v>
      </c>
      <c r="L28">
        <v>1</v>
      </c>
      <c r="M28" t="s">
        <v>17</v>
      </c>
    </row>
    <row r="29" spans="1:13">
      <c r="A29" t="s">
        <v>2683</v>
      </c>
      <c r="B29" s="2">
        <v>45372</v>
      </c>
      <c r="C29">
        <v>2024</v>
      </c>
      <c r="D29">
        <v>3</v>
      </c>
      <c r="E29" t="s">
        <v>60</v>
      </c>
      <c r="F29" t="s">
        <v>40</v>
      </c>
      <c r="G29" t="s">
        <v>69</v>
      </c>
      <c r="H29" t="s">
        <v>2653</v>
      </c>
      <c r="I29">
        <v>1</v>
      </c>
      <c r="J29">
        <v>0</v>
      </c>
      <c r="K29">
        <v>0</v>
      </c>
      <c r="L29">
        <v>0</v>
      </c>
      <c r="M29" t="s">
        <v>17</v>
      </c>
    </row>
    <row r="30" spans="1:13">
      <c r="A30" t="s">
        <v>2684</v>
      </c>
      <c r="B30" s="2">
        <v>45383</v>
      </c>
      <c r="C30">
        <v>2024</v>
      </c>
      <c r="D30">
        <v>4</v>
      </c>
      <c r="E30" t="s">
        <v>73</v>
      </c>
      <c r="F30" t="s">
        <v>19</v>
      </c>
      <c r="G30" t="s">
        <v>48</v>
      </c>
      <c r="H30" t="s">
        <v>2657</v>
      </c>
      <c r="I30">
        <v>1</v>
      </c>
      <c r="J30">
        <v>1</v>
      </c>
      <c r="K30">
        <v>8</v>
      </c>
      <c r="L30">
        <v>2</v>
      </c>
      <c r="M30" t="s">
        <v>17</v>
      </c>
    </row>
    <row r="31" spans="1:13">
      <c r="A31" t="s">
        <v>2685</v>
      </c>
      <c r="B31" s="2">
        <v>45390</v>
      </c>
      <c r="C31">
        <v>2024</v>
      </c>
      <c r="D31">
        <v>4</v>
      </c>
      <c r="E31" t="s">
        <v>73</v>
      </c>
      <c r="F31" t="s">
        <v>26</v>
      </c>
      <c r="G31" t="s">
        <v>61</v>
      </c>
      <c r="H31" t="s">
        <v>2657</v>
      </c>
      <c r="I31">
        <v>1</v>
      </c>
      <c r="J31">
        <v>1</v>
      </c>
      <c r="K31">
        <v>4</v>
      </c>
      <c r="L31">
        <v>4</v>
      </c>
      <c r="M31" t="s">
        <v>10</v>
      </c>
    </row>
    <row r="32" spans="1:13">
      <c r="A32" t="s">
        <v>2686</v>
      </c>
      <c r="B32" s="2">
        <v>45391</v>
      </c>
      <c r="C32">
        <v>2024</v>
      </c>
      <c r="D32">
        <v>4</v>
      </c>
      <c r="E32" t="s">
        <v>73</v>
      </c>
      <c r="F32" t="s">
        <v>2</v>
      </c>
      <c r="G32" t="s">
        <v>48</v>
      </c>
      <c r="H32" t="s">
        <v>2657</v>
      </c>
      <c r="I32">
        <v>1</v>
      </c>
      <c r="J32">
        <v>1</v>
      </c>
      <c r="K32">
        <v>3</v>
      </c>
      <c r="L32">
        <v>2</v>
      </c>
      <c r="M32" t="s">
        <v>17</v>
      </c>
    </row>
    <row r="33" spans="1:13">
      <c r="A33" t="s">
        <v>2687</v>
      </c>
      <c r="B33" s="2">
        <v>45394</v>
      </c>
      <c r="C33">
        <v>2024</v>
      </c>
      <c r="D33">
        <v>4</v>
      </c>
      <c r="E33" t="s">
        <v>73</v>
      </c>
      <c r="F33" t="s">
        <v>40</v>
      </c>
      <c r="G33" t="s">
        <v>38</v>
      </c>
      <c r="H33" t="s">
        <v>2653</v>
      </c>
      <c r="I33">
        <v>1</v>
      </c>
      <c r="J33">
        <v>1</v>
      </c>
      <c r="K33">
        <v>4</v>
      </c>
      <c r="L33">
        <v>0</v>
      </c>
      <c r="M33" t="s">
        <v>17</v>
      </c>
    </row>
    <row r="34" spans="1:13">
      <c r="A34" t="s">
        <v>2688</v>
      </c>
      <c r="B34" s="2">
        <v>45394</v>
      </c>
      <c r="C34">
        <v>2024</v>
      </c>
      <c r="D34">
        <v>4</v>
      </c>
      <c r="E34" t="s">
        <v>73</v>
      </c>
      <c r="F34" t="s">
        <v>54</v>
      </c>
      <c r="G34" t="s">
        <v>94</v>
      </c>
      <c r="H34" t="s">
        <v>2660</v>
      </c>
      <c r="I34">
        <v>1</v>
      </c>
      <c r="J34">
        <v>1</v>
      </c>
      <c r="K34">
        <v>1</v>
      </c>
      <c r="L34">
        <v>1</v>
      </c>
      <c r="M34" t="s">
        <v>10</v>
      </c>
    </row>
    <row r="35" spans="1:13">
      <c r="A35" t="s">
        <v>2689</v>
      </c>
      <c r="B35" s="2">
        <v>45395</v>
      </c>
      <c r="C35">
        <v>2024</v>
      </c>
      <c r="D35">
        <v>4</v>
      </c>
      <c r="E35" t="s">
        <v>73</v>
      </c>
      <c r="F35" t="s">
        <v>47</v>
      </c>
      <c r="G35" t="s">
        <v>20</v>
      </c>
      <c r="H35" t="s">
        <v>2653</v>
      </c>
      <c r="I35">
        <v>1</v>
      </c>
      <c r="J35">
        <v>0</v>
      </c>
      <c r="K35">
        <v>0</v>
      </c>
      <c r="L35">
        <v>0</v>
      </c>
      <c r="M35" t="s">
        <v>17</v>
      </c>
    </row>
    <row r="36" spans="1:13">
      <c r="A36" t="s">
        <v>2690</v>
      </c>
      <c r="B36" s="2">
        <v>45404</v>
      </c>
      <c r="C36">
        <v>2024</v>
      </c>
      <c r="D36">
        <v>4</v>
      </c>
      <c r="E36" t="s">
        <v>73</v>
      </c>
      <c r="F36" t="s">
        <v>78</v>
      </c>
      <c r="G36" t="s">
        <v>3</v>
      </c>
      <c r="H36" t="s">
        <v>2653</v>
      </c>
      <c r="I36">
        <v>1</v>
      </c>
      <c r="J36">
        <v>1</v>
      </c>
      <c r="K36">
        <v>2</v>
      </c>
      <c r="L36">
        <v>0</v>
      </c>
      <c r="M36" t="s">
        <v>17</v>
      </c>
    </row>
    <row r="37" spans="1:13">
      <c r="A37" t="s">
        <v>2691</v>
      </c>
      <c r="B37" s="2">
        <v>45388</v>
      </c>
      <c r="C37">
        <v>2024</v>
      </c>
      <c r="D37">
        <v>4</v>
      </c>
      <c r="E37" t="s">
        <v>73</v>
      </c>
      <c r="F37" t="s">
        <v>31</v>
      </c>
      <c r="G37" t="s">
        <v>3</v>
      </c>
      <c r="H37" t="s">
        <v>2663</v>
      </c>
      <c r="I37">
        <v>1</v>
      </c>
      <c r="J37">
        <v>1</v>
      </c>
      <c r="K37">
        <v>7</v>
      </c>
      <c r="L37">
        <v>4</v>
      </c>
      <c r="M37" t="s">
        <v>17</v>
      </c>
    </row>
    <row r="38" spans="1:13">
      <c r="A38" t="s">
        <v>2692</v>
      </c>
      <c r="B38" s="2">
        <v>45414</v>
      </c>
      <c r="C38">
        <v>2024</v>
      </c>
      <c r="D38">
        <v>5</v>
      </c>
      <c r="E38" t="s">
        <v>83</v>
      </c>
      <c r="F38" t="s">
        <v>78</v>
      </c>
      <c r="G38" t="s">
        <v>69</v>
      </c>
      <c r="H38" t="s">
        <v>2651</v>
      </c>
      <c r="I38">
        <v>1</v>
      </c>
      <c r="J38">
        <v>1</v>
      </c>
      <c r="K38">
        <v>2</v>
      </c>
      <c r="L38">
        <v>2</v>
      </c>
      <c r="M38" t="s">
        <v>10</v>
      </c>
    </row>
    <row r="39" spans="1:13">
      <c r="A39" t="s">
        <v>2693</v>
      </c>
      <c r="B39" s="2">
        <v>45421</v>
      </c>
      <c r="C39">
        <v>2024</v>
      </c>
      <c r="D39">
        <v>5</v>
      </c>
      <c r="E39" t="s">
        <v>83</v>
      </c>
      <c r="F39" t="s">
        <v>19</v>
      </c>
      <c r="G39" t="s">
        <v>61</v>
      </c>
      <c r="H39" t="s">
        <v>56</v>
      </c>
      <c r="I39">
        <v>1</v>
      </c>
      <c r="J39">
        <v>1</v>
      </c>
      <c r="K39">
        <v>3</v>
      </c>
      <c r="L39">
        <v>1</v>
      </c>
      <c r="M39" t="s">
        <v>17</v>
      </c>
    </row>
    <row r="40" spans="1:13">
      <c r="A40" t="s">
        <v>2694</v>
      </c>
      <c r="B40" s="2">
        <v>45428</v>
      </c>
      <c r="C40">
        <v>2024</v>
      </c>
      <c r="D40">
        <v>5</v>
      </c>
      <c r="E40" t="s">
        <v>83</v>
      </c>
      <c r="F40" t="s">
        <v>54</v>
      </c>
      <c r="G40" t="s">
        <v>55</v>
      </c>
      <c r="H40" t="s">
        <v>2657</v>
      </c>
      <c r="I40">
        <v>1</v>
      </c>
      <c r="J40">
        <v>0</v>
      </c>
      <c r="K40">
        <v>0</v>
      </c>
      <c r="L40">
        <v>0</v>
      </c>
      <c r="M40" t="s">
        <v>17</v>
      </c>
    </row>
    <row r="41" spans="1:13">
      <c r="A41" t="s">
        <v>2695</v>
      </c>
      <c r="B41" s="2">
        <v>45429</v>
      </c>
      <c r="C41">
        <v>2024</v>
      </c>
      <c r="D41">
        <v>5</v>
      </c>
      <c r="E41" t="s">
        <v>83</v>
      </c>
      <c r="F41" t="s">
        <v>26</v>
      </c>
      <c r="G41" t="s">
        <v>74</v>
      </c>
      <c r="H41" t="s">
        <v>2660</v>
      </c>
      <c r="I41">
        <v>1</v>
      </c>
      <c r="J41">
        <v>1</v>
      </c>
      <c r="K41">
        <v>2</v>
      </c>
      <c r="L41">
        <v>0</v>
      </c>
      <c r="M41" t="s">
        <v>17</v>
      </c>
    </row>
    <row r="42" spans="1:13">
      <c r="A42" t="s">
        <v>2696</v>
      </c>
      <c r="B42" s="2">
        <v>45427</v>
      </c>
      <c r="C42">
        <v>2024</v>
      </c>
      <c r="D42">
        <v>5</v>
      </c>
      <c r="E42" t="s">
        <v>83</v>
      </c>
      <c r="F42" t="s">
        <v>67</v>
      </c>
      <c r="G42" t="s">
        <v>32</v>
      </c>
      <c r="H42" t="s">
        <v>2657</v>
      </c>
      <c r="I42">
        <v>1</v>
      </c>
      <c r="J42">
        <v>1</v>
      </c>
      <c r="K42">
        <v>3</v>
      </c>
      <c r="L42">
        <v>1</v>
      </c>
      <c r="M42" t="s">
        <v>17</v>
      </c>
    </row>
    <row r="43" spans="1:13">
      <c r="A43" t="s">
        <v>2697</v>
      </c>
      <c r="B43" s="2">
        <v>45415</v>
      </c>
      <c r="C43">
        <v>2024</v>
      </c>
      <c r="D43">
        <v>5</v>
      </c>
      <c r="E43" t="s">
        <v>83</v>
      </c>
      <c r="F43" t="s">
        <v>40</v>
      </c>
      <c r="G43" t="s">
        <v>94</v>
      </c>
      <c r="H43" t="s">
        <v>56</v>
      </c>
      <c r="I43">
        <v>1</v>
      </c>
      <c r="J43">
        <v>0</v>
      </c>
      <c r="K43">
        <v>0</v>
      </c>
      <c r="L43">
        <v>0</v>
      </c>
      <c r="M43" t="s">
        <v>17</v>
      </c>
    </row>
    <row r="44" spans="1:13">
      <c r="A44" t="s">
        <v>2698</v>
      </c>
      <c r="B44" s="2">
        <v>45454</v>
      </c>
      <c r="C44">
        <v>2024</v>
      </c>
      <c r="D44">
        <v>6</v>
      </c>
      <c r="E44" t="s">
        <v>87</v>
      </c>
      <c r="F44" t="s">
        <v>54</v>
      </c>
      <c r="G44" t="s">
        <v>69</v>
      </c>
      <c r="H44" t="s">
        <v>2657</v>
      </c>
      <c r="I44">
        <v>1</v>
      </c>
      <c r="J44">
        <v>1</v>
      </c>
      <c r="K44">
        <v>4</v>
      </c>
      <c r="L44">
        <v>1</v>
      </c>
      <c r="M44" t="s">
        <v>17</v>
      </c>
    </row>
    <row r="45" spans="1:13">
      <c r="A45" t="s">
        <v>2699</v>
      </c>
      <c r="B45" s="2">
        <v>45458</v>
      </c>
      <c r="C45">
        <v>2024</v>
      </c>
      <c r="D45">
        <v>6</v>
      </c>
      <c r="E45" t="s">
        <v>87</v>
      </c>
      <c r="F45" t="s">
        <v>67</v>
      </c>
      <c r="G45" t="s">
        <v>74</v>
      </c>
      <c r="H45" t="s">
        <v>2653</v>
      </c>
      <c r="I45">
        <v>1</v>
      </c>
      <c r="J45">
        <v>0</v>
      </c>
      <c r="K45">
        <v>0</v>
      </c>
      <c r="L45">
        <v>0</v>
      </c>
      <c r="M45" t="s">
        <v>17</v>
      </c>
    </row>
    <row r="46" spans="1:13">
      <c r="A46" t="s">
        <v>2700</v>
      </c>
      <c r="B46" s="2">
        <v>45455</v>
      </c>
      <c r="C46">
        <v>2024</v>
      </c>
      <c r="D46">
        <v>6</v>
      </c>
      <c r="E46" t="s">
        <v>87</v>
      </c>
      <c r="F46" t="s">
        <v>47</v>
      </c>
      <c r="G46" t="s">
        <v>69</v>
      </c>
      <c r="H46" t="s">
        <v>2657</v>
      </c>
      <c r="I46">
        <v>1</v>
      </c>
      <c r="J46">
        <v>1</v>
      </c>
      <c r="K46">
        <v>4</v>
      </c>
      <c r="L46">
        <v>2</v>
      </c>
      <c r="M46" t="s">
        <v>17</v>
      </c>
    </row>
    <row r="47" spans="1:13">
      <c r="A47" t="s">
        <v>2701</v>
      </c>
      <c r="B47" s="2">
        <v>45464</v>
      </c>
      <c r="C47">
        <v>2024</v>
      </c>
      <c r="D47">
        <v>6</v>
      </c>
      <c r="E47" t="s">
        <v>87</v>
      </c>
      <c r="F47" t="s">
        <v>40</v>
      </c>
      <c r="G47" t="s">
        <v>94</v>
      </c>
      <c r="H47" t="s">
        <v>56</v>
      </c>
      <c r="I47">
        <v>1</v>
      </c>
      <c r="J47">
        <v>1</v>
      </c>
      <c r="K47">
        <v>5</v>
      </c>
      <c r="L47">
        <v>2</v>
      </c>
      <c r="M47" t="s">
        <v>17</v>
      </c>
    </row>
    <row r="48" spans="1:13">
      <c r="A48" t="s">
        <v>2702</v>
      </c>
      <c r="B48" s="2">
        <v>45456</v>
      </c>
      <c r="C48">
        <v>2024</v>
      </c>
      <c r="D48">
        <v>6</v>
      </c>
      <c r="E48" t="s">
        <v>87</v>
      </c>
      <c r="F48" t="s">
        <v>26</v>
      </c>
      <c r="G48" t="s">
        <v>32</v>
      </c>
      <c r="H48" t="s">
        <v>2663</v>
      </c>
      <c r="I48">
        <v>1</v>
      </c>
      <c r="J48">
        <v>1</v>
      </c>
      <c r="K48">
        <v>8</v>
      </c>
      <c r="L48">
        <v>2</v>
      </c>
      <c r="M48" t="s">
        <v>17</v>
      </c>
    </row>
    <row r="49" spans="1:13">
      <c r="A49" t="s">
        <v>2703</v>
      </c>
      <c r="B49" s="2">
        <v>45464</v>
      </c>
      <c r="C49">
        <v>2024</v>
      </c>
      <c r="D49">
        <v>6</v>
      </c>
      <c r="E49" t="s">
        <v>87</v>
      </c>
      <c r="F49" t="s">
        <v>31</v>
      </c>
      <c r="G49" t="s">
        <v>61</v>
      </c>
      <c r="H49" t="s">
        <v>2653</v>
      </c>
      <c r="I49">
        <v>1</v>
      </c>
      <c r="J49">
        <v>1</v>
      </c>
      <c r="K49">
        <v>4</v>
      </c>
      <c r="L49">
        <v>2</v>
      </c>
      <c r="M49" t="s">
        <v>17</v>
      </c>
    </row>
    <row r="50" spans="1:13">
      <c r="A50" t="s">
        <v>2704</v>
      </c>
      <c r="B50" s="2">
        <v>45479</v>
      </c>
      <c r="C50">
        <v>2024</v>
      </c>
      <c r="D50">
        <v>7</v>
      </c>
      <c r="E50" t="s">
        <v>93</v>
      </c>
      <c r="F50" t="s">
        <v>26</v>
      </c>
      <c r="G50" t="s">
        <v>64</v>
      </c>
      <c r="H50" t="s">
        <v>2663</v>
      </c>
      <c r="I50">
        <v>1</v>
      </c>
      <c r="J50">
        <v>1</v>
      </c>
      <c r="K50">
        <v>2</v>
      </c>
      <c r="L50">
        <v>0</v>
      </c>
      <c r="M50" t="s">
        <v>17</v>
      </c>
    </row>
    <row r="51" spans="1:13">
      <c r="A51" t="s">
        <v>2705</v>
      </c>
      <c r="B51" s="2">
        <v>45495</v>
      </c>
      <c r="C51">
        <v>2024</v>
      </c>
      <c r="D51">
        <v>7</v>
      </c>
      <c r="E51" t="s">
        <v>93</v>
      </c>
      <c r="F51" t="s">
        <v>78</v>
      </c>
      <c r="G51" t="s">
        <v>27</v>
      </c>
      <c r="H51" t="s">
        <v>56</v>
      </c>
      <c r="I51">
        <v>1</v>
      </c>
      <c r="J51">
        <v>0</v>
      </c>
      <c r="K51">
        <v>0</v>
      </c>
      <c r="L51">
        <v>0</v>
      </c>
      <c r="M51" t="s">
        <v>17</v>
      </c>
    </row>
    <row r="52" spans="1:13">
      <c r="A52" t="s">
        <v>2706</v>
      </c>
      <c r="B52" s="2">
        <v>45475</v>
      </c>
      <c r="C52">
        <v>2024</v>
      </c>
      <c r="D52">
        <v>7</v>
      </c>
      <c r="E52" t="s">
        <v>93</v>
      </c>
      <c r="F52" t="s">
        <v>67</v>
      </c>
      <c r="G52" t="s">
        <v>64</v>
      </c>
      <c r="H52" t="s">
        <v>2653</v>
      </c>
      <c r="I52">
        <v>1</v>
      </c>
      <c r="J52">
        <v>1</v>
      </c>
      <c r="K52">
        <v>2</v>
      </c>
      <c r="L52">
        <v>2</v>
      </c>
      <c r="M52" t="s">
        <v>10</v>
      </c>
    </row>
    <row r="53" spans="1:13">
      <c r="A53" t="s">
        <v>2707</v>
      </c>
      <c r="B53" s="2">
        <v>45491</v>
      </c>
      <c r="C53">
        <v>2024</v>
      </c>
      <c r="D53">
        <v>7</v>
      </c>
      <c r="E53" t="s">
        <v>93</v>
      </c>
      <c r="F53" t="s">
        <v>47</v>
      </c>
      <c r="G53" t="s">
        <v>94</v>
      </c>
      <c r="H53" t="s">
        <v>2666</v>
      </c>
      <c r="I53">
        <v>1</v>
      </c>
      <c r="J53">
        <v>1</v>
      </c>
      <c r="K53">
        <v>1</v>
      </c>
      <c r="L53">
        <v>0</v>
      </c>
      <c r="M53" t="s">
        <v>17</v>
      </c>
    </row>
    <row r="54" spans="1:13">
      <c r="A54" t="s">
        <v>2708</v>
      </c>
      <c r="B54" s="2">
        <v>45500</v>
      </c>
      <c r="C54">
        <v>2024</v>
      </c>
      <c r="D54">
        <v>7</v>
      </c>
      <c r="E54" t="s">
        <v>93</v>
      </c>
      <c r="F54" t="s">
        <v>31</v>
      </c>
      <c r="G54" t="s">
        <v>74</v>
      </c>
      <c r="H54" t="s">
        <v>2651</v>
      </c>
      <c r="I54">
        <v>1</v>
      </c>
      <c r="J54">
        <v>1</v>
      </c>
      <c r="K54">
        <v>2</v>
      </c>
      <c r="L54">
        <v>0</v>
      </c>
      <c r="M54" t="s">
        <v>17</v>
      </c>
    </row>
    <row r="55" spans="1:13">
      <c r="A55" t="s">
        <v>2709</v>
      </c>
      <c r="B55" s="2">
        <v>45487</v>
      </c>
      <c r="C55">
        <v>2024</v>
      </c>
      <c r="D55">
        <v>7</v>
      </c>
      <c r="E55" t="s">
        <v>93</v>
      </c>
      <c r="F55" t="s">
        <v>38</v>
      </c>
      <c r="G55" t="s">
        <v>3</v>
      </c>
      <c r="H55" t="s">
        <v>56</v>
      </c>
      <c r="I55">
        <v>1</v>
      </c>
      <c r="J55">
        <v>1</v>
      </c>
      <c r="K55">
        <v>1</v>
      </c>
      <c r="L55">
        <v>1</v>
      </c>
      <c r="M55" t="s">
        <v>10</v>
      </c>
    </row>
    <row r="56" spans="1:13">
      <c r="A56" t="s">
        <v>2710</v>
      </c>
      <c r="B56" s="2">
        <v>45476</v>
      </c>
      <c r="C56">
        <v>2024</v>
      </c>
      <c r="D56">
        <v>7</v>
      </c>
      <c r="E56" t="s">
        <v>93</v>
      </c>
      <c r="F56" t="s">
        <v>2</v>
      </c>
      <c r="G56" t="s">
        <v>94</v>
      </c>
      <c r="H56" t="s">
        <v>56</v>
      </c>
      <c r="I56">
        <v>1</v>
      </c>
      <c r="J56">
        <v>1</v>
      </c>
      <c r="K56">
        <v>1</v>
      </c>
      <c r="L56">
        <v>0</v>
      </c>
      <c r="M56" t="s">
        <v>17</v>
      </c>
    </row>
    <row r="57" spans="1:13">
      <c r="A57" t="s">
        <v>2711</v>
      </c>
      <c r="B57" s="2">
        <v>45489</v>
      </c>
      <c r="C57">
        <v>2024</v>
      </c>
      <c r="D57">
        <v>7</v>
      </c>
      <c r="E57" t="s">
        <v>93</v>
      </c>
      <c r="F57" t="s">
        <v>19</v>
      </c>
      <c r="G57" t="s">
        <v>94</v>
      </c>
      <c r="H57" t="s">
        <v>2660</v>
      </c>
      <c r="I57">
        <v>1</v>
      </c>
      <c r="J57">
        <v>1</v>
      </c>
      <c r="K57">
        <v>3</v>
      </c>
      <c r="L57">
        <v>3</v>
      </c>
      <c r="M57" t="s">
        <v>10</v>
      </c>
    </row>
    <row r="58" spans="1:13">
      <c r="A58" t="s">
        <v>2712</v>
      </c>
      <c r="B58" s="2">
        <v>45499</v>
      </c>
      <c r="C58">
        <v>2024</v>
      </c>
      <c r="D58">
        <v>7</v>
      </c>
      <c r="E58" t="s">
        <v>93</v>
      </c>
      <c r="F58" t="s">
        <v>54</v>
      </c>
      <c r="G58" t="s">
        <v>27</v>
      </c>
      <c r="H58" t="s">
        <v>2660</v>
      </c>
      <c r="I58">
        <v>1</v>
      </c>
      <c r="J58">
        <v>1</v>
      </c>
      <c r="K58">
        <v>5</v>
      </c>
      <c r="L58">
        <v>3</v>
      </c>
      <c r="M58" t="s">
        <v>17</v>
      </c>
    </row>
    <row r="59" spans="1:13">
      <c r="A59" t="s">
        <v>2713</v>
      </c>
      <c r="B59" s="2">
        <v>45475</v>
      </c>
      <c r="C59">
        <v>2024</v>
      </c>
      <c r="D59">
        <v>7</v>
      </c>
      <c r="E59" t="s">
        <v>93</v>
      </c>
      <c r="F59" t="s">
        <v>40</v>
      </c>
      <c r="G59" t="s">
        <v>94</v>
      </c>
      <c r="H59" t="s">
        <v>2651</v>
      </c>
      <c r="I59">
        <v>1</v>
      </c>
      <c r="J59">
        <v>0</v>
      </c>
      <c r="K59">
        <v>0</v>
      </c>
      <c r="L59">
        <v>0</v>
      </c>
      <c r="M59" t="s">
        <v>17</v>
      </c>
    </row>
    <row r="60" spans="1:13">
      <c r="A60" t="s">
        <v>2714</v>
      </c>
      <c r="B60" s="2">
        <v>45522</v>
      </c>
      <c r="C60">
        <v>2024</v>
      </c>
      <c r="D60">
        <v>8</v>
      </c>
      <c r="E60" t="s">
        <v>101</v>
      </c>
      <c r="F60" t="s">
        <v>47</v>
      </c>
      <c r="G60" t="s">
        <v>38</v>
      </c>
      <c r="H60" t="s">
        <v>56</v>
      </c>
      <c r="I60">
        <v>1</v>
      </c>
      <c r="J60">
        <v>1</v>
      </c>
      <c r="K60">
        <v>5</v>
      </c>
      <c r="L60">
        <v>1</v>
      </c>
      <c r="M60" t="s">
        <v>17</v>
      </c>
    </row>
    <row r="61" spans="1:13">
      <c r="A61" t="s">
        <v>2715</v>
      </c>
      <c r="B61" s="2">
        <v>45519</v>
      </c>
      <c r="C61">
        <v>2024</v>
      </c>
      <c r="D61">
        <v>8</v>
      </c>
      <c r="E61" t="s">
        <v>101</v>
      </c>
      <c r="F61" t="s">
        <v>78</v>
      </c>
      <c r="G61" t="s">
        <v>27</v>
      </c>
      <c r="H61" t="s">
        <v>2660</v>
      </c>
      <c r="I61">
        <v>1</v>
      </c>
      <c r="J61">
        <v>1</v>
      </c>
      <c r="K61">
        <v>6</v>
      </c>
      <c r="L61">
        <v>4</v>
      </c>
      <c r="M61" t="s">
        <v>17</v>
      </c>
    </row>
    <row r="62" spans="1:13">
      <c r="A62" t="s">
        <v>2716</v>
      </c>
      <c r="B62" s="2">
        <v>45509</v>
      </c>
      <c r="C62">
        <v>2024</v>
      </c>
      <c r="D62">
        <v>8</v>
      </c>
      <c r="E62" t="s">
        <v>101</v>
      </c>
      <c r="F62" t="s">
        <v>38</v>
      </c>
      <c r="G62" t="s">
        <v>20</v>
      </c>
      <c r="H62" t="s">
        <v>2660</v>
      </c>
      <c r="I62">
        <v>1</v>
      </c>
      <c r="J62">
        <v>1</v>
      </c>
      <c r="K62">
        <v>3</v>
      </c>
      <c r="L62">
        <v>1</v>
      </c>
      <c r="M62" t="s">
        <v>17</v>
      </c>
    </row>
    <row r="63" spans="1:13">
      <c r="A63" t="s">
        <v>2717</v>
      </c>
      <c r="B63" s="2">
        <v>45532</v>
      </c>
      <c r="C63">
        <v>2024</v>
      </c>
      <c r="D63">
        <v>8</v>
      </c>
      <c r="E63" t="s">
        <v>101</v>
      </c>
      <c r="F63" t="s">
        <v>19</v>
      </c>
      <c r="G63" t="s">
        <v>20</v>
      </c>
      <c r="H63" t="s">
        <v>2660</v>
      </c>
      <c r="I63">
        <v>1</v>
      </c>
      <c r="J63">
        <v>1</v>
      </c>
      <c r="K63">
        <v>5</v>
      </c>
      <c r="L63">
        <v>0</v>
      </c>
      <c r="M63" t="s">
        <v>17</v>
      </c>
    </row>
    <row r="64" spans="1:13">
      <c r="A64" t="s">
        <v>2718</v>
      </c>
      <c r="B64" s="2">
        <v>45529</v>
      </c>
      <c r="C64">
        <v>2024</v>
      </c>
      <c r="D64">
        <v>8</v>
      </c>
      <c r="E64" t="s">
        <v>101</v>
      </c>
      <c r="F64" t="s">
        <v>2</v>
      </c>
      <c r="G64" t="s">
        <v>61</v>
      </c>
      <c r="H64" t="s">
        <v>2653</v>
      </c>
      <c r="I64">
        <v>1</v>
      </c>
      <c r="J64">
        <v>1</v>
      </c>
      <c r="K64">
        <v>6</v>
      </c>
      <c r="L64">
        <v>4</v>
      </c>
      <c r="M64" t="s">
        <v>17</v>
      </c>
    </row>
    <row r="65" spans="1:13">
      <c r="A65" t="s">
        <v>2719</v>
      </c>
      <c r="B65" s="2">
        <v>45511</v>
      </c>
      <c r="C65">
        <v>2024</v>
      </c>
      <c r="D65">
        <v>8</v>
      </c>
      <c r="E65" t="s">
        <v>101</v>
      </c>
      <c r="F65" t="s">
        <v>31</v>
      </c>
      <c r="G65" t="s">
        <v>69</v>
      </c>
      <c r="H65" t="s">
        <v>2660</v>
      </c>
      <c r="I65">
        <v>1</v>
      </c>
      <c r="J65">
        <v>1</v>
      </c>
      <c r="K65">
        <v>0</v>
      </c>
      <c r="L65">
        <v>0</v>
      </c>
      <c r="M65" t="s">
        <v>10</v>
      </c>
    </row>
    <row r="66" spans="1:13">
      <c r="A66" t="s">
        <v>2720</v>
      </c>
      <c r="B66" s="2">
        <v>45522</v>
      </c>
      <c r="C66">
        <v>2024</v>
      </c>
      <c r="D66">
        <v>8</v>
      </c>
      <c r="E66" t="s">
        <v>101</v>
      </c>
      <c r="F66" t="s">
        <v>40</v>
      </c>
      <c r="G66" t="s">
        <v>64</v>
      </c>
      <c r="H66" t="s">
        <v>56</v>
      </c>
      <c r="I66">
        <v>1</v>
      </c>
      <c r="J66">
        <v>1</v>
      </c>
      <c r="K66">
        <v>1</v>
      </c>
      <c r="L66">
        <v>0</v>
      </c>
      <c r="M66" t="s">
        <v>17</v>
      </c>
    </row>
    <row r="67" spans="1:13">
      <c r="A67" t="s">
        <v>2721</v>
      </c>
      <c r="B67" s="2">
        <v>45507</v>
      </c>
      <c r="C67">
        <v>2024</v>
      </c>
      <c r="D67">
        <v>8</v>
      </c>
      <c r="E67" t="s">
        <v>101</v>
      </c>
      <c r="F67" t="s">
        <v>54</v>
      </c>
      <c r="G67" t="s">
        <v>64</v>
      </c>
      <c r="H67" t="s">
        <v>2666</v>
      </c>
      <c r="I67">
        <v>1</v>
      </c>
      <c r="J67">
        <v>1</v>
      </c>
      <c r="K67">
        <v>3</v>
      </c>
      <c r="L67">
        <v>1</v>
      </c>
      <c r="M67" t="s">
        <v>17</v>
      </c>
    </row>
    <row r="68" spans="1:13">
      <c r="A68" t="s">
        <v>2722</v>
      </c>
      <c r="B68" s="2">
        <v>45536</v>
      </c>
      <c r="C68">
        <v>2024</v>
      </c>
      <c r="D68">
        <v>9</v>
      </c>
      <c r="E68" t="s">
        <v>105</v>
      </c>
      <c r="F68" t="s">
        <v>67</v>
      </c>
      <c r="G68" t="s">
        <v>55</v>
      </c>
      <c r="H68" t="s">
        <v>2657</v>
      </c>
      <c r="I68">
        <v>1</v>
      </c>
      <c r="J68">
        <v>1</v>
      </c>
      <c r="K68">
        <v>8</v>
      </c>
      <c r="L68">
        <v>5</v>
      </c>
      <c r="M68" t="s">
        <v>17</v>
      </c>
    </row>
    <row r="69" spans="1:13">
      <c r="A69" t="s">
        <v>2723</v>
      </c>
      <c r="B69" s="2">
        <v>45557</v>
      </c>
      <c r="C69">
        <v>2024</v>
      </c>
      <c r="D69">
        <v>9</v>
      </c>
      <c r="E69" t="s">
        <v>105</v>
      </c>
      <c r="F69" t="s">
        <v>78</v>
      </c>
      <c r="G69" t="s">
        <v>74</v>
      </c>
      <c r="H69" t="s">
        <v>2663</v>
      </c>
      <c r="I69">
        <v>1</v>
      </c>
      <c r="J69">
        <v>1</v>
      </c>
      <c r="K69">
        <v>6</v>
      </c>
      <c r="L69">
        <v>3</v>
      </c>
      <c r="M69" t="s">
        <v>17</v>
      </c>
    </row>
    <row r="70" spans="1:13">
      <c r="A70" t="s">
        <v>2724</v>
      </c>
      <c r="B70" s="2">
        <v>45536</v>
      </c>
      <c r="C70">
        <v>2024</v>
      </c>
      <c r="D70">
        <v>9</v>
      </c>
      <c r="E70" t="s">
        <v>105</v>
      </c>
      <c r="F70" t="s">
        <v>38</v>
      </c>
      <c r="G70" t="s">
        <v>38</v>
      </c>
      <c r="H70" t="s">
        <v>2653</v>
      </c>
      <c r="I70">
        <v>1</v>
      </c>
      <c r="J70">
        <v>0</v>
      </c>
      <c r="K70">
        <v>0</v>
      </c>
      <c r="L70">
        <v>0</v>
      </c>
      <c r="M70" t="s">
        <v>17</v>
      </c>
    </row>
    <row r="71" spans="1:13">
      <c r="A71" t="s">
        <v>2725</v>
      </c>
      <c r="B71" s="2">
        <v>45559</v>
      </c>
      <c r="C71">
        <v>2024</v>
      </c>
      <c r="D71">
        <v>9</v>
      </c>
      <c r="E71" t="s">
        <v>105</v>
      </c>
      <c r="F71" t="s">
        <v>40</v>
      </c>
      <c r="G71" t="s">
        <v>27</v>
      </c>
      <c r="H71" t="s">
        <v>2653</v>
      </c>
      <c r="I71">
        <v>1</v>
      </c>
      <c r="J71">
        <v>1</v>
      </c>
      <c r="K71">
        <v>8</v>
      </c>
      <c r="L71">
        <v>4</v>
      </c>
      <c r="M71" t="s">
        <v>17</v>
      </c>
    </row>
    <row r="72" spans="1:13">
      <c r="A72" t="s">
        <v>2726</v>
      </c>
      <c r="B72" s="2">
        <v>45546</v>
      </c>
      <c r="C72">
        <v>2024</v>
      </c>
      <c r="D72">
        <v>9</v>
      </c>
      <c r="E72" t="s">
        <v>105</v>
      </c>
      <c r="F72" t="s">
        <v>2</v>
      </c>
      <c r="G72" t="s">
        <v>20</v>
      </c>
      <c r="H72" t="s">
        <v>56</v>
      </c>
      <c r="I72">
        <v>1</v>
      </c>
      <c r="J72">
        <v>0</v>
      </c>
      <c r="K72">
        <v>0</v>
      </c>
      <c r="L72">
        <v>0</v>
      </c>
      <c r="M72" t="s">
        <v>17</v>
      </c>
    </row>
    <row r="73" spans="1:13">
      <c r="A73" t="s">
        <v>2727</v>
      </c>
      <c r="B73" s="2">
        <v>45551</v>
      </c>
      <c r="C73">
        <v>2024</v>
      </c>
      <c r="D73">
        <v>9</v>
      </c>
      <c r="E73" t="s">
        <v>105</v>
      </c>
      <c r="F73" t="s">
        <v>19</v>
      </c>
      <c r="G73" t="s">
        <v>69</v>
      </c>
      <c r="H73" t="s">
        <v>2666</v>
      </c>
      <c r="I73">
        <v>1</v>
      </c>
      <c r="J73">
        <v>1</v>
      </c>
      <c r="K73">
        <v>1</v>
      </c>
      <c r="L73">
        <v>0</v>
      </c>
      <c r="M73" t="s">
        <v>17</v>
      </c>
    </row>
    <row r="74" spans="1:13">
      <c r="A74" t="s">
        <v>2728</v>
      </c>
      <c r="B74" s="2">
        <v>45544</v>
      </c>
      <c r="C74">
        <v>2024</v>
      </c>
      <c r="D74">
        <v>9</v>
      </c>
      <c r="E74" t="s">
        <v>105</v>
      </c>
      <c r="F74" t="s">
        <v>26</v>
      </c>
      <c r="G74" t="s">
        <v>38</v>
      </c>
      <c r="H74" t="s">
        <v>56</v>
      </c>
      <c r="I74">
        <v>1</v>
      </c>
      <c r="J74">
        <v>1</v>
      </c>
      <c r="K74">
        <v>6</v>
      </c>
      <c r="L74">
        <v>1</v>
      </c>
      <c r="M74" t="s">
        <v>17</v>
      </c>
    </row>
    <row r="75" spans="1:13">
      <c r="A75" t="s">
        <v>2729</v>
      </c>
      <c r="B75" s="2">
        <v>45551</v>
      </c>
      <c r="C75">
        <v>2024</v>
      </c>
      <c r="D75">
        <v>9</v>
      </c>
      <c r="E75" t="s">
        <v>105</v>
      </c>
      <c r="F75" t="s">
        <v>54</v>
      </c>
      <c r="G75" t="s">
        <v>32</v>
      </c>
      <c r="H75" t="s">
        <v>2653</v>
      </c>
      <c r="I75">
        <v>1</v>
      </c>
      <c r="J75">
        <v>1</v>
      </c>
      <c r="K75">
        <v>5</v>
      </c>
      <c r="L75">
        <v>4</v>
      </c>
      <c r="M75" t="s">
        <v>17</v>
      </c>
    </row>
    <row r="76" spans="1:13">
      <c r="A76" t="s">
        <v>2730</v>
      </c>
      <c r="B76" s="2">
        <v>45561</v>
      </c>
      <c r="C76">
        <v>2024</v>
      </c>
      <c r="D76">
        <v>9</v>
      </c>
      <c r="E76" t="s">
        <v>105</v>
      </c>
      <c r="F76" t="s">
        <v>31</v>
      </c>
      <c r="G76" t="s">
        <v>3</v>
      </c>
      <c r="H76" t="s">
        <v>56</v>
      </c>
      <c r="I76">
        <v>1</v>
      </c>
      <c r="J76">
        <v>1</v>
      </c>
      <c r="K76">
        <v>7</v>
      </c>
      <c r="L76">
        <v>2</v>
      </c>
      <c r="M76" t="s">
        <v>17</v>
      </c>
    </row>
    <row r="77" spans="1:13">
      <c r="A77" t="s">
        <v>2731</v>
      </c>
      <c r="B77" s="2">
        <v>45562</v>
      </c>
      <c r="C77">
        <v>2024</v>
      </c>
      <c r="D77">
        <v>9</v>
      </c>
      <c r="E77" t="s">
        <v>105</v>
      </c>
      <c r="F77" t="s">
        <v>47</v>
      </c>
      <c r="G77" t="s">
        <v>48</v>
      </c>
      <c r="H77" t="s">
        <v>56</v>
      </c>
      <c r="I77">
        <v>1</v>
      </c>
      <c r="J77">
        <v>0</v>
      </c>
      <c r="K77">
        <v>0</v>
      </c>
      <c r="L77">
        <v>0</v>
      </c>
      <c r="M77" t="s">
        <v>17</v>
      </c>
    </row>
    <row r="78" spans="1:13">
      <c r="A78" t="s">
        <v>2732</v>
      </c>
      <c r="B78" s="2">
        <v>45586</v>
      </c>
      <c r="C78">
        <v>2024</v>
      </c>
      <c r="D78">
        <v>10</v>
      </c>
      <c r="E78" t="s">
        <v>113</v>
      </c>
      <c r="F78" t="s">
        <v>40</v>
      </c>
      <c r="G78" t="s">
        <v>48</v>
      </c>
      <c r="H78" t="s">
        <v>2657</v>
      </c>
      <c r="I78">
        <v>1</v>
      </c>
      <c r="J78">
        <v>1</v>
      </c>
      <c r="K78">
        <v>3</v>
      </c>
      <c r="L78">
        <v>3</v>
      </c>
      <c r="M78" t="s">
        <v>10</v>
      </c>
    </row>
    <row r="79" spans="1:13">
      <c r="A79" t="s">
        <v>2733</v>
      </c>
      <c r="B79" s="2">
        <v>45590</v>
      </c>
      <c r="C79">
        <v>2024</v>
      </c>
      <c r="D79">
        <v>10</v>
      </c>
      <c r="E79" t="s">
        <v>113</v>
      </c>
      <c r="F79" t="s">
        <v>67</v>
      </c>
      <c r="G79" t="s">
        <v>94</v>
      </c>
      <c r="H79" t="s">
        <v>2666</v>
      </c>
      <c r="I79">
        <v>1</v>
      </c>
      <c r="J79">
        <v>1</v>
      </c>
      <c r="K79">
        <v>0</v>
      </c>
      <c r="L79">
        <v>0</v>
      </c>
      <c r="M79" t="s">
        <v>10</v>
      </c>
    </row>
    <row r="80" spans="1:13">
      <c r="A80" t="s">
        <v>2734</v>
      </c>
      <c r="B80" s="2">
        <v>45578</v>
      </c>
      <c r="C80">
        <v>2024</v>
      </c>
      <c r="D80">
        <v>10</v>
      </c>
      <c r="E80" t="s">
        <v>113</v>
      </c>
      <c r="F80" t="s">
        <v>2</v>
      </c>
      <c r="G80" t="s">
        <v>3</v>
      </c>
      <c r="H80" t="s">
        <v>2653</v>
      </c>
      <c r="I80">
        <v>1</v>
      </c>
      <c r="J80">
        <v>1</v>
      </c>
      <c r="K80">
        <v>4</v>
      </c>
      <c r="L80">
        <v>1</v>
      </c>
      <c r="M80" t="s">
        <v>17</v>
      </c>
    </row>
    <row r="81" spans="1:13">
      <c r="A81" t="s">
        <v>2735</v>
      </c>
      <c r="B81" s="2">
        <v>45587</v>
      </c>
      <c r="C81">
        <v>2024</v>
      </c>
      <c r="D81">
        <v>10</v>
      </c>
      <c r="E81" t="s">
        <v>113</v>
      </c>
      <c r="F81" t="s">
        <v>19</v>
      </c>
      <c r="G81" t="s">
        <v>48</v>
      </c>
      <c r="H81" t="s">
        <v>2660</v>
      </c>
      <c r="I81">
        <v>1</v>
      </c>
      <c r="J81">
        <v>1</v>
      </c>
      <c r="K81">
        <v>5</v>
      </c>
      <c r="L81">
        <v>0</v>
      </c>
      <c r="M81" t="s">
        <v>17</v>
      </c>
    </row>
    <row r="82" spans="1:13">
      <c r="A82" t="s">
        <v>2736</v>
      </c>
      <c r="B82" s="2">
        <v>45576</v>
      </c>
      <c r="C82">
        <v>2024</v>
      </c>
      <c r="D82">
        <v>10</v>
      </c>
      <c r="E82" t="s">
        <v>113</v>
      </c>
      <c r="F82" t="s">
        <v>31</v>
      </c>
      <c r="G82" t="s">
        <v>20</v>
      </c>
      <c r="H82" t="s">
        <v>2657</v>
      </c>
      <c r="I82">
        <v>1</v>
      </c>
      <c r="J82">
        <v>1</v>
      </c>
      <c r="K82">
        <v>4</v>
      </c>
      <c r="L82">
        <v>1</v>
      </c>
      <c r="M82" t="s">
        <v>17</v>
      </c>
    </row>
    <row r="83" spans="1:13">
      <c r="A83" t="s">
        <v>2737</v>
      </c>
      <c r="B83" s="2">
        <v>45582</v>
      </c>
      <c r="C83">
        <v>2024</v>
      </c>
      <c r="D83">
        <v>10</v>
      </c>
      <c r="E83" t="s">
        <v>113</v>
      </c>
      <c r="F83" t="s">
        <v>26</v>
      </c>
      <c r="G83" t="s">
        <v>64</v>
      </c>
      <c r="H83" t="s">
        <v>2657</v>
      </c>
      <c r="I83">
        <v>1</v>
      </c>
      <c r="J83">
        <v>1</v>
      </c>
      <c r="K83">
        <v>7</v>
      </c>
      <c r="L83">
        <v>4</v>
      </c>
      <c r="M83" t="s">
        <v>17</v>
      </c>
    </row>
    <row r="84" spans="1:13">
      <c r="A84" t="s">
        <v>2738</v>
      </c>
      <c r="B84" s="2">
        <v>45605</v>
      </c>
      <c r="C84">
        <v>2024</v>
      </c>
      <c r="D84">
        <v>11</v>
      </c>
      <c r="E84" t="s">
        <v>117</v>
      </c>
      <c r="F84" t="s">
        <v>26</v>
      </c>
      <c r="G84" t="s">
        <v>55</v>
      </c>
      <c r="H84" t="s">
        <v>2653</v>
      </c>
      <c r="I84">
        <v>1</v>
      </c>
      <c r="J84">
        <v>1</v>
      </c>
      <c r="K84">
        <v>5</v>
      </c>
      <c r="L84">
        <v>3</v>
      </c>
      <c r="M84" t="s">
        <v>17</v>
      </c>
    </row>
    <row r="85" spans="1:13">
      <c r="A85" t="s">
        <v>2739</v>
      </c>
      <c r="B85" s="2">
        <v>45614</v>
      </c>
      <c r="C85">
        <v>2024</v>
      </c>
      <c r="D85">
        <v>11</v>
      </c>
      <c r="E85" t="s">
        <v>117</v>
      </c>
      <c r="F85" t="s">
        <v>78</v>
      </c>
      <c r="G85" t="s">
        <v>94</v>
      </c>
      <c r="H85" t="s">
        <v>2657</v>
      </c>
      <c r="I85">
        <v>1</v>
      </c>
      <c r="J85">
        <v>1</v>
      </c>
      <c r="K85">
        <v>4</v>
      </c>
      <c r="L85">
        <v>4</v>
      </c>
      <c r="M85" t="s">
        <v>10</v>
      </c>
    </row>
    <row r="86" spans="1:13">
      <c r="A86" t="s">
        <v>2740</v>
      </c>
      <c r="B86" s="2">
        <v>45622</v>
      </c>
      <c r="C86">
        <v>2024</v>
      </c>
      <c r="D86">
        <v>11</v>
      </c>
      <c r="E86" t="s">
        <v>117</v>
      </c>
      <c r="F86" t="s">
        <v>40</v>
      </c>
      <c r="G86" t="s">
        <v>38</v>
      </c>
      <c r="H86" t="s">
        <v>2663</v>
      </c>
      <c r="I86">
        <v>1</v>
      </c>
      <c r="J86">
        <v>1</v>
      </c>
      <c r="K86">
        <v>7</v>
      </c>
      <c r="L86">
        <v>0</v>
      </c>
      <c r="M86" t="s">
        <v>17</v>
      </c>
    </row>
    <row r="87" spans="1:13">
      <c r="A87" t="s">
        <v>2741</v>
      </c>
      <c r="B87" s="2">
        <v>45611</v>
      </c>
      <c r="C87">
        <v>2024</v>
      </c>
      <c r="D87">
        <v>11</v>
      </c>
      <c r="E87" t="s">
        <v>117</v>
      </c>
      <c r="F87" t="s">
        <v>31</v>
      </c>
      <c r="G87" t="s">
        <v>32</v>
      </c>
      <c r="H87" t="s">
        <v>2663</v>
      </c>
      <c r="I87">
        <v>1</v>
      </c>
      <c r="J87">
        <v>1</v>
      </c>
      <c r="K87">
        <v>8</v>
      </c>
      <c r="L87">
        <v>3</v>
      </c>
      <c r="M87" t="s">
        <v>17</v>
      </c>
    </row>
    <row r="88" spans="1:13">
      <c r="A88" t="s">
        <v>2742</v>
      </c>
      <c r="B88" s="2">
        <v>45602</v>
      </c>
      <c r="C88">
        <v>2024</v>
      </c>
      <c r="D88">
        <v>11</v>
      </c>
      <c r="E88" t="s">
        <v>117</v>
      </c>
      <c r="F88" t="s">
        <v>67</v>
      </c>
      <c r="G88" t="s">
        <v>69</v>
      </c>
      <c r="H88" t="s">
        <v>2657</v>
      </c>
      <c r="I88">
        <v>1</v>
      </c>
      <c r="J88">
        <v>0</v>
      </c>
      <c r="K88">
        <v>0</v>
      </c>
      <c r="L88">
        <v>0</v>
      </c>
      <c r="M88" t="s">
        <v>17</v>
      </c>
    </row>
    <row r="89" spans="1:13">
      <c r="A89" t="s">
        <v>2743</v>
      </c>
      <c r="B89" s="2">
        <v>45611</v>
      </c>
      <c r="C89">
        <v>2024</v>
      </c>
      <c r="D89">
        <v>11</v>
      </c>
      <c r="E89" t="s">
        <v>117</v>
      </c>
      <c r="F89" t="s">
        <v>54</v>
      </c>
      <c r="G89" t="s">
        <v>55</v>
      </c>
      <c r="H89" t="s">
        <v>2663</v>
      </c>
      <c r="I89">
        <v>1</v>
      </c>
      <c r="J89">
        <v>1</v>
      </c>
      <c r="K89">
        <v>1</v>
      </c>
      <c r="L89">
        <v>1</v>
      </c>
      <c r="M89" t="s">
        <v>10</v>
      </c>
    </row>
    <row r="90" spans="1:13">
      <c r="A90" t="s">
        <v>2744</v>
      </c>
      <c r="B90" s="2">
        <v>45617</v>
      </c>
      <c r="C90">
        <v>2024</v>
      </c>
      <c r="D90">
        <v>11</v>
      </c>
      <c r="E90" t="s">
        <v>117</v>
      </c>
      <c r="F90" t="s">
        <v>47</v>
      </c>
      <c r="G90" t="s">
        <v>32</v>
      </c>
      <c r="H90" t="s">
        <v>2660</v>
      </c>
      <c r="I90">
        <v>1</v>
      </c>
      <c r="J90">
        <v>0</v>
      </c>
      <c r="K90">
        <v>0</v>
      </c>
      <c r="L90">
        <v>0</v>
      </c>
      <c r="M90" t="s">
        <v>17</v>
      </c>
    </row>
    <row r="91" spans="1:13">
      <c r="A91" t="s">
        <v>2745</v>
      </c>
      <c r="B91" s="2">
        <v>45605</v>
      </c>
      <c r="C91">
        <v>2024</v>
      </c>
      <c r="D91">
        <v>11</v>
      </c>
      <c r="E91" t="s">
        <v>117</v>
      </c>
      <c r="F91" t="s">
        <v>19</v>
      </c>
      <c r="G91" t="s">
        <v>64</v>
      </c>
      <c r="H91" t="s">
        <v>2657</v>
      </c>
      <c r="I91">
        <v>1</v>
      </c>
      <c r="J91">
        <v>1</v>
      </c>
      <c r="K91">
        <v>8</v>
      </c>
      <c r="L91">
        <v>5</v>
      </c>
      <c r="M91" t="s">
        <v>17</v>
      </c>
    </row>
    <row r="92" spans="1:13">
      <c r="A92" t="s">
        <v>2746</v>
      </c>
      <c r="B92" s="2">
        <v>45617</v>
      </c>
      <c r="C92">
        <v>2024</v>
      </c>
      <c r="D92">
        <v>11</v>
      </c>
      <c r="E92" t="s">
        <v>117</v>
      </c>
      <c r="F92" t="s">
        <v>38</v>
      </c>
      <c r="G92" t="s">
        <v>94</v>
      </c>
      <c r="H92" t="s">
        <v>2660</v>
      </c>
      <c r="I92">
        <v>1</v>
      </c>
      <c r="J92">
        <v>1</v>
      </c>
      <c r="K92">
        <v>5</v>
      </c>
      <c r="L92">
        <v>2</v>
      </c>
      <c r="M92" t="s">
        <v>17</v>
      </c>
    </row>
    <row r="93" spans="1:13">
      <c r="A93" t="s">
        <v>2747</v>
      </c>
      <c r="B93" s="2">
        <v>45611</v>
      </c>
      <c r="C93">
        <v>2024</v>
      </c>
      <c r="D93">
        <v>11</v>
      </c>
      <c r="E93" t="s">
        <v>117</v>
      </c>
      <c r="F93" t="s">
        <v>2</v>
      </c>
      <c r="G93" t="s">
        <v>20</v>
      </c>
      <c r="H93" t="s">
        <v>2666</v>
      </c>
      <c r="I93">
        <v>1</v>
      </c>
      <c r="J93">
        <v>0</v>
      </c>
      <c r="K93">
        <v>0</v>
      </c>
      <c r="L93">
        <v>0</v>
      </c>
      <c r="M93" t="s">
        <v>17</v>
      </c>
    </row>
    <row r="94" spans="1:13">
      <c r="A94" t="s">
        <v>2748</v>
      </c>
      <c r="B94" s="2">
        <v>45636</v>
      </c>
      <c r="C94">
        <v>2024</v>
      </c>
      <c r="D94">
        <v>12</v>
      </c>
      <c r="E94" t="s">
        <v>124</v>
      </c>
      <c r="F94" t="s">
        <v>26</v>
      </c>
      <c r="G94" t="s">
        <v>74</v>
      </c>
      <c r="H94" t="s">
        <v>2657</v>
      </c>
      <c r="I94">
        <v>1</v>
      </c>
      <c r="J94">
        <v>1</v>
      </c>
      <c r="K94">
        <v>7</v>
      </c>
      <c r="L94">
        <v>3</v>
      </c>
      <c r="M94" t="s">
        <v>17</v>
      </c>
    </row>
    <row r="95" spans="1:13">
      <c r="A95" t="s">
        <v>2749</v>
      </c>
      <c r="B95" s="2">
        <v>45646</v>
      </c>
      <c r="C95">
        <v>2024</v>
      </c>
      <c r="D95">
        <v>12</v>
      </c>
      <c r="E95" t="s">
        <v>124</v>
      </c>
      <c r="F95" t="s">
        <v>40</v>
      </c>
      <c r="G95" t="s">
        <v>32</v>
      </c>
      <c r="H95" t="s">
        <v>2653</v>
      </c>
      <c r="I95">
        <v>1</v>
      </c>
      <c r="J95">
        <v>1</v>
      </c>
      <c r="K95">
        <v>6</v>
      </c>
      <c r="L95">
        <v>3</v>
      </c>
      <c r="M95" t="s">
        <v>17</v>
      </c>
    </row>
    <row r="96" spans="1:13">
      <c r="A96" t="s">
        <v>2750</v>
      </c>
      <c r="B96" s="2">
        <v>45648</v>
      </c>
      <c r="C96">
        <v>2024</v>
      </c>
      <c r="D96">
        <v>12</v>
      </c>
      <c r="E96" t="s">
        <v>124</v>
      </c>
      <c r="F96" t="s">
        <v>2</v>
      </c>
      <c r="G96" t="s">
        <v>94</v>
      </c>
      <c r="H96" t="s">
        <v>2663</v>
      </c>
      <c r="I96">
        <v>1</v>
      </c>
      <c r="J96">
        <v>1</v>
      </c>
      <c r="K96">
        <v>2</v>
      </c>
      <c r="L96">
        <v>0</v>
      </c>
      <c r="M96" t="s">
        <v>17</v>
      </c>
    </row>
    <row r="97" spans="1:13">
      <c r="A97" t="s">
        <v>2751</v>
      </c>
      <c r="B97" s="2">
        <v>45650</v>
      </c>
      <c r="C97">
        <v>2024</v>
      </c>
      <c r="D97">
        <v>12</v>
      </c>
      <c r="E97" t="s">
        <v>124</v>
      </c>
      <c r="F97" t="s">
        <v>67</v>
      </c>
      <c r="G97" t="s">
        <v>64</v>
      </c>
      <c r="H97" t="s">
        <v>2657</v>
      </c>
      <c r="I97">
        <v>1</v>
      </c>
      <c r="J97">
        <v>1</v>
      </c>
      <c r="K97">
        <v>6</v>
      </c>
      <c r="L97">
        <v>1</v>
      </c>
      <c r="M97" t="s">
        <v>17</v>
      </c>
    </row>
    <row r="98" spans="1:13">
      <c r="A98" t="s">
        <v>2752</v>
      </c>
      <c r="B98" s="2">
        <v>45639</v>
      </c>
      <c r="C98">
        <v>2024</v>
      </c>
      <c r="D98">
        <v>12</v>
      </c>
      <c r="E98" t="s">
        <v>124</v>
      </c>
      <c r="F98" t="s">
        <v>54</v>
      </c>
      <c r="G98" t="s">
        <v>74</v>
      </c>
      <c r="H98" t="s">
        <v>2651</v>
      </c>
      <c r="I98">
        <v>1</v>
      </c>
      <c r="J98">
        <v>1</v>
      </c>
      <c r="K98">
        <v>8</v>
      </c>
      <c r="L98">
        <v>7</v>
      </c>
      <c r="M98" t="s">
        <v>17</v>
      </c>
    </row>
    <row r="99" spans="1:13">
      <c r="A99" t="s">
        <v>2753</v>
      </c>
      <c r="B99" s="2">
        <v>45646</v>
      </c>
      <c r="C99">
        <v>2024</v>
      </c>
      <c r="D99">
        <v>12</v>
      </c>
      <c r="E99" t="s">
        <v>124</v>
      </c>
      <c r="F99" t="s">
        <v>78</v>
      </c>
      <c r="G99" t="s">
        <v>94</v>
      </c>
      <c r="H99" t="s">
        <v>2653</v>
      </c>
      <c r="I99">
        <v>1</v>
      </c>
      <c r="J99">
        <v>1</v>
      </c>
      <c r="K99">
        <v>5</v>
      </c>
      <c r="L99">
        <v>5</v>
      </c>
      <c r="M99" t="s">
        <v>10</v>
      </c>
    </row>
    <row r="100" spans="1:13">
      <c r="A100" t="s">
        <v>2754</v>
      </c>
      <c r="B100" s="2">
        <v>45651</v>
      </c>
      <c r="C100">
        <v>2024</v>
      </c>
      <c r="D100">
        <v>12</v>
      </c>
      <c r="E100" t="s">
        <v>124</v>
      </c>
      <c r="F100" t="s">
        <v>31</v>
      </c>
      <c r="G100" t="s">
        <v>32</v>
      </c>
      <c r="H100" t="s">
        <v>2657</v>
      </c>
      <c r="I100">
        <v>1</v>
      </c>
      <c r="J100">
        <v>0</v>
      </c>
      <c r="K100">
        <v>0</v>
      </c>
      <c r="L100">
        <v>0</v>
      </c>
      <c r="M100" t="s">
        <v>17</v>
      </c>
    </row>
    <row r="101" spans="1:13">
      <c r="A101" t="s">
        <v>2755</v>
      </c>
      <c r="B101" s="2">
        <v>45674</v>
      </c>
      <c r="C101">
        <v>2025</v>
      </c>
      <c r="D101">
        <v>1</v>
      </c>
      <c r="E101" t="s">
        <v>1</v>
      </c>
      <c r="F101" t="s">
        <v>19</v>
      </c>
      <c r="G101" t="s">
        <v>32</v>
      </c>
      <c r="H101" t="s">
        <v>56</v>
      </c>
      <c r="I101">
        <v>1</v>
      </c>
      <c r="J101">
        <v>1</v>
      </c>
      <c r="K101">
        <v>8</v>
      </c>
      <c r="L101">
        <v>3</v>
      </c>
      <c r="M101" t="s">
        <v>17</v>
      </c>
    </row>
    <row r="102" spans="1:13">
      <c r="A102" t="s">
        <v>2756</v>
      </c>
      <c r="B102" s="2">
        <v>45677</v>
      </c>
      <c r="C102">
        <v>2025</v>
      </c>
      <c r="D102">
        <v>1</v>
      </c>
      <c r="E102" t="s">
        <v>1</v>
      </c>
      <c r="F102" t="s">
        <v>31</v>
      </c>
      <c r="G102" t="s">
        <v>55</v>
      </c>
      <c r="H102" t="s">
        <v>2666</v>
      </c>
      <c r="I102">
        <v>1</v>
      </c>
      <c r="J102">
        <v>1</v>
      </c>
      <c r="K102">
        <v>8</v>
      </c>
      <c r="L102">
        <v>6</v>
      </c>
      <c r="M102" t="s">
        <v>17</v>
      </c>
    </row>
    <row r="103" spans="1:13">
      <c r="A103" t="s">
        <v>2757</v>
      </c>
      <c r="B103" s="2">
        <v>45665</v>
      </c>
      <c r="C103">
        <v>2025</v>
      </c>
      <c r="D103">
        <v>1</v>
      </c>
      <c r="E103" t="s">
        <v>1</v>
      </c>
      <c r="F103" t="s">
        <v>26</v>
      </c>
      <c r="G103" t="s">
        <v>61</v>
      </c>
      <c r="H103" t="s">
        <v>2657</v>
      </c>
      <c r="I103">
        <v>1</v>
      </c>
      <c r="J103">
        <v>1</v>
      </c>
      <c r="K103">
        <v>2</v>
      </c>
      <c r="L103">
        <v>1</v>
      </c>
      <c r="M103" t="s">
        <v>17</v>
      </c>
    </row>
    <row r="104" spans="1:13">
      <c r="A104" t="s">
        <v>2758</v>
      </c>
      <c r="B104" s="2">
        <v>45665</v>
      </c>
      <c r="C104">
        <v>2025</v>
      </c>
      <c r="D104">
        <v>1</v>
      </c>
      <c r="E104" t="s">
        <v>1</v>
      </c>
      <c r="F104" t="s">
        <v>2</v>
      </c>
      <c r="G104" t="s">
        <v>32</v>
      </c>
      <c r="H104" t="s">
        <v>56</v>
      </c>
      <c r="I104">
        <v>1</v>
      </c>
      <c r="J104">
        <v>1</v>
      </c>
      <c r="K104">
        <v>5</v>
      </c>
      <c r="L104">
        <v>3</v>
      </c>
      <c r="M104" t="s">
        <v>17</v>
      </c>
    </row>
    <row r="105" spans="1:13">
      <c r="A105" t="s">
        <v>2759</v>
      </c>
      <c r="B105" s="2">
        <v>45672</v>
      </c>
      <c r="C105">
        <v>2025</v>
      </c>
      <c r="D105">
        <v>1</v>
      </c>
      <c r="E105" t="s">
        <v>1</v>
      </c>
      <c r="F105" t="s">
        <v>67</v>
      </c>
      <c r="G105" t="s">
        <v>38</v>
      </c>
      <c r="H105" t="s">
        <v>56</v>
      </c>
      <c r="I105">
        <v>1</v>
      </c>
      <c r="J105">
        <v>1</v>
      </c>
      <c r="K105">
        <v>7</v>
      </c>
      <c r="L105">
        <v>4</v>
      </c>
      <c r="M105" t="s">
        <v>17</v>
      </c>
    </row>
    <row r="106" spans="1:13">
      <c r="A106" t="s">
        <v>2760</v>
      </c>
      <c r="B106" s="2">
        <v>45667</v>
      </c>
      <c r="C106">
        <v>2025</v>
      </c>
      <c r="D106">
        <v>1</v>
      </c>
      <c r="E106" t="s">
        <v>1</v>
      </c>
      <c r="F106" t="s">
        <v>47</v>
      </c>
      <c r="G106" t="s">
        <v>20</v>
      </c>
      <c r="H106" t="s">
        <v>2666</v>
      </c>
      <c r="I106">
        <v>1</v>
      </c>
      <c r="J106">
        <v>1</v>
      </c>
      <c r="K106">
        <v>8</v>
      </c>
      <c r="L106">
        <v>1</v>
      </c>
      <c r="M106" t="s">
        <v>17</v>
      </c>
    </row>
    <row r="107" spans="1:13">
      <c r="A107" t="s">
        <v>2761</v>
      </c>
      <c r="B107" s="2">
        <v>45680</v>
      </c>
      <c r="C107">
        <v>2025</v>
      </c>
      <c r="D107">
        <v>1</v>
      </c>
      <c r="E107" t="s">
        <v>1</v>
      </c>
      <c r="F107" t="s">
        <v>54</v>
      </c>
      <c r="G107" t="s">
        <v>48</v>
      </c>
      <c r="H107" t="s">
        <v>2653</v>
      </c>
      <c r="I107">
        <v>1</v>
      </c>
      <c r="J107">
        <v>1</v>
      </c>
      <c r="K107">
        <v>5</v>
      </c>
      <c r="L107">
        <v>1</v>
      </c>
      <c r="M107" t="s">
        <v>17</v>
      </c>
    </row>
    <row r="108" spans="1:13">
      <c r="A108" t="s">
        <v>2762</v>
      </c>
      <c r="B108" s="2">
        <v>45661</v>
      </c>
      <c r="C108">
        <v>2025</v>
      </c>
      <c r="D108">
        <v>1</v>
      </c>
      <c r="E108" t="s">
        <v>1</v>
      </c>
      <c r="F108" t="s">
        <v>78</v>
      </c>
      <c r="G108" t="s">
        <v>3</v>
      </c>
      <c r="H108" t="s">
        <v>2653</v>
      </c>
      <c r="I108">
        <v>1</v>
      </c>
      <c r="J108">
        <v>1</v>
      </c>
      <c r="K108">
        <v>0</v>
      </c>
      <c r="L108">
        <v>0</v>
      </c>
      <c r="M108" t="s">
        <v>10</v>
      </c>
    </row>
    <row r="109" spans="1:13">
      <c r="A109" t="s">
        <v>2763</v>
      </c>
      <c r="B109" s="2">
        <v>45690</v>
      </c>
      <c r="C109">
        <v>2025</v>
      </c>
      <c r="D109">
        <v>2</v>
      </c>
      <c r="E109" t="s">
        <v>25</v>
      </c>
      <c r="F109" t="s">
        <v>38</v>
      </c>
      <c r="G109" t="s">
        <v>94</v>
      </c>
      <c r="H109" t="s">
        <v>2663</v>
      </c>
      <c r="I109">
        <v>1</v>
      </c>
      <c r="J109">
        <v>0</v>
      </c>
      <c r="K109">
        <v>0</v>
      </c>
      <c r="L109">
        <v>0</v>
      </c>
      <c r="M109" t="s">
        <v>17</v>
      </c>
    </row>
    <row r="110" spans="1:13">
      <c r="A110" t="s">
        <v>2764</v>
      </c>
      <c r="B110" s="2">
        <v>45691</v>
      </c>
      <c r="C110">
        <v>2025</v>
      </c>
      <c r="D110">
        <v>2</v>
      </c>
      <c r="E110" t="s">
        <v>25</v>
      </c>
      <c r="F110" t="s">
        <v>54</v>
      </c>
      <c r="G110" t="s">
        <v>64</v>
      </c>
      <c r="H110" t="s">
        <v>56</v>
      </c>
      <c r="I110">
        <v>1</v>
      </c>
      <c r="J110">
        <v>0</v>
      </c>
      <c r="K110">
        <v>0</v>
      </c>
      <c r="L110">
        <v>0</v>
      </c>
      <c r="M110" t="s">
        <v>17</v>
      </c>
    </row>
    <row r="111" spans="1:13">
      <c r="A111" t="s">
        <v>2765</v>
      </c>
      <c r="B111" s="2">
        <v>45705</v>
      </c>
      <c r="C111">
        <v>2025</v>
      </c>
      <c r="D111">
        <v>2</v>
      </c>
      <c r="E111" t="s">
        <v>25</v>
      </c>
      <c r="F111" t="s">
        <v>19</v>
      </c>
      <c r="G111" t="s">
        <v>48</v>
      </c>
      <c r="H111" t="s">
        <v>2666</v>
      </c>
      <c r="I111">
        <v>1</v>
      </c>
      <c r="J111">
        <v>1</v>
      </c>
      <c r="K111">
        <v>1</v>
      </c>
      <c r="L111">
        <v>0</v>
      </c>
      <c r="M111" t="s">
        <v>17</v>
      </c>
    </row>
    <row r="112" spans="1:13">
      <c r="A112" t="s">
        <v>2766</v>
      </c>
      <c r="B112" s="2">
        <v>45708</v>
      </c>
      <c r="C112">
        <v>2025</v>
      </c>
      <c r="D112">
        <v>2</v>
      </c>
      <c r="E112" t="s">
        <v>25</v>
      </c>
      <c r="F112" t="s">
        <v>47</v>
      </c>
      <c r="G112" t="s">
        <v>32</v>
      </c>
      <c r="H112" t="s">
        <v>56</v>
      </c>
      <c r="I112">
        <v>1</v>
      </c>
      <c r="J112">
        <v>1</v>
      </c>
      <c r="K112">
        <v>8</v>
      </c>
      <c r="L112">
        <v>5</v>
      </c>
      <c r="M112" t="s">
        <v>17</v>
      </c>
    </row>
    <row r="113" spans="1:13">
      <c r="A113" t="s">
        <v>2767</v>
      </c>
      <c r="B113" s="2">
        <v>45711</v>
      </c>
      <c r="C113">
        <v>2025</v>
      </c>
      <c r="D113">
        <v>2</v>
      </c>
      <c r="E113" t="s">
        <v>25</v>
      </c>
      <c r="F113" t="s">
        <v>78</v>
      </c>
      <c r="G113" t="s">
        <v>61</v>
      </c>
      <c r="H113" t="s">
        <v>2653</v>
      </c>
      <c r="I113">
        <v>1</v>
      </c>
      <c r="J113">
        <v>1</v>
      </c>
      <c r="K113">
        <v>6</v>
      </c>
      <c r="L113">
        <v>4</v>
      </c>
      <c r="M113" t="s">
        <v>17</v>
      </c>
    </row>
    <row r="114" spans="1:13">
      <c r="A114" t="s">
        <v>2768</v>
      </c>
      <c r="B114" s="2">
        <v>45695</v>
      </c>
      <c r="C114">
        <v>2025</v>
      </c>
      <c r="D114">
        <v>2</v>
      </c>
      <c r="E114" t="s">
        <v>25</v>
      </c>
      <c r="F114" t="s">
        <v>40</v>
      </c>
      <c r="G114" t="s">
        <v>48</v>
      </c>
      <c r="H114" t="s">
        <v>2666</v>
      </c>
      <c r="I114">
        <v>1</v>
      </c>
      <c r="J114">
        <v>1</v>
      </c>
      <c r="K114">
        <v>6</v>
      </c>
      <c r="L114">
        <v>4</v>
      </c>
      <c r="M114" t="s">
        <v>17</v>
      </c>
    </row>
    <row r="115" spans="1:13">
      <c r="A115" t="s">
        <v>2769</v>
      </c>
      <c r="B115" s="2">
        <v>45740</v>
      </c>
      <c r="C115">
        <v>2025</v>
      </c>
      <c r="D115">
        <v>3</v>
      </c>
      <c r="E115" t="s">
        <v>60</v>
      </c>
      <c r="F115" t="s">
        <v>67</v>
      </c>
      <c r="G115" t="s">
        <v>55</v>
      </c>
      <c r="H115" t="s">
        <v>2666</v>
      </c>
      <c r="I115">
        <v>1</v>
      </c>
      <c r="J115">
        <v>0</v>
      </c>
      <c r="K115">
        <v>0</v>
      </c>
      <c r="L115">
        <v>0</v>
      </c>
      <c r="M115" t="s">
        <v>17</v>
      </c>
    </row>
    <row r="116" spans="1:13">
      <c r="A116" t="s">
        <v>2770</v>
      </c>
      <c r="B116" s="2">
        <v>45730</v>
      </c>
      <c r="C116">
        <v>2025</v>
      </c>
      <c r="D116">
        <v>3</v>
      </c>
      <c r="E116" t="s">
        <v>60</v>
      </c>
      <c r="F116" t="s">
        <v>31</v>
      </c>
      <c r="G116" t="s">
        <v>94</v>
      </c>
      <c r="H116" t="s">
        <v>2657</v>
      </c>
      <c r="I116">
        <v>1</v>
      </c>
      <c r="J116">
        <v>1</v>
      </c>
      <c r="K116">
        <v>0</v>
      </c>
      <c r="L116">
        <v>0</v>
      </c>
      <c r="M116" t="s">
        <v>10</v>
      </c>
    </row>
    <row r="117" spans="1:13">
      <c r="A117" t="s">
        <v>2771</v>
      </c>
      <c r="B117" s="2">
        <v>45733</v>
      </c>
      <c r="C117">
        <v>2025</v>
      </c>
      <c r="D117">
        <v>3</v>
      </c>
      <c r="E117" t="s">
        <v>60</v>
      </c>
      <c r="F117" t="s">
        <v>78</v>
      </c>
      <c r="G117" t="s">
        <v>3</v>
      </c>
      <c r="H117" t="s">
        <v>2657</v>
      </c>
      <c r="I117">
        <v>1</v>
      </c>
      <c r="J117">
        <v>1</v>
      </c>
      <c r="K117">
        <v>8</v>
      </c>
      <c r="L117">
        <v>7</v>
      </c>
      <c r="M117" t="s">
        <v>17</v>
      </c>
    </row>
    <row r="118" spans="1:13">
      <c r="A118" t="s">
        <v>2772</v>
      </c>
      <c r="B118" s="2">
        <v>45724</v>
      </c>
      <c r="C118">
        <v>2025</v>
      </c>
      <c r="D118">
        <v>3</v>
      </c>
      <c r="E118" t="s">
        <v>60</v>
      </c>
      <c r="F118" t="s">
        <v>2</v>
      </c>
      <c r="G118" t="s">
        <v>32</v>
      </c>
      <c r="H118" t="s">
        <v>2651</v>
      </c>
      <c r="I118">
        <v>1</v>
      </c>
      <c r="J118">
        <v>1</v>
      </c>
      <c r="K118">
        <v>8</v>
      </c>
      <c r="L118">
        <v>3</v>
      </c>
      <c r="M118" t="s">
        <v>17</v>
      </c>
    </row>
    <row r="119" spans="1:13">
      <c r="A119" t="s">
        <v>2773</v>
      </c>
      <c r="B119" s="2">
        <v>45733</v>
      </c>
      <c r="C119">
        <v>2025</v>
      </c>
      <c r="D119">
        <v>3</v>
      </c>
      <c r="E119" t="s">
        <v>60</v>
      </c>
      <c r="F119" t="s">
        <v>47</v>
      </c>
      <c r="G119" t="s">
        <v>3</v>
      </c>
      <c r="H119" t="s">
        <v>2660</v>
      </c>
      <c r="I119">
        <v>1</v>
      </c>
      <c r="J119">
        <v>0</v>
      </c>
      <c r="K119">
        <v>0</v>
      </c>
      <c r="L119">
        <v>0</v>
      </c>
      <c r="M119" t="s">
        <v>17</v>
      </c>
    </row>
    <row r="120" spans="1:13">
      <c r="A120" t="s">
        <v>2774</v>
      </c>
      <c r="B120" s="2">
        <v>45722</v>
      </c>
      <c r="C120">
        <v>2025</v>
      </c>
      <c r="D120">
        <v>3</v>
      </c>
      <c r="E120" t="s">
        <v>60</v>
      </c>
      <c r="F120" t="s">
        <v>54</v>
      </c>
      <c r="G120" t="s">
        <v>48</v>
      </c>
      <c r="H120" t="s">
        <v>2663</v>
      </c>
      <c r="I120">
        <v>1</v>
      </c>
      <c r="J120">
        <v>1</v>
      </c>
      <c r="K120">
        <v>1</v>
      </c>
      <c r="L120">
        <v>1</v>
      </c>
      <c r="M120" t="s">
        <v>10</v>
      </c>
    </row>
    <row r="121" spans="1:13">
      <c r="A121" t="s">
        <v>2775</v>
      </c>
      <c r="B121" s="2">
        <v>45769</v>
      </c>
      <c r="C121">
        <v>2025</v>
      </c>
      <c r="D121">
        <v>4</v>
      </c>
      <c r="E121" t="s">
        <v>73</v>
      </c>
      <c r="F121" t="s">
        <v>40</v>
      </c>
      <c r="G121" t="s">
        <v>74</v>
      </c>
      <c r="H121" t="s">
        <v>2653</v>
      </c>
      <c r="I121">
        <v>1</v>
      </c>
      <c r="J121">
        <v>1</v>
      </c>
      <c r="K121">
        <v>4</v>
      </c>
      <c r="L121">
        <v>2</v>
      </c>
      <c r="M121" t="s">
        <v>17</v>
      </c>
    </row>
    <row r="122" spans="1:13">
      <c r="A122" t="s">
        <v>2776</v>
      </c>
      <c r="B122" s="2">
        <v>45755</v>
      </c>
      <c r="C122">
        <v>2025</v>
      </c>
      <c r="D122">
        <v>4</v>
      </c>
      <c r="E122" t="s">
        <v>73</v>
      </c>
      <c r="F122" t="s">
        <v>26</v>
      </c>
      <c r="G122" t="s">
        <v>38</v>
      </c>
      <c r="H122" t="s">
        <v>2666</v>
      </c>
      <c r="I122">
        <v>1</v>
      </c>
      <c r="J122">
        <v>1</v>
      </c>
      <c r="K122">
        <v>1</v>
      </c>
      <c r="L122">
        <v>0</v>
      </c>
      <c r="M122" t="s">
        <v>17</v>
      </c>
    </row>
    <row r="123" spans="1:13">
      <c r="A123" t="s">
        <v>2777</v>
      </c>
      <c r="B123" s="2">
        <v>45754</v>
      </c>
      <c r="C123">
        <v>2025</v>
      </c>
      <c r="D123">
        <v>4</v>
      </c>
      <c r="E123" t="s">
        <v>73</v>
      </c>
      <c r="F123" t="s">
        <v>38</v>
      </c>
      <c r="G123" t="s">
        <v>3</v>
      </c>
      <c r="H123" t="s">
        <v>2666</v>
      </c>
      <c r="I123">
        <v>1</v>
      </c>
      <c r="J123">
        <v>1</v>
      </c>
      <c r="K123">
        <v>6</v>
      </c>
      <c r="L123">
        <v>1</v>
      </c>
      <c r="M123" t="s">
        <v>17</v>
      </c>
    </row>
    <row r="124" spans="1:13">
      <c r="A124" t="s">
        <v>2778</v>
      </c>
      <c r="B124" s="2">
        <v>45775</v>
      </c>
      <c r="C124">
        <v>2025</v>
      </c>
      <c r="D124">
        <v>4</v>
      </c>
      <c r="E124" t="s">
        <v>73</v>
      </c>
      <c r="F124" t="s">
        <v>54</v>
      </c>
      <c r="G124" t="s">
        <v>55</v>
      </c>
      <c r="H124" t="s">
        <v>2660</v>
      </c>
      <c r="I124">
        <v>1</v>
      </c>
      <c r="J124">
        <v>1</v>
      </c>
      <c r="K124">
        <v>8</v>
      </c>
      <c r="L124">
        <v>0</v>
      </c>
      <c r="M124" t="s">
        <v>17</v>
      </c>
    </row>
    <row r="125" spans="1:13">
      <c r="A125" t="s">
        <v>2779</v>
      </c>
      <c r="B125" s="2">
        <v>45762</v>
      </c>
      <c r="C125">
        <v>2025</v>
      </c>
      <c r="D125">
        <v>4</v>
      </c>
      <c r="E125" t="s">
        <v>73</v>
      </c>
      <c r="F125" t="s">
        <v>47</v>
      </c>
      <c r="G125" t="s">
        <v>64</v>
      </c>
      <c r="H125" t="s">
        <v>2663</v>
      </c>
      <c r="I125">
        <v>1</v>
      </c>
      <c r="J125">
        <v>1</v>
      </c>
      <c r="K125">
        <v>5</v>
      </c>
      <c r="L125">
        <v>1</v>
      </c>
      <c r="M125" t="s">
        <v>17</v>
      </c>
    </row>
    <row r="126" spans="1:13">
      <c r="A126" t="s">
        <v>2780</v>
      </c>
      <c r="B126" s="2">
        <v>45764</v>
      </c>
      <c r="C126">
        <v>2025</v>
      </c>
      <c r="D126">
        <v>4</v>
      </c>
      <c r="E126" t="s">
        <v>73</v>
      </c>
      <c r="F126" t="s">
        <v>19</v>
      </c>
      <c r="G126" t="s">
        <v>94</v>
      </c>
      <c r="H126" t="s">
        <v>2653</v>
      </c>
      <c r="I126">
        <v>1</v>
      </c>
      <c r="J126">
        <v>1</v>
      </c>
      <c r="K126">
        <v>1</v>
      </c>
      <c r="L126">
        <v>1</v>
      </c>
      <c r="M126" t="s">
        <v>10</v>
      </c>
    </row>
    <row r="127" spans="1:13">
      <c r="A127" t="s">
        <v>2781</v>
      </c>
      <c r="B127" s="2">
        <v>45782</v>
      </c>
      <c r="C127">
        <v>2025</v>
      </c>
      <c r="D127">
        <v>5</v>
      </c>
      <c r="E127" t="s">
        <v>83</v>
      </c>
      <c r="F127" t="s">
        <v>40</v>
      </c>
      <c r="G127" t="s">
        <v>94</v>
      </c>
      <c r="H127" t="s">
        <v>56</v>
      </c>
      <c r="I127">
        <v>1</v>
      </c>
      <c r="J127">
        <v>1</v>
      </c>
      <c r="K127">
        <v>3</v>
      </c>
      <c r="L127">
        <v>2</v>
      </c>
      <c r="M127" t="s">
        <v>17</v>
      </c>
    </row>
    <row r="128" spans="1:13">
      <c r="A128" t="s">
        <v>2782</v>
      </c>
      <c r="B128" s="2">
        <v>45781</v>
      </c>
      <c r="C128">
        <v>2025</v>
      </c>
      <c r="D128">
        <v>5</v>
      </c>
      <c r="E128" t="s">
        <v>83</v>
      </c>
      <c r="F128" t="s">
        <v>26</v>
      </c>
      <c r="G128" t="s">
        <v>48</v>
      </c>
      <c r="H128" t="s">
        <v>2663</v>
      </c>
      <c r="I128">
        <v>1</v>
      </c>
      <c r="J128">
        <v>1</v>
      </c>
      <c r="K128">
        <v>7</v>
      </c>
      <c r="L128">
        <v>7</v>
      </c>
      <c r="M128" t="s">
        <v>10</v>
      </c>
    </row>
    <row r="129" spans="1:13">
      <c r="A129" t="s">
        <v>2783</v>
      </c>
      <c r="B129" s="2">
        <v>45783</v>
      </c>
      <c r="C129">
        <v>2025</v>
      </c>
      <c r="D129">
        <v>5</v>
      </c>
      <c r="E129" t="s">
        <v>83</v>
      </c>
      <c r="F129" t="s">
        <v>31</v>
      </c>
      <c r="G129" t="s">
        <v>32</v>
      </c>
      <c r="H129" t="s">
        <v>56</v>
      </c>
      <c r="I129">
        <v>1</v>
      </c>
      <c r="J129">
        <v>1</v>
      </c>
      <c r="K129">
        <v>4</v>
      </c>
      <c r="L129">
        <v>2</v>
      </c>
      <c r="M129" t="s">
        <v>17</v>
      </c>
    </row>
    <row r="130" spans="1:13">
      <c r="A130" t="s">
        <v>2784</v>
      </c>
      <c r="B130" s="2">
        <v>45805</v>
      </c>
      <c r="C130">
        <v>2025</v>
      </c>
      <c r="D130">
        <v>5</v>
      </c>
      <c r="E130" t="s">
        <v>83</v>
      </c>
      <c r="F130" t="s">
        <v>54</v>
      </c>
      <c r="G130" t="s">
        <v>64</v>
      </c>
      <c r="H130" t="s">
        <v>2663</v>
      </c>
      <c r="I130">
        <v>1</v>
      </c>
      <c r="J130">
        <v>1</v>
      </c>
      <c r="K130">
        <v>6</v>
      </c>
      <c r="L130">
        <v>5</v>
      </c>
      <c r="M130" t="s">
        <v>17</v>
      </c>
    </row>
    <row r="131" spans="1:13">
      <c r="A131" t="s">
        <v>2785</v>
      </c>
      <c r="B131" s="2">
        <v>45785</v>
      </c>
      <c r="C131">
        <v>2025</v>
      </c>
      <c r="D131">
        <v>5</v>
      </c>
      <c r="E131" t="s">
        <v>83</v>
      </c>
      <c r="F131" t="s">
        <v>78</v>
      </c>
      <c r="G131" t="s">
        <v>38</v>
      </c>
      <c r="H131" t="s">
        <v>2666</v>
      </c>
      <c r="I131">
        <v>1</v>
      </c>
      <c r="J131">
        <v>1</v>
      </c>
      <c r="K131">
        <v>5</v>
      </c>
      <c r="L131">
        <v>4</v>
      </c>
      <c r="M131" t="s">
        <v>17</v>
      </c>
    </row>
    <row r="132" spans="1:13">
      <c r="A132" t="s">
        <v>2786</v>
      </c>
      <c r="B132" s="2">
        <v>45788</v>
      </c>
      <c r="C132">
        <v>2025</v>
      </c>
      <c r="D132">
        <v>5</v>
      </c>
      <c r="E132" t="s">
        <v>83</v>
      </c>
      <c r="F132" t="s">
        <v>67</v>
      </c>
      <c r="G132" t="s">
        <v>38</v>
      </c>
      <c r="H132" t="s">
        <v>56</v>
      </c>
      <c r="I132">
        <v>1</v>
      </c>
      <c r="J132">
        <v>1</v>
      </c>
      <c r="K132">
        <v>0</v>
      </c>
      <c r="L132">
        <v>0</v>
      </c>
      <c r="M132" t="s">
        <v>10</v>
      </c>
    </row>
    <row r="133" spans="1:13">
      <c r="A133" t="s">
        <v>2787</v>
      </c>
      <c r="B133" s="2">
        <v>45783</v>
      </c>
      <c r="C133">
        <v>2025</v>
      </c>
      <c r="D133">
        <v>5</v>
      </c>
      <c r="E133" t="s">
        <v>83</v>
      </c>
      <c r="F133" t="s">
        <v>19</v>
      </c>
      <c r="G133" t="s">
        <v>69</v>
      </c>
      <c r="H133" t="s">
        <v>2663</v>
      </c>
      <c r="I133">
        <v>1</v>
      </c>
      <c r="J133">
        <v>1</v>
      </c>
      <c r="K133">
        <v>6</v>
      </c>
      <c r="L133">
        <v>6</v>
      </c>
      <c r="M133" t="s">
        <v>10</v>
      </c>
    </row>
    <row r="134" spans="1:13">
      <c r="A134" t="s">
        <v>2788</v>
      </c>
      <c r="B134" s="2">
        <v>45824</v>
      </c>
      <c r="C134">
        <v>2025</v>
      </c>
      <c r="D134">
        <v>6</v>
      </c>
      <c r="E134" t="s">
        <v>87</v>
      </c>
      <c r="F134" t="s">
        <v>67</v>
      </c>
      <c r="G134" t="s">
        <v>3</v>
      </c>
      <c r="H134" t="s">
        <v>2651</v>
      </c>
      <c r="I134">
        <v>1</v>
      </c>
      <c r="J134">
        <v>1</v>
      </c>
      <c r="K134">
        <v>0</v>
      </c>
      <c r="L134">
        <v>0</v>
      </c>
      <c r="M134" t="s">
        <v>10</v>
      </c>
    </row>
    <row r="135" spans="1:13">
      <c r="A135" t="s">
        <v>2789</v>
      </c>
      <c r="B135" s="2">
        <v>45813</v>
      </c>
      <c r="C135">
        <v>2025</v>
      </c>
      <c r="D135">
        <v>6</v>
      </c>
      <c r="E135" t="s">
        <v>87</v>
      </c>
      <c r="F135" t="s">
        <v>38</v>
      </c>
      <c r="G135" t="s">
        <v>69</v>
      </c>
      <c r="H135" t="s">
        <v>2653</v>
      </c>
      <c r="I135">
        <v>1</v>
      </c>
      <c r="J135">
        <v>1</v>
      </c>
      <c r="K135">
        <v>3</v>
      </c>
      <c r="L135">
        <v>3</v>
      </c>
      <c r="M135" t="s">
        <v>10</v>
      </c>
    </row>
    <row r="136" spans="1:13">
      <c r="A136" t="s">
        <v>2790</v>
      </c>
      <c r="B136" s="2">
        <v>45813</v>
      </c>
      <c r="C136">
        <v>2025</v>
      </c>
      <c r="D136">
        <v>6</v>
      </c>
      <c r="E136" t="s">
        <v>87</v>
      </c>
      <c r="F136" t="s">
        <v>78</v>
      </c>
      <c r="G136" t="s">
        <v>27</v>
      </c>
      <c r="H136" t="s">
        <v>2651</v>
      </c>
      <c r="I136">
        <v>1</v>
      </c>
      <c r="J136">
        <v>1</v>
      </c>
      <c r="K136">
        <v>8</v>
      </c>
      <c r="L136">
        <v>1</v>
      </c>
      <c r="M136" t="s">
        <v>17</v>
      </c>
    </row>
    <row r="137" spans="1:13">
      <c r="A137" t="s">
        <v>2791</v>
      </c>
      <c r="B137" s="2">
        <v>45833</v>
      </c>
      <c r="C137">
        <v>2025</v>
      </c>
      <c r="D137">
        <v>6</v>
      </c>
      <c r="E137" t="s">
        <v>87</v>
      </c>
      <c r="F137" t="s">
        <v>47</v>
      </c>
      <c r="G137" t="s">
        <v>55</v>
      </c>
      <c r="H137" t="s">
        <v>2657</v>
      </c>
      <c r="I137">
        <v>1</v>
      </c>
      <c r="J137">
        <v>1</v>
      </c>
      <c r="K137">
        <v>8</v>
      </c>
      <c r="L137">
        <v>2</v>
      </c>
      <c r="M137" t="s">
        <v>17</v>
      </c>
    </row>
    <row r="138" spans="1:13">
      <c r="A138" t="s">
        <v>2792</v>
      </c>
      <c r="B138" s="2">
        <v>45833</v>
      </c>
      <c r="C138">
        <v>2025</v>
      </c>
      <c r="D138">
        <v>6</v>
      </c>
      <c r="E138" t="s">
        <v>87</v>
      </c>
      <c r="F138" t="s">
        <v>40</v>
      </c>
      <c r="G138" t="s">
        <v>69</v>
      </c>
      <c r="H138" t="s">
        <v>2657</v>
      </c>
      <c r="I138">
        <v>1</v>
      </c>
      <c r="J138">
        <v>1</v>
      </c>
      <c r="K138">
        <v>6</v>
      </c>
      <c r="L138">
        <v>2</v>
      </c>
      <c r="M138" t="s">
        <v>17</v>
      </c>
    </row>
    <row r="139" spans="1:13">
      <c r="A139" t="s">
        <v>2793</v>
      </c>
      <c r="B139" s="2">
        <v>45832</v>
      </c>
      <c r="C139">
        <v>2025</v>
      </c>
      <c r="D139">
        <v>6</v>
      </c>
      <c r="E139" t="s">
        <v>87</v>
      </c>
      <c r="F139" t="s">
        <v>31</v>
      </c>
      <c r="G139" t="s">
        <v>48</v>
      </c>
      <c r="H139" t="s">
        <v>2666</v>
      </c>
      <c r="I139">
        <v>1</v>
      </c>
      <c r="J139">
        <v>1</v>
      </c>
      <c r="K139">
        <v>1</v>
      </c>
      <c r="L139">
        <v>1</v>
      </c>
      <c r="M139" t="s">
        <v>10</v>
      </c>
    </row>
    <row r="140" spans="1:13">
      <c r="A140" t="s">
        <v>2794</v>
      </c>
      <c r="B140" s="2">
        <v>45823</v>
      </c>
      <c r="C140">
        <v>2025</v>
      </c>
      <c r="D140">
        <v>6</v>
      </c>
      <c r="E140" t="s">
        <v>87</v>
      </c>
      <c r="F140" t="s">
        <v>26</v>
      </c>
      <c r="G140" t="s">
        <v>3</v>
      </c>
      <c r="H140" t="s">
        <v>2660</v>
      </c>
      <c r="I140">
        <v>1</v>
      </c>
      <c r="J140">
        <v>1</v>
      </c>
      <c r="K140">
        <v>3</v>
      </c>
      <c r="L140">
        <v>1</v>
      </c>
      <c r="M140" t="s">
        <v>17</v>
      </c>
    </row>
    <row r="141" spans="1:13">
      <c r="A141" t="s">
        <v>2795</v>
      </c>
      <c r="B141" s="2">
        <v>45816</v>
      </c>
      <c r="C141">
        <v>2025</v>
      </c>
      <c r="D141">
        <v>6</v>
      </c>
      <c r="E141" t="s">
        <v>87</v>
      </c>
      <c r="F141" t="s">
        <v>2</v>
      </c>
      <c r="G141" t="s">
        <v>61</v>
      </c>
      <c r="H141" t="s">
        <v>2651</v>
      </c>
      <c r="I141">
        <v>1</v>
      </c>
      <c r="J141">
        <v>1</v>
      </c>
      <c r="K141">
        <v>1</v>
      </c>
      <c r="L141">
        <v>1</v>
      </c>
      <c r="M141" t="s">
        <v>10</v>
      </c>
    </row>
    <row r="142" spans="1:13">
      <c r="A142" t="s">
        <v>2796</v>
      </c>
      <c r="B142" s="2">
        <v>45829</v>
      </c>
      <c r="C142">
        <v>2025</v>
      </c>
      <c r="D142">
        <v>6</v>
      </c>
      <c r="E142" t="s">
        <v>87</v>
      </c>
      <c r="F142" t="s">
        <v>19</v>
      </c>
      <c r="G142" t="s">
        <v>32</v>
      </c>
      <c r="H142" t="s">
        <v>2657</v>
      </c>
      <c r="I142">
        <v>1</v>
      </c>
      <c r="J142">
        <v>1</v>
      </c>
      <c r="K142">
        <v>8</v>
      </c>
      <c r="L142">
        <v>7</v>
      </c>
      <c r="M142" t="s">
        <v>17</v>
      </c>
    </row>
    <row r="143" spans="1:13">
      <c r="A143" t="s">
        <v>2797</v>
      </c>
      <c r="B143" s="2">
        <v>45852</v>
      </c>
      <c r="C143">
        <v>2025</v>
      </c>
      <c r="D143">
        <v>7</v>
      </c>
      <c r="E143" t="s">
        <v>93</v>
      </c>
      <c r="F143" t="s">
        <v>38</v>
      </c>
      <c r="G143" t="s">
        <v>48</v>
      </c>
      <c r="H143" t="s">
        <v>2653</v>
      </c>
      <c r="I143">
        <v>1</v>
      </c>
      <c r="J143">
        <v>1</v>
      </c>
      <c r="K143">
        <v>4</v>
      </c>
      <c r="L143">
        <v>1</v>
      </c>
      <c r="M143" t="s">
        <v>17</v>
      </c>
    </row>
    <row r="144" spans="1:13">
      <c r="A144" t="s">
        <v>2798</v>
      </c>
      <c r="B144" s="2">
        <v>45855</v>
      </c>
      <c r="C144">
        <v>2025</v>
      </c>
      <c r="D144">
        <v>7</v>
      </c>
      <c r="E144" t="s">
        <v>93</v>
      </c>
      <c r="F144" t="s">
        <v>78</v>
      </c>
      <c r="G144" t="s">
        <v>32</v>
      </c>
      <c r="H144" t="s">
        <v>2660</v>
      </c>
      <c r="I144">
        <v>1</v>
      </c>
      <c r="J144">
        <v>0</v>
      </c>
      <c r="K144">
        <v>0</v>
      </c>
      <c r="L144">
        <v>0</v>
      </c>
      <c r="M144" t="s">
        <v>17</v>
      </c>
    </row>
    <row r="145" spans="1:13">
      <c r="A145" t="s">
        <v>2799</v>
      </c>
      <c r="B145" s="2">
        <v>45858</v>
      </c>
      <c r="C145">
        <v>2025</v>
      </c>
      <c r="D145">
        <v>7</v>
      </c>
      <c r="E145" t="s">
        <v>93</v>
      </c>
      <c r="F145" t="s">
        <v>67</v>
      </c>
      <c r="G145" t="s">
        <v>27</v>
      </c>
      <c r="H145" t="s">
        <v>2660</v>
      </c>
      <c r="I145">
        <v>1</v>
      </c>
      <c r="J145">
        <v>1</v>
      </c>
      <c r="K145">
        <v>2</v>
      </c>
      <c r="L145">
        <v>0</v>
      </c>
      <c r="M145" t="s">
        <v>17</v>
      </c>
    </row>
    <row r="146" spans="1:13">
      <c r="A146" t="s">
        <v>2800</v>
      </c>
      <c r="B146" s="2">
        <v>45843</v>
      </c>
      <c r="C146">
        <v>2025</v>
      </c>
      <c r="D146">
        <v>7</v>
      </c>
      <c r="E146" t="s">
        <v>93</v>
      </c>
      <c r="F146" t="s">
        <v>31</v>
      </c>
      <c r="G146" t="s">
        <v>74</v>
      </c>
      <c r="H146" t="s">
        <v>2666</v>
      </c>
      <c r="I146">
        <v>1</v>
      </c>
      <c r="J146">
        <v>1</v>
      </c>
      <c r="K146">
        <v>5</v>
      </c>
      <c r="L146">
        <v>0</v>
      </c>
      <c r="M146" t="s">
        <v>17</v>
      </c>
    </row>
    <row r="147" spans="1:13">
      <c r="A147" t="s">
        <v>2801</v>
      </c>
      <c r="B147" s="2">
        <v>45848</v>
      </c>
      <c r="C147">
        <v>2025</v>
      </c>
      <c r="D147">
        <v>7</v>
      </c>
      <c r="E147" t="s">
        <v>93</v>
      </c>
      <c r="F147" t="s">
        <v>40</v>
      </c>
      <c r="G147" t="s">
        <v>38</v>
      </c>
      <c r="H147" t="s">
        <v>2660</v>
      </c>
      <c r="I147">
        <v>1</v>
      </c>
      <c r="J147">
        <v>0</v>
      </c>
      <c r="K147">
        <v>0</v>
      </c>
      <c r="L147">
        <v>0</v>
      </c>
      <c r="M147" t="s">
        <v>17</v>
      </c>
    </row>
    <row r="148" spans="1:13">
      <c r="A148" t="s">
        <v>2802</v>
      </c>
      <c r="B148" s="2">
        <v>45841</v>
      </c>
      <c r="C148">
        <v>2025</v>
      </c>
      <c r="D148">
        <v>7</v>
      </c>
      <c r="E148" t="s">
        <v>93</v>
      </c>
      <c r="F148" t="s">
        <v>2</v>
      </c>
      <c r="G148" t="s">
        <v>94</v>
      </c>
      <c r="H148" t="s">
        <v>2663</v>
      </c>
      <c r="I148">
        <v>1</v>
      </c>
      <c r="J148">
        <v>1</v>
      </c>
      <c r="K148">
        <v>7</v>
      </c>
      <c r="L148">
        <v>1</v>
      </c>
      <c r="M148" t="s">
        <v>17</v>
      </c>
    </row>
    <row r="149" spans="1:13">
      <c r="A149" t="s">
        <v>2803</v>
      </c>
      <c r="B149" s="2">
        <v>45840</v>
      </c>
      <c r="C149">
        <v>2025</v>
      </c>
      <c r="D149">
        <v>7</v>
      </c>
      <c r="E149" t="s">
        <v>93</v>
      </c>
      <c r="F149" t="s">
        <v>47</v>
      </c>
      <c r="G149" t="s">
        <v>74</v>
      </c>
      <c r="H149" t="s">
        <v>2653</v>
      </c>
      <c r="I149">
        <v>1</v>
      </c>
      <c r="J149">
        <v>1</v>
      </c>
      <c r="K149">
        <v>0</v>
      </c>
      <c r="L149">
        <v>0</v>
      </c>
      <c r="M149" t="s">
        <v>10</v>
      </c>
    </row>
    <row r="150" spans="1:13">
      <c r="A150" t="s">
        <v>2804</v>
      </c>
      <c r="B150" s="2">
        <v>45845</v>
      </c>
      <c r="C150">
        <v>2025</v>
      </c>
      <c r="D150">
        <v>7</v>
      </c>
      <c r="E150" t="s">
        <v>93</v>
      </c>
      <c r="F150" t="s">
        <v>26</v>
      </c>
      <c r="G150" t="s">
        <v>20</v>
      </c>
      <c r="H150" t="s">
        <v>56</v>
      </c>
      <c r="I150">
        <v>1</v>
      </c>
      <c r="J150">
        <v>1</v>
      </c>
      <c r="K150">
        <v>0</v>
      </c>
      <c r="L150">
        <v>0</v>
      </c>
      <c r="M150" t="s">
        <v>10</v>
      </c>
    </row>
    <row r="151" spans="1:13">
      <c r="A151" t="s">
        <v>2805</v>
      </c>
      <c r="B151" s="2">
        <v>45840</v>
      </c>
      <c r="C151">
        <v>2025</v>
      </c>
      <c r="D151">
        <v>7</v>
      </c>
      <c r="E151" t="s">
        <v>93</v>
      </c>
      <c r="F151" t="s">
        <v>19</v>
      </c>
      <c r="G151" t="s">
        <v>64</v>
      </c>
      <c r="H151" t="s">
        <v>56</v>
      </c>
      <c r="I151">
        <v>1</v>
      </c>
      <c r="J151">
        <v>1</v>
      </c>
      <c r="K151">
        <v>2</v>
      </c>
      <c r="L151">
        <v>1</v>
      </c>
      <c r="M151" t="s">
        <v>17</v>
      </c>
    </row>
    <row r="152" spans="1:13">
      <c r="A152" t="s">
        <v>2806</v>
      </c>
      <c r="B152" s="2">
        <v>45844</v>
      </c>
      <c r="C152">
        <v>2025</v>
      </c>
      <c r="D152">
        <v>7</v>
      </c>
      <c r="E152" t="s">
        <v>93</v>
      </c>
      <c r="F152" t="s">
        <v>54</v>
      </c>
      <c r="G152" t="s">
        <v>55</v>
      </c>
      <c r="H152" t="s">
        <v>2657</v>
      </c>
      <c r="I152">
        <v>1</v>
      </c>
      <c r="J152">
        <v>1</v>
      </c>
      <c r="K152">
        <v>0</v>
      </c>
      <c r="L152">
        <v>0</v>
      </c>
      <c r="M152" t="s">
        <v>10</v>
      </c>
    </row>
    <row r="153" spans="1:13">
      <c r="A153" t="s">
        <v>2807</v>
      </c>
      <c r="B153" s="2">
        <v>45888</v>
      </c>
      <c r="C153">
        <v>2025</v>
      </c>
      <c r="D153">
        <v>8</v>
      </c>
      <c r="E153" t="s">
        <v>101</v>
      </c>
      <c r="F153" t="s">
        <v>31</v>
      </c>
      <c r="G153" t="s">
        <v>61</v>
      </c>
      <c r="H153" t="s">
        <v>2663</v>
      </c>
      <c r="I153">
        <v>1</v>
      </c>
      <c r="J153">
        <v>1</v>
      </c>
      <c r="K153">
        <v>6</v>
      </c>
      <c r="L153">
        <v>3</v>
      </c>
      <c r="M153" t="s">
        <v>17</v>
      </c>
    </row>
    <row r="154" spans="1:13">
      <c r="A154" t="s">
        <v>2808</v>
      </c>
      <c r="B154" s="2">
        <v>45873</v>
      </c>
      <c r="C154">
        <v>2025</v>
      </c>
      <c r="D154">
        <v>8</v>
      </c>
      <c r="E154" t="s">
        <v>101</v>
      </c>
      <c r="F154" t="s">
        <v>67</v>
      </c>
      <c r="G154" t="s">
        <v>55</v>
      </c>
      <c r="H154" t="s">
        <v>2657</v>
      </c>
      <c r="I154">
        <v>1</v>
      </c>
      <c r="J154">
        <v>1</v>
      </c>
      <c r="K154">
        <v>8</v>
      </c>
      <c r="L154">
        <v>5</v>
      </c>
      <c r="M154" t="s">
        <v>17</v>
      </c>
    </row>
    <row r="155" spans="1:13">
      <c r="A155" t="s">
        <v>2809</v>
      </c>
      <c r="B155" s="2">
        <v>45885</v>
      </c>
      <c r="C155">
        <v>2025</v>
      </c>
      <c r="D155">
        <v>8</v>
      </c>
      <c r="E155" t="s">
        <v>101</v>
      </c>
      <c r="F155" t="s">
        <v>2</v>
      </c>
      <c r="G155" t="s">
        <v>94</v>
      </c>
      <c r="H155" t="s">
        <v>2653</v>
      </c>
      <c r="I155">
        <v>1</v>
      </c>
      <c r="J155">
        <v>1</v>
      </c>
      <c r="K155">
        <v>0</v>
      </c>
      <c r="L155">
        <v>0</v>
      </c>
      <c r="M155" t="s">
        <v>10</v>
      </c>
    </row>
    <row r="156" spans="1:13">
      <c r="A156" t="s">
        <v>2810</v>
      </c>
      <c r="B156" s="2">
        <v>45883</v>
      </c>
      <c r="C156">
        <v>2025</v>
      </c>
      <c r="D156">
        <v>8</v>
      </c>
      <c r="E156" t="s">
        <v>101</v>
      </c>
      <c r="F156" t="s">
        <v>47</v>
      </c>
      <c r="G156" t="s">
        <v>48</v>
      </c>
      <c r="H156" t="s">
        <v>56</v>
      </c>
      <c r="I156">
        <v>1</v>
      </c>
      <c r="J156">
        <v>0</v>
      </c>
      <c r="K156">
        <v>0</v>
      </c>
      <c r="L156">
        <v>0</v>
      </c>
      <c r="M156" t="s">
        <v>17</v>
      </c>
    </row>
    <row r="157" spans="1:13">
      <c r="A157" t="s">
        <v>2811</v>
      </c>
      <c r="B157" s="2">
        <v>45878</v>
      </c>
      <c r="C157">
        <v>2025</v>
      </c>
      <c r="D157">
        <v>8</v>
      </c>
      <c r="E157" t="s">
        <v>101</v>
      </c>
      <c r="F157" t="s">
        <v>38</v>
      </c>
      <c r="G157" t="s">
        <v>69</v>
      </c>
      <c r="H157" t="s">
        <v>2666</v>
      </c>
      <c r="I157">
        <v>1</v>
      </c>
      <c r="J157">
        <v>1</v>
      </c>
      <c r="K157">
        <v>3</v>
      </c>
      <c r="L157">
        <v>1</v>
      </c>
      <c r="M157" t="s">
        <v>17</v>
      </c>
    </row>
    <row r="158" spans="1:13">
      <c r="A158" t="s">
        <v>2812</v>
      </c>
      <c r="B158" s="2">
        <v>45881</v>
      </c>
      <c r="C158">
        <v>2025</v>
      </c>
      <c r="D158">
        <v>8</v>
      </c>
      <c r="E158" t="s">
        <v>101</v>
      </c>
      <c r="F158" t="s">
        <v>54</v>
      </c>
      <c r="G158" t="s">
        <v>69</v>
      </c>
      <c r="H158" t="s">
        <v>2660</v>
      </c>
      <c r="I158">
        <v>1</v>
      </c>
      <c r="J158">
        <v>0</v>
      </c>
      <c r="K158">
        <v>0</v>
      </c>
      <c r="L158">
        <v>0</v>
      </c>
      <c r="M158" t="s">
        <v>17</v>
      </c>
    </row>
    <row r="159" spans="1:13">
      <c r="A159" t="s">
        <v>2813</v>
      </c>
      <c r="B159" s="2">
        <v>45906</v>
      </c>
      <c r="C159">
        <v>2025</v>
      </c>
      <c r="D159">
        <v>9</v>
      </c>
      <c r="E159" t="s">
        <v>105</v>
      </c>
      <c r="F159" t="s">
        <v>26</v>
      </c>
      <c r="G159" t="s">
        <v>20</v>
      </c>
      <c r="H159" t="s">
        <v>2660</v>
      </c>
      <c r="I159">
        <v>1</v>
      </c>
      <c r="J159">
        <v>1</v>
      </c>
      <c r="K159">
        <v>8</v>
      </c>
      <c r="L159">
        <v>0</v>
      </c>
      <c r="M159" t="s">
        <v>17</v>
      </c>
    </row>
    <row r="160" spans="1:13">
      <c r="A160" t="s">
        <v>2814</v>
      </c>
      <c r="B160" s="2">
        <v>45910</v>
      </c>
      <c r="C160">
        <v>2025</v>
      </c>
      <c r="D160">
        <v>9</v>
      </c>
      <c r="E160" t="s">
        <v>105</v>
      </c>
      <c r="F160" t="s">
        <v>40</v>
      </c>
      <c r="G160" t="s">
        <v>64</v>
      </c>
      <c r="H160" t="s">
        <v>56</v>
      </c>
      <c r="I160">
        <v>1</v>
      </c>
      <c r="J160">
        <v>1</v>
      </c>
      <c r="K160">
        <v>5</v>
      </c>
      <c r="L160">
        <v>0</v>
      </c>
      <c r="M160" t="s">
        <v>17</v>
      </c>
    </row>
    <row r="161" spans="1:13">
      <c r="A161" t="s">
        <v>2815</v>
      </c>
      <c r="B161" s="2">
        <v>45906</v>
      </c>
      <c r="C161">
        <v>2025</v>
      </c>
      <c r="D161">
        <v>9</v>
      </c>
      <c r="E161" t="s">
        <v>105</v>
      </c>
      <c r="F161" t="s">
        <v>31</v>
      </c>
      <c r="G161" t="s">
        <v>27</v>
      </c>
      <c r="H161" t="s">
        <v>56</v>
      </c>
      <c r="I161">
        <v>1</v>
      </c>
      <c r="J161">
        <v>1</v>
      </c>
      <c r="K161">
        <v>7</v>
      </c>
      <c r="L161">
        <v>2</v>
      </c>
      <c r="M161" t="s">
        <v>17</v>
      </c>
    </row>
    <row r="162" spans="1:13">
      <c r="A162" t="s">
        <v>2816</v>
      </c>
      <c r="B162" s="2">
        <v>45906</v>
      </c>
      <c r="C162">
        <v>2025</v>
      </c>
      <c r="D162">
        <v>9</v>
      </c>
      <c r="E162" t="s">
        <v>105</v>
      </c>
      <c r="F162" t="s">
        <v>67</v>
      </c>
      <c r="G162" t="s">
        <v>20</v>
      </c>
      <c r="H162" t="s">
        <v>56</v>
      </c>
      <c r="I162">
        <v>1</v>
      </c>
      <c r="J162">
        <v>0</v>
      </c>
      <c r="K162">
        <v>0</v>
      </c>
      <c r="L162">
        <v>0</v>
      </c>
      <c r="M162" t="s">
        <v>17</v>
      </c>
    </row>
    <row r="163" spans="1:13">
      <c r="A163" t="s">
        <v>2817</v>
      </c>
      <c r="B163" s="2">
        <v>45913</v>
      </c>
      <c r="C163">
        <v>2025</v>
      </c>
      <c r="D163">
        <v>9</v>
      </c>
      <c r="E163" t="s">
        <v>105</v>
      </c>
      <c r="F163" t="s">
        <v>38</v>
      </c>
      <c r="G163" t="s">
        <v>64</v>
      </c>
      <c r="H163" t="s">
        <v>2663</v>
      </c>
      <c r="I163">
        <v>1</v>
      </c>
      <c r="J163">
        <v>0</v>
      </c>
      <c r="K163">
        <v>0</v>
      </c>
      <c r="L163">
        <v>0</v>
      </c>
      <c r="M163" t="s">
        <v>17</v>
      </c>
    </row>
    <row r="164" spans="1:13">
      <c r="A164" t="s">
        <v>2818</v>
      </c>
      <c r="B164" s="2">
        <v>45901</v>
      </c>
      <c r="C164">
        <v>2025</v>
      </c>
      <c r="D164">
        <v>9</v>
      </c>
      <c r="E164" t="s">
        <v>105</v>
      </c>
      <c r="F164" t="s">
        <v>54</v>
      </c>
      <c r="G164" t="s">
        <v>3</v>
      </c>
      <c r="H164" t="s">
        <v>56</v>
      </c>
      <c r="I164">
        <v>1</v>
      </c>
      <c r="J164">
        <v>1</v>
      </c>
      <c r="K164">
        <v>3</v>
      </c>
      <c r="L164">
        <v>2</v>
      </c>
      <c r="M164" t="s">
        <v>17</v>
      </c>
    </row>
    <row r="165" spans="1:13">
      <c r="A165" t="s">
        <v>2819</v>
      </c>
      <c r="B165" s="2">
        <v>45932</v>
      </c>
      <c r="C165">
        <v>2025</v>
      </c>
      <c r="D165">
        <v>10</v>
      </c>
      <c r="E165" t="s">
        <v>113</v>
      </c>
      <c r="F165" t="s">
        <v>2</v>
      </c>
      <c r="G165" t="s">
        <v>32</v>
      </c>
      <c r="H165" t="s">
        <v>56</v>
      </c>
      <c r="I165">
        <v>1</v>
      </c>
      <c r="J165">
        <v>1</v>
      </c>
      <c r="K165">
        <v>1</v>
      </c>
      <c r="L165">
        <v>0</v>
      </c>
      <c r="M165" t="s">
        <v>17</v>
      </c>
    </row>
    <row r="166" spans="1:13">
      <c r="A166" t="s">
        <v>2820</v>
      </c>
      <c r="B166" s="2">
        <v>45939</v>
      </c>
      <c r="C166">
        <v>2025</v>
      </c>
      <c r="D166">
        <v>10</v>
      </c>
      <c r="E166" t="s">
        <v>113</v>
      </c>
      <c r="F166" t="s">
        <v>78</v>
      </c>
      <c r="G166" t="s">
        <v>55</v>
      </c>
      <c r="H166" t="s">
        <v>2666</v>
      </c>
      <c r="I166">
        <v>1</v>
      </c>
      <c r="J166">
        <v>1</v>
      </c>
      <c r="K166">
        <v>8</v>
      </c>
      <c r="L166">
        <v>1</v>
      </c>
      <c r="M166" t="s">
        <v>17</v>
      </c>
    </row>
    <row r="167" spans="1:13">
      <c r="A167" t="s">
        <v>2821</v>
      </c>
      <c r="B167" s="2">
        <v>45943</v>
      </c>
      <c r="C167">
        <v>2025</v>
      </c>
      <c r="D167">
        <v>10</v>
      </c>
      <c r="E167" t="s">
        <v>113</v>
      </c>
      <c r="F167" t="s">
        <v>40</v>
      </c>
      <c r="G167" t="s">
        <v>38</v>
      </c>
      <c r="H167" t="s">
        <v>2663</v>
      </c>
      <c r="I167">
        <v>1</v>
      </c>
      <c r="J167">
        <v>1</v>
      </c>
      <c r="K167">
        <v>8</v>
      </c>
      <c r="L167">
        <v>2</v>
      </c>
      <c r="M167" t="s">
        <v>17</v>
      </c>
    </row>
    <row r="168" spans="1:13">
      <c r="A168" t="s">
        <v>2822</v>
      </c>
      <c r="B168" s="2">
        <v>45952</v>
      </c>
      <c r="C168">
        <v>2025</v>
      </c>
      <c r="D168">
        <v>10</v>
      </c>
      <c r="E168" t="s">
        <v>113</v>
      </c>
      <c r="F168" t="s">
        <v>38</v>
      </c>
      <c r="G168" t="s">
        <v>61</v>
      </c>
      <c r="H168" t="s">
        <v>2663</v>
      </c>
      <c r="I168">
        <v>1</v>
      </c>
      <c r="J168">
        <v>1</v>
      </c>
      <c r="K168">
        <v>6</v>
      </c>
      <c r="L168">
        <v>4</v>
      </c>
      <c r="M168" t="s">
        <v>17</v>
      </c>
    </row>
    <row r="169" spans="1:13">
      <c r="A169" t="s">
        <v>2823</v>
      </c>
      <c r="B169" s="2">
        <v>45958</v>
      </c>
      <c r="C169">
        <v>2025</v>
      </c>
      <c r="D169">
        <v>10</v>
      </c>
      <c r="E169" t="s">
        <v>113</v>
      </c>
      <c r="F169" t="s">
        <v>19</v>
      </c>
      <c r="G169" t="s">
        <v>20</v>
      </c>
      <c r="H169" t="s">
        <v>2651</v>
      </c>
      <c r="I169">
        <v>1</v>
      </c>
      <c r="J169">
        <v>1</v>
      </c>
      <c r="K169">
        <v>3</v>
      </c>
      <c r="L169">
        <v>0</v>
      </c>
      <c r="M169" t="s">
        <v>17</v>
      </c>
    </row>
    <row r="170" spans="1:13">
      <c r="A170" t="s">
        <v>2824</v>
      </c>
      <c r="B170" s="2">
        <v>45958</v>
      </c>
      <c r="C170">
        <v>2025</v>
      </c>
      <c r="D170">
        <v>10</v>
      </c>
      <c r="E170" t="s">
        <v>113</v>
      </c>
      <c r="F170" t="s">
        <v>47</v>
      </c>
      <c r="G170" t="s">
        <v>94</v>
      </c>
      <c r="H170" t="s">
        <v>2657</v>
      </c>
      <c r="I170">
        <v>1</v>
      </c>
      <c r="J170">
        <v>0</v>
      </c>
      <c r="K170">
        <v>0</v>
      </c>
      <c r="L170">
        <v>0</v>
      </c>
      <c r="M170" t="s">
        <v>17</v>
      </c>
    </row>
    <row r="171" spans="1:13">
      <c r="A171" t="s">
        <v>2825</v>
      </c>
      <c r="B171" s="2">
        <v>45937</v>
      </c>
      <c r="C171">
        <v>2025</v>
      </c>
      <c r="D171">
        <v>10</v>
      </c>
      <c r="E171" t="s">
        <v>113</v>
      </c>
      <c r="F171" t="s">
        <v>26</v>
      </c>
      <c r="G171" t="s">
        <v>64</v>
      </c>
      <c r="H171" t="s">
        <v>2653</v>
      </c>
      <c r="I171">
        <v>1</v>
      </c>
      <c r="J171">
        <v>1</v>
      </c>
      <c r="K171">
        <v>6</v>
      </c>
      <c r="L171">
        <v>5</v>
      </c>
      <c r="M171" t="s">
        <v>17</v>
      </c>
    </row>
    <row r="172" spans="1:13">
      <c r="A172" t="s">
        <v>2826</v>
      </c>
      <c r="B172" s="2">
        <v>45950</v>
      </c>
      <c r="C172">
        <v>2025</v>
      </c>
      <c r="D172">
        <v>10</v>
      </c>
      <c r="E172" t="s">
        <v>113</v>
      </c>
      <c r="F172" t="s">
        <v>31</v>
      </c>
      <c r="G172" t="s">
        <v>27</v>
      </c>
      <c r="H172" t="s">
        <v>2666</v>
      </c>
      <c r="I172">
        <v>1</v>
      </c>
      <c r="J172">
        <v>1</v>
      </c>
      <c r="K172">
        <v>0</v>
      </c>
      <c r="L172">
        <v>0</v>
      </c>
      <c r="M172" t="s">
        <v>10</v>
      </c>
    </row>
    <row r="173" spans="1:13">
      <c r="A173" t="s">
        <v>2827</v>
      </c>
      <c r="B173" s="2">
        <v>45944</v>
      </c>
      <c r="C173">
        <v>2025</v>
      </c>
      <c r="D173">
        <v>10</v>
      </c>
      <c r="E173" t="s">
        <v>113</v>
      </c>
      <c r="F173" t="s">
        <v>54</v>
      </c>
      <c r="G173" t="s">
        <v>69</v>
      </c>
      <c r="H173" t="s">
        <v>2660</v>
      </c>
      <c r="I173">
        <v>1</v>
      </c>
      <c r="J173">
        <v>1</v>
      </c>
      <c r="K173">
        <v>1</v>
      </c>
      <c r="L173">
        <v>0</v>
      </c>
      <c r="M173" t="s">
        <v>17</v>
      </c>
    </row>
    <row r="174" spans="1:13">
      <c r="A174" t="s">
        <v>2828</v>
      </c>
      <c r="B174" s="2">
        <v>45965</v>
      </c>
      <c r="C174">
        <v>2025</v>
      </c>
      <c r="D174">
        <v>11</v>
      </c>
      <c r="E174" t="s">
        <v>117</v>
      </c>
      <c r="F174" t="s">
        <v>78</v>
      </c>
      <c r="G174" t="s">
        <v>38</v>
      </c>
      <c r="H174" t="s">
        <v>2657</v>
      </c>
      <c r="I174">
        <v>1</v>
      </c>
      <c r="J174">
        <v>1</v>
      </c>
      <c r="K174">
        <v>3</v>
      </c>
      <c r="L174">
        <v>0</v>
      </c>
      <c r="M174" t="s">
        <v>17</v>
      </c>
    </row>
    <row r="175" spans="1:13">
      <c r="A175" t="s">
        <v>2829</v>
      </c>
      <c r="B175" s="2">
        <v>45989</v>
      </c>
      <c r="C175">
        <v>2025</v>
      </c>
      <c r="D175">
        <v>11</v>
      </c>
      <c r="E175" t="s">
        <v>117</v>
      </c>
      <c r="F175" t="s">
        <v>47</v>
      </c>
      <c r="G175" t="s">
        <v>64</v>
      </c>
      <c r="H175" t="s">
        <v>2663</v>
      </c>
      <c r="I175">
        <v>1</v>
      </c>
      <c r="J175">
        <v>1</v>
      </c>
      <c r="K175">
        <v>6</v>
      </c>
      <c r="L175">
        <v>4</v>
      </c>
      <c r="M175" t="s">
        <v>17</v>
      </c>
    </row>
    <row r="176" spans="1:13">
      <c r="A176" t="s">
        <v>2830</v>
      </c>
      <c r="B176" s="2">
        <v>45968</v>
      </c>
      <c r="C176">
        <v>2025</v>
      </c>
      <c r="D176">
        <v>11</v>
      </c>
      <c r="E176" t="s">
        <v>117</v>
      </c>
      <c r="F176" t="s">
        <v>19</v>
      </c>
      <c r="G176" t="s">
        <v>48</v>
      </c>
      <c r="H176" t="s">
        <v>56</v>
      </c>
      <c r="I176">
        <v>1</v>
      </c>
      <c r="J176">
        <v>1</v>
      </c>
      <c r="K176">
        <v>3</v>
      </c>
      <c r="L176">
        <v>3</v>
      </c>
      <c r="M176" t="s">
        <v>10</v>
      </c>
    </row>
    <row r="177" spans="1:13">
      <c r="A177" t="s">
        <v>2831</v>
      </c>
      <c r="B177" s="2">
        <v>45974</v>
      </c>
      <c r="C177">
        <v>2025</v>
      </c>
      <c r="D177">
        <v>11</v>
      </c>
      <c r="E177" t="s">
        <v>117</v>
      </c>
      <c r="F177" t="s">
        <v>40</v>
      </c>
      <c r="G177" t="s">
        <v>3</v>
      </c>
      <c r="H177" t="s">
        <v>2651</v>
      </c>
      <c r="I177">
        <v>1</v>
      </c>
      <c r="J177">
        <v>1</v>
      </c>
      <c r="K177">
        <v>7</v>
      </c>
      <c r="L177">
        <v>4</v>
      </c>
      <c r="M177" t="s">
        <v>17</v>
      </c>
    </row>
    <row r="178" spans="1:13">
      <c r="A178" t="s">
        <v>2832</v>
      </c>
      <c r="B178" s="2">
        <v>45970</v>
      </c>
      <c r="C178">
        <v>2025</v>
      </c>
      <c r="D178">
        <v>11</v>
      </c>
      <c r="E178" t="s">
        <v>117</v>
      </c>
      <c r="F178" t="s">
        <v>31</v>
      </c>
      <c r="G178" t="s">
        <v>48</v>
      </c>
      <c r="H178" t="s">
        <v>2651</v>
      </c>
      <c r="I178">
        <v>1</v>
      </c>
      <c r="J178">
        <v>0</v>
      </c>
      <c r="K178">
        <v>0</v>
      </c>
      <c r="L178">
        <v>0</v>
      </c>
      <c r="M178" t="s">
        <v>17</v>
      </c>
    </row>
    <row r="179" spans="1:13">
      <c r="A179" t="s">
        <v>2833</v>
      </c>
      <c r="B179" s="2">
        <v>45975</v>
      </c>
      <c r="C179">
        <v>2025</v>
      </c>
      <c r="D179">
        <v>11</v>
      </c>
      <c r="E179" t="s">
        <v>117</v>
      </c>
      <c r="F179" t="s">
        <v>26</v>
      </c>
      <c r="G179" t="s">
        <v>48</v>
      </c>
      <c r="H179" t="s">
        <v>2666</v>
      </c>
      <c r="I179">
        <v>1</v>
      </c>
      <c r="J179">
        <v>1</v>
      </c>
      <c r="K179">
        <v>0</v>
      </c>
      <c r="L179">
        <v>0</v>
      </c>
      <c r="M179" t="s">
        <v>10</v>
      </c>
    </row>
    <row r="180" spans="1:13">
      <c r="A180" t="s">
        <v>2834</v>
      </c>
      <c r="B180" s="2">
        <v>45986</v>
      </c>
      <c r="C180">
        <v>2025</v>
      </c>
      <c r="D180">
        <v>11</v>
      </c>
      <c r="E180" t="s">
        <v>117</v>
      </c>
      <c r="F180" t="s">
        <v>38</v>
      </c>
      <c r="G180" t="s">
        <v>20</v>
      </c>
      <c r="H180" t="s">
        <v>2660</v>
      </c>
      <c r="I180">
        <v>1</v>
      </c>
      <c r="J180">
        <v>1</v>
      </c>
      <c r="K180">
        <v>4</v>
      </c>
      <c r="L180">
        <v>2</v>
      </c>
      <c r="M180" t="s">
        <v>17</v>
      </c>
    </row>
    <row r="181" spans="1:13">
      <c r="A181" t="s">
        <v>2835</v>
      </c>
      <c r="B181" s="2">
        <v>46011</v>
      </c>
      <c r="C181">
        <v>2025</v>
      </c>
      <c r="D181">
        <v>12</v>
      </c>
      <c r="E181" t="s">
        <v>124</v>
      </c>
      <c r="F181" t="s">
        <v>38</v>
      </c>
      <c r="G181" t="s">
        <v>61</v>
      </c>
      <c r="H181" t="s">
        <v>56</v>
      </c>
      <c r="I181">
        <v>1</v>
      </c>
      <c r="J181">
        <v>1</v>
      </c>
      <c r="K181">
        <v>3</v>
      </c>
      <c r="L181">
        <v>0</v>
      </c>
      <c r="M181" t="s">
        <v>17</v>
      </c>
    </row>
    <row r="182" spans="1:13">
      <c r="A182" t="s">
        <v>2836</v>
      </c>
      <c r="B182" s="2">
        <v>45995</v>
      </c>
      <c r="C182">
        <v>2025</v>
      </c>
      <c r="D182">
        <v>12</v>
      </c>
      <c r="E182" t="s">
        <v>124</v>
      </c>
      <c r="F182" t="s">
        <v>19</v>
      </c>
      <c r="G182" t="s">
        <v>20</v>
      </c>
      <c r="H182" t="s">
        <v>2651</v>
      </c>
      <c r="I182">
        <v>1</v>
      </c>
      <c r="J182">
        <v>0</v>
      </c>
      <c r="K182">
        <v>0</v>
      </c>
      <c r="L182">
        <v>0</v>
      </c>
      <c r="M182" t="s">
        <v>17</v>
      </c>
    </row>
    <row r="183" spans="1:13">
      <c r="A183" t="s">
        <v>2837</v>
      </c>
      <c r="B183" s="2">
        <v>46011</v>
      </c>
      <c r="C183">
        <v>2025</v>
      </c>
      <c r="D183">
        <v>12</v>
      </c>
      <c r="E183" t="s">
        <v>124</v>
      </c>
      <c r="F183" t="s">
        <v>26</v>
      </c>
      <c r="G183" t="s">
        <v>20</v>
      </c>
      <c r="H183" t="s">
        <v>2660</v>
      </c>
      <c r="I183">
        <v>1</v>
      </c>
      <c r="J183">
        <v>1</v>
      </c>
      <c r="K183">
        <v>3</v>
      </c>
      <c r="L183">
        <v>0</v>
      </c>
      <c r="M183" t="s">
        <v>17</v>
      </c>
    </row>
    <row r="184" spans="1:13">
      <c r="A184" t="s">
        <v>2838</v>
      </c>
      <c r="B184" s="2">
        <v>45992</v>
      </c>
      <c r="C184">
        <v>2025</v>
      </c>
      <c r="D184">
        <v>12</v>
      </c>
      <c r="E184" t="s">
        <v>124</v>
      </c>
      <c r="F184" t="s">
        <v>78</v>
      </c>
      <c r="G184" t="s">
        <v>20</v>
      </c>
      <c r="H184" t="s">
        <v>2653</v>
      </c>
      <c r="I184">
        <v>1</v>
      </c>
      <c r="J184">
        <v>1</v>
      </c>
      <c r="K184">
        <v>3</v>
      </c>
      <c r="L184">
        <v>1</v>
      </c>
      <c r="M184" t="s">
        <v>17</v>
      </c>
    </row>
    <row r="185" spans="1:13">
      <c r="A185" t="s">
        <v>2839</v>
      </c>
      <c r="B185" s="2">
        <v>46019</v>
      </c>
      <c r="C185">
        <v>2025</v>
      </c>
      <c r="D185">
        <v>12</v>
      </c>
      <c r="E185" t="s">
        <v>124</v>
      </c>
      <c r="F185" t="s">
        <v>67</v>
      </c>
      <c r="G185" t="s">
        <v>61</v>
      </c>
      <c r="H185" t="s">
        <v>2663</v>
      </c>
      <c r="I185">
        <v>1</v>
      </c>
      <c r="J185">
        <v>1</v>
      </c>
      <c r="K185">
        <v>3</v>
      </c>
      <c r="L185">
        <v>3</v>
      </c>
      <c r="M185" t="s">
        <v>10</v>
      </c>
    </row>
    <row r="186" spans="1:13">
      <c r="A186" t="s">
        <v>2840</v>
      </c>
      <c r="B186" s="2">
        <v>45993</v>
      </c>
      <c r="C186">
        <v>2025</v>
      </c>
      <c r="D186">
        <v>12</v>
      </c>
      <c r="E186" t="s">
        <v>124</v>
      </c>
      <c r="F186" t="s">
        <v>54</v>
      </c>
      <c r="G186" t="s">
        <v>48</v>
      </c>
      <c r="H186" t="s">
        <v>2653</v>
      </c>
      <c r="I186">
        <v>1</v>
      </c>
      <c r="J186">
        <v>1</v>
      </c>
      <c r="K186">
        <v>7</v>
      </c>
      <c r="L186">
        <v>3</v>
      </c>
      <c r="M186" t="s">
        <v>17</v>
      </c>
    </row>
    <row r="187" spans="1:13">
      <c r="A187" t="s">
        <v>2841</v>
      </c>
      <c r="B187" s="2">
        <v>46005</v>
      </c>
      <c r="C187">
        <v>2025</v>
      </c>
      <c r="D187">
        <v>12</v>
      </c>
      <c r="E187" t="s">
        <v>124</v>
      </c>
      <c r="F187" t="s">
        <v>47</v>
      </c>
      <c r="G187" t="s">
        <v>32</v>
      </c>
      <c r="H187" t="s">
        <v>2651</v>
      </c>
      <c r="I187">
        <v>1</v>
      </c>
      <c r="J187">
        <v>1</v>
      </c>
      <c r="K187">
        <v>5</v>
      </c>
      <c r="L187">
        <v>1</v>
      </c>
      <c r="M187" t="s">
        <v>17</v>
      </c>
    </row>
    <row r="188" spans="1:13">
      <c r="A188" t="s">
        <v>2842</v>
      </c>
      <c r="B188" s="2">
        <v>46011</v>
      </c>
      <c r="C188">
        <v>2025</v>
      </c>
      <c r="D188">
        <v>12</v>
      </c>
      <c r="E188" t="s">
        <v>124</v>
      </c>
      <c r="F188" t="s">
        <v>2</v>
      </c>
      <c r="G188" t="s">
        <v>94</v>
      </c>
      <c r="H188" t="s">
        <v>2651</v>
      </c>
      <c r="I188">
        <v>1</v>
      </c>
      <c r="J188">
        <v>1</v>
      </c>
      <c r="K188">
        <v>2</v>
      </c>
      <c r="L188">
        <v>2</v>
      </c>
      <c r="M188" t="s">
        <v>10</v>
      </c>
    </row>
    <row r="189" spans="1:13">
      <c r="A189" t="s">
        <v>2843</v>
      </c>
      <c r="B189" s="2">
        <v>46045</v>
      </c>
      <c r="C189">
        <v>2026</v>
      </c>
      <c r="D189">
        <v>1</v>
      </c>
      <c r="E189" t="s">
        <v>1</v>
      </c>
      <c r="F189" t="s">
        <v>47</v>
      </c>
      <c r="G189" t="s">
        <v>38</v>
      </c>
      <c r="H189" t="s">
        <v>2657</v>
      </c>
      <c r="I189">
        <v>1</v>
      </c>
      <c r="J189">
        <v>1</v>
      </c>
      <c r="K189">
        <v>0</v>
      </c>
      <c r="L189">
        <v>0</v>
      </c>
      <c r="M189" t="s">
        <v>10</v>
      </c>
    </row>
    <row r="190" spans="1:13">
      <c r="A190" t="s">
        <v>2844</v>
      </c>
      <c r="B190" s="2">
        <v>46032</v>
      </c>
      <c r="C190">
        <v>2026</v>
      </c>
      <c r="D190">
        <v>1</v>
      </c>
      <c r="E190" t="s">
        <v>1</v>
      </c>
      <c r="F190" t="s">
        <v>78</v>
      </c>
      <c r="G190" t="s">
        <v>69</v>
      </c>
      <c r="H190" t="s">
        <v>2651</v>
      </c>
      <c r="I190">
        <v>1</v>
      </c>
      <c r="J190">
        <v>1</v>
      </c>
      <c r="K190">
        <v>0</v>
      </c>
      <c r="L190">
        <v>0</v>
      </c>
      <c r="M190" t="s">
        <v>10</v>
      </c>
    </row>
    <row r="191" spans="1:13">
      <c r="A191" t="s">
        <v>2845</v>
      </c>
      <c r="B191" s="2">
        <v>46038</v>
      </c>
      <c r="C191">
        <v>2026</v>
      </c>
      <c r="D191">
        <v>1</v>
      </c>
      <c r="E191" t="s">
        <v>1</v>
      </c>
      <c r="F191" t="s">
        <v>54</v>
      </c>
      <c r="G191" t="s">
        <v>74</v>
      </c>
      <c r="H191" t="s">
        <v>56</v>
      </c>
      <c r="I191">
        <v>1</v>
      </c>
      <c r="J191">
        <v>1</v>
      </c>
      <c r="K191">
        <v>5</v>
      </c>
      <c r="L191">
        <v>0</v>
      </c>
      <c r="M191" t="s">
        <v>17</v>
      </c>
    </row>
    <row r="192" spans="1:13">
      <c r="A192" t="s">
        <v>2846</v>
      </c>
      <c r="B192" s="2">
        <v>46038</v>
      </c>
      <c r="C192">
        <v>2026</v>
      </c>
      <c r="D192">
        <v>1</v>
      </c>
      <c r="E192" t="s">
        <v>1</v>
      </c>
      <c r="F192" t="s">
        <v>26</v>
      </c>
      <c r="G192" t="s">
        <v>27</v>
      </c>
      <c r="H192" t="s">
        <v>2666</v>
      </c>
      <c r="I192">
        <v>1</v>
      </c>
      <c r="J192">
        <v>1</v>
      </c>
      <c r="K192">
        <v>3</v>
      </c>
      <c r="L192">
        <v>2</v>
      </c>
      <c r="M192" t="s">
        <v>17</v>
      </c>
    </row>
    <row r="193" spans="1:13">
      <c r="A193" t="s">
        <v>2847</v>
      </c>
      <c r="B193" s="2">
        <v>46047</v>
      </c>
      <c r="C193">
        <v>2026</v>
      </c>
      <c r="D193">
        <v>1</v>
      </c>
      <c r="E193" t="s">
        <v>1</v>
      </c>
      <c r="F193" t="s">
        <v>67</v>
      </c>
      <c r="G193" t="s">
        <v>48</v>
      </c>
      <c r="H193" t="s">
        <v>2657</v>
      </c>
      <c r="I193">
        <v>1</v>
      </c>
      <c r="J193">
        <v>1</v>
      </c>
      <c r="K193">
        <v>7</v>
      </c>
      <c r="L193">
        <v>3</v>
      </c>
      <c r="M193" t="s">
        <v>17</v>
      </c>
    </row>
    <row r="194" spans="1:13">
      <c r="A194" t="s">
        <v>2848</v>
      </c>
      <c r="B194" s="2">
        <v>46033</v>
      </c>
      <c r="C194">
        <v>2026</v>
      </c>
      <c r="D194">
        <v>1</v>
      </c>
      <c r="E194" t="s">
        <v>1</v>
      </c>
      <c r="F194" t="s">
        <v>2</v>
      </c>
      <c r="G194" t="s">
        <v>3</v>
      </c>
      <c r="H194" t="s">
        <v>56</v>
      </c>
      <c r="I194">
        <v>1</v>
      </c>
      <c r="J194">
        <v>1</v>
      </c>
      <c r="K194">
        <v>8</v>
      </c>
      <c r="L194">
        <v>1</v>
      </c>
      <c r="M194" t="s">
        <v>17</v>
      </c>
    </row>
    <row r="195" spans="1:13">
      <c r="A195" t="s">
        <v>2849</v>
      </c>
      <c r="B195" s="2">
        <v>46044</v>
      </c>
      <c r="C195">
        <v>2026</v>
      </c>
      <c r="D195">
        <v>1</v>
      </c>
      <c r="E195" t="s">
        <v>1</v>
      </c>
      <c r="F195" t="s">
        <v>19</v>
      </c>
      <c r="G195" t="s">
        <v>48</v>
      </c>
      <c r="H195" t="s">
        <v>2663</v>
      </c>
      <c r="I195">
        <v>1</v>
      </c>
      <c r="J195">
        <v>1</v>
      </c>
      <c r="K195">
        <v>0</v>
      </c>
      <c r="L195">
        <v>0</v>
      </c>
      <c r="M195" t="s">
        <v>10</v>
      </c>
    </row>
    <row r="196" spans="1:13">
      <c r="A196" t="s">
        <v>2850</v>
      </c>
      <c r="B196" s="2">
        <v>46030</v>
      </c>
      <c r="C196">
        <v>2026</v>
      </c>
      <c r="D196">
        <v>1</v>
      </c>
      <c r="E196" t="s">
        <v>1</v>
      </c>
      <c r="F196" t="s">
        <v>38</v>
      </c>
      <c r="G196" t="s">
        <v>64</v>
      </c>
      <c r="H196" t="s">
        <v>2660</v>
      </c>
      <c r="I196">
        <v>1</v>
      </c>
      <c r="J196">
        <v>0</v>
      </c>
      <c r="K196">
        <v>0</v>
      </c>
      <c r="L196">
        <v>0</v>
      </c>
      <c r="M196" t="s">
        <v>17</v>
      </c>
    </row>
    <row r="197" spans="1:13">
      <c r="A197" t="s">
        <v>2851</v>
      </c>
      <c r="B197" s="2">
        <v>46077</v>
      </c>
      <c r="C197">
        <v>2026</v>
      </c>
      <c r="D197">
        <v>2</v>
      </c>
      <c r="E197" t="s">
        <v>25</v>
      </c>
      <c r="F197" t="s">
        <v>19</v>
      </c>
      <c r="G197" t="s">
        <v>20</v>
      </c>
      <c r="H197" t="s">
        <v>56</v>
      </c>
      <c r="I197">
        <v>1</v>
      </c>
      <c r="J197">
        <v>1</v>
      </c>
      <c r="K197">
        <v>3</v>
      </c>
      <c r="L197">
        <v>0</v>
      </c>
      <c r="M197" t="s">
        <v>17</v>
      </c>
    </row>
    <row r="198" spans="1:13">
      <c r="A198" t="s">
        <v>2852</v>
      </c>
      <c r="B198" s="2">
        <v>46067</v>
      </c>
      <c r="C198">
        <v>2026</v>
      </c>
      <c r="D198">
        <v>2</v>
      </c>
      <c r="E198" t="s">
        <v>25</v>
      </c>
      <c r="F198" t="s">
        <v>67</v>
      </c>
      <c r="G198" t="s">
        <v>64</v>
      </c>
      <c r="H198" t="s">
        <v>2663</v>
      </c>
      <c r="I198">
        <v>1</v>
      </c>
      <c r="J198">
        <v>1</v>
      </c>
      <c r="K198">
        <v>3</v>
      </c>
      <c r="L198">
        <v>3</v>
      </c>
      <c r="M198" t="s">
        <v>10</v>
      </c>
    </row>
    <row r="199" spans="1:13">
      <c r="A199" t="s">
        <v>2853</v>
      </c>
      <c r="B199" s="2">
        <v>46078</v>
      </c>
      <c r="C199">
        <v>2026</v>
      </c>
      <c r="D199">
        <v>2</v>
      </c>
      <c r="E199" t="s">
        <v>25</v>
      </c>
      <c r="F199" t="s">
        <v>26</v>
      </c>
      <c r="G199" t="s">
        <v>20</v>
      </c>
      <c r="H199" t="s">
        <v>2660</v>
      </c>
      <c r="I199">
        <v>1</v>
      </c>
      <c r="J199">
        <v>1</v>
      </c>
      <c r="K199">
        <v>0</v>
      </c>
      <c r="L199">
        <v>0</v>
      </c>
      <c r="M199" t="s">
        <v>10</v>
      </c>
    </row>
    <row r="200" spans="1:13">
      <c r="A200" t="s">
        <v>2854</v>
      </c>
      <c r="B200" s="2">
        <v>46063</v>
      </c>
      <c r="C200">
        <v>2026</v>
      </c>
      <c r="D200">
        <v>2</v>
      </c>
      <c r="E200" t="s">
        <v>25</v>
      </c>
      <c r="F200" t="s">
        <v>2</v>
      </c>
      <c r="G200" t="s">
        <v>94</v>
      </c>
      <c r="H200" t="s">
        <v>2666</v>
      </c>
      <c r="I200">
        <v>1</v>
      </c>
      <c r="J200">
        <v>1</v>
      </c>
      <c r="K200">
        <v>0</v>
      </c>
      <c r="L200">
        <v>0</v>
      </c>
      <c r="M200" t="s">
        <v>10</v>
      </c>
    </row>
    <row r="201" spans="1:13">
      <c r="A201" t="s">
        <v>2855</v>
      </c>
      <c r="B201" s="2">
        <v>46068</v>
      </c>
      <c r="C201">
        <v>2026</v>
      </c>
      <c r="D201">
        <v>2</v>
      </c>
      <c r="E201" t="s">
        <v>25</v>
      </c>
      <c r="F201" t="s">
        <v>47</v>
      </c>
      <c r="G201" t="s">
        <v>3</v>
      </c>
      <c r="H201" t="s">
        <v>2663</v>
      </c>
      <c r="I201">
        <v>1</v>
      </c>
      <c r="J201">
        <v>1</v>
      </c>
      <c r="K201">
        <v>8</v>
      </c>
      <c r="L201">
        <v>3</v>
      </c>
      <c r="M201" t="s">
        <v>17</v>
      </c>
    </row>
    <row r="202" spans="1:13">
      <c r="A202" t="s">
        <v>2856</v>
      </c>
      <c r="B202" s="2">
        <v>46063</v>
      </c>
      <c r="C202">
        <v>2026</v>
      </c>
      <c r="D202">
        <v>2</v>
      </c>
      <c r="E202" t="s">
        <v>25</v>
      </c>
      <c r="F202" t="s">
        <v>31</v>
      </c>
      <c r="G202" t="s">
        <v>38</v>
      </c>
      <c r="H202" t="s">
        <v>56</v>
      </c>
      <c r="I202">
        <v>1</v>
      </c>
      <c r="J202">
        <v>1</v>
      </c>
      <c r="K202">
        <v>7</v>
      </c>
      <c r="L202">
        <v>7</v>
      </c>
      <c r="M202" t="s">
        <v>10</v>
      </c>
    </row>
    <row r="203" spans="1:13">
      <c r="A203" t="s">
        <v>2857</v>
      </c>
      <c r="B203" s="2">
        <v>46101</v>
      </c>
      <c r="C203">
        <v>2026</v>
      </c>
      <c r="D203">
        <v>3</v>
      </c>
      <c r="E203" t="s">
        <v>60</v>
      </c>
      <c r="F203" t="s">
        <v>78</v>
      </c>
      <c r="G203" t="s">
        <v>64</v>
      </c>
      <c r="H203" t="s">
        <v>2651</v>
      </c>
      <c r="I203">
        <v>1</v>
      </c>
      <c r="J203">
        <v>1</v>
      </c>
      <c r="K203">
        <v>8</v>
      </c>
      <c r="L203">
        <v>5</v>
      </c>
      <c r="M203" t="s">
        <v>17</v>
      </c>
    </row>
    <row r="204" spans="1:13">
      <c r="A204" t="s">
        <v>2858</v>
      </c>
      <c r="B204" s="2">
        <v>46094</v>
      </c>
      <c r="C204">
        <v>2026</v>
      </c>
      <c r="D204">
        <v>3</v>
      </c>
      <c r="E204" t="s">
        <v>60</v>
      </c>
      <c r="F204" t="s">
        <v>26</v>
      </c>
      <c r="G204" t="s">
        <v>74</v>
      </c>
      <c r="H204" t="s">
        <v>2660</v>
      </c>
      <c r="I204">
        <v>1</v>
      </c>
      <c r="J204">
        <v>1</v>
      </c>
      <c r="K204">
        <v>5</v>
      </c>
      <c r="L204">
        <v>2</v>
      </c>
      <c r="M204" t="s">
        <v>17</v>
      </c>
    </row>
    <row r="205" spans="1:13">
      <c r="A205" t="s">
        <v>2859</v>
      </c>
      <c r="B205" s="2">
        <v>46087</v>
      </c>
      <c r="C205">
        <v>2026</v>
      </c>
      <c r="D205">
        <v>3</v>
      </c>
      <c r="E205" t="s">
        <v>60</v>
      </c>
      <c r="F205" t="s">
        <v>38</v>
      </c>
      <c r="G205" t="s">
        <v>94</v>
      </c>
      <c r="H205" t="s">
        <v>56</v>
      </c>
      <c r="I205">
        <v>1</v>
      </c>
      <c r="J205">
        <v>1</v>
      </c>
      <c r="K205">
        <v>6</v>
      </c>
      <c r="L205">
        <v>4</v>
      </c>
      <c r="M205" t="s">
        <v>17</v>
      </c>
    </row>
    <row r="206" spans="1:13">
      <c r="A206" t="s">
        <v>2860</v>
      </c>
      <c r="B206" s="2">
        <v>46092</v>
      </c>
      <c r="C206">
        <v>2026</v>
      </c>
      <c r="D206">
        <v>3</v>
      </c>
      <c r="E206" t="s">
        <v>60</v>
      </c>
      <c r="F206" t="s">
        <v>67</v>
      </c>
      <c r="G206" t="s">
        <v>27</v>
      </c>
      <c r="H206" t="s">
        <v>2660</v>
      </c>
      <c r="I206">
        <v>1</v>
      </c>
      <c r="J206">
        <v>1</v>
      </c>
      <c r="K206">
        <v>7</v>
      </c>
      <c r="L206">
        <v>0</v>
      </c>
      <c r="M206" t="s">
        <v>17</v>
      </c>
    </row>
    <row r="207" spans="1:13">
      <c r="A207" t="s">
        <v>2861</v>
      </c>
      <c r="B207" s="2">
        <v>46103</v>
      </c>
      <c r="C207">
        <v>2026</v>
      </c>
      <c r="D207">
        <v>3</v>
      </c>
      <c r="E207" t="s">
        <v>60</v>
      </c>
      <c r="F207" t="s">
        <v>47</v>
      </c>
      <c r="G207" t="s">
        <v>38</v>
      </c>
      <c r="H207" t="s">
        <v>2651</v>
      </c>
      <c r="I207">
        <v>1</v>
      </c>
      <c r="J207">
        <v>1</v>
      </c>
      <c r="K207">
        <v>0</v>
      </c>
      <c r="L207">
        <v>0</v>
      </c>
      <c r="M207" t="s">
        <v>10</v>
      </c>
    </row>
    <row r="208" spans="1:13">
      <c r="A208" t="s">
        <v>2862</v>
      </c>
      <c r="B208" s="2">
        <v>46083</v>
      </c>
      <c r="C208">
        <v>2026</v>
      </c>
      <c r="D208">
        <v>3</v>
      </c>
      <c r="E208" t="s">
        <v>60</v>
      </c>
      <c r="F208" t="s">
        <v>19</v>
      </c>
      <c r="G208" t="s">
        <v>3</v>
      </c>
      <c r="H208" t="s">
        <v>2660</v>
      </c>
      <c r="I208">
        <v>1</v>
      </c>
      <c r="J208">
        <v>1</v>
      </c>
      <c r="K208">
        <v>8</v>
      </c>
      <c r="L208">
        <v>3</v>
      </c>
      <c r="M208" t="s">
        <v>17</v>
      </c>
    </row>
    <row r="209" spans="1:13">
      <c r="A209" t="s">
        <v>2863</v>
      </c>
      <c r="B209" s="2">
        <v>46085</v>
      </c>
      <c r="C209">
        <v>2026</v>
      </c>
      <c r="D209">
        <v>3</v>
      </c>
      <c r="E209" t="s">
        <v>60</v>
      </c>
      <c r="F209" t="s">
        <v>54</v>
      </c>
      <c r="G209" t="s">
        <v>3</v>
      </c>
      <c r="H209" t="s">
        <v>2657</v>
      </c>
      <c r="I209">
        <v>1</v>
      </c>
      <c r="J209">
        <v>1</v>
      </c>
      <c r="K209">
        <v>6</v>
      </c>
      <c r="L209">
        <v>3</v>
      </c>
      <c r="M209" t="s">
        <v>17</v>
      </c>
    </row>
    <row r="210" spans="1:13">
      <c r="A210" t="s">
        <v>2864</v>
      </c>
      <c r="B210" s="2">
        <v>46106</v>
      </c>
      <c r="C210">
        <v>2026</v>
      </c>
      <c r="D210">
        <v>3</v>
      </c>
      <c r="E210" t="s">
        <v>60</v>
      </c>
      <c r="F210" t="s">
        <v>31</v>
      </c>
      <c r="G210" t="s">
        <v>38</v>
      </c>
      <c r="H210" t="s">
        <v>2663</v>
      </c>
      <c r="I210">
        <v>1</v>
      </c>
      <c r="J210">
        <v>1</v>
      </c>
      <c r="K210">
        <v>1</v>
      </c>
      <c r="L210">
        <v>1</v>
      </c>
      <c r="M210" t="s">
        <v>10</v>
      </c>
    </row>
    <row r="211" spans="1:13">
      <c r="A211" t="s">
        <v>2865</v>
      </c>
      <c r="B211" s="2">
        <v>46083</v>
      </c>
      <c r="C211">
        <v>2026</v>
      </c>
      <c r="D211">
        <v>3</v>
      </c>
      <c r="E211" t="s">
        <v>60</v>
      </c>
      <c r="F211" t="s">
        <v>2</v>
      </c>
      <c r="G211" t="s">
        <v>48</v>
      </c>
      <c r="H211" t="s">
        <v>2663</v>
      </c>
      <c r="I211">
        <v>1</v>
      </c>
      <c r="J211">
        <v>1</v>
      </c>
      <c r="K211">
        <v>5</v>
      </c>
      <c r="L211">
        <v>4</v>
      </c>
      <c r="M211" t="s">
        <v>17</v>
      </c>
    </row>
    <row r="212" spans="1:13">
      <c r="A212" t="s">
        <v>2866</v>
      </c>
      <c r="B212" s="2">
        <v>46129</v>
      </c>
      <c r="C212">
        <v>2026</v>
      </c>
      <c r="D212">
        <v>4</v>
      </c>
      <c r="E212" t="s">
        <v>73</v>
      </c>
      <c r="F212" t="s">
        <v>2</v>
      </c>
      <c r="G212" t="s">
        <v>48</v>
      </c>
      <c r="H212" t="s">
        <v>2663</v>
      </c>
      <c r="I212">
        <v>1</v>
      </c>
      <c r="J212">
        <v>0</v>
      </c>
      <c r="K212">
        <v>0</v>
      </c>
      <c r="L212">
        <v>0</v>
      </c>
      <c r="M212" t="s">
        <v>17</v>
      </c>
    </row>
    <row r="213" spans="1:13">
      <c r="A213" t="s">
        <v>2867</v>
      </c>
      <c r="B213" s="2">
        <v>46140</v>
      </c>
      <c r="C213">
        <v>2026</v>
      </c>
      <c r="D213">
        <v>4</v>
      </c>
      <c r="E213" t="s">
        <v>73</v>
      </c>
      <c r="F213" t="s">
        <v>40</v>
      </c>
      <c r="G213" t="s">
        <v>48</v>
      </c>
      <c r="H213" t="s">
        <v>2653</v>
      </c>
      <c r="I213">
        <v>1</v>
      </c>
      <c r="J213">
        <v>1</v>
      </c>
      <c r="K213">
        <v>3</v>
      </c>
      <c r="L213">
        <v>1</v>
      </c>
      <c r="M213" t="s">
        <v>17</v>
      </c>
    </row>
    <row r="214" spans="1:13">
      <c r="A214" t="s">
        <v>2868</v>
      </c>
      <c r="B214" s="2">
        <v>46136</v>
      </c>
      <c r="C214">
        <v>2026</v>
      </c>
      <c r="D214">
        <v>4</v>
      </c>
      <c r="E214" t="s">
        <v>73</v>
      </c>
      <c r="F214" t="s">
        <v>54</v>
      </c>
      <c r="G214" t="s">
        <v>69</v>
      </c>
      <c r="H214" t="s">
        <v>2653</v>
      </c>
      <c r="I214">
        <v>1</v>
      </c>
      <c r="J214">
        <v>1</v>
      </c>
      <c r="K214">
        <v>3</v>
      </c>
      <c r="L214">
        <v>0</v>
      </c>
      <c r="M214" t="s">
        <v>17</v>
      </c>
    </row>
    <row r="215" spans="1:13">
      <c r="A215" t="s">
        <v>2869</v>
      </c>
      <c r="B215" s="2">
        <v>46126</v>
      </c>
      <c r="C215">
        <v>2026</v>
      </c>
      <c r="D215">
        <v>4</v>
      </c>
      <c r="E215" t="s">
        <v>73</v>
      </c>
      <c r="F215" t="s">
        <v>19</v>
      </c>
      <c r="G215" t="s">
        <v>48</v>
      </c>
      <c r="H215" t="s">
        <v>2663</v>
      </c>
      <c r="I215">
        <v>1</v>
      </c>
      <c r="J215">
        <v>0</v>
      </c>
      <c r="K215">
        <v>0</v>
      </c>
      <c r="L215">
        <v>0</v>
      </c>
      <c r="M215" t="s">
        <v>17</v>
      </c>
    </row>
    <row r="216" spans="1:13">
      <c r="A216" t="s">
        <v>2870</v>
      </c>
      <c r="B216" s="2">
        <v>46139</v>
      </c>
      <c r="C216">
        <v>2026</v>
      </c>
      <c r="D216">
        <v>4</v>
      </c>
      <c r="E216" t="s">
        <v>73</v>
      </c>
      <c r="F216" t="s">
        <v>67</v>
      </c>
      <c r="G216" t="s">
        <v>94</v>
      </c>
      <c r="H216" t="s">
        <v>2651</v>
      </c>
      <c r="I216">
        <v>1</v>
      </c>
      <c r="J216">
        <v>1</v>
      </c>
      <c r="K216">
        <v>8</v>
      </c>
      <c r="L216">
        <v>3</v>
      </c>
      <c r="M216" t="s">
        <v>17</v>
      </c>
    </row>
    <row r="217" spans="1:13">
      <c r="A217" t="s">
        <v>2871</v>
      </c>
      <c r="B217" s="2">
        <v>46136</v>
      </c>
      <c r="C217">
        <v>2026</v>
      </c>
      <c r="D217">
        <v>4</v>
      </c>
      <c r="E217" t="s">
        <v>73</v>
      </c>
      <c r="F217" t="s">
        <v>38</v>
      </c>
      <c r="G217" t="s">
        <v>27</v>
      </c>
      <c r="H217" t="s">
        <v>2657</v>
      </c>
      <c r="I217">
        <v>1</v>
      </c>
      <c r="J217">
        <v>1</v>
      </c>
      <c r="K217">
        <v>1</v>
      </c>
      <c r="L217">
        <v>0</v>
      </c>
      <c r="M217" t="s">
        <v>17</v>
      </c>
    </row>
    <row r="218" spans="1:13">
      <c r="A218" t="s">
        <v>2872</v>
      </c>
      <c r="B218" s="2">
        <v>46128</v>
      </c>
      <c r="C218">
        <v>2026</v>
      </c>
      <c r="D218">
        <v>4</v>
      </c>
      <c r="E218" t="s">
        <v>73</v>
      </c>
      <c r="F218" t="s">
        <v>78</v>
      </c>
      <c r="G218" t="s">
        <v>27</v>
      </c>
      <c r="H218" t="s">
        <v>2651</v>
      </c>
      <c r="I218">
        <v>1</v>
      </c>
      <c r="J218">
        <v>1</v>
      </c>
      <c r="K218">
        <v>2</v>
      </c>
      <c r="L218">
        <v>2</v>
      </c>
      <c r="M218" t="s">
        <v>10</v>
      </c>
    </row>
    <row r="219" spans="1:13">
      <c r="A219" t="s">
        <v>2873</v>
      </c>
      <c r="B219" s="2">
        <v>46135</v>
      </c>
      <c r="C219">
        <v>2026</v>
      </c>
      <c r="D219">
        <v>4</v>
      </c>
      <c r="E219" t="s">
        <v>73</v>
      </c>
      <c r="F219" t="s">
        <v>31</v>
      </c>
      <c r="G219" t="s">
        <v>38</v>
      </c>
      <c r="H219" t="s">
        <v>2657</v>
      </c>
      <c r="I219">
        <v>1</v>
      </c>
      <c r="J219">
        <v>1</v>
      </c>
      <c r="K219">
        <v>3</v>
      </c>
      <c r="L219">
        <v>0</v>
      </c>
      <c r="M219" t="s">
        <v>17</v>
      </c>
    </row>
    <row r="220" spans="1:13">
      <c r="A220" t="s">
        <v>2874</v>
      </c>
      <c r="B220" s="2">
        <v>46159</v>
      </c>
      <c r="C220">
        <v>2026</v>
      </c>
      <c r="D220">
        <v>5</v>
      </c>
      <c r="E220" t="s">
        <v>83</v>
      </c>
      <c r="F220" t="s">
        <v>78</v>
      </c>
      <c r="G220" t="s">
        <v>32</v>
      </c>
      <c r="H220" t="s">
        <v>2651</v>
      </c>
      <c r="I220">
        <v>1</v>
      </c>
      <c r="J220">
        <v>1</v>
      </c>
      <c r="K220">
        <v>0</v>
      </c>
      <c r="L220">
        <v>0</v>
      </c>
      <c r="M220" t="s">
        <v>10</v>
      </c>
    </row>
    <row r="221" spans="1:13">
      <c r="A221" t="s">
        <v>2875</v>
      </c>
      <c r="B221" s="2">
        <v>46157</v>
      </c>
      <c r="C221">
        <v>2026</v>
      </c>
      <c r="D221">
        <v>5</v>
      </c>
      <c r="E221" t="s">
        <v>83</v>
      </c>
      <c r="F221" t="s">
        <v>54</v>
      </c>
      <c r="G221" t="s">
        <v>48</v>
      </c>
      <c r="H221" t="s">
        <v>2663</v>
      </c>
      <c r="I221">
        <v>1</v>
      </c>
      <c r="J221">
        <v>1</v>
      </c>
      <c r="K221">
        <v>7</v>
      </c>
      <c r="L221">
        <v>7</v>
      </c>
      <c r="M221" t="s">
        <v>10</v>
      </c>
    </row>
    <row r="222" spans="1:13">
      <c r="A222" t="s">
        <v>2876</v>
      </c>
      <c r="B222" s="2">
        <v>46163</v>
      </c>
      <c r="C222">
        <v>2026</v>
      </c>
      <c r="D222">
        <v>5</v>
      </c>
      <c r="E222" t="s">
        <v>83</v>
      </c>
      <c r="F222" t="s">
        <v>31</v>
      </c>
      <c r="G222" t="s">
        <v>69</v>
      </c>
      <c r="H222" t="s">
        <v>56</v>
      </c>
      <c r="I222">
        <v>1</v>
      </c>
      <c r="J222">
        <v>1</v>
      </c>
      <c r="K222">
        <v>6</v>
      </c>
      <c r="L222">
        <v>5</v>
      </c>
      <c r="M222" t="s">
        <v>17</v>
      </c>
    </row>
    <row r="223" spans="1:13">
      <c r="A223" t="s">
        <v>2877</v>
      </c>
      <c r="B223" s="2">
        <v>46160</v>
      </c>
      <c r="C223">
        <v>2026</v>
      </c>
      <c r="D223">
        <v>5</v>
      </c>
      <c r="E223" t="s">
        <v>83</v>
      </c>
      <c r="F223" t="s">
        <v>40</v>
      </c>
      <c r="G223" t="s">
        <v>20</v>
      </c>
      <c r="H223" t="s">
        <v>2660</v>
      </c>
      <c r="I223">
        <v>1</v>
      </c>
      <c r="J223">
        <v>1</v>
      </c>
      <c r="K223">
        <v>3</v>
      </c>
      <c r="L223">
        <v>0</v>
      </c>
      <c r="M223" t="s">
        <v>17</v>
      </c>
    </row>
    <row r="224" spans="1:13">
      <c r="A224" t="s">
        <v>2878</v>
      </c>
      <c r="B224" s="2">
        <v>46160</v>
      </c>
      <c r="C224">
        <v>2026</v>
      </c>
      <c r="D224">
        <v>5</v>
      </c>
      <c r="E224" t="s">
        <v>83</v>
      </c>
      <c r="F224" t="s">
        <v>2</v>
      </c>
      <c r="G224" t="s">
        <v>38</v>
      </c>
      <c r="H224" t="s">
        <v>2660</v>
      </c>
      <c r="I224">
        <v>1</v>
      </c>
      <c r="J224">
        <v>1</v>
      </c>
      <c r="K224">
        <v>6</v>
      </c>
      <c r="L224">
        <v>4</v>
      </c>
      <c r="M224" t="s">
        <v>17</v>
      </c>
    </row>
    <row r="225" spans="1:13">
      <c r="A225" t="s">
        <v>2879</v>
      </c>
      <c r="B225" s="2">
        <v>46143</v>
      </c>
      <c r="C225">
        <v>2026</v>
      </c>
      <c r="D225">
        <v>5</v>
      </c>
      <c r="E225" t="s">
        <v>83</v>
      </c>
      <c r="F225" t="s">
        <v>19</v>
      </c>
      <c r="G225" t="s">
        <v>64</v>
      </c>
      <c r="H225" t="s">
        <v>2660</v>
      </c>
      <c r="I225">
        <v>1</v>
      </c>
      <c r="J225">
        <v>0</v>
      </c>
      <c r="K225">
        <v>0</v>
      </c>
      <c r="L225">
        <v>0</v>
      </c>
      <c r="M225" t="s">
        <v>17</v>
      </c>
    </row>
    <row r="226" spans="1:13">
      <c r="A226" t="s">
        <v>2880</v>
      </c>
      <c r="B226" s="2">
        <v>46167</v>
      </c>
      <c r="C226">
        <v>2026</v>
      </c>
      <c r="D226">
        <v>5</v>
      </c>
      <c r="E226" t="s">
        <v>83</v>
      </c>
      <c r="F226" t="s">
        <v>67</v>
      </c>
      <c r="G226" t="s">
        <v>48</v>
      </c>
      <c r="H226" t="s">
        <v>2653</v>
      </c>
      <c r="I226">
        <v>1</v>
      </c>
      <c r="J226">
        <v>1</v>
      </c>
      <c r="K226">
        <v>5</v>
      </c>
      <c r="L226">
        <v>1</v>
      </c>
      <c r="M226" t="s">
        <v>17</v>
      </c>
    </row>
    <row r="227" spans="1:13">
      <c r="A227" t="s">
        <v>2881</v>
      </c>
      <c r="B227" s="2">
        <v>46194</v>
      </c>
      <c r="C227">
        <v>2026</v>
      </c>
      <c r="D227">
        <v>6</v>
      </c>
      <c r="E227" t="s">
        <v>87</v>
      </c>
      <c r="F227" t="s">
        <v>2</v>
      </c>
      <c r="G227" t="s">
        <v>61</v>
      </c>
      <c r="H227" t="s">
        <v>2663</v>
      </c>
      <c r="I227">
        <v>1</v>
      </c>
      <c r="J227">
        <v>1</v>
      </c>
      <c r="K227">
        <v>7</v>
      </c>
      <c r="L227">
        <v>2</v>
      </c>
      <c r="M227" t="s">
        <v>17</v>
      </c>
    </row>
    <row r="228" spans="1:13">
      <c r="A228" t="s">
        <v>2882</v>
      </c>
      <c r="B228" s="2">
        <v>46180</v>
      </c>
      <c r="C228">
        <v>2026</v>
      </c>
      <c r="D228">
        <v>6</v>
      </c>
      <c r="E228" t="s">
        <v>87</v>
      </c>
      <c r="F228" t="s">
        <v>19</v>
      </c>
      <c r="G228" t="s">
        <v>48</v>
      </c>
      <c r="H228" t="s">
        <v>2651</v>
      </c>
      <c r="I228">
        <v>1</v>
      </c>
      <c r="J228">
        <v>1</v>
      </c>
      <c r="K228">
        <v>0</v>
      </c>
      <c r="L228">
        <v>0</v>
      </c>
      <c r="M228" t="s">
        <v>10</v>
      </c>
    </row>
    <row r="229" spans="1:13">
      <c r="A229" t="s">
        <v>2883</v>
      </c>
      <c r="B229" s="2">
        <v>46201</v>
      </c>
      <c r="C229">
        <v>2026</v>
      </c>
      <c r="D229">
        <v>6</v>
      </c>
      <c r="E229" t="s">
        <v>87</v>
      </c>
      <c r="F229" t="s">
        <v>26</v>
      </c>
      <c r="G229" t="s">
        <v>32</v>
      </c>
      <c r="H229" t="s">
        <v>2660</v>
      </c>
      <c r="I229">
        <v>1</v>
      </c>
      <c r="J229">
        <v>1</v>
      </c>
      <c r="K229">
        <v>1</v>
      </c>
      <c r="L229">
        <v>0</v>
      </c>
      <c r="M229" t="s">
        <v>17</v>
      </c>
    </row>
    <row r="230" spans="1:13">
      <c r="A230" t="s">
        <v>2884</v>
      </c>
      <c r="B230" s="2">
        <v>46194</v>
      </c>
      <c r="C230">
        <v>2026</v>
      </c>
      <c r="D230">
        <v>6</v>
      </c>
      <c r="E230" t="s">
        <v>87</v>
      </c>
      <c r="F230" t="s">
        <v>54</v>
      </c>
      <c r="G230" t="s">
        <v>38</v>
      </c>
      <c r="H230" t="s">
        <v>2666</v>
      </c>
      <c r="I230">
        <v>1</v>
      </c>
      <c r="J230">
        <v>1</v>
      </c>
      <c r="K230">
        <v>8</v>
      </c>
      <c r="L230">
        <v>3</v>
      </c>
      <c r="M230" t="s">
        <v>17</v>
      </c>
    </row>
    <row r="231" spans="1:13">
      <c r="A231" t="s">
        <v>2885</v>
      </c>
      <c r="B231" s="2">
        <v>46181</v>
      </c>
      <c r="C231">
        <v>2026</v>
      </c>
      <c r="D231">
        <v>6</v>
      </c>
      <c r="E231" t="s">
        <v>87</v>
      </c>
      <c r="F231" t="s">
        <v>40</v>
      </c>
      <c r="G231" t="s">
        <v>69</v>
      </c>
      <c r="H231" t="s">
        <v>56</v>
      </c>
      <c r="I231">
        <v>1</v>
      </c>
      <c r="J231">
        <v>1</v>
      </c>
      <c r="K231">
        <v>0</v>
      </c>
      <c r="L231">
        <v>0</v>
      </c>
      <c r="M231" t="s">
        <v>10</v>
      </c>
    </row>
    <row r="232" spans="1:13">
      <c r="A232" t="s">
        <v>2886</v>
      </c>
      <c r="B232" s="2">
        <v>46175</v>
      </c>
      <c r="C232">
        <v>2026</v>
      </c>
      <c r="D232">
        <v>6</v>
      </c>
      <c r="E232" t="s">
        <v>87</v>
      </c>
      <c r="F232" t="s">
        <v>47</v>
      </c>
      <c r="G232" t="s">
        <v>55</v>
      </c>
      <c r="H232" t="s">
        <v>2663</v>
      </c>
      <c r="I232">
        <v>1</v>
      </c>
      <c r="J232">
        <v>1</v>
      </c>
      <c r="K232">
        <v>4</v>
      </c>
      <c r="L232">
        <v>4</v>
      </c>
      <c r="M232" t="s">
        <v>10</v>
      </c>
    </row>
    <row r="233" spans="1:13">
      <c r="A233" t="s">
        <v>2887</v>
      </c>
      <c r="B233" s="2">
        <v>46196</v>
      </c>
      <c r="C233">
        <v>2026</v>
      </c>
      <c r="D233">
        <v>6</v>
      </c>
      <c r="E233" t="s">
        <v>87</v>
      </c>
      <c r="F233" t="s">
        <v>78</v>
      </c>
      <c r="G233" t="s">
        <v>3</v>
      </c>
      <c r="H233" t="s">
        <v>2653</v>
      </c>
      <c r="I233">
        <v>1</v>
      </c>
      <c r="J233">
        <v>1</v>
      </c>
      <c r="K233">
        <v>2</v>
      </c>
      <c r="L233">
        <v>1</v>
      </c>
      <c r="M233" t="s">
        <v>17</v>
      </c>
    </row>
  </sheetData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</sheetPr>
  <dimension ref="A1:M6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7" width="13.7109375" customWidth="1"/>
    <col min="8" max="9" width="11.7109375" customWidth="1"/>
    <col min="10" max="10" width="14.7109375" customWidth="1"/>
    <col min="11" max="11" width="11.7109375" customWidth="1"/>
  </cols>
  <sheetData>
    <row r="1" spans="1:13">
      <c r="A1" t="s">
        <v>2961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2962</v>
      </c>
      <c r="H1" t="s">
        <v>2963</v>
      </c>
      <c r="I1" t="s">
        <v>2964</v>
      </c>
      <c r="J1" t="s">
        <v>2965</v>
      </c>
      <c r="K1" t="s">
        <v>201</v>
      </c>
      <c r="M1" s="1" t="s">
        <v>203</v>
      </c>
    </row>
    <row r="2" spans="1:13">
      <c r="A2" t="s">
        <v>2894</v>
      </c>
      <c r="B2" s="2">
        <v>45298</v>
      </c>
      <c r="C2">
        <v>2024</v>
      </c>
      <c r="D2">
        <v>1</v>
      </c>
      <c r="E2" t="s">
        <v>1</v>
      </c>
      <c r="F2" t="s">
        <v>40</v>
      </c>
      <c r="G2" t="s">
        <v>2895</v>
      </c>
      <c r="H2">
        <v>85</v>
      </c>
      <c r="I2">
        <v>5</v>
      </c>
      <c r="J2">
        <v>0</v>
      </c>
      <c r="K2" t="s">
        <v>17</v>
      </c>
    </row>
    <row r="3" spans="1:13">
      <c r="A3" t="s">
        <v>2896</v>
      </c>
      <c r="B3" s="2">
        <v>45298</v>
      </c>
      <c r="C3">
        <v>2024</v>
      </c>
      <c r="D3">
        <v>1</v>
      </c>
      <c r="E3" t="s">
        <v>1</v>
      </c>
      <c r="F3" t="s">
        <v>40</v>
      </c>
      <c r="G3" t="s">
        <v>2897</v>
      </c>
      <c r="H3">
        <v>70</v>
      </c>
      <c r="I3">
        <v>2</v>
      </c>
      <c r="J3">
        <v>1</v>
      </c>
      <c r="K3" t="s">
        <v>17</v>
      </c>
    </row>
    <row r="4" spans="1:13">
      <c r="A4" t="s">
        <v>2898</v>
      </c>
      <c r="B4" s="2">
        <v>45303</v>
      </c>
      <c r="C4">
        <v>2024</v>
      </c>
      <c r="D4">
        <v>1</v>
      </c>
      <c r="E4" t="s">
        <v>1</v>
      </c>
      <c r="F4" t="s">
        <v>19</v>
      </c>
      <c r="G4" t="s">
        <v>2899</v>
      </c>
      <c r="H4">
        <v>87</v>
      </c>
      <c r="I4">
        <v>2</v>
      </c>
      <c r="J4">
        <v>1</v>
      </c>
      <c r="K4" t="s">
        <v>17</v>
      </c>
    </row>
    <row r="5" spans="1:13">
      <c r="A5" t="s">
        <v>2900</v>
      </c>
      <c r="B5" s="2">
        <v>45326</v>
      </c>
      <c r="C5">
        <v>2024</v>
      </c>
      <c r="D5">
        <v>2</v>
      </c>
      <c r="E5" t="s">
        <v>25</v>
      </c>
      <c r="F5" t="s">
        <v>47</v>
      </c>
      <c r="G5" t="s">
        <v>2901</v>
      </c>
      <c r="H5">
        <v>89</v>
      </c>
      <c r="I5">
        <v>12</v>
      </c>
      <c r="J5">
        <v>2</v>
      </c>
      <c r="K5" t="s">
        <v>17</v>
      </c>
    </row>
    <row r="6" spans="1:13">
      <c r="A6" t="s">
        <v>2902</v>
      </c>
      <c r="B6" s="2">
        <v>45369</v>
      </c>
      <c r="C6">
        <v>2024</v>
      </c>
      <c r="D6">
        <v>3</v>
      </c>
      <c r="E6" t="s">
        <v>60</v>
      </c>
      <c r="F6" t="s">
        <v>40</v>
      </c>
      <c r="G6" t="s">
        <v>2903</v>
      </c>
      <c r="H6">
        <v>95</v>
      </c>
      <c r="I6">
        <v>11</v>
      </c>
      <c r="J6">
        <v>8</v>
      </c>
      <c r="K6" t="s">
        <v>17</v>
      </c>
    </row>
    <row r="7" spans="1:13">
      <c r="A7" t="s">
        <v>2904</v>
      </c>
      <c r="B7" s="2">
        <v>45406</v>
      </c>
      <c r="C7">
        <v>2024</v>
      </c>
      <c r="D7">
        <v>4</v>
      </c>
      <c r="E7" t="s">
        <v>73</v>
      </c>
      <c r="F7" t="s">
        <v>38</v>
      </c>
      <c r="G7" t="s">
        <v>2903</v>
      </c>
      <c r="H7">
        <v>83</v>
      </c>
      <c r="I7">
        <v>10</v>
      </c>
      <c r="J7">
        <v>8</v>
      </c>
      <c r="K7" t="s">
        <v>17</v>
      </c>
    </row>
    <row r="8" spans="1:13">
      <c r="A8" t="s">
        <v>2905</v>
      </c>
      <c r="B8" s="2">
        <v>45418</v>
      </c>
      <c r="C8">
        <v>2024</v>
      </c>
      <c r="D8">
        <v>5</v>
      </c>
      <c r="E8" t="s">
        <v>83</v>
      </c>
      <c r="F8" t="s">
        <v>40</v>
      </c>
      <c r="G8" t="s">
        <v>2906</v>
      </c>
      <c r="H8">
        <v>90</v>
      </c>
      <c r="I8">
        <v>5</v>
      </c>
      <c r="J8">
        <v>2</v>
      </c>
      <c r="K8" t="s">
        <v>17</v>
      </c>
    </row>
    <row r="9" spans="1:13">
      <c r="A9" t="s">
        <v>2907</v>
      </c>
      <c r="B9" s="2">
        <v>45465</v>
      </c>
      <c r="C9">
        <v>2024</v>
      </c>
      <c r="D9">
        <v>6</v>
      </c>
      <c r="E9" t="s">
        <v>87</v>
      </c>
      <c r="F9" t="s">
        <v>54</v>
      </c>
      <c r="G9" t="s">
        <v>2901</v>
      </c>
      <c r="H9">
        <v>74</v>
      </c>
      <c r="I9">
        <v>8</v>
      </c>
      <c r="J9">
        <v>8</v>
      </c>
      <c r="K9" t="s">
        <v>10</v>
      </c>
    </row>
    <row r="10" spans="1:13">
      <c r="A10" t="s">
        <v>2908</v>
      </c>
      <c r="B10" s="2">
        <v>45498</v>
      </c>
      <c r="C10">
        <v>2024</v>
      </c>
      <c r="D10">
        <v>7</v>
      </c>
      <c r="E10" t="s">
        <v>93</v>
      </c>
      <c r="F10" t="s">
        <v>26</v>
      </c>
      <c r="G10" t="s">
        <v>2903</v>
      </c>
      <c r="H10">
        <v>70</v>
      </c>
      <c r="I10">
        <v>1</v>
      </c>
      <c r="J10">
        <v>0</v>
      </c>
      <c r="K10" t="s">
        <v>17</v>
      </c>
    </row>
    <row r="11" spans="1:13">
      <c r="A11" t="s">
        <v>2909</v>
      </c>
      <c r="B11" s="2">
        <v>45496</v>
      </c>
      <c r="C11">
        <v>2024</v>
      </c>
      <c r="D11">
        <v>7</v>
      </c>
      <c r="E11" t="s">
        <v>93</v>
      </c>
      <c r="F11" t="s">
        <v>26</v>
      </c>
      <c r="G11" t="s">
        <v>2910</v>
      </c>
      <c r="H11">
        <v>70</v>
      </c>
      <c r="I11">
        <v>2</v>
      </c>
      <c r="J11">
        <v>2</v>
      </c>
      <c r="K11" t="s">
        <v>10</v>
      </c>
    </row>
    <row r="12" spans="1:13">
      <c r="A12" t="s">
        <v>2911</v>
      </c>
      <c r="B12" s="2">
        <v>45478</v>
      </c>
      <c r="C12">
        <v>2024</v>
      </c>
      <c r="D12">
        <v>7</v>
      </c>
      <c r="E12" t="s">
        <v>93</v>
      </c>
      <c r="F12" t="s">
        <v>78</v>
      </c>
      <c r="G12" t="s">
        <v>2899</v>
      </c>
      <c r="H12">
        <v>85</v>
      </c>
      <c r="I12">
        <v>3</v>
      </c>
      <c r="J12">
        <v>2</v>
      </c>
      <c r="K12" t="s">
        <v>17</v>
      </c>
    </row>
    <row r="13" spans="1:13">
      <c r="A13" t="s">
        <v>2912</v>
      </c>
      <c r="B13" s="2">
        <v>45524</v>
      </c>
      <c r="C13">
        <v>2024</v>
      </c>
      <c r="D13">
        <v>8</v>
      </c>
      <c r="E13" t="s">
        <v>101</v>
      </c>
      <c r="F13" t="s">
        <v>38</v>
      </c>
      <c r="G13" t="s">
        <v>2903</v>
      </c>
      <c r="H13">
        <v>72</v>
      </c>
      <c r="I13">
        <v>1</v>
      </c>
      <c r="J13">
        <v>0</v>
      </c>
      <c r="K13" t="s">
        <v>17</v>
      </c>
    </row>
    <row r="14" spans="1:13">
      <c r="A14" t="s">
        <v>2913</v>
      </c>
      <c r="B14" s="2">
        <v>45512</v>
      </c>
      <c r="C14">
        <v>2024</v>
      </c>
      <c r="D14">
        <v>8</v>
      </c>
      <c r="E14" t="s">
        <v>101</v>
      </c>
      <c r="F14" t="s">
        <v>19</v>
      </c>
      <c r="G14" t="s">
        <v>2906</v>
      </c>
      <c r="H14">
        <v>94</v>
      </c>
      <c r="I14">
        <v>12</v>
      </c>
      <c r="J14">
        <v>8</v>
      </c>
      <c r="K14" t="s">
        <v>17</v>
      </c>
    </row>
    <row r="15" spans="1:13">
      <c r="A15" t="s">
        <v>2914</v>
      </c>
      <c r="B15" s="2">
        <v>45506</v>
      </c>
      <c r="C15">
        <v>2024</v>
      </c>
      <c r="D15">
        <v>8</v>
      </c>
      <c r="E15" t="s">
        <v>101</v>
      </c>
      <c r="F15" t="s">
        <v>38</v>
      </c>
      <c r="G15" t="s">
        <v>2897</v>
      </c>
      <c r="H15">
        <v>79</v>
      </c>
      <c r="I15">
        <v>4</v>
      </c>
      <c r="J15">
        <v>2</v>
      </c>
      <c r="K15" t="s">
        <v>17</v>
      </c>
    </row>
    <row r="16" spans="1:13">
      <c r="A16" t="s">
        <v>2915</v>
      </c>
      <c r="B16" s="2">
        <v>45561</v>
      </c>
      <c r="C16">
        <v>2024</v>
      </c>
      <c r="D16">
        <v>9</v>
      </c>
      <c r="E16" t="s">
        <v>105</v>
      </c>
      <c r="F16" t="s">
        <v>47</v>
      </c>
      <c r="G16" t="s">
        <v>2910</v>
      </c>
      <c r="H16">
        <v>69</v>
      </c>
      <c r="I16">
        <v>5</v>
      </c>
      <c r="J16">
        <v>4</v>
      </c>
      <c r="K16" t="s">
        <v>17</v>
      </c>
    </row>
    <row r="17" spans="1:11">
      <c r="A17" t="s">
        <v>2916</v>
      </c>
      <c r="B17" s="2">
        <v>45571</v>
      </c>
      <c r="C17">
        <v>2024</v>
      </c>
      <c r="D17">
        <v>10</v>
      </c>
      <c r="E17" t="s">
        <v>113</v>
      </c>
      <c r="F17" t="s">
        <v>31</v>
      </c>
      <c r="G17" t="s">
        <v>2899</v>
      </c>
      <c r="H17">
        <v>87</v>
      </c>
      <c r="I17">
        <v>7</v>
      </c>
      <c r="J17">
        <v>4</v>
      </c>
      <c r="K17" t="s">
        <v>17</v>
      </c>
    </row>
    <row r="18" spans="1:11">
      <c r="A18" t="s">
        <v>2917</v>
      </c>
      <c r="B18" s="2">
        <v>45583</v>
      </c>
      <c r="C18">
        <v>2024</v>
      </c>
      <c r="D18">
        <v>10</v>
      </c>
      <c r="E18" t="s">
        <v>113</v>
      </c>
      <c r="F18" t="s">
        <v>67</v>
      </c>
      <c r="G18" t="s">
        <v>2895</v>
      </c>
      <c r="H18">
        <v>87</v>
      </c>
      <c r="I18">
        <v>7</v>
      </c>
      <c r="J18">
        <v>0</v>
      </c>
      <c r="K18" t="s">
        <v>17</v>
      </c>
    </row>
    <row r="19" spans="1:11">
      <c r="A19" t="s">
        <v>2918</v>
      </c>
      <c r="B19" s="2">
        <v>45572</v>
      </c>
      <c r="C19">
        <v>2024</v>
      </c>
      <c r="D19">
        <v>10</v>
      </c>
      <c r="E19" t="s">
        <v>113</v>
      </c>
      <c r="F19" t="s">
        <v>26</v>
      </c>
      <c r="G19" t="s">
        <v>2901</v>
      </c>
      <c r="H19">
        <v>72</v>
      </c>
      <c r="I19">
        <v>5</v>
      </c>
      <c r="J19">
        <v>0</v>
      </c>
      <c r="K19" t="s">
        <v>17</v>
      </c>
    </row>
    <row r="20" spans="1:11">
      <c r="A20" t="s">
        <v>2919</v>
      </c>
      <c r="B20" s="2">
        <v>45623</v>
      </c>
      <c r="C20">
        <v>2024</v>
      </c>
      <c r="D20">
        <v>11</v>
      </c>
      <c r="E20" t="s">
        <v>117</v>
      </c>
      <c r="F20" t="s">
        <v>31</v>
      </c>
      <c r="G20" t="s">
        <v>2910</v>
      </c>
      <c r="H20">
        <v>88</v>
      </c>
      <c r="I20">
        <v>11</v>
      </c>
      <c r="J20">
        <v>4</v>
      </c>
      <c r="K20" t="s">
        <v>17</v>
      </c>
    </row>
    <row r="21" spans="1:11">
      <c r="A21" t="s">
        <v>2920</v>
      </c>
      <c r="B21" s="2">
        <v>45641</v>
      </c>
      <c r="C21">
        <v>2024</v>
      </c>
      <c r="D21">
        <v>12</v>
      </c>
      <c r="E21" t="s">
        <v>124</v>
      </c>
      <c r="F21" t="s">
        <v>47</v>
      </c>
      <c r="G21" t="s">
        <v>2895</v>
      </c>
      <c r="H21">
        <v>83</v>
      </c>
      <c r="I21">
        <v>4</v>
      </c>
      <c r="J21">
        <v>2</v>
      </c>
      <c r="K21" t="s">
        <v>17</v>
      </c>
    </row>
    <row r="22" spans="1:11">
      <c r="A22" t="s">
        <v>2921</v>
      </c>
      <c r="B22" s="2">
        <v>45650</v>
      </c>
      <c r="C22">
        <v>2024</v>
      </c>
      <c r="D22">
        <v>12</v>
      </c>
      <c r="E22" t="s">
        <v>124</v>
      </c>
      <c r="F22" t="s">
        <v>2</v>
      </c>
      <c r="G22" t="s">
        <v>2906</v>
      </c>
      <c r="H22">
        <v>74</v>
      </c>
      <c r="I22">
        <v>4</v>
      </c>
      <c r="J22">
        <v>4</v>
      </c>
      <c r="K22" t="s">
        <v>10</v>
      </c>
    </row>
    <row r="23" spans="1:11">
      <c r="A23" t="s">
        <v>2922</v>
      </c>
      <c r="B23" s="2">
        <v>45680</v>
      </c>
      <c r="C23">
        <v>2025</v>
      </c>
      <c r="D23">
        <v>1</v>
      </c>
      <c r="E23" t="s">
        <v>1</v>
      </c>
      <c r="F23" t="s">
        <v>47</v>
      </c>
      <c r="G23" t="s">
        <v>2903</v>
      </c>
      <c r="H23">
        <v>69</v>
      </c>
      <c r="I23">
        <v>3</v>
      </c>
      <c r="J23">
        <v>1</v>
      </c>
      <c r="K23" t="s">
        <v>17</v>
      </c>
    </row>
    <row r="24" spans="1:11">
      <c r="A24" t="s">
        <v>2923</v>
      </c>
      <c r="B24" s="2">
        <v>45700</v>
      </c>
      <c r="C24">
        <v>2025</v>
      </c>
      <c r="D24">
        <v>2</v>
      </c>
      <c r="E24" t="s">
        <v>25</v>
      </c>
      <c r="F24" t="s">
        <v>67</v>
      </c>
      <c r="G24" t="s">
        <v>2901</v>
      </c>
      <c r="H24">
        <v>96</v>
      </c>
      <c r="I24">
        <v>5</v>
      </c>
      <c r="J24">
        <v>1</v>
      </c>
      <c r="K24" t="s">
        <v>17</v>
      </c>
    </row>
    <row r="25" spans="1:11">
      <c r="A25" t="s">
        <v>2924</v>
      </c>
      <c r="B25" s="2">
        <v>45714</v>
      </c>
      <c r="C25">
        <v>2025</v>
      </c>
      <c r="D25">
        <v>2</v>
      </c>
      <c r="E25" t="s">
        <v>25</v>
      </c>
      <c r="F25" t="s">
        <v>38</v>
      </c>
      <c r="G25" t="s">
        <v>2903</v>
      </c>
      <c r="H25">
        <v>97</v>
      </c>
      <c r="I25">
        <v>9</v>
      </c>
      <c r="J25">
        <v>0</v>
      </c>
      <c r="K25" t="s">
        <v>17</v>
      </c>
    </row>
    <row r="26" spans="1:11">
      <c r="A26" t="s">
        <v>2925</v>
      </c>
      <c r="B26" s="2">
        <v>45726</v>
      </c>
      <c r="C26">
        <v>2025</v>
      </c>
      <c r="D26">
        <v>3</v>
      </c>
      <c r="E26" t="s">
        <v>60</v>
      </c>
      <c r="F26" t="s">
        <v>19</v>
      </c>
      <c r="G26" t="s">
        <v>2899</v>
      </c>
      <c r="H26">
        <v>91</v>
      </c>
      <c r="I26">
        <v>7</v>
      </c>
      <c r="J26">
        <v>6</v>
      </c>
      <c r="K26" t="s">
        <v>17</v>
      </c>
    </row>
    <row r="27" spans="1:11">
      <c r="A27" t="s">
        <v>2926</v>
      </c>
      <c r="B27" s="2">
        <v>45723</v>
      </c>
      <c r="C27">
        <v>2025</v>
      </c>
      <c r="D27">
        <v>3</v>
      </c>
      <c r="E27" t="s">
        <v>60</v>
      </c>
      <c r="F27" t="s">
        <v>78</v>
      </c>
      <c r="G27" t="s">
        <v>2899</v>
      </c>
      <c r="H27">
        <v>76</v>
      </c>
      <c r="I27">
        <v>6</v>
      </c>
      <c r="J27">
        <v>1</v>
      </c>
      <c r="K27" t="s">
        <v>17</v>
      </c>
    </row>
    <row r="28" spans="1:11">
      <c r="A28" t="s">
        <v>2927</v>
      </c>
      <c r="B28" s="2">
        <v>45775</v>
      </c>
      <c r="C28">
        <v>2025</v>
      </c>
      <c r="D28">
        <v>4</v>
      </c>
      <c r="E28" t="s">
        <v>73</v>
      </c>
      <c r="F28" t="s">
        <v>2</v>
      </c>
      <c r="G28" t="s">
        <v>2906</v>
      </c>
      <c r="H28">
        <v>71</v>
      </c>
      <c r="I28">
        <v>4</v>
      </c>
      <c r="J28">
        <v>4</v>
      </c>
      <c r="K28" t="s">
        <v>10</v>
      </c>
    </row>
    <row r="29" spans="1:11">
      <c r="A29" t="s">
        <v>2928</v>
      </c>
      <c r="B29" s="2">
        <v>45761</v>
      </c>
      <c r="C29">
        <v>2025</v>
      </c>
      <c r="D29">
        <v>4</v>
      </c>
      <c r="E29" t="s">
        <v>73</v>
      </c>
      <c r="F29" t="s">
        <v>19</v>
      </c>
      <c r="G29" t="s">
        <v>2897</v>
      </c>
      <c r="H29">
        <v>76</v>
      </c>
      <c r="I29">
        <v>8</v>
      </c>
      <c r="J29">
        <v>4</v>
      </c>
      <c r="K29" t="s">
        <v>17</v>
      </c>
    </row>
    <row r="30" spans="1:11">
      <c r="A30" t="s">
        <v>2929</v>
      </c>
      <c r="B30" s="2">
        <v>45762</v>
      </c>
      <c r="C30">
        <v>2025</v>
      </c>
      <c r="D30">
        <v>4</v>
      </c>
      <c r="E30" t="s">
        <v>73</v>
      </c>
      <c r="F30" t="s">
        <v>26</v>
      </c>
      <c r="G30" t="s">
        <v>2899</v>
      </c>
      <c r="H30">
        <v>96</v>
      </c>
      <c r="I30">
        <v>4</v>
      </c>
      <c r="J30">
        <v>3</v>
      </c>
      <c r="K30" t="s">
        <v>17</v>
      </c>
    </row>
    <row r="31" spans="1:11">
      <c r="A31" t="s">
        <v>2930</v>
      </c>
      <c r="B31" s="2">
        <v>45800</v>
      </c>
      <c r="C31">
        <v>2025</v>
      </c>
      <c r="D31">
        <v>5</v>
      </c>
      <c r="E31" t="s">
        <v>83</v>
      </c>
      <c r="F31" t="s">
        <v>38</v>
      </c>
      <c r="G31" t="s">
        <v>2897</v>
      </c>
      <c r="H31">
        <v>80</v>
      </c>
      <c r="I31">
        <v>5</v>
      </c>
      <c r="J31">
        <v>2</v>
      </c>
      <c r="K31" t="s">
        <v>17</v>
      </c>
    </row>
    <row r="32" spans="1:11">
      <c r="A32" t="s">
        <v>2931</v>
      </c>
      <c r="B32" s="2">
        <v>45801</v>
      </c>
      <c r="C32">
        <v>2025</v>
      </c>
      <c r="D32">
        <v>5</v>
      </c>
      <c r="E32" t="s">
        <v>83</v>
      </c>
      <c r="F32" t="s">
        <v>67</v>
      </c>
      <c r="G32" t="s">
        <v>2899</v>
      </c>
      <c r="H32">
        <v>92</v>
      </c>
      <c r="I32">
        <v>4</v>
      </c>
      <c r="J32">
        <v>1</v>
      </c>
      <c r="K32" t="s">
        <v>17</v>
      </c>
    </row>
    <row r="33" spans="1:11">
      <c r="A33" t="s">
        <v>2932</v>
      </c>
      <c r="B33" s="2">
        <v>45782</v>
      </c>
      <c r="C33">
        <v>2025</v>
      </c>
      <c r="D33">
        <v>5</v>
      </c>
      <c r="E33" t="s">
        <v>83</v>
      </c>
      <c r="F33" t="s">
        <v>31</v>
      </c>
      <c r="G33" t="s">
        <v>2895</v>
      </c>
      <c r="H33">
        <v>77</v>
      </c>
      <c r="I33">
        <v>10</v>
      </c>
      <c r="J33">
        <v>0</v>
      </c>
      <c r="K33" t="s">
        <v>17</v>
      </c>
    </row>
    <row r="34" spans="1:11">
      <c r="A34" t="s">
        <v>2933</v>
      </c>
      <c r="B34" s="2">
        <v>45809</v>
      </c>
      <c r="C34">
        <v>2025</v>
      </c>
      <c r="D34">
        <v>6</v>
      </c>
      <c r="E34" t="s">
        <v>87</v>
      </c>
      <c r="F34" t="s">
        <v>54</v>
      </c>
      <c r="G34" t="s">
        <v>2903</v>
      </c>
      <c r="H34">
        <v>83</v>
      </c>
      <c r="I34">
        <v>9</v>
      </c>
      <c r="J34">
        <v>2</v>
      </c>
      <c r="K34" t="s">
        <v>17</v>
      </c>
    </row>
    <row r="35" spans="1:11">
      <c r="A35" t="s">
        <v>2934</v>
      </c>
      <c r="B35" s="2">
        <v>45824</v>
      </c>
      <c r="C35">
        <v>2025</v>
      </c>
      <c r="D35">
        <v>6</v>
      </c>
      <c r="E35" t="s">
        <v>87</v>
      </c>
      <c r="F35" t="s">
        <v>40</v>
      </c>
      <c r="G35" t="s">
        <v>2895</v>
      </c>
      <c r="H35">
        <v>87</v>
      </c>
      <c r="I35">
        <v>3</v>
      </c>
      <c r="J35">
        <v>2</v>
      </c>
      <c r="K35" t="s">
        <v>17</v>
      </c>
    </row>
    <row r="36" spans="1:11">
      <c r="A36" t="s">
        <v>2935</v>
      </c>
      <c r="B36" s="2">
        <v>45839</v>
      </c>
      <c r="C36">
        <v>2025</v>
      </c>
      <c r="D36">
        <v>7</v>
      </c>
      <c r="E36" t="s">
        <v>93</v>
      </c>
      <c r="F36" t="s">
        <v>31</v>
      </c>
      <c r="G36" t="s">
        <v>2899</v>
      </c>
      <c r="H36">
        <v>89</v>
      </c>
      <c r="I36">
        <v>7</v>
      </c>
      <c r="J36">
        <v>0</v>
      </c>
      <c r="K36" t="s">
        <v>17</v>
      </c>
    </row>
    <row r="37" spans="1:11">
      <c r="A37" t="s">
        <v>2936</v>
      </c>
      <c r="B37" s="2">
        <v>45858</v>
      </c>
      <c r="C37">
        <v>2025</v>
      </c>
      <c r="D37">
        <v>7</v>
      </c>
      <c r="E37" t="s">
        <v>93</v>
      </c>
      <c r="F37" t="s">
        <v>2</v>
      </c>
      <c r="G37" t="s">
        <v>2895</v>
      </c>
      <c r="H37">
        <v>86</v>
      </c>
      <c r="I37">
        <v>3</v>
      </c>
      <c r="J37">
        <v>1</v>
      </c>
      <c r="K37" t="s">
        <v>17</v>
      </c>
    </row>
    <row r="38" spans="1:11">
      <c r="A38" t="s">
        <v>2937</v>
      </c>
      <c r="B38" s="2">
        <v>45872</v>
      </c>
      <c r="C38">
        <v>2025</v>
      </c>
      <c r="D38">
        <v>8</v>
      </c>
      <c r="E38" t="s">
        <v>101</v>
      </c>
      <c r="F38" t="s">
        <v>67</v>
      </c>
      <c r="G38" t="s">
        <v>2903</v>
      </c>
      <c r="H38">
        <v>77</v>
      </c>
      <c r="I38">
        <v>2</v>
      </c>
      <c r="J38">
        <v>0</v>
      </c>
      <c r="K38" t="s">
        <v>17</v>
      </c>
    </row>
    <row r="39" spans="1:11">
      <c r="A39" t="s">
        <v>2938</v>
      </c>
      <c r="B39" s="2">
        <v>45884</v>
      </c>
      <c r="C39">
        <v>2025</v>
      </c>
      <c r="D39">
        <v>8</v>
      </c>
      <c r="E39" t="s">
        <v>101</v>
      </c>
      <c r="F39" t="s">
        <v>54</v>
      </c>
      <c r="G39" t="s">
        <v>2897</v>
      </c>
      <c r="H39">
        <v>74</v>
      </c>
      <c r="I39">
        <v>8</v>
      </c>
      <c r="J39">
        <v>0</v>
      </c>
      <c r="K39" t="s">
        <v>17</v>
      </c>
    </row>
    <row r="40" spans="1:11">
      <c r="A40" t="s">
        <v>2939</v>
      </c>
      <c r="B40" s="2">
        <v>45891</v>
      </c>
      <c r="C40">
        <v>2025</v>
      </c>
      <c r="D40">
        <v>8</v>
      </c>
      <c r="E40" t="s">
        <v>101</v>
      </c>
      <c r="F40" t="s">
        <v>38</v>
      </c>
      <c r="G40" t="s">
        <v>2901</v>
      </c>
      <c r="H40">
        <v>95</v>
      </c>
      <c r="I40">
        <v>0</v>
      </c>
      <c r="J40">
        <v>0</v>
      </c>
      <c r="K40" t="s">
        <v>10</v>
      </c>
    </row>
    <row r="41" spans="1:11">
      <c r="A41" t="s">
        <v>2940</v>
      </c>
      <c r="B41" s="2">
        <v>45909</v>
      </c>
      <c r="C41">
        <v>2025</v>
      </c>
      <c r="D41">
        <v>9</v>
      </c>
      <c r="E41" t="s">
        <v>105</v>
      </c>
      <c r="F41" t="s">
        <v>26</v>
      </c>
      <c r="G41" t="s">
        <v>2903</v>
      </c>
      <c r="H41">
        <v>86</v>
      </c>
      <c r="I41">
        <v>0</v>
      </c>
      <c r="J41">
        <v>0</v>
      </c>
      <c r="K41" t="s">
        <v>10</v>
      </c>
    </row>
    <row r="42" spans="1:11">
      <c r="A42" t="s">
        <v>2941</v>
      </c>
      <c r="B42" s="2">
        <v>45905</v>
      </c>
      <c r="C42">
        <v>2025</v>
      </c>
      <c r="D42">
        <v>9</v>
      </c>
      <c r="E42" t="s">
        <v>105</v>
      </c>
      <c r="F42" t="s">
        <v>40</v>
      </c>
      <c r="G42" t="s">
        <v>2901</v>
      </c>
      <c r="H42">
        <v>79</v>
      </c>
      <c r="I42">
        <v>5</v>
      </c>
      <c r="J42">
        <v>2</v>
      </c>
      <c r="K42" t="s">
        <v>17</v>
      </c>
    </row>
    <row r="43" spans="1:11">
      <c r="A43" t="s">
        <v>2942</v>
      </c>
      <c r="B43" s="2">
        <v>45915</v>
      </c>
      <c r="C43">
        <v>2025</v>
      </c>
      <c r="D43">
        <v>9</v>
      </c>
      <c r="E43" t="s">
        <v>105</v>
      </c>
      <c r="F43" t="s">
        <v>2</v>
      </c>
      <c r="G43" t="s">
        <v>2910</v>
      </c>
      <c r="H43">
        <v>79</v>
      </c>
      <c r="I43">
        <v>10</v>
      </c>
      <c r="J43">
        <v>0</v>
      </c>
      <c r="K43" t="s">
        <v>17</v>
      </c>
    </row>
    <row r="44" spans="1:11">
      <c r="A44" t="s">
        <v>2943</v>
      </c>
      <c r="B44" s="2">
        <v>45954</v>
      </c>
      <c r="C44">
        <v>2025</v>
      </c>
      <c r="D44">
        <v>10</v>
      </c>
      <c r="E44" t="s">
        <v>113</v>
      </c>
      <c r="F44" t="s">
        <v>31</v>
      </c>
      <c r="G44" t="s">
        <v>2901</v>
      </c>
      <c r="H44">
        <v>68</v>
      </c>
      <c r="I44">
        <v>2</v>
      </c>
      <c r="J44">
        <v>1</v>
      </c>
      <c r="K44" t="s">
        <v>17</v>
      </c>
    </row>
    <row r="45" spans="1:11">
      <c r="A45" t="s">
        <v>2944</v>
      </c>
      <c r="B45" s="2">
        <v>45982</v>
      </c>
      <c r="C45">
        <v>2025</v>
      </c>
      <c r="D45">
        <v>11</v>
      </c>
      <c r="E45" t="s">
        <v>117</v>
      </c>
      <c r="F45" t="s">
        <v>38</v>
      </c>
      <c r="G45" t="s">
        <v>2906</v>
      </c>
      <c r="H45">
        <v>87</v>
      </c>
      <c r="I45">
        <v>2</v>
      </c>
      <c r="J45">
        <v>1</v>
      </c>
      <c r="K45" t="s">
        <v>17</v>
      </c>
    </row>
    <row r="46" spans="1:11">
      <c r="A46" t="s">
        <v>2945</v>
      </c>
      <c r="B46" s="2">
        <v>45963</v>
      </c>
      <c r="C46">
        <v>2025</v>
      </c>
      <c r="D46">
        <v>11</v>
      </c>
      <c r="E46" t="s">
        <v>117</v>
      </c>
      <c r="F46" t="s">
        <v>19</v>
      </c>
      <c r="G46" t="s">
        <v>2899</v>
      </c>
      <c r="H46">
        <v>94</v>
      </c>
      <c r="I46">
        <v>8</v>
      </c>
      <c r="J46">
        <v>2</v>
      </c>
      <c r="K46" t="s">
        <v>17</v>
      </c>
    </row>
    <row r="47" spans="1:11">
      <c r="A47" t="s">
        <v>2946</v>
      </c>
      <c r="B47" s="2">
        <v>46004</v>
      </c>
      <c r="C47">
        <v>2025</v>
      </c>
      <c r="D47">
        <v>12</v>
      </c>
      <c r="E47" t="s">
        <v>124</v>
      </c>
      <c r="F47" t="s">
        <v>78</v>
      </c>
      <c r="G47" t="s">
        <v>2895</v>
      </c>
      <c r="H47">
        <v>80</v>
      </c>
      <c r="I47">
        <v>6</v>
      </c>
      <c r="J47">
        <v>1</v>
      </c>
      <c r="K47" t="s">
        <v>17</v>
      </c>
    </row>
    <row r="48" spans="1:11">
      <c r="A48" t="s">
        <v>2947</v>
      </c>
      <c r="B48" s="2">
        <v>46027</v>
      </c>
      <c r="C48">
        <v>2026</v>
      </c>
      <c r="D48">
        <v>1</v>
      </c>
      <c r="E48" t="s">
        <v>1</v>
      </c>
      <c r="F48" t="s">
        <v>54</v>
      </c>
      <c r="G48" t="s">
        <v>2899</v>
      </c>
      <c r="H48">
        <v>72</v>
      </c>
      <c r="I48">
        <v>1</v>
      </c>
      <c r="J48">
        <v>1</v>
      </c>
      <c r="K48" t="s">
        <v>10</v>
      </c>
    </row>
    <row r="49" spans="1:11">
      <c r="A49" t="s">
        <v>2948</v>
      </c>
      <c r="B49" s="2">
        <v>46045</v>
      </c>
      <c r="C49">
        <v>2026</v>
      </c>
      <c r="D49">
        <v>1</v>
      </c>
      <c r="E49" t="s">
        <v>1</v>
      </c>
      <c r="F49" t="s">
        <v>78</v>
      </c>
      <c r="G49" t="s">
        <v>2901</v>
      </c>
      <c r="H49">
        <v>83</v>
      </c>
      <c r="I49">
        <v>0</v>
      </c>
      <c r="J49">
        <v>0</v>
      </c>
      <c r="K49" t="s">
        <v>10</v>
      </c>
    </row>
    <row r="50" spans="1:11">
      <c r="A50" t="s">
        <v>2949</v>
      </c>
      <c r="B50" s="2">
        <v>46033</v>
      </c>
      <c r="C50">
        <v>2026</v>
      </c>
      <c r="D50">
        <v>1</v>
      </c>
      <c r="E50" t="s">
        <v>1</v>
      </c>
      <c r="F50" t="s">
        <v>31</v>
      </c>
      <c r="G50" t="s">
        <v>2897</v>
      </c>
      <c r="H50">
        <v>80</v>
      </c>
      <c r="I50">
        <v>3</v>
      </c>
      <c r="J50">
        <v>2</v>
      </c>
      <c r="K50" t="s">
        <v>17</v>
      </c>
    </row>
    <row r="51" spans="1:11">
      <c r="A51" t="s">
        <v>2950</v>
      </c>
      <c r="B51" s="2">
        <v>46068</v>
      </c>
      <c r="C51">
        <v>2026</v>
      </c>
      <c r="D51">
        <v>2</v>
      </c>
      <c r="E51" t="s">
        <v>25</v>
      </c>
      <c r="F51" t="s">
        <v>26</v>
      </c>
      <c r="G51" t="s">
        <v>2901</v>
      </c>
      <c r="H51">
        <v>90</v>
      </c>
      <c r="I51">
        <v>11</v>
      </c>
      <c r="J51">
        <v>4</v>
      </c>
      <c r="K51" t="s">
        <v>17</v>
      </c>
    </row>
    <row r="52" spans="1:11">
      <c r="A52" t="s">
        <v>2951</v>
      </c>
      <c r="B52" s="2">
        <v>46073</v>
      </c>
      <c r="C52">
        <v>2026</v>
      </c>
      <c r="D52">
        <v>2</v>
      </c>
      <c r="E52" t="s">
        <v>25</v>
      </c>
      <c r="F52" t="s">
        <v>40</v>
      </c>
      <c r="G52" t="s">
        <v>2897</v>
      </c>
      <c r="H52">
        <v>72</v>
      </c>
      <c r="I52">
        <v>4</v>
      </c>
      <c r="J52">
        <v>4</v>
      </c>
      <c r="K52" t="s">
        <v>10</v>
      </c>
    </row>
    <row r="53" spans="1:11">
      <c r="A53" t="s">
        <v>2952</v>
      </c>
      <c r="B53" s="2">
        <v>46063</v>
      </c>
      <c r="C53">
        <v>2026</v>
      </c>
      <c r="D53">
        <v>2</v>
      </c>
      <c r="E53" t="s">
        <v>25</v>
      </c>
      <c r="F53" t="s">
        <v>47</v>
      </c>
      <c r="G53" t="s">
        <v>2897</v>
      </c>
      <c r="H53">
        <v>74</v>
      </c>
      <c r="I53">
        <v>5</v>
      </c>
      <c r="J53">
        <v>2</v>
      </c>
      <c r="K53" t="s">
        <v>17</v>
      </c>
    </row>
    <row r="54" spans="1:11">
      <c r="A54" t="s">
        <v>2953</v>
      </c>
      <c r="B54" s="2">
        <v>46096</v>
      </c>
      <c r="C54">
        <v>2026</v>
      </c>
      <c r="D54">
        <v>3</v>
      </c>
      <c r="E54" t="s">
        <v>60</v>
      </c>
      <c r="F54" t="s">
        <v>54</v>
      </c>
      <c r="G54" t="s">
        <v>2901</v>
      </c>
      <c r="H54">
        <v>72</v>
      </c>
      <c r="I54">
        <v>2</v>
      </c>
      <c r="J54">
        <v>2</v>
      </c>
      <c r="K54" t="s">
        <v>10</v>
      </c>
    </row>
    <row r="55" spans="1:11">
      <c r="A55" t="s">
        <v>2954</v>
      </c>
      <c r="B55" s="2">
        <v>46100</v>
      </c>
      <c r="C55">
        <v>2026</v>
      </c>
      <c r="D55">
        <v>3</v>
      </c>
      <c r="E55" t="s">
        <v>60</v>
      </c>
      <c r="F55" t="s">
        <v>54</v>
      </c>
      <c r="G55" t="s">
        <v>2903</v>
      </c>
      <c r="H55">
        <v>69</v>
      </c>
      <c r="I55">
        <v>5</v>
      </c>
      <c r="J55">
        <v>3</v>
      </c>
      <c r="K55" t="s">
        <v>17</v>
      </c>
    </row>
    <row r="56" spans="1:11">
      <c r="A56" t="s">
        <v>2955</v>
      </c>
      <c r="B56" s="2">
        <v>46099</v>
      </c>
      <c r="C56">
        <v>2026</v>
      </c>
      <c r="D56">
        <v>3</v>
      </c>
      <c r="E56" t="s">
        <v>60</v>
      </c>
      <c r="F56" t="s">
        <v>26</v>
      </c>
      <c r="G56" t="s">
        <v>2910</v>
      </c>
      <c r="H56">
        <v>98</v>
      </c>
      <c r="I56">
        <v>9</v>
      </c>
      <c r="J56">
        <v>8</v>
      </c>
      <c r="K56" t="s">
        <v>17</v>
      </c>
    </row>
    <row r="57" spans="1:11">
      <c r="A57" t="s">
        <v>2956</v>
      </c>
      <c r="B57" s="2">
        <v>46140</v>
      </c>
      <c r="C57">
        <v>2026</v>
      </c>
      <c r="D57">
        <v>4</v>
      </c>
      <c r="E57" t="s">
        <v>73</v>
      </c>
      <c r="F57" t="s">
        <v>31</v>
      </c>
      <c r="G57" t="s">
        <v>2899</v>
      </c>
      <c r="H57">
        <v>82</v>
      </c>
      <c r="I57">
        <v>1</v>
      </c>
      <c r="J57">
        <v>1</v>
      </c>
      <c r="K57" t="s">
        <v>10</v>
      </c>
    </row>
    <row r="58" spans="1:11">
      <c r="A58" t="s">
        <v>2957</v>
      </c>
      <c r="B58" s="2">
        <v>46146</v>
      </c>
      <c r="C58">
        <v>2026</v>
      </c>
      <c r="D58">
        <v>5</v>
      </c>
      <c r="E58" t="s">
        <v>83</v>
      </c>
      <c r="F58" t="s">
        <v>19</v>
      </c>
      <c r="G58" t="s">
        <v>2897</v>
      </c>
      <c r="H58">
        <v>97</v>
      </c>
      <c r="I58">
        <v>3</v>
      </c>
      <c r="J58">
        <v>1</v>
      </c>
      <c r="K58" t="s">
        <v>17</v>
      </c>
    </row>
    <row r="59" spans="1:11">
      <c r="A59" t="s">
        <v>2958</v>
      </c>
      <c r="B59" s="2">
        <v>46181</v>
      </c>
      <c r="C59">
        <v>2026</v>
      </c>
      <c r="D59">
        <v>6</v>
      </c>
      <c r="E59" t="s">
        <v>87</v>
      </c>
      <c r="F59" t="s">
        <v>78</v>
      </c>
      <c r="G59" t="s">
        <v>2906</v>
      </c>
      <c r="H59">
        <v>86</v>
      </c>
      <c r="I59">
        <v>0</v>
      </c>
      <c r="J59">
        <v>0</v>
      </c>
      <c r="K59" t="s">
        <v>10</v>
      </c>
    </row>
    <row r="60" spans="1:11">
      <c r="A60" t="s">
        <v>2959</v>
      </c>
      <c r="B60" s="2">
        <v>46191</v>
      </c>
      <c r="C60">
        <v>2026</v>
      </c>
      <c r="D60">
        <v>6</v>
      </c>
      <c r="E60" t="s">
        <v>87</v>
      </c>
      <c r="F60" t="s">
        <v>2</v>
      </c>
      <c r="G60" t="s">
        <v>2903</v>
      </c>
      <c r="H60">
        <v>72</v>
      </c>
      <c r="I60">
        <v>3</v>
      </c>
      <c r="J60">
        <v>1</v>
      </c>
      <c r="K60" t="s">
        <v>17</v>
      </c>
    </row>
    <row r="61" spans="1:11">
      <c r="A61" t="s">
        <v>2960</v>
      </c>
      <c r="B61" s="2">
        <v>46201</v>
      </c>
      <c r="C61">
        <v>2026</v>
      </c>
      <c r="D61">
        <v>6</v>
      </c>
      <c r="E61" t="s">
        <v>87</v>
      </c>
      <c r="F61" t="s">
        <v>67</v>
      </c>
      <c r="G61" t="s">
        <v>2903</v>
      </c>
      <c r="H61">
        <v>70</v>
      </c>
      <c r="I61">
        <v>11</v>
      </c>
      <c r="J61">
        <v>4</v>
      </c>
      <c r="K61" t="s">
        <v>17</v>
      </c>
    </row>
  </sheetData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</sheetPr>
  <dimension ref="A1:I3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18.7109375" customWidth="1"/>
    <col min="3" max="3" width="13.7109375" customWidth="1"/>
    <col min="4" max="5" width="11.7109375" customWidth="1"/>
    <col min="6" max="6" width="13.7109375" customWidth="1"/>
    <col min="7" max="7" width="11.7109375" customWidth="1"/>
  </cols>
  <sheetData>
    <row r="1" spans="1:9">
      <c r="A1" t="s">
        <v>3013</v>
      </c>
      <c r="B1" t="s">
        <v>3014</v>
      </c>
      <c r="C1" t="s">
        <v>191</v>
      </c>
      <c r="D1" t="s">
        <v>3015</v>
      </c>
      <c r="E1" t="s">
        <v>3016</v>
      </c>
      <c r="F1" t="s">
        <v>3017</v>
      </c>
      <c r="G1" t="s">
        <v>2154</v>
      </c>
      <c r="I1" s="1" t="s">
        <v>203</v>
      </c>
    </row>
    <row r="2" spans="1:9">
      <c r="A2" t="s">
        <v>2966</v>
      </c>
      <c r="B2" t="s">
        <v>2967</v>
      </c>
      <c r="C2" t="s">
        <v>38</v>
      </c>
      <c r="D2" t="s">
        <v>2968</v>
      </c>
      <c r="E2" s="2">
        <v>46322</v>
      </c>
      <c r="F2" t="s">
        <v>2969</v>
      </c>
      <c r="G2" t="s">
        <v>2970</v>
      </c>
    </row>
    <row r="3" spans="1:9">
      <c r="A3" t="s">
        <v>2971</v>
      </c>
      <c r="B3" t="s">
        <v>2967</v>
      </c>
      <c r="C3" t="s">
        <v>19</v>
      </c>
      <c r="D3" t="s">
        <v>2968</v>
      </c>
      <c r="E3" s="2">
        <v>46283</v>
      </c>
      <c r="F3" t="s">
        <v>2969</v>
      </c>
      <c r="G3" t="s">
        <v>2972</v>
      </c>
    </row>
    <row r="4" spans="1:9">
      <c r="A4" t="s">
        <v>2973</v>
      </c>
      <c r="B4" t="s">
        <v>2967</v>
      </c>
      <c r="C4" t="s">
        <v>67</v>
      </c>
      <c r="D4" t="s">
        <v>2968</v>
      </c>
      <c r="E4" s="2">
        <v>46206</v>
      </c>
      <c r="F4" t="s">
        <v>2969</v>
      </c>
      <c r="G4" t="s">
        <v>2970</v>
      </c>
    </row>
    <row r="5" spans="1:9">
      <c r="A5" t="s">
        <v>2974</v>
      </c>
      <c r="B5" t="s">
        <v>2975</v>
      </c>
      <c r="C5" t="s">
        <v>40</v>
      </c>
      <c r="D5" t="s">
        <v>2976</v>
      </c>
      <c r="E5" s="2">
        <v>46259</v>
      </c>
      <c r="F5" t="s">
        <v>2977</v>
      </c>
      <c r="G5" t="s">
        <v>2972</v>
      </c>
    </row>
    <row r="6" spans="1:9">
      <c r="A6" t="s">
        <v>2978</v>
      </c>
      <c r="B6" t="s">
        <v>2975</v>
      </c>
      <c r="C6" t="s">
        <v>67</v>
      </c>
      <c r="D6" t="s">
        <v>2968</v>
      </c>
      <c r="E6" s="2">
        <v>46372</v>
      </c>
      <c r="F6" t="s">
        <v>2969</v>
      </c>
      <c r="G6" t="s">
        <v>2979</v>
      </c>
    </row>
    <row r="7" spans="1:9">
      <c r="A7" t="s">
        <v>2980</v>
      </c>
      <c r="B7" t="s">
        <v>2975</v>
      </c>
      <c r="C7" t="s">
        <v>2</v>
      </c>
      <c r="D7" t="s">
        <v>2968</v>
      </c>
      <c r="E7" s="2">
        <v>46215</v>
      </c>
      <c r="F7" t="s">
        <v>2969</v>
      </c>
      <c r="G7" t="s">
        <v>2972</v>
      </c>
    </row>
    <row r="8" spans="1:9">
      <c r="A8" t="s">
        <v>2981</v>
      </c>
      <c r="B8" t="s">
        <v>2982</v>
      </c>
      <c r="C8" t="s">
        <v>47</v>
      </c>
      <c r="D8" t="s">
        <v>2968</v>
      </c>
      <c r="E8" s="2">
        <v>46105</v>
      </c>
      <c r="F8" t="s">
        <v>2969</v>
      </c>
      <c r="G8" t="s">
        <v>2979</v>
      </c>
    </row>
    <row r="9" spans="1:9">
      <c r="A9" t="s">
        <v>2983</v>
      </c>
      <c r="B9" t="s">
        <v>2982</v>
      </c>
      <c r="C9" t="s">
        <v>38</v>
      </c>
      <c r="D9" t="s">
        <v>2968</v>
      </c>
      <c r="E9" s="2">
        <v>46123</v>
      </c>
      <c r="F9" t="s">
        <v>2969</v>
      </c>
      <c r="G9" t="s">
        <v>2979</v>
      </c>
    </row>
    <row r="10" spans="1:9">
      <c r="A10" t="s">
        <v>2984</v>
      </c>
      <c r="B10" t="s">
        <v>2982</v>
      </c>
      <c r="C10" t="s">
        <v>67</v>
      </c>
      <c r="D10" t="s">
        <v>2968</v>
      </c>
      <c r="E10" s="2">
        <v>46376</v>
      </c>
      <c r="F10" t="s">
        <v>2969</v>
      </c>
      <c r="G10" t="s">
        <v>2970</v>
      </c>
    </row>
    <row r="11" spans="1:9">
      <c r="A11" t="s">
        <v>2985</v>
      </c>
      <c r="B11" t="s">
        <v>2986</v>
      </c>
      <c r="C11" t="s">
        <v>40</v>
      </c>
      <c r="D11" t="s">
        <v>2976</v>
      </c>
      <c r="E11" s="2">
        <v>46101</v>
      </c>
      <c r="F11" t="s">
        <v>2977</v>
      </c>
      <c r="G11" t="s">
        <v>2979</v>
      </c>
    </row>
    <row r="12" spans="1:9">
      <c r="A12" t="s">
        <v>2987</v>
      </c>
      <c r="B12" t="s">
        <v>2986</v>
      </c>
      <c r="C12" t="s">
        <v>19</v>
      </c>
      <c r="D12" t="s">
        <v>2968</v>
      </c>
      <c r="E12" s="2">
        <v>46138</v>
      </c>
      <c r="F12" t="s">
        <v>2969</v>
      </c>
      <c r="G12" t="s">
        <v>2979</v>
      </c>
    </row>
    <row r="13" spans="1:9">
      <c r="A13" t="s">
        <v>2988</v>
      </c>
      <c r="B13" t="s">
        <v>2986</v>
      </c>
      <c r="C13" t="s">
        <v>67</v>
      </c>
      <c r="D13" t="s">
        <v>2968</v>
      </c>
      <c r="E13" s="2">
        <v>46178</v>
      </c>
      <c r="F13" t="s">
        <v>2969</v>
      </c>
      <c r="G13" t="s">
        <v>2979</v>
      </c>
    </row>
    <row r="14" spans="1:9">
      <c r="A14" t="s">
        <v>2989</v>
      </c>
      <c r="B14" t="s">
        <v>2990</v>
      </c>
      <c r="C14" t="s">
        <v>19</v>
      </c>
      <c r="D14" t="s">
        <v>2968</v>
      </c>
      <c r="E14" s="2">
        <v>46238</v>
      </c>
      <c r="F14" t="s">
        <v>2969</v>
      </c>
      <c r="G14" t="s">
        <v>2972</v>
      </c>
    </row>
    <row r="15" spans="1:9">
      <c r="A15" t="s">
        <v>2991</v>
      </c>
      <c r="B15" t="s">
        <v>2990</v>
      </c>
      <c r="C15" t="s">
        <v>31</v>
      </c>
      <c r="D15" t="s">
        <v>2968</v>
      </c>
      <c r="E15" s="2">
        <v>46158</v>
      </c>
      <c r="F15" t="s">
        <v>2969</v>
      </c>
      <c r="G15" t="s">
        <v>2972</v>
      </c>
    </row>
    <row r="16" spans="1:9">
      <c r="A16" t="s">
        <v>2992</v>
      </c>
      <c r="B16" t="s">
        <v>2990</v>
      </c>
      <c r="C16" t="s">
        <v>67</v>
      </c>
      <c r="D16" t="s">
        <v>2968</v>
      </c>
      <c r="E16" s="2">
        <v>46073</v>
      </c>
      <c r="F16" t="s">
        <v>2969</v>
      </c>
      <c r="G16" t="s">
        <v>2979</v>
      </c>
    </row>
    <row r="17" spans="1:7">
      <c r="A17" t="s">
        <v>2993</v>
      </c>
      <c r="B17" t="s">
        <v>2994</v>
      </c>
      <c r="C17" t="s">
        <v>40</v>
      </c>
      <c r="D17" t="s">
        <v>2976</v>
      </c>
      <c r="E17" s="2">
        <v>46292</v>
      </c>
      <c r="F17" t="s">
        <v>2977</v>
      </c>
      <c r="G17" t="s">
        <v>2979</v>
      </c>
    </row>
    <row r="18" spans="1:7">
      <c r="A18" t="s">
        <v>2995</v>
      </c>
      <c r="B18" t="s">
        <v>2994</v>
      </c>
      <c r="C18" t="s">
        <v>26</v>
      </c>
      <c r="D18" t="s">
        <v>2968</v>
      </c>
      <c r="E18" s="2">
        <v>46100</v>
      </c>
      <c r="F18" t="s">
        <v>2969</v>
      </c>
      <c r="G18" t="s">
        <v>2972</v>
      </c>
    </row>
    <row r="19" spans="1:7">
      <c r="A19" t="s">
        <v>2996</v>
      </c>
      <c r="B19" t="s">
        <v>2994</v>
      </c>
      <c r="C19" t="s">
        <v>19</v>
      </c>
      <c r="D19" t="s">
        <v>2976</v>
      </c>
      <c r="E19" s="2">
        <v>46289</v>
      </c>
      <c r="F19" t="s">
        <v>2977</v>
      </c>
      <c r="G19" t="s">
        <v>2970</v>
      </c>
    </row>
    <row r="20" spans="1:7">
      <c r="A20" t="s">
        <v>2997</v>
      </c>
      <c r="B20" t="s">
        <v>2998</v>
      </c>
      <c r="C20" t="s">
        <v>67</v>
      </c>
      <c r="D20" t="s">
        <v>2968</v>
      </c>
      <c r="E20" s="2">
        <v>46280</v>
      </c>
      <c r="F20" t="s">
        <v>2969</v>
      </c>
      <c r="G20" t="s">
        <v>2970</v>
      </c>
    </row>
    <row r="21" spans="1:7">
      <c r="A21" t="s">
        <v>2999</v>
      </c>
      <c r="B21" t="s">
        <v>2998</v>
      </c>
      <c r="C21" t="s">
        <v>2</v>
      </c>
      <c r="D21" t="s">
        <v>2968</v>
      </c>
      <c r="E21" s="2">
        <v>46075</v>
      </c>
      <c r="F21" t="s">
        <v>2969</v>
      </c>
      <c r="G21" t="s">
        <v>2979</v>
      </c>
    </row>
    <row r="22" spans="1:7">
      <c r="A22" t="s">
        <v>3000</v>
      </c>
      <c r="B22" t="s">
        <v>2998</v>
      </c>
      <c r="C22" t="s">
        <v>38</v>
      </c>
      <c r="D22" t="s">
        <v>2968</v>
      </c>
      <c r="E22" s="2">
        <v>46113</v>
      </c>
      <c r="F22" t="s">
        <v>2969</v>
      </c>
      <c r="G22" t="s">
        <v>2970</v>
      </c>
    </row>
    <row r="23" spans="1:7">
      <c r="A23" t="s">
        <v>3001</v>
      </c>
      <c r="B23" t="s">
        <v>3002</v>
      </c>
      <c r="C23" t="s">
        <v>40</v>
      </c>
      <c r="D23" t="s">
        <v>2968</v>
      </c>
      <c r="E23" s="2">
        <v>46159</v>
      </c>
      <c r="F23" t="s">
        <v>2969</v>
      </c>
      <c r="G23" t="s">
        <v>2972</v>
      </c>
    </row>
    <row r="24" spans="1:7">
      <c r="A24" t="s">
        <v>3003</v>
      </c>
      <c r="B24" t="s">
        <v>3002</v>
      </c>
      <c r="C24" t="s">
        <v>19</v>
      </c>
      <c r="D24" t="s">
        <v>2968</v>
      </c>
      <c r="E24" s="2">
        <v>46371</v>
      </c>
      <c r="F24" t="s">
        <v>2969</v>
      </c>
      <c r="G24" t="s">
        <v>2970</v>
      </c>
    </row>
    <row r="25" spans="1:7">
      <c r="A25" t="s">
        <v>3004</v>
      </c>
      <c r="B25" t="s">
        <v>3002</v>
      </c>
      <c r="C25" t="s">
        <v>26</v>
      </c>
      <c r="D25" t="s">
        <v>2968</v>
      </c>
      <c r="E25" s="2">
        <v>46207</v>
      </c>
      <c r="F25" t="s">
        <v>2969</v>
      </c>
      <c r="G25" t="s">
        <v>2979</v>
      </c>
    </row>
    <row r="26" spans="1:7">
      <c r="A26" t="s">
        <v>3005</v>
      </c>
      <c r="B26" t="s">
        <v>3006</v>
      </c>
      <c r="C26" t="s">
        <v>2</v>
      </c>
      <c r="D26" t="s">
        <v>2968</v>
      </c>
      <c r="E26" s="2">
        <v>46147</v>
      </c>
      <c r="F26" t="s">
        <v>2969</v>
      </c>
      <c r="G26" t="s">
        <v>2970</v>
      </c>
    </row>
    <row r="27" spans="1:7">
      <c r="A27" t="s">
        <v>3007</v>
      </c>
      <c r="B27" t="s">
        <v>3006</v>
      </c>
      <c r="C27" t="s">
        <v>19</v>
      </c>
      <c r="D27" t="s">
        <v>2968</v>
      </c>
      <c r="E27" s="2">
        <v>46168</v>
      </c>
      <c r="F27" t="s">
        <v>2969</v>
      </c>
      <c r="G27" t="s">
        <v>2979</v>
      </c>
    </row>
    <row r="28" spans="1:7">
      <c r="A28" t="s">
        <v>3008</v>
      </c>
      <c r="B28" t="s">
        <v>3006</v>
      </c>
      <c r="C28" t="s">
        <v>26</v>
      </c>
      <c r="D28" t="s">
        <v>2968</v>
      </c>
      <c r="E28" s="2">
        <v>46071</v>
      </c>
      <c r="F28" t="s">
        <v>2969</v>
      </c>
      <c r="G28" t="s">
        <v>2972</v>
      </c>
    </row>
    <row r="29" spans="1:7">
      <c r="A29" t="s">
        <v>3009</v>
      </c>
      <c r="B29" t="s">
        <v>3010</v>
      </c>
      <c r="C29" t="s">
        <v>38</v>
      </c>
      <c r="D29" t="s">
        <v>2968</v>
      </c>
      <c r="E29" s="2">
        <v>46342</v>
      </c>
      <c r="F29" t="s">
        <v>2969</v>
      </c>
      <c r="G29" t="s">
        <v>2970</v>
      </c>
    </row>
    <row r="30" spans="1:7">
      <c r="A30" t="s">
        <v>3011</v>
      </c>
      <c r="B30" t="s">
        <v>3010</v>
      </c>
      <c r="C30" t="s">
        <v>19</v>
      </c>
      <c r="D30" t="s">
        <v>2968</v>
      </c>
      <c r="E30" s="2">
        <v>46302</v>
      </c>
      <c r="F30" t="s">
        <v>2969</v>
      </c>
      <c r="G30" t="s">
        <v>2970</v>
      </c>
    </row>
    <row r="31" spans="1:7">
      <c r="A31" t="s">
        <v>3012</v>
      </c>
      <c r="B31" t="s">
        <v>3010</v>
      </c>
      <c r="C31" t="s">
        <v>67</v>
      </c>
      <c r="D31" t="s">
        <v>2976</v>
      </c>
      <c r="E31" s="2">
        <v>46039</v>
      </c>
      <c r="F31" t="s">
        <v>2977</v>
      </c>
      <c r="G31" t="s">
        <v>2970</v>
      </c>
    </row>
  </sheetData>
  <hyperlinks>
    <hyperlink ref="I1" location="'Home'!A1" display="Hom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</sheetPr>
  <dimension ref="A1:N994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11.7109375" customWidth="1"/>
    <col min="8" max="8" width="14.7109375" customWidth="1"/>
    <col min="9" max="9" width="13.7109375" customWidth="1"/>
    <col min="10" max="10" width="11.7109375" customWidth="1"/>
    <col min="11" max="11" width="13.7109375" customWidth="1"/>
    <col min="12" max="12" width="11.7109375" customWidth="1"/>
  </cols>
  <sheetData>
    <row r="1" spans="1:14">
      <c r="A1" t="s">
        <v>4018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4019</v>
      </c>
      <c r="I1" t="s">
        <v>198</v>
      </c>
      <c r="J1" t="s">
        <v>193</v>
      </c>
      <c r="K1" t="s">
        <v>3017</v>
      </c>
      <c r="L1" t="s">
        <v>201</v>
      </c>
      <c r="N1" s="1" t="s">
        <v>203</v>
      </c>
    </row>
    <row r="2" spans="1:14">
      <c r="A2" t="s">
        <v>3018</v>
      </c>
      <c r="B2" s="2">
        <v>45306</v>
      </c>
      <c r="C2">
        <v>2024</v>
      </c>
      <c r="D2">
        <v>1</v>
      </c>
      <c r="E2" t="s">
        <v>1</v>
      </c>
      <c r="F2" t="s">
        <v>47</v>
      </c>
      <c r="G2" t="s">
        <v>48</v>
      </c>
      <c r="H2" t="s">
        <v>3019</v>
      </c>
      <c r="I2" t="s">
        <v>15</v>
      </c>
      <c r="J2" t="s">
        <v>12</v>
      </c>
      <c r="K2" t="s">
        <v>2969</v>
      </c>
      <c r="L2" t="s">
        <v>10</v>
      </c>
    </row>
    <row r="3" spans="1:14">
      <c r="A3" t="s">
        <v>3020</v>
      </c>
      <c r="B3" s="2">
        <v>45304</v>
      </c>
      <c r="C3">
        <v>2024</v>
      </c>
      <c r="D3">
        <v>1</v>
      </c>
      <c r="E3" t="s">
        <v>1</v>
      </c>
      <c r="F3" t="s">
        <v>78</v>
      </c>
      <c r="G3" t="s">
        <v>74</v>
      </c>
      <c r="H3" t="s">
        <v>51</v>
      </c>
      <c r="I3" t="s">
        <v>22</v>
      </c>
      <c r="J3" t="s">
        <v>4</v>
      </c>
      <c r="K3" t="s">
        <v>2969</v>
      </c>
      <c r="L3" t="s">
        <v>10</v>
      </c>
    </row>
    <row r="4" spans="1:14">
      <c r="A4" t="s">
        <v>3021</v>
      </c>
      <c r="B4" s="2">
        <v>45299</v>
      </c>
      <c r="C4">
        <v>2024</v>
      </c>
      <c r="D4">
        <v>1</v>
      </c>
      <c r="E4" t="s">
        <v>1</v>
      </c>
      <c r="F4" t="s">
        <v>26</v>
      </c>
      <c r="G4" t="s">
        <v>3</v>
      </c>
      <c r="H4" t="s">
        <v>3022</v>
      </c>
      <c r="I4" t="s">
        <v>8</v>
      </c>
      <c r="J4" t="s">
        <v>44</v>
      </c>
      <c r="K4" t="s">
        <v>2969</v>
      </c>
      <c r="L4" t="s">
        <v>10</v>
      </c>
    </row>
    <row r="5" spans="1:14">
      <c r="A5" t="s">
        <v>3023</v>
      </c>
      <c r="B5" s="2">
        <v>45295</v>
      </c>
      <c r="C5">
        <v>2024</v>
      </c>
      <c r="D5">
        <v>1</v>
      </c>
      <c r="E5" t="s">
        <v>1</v>
      </c>
      <c r="F5" t="s">
        <v>47</v>
      </c>
      <c r="G5" t="s">
        <v>20</v>
      </c>
      <c r="H5" t="s">
        <v>51</v>
      </c>
      <c r="I5" t="s">
        <v>42</v>
      </c>
      <c r="J5" t="s">
        <v>4</v>
      </c>
      <c r="K5" t="s">
        <v>2969</v>
      </c>
      <c r="L5" t="s">
        <v>17</v>
      </c>
    </row>
    <row r="6" spans="1:14">
      <c r="A6" t="s">
        <v>3024</v>
      </c>
      <c r="B6" s="2">
        <v>45301</v>
      </c>
      <c r="C6">
        <v>2024</v>
      </c>
      <c r="D6">
        <v>1</v>
      </c>
      <c r="E6" t="s">
        <v>1</v>
      </c>
      <c r="F6" t="s">
        <v>78</v>
      </c>
      <c r="G6" t="s">
        <v>94</v>
      </c>
      <c r="H6" t="s">
        <v>51</v>
      </c>
      <c r="I6" t="s">
        <v>15</v>
      </c>
      <c r="J6" t="s">
        <v>12</v>
      </c>
      <c r="K6" t="s">
        <v>2969</v>
      </c>
      <c r="L6" t="s">
        <v>10</v>
      </c>
    </row>
    <row r="7" spans="1:14">
      <c r="A7" t="s">
        <v>3025</v>
      </c>
      <c r="B7" s="2">
        <v>45310</v>
      </c>
      <c r="C7">
        <v>2024</v>
      </c>
      <c r="D7">
        <v>1</v>
      </c>
      <c r="E7" t="s">
        <v>1</v>
      </c>
      <c r="F7" t="s">
        <v>26</v>
      </c>
      <c r="G7" t="s">
        <v>94</v>
      </c>
      <c r="H7" t="s">
        <v>3026</v>
      </c>
      <c r="I7" t="s">
        <v>22</v>
      </c>
      <c r="J7" t="s">
        <v>12</v>
      </c>
      <c r="K7" t="s">
        <v>2969</v>
      </c>
      <c r="L7" t="s">
        <v>10</v>
      </c>
    </row>
    <row r="8" spans="1:14">
      <c r="A8" t="s">
        <v>3027</v>
      </c>
      <c r="B8" s="2">
        <v>45295</v>
      </c>
      <c r="C8">
        <v>2024</v>
      </c>
      <c r="D8">
        <v>1</v>
      </c>
      <c r="E8" t="s">
        <v>1</v>
      </c>
      <c r="F8" t="s">
        <v>26</v>
      </c>
      <c r="G8" t="s">
        <v>32</v>
      </c>
      <c r="H8" t="s">
        <v>3026</v>
      </c>
      <c r="I8" t="s">
        <v>35</v>
      </c>
      <c r="J8" t="s">
        <v>12</v>
      </c>
      <c r="K8" t="s">
        <v>2969</v>
      </c>
      <c r="L8" t="s">
        <v>17</v>
      </c>
    </row>
    <row r="9" spans="1:14">
      <c r="A9" t="s">
        <v>3028</v>
      </c>
      <c r="B9" s="2">
        <v>45307</v>
      </c>
      <c r="C9">
        <v>2024</v>
      </c>
      <c r="D9">
        <v>1</v>
      </c>
      <c r="E9" t="s">
        <v>1</v>
      </c>
      <c r="F9" t="s">
        <v>19</v>
      </c>
      <c r="G9" t="s">
        <v>32</v>
      </c>
      <c r="H9" t="s">
        <v>3026</v>
      </c>
      <c r="I9" t="s">
        <v>52</v>
      </c>
      <c r="J9" t="s">
        <v>33</v>
      </c>
      <c r="K9" t="s">
        <v>2969</v>
      </c>
      <c r="L9" t="s">
        <v>10</v>
      </c>
    </row>
    <row r="10" spans="1:14">
      <c r="A10" t="s">
        <v>3029</v>
      </c>
      <c r="B10" s="2">
        <v>45302</v>
      </c>
      <c r="C10">
        <v>2024</v>
      </c>
      <c r="D10">
        <v>1</v>
      </c>
      <c r="E10" t="s">
        <v>1</v>
      </c>
      <c r="F10" t="s">
        <v>47</v>
      </c>
      <c r="G10" t="s">
        <v>69</v>
      </c>
      <c r="H10" t="s">
        <v>3026</v>
      </c>
      <c r="I10" t="s">
        <v>52</v>
      </c>
      <c r="J10" t="s">
        <v>33</v>
      </c>
      <c r="K10" t="s">
        <v>2969</v>
      </c>
      <c r="L10" t="s">
        <v>10</v>
      </c>
    </row>
    <row r="11" spans="1:14">
      <c r="A11" t="s">
        <v>3030</v>
      </c>
      <c r="B11" s="2">
        <v>45292</v>
      </c>
      <c r="C11">
        <v>2024</v>
      </c>
      <c r="D11">
        <v>1</v>
      </c>
      <c r="E11" t="s">
        <v>1</v>
      </c>
      <c r="F11" t="s">
        <v>40</v>
      </c>
      <c r="G11" t="s">
        <v>61</v>
      </c>
      <c r="H11" t="s">
        <v>3022</v>
      </c>
      <c r="I11" t="s">
        <v>22</v>
      </c>
      <c r="J11" t="s">
        <v>12</v>
      </c>
      <c r="K11" t="s">
        <v>2969</v>
      </c>
      <c r="L11" t="s">
        <v>10</v>
      </c>
    </row>
    <row r="12" spans="1:14">
      <c r="A12" t="s">
        <v>3031</v>
      </c>
      <c r="B12" s="2">
        <v>45301</v>
      </c>
      <c r="C12">
        <v>2024</v>
      </c>
      <c r="D12">
        <v>1</v>
      </c>
      <c r="E12" t="s">
        <v>1</v>
      </c>
      <c r="F12" t="s">
        <v>31</v>
      </c>
      <c r="G12" t="s">
        <v>55</v>
      </c>
      <c r="H12" t="s">
        <v>3032</v>
      </c>
      <c r="I12" t="s">
        <v>42</v>
      </c>
      <c r="J12" t="s">
        <v>4</v>
      </c>
      <c r="K12" t="s">
        <v>2969</v>
      </c>
      <c r="L12" t="s">
        <v>10</v>
      </c>
    </row>
    <row r="13" spans="1:14">
      <c r="A13" t="s">
        <v>3033</v>
      </c>
      <c r="B13" s="2">
        <v>45296</v>
      </c>
      <c r="C13">
        <v>2024</v>
      </c>
      <c r="D13">
        <v>1</v>
      </c>
      <c r="E13" t="s">
        <v>1</v>
      </c>
      <c r="F13" t="s">
        <v>31</v>
      </c>
      <c r="G13" t="s">
        <v>3</v>
      </c>
      <c r="H13" t="s">
        <v>3034</v>
      </c>
      <c r="I13" t="s">
        <v>8</v>
      </c>
      <c r="J13" t="s">
        <v>12</v>
      </c>
      <c r="K13" t="s">
        <v>2969</v>
      </c>
      <c r="L13" t="s">
        <v>10</v>
      </c>
    </row>
    <row r="14" spans="1:14">
      <c r="A14" t="s">
        <v>3035</v>
      </c>
      <c r="B14" s="2">
        <v>45313</v>
      </c>
      <c r="C14">
        <v>2024</v>
      </c>
      <c r="D14">
        <v>1</v>
      </c>
      <c r="E14" t="s">
        <v>1</v>
      </c>
      <c r="F14" t="s">
        <v>67</v>
      </c>
      <c r="G14" t="s">
        <v>32</v>
      </c>
      <c r="H14" t="s">
        <v>3034</v>
      </c>
      <c r="I14" t="s">
        <v>35</v>
      </c>
      <c r="J14" t="s">
        <v>33</v>
      </c>
      <c r="K14" t="s">
        <v>2969</v>
      </c>
      <c r="L14" t="s">
        <v>17</v>
      </c>
    </row>
    <row r="15" spans="1:14">
      <c r="A15" t="s">
        <v>3036</v>
      </c>
      <c r="B15" s="2">
        <v>45319</v>
      </c>
      <c r="C15">
        <v>2024</v>
      </c>
      <c r="D15">
        <v>1</v>
      </c>
      <c r="E15" t="s">
        <v>1</v>
      </c>
      <c r="F15" t="s">
        <v>47</v>
      </c>
      <c r="G15" t="s">
        <v>74</v>
      </c>
      <c r="H15" t="s">
        <v>3032</v>
      </c>
      <c r="I15" t="s">
        <v>35</v>
      </c>
      <c r="J15" t="s">
        <v>4</v>
      </c>
      <c r="K15" t="s">
        <v>2969</v>
      </c>
      <c r="L15" t="s">
        <v>10</v>
      </c>
    </row>
    <row r="16" spans="1:14">
      <c r="A16" t="s">
        <v>3037</v>
      </c>
      <c r="B16" s="2">
        <v>45309</v>
      </c>
      <c r="C16">
        <v>2024</v>
      </c>
      <c r="D16">
        <v>1</v>
      </c>
      <c r="E16" t="s">
        <v>1</v>
      </c>
      <c r="F16" t="s">
        <v>67</v>
      </c>
      <c r="G16" t="s">
        <v>3</v>
      </c>
      <c r="H16" t="s">
        <v>3019</v>
      </c>
      <c r="I16" t="s">
        <v>22</v>
      </c>
      <c r="J16" t="s">
        <v>33</v>
      </c>
      <c r="K16" t="s">
        <v>2969</v>
      </c>
      <c r="L16" t="s">
        <v>10</v>
      </c>
    </row>
    <row r="17" spans="1:12">
      <c r="A17" t="s">
        <v>3038</v>
      </c>
      <c r="B17" s="2">
        <v>45317</v>
      </c>
      <c r="C17">
        <v>2024</v>
      </c>
      <c r="D17">
        <v>1</v>
      </c>
      <c r="E17" t="s">
        <v>1</v>
      </c>
      <c r="F17" t="s">
        <v>54</v>
      </c>
      <c r="G17" t="s">
        <v>64</v>
      </c>
      <c r="H17" t="s">
        <v>3039</v>
      </c>
      <c r="I17" t="s">
        <v>35</v>
      </c>
      <c r="J17" t="s">
        <v>4</v>
      </c>
      <c r="K17" t="s">
        <v>2969</v>
      </c>
      <c r="L17" t="s">
        <v>10</v>
      </c>
    </row>
    <row r="18" spans="1:12">
      <c r="A18" t="s">
        <v>3040</v>
      </c>
      <c r="B18" s="2">
        <v>45304</v>
      </c>
      <c r="C18">
        <v>2024</v>
      </c>
      <c r="D18">
        <v>1</v>
      </c>
      <c r="E18" t="s">
        <v>1</v>
      </c>
      <c r="F18" t="s">
        <v>40</v>
      </c>
      <c r="G18" t="s">
        <v>74</v>
      </c>
      <c r="H18" t="s">
        <v>3039</v>
      </c>
      <c r="I18" t="s">
        <v>22</v>
      </c>
      <c r="J18" t="s">
        <v>44</v>
      </c>
      <c r="K18" t="s">
        <v>2969</v>
      </c>
      <c r="L18" t="s">
        <v>10</v>
      </c>
    </row>
    <row r="19" spans="1:12">
      <c r="A19" t="s">
        <v>3041</v>
      </c>
      <c r="B19" s="2">
        <v>45294</v>
      </c>
      <c r="C19">
        <v>2024</v>
      </c>
      <c r="D19">
        <v>1</v>
      </c>
      <c r="E19" t="s">
        <v>1</v>
      </c>
      <c r="F19" t="s">
        <v>2</v>
      </c>
      <c r="G19" t="s">
        <v>94</v>
      </c>
      <c r="H19" t="s">
        <v>3034</v>
      </c>
      <c r="I19" t="s">
        <v>8</v>
      </c>
      <c r="J19" t="s">
        <v>4</v>
      </c>
      <c r="K19" t="s">
        <v>2969</v>
      </c>
      <c r="L19" t="s">
        <v>10</v>
      </c>
    </row>
    <row r="20" spans="1:12">
      <c r="A20" t="s">
        <v>3042</v>
      </c>
      <c r="B20" s="2">
        <v>45316</v>
      </c>
      <c r="C20">
        <v>2024</v>
      </c>
      <c r="D20">
        <v>1</v>
      </c>
      <c r="E20" t="s">
        <v>1</v>
      </c>
      <c r="F20" t="s">
        <v>47</v>
      </c>
      <c r="G20" t="s">
        <v>94</v>
      </c>
      <c r="H20" t="s">
        <v>3039</v>
      </c>
      <c r="I20" t="s">
        <v>8</v>
      </c>
      <c r="J20" t="s">
        <v>4</v>
      </c>
      <c r="K20" t="s">
        <v>2969</v>
      </c>
      <c r="L20" t="s">
        <v>10</v>
      </c>
    </row>
    <row r="21" spans="1:12">
      <c r="A21" t="s">
        <v>3043</v>
      </c>
      <c r="B21" s="2">
        <v>45313</v>
      </c>
      <c r="C21">
        <v>2024</v>
      </c>
      <c r="D21">
        <v>1</v>
      </c>
      <c r="E21" t="s">
        <v>1</v>
      </c>
      <c r="F21" t="s">
        <v>47</v>
      </c>
      <c r="G21" t="s">
        <v>48</v>
      </c>
      <c r="H21" t="s">
        <v>3039</v>
      </c>
      <c r="I21" t="s">
        <v>42</v>
      </c>
      <c r="J21" t="s">
        <v>33</v>
      </c>
      <c r="K21" t="s">
        <v>2969</v>
      </c>
      <c r="L21" t="s">
        <v>10</v>
      </c>
    </row>
    <row r="22" spans="1:12">
      <c r="A22" t="s">
        <v>3044</v>
      </c>
      <c r="B22" s="2">
        <v>45317</v>
      </c>
      <c r="C22">
        <v>2024</v>
      </c>
      <c r="D22">
        <v>1</v>
      </c>
      <c r="E22" t="s">
        <v>1</v>
      </c>
      <c r="F22" t="s">
        <v>67</v>
      </c>
      <c r="G22" t="s">
        <v>69</v>
      </c>
      <c r="H22" t="s">
        <v>3045</v>
      </c>
      <c r="I22" t="s">
        <v>15</v>
      </c>
      <c r="J22" t="s">
        <v>4</v>
      </c>
      <c r="K22" t="s">
        <v>2969</v>
      </c>
      <c r="L22" t="s">
        <v>10</v>
      </c>
    </row>
    <row r="23" spans="1:12">
      <c r="A23" t="s">
        <v>3046</v>
      </c>
      <c r="B23" s="2">
        <v>45315</v>
      </c>
      <c r="C23">
        <v>2024</v>
      </c>
      <c r="D23">
        <v>1</v>
      </c>
      <c r="E23" t="s">
        <v>1</v>
      </c>
      <c r="F23" t="s">
        <v>40</v>
      </c>
      <c r="G23" t="s">
        <v>61</v>
      </c>
      <c r="H23" t="s">
        <v>3039</v>
      </c>
      <c r="I23" t="s">
        <v>35</v>
      </c>
      <c r="J23" t="s">
        <v>4</v>
      </c>
      <c r="K23" t="s">
        <v>2969</v>
      </c>
      <c r="L23" t="s">
        <v>10</v>
      </c>
    </row>
    <row r="24" spans="1:12">
      <c r="A24" t="s">
        <v>3047</v>
      </c>
      <c r="B24" s="2">
        <v>45310</v>
      </c>
      <c r="C24">
        <v>2024</v>
      </c>
      <c r="D24">
        <v>1</v>
      </c>
      <c r="E24" t="s">
        <v>1</v>
      </c>
      <c r="F24" t="s">
        <v>31</v>
      </c>
      <c r="G24" t="s">
        <v>48</v>
      </c>
      <c r="H24" t="s">
        <v>3032</v>
      </c>
      <c r="I24" t="s">
        <v>22</v>
      </c>
      <c r="J24" t="s">
        <v>12</v>
      </c>
      <c r="K24" t="s">
        <v>2977</v>
      </c>
      <c r="L24" t="s">
        <v>10</v>
      </c>
    </row>
    <row r="25" spans="1:12">
      <c r="A25" t="s">
        <v>3048</v>
      </c>
      <c r="B25" s="2">
        <v>45295</v>
      </c>
      <c r="C25">
        <v>2024</v>
      </c>
      <c r="D25">
        <v>1</v>
      </c>
      <c r="E25" t="s">
        <v>1</v>
      </c>
      <c r="F25" t="s">
        <v>19</v>
      </c>
      <c r="G25" t="s">
        <v>94</v>
      </c>
      <c r="H25" t="s">
        <v>3019</v>
      </c>
      <c r="I25" t="s">
        <v>35</v>
      </c>
      <c r="J25" t="s">
        <v>44</v>
      </c>
      <c r="K25" t="s">
        <v>2969</v>
      </c>
      <c r="L25" t="s">
        <v>10</v>
      </c>
    </row>
    <row r="26" spans="1:12">
      <c r="A26" t="s">
        <v>3049</v>
      </c>
      <c r="B26" s="2">
        <v>45302</v>
      </c>
      <c r="C26">
        <v>2024</v>
      </c>
      <c r="D26">
        <v>1</v>
      </c>
      <c r="E26" t="s">
        <v>1</v>
      </c>
      <c r="F26" t="s">
        <v>78</v>
      </c>
      <c r="G26" t="s">
        <v>94</v>
      </c>
      <c r="H26" t="s">
        <v>3045</v>
      </c>
      <c r="I26" t="s">
        <v>8</v>
      </c>
      <c r="J26" t="s">
        <v>4</v>
      </c>
      <c r="K26" t="s">
        <v>2969</v>
      </c>
      <c r="L26" t="s">
        <v>10</v>
      </c>
    </row>
    <row r="27" spans="1:12">
      <c r="A27" t="s">
        <v>3050</v>
      </c>
      <c r="B27" s="2">
        <v>45305</v>
      </c>
      <c r="C27">
        <v>2024</v>
      </c>
      <c r="D27">
        <v>1</v>
      </c>
      <c r="E27" t="s">
        <v>1</v>
      </c>
      <c r="F27" t="s">
        <v>67</v>
      </c>
      <c r="G27" t="s">
        <v>94</v>
      </c>
      <c r="H27" t="s">
        <v>3019</v>
      </c>
      <c r="I27" t="s">
        <v>35</v>
      </c>
      <c r="J27" t="s">
        <v>33</v>
      </c>
      <c r="K27" t="s">
        <v>2969</v>
      </c>
      <c r="L27" t="s">
        <v>10</v>
      </c>
    </row>
    <row r="28" spans="1:12">
      <c r="A28" t="s">
        <v>3051</v>
      </c>
      <c r="B28" s="2">
        <v>45318</v>
      </c>
      <c r="C28">
        <v>2024</v>
      </c>
      <c r="D28">
        <v>1</v>
      </c>
      <c r="E28" t="s">
        <v>1</v>
      </c>
      <c r="F28" t="s">
        <v>67</v>
      </c>
      <c r="G28" t="s">
        <v>64</v>
      </c>
      <c r="H28" t="s">
        <v>3045</v>
      </c>
      <c r="I28" t="s">
        <v>8</v>
      </c>
      <c r="J28" t="s">
        <v>4</v>
      </c>
      <c r="K28" t="s">
        <v>2969</v>
      </c>
      <c r="L28" t="s">
        <v>10</v>
      </c>
    </row>
    <row r="29" spans="1:12">
      <c r="A29" t="s">
        <v>3052</v>
      </c>
      <c r="B29" s="2">
        <v>45314</v>
      </c>
      <c r="C29">
        <v>2024</v>
      </c>
      <c r="D29">
        <v>1</v>
      </c>
      <c r="E29" t="s">
        <v>1</v>
      </c>
      <c r="F29" t="s">
        <v>54</v>
      </c>
      <c r="G29" t="s">
        <v>27</v>
      </c>
      <c r="H29" t="s">
        <v>3034</v>
      </c>
      <c r="I29" t="s">
        <v>52</v>
      </c>
      <c r="J29" t="s">
        <v>12</v>
      </c>
      <c r="K29" t="s">
        <v>2969</v>
      </c>
      <c r="L29" t="s">
        <v>10</v>
      </c>
    </row>
    <row r="30" spans="1:12">
      <c r="A30" t="s">
        <v>3053</v>
      </c>
      <c r="B30" s="2">
        <v>45313</v>
      </c>
      <c r="C30">
        <v>2024</v>
      </c>
      <c r="D30">
        <v>1</v>
      </c>
      <c r="E30" t="s">
        <v>1</v>
      </c>
      <c r="F30" t="s">
        <v>2</v>
      </c>
      <c r="G30" t="s">
        <v>32</v>
      </c>
      <c r="H30" t="s">
        <v>3034</v>
      </c>
      <c r="I30" t="s">
        <v>8</v>
      </c>
      <c r="J30" t="s">
        <v>4</v>
      </c>
      <c r="K30" t="s">
        <v>2969</v>
      </c>
      <c r="L30" t="s">
        <v>10</v>
      </c>
    </row>
    <row r="31" spans="1:12">
      <c r="A31" t="s">
        <v>3054</v>
      </c>
      <c r="B31" s="2">
        <v>45319</v>
      </c>
      <c r="C31">
        <v>2024</v>
      </c>
      <c r="D31">
        <v>1</v>
      </c>
      <c r="E31" t="s">
        <v>1</v>
      </c>
      <c r="F31" t="s">
        <v>31</v>
      </c>
      <c r="G31" t="s">
        <v>3</v>
      </c>
      <c r="H31" t="s">
        <v>3045</v>
      </c>
      <c r="I31" t="s">
        <v>35</v>
      </c>
      <c r="J31" t="s">
        <v>12</v>
      </c>
      <c r="K31" t="s">
        <v>2969</v>
      </c>
      <c r="L31" t="s">
        <v>10</v>
      </c>
    </row>
    <row r="32" spans="1:12">
      <c r="A32" t="s">
        <v>3055</v>
      </c>
      <c r="B32" s="2">
        <v>45301</v>
      </c>
      <c r="C32">
        <v>2024</v>
      </c>
      <c r="D32">
        <v>1</v>
      </c>
      <c r="E32" t="s">
        <v>1</v>
      </c>
      <c r="F32" t="s">
        <v>2</v>
      </c>
      <c r="G32" t="s">
        <v>3</v>
      </c>
      <c r="H32" t="s">
        <v>3019</v>
      </c>
      <c r="I32" t="s">
        <v>8</v>
      </c>
      <c r="J32" t="s">
        <v>12</v>
      </c>
      <c r="K32" t="s">
        <v>2969</v>
      </c>
      <c r="L32" t="s">
        <v>10</v>
      </c>
    </row>
    <row r="33" spans="1:12">
      <c r="A33" t="s">
        <v>3056</v>
      </c>
      <c r="B33" s="2">
        <v>45316</v>
      </c>
      <c r="C33">
        <v>2024</v>
      </c>
      <c r="D33">
        <v>1</v>
      </c>
      <c r="E33" t="s">
        <v>1</v>
      </c>
      <c r="F33" t="s">
        <v>54</v>
      </c>
      <c r="G33" t="s">
        <v>64</v>
      </c>
      <c r="H33" t="s">
        <v>3045</v>
      </c>
      <c r="I33" t="s">
        <v>8</v>
      </c>
      <c r="J33" t="s">
        <v>12</v>
      </c>
      <c r="K33" t="s">
        <v>2977</v>
      </c>
      <c r="L33" t="s">
        <v>10</v>
      </c>
    </row>
    <row r="34" spans="1:12">
      <c r="A34" t="s">
        <v>3057</v>
      </c>
      <c r="B34" s="2">
        <v>45308</v>
      </c>
      <c r="C34">
        <v>2024</v>
      </c>
      <c r="D34">
        <v>1</v>
      </c>
      <c r="E34" t="s">
        <v>1</v>
      </c>
      <c r="F34" t="s">
        <v>78</v>
      </c>
      <c r="G34" t="s">
        <v>27</v>
      </c>
      <c r="H34" t="s">
        <v>51</v>
      </c>
      <c r="I34" t="s">
        <v>15</v>
      </c>
      <c r="J34" t="s">
        <v>33</v>
      </c>
      <c r="K34" t="s">
        <v>2969</v>
      </c>
      <c r="L34" t="s">
        <v>10</v>
      </c>
    </row>
    <row r="35" spans="1:12">
      <c r="A35" t="s">
        <v>3058</v>
      </c>
      <c r="B35" s="2">
        <v>45313</v>
      </c>
      <c r="C35">
        <v>2024</v>
      </c>
      <c r="D35">
        <v>1</v>
      </c>
      <c r="E35" t="s">
        <v>1</v>
      </c>
      <c r="F35" t="s">
        <v>26</v>
      </c>
      <c r="G35" t="s">
        <v>20</v>
      </c>
      <c r="H35" t="s">
        <v>3019</v>
      </c>
      <c r="I35" t="s">
        <v>42</v>
      </c>
      <c r="J35" t="s">
        <v>33</v>
      </c>
      <c r="K35" t="s">
        <v>2969</v>
      </c>
      <c r="L35" t="s">
        <v>17</v>
      </c>
    </row>
    <row r="36" spans="1:12">
      <c r="A36" t="s">
        <v>3059</v>
      </c>
      <c r="B36" s="2">
        <v>45303</v>
      </c>
      <c r="C36">
        <v>2024</v>
      </c>
      <c r="D36">
        <v>1</v>
      </c>
      <c r="E36" t="s">
        <v>1</v>
      </c>
      <c r="F36" t="s">
        <v>67</v>
      </c>
      <c r="G36" t="s">
        <v>61</v>
      </c>
      <c r="H36" t="s">
        <v>3019</v>
      </c>
      <c r="I36" t="s">
        <v>8</v>
      </c>
      <c r="J36" t="s">
        <v>33</v>
      </c>
      <c r="K36" t="s">
        <v>2969</v>
      </c>
      <c r="L36" t="s">
        <v>10</v>
      </c>
    </row>
    <row r="37" spans="1:12">
      <c r="A37" t="s">
        <v>3060</v>
      </c>
      <c r="B37" s="2">
        <v>45305</v>
      </c>
      <c r="C37">
        <v>2024</v>
      </c>
      <c r="D37">
        <v>1</v>
      </c>
      <c r="E37" t="s">
        <v>1</v>
      </c>
      <c r="F37" t="s">
        <v>54</v>
      </c>
      <c r="G37" t="s">
        <v>3</v>
      </c>
      <c r="H37" t="s">
        <v>51</v>
      </c>
      <c r="I37" t="s">
        <v>22</v>
      </c>
      <c r="J37" t="s">
        <v>12</v>
      </c>
      <c r="K37" t="s">
        <v>2977</v>
      </c>
      <c r="L37" t="s">
        <v>10</v>
      </c>
    </row>
    <row r="38" spans="1:12">
      <c r="A38" t="s">
        <v>3061</v>
      </c>
      <c r="B38" s="2">
        <v>45337</v>
      </c>
      <c r="C38">
        <v>2024</v>
      </c>
      <c r="D38">
        <v>2</v>
      </c>
      <c r="E38" t="s">
        <v>25</v>
      </c>
      <c r="F38" t="s">
        <v>2</v>
      </c>
      <c r="G38" t="s">
        <v>74</v>
      </c>
      <c r="H38" t="s">
        <v>3019</v>
      </c>
      <c r="I38" t="s">
        <v>8</v>
      </c>
      <c r="J38" t="s">
        <v>12</v>
      </c>
      <c r="K38" t="s">
        <v>2969</v>
      </c>
      <c r="L38" t="s">
        <v>10</v>
      </c>
    </row>
    <row r="39" spans="1:12">
      <c r="A39" t="s">
        <v>3062</v>
      </c>
      <c r="B39" s="2">
        <v>45341</v>
      </c>
      <c r="C39">
        <v>2024</v>
      </c>
      <c r="D39">
        <v>2</v>
      </c>
      <c r="E39" t="s">
        <v>25</v>
      </c>
      <c r="F39" t="s">
        <v>67</v>
      </c>
      <c r="G39" t="s">
        <v>27</v>
      </c>
      <c r="H39" t="s">
        <v>3034</v>
      </c>
      <c r="I39" t="s">
        <v>15</v>
      </c>
      <c r="J39" t="s">
        <v>44</v>
      </c>
      <c r="K39" t="s">
        <v>2969</v>
      </c>
      <c r="L39" t="s">
        <v>17</v>
      </c>
    </row>
    <row r="40" spans="1:12">
      <c r="A40" t="s">
        <v>3063</v>
      </c>
      <c r="B40" s="2">
        <v>45323</v>
      </c>
      <c r="C40">
        <v>2024</v>
      </c>
      <c r="D40">
        <v>2</v>
      </c>
      <c r="E40" t="s">
        <v>25</v>
      </c>
      <c r="F40" t="s">
        <v>78</v>
      </c>
      <c r="G40" t="s">
        <v>48</v>
      </c>
      <c r="H40" t="s">
        <v>51</v>
      </c>
      <c r="I40" t="s">
        <v>22</v>
      </c>
      <c r="J40" t="s">
        <v>44</v>
      </c>
      <c r="K40" t="s">
        <v>2969</v>
      </c>
      <c r="L40" t="s">
        <v>10</v>
      </c>
    </row>
    <row r="41" spans="1:12">
      <c r="A41" t="s">
        <v>3064</v>
      </c>
      <c r="B41" s="2">
        <v>45327</v>
      </c>
      <c r="C41">
        <v>2024</v>
      </c>
      <c r="D41">
        <v>2</v>
      </c>
      <c r="E41" t="s">
        <v>25</v>
      </c>
      <c r="F41" t="s">
        <v>67</v>
      </c>
      <c r="G41" t="s">
        <v>48</v>
      </c>
      <c r="H41" t="s">
        <v>3026</v>
      </c>
      <c r="I41" t="s">
        <v>15</v>
      </c>
      <c r="J41" t="s">
        <v>44</v>
      </c>
      <c r="K41" t="s">
        <v>2969</v>
      </c>
      <c r="L41" t="s">
        <v>10</v>
      </c>
    </row>
    <row r="42" spans="1:12">
      <c r="A42" t="s">
        <v>3065</v>
      </c>
      <c r="B42" s="2">
        <v>45344</v>
      </c>
      <c r="C42">
        <v>2024</v>
      </c>
      <c r="D42">
        <v>2</v>
      </c>
      <c r="E42" t="s">
        <v>25</v>
      </c>
      <c r="F42" t="s">
        <v>40</v>
      </c>
      <c r="G42" t="s">
        <v>69</v>
      </c>
      <c r="H42" t="s">
        <v>3032</v>
      </c>
      <c r="I42" t="s">
        <v>15</v>
      </c>
      <c r="J42" t="s">
        <v>4</v>
      </c>
      <c r="K42" t="s">
        <v>2969</v>
      </c>
      <c r="L42" t="s">
        <v>10</v>
      </c>
    </row>
    <row r="43" spans="1:12">
      <c r="A43" t="s">
        <v>3066</v>
      </c>
      <c r="B43" s="2">
        <v>45347</v>
      </c>
      <c r="C43">
        <v>2024</v>
      </c>
      <c r="D43">
        <v>2</v>
      </c>
      <c r="E43" t="s">
        <v>25</v>
      </c>
      <c r="F43" t="s">
        <v>2</v>
      </c>
      <c r="G43" t="s">
        <v>64</v>
      </c>
      <c r="H43" t="s">
        <v>51</v>
      </c>
      <c r="I43" t="s">
        <v>22</v>
      </c>
      <c r="J43" t="s">
        <v>4</v>
      </c>
      <c r="K43" t="s">
        <v>2969</v>
      </c>
      <c r="L43" t="s">
        <v>10</v>
      </c>
    </row>
    <row r="44" spans="1:12">
      <c r="A44" t="s">
        <v>3067</v>
      </c>
      <c r="B44" s="2">
        <v>45343</v>
      </c>
      <c r="C44">
        <v>2024</v>
      </c>
      <c r="D44">
        <v>2</v>
      </c>
      <c r="E44" t="s">
        <v>25</v>
      </c>
      <c r="F44" t="s">
        <v>2</v>
      </c>
      <c r="G44" t="s">
        <v>69</v>
      </c>
      <c r="H44" t="s">
        <v>3032</v>
      </c>
      <c r="I44" t="s">
        <v>35</v>
      </c>
      <c r="J44" t="s">
        <v>12</v>
      </c>
      <c r="K44" t="s">
        <v>2969</v>
      </c>
      <c r="L44" t="s">
        <v>10</v>
      </c>
    </row>
    <row r="45" spans="1:12">
      <c r="A45" t="s">
        <v>3068</v>
      </c>
      <c r="B45" s="2">
        <v>45330</v>
      </c>
      <c r="C45">
        <v>2024</v>
      </c>
      <c r="D45">
        <v>2</v>
      </c>
      <c r="E45" t="s">
        <v>25</v>
      </c>
      <c r="F45" t="s">
        <v>2</v>
      </c>
      <c r="G45" t="s">
        <v>55</v>
      </c>
      <c r="H45" t="s">
        <v>3022</v>
      </c>
      <c r="I45" t="s">
        <v>22</v>
      </c>
      <c r="J45" t="s">
        <v>4</v>
      </c>
      <c r="K45" t="s">
        <v>2969</v>
      </c>
      <c r="L45" t="s">
        <v>10</v>
      </c>
    </row>
    <row r="46" spans="1:12">
      <c r="A46" t="s">
        <v>3069</v>
      </c>
      <c r="B46" s="2">
        <v>45349</v>
      </c>
      <c r="C46">
        <v>2024</v>
      </c>
      <c r="D46">
        <v>2</v>
      </c>
      <c r="E46" t="s">
        <v>25</v>
      </c>
      <c r="F46" t="s">
        <v>47</v>
      </c>
      <c r="G46" t="s">
        <v>38</v>
      </c>
      <c r="H46" t="s">
        <v>3032</v>
      </c>
      <c r="I46" t="s">
        <v>8</v>
      </c>
      <c r="J46" t="s">
        <v>33</v>
      </c>
      <c r="K46" t="s">
        <v>2969</v>
      </c>
      <c r="L46" t="s">
        <v>10</v>
      </c>
    </row>
    <row r="47" spans="1:12">
      <c r="A47" t="s">
        <v>3070</v>
      </c>
      <c r="B47" s="2">
        <v>45350</v>
      </c>
      <c r="C47">
        <v>2024</v>
      </c>
      <c r="D47">
        <v>2</v>
      </c>
      <c r="E47" t="s">
        <v>25</v>
      </c>
      <c r="F47" t="s">
        <v>26</v>
      </c>
      <c r="G47" t="s">
        <v>48</v>
      </c>
      <c r="H47" t="s">
        <v>3034</v>
      </c>
      <c r="I47" t="s">
        <v>15</v>
      </c>
      <c r="J47" t="s">
        <v>12</v>
      </c>
      <c r="K47" t="s">
        <v>2969</v>
      </c>
      <c r="L47" t="s">
        <v>17</v>
      </c>
    </row>
    <row r="48" spans="1:12">
      <c r="A48" t="s">
        <v>3071</v>
      </c>
      <c r="B48" s="2">
        <v>45341</v>
      </c>
      <c r="C48">
        <v>2024</v>
      </c>
      <c r="D48">
        <v>2</v>
      </c>
      <c r="E48" t="s">
        <v>25</v>
      </c>
      <c r="F48" t="s">
        <v>54</v>
      </c>
      <c r="G48" t="s">
        <v>3</v>
      </c>
      <c r="H48" t="s">
        <v>3019</v>
      </c>
      <c r="I48" t="s">
        <v>35</v>
      </c>
      <c r="J48" t="s">
        <v>33</v>
      </c>
      <c r="K48" t="s">
        <v>2969</v>
      </c>
      <c r="L48" t="s">
        <v>10</v>
      </c>
    </row>
    <row r="49" spans="1:12">
      <c r="A49" t="s">
        <v>3072</v>
      </c>
      <c r="B49" s="2">
        <v>45346</v>
      </c>
      <c r="C49">
        <v>2024</v>
      </c>
      <c r="D49">
        <v>2</v>
      </c>
      <c r="E49" t="s">
        <v>25</v>
      </c>
      <c r="F49" t="s">
        <v>67</v>
      </c>
      <c r="G49" t="s">
        <v>3</v>
      </c>
      <c r="H49" t="s">
        <v>3026</v>
      </c>
      <c r="I49" t="s">
        <v>52</v>
      </c>
      <c r="J49" t="s">
        <v>12</v>
      </c>
      <c r="K49" t="s">
        <v>2969</v>
      </c>
      <c r="L49" t="s">
        <v>10</v>
      </c>
    </row>
    <row r="50" spans="1:12">
      <c r="A50" t="s">
        <v>3073</v>
      </c>
      <c r="B50" s="2">
        <v>45349</v>
      </c>
      <c r="C50">
        <v>2024</v>
      </c>
      <c r="D50">
        <v>2</v>
      </c>
      <c r="E50" t="s">
        <v>25</v>
      </c>
      <c r="F50" t="s">
        <v>31</v>
      </c>
      <c r="G50" t="s">
        <v>27</v>
      </c>
      <c r="H50" t="s">
        <v>51</v>
      </c>
      <c r="I50" t="s">
        <v>35</v>
      </c>
      <c r="J50" t="s">
        <v>12</v>
      </c>
      <c r="K50" t="s">
        <v>2969</v>
      </c>
      <c r="L50" t="s">
        <v>10</v>
      </c>
    </row>
    <row r="51" spans="1:12">
      <c r="A51" t="s">
        <v>3074</v>
      </c>
      <c r="B51" s="2">
        <v>45338</v>
      </c>
      <c r="C51">
        <v>2024</v>
      </c>
      <c r="D51">
        <v>2</v>
      </c>
      <c r="E51" t="s">
        <v>25</v>
      </c>
      <c r="F51" t="s">
        <v>31</v>
      </c>
      <c r="G51" t="s">
        <v>69</v>
      </c>
      <c r="H51" t="s">
        <v>3034</v>
      </c>
      <c r="I51" t="s">
        <v>22</v>
      </c>
      <c r="J51" t="s">
        <v>33</v>
      </c>
      <c r="K51" t="s">
        <v>2969</v>
      </c>
      <c r="L51" t="s">
        <v>10</v>
      </c>
    </row>
    <row r="52" spans="1:12">
      <c r="A52" t="s">
        <v>3075</v>
      </c>
      <c r="B52" s="2">
        <v>45324</v>
      </c>
      <c r="C52">
        <v>2024</v>
      </c>
      <c r="D52">
        <v>2</v>
      </c>
      <c r="E52" t="s">
        <v>25</v>
      </c>
      <c r="F52" t="s">
        <v>54</v>
      </c>
      <c r="G52" t="s">
        <v>38</v>
      </c>
      <c r="H52" t="s">
        <v>3026</v>
      </c>
      <c r="I52" t="s">
        <v>42</v>
      </c>
      <c r="J52" t="s">
        <v>12</v>
      </c>
      <c r="K52" t="s">
        <v>2969</v>
      </c>
      <c r="L52" t="s">
        <v>10</v>
      </c>
    </row>
    <row r="53" spans="1:12">
      <c r="A53" t="s">
        <v>3076</v>
      </c>
      <c r="B53" s="2">
        <v>45334</v>
      </c>
      <c r="C53">
        <v>2024</v>
      </c>
      <c r="D53">
        <v>2</v>
      </c>
      <c r="E53" t="s">
        <v>25</v>
      </c>
      <c r="F53" t="s">
        <v>47</v>
      </c>
      <c r="G53" t="s">
        <v>27</v>
      </c>
      <c r="H53" t="s">
        <v>3019</v>
      </c>
      <c r="I53" t="s">
        <v>22</v>
      </c>
      <c r="J53" t="s">
        <v>12</v>
      </c>
      <c r="K53" t="s">
        <v>2969</v>
      </c>
      <c r="L53" t="s">
        <v>10</v>
      </c>
    </row>
    <row r="54" spans="1:12">
      <c r="A54" t="s">
        <v>3077</v>
      </c>
      <c r="B54" s="2">
        <v>45335</v>
      </c>
      <c r="C54">
        <v>2024</v>
      </c>
      <c r="D54">
        <v>2</v>
      </c>
      <c r="E54" t="s">
        <v>25</v>
      </c>
      <c r="F54" t="s">
        <v>54</v>
      </c>
      <c r="G54" t="s">
        <v>55</v>
      </c>
      <c r="H54" t="s">
        <v>3032</v>
      </c>
      <c r="I54" t="s">
        <v>52</v>
      </c>
      <c r="J54" t="s">
        <v>12</v>
      </c>
      <c r="K54" t="s">
        <v>2969</v>
      </c>
      <c r="L54" t="s">
        <v>10</v>
      </c>
    </row>
    <row r="55" spans="1:12">
      <c r="A55" t="s">
        <v>3078</v>
      </c>
      <c r="B55" s="2">
        <v>45326</v>
      </c>
      <c r="C55">
        <v>2024</v>
      </c>
      <c r="D55">
        <v>2</v>
      </c>
      <c r="E55" t="s">
        <v>25</v>
      </c>
      <c r="F55" t="s">
        <v>67</v>
      </c>
      <c r="G55" t="s">
        <v>94</v>
      </c>
      <c r="H55" t="s">
        <v>3022</v>
      </c>
      <c r="I55" t="s">
        <v>15</v>
      </c>
      <c r="J55" t="s">
        <v>12</v>
      </c>
      <c r="K55" t="s">
        <v>2969</v>
      </c>
      <c r="L55" t="s">
        <v>10</v>
      </c>
    </row>
    <row r="56" spans="1:12">
      <c r="A56" t="s">
        <v>3079</v>
      </c>
      <c r="B56" s="2">
        <v>45323</v>
      </c>
      <c r="C56">
        <v>2024</v>
      </c>
      <c r="D56">
        <v>2</v>
      </c>
      <c r="E56" t="s">
        <v>25</v>
      </c>
      <c r="F56" t="s">
        <v>19</v>
      </c>
      <c r="G56" t="s">
        <v>48</v>
      </c>
      <c r="H56" t="s">
        <v>3032</v>
      </c>
      <c r="I56" t="s">
        <v>8</v>
      </c>
      <c r="J56" t="s">
        <v>33</v>
      </c>
      <c r="K56" t="s">
        <v>2969</v>
      </c>
      <c r="L56" t="s">
        <v>10</v>
      </c>
    </row>
    <row r="57" spans="1:12">
      <c r="A57" t="s">
        <v>3080</v>
      </c>
      <c r="B57" s="2">
        <v>45323</v>
      </c>
      <c r="C57">
        <v>2024</v>
      </c>
      <c r="D57">
        <v>2</v>
      </c>
      <c r="E57" t="s">
        <v>25</v>
      </c>
      <c r="F57" t="s">
        <v>54</v>
      </c>
      <c r="G57" t="s">
        <v>74</v>
      </c>
      <c r="H57" t="s">
        <v>3026</v>
      </c>
      <c r="I57" t="s">
        <v>8</v>
      </c>
      <c r="J57" t="s">
        <v>4</v>
      </c>
      <c r="K57" t="s">
        <v>2969</v>
      </c>
      <c r="L57" t="s">
        <v>10</v>
      </c>
    </row>
    <row r="58" spans="1:12">
      <c r="A58" t="s">
        <v>3081</v>
      </c>
      <c r="B58" s="2">
        <v>45340</v>
      </c>
      <c r="C58">
        <v>2024</v>
      </c>
      <c r="D58">
        <v>2</v>
      </c>
      <c r="E58" t="s">
        <v>25</v>
      </c>
      <c r="F58" t="s">
        <v>26</v>
      </c>
      <c r="G58" t="s">
        <v>3</v>
      </c>
      <c r="H58" t="s">
        <v>51</v>
      </c>
      <c r="I58" t="s">
        <v>15</v>
      </c>
      <c r="J58" t="s">
        <v>44</v>
      </c>
      <c r="K58" t="s">
        <v>2969</v>
      </c>
      <c r="L58" t="s">
        <v>10</v>
      </c>
    </row>
    <row r="59" spans="1:12">
      <c r="A59" t="s">
        <v>3082</v>
      </c>
      <c r="B59" s="2">
        <v>45339</v>
      </c>
      <c r="C59">
        <v>2024</v>
      </c>
      <c r="D59">
        <v>2</v>
      </c>
      <c r="E59" t="s">
        <v>25</v>
      </c>
      <c r="F59" t="s">
        <v>19</v>
      </c>
      <c r="G59" t="s">
        <v>48</v>
      </c>
      <c r="H59" t="s">
        <v>3045</v>
      </c>
      <c r="I59" t="s">
        <v>22</v>
      </c>
      <c r="J59" t="s">
        <v>44</v>
      </c>
      <c r="K59" t="s">
        <v>2969</v>
      </c>
      <c r="L59" t="s">
        <v>10</v>
      </c>
    </row>
    <row r="60" spans="1:12">
      <c r="A60" t="s">
        <v>3083</v>
      </c>
      <c r="B60" s="2">
        <v>45327</v>
      </c>
      <c r="C60">
        <v>2024</v>
      </c>
      <c r="D60">
        <v>2</v>
      </c>
      <c r="E60" t="s">
        <v>25</v>
      </c>
      <c r="F60" t="s">
        <v>47</v>
      </c>
      <c r="G60" t="s">
        <v>55</v>
      </c>
      <c r="H60" t="s">
        <v>3034</v>
      </c>
      <c r="I60" t="s">
        <v>8</v>
      </c>
      <c r="J60" t="s">
        <v>44</v>
      </c>
      <c r="K60" t="s">
        <v>2969</v>
      </c>
      <c r="L60" t="s">
        <v>10</v>
      </c>
    </row>
    <row r="61" spans="1:12">
      <c r="A61" t="s">
        <v>3084</v>
      </c>
      <c r="B61" s="2">
        <v>45330</v>
      </c>
      <c r="C61">
        <v>2024</v>
      </c>
      <c r="D61">
        <v>2</v>
      </c>
      <c r="E61" t="s">
        <v>25</v>
      </c>
      <c r="F61" t="s">
        <v>31</v>
      </c>
      <c r="G61" t="s">
        <v>61</v>
      </c>
      <c r="H61" t="s">
        <v>3045</v>
      </c>
      <c r="I61" t="s">
        <v>42</v>
      </c>
      <c r="J61" t="s">
        <v>44</v>
      </c>
      <c r="K61" t="s">
        <v>2969</v>
      </c>
      <c r="L61" t="s">
        <v>10</v>
      </c>
    </row>
    <row r="62" spans="1:12">
      <c r="A62" t="s">
        <v>3085</v>
      </c>
      <c r="B62" s="2">
        <v>45338</v>
      </c>
      <c r="C62">
        <v>2024</v>
      </c>
      <c r="D62">
        <v>2</v>
      </c>
      <c r="E62" t="s">
        <v>25</v>
      </c>
      <c r="F62" t="s">
        <v>54</v>
      </c>
      <c r="G62" t="s">
        <v>38</v>
      </c>
      <c r="H62" t="s">
        <v>3026</v>
      </c>
      <c r="I62" t="s">
        <v>8</v>
      </c>
      <c r="J62" t="s">
        <v>4</v>
      </c>
      <c r="K62" t="s">
        <v>2977</v>
      </c>
      <c r="L62" t="s">
        <v>10</v>
      </c>
    </row>
    <row r="63" spans="1:12">
      <c r="A63" t="s">
        <v>3086</v>
      </c>
      <c r="B63" s="2">
        <v>45338</v>
      </c>
      <c r="C63">
        <v>2024</v>
      </c>
      <c r="D63">
        <v>2</v>
      </c>
      <c r="E63" t="s">
        <v>25</v>
      </c>
      <c r="F63" t="s">
        <v>38</v>
      </c>
      <c r="G63" t="s">
        <v>55</v>
      </c>
      <c r="H63" t="s">
        <v>3045</v>
      </c>
      <c r="I63" t="s">
        <v>8</v>
      </c>
      <c r="J63" t="s">
        <v>4</v>
      </c>
      <c r="K63" t="s">
        <v>2969</v>
      </c>
      <c r="L63" t="s">
        <v>10</v>
      </c>
    </row>
    <row r="64" spans="1:12">
      <c r="A64" t="s">
        <v>3087</v>
      </c>
      <c r="B64" s="2">
        <v>45334</v>
      </c>
      <c r="C64">
        <v>2024</v>
      </c>
      <c r="D64">
        <v>2</v>
      </c>
      <c r="E64" t="s">
        <v>25</v>
      </c>
      <c r="F64" t="s">
        <v>67</v>
      </c>
      <c r="G64" t="s">
        <v>3</v>
      </c>
      <c r="H64" t="s">
        <v>3022</v>
      </c>
      <c r="I64" t="s">
        <v>8</v>
      </c>
      <c r="J64" t="s">
        <v>33</v>
      </c>
      <c r="K64" t="s">
        <v>2969</v>
      </c>
      <c r="L64" t="s">
        <v>10</v>
      </c>
    </row>
    <row r="65" spans="1:12">
      <c r="A65" t="s">
        <v>3088</v>
      </c>
      <c r="B65" s="2">
        <v>45330</v>
      </c>
      <c r="C65">
        <v>2024</v>
      </c>
      <c r="D65">
        <v>2</v>
      </c>
      <c r="E65" t="s">
        <v>25</v>
      </c>
      <c r="F65" t="s">
        <v>54</v>
      </c>
      <c r="G65" t="s">
        <v>38</v>
      </c>
      <c r="H65" t="s">
        <v>3039</v>
      </c>
      <c r="I65" t="s">
        <v>42</v>
      </c>
      <c r="J65" t="s">
        <v>4</v>
      </c>
      <c r="K65" t="s">
        <v>2969</v>
      </c>
      <c r="L65" t="s">
        <v>10</v>
      </c>
    </row>
    <row r="66" spans="1:12">
      <c r="A66" t="s">
        <v>3089</v>
      </c>
      <c r="B66" s="2">
        <v>45335</v>
      </c>
      <c r="C66">
        <v>2024</v>
      </c>
      <c r="D66">
        <v>2</v>
      </c>
      <c r="E66" t="s">
        <v>25</v>
      </c>
      <c r="F66" t="s">
        <v>54</v>
      </c>
      <c r="G66" t="s">
        <v>94</v>
      </c>
      <c r="H66" t="s">
        <v>3032</v>
      </c>
      <c r="I66" t="s">
        <v>22</v>
      </c>
      <c r="J66" t="s">
        <v>4</v>
      </c>
      <c r="K66" t="s">
        <v>2969</v>
      </c>
      <c r="L66" t="s">
        <v>10</v>
      </c>
    </row>
    <row r="67" spans="1:12">
      <c r="A67" t="s">
        <v>3090</v>
      </c>
      <c r="B67" s="2">
        <v>45326</v>
      </c>
      <c r="C67">
        <v>2024</v>
      </c>
      <c r="D67">
        <v>2</v>
      </c>
      <c r="E67" t="s">
        <v>25</v>
      </c>
      <c r="F67" t="s">
        <v>47</v>
      </c>
      <c r="G67" t="s">
        <v>94</v>
      </c>
      <c r="H67" t="s">
        <v>3026</v>
      </c>
      <c r="I67" t="s">
        <v>52</v>
      </c>
      <c r="J67" t="s">
        <v>12</v>
      </c>
      <c r="K67" t="s">
        <v>2969</v>
      </c>
      <c r="L67" t="s">
        <v>10</v>
      </c>
    </row>
    <row r="68" spans="1:12">
      <c r="A68" t="s">
        <v>3091</v>
      </c>
      <c r="B68" s="2">
        <v>45335</v>
      </c>
      <c r="C68">
        <v>2024</v>
      </c>
      <c r="D68">
        <v>2</v>
      </c>
      <c r="E68" t="s">
        <v>25</v>
      </c>
      <c r="F68" t="s">
        <v>26</v>
      </c>
      <c r="G68" t="s">
        <v>32</v>
      </c>
      <c r="H68" t="s">
        <v>3039</v>
      </c>
      <c r="I68" t="s">
        <v>8</v>
      </c>
      <c r="J68" t="s">
        <v>44</v>
      </c>
      <c r="K68" t="s">
        <v>2969</v>
      </c>
      <c r="L68" t="s">
        <v>10</v>
      </c>
    </row>
    <row r="69" spans="1:12">
      <c r="A69" t="s">
        <v>3092</v>
      </c>
      <c r="B69" s="2">
        <v>45350</v>
      </c>
      <c r="C69">
        <v>2024</v>
      </c>
      <c r="D69">
        <v>2</v>
      </c>
      <c r="E69" t="s">
        <v>25</v>
      </c>
      <c r="F69" t="s">
        <v>19</v>
      </c>
      <c r="G69" t="s">
        <v>20</v>
      </c>
      <c r="H69" t="s">
        <v>51</v>
      </c>
      <c r="I69" t="s">
        <v>15</v>
      </c>
      <c r="J69" t="s">
        <v>33</v>
      </c>
      <c r="K69" t="s">
        <v>2977</v>
      </c>
      <c r="L69" t="s">
        <v>10</v>
      </c>
    </row>
    <row r="70" spans="1:12">
      <c r="A70" t="s">
        <v>3093</v>
      </c>
      <c r="B70" s="2">
        <v>45332</v>
      </c>
      <c r="C70">
        <v>2024</v>
      </c>
      <c r="D70">
        <v>2</v>
      </c>
      <c r="E70" t="s">
        <v>25</v>
      </c>
      <c r="F70" t="s">
        <v>26</v>
      </c>
      <c r="G70" t="s">
        <v>38</v>
      </c>
      <c r="H70" t="s">
        <v>3032</v>
      </c>
      <c r="I70" t="s">
        <v>42</v>
      </c>
      <c r="J70" t="s">
        <v>4</v>
      </c>
      <c r="K70" t="s">
        <v>2969</v>
      </c>
      <c r="L70" t="s">
        <v>10</v>
      </c>
    </row>
    <row r="71" spans="1:12">
      <c r="A71" t="s">
        <v>3094</v>
      </c>
      <c r="B71" s="2">
        <v>45353</v>
      </c>
      <c r="C71">
        <v>2024</v>
      </c>
      <c r="D71">
        <v>3</v>
      </c>
      <c r="E71" t="s">
        <v>60</v>
      </c>
      <c r="F71" t="s">
        <v>31</v>
      </c>
      <c r="G71" t="s">
        <v>3</v>
      </c>
      <c r="H71" t="s">
        <v>3045</v>
      </c>
      <c r="I71" t="s">
        <v>15</v>
      </c>
      <c r="J71" t="s">
        <v>33</v>
      </c>
      <c r="K71" t="s">
        <v>2969</v>
      </c>
      <c r="L71" t="s">
        <v>10</v>
      </c>
    </row>
    <row r="72" spans="1:12">
      <c r="A72" t="s">
        <v>3095</v>
      </c>
      <c r="B72" s="2">
        <v>45366</v>
      </c>
      <c r="C72">
        <v>2024</v>
      </c>
      <c r="D72">
        <v>3</v>
      </c>
      <c r="E72" t="s">
        <v>60</v>
      </c>
      <c r="F72" t="s">
        <v>31</v>
      </c>
      <c r="G72" t="s">
        <v>20</v>
      </c>
      <c r="H72" t="s">
        <v>51</v>
      </c>
      <c r="I72" t="s">
        <v>52</v>
      </c>
      <c r="J72" t="s">
        <v>33</v>
      </c>
      <c r="K72" t="s">
        <v>2969</v>
      </c>
      <c r="L72" t="s">
        <v>10</v>
      </c>
    </row>
    <row r="73" spans="1:12">
      <c r="A73" t="s">
        <v>3096</v>
      </c>
      <c r="B73" s="2">
        <v>45375</v>
      </c>
      <c r="C73">
        <v>2024</v>
      </c>
      <c r="D73">
        <v>3</v>
      </c>
      <c r="E73" t="s">
        <v>60</v>
      </c>
      <c r="F73" t="s">
        <v>19</v>
      </c>
      <c r="G73" t="s">
        <v>74</v>
      </c>
      <c r="H73" t="s">
        <v>3045</v>
      </c>
      <c r="I73" t="s">
        <v>52</v>
      </c>
      <c r="J73" t="s">
        <v>44</v>
      </c>
      <c r="K73" t="s">
        <v>2969</v>
      </c>
      <c r="L73" t="s">
        <v>10</v>
      </c>
    </row>
    <row r="74" spans="1:12">
      <c r="A74" t="s">
        <v>3097</v>
      </c>
      <c r="B74" s="2">
        <v>45360</v>
      </c>
      <c r="C74">
        <v>2024</v>
      </c>
      <c r="D74">
        <v>3</v>
      </c>
      <c r="E74" t="s">
        <v>60</v>
      </c>
      <c r="F74" t="s">
        <v>40</v>
      </c>
      <c r="G74" t="s">
        <v>94</v>
      </c>
      <c r="H74" t="s">
        <v>3022</v>
      </c>
      <c r="I74" t="s">
        <v>8</v>
      </c>
      <c r="J74" t="s">
        <v>12</v>
      </c>
      <c r="K74" t="s">
        <v>2969</v>
      </c>
      <c r="L74" t="s">
        <v>17</v>
      </c>
    </row>
    <row r="75" spans="1:12">
      <c r="A75" t="s">
        <v>3098</v>
      </c>
      <c r="B75" s="2">
        <v>45379</v>
      </c>
      <c r="C75">
        <v>2024</v>
      </c>
      <c r="D75">
        <v>3</v>
      </c>
      <c r="E75" t="s">
        <v>60</v>
      </c>
      <c r="F75" t="s">
        <v>31</v>
      </c>
      <c r="G75" t="s">
        <v>64</v>
      </c>
      <c r="H75" t="s">
        <v>3045</v>
      </c>
      <c r="I75" t="s">
        <v>15</v>
      </c>
      <c r="J75" t="s">
        <v>12</v>
      </c>
      <c r="K75" t="s">
        <v>2969</v>
      </c>
      <c r="L75" t="s">
        <v>10</v>
      </c>
    </row>
    <row r="76" spans="1:12">
      <c r="A76" t="s">
        <v>3099</v>
      </c>
      <c r="B76" s="2">
        <v>45367</v>
      </c>
      <c r="C76">
        <v>2024</v>
      </c>
      <c r="D76">
        <v>3</v>
      </c>
      <c r="E76" t="s">
        <v>60</v>
      </c>
      <c r="F76" t="s">
        <v>26</v>
      </c>
      <c r="G76" t="s">
        <v>27</v>
      </c>
      <c r="H76" t="s">
        <v>3022</v>
      </c>
      <c r="I76" t="s">
        <v>42</v>
      </c>
      <c r="J76" t="s">
        <v>33</v>
      </c>
      <c r="K76" t="s">
        <v>2969</v>
      </c>
      <c r="L76" t="s">
        <v>10</v>
      </c>
    </row>
    <row r="77" spans="1:12">
      <c r="A77" t="s">
        <v>3100</v>
      </c>
      <c r="B77" s="2">
        <v>45357</v>
      </c>
      <c r="C77">
        <v>2024</v>
      </c>
      <c r="D77">
        <v>3</v>
      </c>
      <c r="E77" t="s">
        <v>60</v>
      </c>
      <c r="F77" t="s">
        <v>31</v>
      </c>
      <c r="G77" t="s">
        <v>20</v>
      </c>
      <c r="H77" t="s">
        <v>3039</v>
      </c>
      <c r="I77" t="s">
        <v>8</v>
      </c>
      <c r="J77" t="s">
        <v>4</v>
      </c>
      <c r="K77" t="s">
        <v>2969</v>
      </c>
      <c r="L77" t="s">
        <v>10</v>
      </c>
    </row>
    <row r="78" spans="1:12">
      <c r="A78" t="s">
        <v>3101</v>
      </c>
      <c r="B78" s="2">
        <v>45355</v>
      </c>
      <c r="C78">
        <v>2024</v>
      </c>
      <c r="D78">
        <v>3</v>
      </c>
      <c r="E78" t="s">
        <v>60</v>
      </c>
      <c r="F78" t="s">
        <v>78</v>
      </c>
      <c r="G78" t="s">
        <v>32</v>
      </c>
      <c r="H78" t="s">
        <v>3039</v>
      </c>
      <c r="I78" t="s">
        <v>15</v>
      </c>
      <c r="J78" t="s">
        <v>33</v>
      </c>
      <c r="K78" t="s">
        <v>2969</v>
      </c>
      <c r="L78" t="s">
        <v>10</v>
      </c>
    </row>
    <row r="79" spans="1:12">
      <c r="A79" t="s">
        <v>3102</v>
      </c>
      <c r="B79" s="2">
        <v>45357</v>
      </c>
      <c r="C79">
        <v>2024</v>
      </c>
      <c r="D79">
        <v>3</v>
      </c>
      <c r="E79" t="s">
        <v>60</v>
      </c>
      <c r="F79" t="s">
        <v>40</v>
      </c>
      <c r="G79" t="s">
        <v>27</v>
      </c>
      <c r="H79" t="s">
        <v>3019</v>
      </c>
      <c r="I79" t="s">
        <v>8</v>
      </c>
      <c r="J79" t="s">
        <v>44</v>
      </c>
      <c r="K79" t="s">
        <v>2969</v>
      </c>
      <c r="L79" t="s">
        <v>10</v>
      </c>
    </row>
    <row r="80" spans="1:12">
      <c r="A80" t="s">
        <v>3103</v>
      </c>
      <c r="B80" s="2">
        <v>45366</v>
      </c>
      <c r="C80">
        <v>2024</v>
      </c>
      <c r="D80">
        <v>3</v>
      </c>
      <c r="E80" t="s">
        <v>60</v>
      </c>
      <c r="F80" t="s">
        <v>40</v>
      </c>
      <c r="G80" t="s">
        <v>94</v>
      </c>
      <c r="H80" t="s">
        <v>3034</v>
      </c>
      <c r="I80" t="s">
        <v>22</v>
      </c>
      <c r="J80" t="s">
        <v>33</v>
      </c>
      <c r="K80" t="s">
        <v>2969</v>
      </c>
      <c r="L80" t="s">
        <v>10</v>
      </c>
    </row>
    <row r="81" spans="1:12">
      <c r="A81" t="s">
        <v>3104</v>
      </c>
      <c r="B81" s="2">
        <v>45357</v>
      </c>
      <c r="C81">
        <v>2024</v>
      </c>
      <c r="D81">
        <v>3</v>
      </c>
      <c r="E81" t="s">
        <v>60</v>
      </c>
      <c r="F81" t="s">
        <v>19</v>
      </c>
      <c r="G81" t="s">
        <v>61</v>
      </c>
      <c r="H81" t="s">
        <v>3019</v>
      </c>
      <c r="I81" t="s">
        <v>42</v>
      </c>
      <c r="J81" t="s">
        <v>44</v>
      </c>
      <c r="K81" t="s">
        <v>2969</v>
      </c>
      <c r="L81" t="s">
        <v>10</v>
      </c>
    </row>
    <row r="82" spans="1:12">
      <c r="A82" t="s">
        <v>3105</v>
      </c>
      <c r="B82" s="2">
        <v>45356</v>
      </c>
      <c r="C82">
        <v>2024</v>
      </c>
      <c r="D82">
        <v>3</v>
      </c>
      <c r="E82" t="s">
        <v>60</v>
      </c>
      <c r="F82" t="s">
        <v>67</v>
      </c>
      <c r="G82" t="s">
        <v>69</v>
      </c>
      <c r="H82" t="s">
        <v>3019</v>
      </c>
      <c r="I82" t="s">
        <v>15</v>
      </c>
      <c r="J82" t="s">
        <v>44</v>
      </c>
      <c r="K82" t="s">
        <v>2969</v>
      </c>
      <c r="L82" t="s">
        <v>10</v>
      </c>
    </row>
    <row r="83" spans="1:12">
      <c r="A83" t="s">
        <v>3106</v>
      </c>
      <c r="B83" s="2">
        <v>45352</v>
      </c>
      <c r="C83">
        <v>2024</v>
      </c>
      <c r="D83">
        <v>3</v>
      </c>
      <c r="E83" t="s">
        <v>60</v>
      </c>
      <c r="F83" t="s">
        <v>38</v>
      </c>
      <c r="G83" t="s">
        <v>69</v>
      </c>
      <c r="H83" t="s">
        <v>3039</v>
      </c>
      <c r="I83" t="s">
        <v>22</v>
      </c>
      <c r="J83" t="s">
        <v>4</v>
      </c>
      <c r="K83" t="s">
        <v>2969</v>
      </c>
      <c r="L83" t="s">
        <v>10</v>
      </c>
    </row>
    <row r="84" spans="1:12">
      <c r="A84" t="s">
        <v>3107</v>
      </c>
      <c r="B84" s="2">
        <v>45356</v>
      </c>
      <c r="C84">
        <v>2024</v>
      </c>
      <c r="D84">
        <v>3</v>
      </c>
      <c r="E84" t="s">
        <v>60</v>
      </c>
      <c r="F84" t="s">
        <v>38</v>
      </c>
      <c r="G84" t="s">
        <v>32</v>
      </c>
      <c r="H84" t="s">
        <v>3022</v>
      </c>
      <c r="I84" t="s">
        <v>8</v>
      </c>
      <c r="J84" t="s">
        <v>12</v>
      </c>
      <c r="K84" t="s">
        <v>2969</v>
      </c>
      <c r="L84" t="s">
        <v>10</v>
      </c>
    </row>
    <row r="85" spans="1:12">
      <c r="A85" t="s">
        <v>3108</v>
      </c>
      <c r="B85" s="2">
        <v>45369</v>
      </c>
      <c r="C85">
        <v>2024</v>
      </c>
      <c r="D85">
        <v>3</v>
      </c>
      <c r="E85" t="s">
        <v>60</v>
      </c>
      <c r="F85" t="s">
        <v>47</v>
      </c>
      <c r="G85" t="s">
        <v>3</v>
      </c>
      <c r="H85" t="s">
        <v>3045</v>
      </c>
      <c r="I85" t="s">
        <v>42</v>
      </c>
      <c r="J85" t="s">
        <v>12</v>
      </c>
      <c r="K85" t="s">
        <v>2969</v>
      </c>
      <c r="L85" t="s">
        <v>10</v>
      </c>
    </row>
    <row r="86" spans="1:12">
      <c r="A86" t="s">
        <v>3109</v>
      </c>
      <c r="B86" s="2">
        <v>45366</v>
      </c>
      <c r="C86">
        <v>2024</v>
      </c>
      <c r="D86">
        <v>3</v>
      </c>
      <c r="E86" t="s">
        <v>60</v>
      </c>
      <c r="F86" t="s">
        <v>19</v>
      </c>
      <c r="G86" t="s">
        <v>69</v>
      </c>
      <c r="H86" t="s">
        <v>3019</v>
      </c>
      <c r="I86" t="s">
        <v>42</v>
      </c>
      <c r="J86" t="s">
        <v>12</v>
      </c>
      <c r="K86" t="s">
        <v>2969</v>
      </c>
      <c r="L86" t="s">
        <v>10</v>
      </c>
    </row>
    <row r="87" spans="1:12">
      <c r="A87" t="s">
        <v>3110</v>
      </c>
      <c r="B87" s="2">
        <v>45355</v>
      </c>
      <c r="C87">
        <v>2024</v>
      </c>
      <c r="D87">
        <v>3</v>
      </c>
      <c r="E87" t="s">
        <v>60</v>
      </c>
      <c r="F87" t="s">
        <v>2</v>
      </c>
      <c r="G87" t="s">
        <v>61</v>
      </c>
      <c r="H87" t="s">
        <v>3022</v>
      </c>
      <c r="I87" t="s">
        <v>52</v>
      </c>
      <c r="J87" t="s">
        <v>12</v>
      </c>
      <c r="K87" t="s">
        <v>2969</v>
      </c>
      <c r="L87" t="s">
        <v>10</v>
      </c>
    </row>
    <row r="88" spans="1:12">
      <c r="A88" t="s">
        <v>3111</v>
      </c>
      <c r="B88" s="2">
        <v>45373</v>
      </c>
      <c r="C88">
        <v>2024</v>
      </c>
      <c r="D88">
        <v>3</v>
      </c>
      <c r="E88" t="s">
        <v>60</v>
      </c>
      <c r="F88" t="s">
        <v>26</v>
      </c>
      <c r="G88" t="s">
        <v>74</v>
      </c>
      <c r="H88" t="s">
        <v>3026</v>
      </c>
      <c r="I88" t="s">
        <v>42</v>
      </c>
      <c r="J88" t="s">
        <v>4</v>
      </c>
      <c r="K88" t="s">
        <v>2969</v>
      </c>
      <c r="L88" t="s">
        <v>17</v>
      </c>
    </row>
    <row r="89" spans="1:12">
      <c r="A89" t="s">
        <v>3112</v>
      </c>
      <c r="B89" s="2">
        <v>45354</v>
      </c>
      <c r="C89">
        <v>2024</v>
      </c>
      <c r="D89">
        <v>3</v>
      </c>
      <c r="E89" t="s">
        <v>60</v>
      </c>
      <c r="F89" t="s">
        <v>31</v>
      </c>
      <c r="G89" t="s">
        <v>38</v>
      </c>
      <c r="H89" t="s">
        <v>3019</v>
      </c>
      <c r="I89" t="s">
        <v>15</v>
      </c>
      <c r="J89" t="s">
        <v>33</v>
      </c>
      <c r="K89" t="s">
        <v>2969</v>
      </c>
      <c r="L89" t="s">
        <v>10</v>
      </c>
    </row>
    <row r="90" spans="1:12">
      <c r="A90" t="s">
        <v>3113</v>
      </c>
      <c r="B90" s="2">
        <v>45358</v>
      </c>
      <c r="C90">
        <v>2024</v>
      </c>
      <c r="D90">
        <v>3</v>
      </c>
      <c r="E90" t="s">
        <v>60</v>
      </c>
      <c r="F90" t="s">
        <v>54</v>
      </c>
      <c r="G90" t="s">
        <v>32</v>
      </c>
      <c r="H90" t="s">
        <v>3032</v>
      </c>
      <c r="I90" t="s">
        <v>35</v>
      </c>
      <c r="J90" t="s">
        <v>33</v>
      </c>
      <c r="K90" t="s">
        <v>2969</v>
      </c>
      <c r="L90" t="s">
        <v>10</v>
      </c>
    </row>
    <row r="91" spans="1:12">
      <c r="A91" t="s">
        <v>3114</v>
      </c>
      <c r="B91" s="2">
        <v>45379</v>
      </c>
      <c r="C91">
        <v>2024</v>
      </c>
      <c r="D91">
        <v>3</v>
      </c>
      <c r="E91" t="s">
        <v>60</v>
      </c>
      <c r="F91" t="s">
        <v>78</v>
      </c>
      <c r="G91" t="s">
        <v>38</v>
      </c>
      <c r="H91" t="s">
        <v>3045</v>
      </c>
      <c r="I91" t="s">
        <v>42</v>
      </c>
      <c r="J91" t="s">
        <v>12</v>
      </c>
      <c r="K91" t="s">
        <v>2969</v>
      </c>
      <c r="L91" t="s">
        <v>10</v>
      </c>
    </row>
    <row r="92" spans="1:12">
      <c r="A92" t="s">
        <v>3115</v>
      </c>
      <c r="B92" s="2">
        <v>45357</v>
      </c>
      <c r="C92">
        <v>2024</v>
      </c>
      <c r="D92">
        <v>3</v>
      </c>
      <c r="E92" t="s">
        <v>60</v>
      </c>
      <c r="F92" t="s">
        <v>67</v>
      </c>
      <c r="G92" t="s">
        <v>61</v>
      </c>
      <c r="H92" t="s">
        <v>3039</v>
      </c>
      <c r="I92" t="s">
        <v>42</v>
      </c>
      <c r="J92" t="s">
        <v>12</v>
      </c>
      <c r="K92" t="s">
        <v>2969</v>
      </c>
      <c r="L92" t="s">
        <v>10</v>
      </c>
    </row>
    <row r="93" spans="1:12">
      <c r="A93" t="s">
        <v>3116</v>
      </c>
      <c r="B93" s="2">
        <v>45370</v>
      </c>
      <c r="C93">
        <v>2024</v>
      </c>
      <c r="D93">
        <v>3</v>
      </c>
      <c r="E93" t="s">
        <v>60</v>
      </c>
      <c r="F93" t="s">
        <v>67</v>
      </c>
      <c r="G93" t="s">
        <v>69</v>
      </c>
      <c r="H93" t="s">
        <v>3032</v>
      </c>
      <c r="I93" t="s">
        <v>42</v>
      </c>
      <c r="J93" t="s">
        <v>4</v>
      </c>
      <c r="K93" t="s">
        <v>2969</v>
      </c>
      <c r="L93" t="s">
        <v>10</v>
      </c>
    </row>
    <row r="94" spans="1:12">
      <c r="A94" t="s">
        <v>3117</v>
      </c>
      <c r="B94" s="2">
        <v>45353</v>
      </c>
      <c r="C94">
        <v>2024</v>
      </c>
      <c r="D94">
        <v>3</v>
      </c>
      <c r="E94" t="s">
        <v>60</v>
      </c>
      <c r="F94" t="s">
        <v>26</v>
      </c>
      <c r="G94" t="s">
        <v>74</v>
      </c>
      <c r="H94" t="s">
        <v>3026</v>
      </c>
      <c r="I94" t="s">
        <v>15</v>
      </c>
      <c r="J94" t="s">
        <v>44</v>
      </c>
      <c r="K94" t="s">
        <v>2969</v>
      </c>
      <c r="L94" t="s">
        <v>10</v>
      </c>
    </row>
    <row r="95" spans="1:12">
      <c r="A95" t="s">
        <v>3118</v>
      </c>
      <c r="B95" s="2">
        <v>45368</v>
      </c>
      <c r="C95">
        <v>2024</v>
      </c>
      <c r="D95">
        <v>3</v>
      </c>
      <c r="E95" t="s">
        <v>60</v>
      </c>
      <c r="F95" t="s">
        <v>67</v>
      </c>
      <c r="G95" t="s">
        <v>32</v>
      </c>
      <c r="H95" t="s">
        <v>3026</v>
      </c>
      <c r="I95" t="s">
        <v>35</v>
      </c>
      <c r="J95" t="s">
        <v>12</v>
      </c>
      <c r="K95" t="s">
        <v>2977</v>
      </c>
      <c r="L95" t="s">
        <v>10</v>
      </c>
    </row>
    <row r="96" spans="1:12">
      <c r="A96" t="s">
        <v>3119</v>
      </c>
      <c r="B96" s="2">
        <v>45378</v>
      </c>
      <c r="C96">
        <v>2024</v>
      </c>
      <c r="D96">
        <v>3</v>
      </c>
      <c r="E96" t="s">
        <v>60</v>
      </c>
      <c r="F96" t="s">
        <v>67</v>
      </c>
      <c r="G96" t="s">
        <v>3</v>
      </c>
      <c r="H96" t="s">
        <v>3034</v>
      </c>
      <c r="I96" t="s">
        <v>42</v>
      </c>
      <c r="J96" t="s">
        <v>33</v>
      </c>
      <c r="K96" t="s">
        <v>2969</v>
      </c>
      <c r="L96" t="s">
        <v>10</v>
      </c>
    </row>
    <row r="97" spans="1:12">
      <c r="A97" t="s">
        <v>3120</v>
      </c>
      <c r="B97" s="2">
        <v>45353</v>
      </c>
      <c r="C97">
        <v>2024</v>
      </c>
      <c r="D97">
        <v>3</v>
      </c>
      <c r="E97" t="s">
        <v>60</v>
      </c>
      <c r="F97" t="s">
        <v>40</v>
      </c>
      <c r="G97" t="s">
        <v>61</v>
      </c>
      <c r="H97" t="s">
        <v>3039</v>
      </c>
      <c r="I97" t="s">
        <v>15</v>
      </c>
      <c r="J97" t="s">
        <v>12</v>
      </c>
      <c r="K97" t="s">
        <v>2969</v>
      </c>
      <c r="L97" t="s">
        <v>10</v>
      </c>
    </row>
    <row r="98" spans="1:12">
      <c r="A98" t="s">
        <v>3121</v>
      </c>
      <c r="B98" s="2">
        <v>45369</v>
      </c>
      <c r="C98">
        <v>2024</v>
      </c>
      <c r="D98">
        <v>3</v>
      </c>
      <c r="E98" t="s">
        <v>60</v>
      </c>
      <c r="F98" t="s">
        <v>67</v>
      </c>
      <c r="G98" t="s">
        <v>20</v>
      </c>
      <c r="H98" t="s">
        <v>51</v>
      </c>
      <c r="I98" t="s">
        <v>42</v>
      </c>
      <c r="J98" t="s">
        <v>12</v>
      </c>
      <c r="K98" t="s">
        <v>2969</v>
      </c>
      <c r="L98" t="s">
        <v>10</v>
      </c>
    </row>
    <row r="99" spans="1:12">
      <c r="A99" t="s">
        <v>3122</v>
      </c>
      <c r="B99" s="2">
        <v>45361</v>
      </c>
      <c r="C99">
        <v>2024</v>
      </c>
      <c r="D99">
        <v>3</v>
      </c>
      <c r="E99" t="s">
        <v>60</v>
      </c>
      <c r="F99" t="s">
        <v>40</v>
      </c>
      <c r="G99" t="s">
        <v>64</v>
      </c>
      <c r="H99" t="s">
        <v>3045</v>
      </c>
      <c r="I99" t="s">
        <v>42</v>
      </c>
      <c r="J99" t="s">
        <v>4</v>
      </c>
      <c r="K99" t="s">
        <v>2969</v>
      </c>
      <c r="L99" t="s">
        <v>10</v>
      </c>
    </row>
    <row r="100" spans="1:12">
      <c r="A100" t="s">
        <v>3123</v>
      </c>
      <c r="B100" s="2">
        <v>45354</v>
      </c>
      <c r="C100">
        <v>2024</v>
      </c>
      <c r="D100">
        <v>3</v>
      </c>
      <c r="E100" t="s">
        <v>60</v>
      </c>
      <c r="F100" t="s">
        <v>47</v>
      </c>
      <c r="G100" t="s">
        <v>32</v>
      </c>
      <c r="H100" t="s">
        <v>3019</v>
      </c>
      <c r="I100" t="s">
        <v>8</v>
      </c>
      <c r="J100" t="s">
        <v>4</v>
      </c>
      <c r="K100" t="s">
        <v>2977</v>
      </c>
      <c r="L100" t="s">
        <v>10</v>
      </c>
    </row>
    <row r="101" spans="1:12">
      <c r="A101" t="s">
        <v>3124</v>
      </c>
      <c r="B101" s="2">
        <v>45359</v>
      </c>
      <c r="C101">
        <v>2024</v>
      </c>
      <c r="D101">
        <v>3</v>
      </c>
      <c r="E101" t="s">
        <v>60</v>
      </c>
      <c r="F101" t="s">
        <v>26</v>
      </c>
      <c r="G101" t="s">
        <v>61</v>
      </c>
      <c r="H101" t="s">
        <v>51</v>
      </c>
      <c r="I101" t="s">
        <v>35</v>
      </c>
      <c r="J101" t="s">
        <v>44</v>
      </c>
      <c r="K101" t="s">
        <v>2969</v>
      </c>
      <c r="L101" t="s">
        <v>10</v>
      </c>
    </row>
    <row r="102" spans="1:12">
      <c r="A102" t="s">
        <v>3125</v>
      </c>
      <c r="B102" s="2">
        <v>45376</v>
      </c>
      <c r="C102">
        <v>2024</v>
      </c>
      <c r="D102">
        <v>3</v>
      </c>
      <c r="E102" t="s">
        <v>60</v>
      </c>
      <c r="F102" t="s">
        <v>47</v>
      </c>
      <c r="G102" t="s">
        <v>20</v>
      </c>
      <c r="H102" t="s">
        <v>3019</v>
      </c>
      <c r="I102" t="s">
        <v>52</v>
      </c>
      <c r="J102" t="s">
        <v>4</v>
      </c>
      <c r="K102" t="s">
        <v>2969</v>
      </c>
      <c r="L102" t="s">
        <v>10</v>
      </c>
    </row>
    <row r="103" spans="1:12">
      <c r="A103" t="s">
        <v>3126</v>
      </c>
      <c r="B103" s="2">
        <v>45376</v>
      </c>
      <c r="C103">
        <v>2024</v>
      </c>
      <c r="D103">
        <v>3</v>
      </c>
      <c r="E103" t="s">
        <v>60</v>
      </c>
      <c r="F103" t="s">
        <v>31</v>
      </c>
      <c r="G103" t="s">
        <v>69</v>
      </c>
      <c r="H103" t="s">
        <v>3034</v>
      </c>
      <c r="I103" t="s">
        <v>52</v>
      </c>
      <c r="J103" t="s">
        <v>44</v>
      </c>
      <c r="K103" t="s">
        <v>2969</v>
      </c>
      <c r="L103" t="s">
        <v>10</v>
      </c>
    </row>
    <row r="104" spans="1:12">
      <c r="A104" t="s">
        <v>3127</v>
      </c>
      <c r="B104" s="2">
        <v>45367</v>
      </c>
      <c r="C104">
        <v>2024</v>
      </c>
      <c r="D104">
        <v>3</v>
      </c>
      <c r="E104" t="s">
        <v>60</v>
      </c>
      <c r="F104" t="s">
        <v>26</v>
      </c>
      <c r="G104" t="s">
        <v>48</v>
      </c>
      <c r="H104" t="s">
        <v>51</v>
      </c>
      <c r="I104" t="s">
        <v>35</v>
      </c>
      <c r="J104" t="s">
        <v>44</v>
      </c>
      <c r="K104" t="s">
        <v>2969</v>
      </c>
      <c r="L104" t="s">
        <v>10</v>
      </c>
    </row>
    <row r="105" spans="1:12">
      <c r="A105" t="s">
        <v>3128</v>
      </c>
      <c r="B105" s="2">
        <v>45365</v>
      </c>
      <c r="C105">
        <v>2024</v>
      </c>
      <c r="D105">
        <v>3</v>
      </c>
      <c r="E105" t="s">
        <v>60</v>
      </c>
      <c r="F105" t="s">
        <v>38</v>
      </c>
      <c r="G105" t="s">
        <v>48</v>
      </c>
      <c r="H105" t="s">
        <v>3045</v>
      </c>
      <c r="I105" t="s">
        <v>8</v>
      </c>
      <c r="J105" t="s">
        <v>44</v>
      </c>
      <c r="K105" t="s">
        <v>2969</v>
      </c>
      <c r="L105" t="s">
        <v>10</v>
      </c>
    </row>
    <row r="106" spans="1:12">
      <c r="A106" t="s">
        <v>3129</v>
      </c>
      <c r="B106" s="2">
        <v>45400</v>
      </c>
      <c r="C106">
        <v>2024</v>
      </c>
      <c r="D106">
        <v>4</v>
      </c>
      <c r="E106" t="s">
        <v>73</v>
      </c>
      <c r="F106" t="s">
        <v>78</v>
      </c>
      <c r="G106" t="s">
        <v>20</v>
      </c>
      <c r="H106" t="s">
        <v>3022</v>
      </c>
      <c r="I106" t="s">
        <v>15</v>
      </c>
      <c r="J106" t="s">
        <v>12</v>
      </c>
      <c r="K106" t="s">
        <v>2977</v>
      </c>
      <c r="L106" t="s">
        <v>10</v>
      </c>
    </row>
    <row r="107" spans="1:12">
      <c r="A107" t="s">
        <v>3130</v>
      </c>
      <c r="B107" s="2">
        <v>45407</v>
      </c>
      <c r="C107">
        <v>2024</v>
      </c>
      <c r="D107">
        <v>4</v>
      </c>
      <c r="E107" t="s">
        <v>73</v>
      </c>
      <c r="F107" t="s">
        <v>47</v>
      </c>
      <c r="G107" t="s">
        <v>55</v>
      </c>
      <c r="H107" t="s">
        <v>3022</v>
      </c>
      <c r="I107" t="s">
        <v>15</v>
      </c>
      <c r="J107" t="s">
        <v>33</v>
      </c>
      <c r="K107" t="s">
        <v>2969</v>
      </c>
      <c r="L107" t="s">
        <v>10</v>
      </c>
    </row>
    <row r="108" spans="1:12">
      <c r="A108" t="s">
        <v>3131</v>
      </c>
      <c r="B108" s="2">
        <v>45384</v>
      </c>
      <c r="C108">
        <v>2024</v>
      </c>
      <c r="D108">
        <v>4</v>
      </c>
      <c r="E108" t="s">
        <v>73</v>
      </c>
      <c r="F108" t="s">
        <v>31</v>
      </c>
      <c r="G108" t="s">
        <v>32</v>
      </c>
      <c r="H108" t="s">
        <v>3032</v>
      </c>
      <c r="I108" t="s">
        <v>35</v>
      </c>
      <c r="J108" t="s">
        <v>4</v>
      </c>
      <c r="K108" t="s">
        <v>2969</v>
      </c>
      <c r="L108" t="s">
        <v>10</v>
      </c>
    </row>
    <row r="109" spans="1:12">
      <c r="A109" t="s">
        <v>3132</v>
      </c>
      <c r="B109" s="2">
        <v>45386</v>
      </c>
      <c r="C109">
        <v>2024</v>
      </c>
      <c r="D109">
        <v>4</v>
      </c>
      <c r="E109" t="s">
        <v>73</v>
      </c>
      <c r="F109" t="s">
        <v>31</v>
      </c>
      <c r="G109" t="s">
        <v>48</v>
      </c>
      <c r="H109" t="s">
        <v>3026</v>
      </c>
      <c r="I109" t="s">
        <v>35</v>
      </c>
      <c r="J109" t="s">
        <v>44</v>
      </c>
      <c r="K109" t="s">
        <v>2969</v>
      </c>
      <c r="L109" t="s">
        <v>10</v>
      </c>
    </row>
    <row r="110" spans="1:12">
      <c r="A110" t="s">
        <v>3133</v>
      </c>
      <c r="B110" s="2">
        <v>45393</v>
      </c>
      <c r="C110">
        <v>2024</v>
      </c>
      <c r="D110">
        <v>4</v>
      </c>
      <c r="E110" t="s">
        <v>73</v>
      </c>
      <c r="F110" t="s">
        <v>19</v>
      </c>
      <c r="G110" t="s">
        <v>74</v>
      </c>
      <c r="H110" t="s">
        <v>3019</v>
      </c>
      <c r="I110" t="s">
        <v>52</v>
      </c>
      <c r="J110" t="s">
        <v>12</v>
      </c>
      <c r="K110" t="s">
        <v>2969</v>
      </c>
      <c r="L110" t="s">
        <v>10</v>
      </c>
    </row>
    <row r="111" spans="1:12">
      <c r="A111" t="s">
        <v>3134</v>
      </c>
      <c r="B111" s="2">
        <v>45394</v>
      </c>
      <c r="C111">
        <v>2024</v>
      </c>
      <c r="D111">
        <v>4</v>
      </c>
      <c r="E111" t="s">
        <v>73</v>
      </c>
      <c r="F111" t="s">
        <v>54</v>
      </c>
      <c r="G111" t="s">
        <v>64</v>
      </c>
      <c r="H111" t="s">
        <v>3026</v>
      </c>
      <c r="I111" t="s">
        <v>42</v>
      </c>
      <c r="J111" t="s">
        <v>33</v>
      </c>
      <c r="K111" t="s">
        <v>2969</v>
      </c>
      <c r="L111" t="s">
        <v>10</v>
      </c>
    </row>
    <row r="112" spans="1:12">
      <c r="A112" t="s">
        <v>3135</v>
      </c>
      <c r="B112" s="2">
        <v>45398</v>
      </c>
      <c r="C112">
        <v>2024</v>
      </c>
      <c r="D112">
        <v>4</v>
      </c>
      <c r="E112" t="s">
        <v>73</v>
      </c>
      <c r="F112" t="s">
        <v>54</v>
      </c>
      <c r="G112" t="s">
        <v>27</v>
      </c>
      <c r="H112" t="s">
        <v>3026</v>
      </c>
      <c r="I112" t="s">
        <v>42</v>
      </c>
      <c r="J112" t="s">
        <v>44</v>
      </c>
      <c r="K112" t="s">
        <v>2969</v>
      </c>
      <c r="L112" t="s">
        <v>10</v>
      </c>
    </row>
    <row r="113" spans="1:12">
      <c r="A113" t="s">
        <v>3136</v>
      </c>
      <c r="B113" s="2">
        <v>45410</v>
      </c>
      <c r="C113">
        <v>2024</v>
      </c>
      <c r="D113">
        <v>4</v>
      </c>
      <c r="E113" t="s">
        <v>73</v>
      </c>
      <c r="F113" t="s">
        <v>38</v>
      </c>
      <c r="G113" t="s">
        <v>3</v>
      </c>
      <c r="H113" t="s">
        <v>3022</v>
      </c>
      <c r="I113" t="s">
        <v>8</v>
      </c>
      <c r="J113" t="s">
        <v>4</v>
      </c>
      <c r="K113" t="s">
        <v>2969</v>
      </c>
      <c r="L113" t="s">
        <v>17</v>
      </c>
    </row>
    <row r="114" spans="1:12">
      <c r="A114" t="s">
        <v>3137</v>
      </c>
      <c r="B114" s="2">
        <v>45399</v>
      </c>
      <c r="C114">
        <v>2024</v>
      </c>
      <c r="D114">
        <v>4</v>
      </c>
      <c r="E114" t="s">
        <v>73</v>
      </c>
      <c r="F114" t="s">
        <v>2</v>
      </c>
      <c r="G114" t="s">
        <v>61</v>
      </c>
      <c r="H114" t="s">
        <v>3034</v>
      </c>
      <c r="I114" t="s">
        <v>35</v>
      </c>
      <c r="J114" t="s">
        <v>12</v>
      </c>
      <c r="K114" t="s">
        <v>2969</v>
      </c>
      <c r="L114" t="s">
        <v>17</v>
      </c>
    </row>
    <row r="115" spans="1:12">
      <c r="A115" t="s">
        <v>3138</v>
      </c>
      <c r="B115" s="2">
        <v>45401</v>
      </c>
      <c r="C115">
        <v>2024</v>
      </c>
      <c r="D115">
        <v>4</v>
      </c>
      <c r="E115" t="s">
        <v>73</v>
      </c>
      <c r="F115" t="s">
        <v>78</v>
      </c>
      <c r="G115" t="s">
        <v>55</v>
      </c>
      <c r="H115" t="s">
        <v>3022</v>
      </c>
      <c r="I115" t="s">
        <v>15</v>
      </c>
      <c r="J115" t="s">
        <v>4</v>
      </c>
      <c r="K115" t="s">
        <v>2969</v>
      </c>
      <c r="L115" t="s">
        <v>10</v>
      </c>
    </row>
    <row r="116" spans="1:12">
      <c r="A116" t="s">
        <v>3139</v>
      </c>
      <c r="B116" s="2">
        <v>45390</v>
      </c>
      <c r="C116">
        <v>2024</v>
      </c>
      <c r="D116">
        <v>4</v>
      </c>
      <c r="E116" t="s">
        <v>73</v>
      </c>
      <c r="F116" t="s">
        <v>31</v>
      </c>
      <c r="G116" t="s">
        <v>32</v>
      </c>
      <c r="H116" t="s">
        <v>3039</v>
      </c>
      <c r="I116" t="s">
        <v>42</v>
      </c>
      <c r="J116" t="s">
        <v>12</v>
      </c>
      <c r="K116" t="s">
        <v>2969</v>
      </c>
      <c r="L116" t="s">
        <v>10</v>
      </c>
    </row>
    <row r="117" spans="1:12">
      <c r="A117" t="s">
        <v>3140</v>
      </c>
      <c r="B117" s="2">
        <v>45401</v>
      </c>
      <c r="C117">
        <v>2024</v>
      </c>
      <c r="D117">
        <v>4</v>
      </c>
      <c r="E117" t="s">
        <v>73</v>
      </c>
      <c r="F117" t="s">
        <v>19</v>
      </c>
      <c r="G117" t="s">
        <v>61</v>
      </c>
      <c r="H117" t="s">
        <v>3034</v>
      </c>
      <c r="I117" t="s">
        <v>52</v>
      </c>
      <c r="J117" t="s">
        <v>33</v>
      </c>
      <c r="K117" t="s">
        <v>2969</v>
      </c>
      <c r="L117" t="s">
        <v>10</v>
      </c>
    </row>
    <row r="118" spans="1:12">
      <c r="A118" t="s">
        <v>3141</v>
      </c>
      <c r="B118" s="2">
        <v>45396</v>
      </c>
      <c r="C118">
        <v>2024</v>
      </c>
      <c r="D118">
        <v>4</v>
      </c>
      <c r="E118" t="s">
        <v>73</v>
      </c>
      <c r="F118" t="s">
        <v>67</v>
      </c>
      <c r="G118" t="s">
        <v>27</v>
      </c>
      <c r="H118" t="s">
        <v>3034</v>
      </c>
      <c r="I118" t="s">
        <v>15</v>
      </c>
      <c r="J118" t="s">
        <v>44</v>
      </c>
      <c r="K118" t="s">
        <v>2969</v>
      </c>
      <c r="L118" t="s">
        <v>10</v>
      </c>
    </row>
    <row r="119" spans="1:12">
      <c r="A119" t="s">
        <v>3142</v>
      </c>
      <c r="B119" s="2">
        <v>45390</v>
      </c>
      <c r="C119">
        <v>2024</v>
      </c>
      <c r="D119">
        <v>4</v>
      </c>
      <c r="E119" t="s">
        <v>73</v>
      </c>
      <c r="F119" t="s">
        <v>38</v>
      </c>
      <c r="G119" t="s">
        <v>94</v>
      </c>
      <c r="H119" t="s">
        <v>51</v>
      </c>
      <c r="I119" t="s">
        <v>52</v>
      </c>
      <c r="J119" t="s">
        <v>33</v>
      </c>
      <c r="K119" t="s">
        <v>2969</v>
      </c>
      <c r="L119" t="s">
        <v>10</v>
      </c>
    </row>
    <row r="120" spans="1:12">
      <c r="A120" t="s">
        <v>3143</v>
      </c>
      <c r="B120" s="2">
        <v>45386</v>
      </c>
      <c r="C120">
        <v>2024</v>
      </c>
      <c r="D120">
        <v>4</v>
      </c>
      <c r="E120" t="s">
        <v>73</v>
      </c>
      <c r="F120" t="s">
        <v>54</v>
      </c>
      <c r="G120" t="s">
        <v>32</v>
      </c>
      <c r="H120" t="s">
        <v>3034</v>
      </c>
      <c r="I120" t="s">
        <v>22</v>
      </c>
      <c r="J120" t="s">
        <v>44</v>
      </c>
      <c r="K120" t="s">
        <v>2969</v>
      </c>
      <c r="L120" t="s">
        <v>10</v>
      </c>
    </row>
    <row r="121" spans="1:12">
      <c r="A121" t="s">
        <v>3144</v>
      </c>
      <c r="B121" s="2">
        <v>45403</v>
      </c>
      <c r="C121">
        <v>2024</v>
      </c>
      <c r="D121">
        <v>4</v>
      </c>
      <c r="E121" t="s">
        <v>73</v>
      </c>
      <c r="F121" t="s">
        <v>40</v>
      </c>
      <c r="G121" t="s">
        <v>69</v>
      </c>
      <c r="H121" t="s">
        <v>3045</v>
      </c>
      <c r="I121" t="s">
        <v>42</v>
      </c>
      <c r="J121" t="s">
        <v>33</v>
      </c>
      <c r="K121" t="s">
        <v>2977</v>
      </c>
      <c r="L121" t="s">
        <v>17</v>
      </c>
    </row>
    <row r="122" spans="1:12">
      <c r="A122" t="s">
        <v>3145</v>
      </c>
      <c r="B122" s="2">
        <v>45406</v>
      </c>
      <c r="C122">
        <v>2024</v>
      </c>
      <c r="D122">
        <v>4</v>
      </c>
      <c r="E122" t="s">
        <v>73</v>
      </c>
      <c r="F122" t="s">
        <v>47</v>
      </c>
      <c r="G122" t="s">
        <v>61</v>
      </c>
      <c r="H122" t="s">
        <v>51</v>
      </c>
      <c r="I122" t="s">
        <v>52</v>
      </c>
      <c r="J122" t="s">
        <v>33</v>
      </c>
      <c r="K122" t="s">
        <v>2969</v>
      </c>
      <c r="L122" t="s">
        <v>10</v>
      </c>
    </row>
    <row r="123" spans="1:12">
      <c r="A123" t="s">
        <v>3146</v>
      </c>
      <c r="B123" s="2">
        <v>45390</v>
      </c>
      <c r="C123">
        <v>2024</v>
      </c>
      <c r="D123">
        <v>4</v>
      </c>
      <c r="E123" t="s">
        <v>73</v>
      </c>
      <c r="F123" t="s">
        <v>78</v>
      </c>
      <c r="G123" t="s">
        <v>94</v>
      </c>
      <c r="H123" t="s">
        <v>3022</v>
      </c>
      <c r="I123" t="s">
        <v>8</v>
      </c>
      <c r="J123" t="s">
        <v>4</v>
      </c>
      <c r="K123" t="s">
        <v>2969</v>
      </c>
      <c r="L123" t="s">
        <v>10</v>
      </c>
    </row>
    <row r="124" spans="1:12">
      <c r="A124" t="s">
        <v>3147</v>
      </c>
      <c r="B124" s="2">
        <v>45398</v>
      </c>
      <c r="C124">
        <v>2024</v>
      </c>
      <c r="D124">
        <v>4</v>
      </c>
      <c r="E124" t="s">
        <v>73</v>
      </c>
      <c r="F124" t="s">
        <v>31</v>
      </c>
      <c r="G124" t="s">
        <v>61</v>
      </c>
      <c r="H124" t="s">
        <v>3034</v>
      </c>
      <c r="I124" t="s">
        <v>22</v>
      </c>
      <c r="J124" t="s">
        <v>4</v>
      </c>
      <c r="K124" t="s">
        <v>2969</v>
      </c>
      <c r="L124" t="s">
        <v>10</v>
      </c>
    </row>
    <row r="125" spans="1:12">
      <c r="A125" t="s">
        <v>3148</v>
      </c>
      <c r="B125" s="2">
        <v>45383</v>
      </c>
      <c r="C125">
        <v>2024</v>
      </c>
      <c r="D125">
        <v>4</v>
      </c>
      <c r="E125" t="s">
        <v>73</v>
      </c>
      <c r="F125" t="s">
        <v>38</v>
      </c>
      <c r="G125" t="s">
        <v>55</v>
      </c>
      <c r="H125" t="s">
        <v>3032</v>
      </c>
      <c r="I125" t="s">
        <v>8</v>
      </c>
      <c r="J125" t="s">
        <v>12</v>
      </c>
      <c r="K125" t="s">
        <v>2977</v>
      </c>
      <c r="L125" t="s">
        <v>10</v>
      </c>
    </row>
    <row r="126" spans="1:12">
      <c r="A126" t="s">
        <v>3149</v>
      </c>
      <c r="B126" s="2">
        <v>45410</v>
      </c>
      <c r="C126">
        <v>2024</v>
      </c>
      <c r="D126">
        <v>4</v>
      </c>
      <c r="E126" t="s">
        <v>73</v>
      </c>
      <c r="F126" t="s">
        <v>2</v>
      </c>
      <c r="G126" t="s">
        <v>55</v>
      </c>
      <c r="H126" t="s">
        <v>3026</v>
      </c>
      <c r="I126" t="s">
        <v>35</v>
      </c>
      <c r="J126" t="s">
        <v>33</v>
      </c>
      <c r="K126" t="s">
        <v>2969</v>
      </c>
      <c r="L126" t="s">
        <v>10</v>
      </c>
    </row>
    <row r="127" spans="1:12">
      <c r="A127" t="s">
        <v>3150</v>
      </c>
      <c r="B127" s="2">
        <v>45398</v>
      </c>
      <c r="C127">
        <v>2024</v>
      </c>
      <c r="D127">
        <v>4</v>
      </c>
      <c r="E127" t="s">
        <v>73</v>
      </c>
      <c r="F127" t="s">
        <v>47</v>
      </c>
      <c r="G127" t="s">
        <v>64</v>
      </c>
      <c r="H127" t="s">
        <v>3039</v>
      </c>
      <c r="I127" t="s">
        <v>35</v>
      </c>
      <c r="J127" t="s">
        <v>33</v>
      </c>
      <c r="K127" t="s">
        <v>2969</v>
      </c>
      <c r="L127" t="s">
        <v>10</v>
      </c>
    </row>
    <row r="128" spans="1:12">
      <c r="A128" t="s">
        <v>3151</v>
      </c>
      <c r="B128" s="2">
        <v>45397</v>
      </c>
      <c r="C128">
        <v>2024</v>
      </c>
      <c r="D128">
        <v>4</v>
      </c>
      <c r="E128" t="s">
        <v>73</v>
      </c>
      <c r="F128" t="s">
        <v>47</v>
      </c>
      <c r="G128" t="s">
        <v>64</v>
      </c>
      <c r="H128" t="s">
        <v>3039</v>
      </c>
      <c r="I128" t="s">
        <v>42</v>
      </c>
      <c r="J128" t="s">
        <v>44</v>
      </c>
      <c r="K128" t="s">
        <v>2977</v>
      </c>
      <c r="L128" t="s">
        <v>17</v>
      </c>
    </row>
    <row r="129" spans="1:12">
      <c r="A129" t="s">
        <v>3152</v>
      </c>
      <c r="B129" s="2">
        <v>45389</v>
      </c>
      <c r="C129">
        <v>2024</v>
      </c>
      <c r="D129">
        <v>4</v>
      </c>
      <c r="E129" t="s">
        <v>73</v>
      </c>
      <c r="F129" t="s">
        <v>40</v>
      </c>
      <c r="G129" t="s">
        <v>74</v>
      </c>
      <c r="H129" t="s">
        <v>3026</v>
      </c>
      <c r="I129" t="s">
        <v>8</v>
      </c>
      <c r="J129" t="s">
        <v>44</v>
      </c>
      <c r="K129" t="s">
        <v>2969</v>
      </c>
      <c r="L129" t="s">
        <v>10</v>
      </c>
    </row>
    <row r="130" spans="1:12">
      <c r="A130" t="s">
        <v>3153</v>
      </c>
      <c r="B130" s="2">
        <v>45401</v>
      </c>
      <c r="C130">
        <v>2024</v>
      </c>
      <c r="D130">
        <v>4</v>
      </c>
      <c r="E130" t="s">
        <v>73</v>
      </c>
      <c r="F130" t="s">
        <v>31</v>
      </c>
      <c r="G130" t="s">
        <v>20</v>
      </c>
      <c r="H130" t="s">
        <v>3019</v>
      </c>
      <c r="I130" t="s">
        <v>52</v>
      </c>
      <c r="J130" t="s">
        <v>33</v>
      </c>
      <c r="K130" t="s">
        <v>2969</v>
      </c>
      <c r="L130" t="s">
        <v>10</v>
      </c>
    </row>
    <row r="131" spans="1:12">
      <c r="A131" t="s">
        <v>3154</v>
      </c>
      <c r="B131" s="2">
        <v>45405</v>
      </c>
      <c r="C131">
        <v>2024</v>
      </c>
      <c r="D131">
        <v>4</v>
      </c>
      <c r="E131" t="s">
        <v>73</v>
      </c>
      <c r="F131" t="s">
        <v>40</v>
      </c>
      <c r="G131" t="s">
        <v>3</v>
      </c>
      <c r="H131" t="s">
        <v>51</v>
      </c>
      <c r="I131" t="s">
        <v>35</v>
      </c>
      <c r="J131" t="s">
        <v>44</v>
      </c>
      <c r="K131" t="s">
        <v>2969</v>
      </c>
      <c r="L131" t="s">
        <v>17</v>
      </c>
    </row>
    <row r="132" spans="1:12">
      <c r="A132" t="s">
        <v>3155</v>
      </c>
      <c r="B132" s="2">
        <v>45394</v>
      </c>
      <c r="C132">
        <v>2024</v>
      </c>
      <c r="D132">
        <v>4</v>
      </c>
      <c r="E132" t="s">
        <v>73</v>
      </c>
      <c r="F132" t="s">
        <v>40</v>
      </c>
      <c r="G132" t="s">
        <v>61</v>
      </c>
      <c r="H132" t="s">
        <v>3045</v>
      </c>
      <c r="I132" t="s">
        <v>35</v>
      </c>
      <c r="J132" t="s">
        <v>4</v>
      </c>
      <c r="K132" t="s">
        <v>2977</v>
      </c>
      <c r="L132" t="s">
        <v>10</v>
      </c>
    </row>
    <row r="133" spans="1:12">
      <c r="A133" t="s">
        <v>3156</v>
      </c>
      <c r="B133" s="2">
        <v>45391</v>
      </c>
      <c r="C133">
        <v>2024</v>
      </c>
      <c r="D133">
        <v>4</v>
      </c>
      <c r="E133" t="s">
        <v>73</v>
      </c>
      <c r="F133" t="s">
        <v>38</v>
      </c>
      <c r="G133" t="s">
        <v>48</v>
      </c>
      <c r="H133" t="s">
        <v>3022</v>
      </c>
      <c r="I133" t="s">
        <v>35</v>
      </c>
      <c r="J133" t="s">
        <v>33</v>
      </c>
      <c r="K133" t="s">
        <v>2969</v>
      </c>
      <c r="L133" t="s">
        <v>10</v>
      </c>
    </row>
    <row r="134" spans="1:12">
      <c r="A134" t="s">
        <v>3157</v>
      </c>
      <c r="B134" s="2">
        <v>45410</v>
      </c>
      <c r="C134">
        <v>2024</v>
      </c>
      <c r="D134">
        <v>4</v>
      </c>
      <c r="E134" t="s">
        <v>73</v>
      </c>
      <c r="F134" t="s">
        <v>26</v>
      </c>
      <c r="G134" t="s">
        <v>38</v>
      </c>
      <c r="H134" t="s">
        <v>3032</v>
      </c>
      <c r="I134" t="s">
        <v>22</v>
      </c>
      <c r="J134" t="s">
        <v>12</v>
      </c>
      <c r="K134" t="s">
        <v>2969</v>
      </c>
      <c r="L134" t="s">
        <v>10</v>
      </c>
    </row>
    <row r="135" spans="1:12">
      <c r="A135" t="s">
        <v>3158</v>
      </c>
      <c r="B135" s="2">
        <v>45385</v>
      </c>
      <c r="C135">
        <v>2024</v>
      </c>
      <c r="D135">
        <v>4</v>
      </c>
      <c r="E135" t="s">
        <v>73</v>
      </c>
      <c r="F135" t="s">
        <v>38</v>
      </c>
      <c r="G135" t="s">
        <v>61</v>
      </c>
      <c r="H135" t="s">
        <v>3026</v>
      </c>
      <c r="I135" t="s">
        <v>42</v>
      </c>
      <c r="J135" t="s">
        <v>44</v>
      </c>
      <c r="K135" t="s">
        <v>2969</v>
      </c>
      <c r="L135" t="s">
        <v>10</v>
      </c>
    </row>
    <row r="136" spans="1:12">
      <c r="A136" t="s">
        <v>3159</v>
      </c>
      <c r="B136" s="2">
        <v>45409</v>
      </c>
      <c r="C136">
        <v>2024</v>
      </c>
      <c r="D136">
        <v>4</v>
      </c>
      <c r="E136" t="s">
        <v>73</v>
      </c>
      <c r="F136" t="s">
        <v>40</v>
      </c>
      <c r="G136" t="s">
        <v>94</v>
      </c>
      <c r="H136" t="s">
        <v>3045</v>
      </c>
      <c r="I136" t="s">
        <v>42</v>
      </c>
      <c r="J136" t="s">
        <v>33</v>
      </c>
      <c r="K136" t="s">
        <v>2969</v>
      </c>
      <c r="L136" t="s">
        <v>10</v>
      </c>
    </row>
    <row r="137" spans="1:12">
      <c r="A137" t="s">
        <v>3160</v>
      </c>
      <c r="B137" s="2">
        <v>45397</v>
      </c>
      <c r="C137">
        <v>2024</v>
      </c>
      <c r="D137">
        <v>4</v>
      </c>
      <c r="E137" t="s">
        <v>73</v>
      </c>
      <c r="F137" t="s">
        <v>78</v>
      </c>
      <c r="G137" t="s">
        <v>61</v>
      </c>
      <c r="H137" t="s">
        <v>3032</v>
      </c>
      <c r="I137" t="s">
        <v>15</v>
      </c>
      <c r="J137" t="s">
        <v>4</v>
      </c>
      <c r="K137" t="s">
        <v>2969</v>
      </c>
      <c r="L137" t="s">
        <v>10</v>
      </c>
    </row>
    <row r="138" spans="1:12">
      <c r="A138" t="s">
        <v>3161</v>
      </c>
      <c r="B138" s="2">
        <v>45422</v>
      </c>
      <c r="C138">
        <v>2024</v>
      </c>
      <c r="D138">
        <v>5</v>
      </c>
      <c r="E138" t="s">
        <v>83</v>
      </c>
      <c r="F138" t="s">
        <v>54</v>
      </c>
      <c r="G138" t="s">
        <v>32</v>
      </c>
      <c r="H138" t="s">
        <v>3034</v>
      </c>
      <c r="I138" t="s">
        <v>42</v>
      </c>
      <c r="J138" t="s">
        <v>12</v>
      </c>
      <c r="K138" t="s">
        <v>2969</v>
      </c>
      <c r="L138" t="s">
        <v>10</v>
      </c>
    </row>
    <row r="139" spans="1:12">
      <c r="A139" t="s">
        <v>3162</v>
      </c>
      <c r="B139" s="2">
        <v>45416</v>
      </c>
      <c r="C139">
        <v>2024</v>
      </c>
      <c r="D139">
        <v>5</v>
      </c>
      <c r="E139" t="s">
        <v>83</v>
      </c>
      <c r="F139" t="s">
        <v>54</v>
      </c>
      <c r="G139" t="s">
        <v>69</v>
      </c>
      <c r="H139" t="s">
        <v>3022</v>
      </c>
      <c r="I139" t="s">
        <v>35</v>
      </c>
      <c r="J139" t="s">
        <v>33</v>
      </c>
      <c r="K139" t="s">
        <v>2969</v>
      </c>
      <c r="L139" t="s">
        <v>10</v>
      </c>
    </row>
    <row r="140" spans="1:12">
      <c r="A140" t="s">
        <v>3163</v>
      </c>
      <c r="B140" s="2">
        <v>45416</v>
      </c>
      <c r="C140">
        <v>2024</v>
      </c>
      <c r="D140">
        <v>5</v>
      </c>
      <c r="E140" t="s">
        <v>83</v>
      </c>
      <c r="F140" t="s">
        <v>26</v>
      </c>
      <c r="G140" t="s">
        <v>55</v>
      </c>
      <c r="H140" t="s">
        <v>3034</v>
      </c>
      <c r="I140" t="s">
        <v>8</v>
      </c>
      <c r="J140" t="s">
        <v>4</v>
      </c>
      <c r="K140" t="s">
        <v>2969</v>
      </c>
      <c r="L140" t="s">
        <v>10</v>
      </c>
    </row>
    <row r="141" spans="1:12">
      <c r="A141" t="s">
        <v>3164</v>
      </c>
      <c r="B141" s="2">
        <v>45429</v>
      </c>
      <c r="C141">
        <v>2024</v>
      </c>
      <c r="D141">
        <v>5</v>
      </c>
      <c r="E141" t="s">
        <v>83</v>
      </c>
      <c r="F141" t="s">
        <v>19</v>
      </c>
      <c r="G141" t="s">
        <v>61</v>
      </c>
      <c r="H141" t="s">
        <v>3034</v>
      </c>
      <c r="I141" t="s">
        <v>52</v>
      </c>
      <c r="J141" t="s">
        <v>12</v>
      </c>
      <c r="K141" t="s">
        <v>2969</v>
      </c>
      <c r="L141" t="s">
        <v>10</v>
      </c>
    </row>
    <row r="142" spans="1:12">
      <c r="A142" t="s">
        <v>3165</v>
      </c>
      <c r="B142" s="2">
        <v>45419</v>
      </c>
      <c r="C142">
        <v>2024</v>
      </c>
      <c r="D142">
        <v>5</v>
      </c>
      <c r="E142" t="s">
        <v>83</v>
      </c>
      <c r="F142" t="s">
        <v>78</v>
      </c>
      <c r="G142" t="s">
        <v>74</v>
      </c>
      <c r="H142" t="s">
        <v>3034</v>
      </c>
      <c r="I142" t="s">
        <v>15</v>
      </c>
      <c r="J142" t="s">
        <v>44</v>
      </c>
      <c r="K142" t="s">
        <v>2969</v>
      </c>
      <c r="L142" t="s">
        <v>10</v>
      </c>
    </row>
    <row r="143" spans="1:12">
      <c r="A143" t="s">
        <v>3166</v>
      </c>
      <c r="B143" s="2">
        <v>45414</v>
      </c>
      <c r="C143">
        <v>2024</v>
      </c>
      <c r="D143">
        <v>5</v>
      </c>
      <c r="E143" t="s">
        <v>83</v>
      </c>
      <c r="F143" t="s">
        <v>26</v>
      </c>
      <c r="G143" t="s">
        <v>48</v>
      </c>
      <c r="H143" t="s">
        <v>51</v>
      </c>
      <c r="I143" t="s">
        <v>8</v>
      </c>
      <c r="J143" t="s">
        <v>44</v>
      </c>
      <c r="K143" t="s">
        <v>2969</v>
      </c>
      <c r="L143" t="s">
        <v>17</v>
      </c>
    </row>
    <row r="144" spans="1:12">
      <c r="A144" t="s">
        <v>3167</v>
      </c>
      <c r="B144" s="2">
        <v>45427</v>
      </c>
      <c r="C144">
        <v>2024</v>
      </c>
      <c r="D144">
        <v>5</v>
      </c>
      <c r="E144" t="s">
        <v>83</v>
      </c>
      <c r="F144" t="s">
        <v>47</v>
      </c>
      <c r="G144" t="s">
        <v>32</v>
      </c>
      <c r="H144" t="s">
        <v>3039</v>
      </c>
      <c r="I144" t="s">
        <v>22</v>
      </c>
      <c r="J144" t="s">
        <v>44</v>
      </c>
      <c r="K144" t="s">
        <v>2977</v>
      </c>
      <c r="L144" t="s">
        <v>17</v>
      </c>
    </row>
    <row r="145" spans="1:12">
      <c r="A145" t="s">
        <v>3168</v>
      </c>
      <c r="B145" s="2">
        <v>45434</v>
      </c>
      <c r="C145">
        <v>2024</v>
      </c>
      <c r="D145">
        <v>5</v>
      </c>
      <c r="E145" t="s">
        <v>83</v>
      </c>
      <c r="F145" t="s">
        <v>26</v>
      </c>
      <c r="G145" t="s">
        <v>3</v>
      </c>
      <c r="H145" t="s">
        <v>3045</v>
      </c>
      <c r="I145" t="s">
        <v>22</v>
      </c>
      <c r="J145" t="s">
        <v>44</v>
      </c>
      <c r="K145" t="s">
        <v>2969</v>
      </c>
      <c r="L145" t="s">
        <v>10</v>
      </c>
    </row>
    <row r="146" spans="1:12">
      <c r="A146" t="s">
        <v>3169</v>
      </c>
      <c r="B146" s="2">
        <v>45427</v>
      </c>
      <c r="C146">
        <v>2024</v>
      </c>
      <c r="D146">
        <v>5</v>
      </c>
      <c r="E146" t="s">
        <v>83</v>
      </c>
      <c r="F146" t="s">
        <v>54</v>
      </c>
      <c r="G146" t="s">
        <v>69</v>
      </c>
      <c r="H146" t="s">
        <v>3022</v>
      </c>
      <c r="I146" t="s">
        <v>42</v>
      </c>
      <c r="J146" t="s">
        <v>44</v>
      </c>
      <c r="K146" t="s">
        <v>2969</v>
      </c>
      <c r="L146" t="s">
        <v>10</v>
      </c>
    </row>
    <row r="147" spans="1:12">
      <c r="A147" t="s">
        <v>3170</v>
      </c>
      <c r="B147" s="2">
        <v>45437</v>
      </c>
      <c r="C147">
        <v>2024</v>
      </c>
      <c r="D147">
        <v>5</v>
      </c>
      <c r="E147" t="s">
        <v>83</v>
      </c>
      <c r="F147" t="s">
        <v>19</v>
      </c>
      <c r="G147" t="s">
        <v>20</v>
      </c>
      <c r="H147" t="s">
        <v>3034</v>
      </c>
      <c r="I147" t="s">
        <v>35</v>
      </c>
      <c r="J147" t="s">
        <v>44</v>
      </c>
      <c r="K147" t="s">
        <v>2969</v>
      </c>
      <c r="L147" t="s">
        <v>10</v>
      </c>
    </row>
    <row r="148" spans="1:12">
      <c r="A148" t="s">
        <v>3171</v>
      </c>
      <c r="B148" s="2">
        <v>45422</v>
      </c>
      <c r="C148">
        <v>2024</v>
      </c>
      <c r="D148">
        <v>5</v>
      </c>
      <c r="E148" t="s">
        <v>83</v>
      </c>
      <c r="F148" t="s">
        <v>31</v>
      </c>
      <c r="G148" t="s">
        <v>64</v>
      </c>
      <c r="H148" t="s">
        <v>3032</v>
      </c>
      <c r="I148" t="s">
        <v>35</v>
      </c>
      <c r="J148" t="s">
        <v>4</v>
      </c>
      <c r="K148" t="s">
        <v>2977</v>
      </c>
      <c r="L148" t="s">
        <v>10</v>
      </c>
    </row>
    <row r="149" spans="1:12">
      <c r="A149" t="s">
        <v>3172</v>
      </c>
      <c r="B149" s="2">
        <v>45424</v>
      </c>
      <c r="C149">
        <v>2024</v>
      </c>
      <c r="D149">
        <v>5</v>
      </c>
      <c r="E149" t="s">
        <v>83</v>
      </c>
      <c r="F149" t="s">
        <v>67</v>
      </c>
      <c r="G149" t="s">
        <v>27</v>
      </c>
      <c r="H149" t="s">
        <v>3039</v>
      </c>
      <c r="I149" t="s">
        <v>42</v>
      </c>
      <c r="J149" t="s">
        <v>12</v>
      </c>
      <c r="K149" t="s">
        <v>2969</v>
      </c>
      <c r="L149" t="s">
        <v>10</v>
      </c>
    </row>
    <row r="150" spans="1:12">
      <c r="A150" t="s">
        <v>3173</v>
      </c>
      <c r="B150" s="2">
        <v>45413</v>
      </c>
      <c r="C150">
        <v>2024</v>
      </c>
      <c r="D150">
        <v>5</v>
      </c>
      <c r="E150" t="s">
        <v>83</v>
      </c>
      <c r="F150" t="s">
        <v>78</v>
      </c>
      <c r="G150" t="s">
        <v>32</v>
      </c>
      <c r="H150" t="s">
        <v>3039</v>
      </c>
      <c r="I150" t="s">
        <v>35</v>
      </c>
      <c r="J150" t="s">
        <v>4</v>
      </c>
      <c r="K150" t="s">
        <v>2969</v>
      </c>
      <c r="L150" t="s">
        <v>10</v>
      </c>
    </row>
    <row r="151" spans="1:12">
      <c r="A151" t="s">
        <v>3174</v>
      </c>
      <c r="B151" s="2">
        <v>45423</v>
      </c>
      <c r="C151">
        <v>2024</v>
      </c>
      <c r="D151">
        <v>5</v>
      </c>
      <c r="E151" t="s">
        <v>83</v>
      </c>
      <c r="F151" t="s">
        <v>54</v>
      </c>
      <c r="G151" t="s">
        <v>3</v>
      </c>
      <c r="H151" t="s">
        <v>51</v>
      </c>
      <c r="I151" t="s">
        <v>15</v>
      </c>
      <c r="J151" t="s">
        <v>44</v>
      </c>
      <c r="K151" t="s">
        <v>2969</v>
      </c>
      <c r="L151" t="s">
        <v>10</v>
      </c>
    </row>
    <row r="152" spans="1:12">
      <c r="A152" t="s">
        <v>3175</v>
      </c>
      <c r="B152" s="2">
        <v>45414</v>
      </c>
      <c r="C152">
        <v>2024</v>
      </c>
      <c r="D152">
        <v>5</v>
      </c>
      <c r="E152" t="s">
        <v>83</v>
      </c>
      <c r="F152" t="s">
        <v>2</v>
      </c>
      <c r="G152" t="s">
        <v>94</v>
      </c>
      <c r="H152" t="s">
        <v>3026</v>
      </c>
      <c r="I152" t="s">
        <v>22</v>
      </c>
      <c r="J152" t="s">
        <v>4</v>
      </c>
      <c r="K152" t="s">
        <v>2969</v>
      </c>
      <c r="L152" t="s">
        <v>10</v>
      </c>
    </row>
    <row r="153" spans="1:12">
      <c r="A153" t="s">
        <v>3176</v>
      </c>
      <c r="B153" s="2">
        <v>45434</v>
      </c>
      <c r="C153">
        <v>2024</v>
      </c>
      <c r="D153">
        <v>5</v>
      </c>
      <c r="E153" t="s">
        <v>83</v>
      </c>
      <c r="F153" t="s">
        <v>78</v>
      </c>
      <c r="G153" t="s">
        <v>55</v>
      </c>
      <c r="H153" t="s">
        <v>3034</v>
      </c>
      <c r="I153" t="s">
        <v>42</v>
      </c>
      <c r="J153" t="s">
        <v>4</v>
      </c>
      <c r="K153" t="s">
        <v>2969</v>
      </c>
      <c r="L153" t="s">
        <v>10</v>
      </c>
    </row>
    <row r="154" spans="1:12">
      <c r="A154" t="s">
        <v>3177</v>
      </c>
      <c r="B154" s="2">
        <v>45436</v>
      </c>
      <c r="C154">
        <v>2024</v>
      </c>
      <c r="D154">
        <v>5</v>
      </c>
      <c r="E154" t="s">
        <v>83</v>
      </c>
      <c r="F154" t="s">
        <v>54</v>
      </c>
      <c r="G154" t="s">
        <v>69</v>
      </c>
      <c r="H154" t="s">
        <v>3039</v>
      </c>
      <c r="I154" t="s">
        <v>22</v>
      </c>
      <c r="J154" t="s">
        <v>33</v>
      </c>
      <c r="K154" t="s">
        <v>2969</v>
      </c>
      <c r="L154" t="s">
        <v>10</v>
      </c>
    </row>
    <row r="155" spans="1:12">
      <c r="A155" t="s">
        <v>3178</v>
      </c>
      <c r="B155" s="2">
        <v>45437</v>
      </c>
      <c r="C155">
        <v>2024</v>
      </c>
      <c r="D155">
        <v>5</v>
      </c>
      <c r="E155" t="s">
        <v>83</v>
      </c>
      <c r="F155" t="s">
        <v>40</v>
      </c>
      <c r="G155" t="s">
        <v>38</v>
      </c>
      <c r="H155" t="s">
        <v>3045</v>
      </c>
      <c r="I155" t="s">
        <v>42</v>
      </c>
      <c r="J155" t="s">
        <v>33</v>
      </c>
      <c r="K155" t="s">
        <v>2969</v>
      </c>
      <c r="L155" t="s">
        <v>10</v>
      </c>
    </row>
    <row r="156" spans="1:12">
      <c r="A156" t="s">
        <v>3179</v>
      </c>
      <c r="B156" s="2">
        <v>45435</v>
      </c>
      <c r="C156">
        <v>2024</v>
      </c>
      <c r="D156">
        <v>5</v>
      </c>
      <c r="E156" t="s">
        <v>83</v>
      </c>
      <c r="F156" t="s">
        <v>19</v>
      </c>
      <c r="G156" t="s">
        <v>55</v>
      </c>
      <c r="H156" t="s">
        <v>3019</v>
      </c>
      <c r="I156" t="s">
        <v>52</v>
      </c>
      <c r="J156" t="s">
        <v>44</v>
      </c>
      <c r="K156" t="s">
        <v>2969</v>
      </c>
      <c r="L156" t="s">
        <v>10</v>
      </c>
    </row>
    <row r="157" spans="1:12">
      <c r="A157" t="s">
        <v>3180</v>
      </c>
      <c r="B157" s="2">
        <v>45435</v>
      </c>
      <c r="C157">
        <v>2024</v>
      </c>
      <c r="D157">
        <v>5</v>
      </c>
      <c r="E157" t="s">
        <v>83</v>
      </c>
      <c r="F157" t="s">
        <v>2</v>
      </c>
      <c r="G157" t="s">
        <v>27</v>
      </c>
      <c r="H157" t="s">
        <v>51</v>
      </c>
      <c r="I157" t="s">
        <v>8</v>
      </c>
      <c r="J157" t="s">
        <v>12</v>
      </c>
      <c r="K157" t="s">
        <v>2969</v>
      </c>
      <c r="L157" t="s">
        <v>17</v>
      </c>
    </row>
    <row r="158" spans="1:12">
      <c r="A158" t="s">
        <v>3181</v>
      </c>
      <c r="B158" s="2">
        <v>45426</v>
      </c>
      <c r="C158">
        <v>2024</v>
      </c>
      <c r="D158">
        <v>5</v>
      </c>
      <c r="E158" t="s">
        <v>83</v>
      </c>
      <c r="F158" t="s">
        <v>78</v>
      </c>
      <c r="G158" t="s">
        <v>74</v>
      </c>
      <c r="H158" t="s">
        <v>3022</v>
      </c>
      <c r="I158" t="s">
        <v>35</v>
      </c>
      <c r="J158" t="s">
        <v>12</v>
      </c>
      <c r="K158" t="s">
        <v>2969</v>
      </c>
      <c r="L158" t="s">
        <v>10</v>
      </c>
    </row>
    <row r="159" spans="1:12">
      <c r="A159" t="s">
        <v>3182</v>
      </c>
      <c r="B159" s="2">
        <v>45439</v>
      </c>
      <c r="C159">
        <v>2024</v>
      </c>
      <c r="D159">
        <v>5</v>
      </c>
      <c r="E159" t="s">
        <v>83</v>
      </c>
      <c r="F159" t="s">
        <v>47</v>
      </c>
      <c r="G159" t="s">
        <v>69</v>
      </c>
      <c r="H159" t="s">
        <v>51</v>
      </c>
      <c r="I159" t="s">
        <v>42</v>
      </c>
      <c r="J159" t="s">
        <v>4</v>
      </c>
      <c r="K159" t="s">
        <v>2969</v>
      </c>
      <c r="L159" t="s">
        <v>10</v>
      </c>
    </row>
    <row r="160" spans="1:12">
      <c r="A160" t="s">
        <v>3183</v>
      </c>
      <c r="B160" s="2">
        <v>45428</v>
      </c>
      <c r="C160">
        <v>2024</v>
      </c>
      <c r="D160">
        <v>5</v>
      </c>
      <c r="E160" t="s">
        <v>83</v>
      </c>
      <c r="F160" t="s">
        <v>19</v>
      </c>
      <c r="G160" t="s">
        <v>55</v>
      </c>
      <c r="H160" t="s">
        <v>3022</v>
      </c>
      <c r="I160" t="s">
        <v>35</v>
      </c>
      <c r="J160" t="s">
        <v>12</v>
      </c>
      <c r="K160" t="s">
        <v>2969</v>
      </c>
      <c r="L160" t="s">
        <v>10</v>
      </c>
    </row>
    <row r="161" spans="1:12">
      <c r="A161" t="s">
        <v>3184</v>
      </c>
      <c r="B161" s="2">
        <v>45414</v>
      </c>
      <c r="C161">
        <v>2024</v>
      </c>
      <c r="D161">
        <v>5</v>
      </c>
      <c r="E161" t="s">
        <v>83</v>
      </c>
      <c r="F161" t="s">
        <v>19</v>
      </c>
      <c r="G161" t="s">
        <v>69</v>
      </c>
      <c r="H161" t="s">
        <v>3019</v>
      </c>
      <c r="I161" t="s">
        <v>15</v>
      </c>
      <c r="J161" t="s">
        <v>12</v>
      </c>
      <c r="K161" t="s">
        <v>2969</v>
      </c>
      <c r="L161" t="s">
        <v>17</v>
      </c>
    </row>
    <row r="162" spans="1:12">
      <c r="A162" t="s">
        <v>3185</v>
      </c>
      <c r="B162" s="2">
        <v>45427</v>
      </c>
      <c r="C162">
        <v>2024</v>
      </c>
      <c r="D162">
        <v>5</v>
      </c>
      <c r="E162" t="s">
        <v>83</v>
      </c>
      <c r="F162" t="s">
        <v>67</v>
      </c>
      <c r="G162" t="s">
        <v>38</v>
      </c>
      <c r="H162" t="s">
        <v>3019</v>
      </c>
      <c r="I162" t="s">
        <v>15</v>
      </c>
      <c r="J162" t="s">
        <v>12</v>
      </c>
      <c r="K162" t="s">
        <v>2969</v>
      </c>
      <c r="L162" t="s">
        <v>10</v>
      </c>
    </row>
    <row r="163" spans="1:12">
      <c r="A163" t="s">
        <v>3186</v>
      </c>
      <c r="B163" s="2">
        <v>45436</v>
      </c>
      <c r="C163">
        <v>2024</v>
      </c>
      <c r="D163">
        <v>5</v>
      </c>
      <c r="E163" t="s">
        <v>83</v>
      </c>
      <c r="F163" t="s">
        <v>19</v>
      </c>
      <c r="G163" t="s">
        <v>61</v>
      </c>
      <c r="H163" t="s">
        <v>3045</v>
      </c>
      <c r="I163" t="s">
        <v>42</v>
      </c>
      <c r="J163" t="s">
        <v>44</v>
      </c>
      <c r="K163" t="s">
        <v>2969</v>
      </c>
      <c r="L163" t="s">
        <v>10</v>
      </c>
    </row>
    <row r="164" spans="1:12">
      <c r="A164" t="s">
        <v>3187</v>
      </c>
      <c r="B164" s="2">
        <v>45434</v>
      </c>
      <c r="C164">
        <v>2024</v>
      </c>
      <c r="D164">
        <v>5</v>
      </c>
      <c r="E164" t="s">
        <v>83</v>
      </c>
      <c r="F164" t="s">
        <v>47</v>
      </c>
      <c r="G164" t="s">
        <v>48</v>
      </c>
      <c r="H164" t="s">
        <v>51</v>
      </c>
      <c r="I164" t="s">
        <v>22</v>
      </c>
      <c r="J164" t="s">
        <v>4</v>
      </c>
      <c r="K164" t="s">
        <v>2969</v>
      </c>
      <c r="L164" t="s">
        <v>17</v>
      </c>
    </row>
    <row r="165" spans="1:12">
      <c r="A165" t="s">
        <v>3188</v>
      </c>
      <c r="B165" s="2">
        <v>45438</v>
      </c>
      <c r="C165">
        <v>2024</v>
      </c>
      <c r="D165">
        <v>5</v>
      </c>
      <c r="E165" t="s">
        <v>83</v>
      </c>
      <c r="F165" t="s">
        <v>54</v>
      </c>
      <c r="G165" t="s">
        <v>20</v>
      </c>
      <c r="H165" t="s">
        <v>3034</v>
      </c>
      <c r="I165" t="s">
        <v>35</v>
      </c>
      <c r="J165" t="s">
        <v>4</v>
      </c>
      <c r="K165" t="s">
        <v>2969</v>
      </c>
      <c r="L165" t="s">
        <v>10</v>
      </c>
    </row>
    <row r="166" spans="1:12">
      <c r="A166" t="s">
        <v>3189</v>
      </c>
      <c r="B166" s="2">
        <v>45418</v>
      </c>
      <c r="C166">
        <v>2024</v>
      </c>
      <c r="D166">
        <v>5</v>
      </c>
      <c r="E166" t="s">
        <v>83</v>
      </c>
      <c r="F166" t="s">
        <v>54</v>
      </c>
      <c r="G166" t="s">
        <v>20</v>
      </c>
      <c r="H166" t="s">
        <v>3026</v>
      </c>
      <c r="I166" t="s">
        <v>22</v>
      </c>
      <c r="J166" t="s">
        <v>33</v>
      </c>
      <c r="K166" t="s">
        <v>2969</v>
      </c>
      <c r="L166" t="s">
        <v>10</v>
      </c>
    </row>
    <row r="167" spans="1:12">
      <c r="A167" t="s">
        <v>3190</v>
      </c>
      <c r="B167" s="2">
        <v>45423</v>
      </c>
      <c r="C167">
        <v>2024</v>
      </c>
      <c r="D167">
        <v>5</v>
      </c>
      <c r="E167" t="s">
        <v>83</v>
      </c>
      <c r="F167" t="s">
        <v>19</v>
      </c>
      <c r="G167" t="s">
        <v>3</v>
      </c>
      <c r="H167" t="s">
        <v>3045</v>
      </c>
      <c r="I167" t="s">
        <v>35</v>
      </c>
      <c r="J167" t="s">
        <v>33</v>
      </c>
      <c r="K167" t="s">
        <v>2969</v>
      </c>
      <c r="L167" t="s">
        <v>17</v>
      </c>
    </row>
    <row r="168" spans="1:12">
      <c r="A168" t="s">
        <v>3191</v>
      </c>
      <c r="B168" s="2">
        <v>45415</v>
      </c>
      <c r="C168">
        <v>2024</v>
      </c>
      <c r="D168">
        <v>5</v>
      </c>
      <c r="E168" t="s">
        <v>83</v>
      </c>
      <c r="F168" t="s">
        <v>38</v>
      </c>
      <c r="G168" t="s">
        <v>32</v>
      </c>
      <c r="H168" t="s">
        <v>51</v>
      </c>
      <c r="I168" t="s">
        <v>35</v>
      </c>
      <c r="J168" t="s">
        <v>33</v>
      </c>
      <c r="K168" t="s">
        <v>2969</v>
      </c>
      <c r="L168" t="s">
        <v>17</v>
      </c>
    </row>
    <row r="169" spans="1:12">
      <c r="A169" t="s">
        <v>3192</v>
      </c>
      <c r="B169" s="2">
        <v>45434</v>
      </c>
      <c r="C169">
        <v>2024</v>
      </c>
      <c r="D169">
        <v>5</v>
      </c>
      <c r="E169" t="s">
        <v>83</v>
      </c>
      <c r="F169" t="s">
        <v>67</v>
      </c>
      <c r="G169" t="s">
        <v>94</v>
      </c>
      <c r="H169" t="s">
        <v>3039</v>
      </c>
      <c r="I169" t="s">
        <v>15</v>
      </c>
      <c r="J169" t="s">
        <v>33</v>
      </c>
      <c r="K169" t="s">
        <v>2969</v>
      </c>
      <c r="L169" t="s">
        <v>10</v>
      </c>
    </row>
    <row r="170" spans="1:12">
      <c r="A170" t="s">
        <v>3193</v>
      </c>
      <c r="B170" s="2">
        <v>45465</v>
      </c>
      <c r="C170">
        <v>2024</v>
      </c>
      <c r="D170">
        <v>6</v>
      </c>
      <c r="E170" t="s">
        <v>87</v>
      </c>
      <c r="F170" t="s">
        <v>40</v>
      </c>
      <c r="G170" t="s">
        <v>64</v>
      </c>
      <c r="H170" t="s">
        <v>3045</v>
      </c>
      <c r="I170" t="s">
        <v>35</v>
      </c>
      <c r="J170" t="s">
        <v>44</v>
      </c>
      <c r="K170" t="s">
        <v>2969</v>
      </c>
      <c r="L170" t="s">
        <v>10</v>
      </c>
    </row>
    <row r="171" spans="1:12">
      <c r="A171" t="s">
        <v>3194</v>
      </c>
      <c r="B171" s="2">
        <v>45466</v>
      </c>
      <c r="C171">
        <v>2024</v>
      </c>
      <c r="D171">
        <v>6</v>
      </c>
      <c r="E171" t="s">
        <v>87</v>
      </c>
      <c r="F171" t="s">
        <v>19</v>
      </c>
      <c r="G171" t="s">
        <v>94</v>
      </c>
      <c r="H171" t="s">
        <v>3045</v>
      </c>
      <c r="I171" t="s">
        <v>8</v>
      </c>
      <c r="J171" t="s">
        <v>33</v>
      </c>
      <c r="K171" t="s">
        <v>2969</v>
      </c>
      <c r="L171" t="s">
        <v>10</v>
      </c>
    </row>
    <row r="172" spans="1:12">
      <c r="A172" t="s">
        <v>3195</v>
      </c>
      <c r="B172" s="2">
        <v>45449</v>
      </c>
      <c r="C172">
        <v>2024</v>
      </c>
      <c r="D172">
        <v>6</v>
      </c>
      <c r="E172" t="s">
        <v>87</v>
      </c>
      <c r="F172" t="s">
        <v>31</v>
      </c>
      <c r="G172" t="s">
        <v>48</v>
      </c>
      <c r="H172" t="s">
        <v>3022</v>
      </c>
      <c r="I172" t="s">
        <v>52</v>
      </c>
      <c r="J172" t="s">
        <v>33</v>
      </c>
      <c r="K172" t="s">
        <v>2969</v>
      </c>
      <c r="L172" t="s">
        <v>10</v>
      </c>
    </row>
    <row r="173" spans="1:12">
      <c r="A173" t="s">
        <v>3196</v>
      </c>
      <c r="B173" s="2">
        <v>45469</v>
      </c>
      <c r="C173">
        <v>2024</v>
      </c>
      <c r="D173">
        <v>6</v>
      </c>
      <c r="E173" t="s">
        <v>87</v>
      </c>
      <c r="F173" t="s">
        <v>38</v>
      </c>
      <c r="G173" t="s">
        <v>3</v>
      </c>
      <c r="H173" t="s">
        <v>3026</v>
      </c>
      <c r="I173" t="s">
        <v>52</v>
      </c>
      <c r="J173" t="s">
        <v>44</v>
      </c>
      <c r="K173" t="s">
        <v>2969</v>
      </c>
      <c r="L173" t="s">
        <v>10</v>
      </c>
    </row>
    <row r="174" spans="1:12">
      <c r="A174" t="s">
        <v>3197</v>
      </c>
      <c r="B174" s="2">
        <v>45468</v>
      </c>
      <c r="C174">
        <v>2024</v>
      </c>
      <c r="D174">
        <v>6</v>
      </c>
      <c r="E174" t="s">
        <v>87</v>
      </c>
      <c r="F174" t="s">
        <v>78</v>
      </c>
      <c r="G174" t="s">
        <v>32</v>
      </c>
      <c r="H174" t="s">
        <v>51</v>
      </c>
      <c r="I174" t="s">
        <v>22</v>
      </c>
      <c r="J174" t="s">
        <v>12</v>
      </c>
      <c r="K174" t="s">
        <v>2969</v>
      </c>
      <c r="L174" t="s">
        <v>10</v>
      </c>
    </row>
    <row r="175" spans="1:12">
      <c r="A175" t="s">
        <v>3198</v>
      </c>
      <c r="B175" s="2">
        <v>45456</v>
      </c>
      <c r="C175">
        <v>2024</v>
      </c>
      <c r="D175">
        <v>6</v>
      </c>
      <c r="E175" t="s">
        <v>87</v>
      </c>
      <c r="F175" t="s">
        <v>40</v>
      </c>
      <c r="G175" t="s">
        <v>48</v>
      </c>
      <c r="H175" t="s">
        <v>3039</v>
      </c>
      <c r="I175" t="s">
        <v>8</v>
      </c>
      <c r="J175" t="s">
        <v>4</v>
      </c>
      <c r="K175" t="s">
        <v>2969</v>
      </c>
      <c r="L175" t="s">
        <v>10</v>
      </c>
    </row>
    <row r="176" spans="1:12">
      <c r="A176" t="s">
        <v>3199</v>
      </c>
      <c r="B176" s="2">
        <v>45465</v>
      </c>
      <c r="C176">
        <v>2024</v>
      </c>
      <c r="D176">
        <v>6</v>
      </c>
      <c r="E176" t="s">
        <v>87</v>
      </c>
      <c r="F176" t="s">
        <v>2</v>
      </c>
      <c r="G176" t="s">
        <v>74</v>
      </c>
      <c r="H176" t="s">
        <v>3022</v>
      </c>
      <c r="I176" t="s">
        <v>35</v>
      </c>
      <c r="J176" t="s">
        <v>12</v>
      </c>
      <c r="K176" t="s">
        <v>2969</v>
      </c>
      <c r="L176" t="s">
        <v>10</v>
      </c>
    </row>
    <row r="177" spans="1:12">
      <c r="A177" t="s">
        <v>3200</v>
      </c>
      <c r="B177" s="2">
        <v>45456</v>
      </c>
      <c r="C177">
        <v>2024</v>
      </c>
      <c r="D177">
        <v>6</v>
      </c>
      <c r="E177" t="s">
        <v>87</v>
      </c>
      <c r="F177" t="s">
        <v>47</v>
      </c>
      <c r="G177" t="s">
        <v>3</v>
      </c>
      <c r="H177" t="s">
        <v>3034</v>
      </c>
      <c r="I177" t="s">
        <v>15</v>
      </c>
      <c r="J177" t="s">
        <v>33</v>
      </c>
      <c r="K177" t="s">
        <v>2969</v>
      </c>
      <c r="L177" t="s">
        <v>10</v>
      </c>
    </row>
    <row r="178" spans="1:12">
      <c r="A178" t="s">
        <v>3201</v>
      </c>
      <c r="B178" s="2">
        <v>45458</v>
      </c>
      <c r="C178">
        <v>2024</v>
      </c>
      <c r="D178">
        <v>6</v>
      </c>
      <c r="E178" t="s">
        <v>87</v>
      </c>
      <c r="F178" t="s">
        <v>26</v>
      </c>
      <c r="G178" t="s">
        <v>69</v>
      </c>
      <c r="H178" t="s">
        <v>51</v>
      </c>
      <c r="I178" t="s">
        <v>8</v>
      </c>
      <c r="J178" t="s">
        <v>33</v>
      </c>
      <c r="K178" t="s">
        <v>2969</v>
      </c>
      <c r="L178" t="s">
        <v>10</v>
      </c>
    </row>
    <row r="179" spans="1:12">
      <c r="A179" t="s">
        <v>3202</v>
      </c>
      <c r="B179" s="2">
        <v>45459</v>
      </c>
      <c r="C179">
        <v>2024</v>
      </c>
      <c r="D179">
        <v>6</v>
      </c>
      <c r="E179" t="s">
        <v>87</v>
      </c>
      <c r="F179" t="s">
        <v>2</v>
      </c>
      <c r="G179" t="s">
        <v>32</v>
      </c>
      <c r="H179" t="s">
        <v>3022</v>
      </c>
      <c r="I179" t="s">
        <v>15</v>
      </c>
      <c r="J179" t="s">
        <v>44</v>
      </c>
      <c r="K179" t="s">
        <v>2969</v>
      </c>
      <c r="L179" t="s">
        <v>10</v>
      </c>
    </row>
    <row r="180" spans="1:12">
      <c r="A180" t="s">
        <v>3203</v>
      </c>
      <c r="B180" s="2">
        <v>45456</v>
      </c>
      <c r="C180">
        <v>2024</v>
      </c>
      <c r="D180">
        <v>6</v>
      </c>
      <c r="E180" t="s">
        <v>87</v>
      </c>
      <c r="F180" t="s">
        <v>67</v>
      </c>
      <c r="G180" t="s">
        <v>3</v>
      </c>
      <c r="H180" t="s">
        <v>3022</v>
      </c>
      <c r="I180" t="s">
        <v>35</v>
      </c>
      <c r="J180" t="s">
        <v>44</v>
      </c>
      <c r="K180" t="s">
        <v>2969</v>
      </c>
      <c r="L180" t="s">
        <v>10</v>
      </c>
    </row>
    <row r="181" spans="1:12">
      <c r="A181" t="s">
        <v>3204</v>
      </c>
      <c r="B181" s="2">
        <v>45467</v>
      </c>
      <c r="C181">
        <v>2024</v>
      </c>
      <c r="D181">
        <v>6</v>
      </c>
      <c r="E181" t="s">
        <v>87</v>
      </c>
      <c r="F181" t="s">
        <v>47</v>
      </c>
      <c r="G181" t="s">
        <v>27</v>
      </c>
      <c r="H181" t="s">
        <v>3034</v>
      </c>
      <c r="I181" t="s">
        <v>8</v>
      </c>
      <c r="J181" t="s">
        <v>12</v>
      </c>
      <c r="K181" t="s">
        <v>2969</v>
      </c>
      <c r="L181" t="s">
        <v>10</v>
      </c>
    </row>
    <row r="182" spans="1:12">
      <c r="A182" t="s">
        <v>3205</v>
      </c>
      <c r="B182" s="2">
        <v>45465</v>
      </c>
      <c r="C182">
        <v>2024</v>
      </c>
      <c r="D182">
        <v>6</v>
      </c>
      <c r="E182" t="s">
        <v>87</v>
      </c>
      <c r="F182" t="s">
        <v>47</v>
      </c>
      <c r="G182" t="s">
        <v>55</v>
      </c>
      <c r="H182" t="s">
        <v>3039</v>
      </c>
      <c r="I182" t="s">
        <v>35</v>
      </c>
      <c r="J182" t="s">
        <v>33</v>
      </c>
      <c r="K182" t="s">
        <v>2969</v>
      </c>
      <c r="L182" t="s">
        <v>10</v>
      </c>
    </row>
    <row r="183" spans="1:12">
      <c r="A183" t="s">
        <v>3206</v>
      </c>
      <c r="B183" s="2">
        <v>45457</v>
      </c>
      <c r="C183">
        <v>2024</v>
      </c>
      <c r="D183">
        <v>6</v>
      </c>
      <c r="E183" t="s">
        <v>87</v>
      </c>
      <c r="F183" t="s">
        <v>19</v>
      </c>
      <c r="G183" t="s">
        <v>55</v>
      </c>
      <c r="H183" t="s">
        <v>51</v>
      </c>
      <c r="I183" t="s">
        <v>52</v>
      </c>
      <c r="J183" t="s">
        <v>12</v>
      </c>
      <c r="K183" t="s">
        <v>2969</v>
      </c>
      <c r="L183" t="s">
        <v>10</v>
      </c>
    </row>
    <row r="184" spans="1:12">
      <c r="A184" t="s">
        <v>3207</v>
      </c>
      <c r="B184" s="2">
        <v>45467</v>
      </c>
      <c r="C184">
        <v>2024</v>
      </c>
      <c r="D184">
        <v>6</v>
      </c>
      <c r="E184" t="s">
        <v>87</v>
      </c>
      <c r="F184" t="s">
        <v>19</v>
      </c>
      <c r="G184" t="s">
        <v>74</v>
      </c>
      <c r="H184" t="s">
        <v>3039</v>
      </c>
      <c r="I184" t="s">
        <v>42</v>
      </c>
      <c r="J184" t="s">
        <v>4</v>
      </c>
      <c r="K184" t="s">
        <v>2969</v>
      </c>
      <c r="L184" t="s">
        <v>10</v>
      </c>
    </row>
    <row r="185" spans="1:12">
      <c r="A185" t="s">
        <v>3208</v>
      </c>
      <c r="B185" s="2">
        <v>45469</v>
      </c>
      <c r="C185">
        <v>2024</v>
      </c>
      <c r="D185">
        <v>6</v>
      </c>
      <c r="E185" t="s">
        <v>87</v>
      </c>
      <c r="F185" t="s">
        <v>19</v>
      </c>
      <c r="G185" t="s">
        <v>38</v>
      </c>
      <c r="H185" t="s">
        <v>3032</v>
      </c>
      <c r="I185" t="s">
        <v>42</v>
      </c>
      <c r="J185" t="s">
        <v>12</v>
      </c>
      <c r="K185" t="s">
        <v>2969</v>
      </c>
      <c r="L185" t="s">
        <v>10</v>
      </c>
    </row>
    <row r="186" spans="1:12">
      <c r="A186" t="s">
        <v>3209</v>
      </c>
      <c r="B186" s="2">
        <v>45466</v>
      </c>
      <c r="C186">
        <v>2024</v>
      </c>
      <c r="D186">
        <v>6</v>
      </c>
      <c r="E186" t="s">
        <v>87</v>
      </c>
      <c r="F186" t="s">
        <v>26</v>
      </c>
      <c r="G186" t="s">
        <v>94</v>
      </c>
      <c r="H186" t="s">
        <v>3026</v>
      </c>
      <c r="I186" t="s">
        <v>15</v>
      </c>
      <c r="J186" t="s">
        <v>44</v>
      </c>
      <c r="K186" t="s">
        <v>2977</v>
      </c>
      <c r="L186" t="s">
        <v>10</v>
      </c>
    </row>
    <row r="187" spans="1:12">
      <c r="A187" t="s">
        <v>3210</v>
      </c>
      <c r="B187" s="2">
        <v>45447</v>
      </c>
      <c r="C187">
        <v>2024</v>
      </c>
      <c r="D187">
        <v>6</v>
      </c>
      <c r="E187" t="s">
        <v>87</v>
      </c>
      <c r="F187" t="s">
        <v>54</v>
      </c>
      <c r="G187" t="s">
        <v>74</v>
      </c>
      <c r="H187" t="s">
        <v>3026</v>
      </c>
      <c r="I187" t="s">
        <v>22</v>
      </c>
      <c r="J187" t="s">
        <v>12</v>
      </c>
      <c r="K187" t="s">
        <v>2969</v>
      </c>
      <c r="L187" t="s">
        <v>10</v>
      </c>
    </row>
    <row r="188" spans="1:12">
      <c r="A188" t="s">
        <v>3211</v>
      </c>
      <c r="B188" s="2">
        <v>45445</v>
      </c>
      <c r="C188">
        <v>2024</v>
      </c>
      <c r="D188">
        <v>6</v>
      </c>
      <c r="E188" t="s">
        <v>87</v>
      </c>
      <c r="F188" t="s">
        <v>19</v>
      </c>
      <c r="G188" t="s">
        <v>69</v>
      </c>
      <c r="H188" t="s">
        <v>3039</v>
      </c>
      <c r="I188" t="s">
        <v>15</v>
      </c>
      <c r="J188" t="s">
        <v>12</v>
      </c>
      <c r="K188" t="s">
        <v>2969</v>
      </c>
      <c r="L188" t="s">
        <v>10</v>
      </c>
    </row>
    <row r="189" spans="1:12">
      <c r="A189" t="s">
        <v>3212</v>
      </c>
      <c r="B189" s="2">
        <v>45452</v>
      </c>
      <c r="C189">
        <v>2024</v>
      </c>
      <c r="D189">
        <v>6</v>
      </c>
      <c r="E189" t="s">
        <v>87</v>
      </c>
      <c r="F189" t="s">
        <v>38</v>
      </c>
      <c r="G189" t="s">
        <v>64</v>
      </c>
      <c r="H189" t="s">
        <v>3032</v>
      </c>
      <c r="I189" t="s">
        <v>52</v>
      </c>
      <c r="J189" t="s">
        <v>33</v>
      </c>
      <c r="K189" t="s">
        <v>2969</v>
      </c>
      <c r="L189" t="s">
        <v>10</v>
      </c>
    </row>
    <row r="190" spans="1:12">
      <c r="A190" t="s">
        <v>3213</v>
      </c>
      <c r="B190" s="2">
        <v>45446</v>
      </c>
      <c r="C190">
        <v>2024</v>
      </c>
      <c r="D190">
        <v>6</v>
      </c>
      <c r="E190" t="s">
        <v>87</v>
      </c>
      <c r="F190" t="s">
        <v>78</v>
      </c>
      <c r="G190" t="s">
        <v>20</v>
      </c>
      <c r="H190" t="s">
        <v>51</v>
      </c>
      <c r="I190" t="s">
        <v>35</v>
      </c>
      <c r="J190" t="s">
        <v>12</v>
      </c>
      <c r="K190" t="s">
        <v>2969</v>
      </c>
      <c r="L190" t="s">
        <v>10</v>
      </c>
    </row>
    <row r="191" spans="1:12">
      <c r="A191" t="s">
        <v>3214</v>
      </c>
      <c r="B191" s="2">
        <v>45465</v>
      </c>
      <c r="C191">
        <v>2024</v>
      </c>
      <c r="D191">
        <v>6</v>
      </c>
      <c r="E191" t="s">
        <v>87</v>
      </c>
      <c r="F191" t="s">
        <v>54</v>
      </c>
      <c r="G191" t="s">
        <v>94</v>
      </c>
      <c r="H191" t="s">
        <v>3045</v>
      </c>
      <c r="I191" t="s">
        <v>8</v>
      </c>
      <c r="J191" t="s">
        <v>12</v>
      </c>
      <c r="K191" t="s">
        <v>2969</v>
      </c>
      <c r="L191" t="s">
        <v>10</v>
      </c>
    </row>
    <row r="192" spans="1:12">
      <c r="A192" t="s">
        <v>3215</v>
      </c>
      <c r="B192" s="2">
        <v>45453</v>
      </c>
      <c r="C192">
        <v>2024</v>
      </c>
      <c r="D192">
        <v>6</v>
      </c>
      <c r="E192" t="s">
        <v>87</v>
      </c>
      <c r="F192" t="s">
        <v>67</v>
      </c>
      <c r="G192" t="s">
        <v>20</v>
      </c>
      <c r="H192" t="s">
        <v>3026</v>
      </c>
      <c r="I192" t="s">
        <v>8</v>
      </c>
      <c r="J192" t="s">
        <v>12</v>
      </c>
      <c r="K192" t="s">
        <v>2969</v>
      </c>
      <c r="L192" t="s">
        <v>10</v>
      </c>
    </row>
    <row r="193" spans="1:12">
      <c r="A193" t="s">
        <v>3216</v>
      </c>
      <c r="B193" s="2">
        <v>45464</v>
      </c>
      <c r="C193">
        <v>2024</v>
      </c>
      <c r="D193">
        <v>6</v>
      </c>
      <c r="E193" t="s">
        <v>87</v>
      </c>
      <c r="F193" t="s">
        <v>26</v>
      </c>
      <c r="G193" t="s">
        <v>55</v>
      </c>
      <c r="H193" t="s">
        <v>3019</v>
      </c>
      <c r="I193" t="s">
        <v>15</v>
      </c>
      <c r="J193" t="s">
        <v>33</v>
      </c>
      <c r="K193" t="s">
        <v>2969</v>
      </c>
      <c r="L193" t="s">
        <v>10</v>
      </c>
    </row>
    <row r="194" spans="1:12">
      <c r="A194" t="s">
        <v>3217</v>
      </c>
      <c r="B194" s="2">
        <v>45449</v>
      </c>
      <c r="C194">
        <v>2024</v>
      </c>
      <c r="D194">
        <v>6</v>
      </c>
      <c r="E194" t="s">
        <v>87</v>
      </c>
      <c r="F194" t="s">
        <v>40</v>
      </c>
      <c r="G194" t="s">
        <v>69</v>
      </c>
      <c r="H194" t="s">
        <v>3022</v>
      </c>
      <c r="I194" t="s">
        <v>8</v>
      </c>
      <c r="J194" t="s">
        <v>44</v>
      </c>
      <c r="K194" t="s">
        <v>2969</v>
      </c>
      <c r="L194" t="s">
        <v>10</v>
      </c>
    </row>
    <row r="195" spans="1:12">
      <c r="A195" t="s">
        <v>3218</v>
      </c>
      <c r="B195" s="2">
        <v>45449</v>
      </c>
      <c r="C195">
        <v>2024</v>
      </c>
      <c r="D195">
        <v>6</v>
      </c>
      <c r="E195" t="s">
        <v>87</v>
      </c>
      <c r="F195" t="s">
        <v>47</v>
      </c>
      <c r="G195" t="s">
        <v>64</v>
      </c>
      <c r="H195" t="s">
        <v>3026</v>
      </c>
      <c r="I195" t="s">
        <v>35</v>
      </c>
      <c r="J195" t="s">
        <v>33</v>
      </c>
      <c r="K195" t="s">
        <v>2969</v>
      </c>
      <c r="L195" t="s">
        <v>10</v>
      </c>
    </row>
    <row r="196" spans="1:12">
      <c r="A196" t="s">
        <v>3219</v>
      </c>
      <c r="B196" s="2">
        <v>45446</v>
      </c>
      <c r="C196">
        <v>2024</v>
      </c>
      <c r="D196">
        <v>6</v>
      </c>
      <c r="E196" t="s">
        <v>87</v>
      </c>
      <c r="F196" t="s">
        <v>67</v>
      </c>
      <c r="G196" t="s">
        <v>32</v>
      </c>
      <c r="H196" t="s">
        <v>3022</v>
      </c>
      <c r="I196" t="s">
        <v>15</v>
      </c>
      <c r="J196" t="s">
        <v>4</v>
      </c>
      <c r="K196" t="s">
        <v>2969</v>
      </c>
      <c r="L196" t="s">
        <v>10</v>
      </c>
    </row>
    <row r="197" spans="1:12">
      <c r="A197" t="s">
        <v>3220</v>
      </c>
      <c r="B197" s="2">
        <v>45453</v>
      </c>
      <c r="C197">
        <v>2024</v>
      </c>
      <c r="D197">
        <v>6</v>
      </c>
      <c r="E197" t="s">
        <v>87</v>
      </c>
      <c r="F197" t="s">
        <v>2</v>
      </c>
      <c r="G197" t="s">
        <v>20</v>
      </c>
      <c r="H197" t="s">
        <v>3019</v>
      </c>
      <c r="I197" t="s">
        <v>52</v>
      </c>
      <c r="J197" t="s">
        <v>44</v>
      </c>
      <c r="K197" t="s">
        <v>2969</v>
      </c>
      <c r="L197" t="s">
        <v>10</v>
      </c>
    </row>
    <row r="198" spans="1:12">
      <c r="A198" t="s">
        <v>3221</v>
      </c>
      <c r="B198" s="2">
        <v>45464</v>
      </c>
      <c r="C198">
        <v>2024</v>
      </c>
      <c r="D198">
        <v>6</v>
      </c>
      <c r="E198" t="s">
        <v>87</v>
      </c>
      <c r="F198" t="s">
        <v>78</v>
      </c>
      <c r="G198" t="s">
        <v>27</v>
      </c>
      <c r="H198" t="s">
        <v>3045</v>
      </c>
      <c r="I198" t="s">
        <v>8</v>
      </c>
      <c r="J198" t="s">
        <v>33</v>
      </c>
      <c r="K198" t="s">
        <v>2969</v>
      </c>
      <c r="L198" t="s">
        <v>10</v>
      </c>
    </row>
    <row r="199" spans="1:12">
      <c r="A199" t="s">
        <v>3222</v>
      </c>
      <c r="B199" s="2">
        <v>45460</v>
      </c>
      <c r="C199">
        <v>2024</v>
      </c>
      <c r="D199">
        <v>6</v>
      </c>
      <c r="E199" t="s">
        <v>87</v>
      </c>
      <c r="F199" t="s">
        <v>19</v>
      </c>
      <c r="G199" t="s">
        <v>3</v>
      </c>
      <c r="H199" t="s">
        <v>3019</v>
      </c>
      <c r="I199" t="s">
        <v>35</v>
      </c>
      <c r="J199" t="s">
        <v>12</v>
      </c>
      <c r="K199" t="s">
        <v>2969</v>
      </c>
      <c r="L199" t="s">
        <v>10</v>
      </c>
    </row>
    <row r="200" spans="1:12">
      <c r="A200" t="s">
        <v>3223</v>
      </c>
      <c r="B200" s="2">
        <v>45457</v>
      </c>
      <c r="C200">
        <v>2024</v>
      </c>
      <c r="D200">
        <v>6</v>
      </c>
      <c r="E200" t="s">
        <v>87</v>
      </c>
      <c r="F200" t="s">
        <v>31</v>
      </c>
      <c r="G200" t="s">
        <v>3</v>
      </c>
      <c r="H200" t="s">
        <v>3032</v>
      </c>
      <c r="I200" t="s">
        <v>15</v>
      </c>
      <c r="J200" t="s">
        <v>4</v>
      </c>
      <c r="K200" t="s">
        <v>2969</v>
      </c>
      <c r="L200" t="s">
        <v>10</v>
      </c>
    </row>
    <row r="201" spans="1:12">
      <c r="A201" t="s">
        <v>3224</v>
      </c>
      <c r="B201" s="2">
        <v>45465</v>
      </c>
      <c r="C201">
        <v>2024</v>
      </c>
      <c r="D201">
        <v>6</v>
      </c>
      <c r="E201" t="s">
        <v>87</v>
      </c>
      <c r="F201" t="s">
        <v>31</v>
      </c>
      <c r="G201" t="s">
        <v>61</v>
      </c>
      <c r="H201" t="s">
        <v>3045</v>
      </c>
      <c r="I201" t="s">
        <v>52</v>
      </c>
      <c r="J201" t="s">
        <v>4</v>
      </c>
      <c r="K201" t="s">
        <v>2969</v>
      </c>
      <c r="L201" t="s">
        <v>10</v>
      </c>
    </row>
    <row r="202" spans="1:12">
      <c r="A202" t="s">
        <v>3225</v>
      </c>
      <c r="B202" s="2">
        <v>45444</v>
      </c>
      <c r="C202">
        <v>2024</v>
      </c>
      <c r="D202">
        <v>6</v>
      </c>
      <c r="E202" t="s">
        <v>87</v>
      </c>
      <c r="F202" t="s">
        <v>47</v>
      </c>
      <c r="G202" t="s">
        <v>64</v>
      </c>
      <c r="H202" t="s">
        <v>51</v>
      </c>
      <c r="I202" t="s">
        <v>52</v>
      </c>
      <c r="J202" t="s">
        <v>44</v>
      </c>
      <c r="K202" t="s">
        <v>2977</v>
      </c>
      <c r="L202" t="s">
        <v>10</v>
      </c>
    </row>
    <row r="203" spans="1:12">
      <c r="A203" t="s">
        <v>3226</v>
      </c>
      <c r="B203" s="2">
        <v>45468</v>
      </c>
      <c r="C203">
        <v>2024</v>
      </c>
      <c r="D203">
        <v>6</v>
      </c>
      <c r="E203" t="s">
        <v>87</v>
      </c>
      <c r="F203" t="s">
        <v>47</v>
      </c>
      <c r="G203" t="s">
        <v>74</v>
      </c>
      <c r="H203" t="s">
        <v>3026</v>
      </c>
      <c r="I203" t="s">
        <v>35</v>
      </c>
      <c r="J203" t="s">
        <v>12</v>
      </c>
      <c r="K203" t="s">
        <v>2969</v>
      </c>
      <c r="L203" t="s">
        <v>17</v>
      </c>
    </row>
    <row r="204" spans="1:12">
      <c r="A204" t="s">
        <v>3227</v>
      </c>
      <c r="B204" s="2">
        <v>45464</v>
      </c>
      <c r="C204">
        <v>2024</v>
      </c>
      <c r="D204">
        <v>6</v>
      </c>
      <c r="E204" t="s">
        <v>87</v>
      </c>
      <c r="F204" t="s">
        <v>2</v>
      </c>
      <c r="G204" t="s">
        <v>69</v>
      </c>
      <c r="H204" t="s">
        <v>3045</v>
      </c>
      <c r="I204" t="s">
        <v>42</v>
      </c>
      <c r="J204" t="s">
        <v>12</v>
      </c>
      <c r="K204" t="s">
        <v>2969</v>
      </c>
      <c r="L204" t="s">
        <v>10</v>
      </c>
    </row>
    <row r="205" spans="1:12">
      <c r="A205" t="s">
        <v>3228</v>
      </c>
      <c r="B205" s="2">
        <v>45460</v>
      </c>
      <c r="C205">
        <v>2024</v>
      </c>
      <c r="D205">
        <v>6</v>
      </c>
      <c r="E205" t="s">
        <v>87</v>
      </c>
      <c r="F205" t="s">
        <v>26</v>
      </c>
      <c r="G205" t="s">
        <v>94</v>
      </c>
      <c r="H205" t="s">
        <v>3019</v>
      </c>
      <c r="I205" t="s">
        <v>52</v>
      </c>
      <c r="J205" t="s">
        <v>4</v>
      </c>
      <c r="K205" t="s">
        <v>2969</v>
      </c>
      <c r="L205" t="s">
        <v>10</v>
      </c>
    </row>
    <row r="206" spans="1:12">
      <c r="A206" t="s">
        <v>3229</v>
      </c>
      <c r="B206" s="2">
        <v>45447</v>
      </c>
      <c r="C206">
        <v>2024</v>
      </c>
      <c r="D206">
        <v>6</v>
      </c>
      <c r="E206" t="s">
        <v>87</v>
      </c>
      <c r="F206" t="s">
        <v>19</v>
      </c>
      <c r="G206" t="s">
        <v>69</v>
      </c>
      <c r="H206" t="s">
        <v>3019</v>
      </c>
      <c r="I206" t="s">
        <v>42</v>
      </c>
      <c r="J206" t="s">
        <v>33</v>
      </c>
      <c r="K206" t="s">
        <v>2969</v>
      </c>
      <c r="L206" t="s">
        <v>10</v>
      </c>
    </row>
    <row r="207" spans="1:12">
      <c r="A207" t="s">
        <v>3230</v>
      </c>
      <c r="B207" s="2">
        <v>45468</v>
      </c>
      <c r="C207">
        <v>2024</v>
      </c>
      <c r="D207">
        <v>6</v>
      </c>
      <c r="E207" t="s">
        <v>87</v>
      </c>
      <c r="F207" t="s">
        <v>2</v>
      </c>
      <c r="G207" t="s">
        <v>3</v>
      </c>
      <c r="H207" t="s">
        <v>3032</v>
      </c>
      <c r="I207" t="s">
        <v>8</v>
      </c>
      <c r="J207" t="s">
        <v>44</v>
      </c>
      <c r="K207" t="s">
        <v>2969</v>
      </c>
      <c r="L207" t="s">
        <v>10</v>
      </c>
    </row>
    <row r="208" spans="1:12">
      <c r="A208" t="s">
        <v>3231</v>
      </c>
      <c r="B208" s="2">
        <v>45469</v>
      </c>
      <c r="C208">
        <v>2024</v>
      </c>
      <c r="D208">
        <v>6</v>
      </c>
      <c r="E208" t="s">
        <v>87</v>
      </c>
      <c r="F208" t="s">
        <v>19</v>
      </c>
      <c r="G208" t="s">
        <v>55</v>
      </c>
      <c r="H208" t="s">
        <v>51</v>
      </c>
      <c r="I208" t="s">
        <v>15</v>
      </c>
      <c r="J208" t="s">
        <v>33</v>
      </c>
      <c r="K208" t="s">
        <v>2969</v>
      </c>
      <c r="L208" t="s">
        <v>10</v>
      </c>
    </row>
    <row r="209" spans="1:12">
      <c r="A209" t="s">
        <v>3232</v>
      </c>
      <c r="B209" s="2">
        <v>45454</v>
      </c>
      <c r="C209">
        <v>2024</v>
      </c>
      <c r="D209">
        <v>6</v>
      </c>
      <c r="E209" t="s">
        <v>87</v>
      </c>
      <c r="F209" t="s">
        <v>2</v>
      </c>
      <c r="G209" t="s">
        <v>61</v>
      </c>
      <c r="H209" t="s">
        <v>3034</v>
      </c>
      <c r="I209" t="s">
        <v>8</v>
      </c>
      <c r="J209" t="s">
        <v>33</v>
      </c>
      <c r="K209" t="s">
        <v>2969</v>
      </c>
      <c r="L209" t="s">
        <v>10</v>
      </c>
    </row>
    <row r="210" spans="1:12">
      <c r="A210" t="s">
        <v>3233</v>
      </c>
      <c r="B210" s="2">
        <v>45467</v>
      </c>
      <c r="C210">
        <v>2024</v>
      </c>
      <c r="D210">
        <v>6</v>
      </c>
      <c r="E210" t="s">
        <v>87</v>
      </c>
      <c r="F210" t="s">
        <v>31</v>
      </c>
      <c r="G210" t="s">
        <v>20</v>
      </c>
      <c r="H210" t="s">
        <v>3019</v>
      </c>
      <c r="I210" t="s">
        <v>42</v>
      </c>
      <c r="J210" t="s">
        <v>4</v>
      </c>
      <c r="K210" t="s">
        <v>2969</v>
      </c>
      <c r="L210" t="s">
        <v>10</v>
      </c>
    </row>
    <row r="211" spans="1:12">
      <c r="A211" t="s">
        <v>3234</v>
      </c>
      <c r="B211" s="2">
        <v>45481</v>
      </c>
      <c r="C211">
        <v>2024</v>
      </c>
      <c r="D211">
        <v>7</v>
      </c>
      <c r="E211" t="s">
        <v>93</v>
      </c>
      <c r="F211" t="s">
        <v>31</v>
      </c>
      <c r="G211" t="s">
        <v>38</v>
      </c>
      <c r="H211" t="s">
        <v>3045</v>
      </c>
      <c r="I211" t="s">
        <v>35</v>
      </c>
      <c r="J211" t="s">
        <v>12</v>
      </c>
      <c r="K211" t="s">
        <v>2969</v>
      </c>
      <c r="L211" t="s">
        <v>10</v>
      </c>
    </row>
    <row r="212" spans="1:12">
      <c r="A212" t="s">
        <v>3235</v>
      </c>
      <c r="B212" s="2">
        <v>45481</v>
      </c>
      <c r="C212">
        <v>2024</v>
      </c>
      <c r="D212">
        <v>7</v>
      </c>
      <c r="E212" t="s">
        <v>93</v>
      </c>
      <c r="F212" t="s">
        <v>78</v>
      </c>
      <c r="G212" t="s">
        <v>20</v>
      </c>
      <c r="H212" t="s">
        <v>3045</v>
      </c>
      <c r="I212" t="s">
        <v>35</v>
      </c>
      <c r="J212" t="s">
        <v>44</v>
      </c>
      <c r="K212" t="s">
        <v>2969</v>
      </c>
      <c r="L212" t="s">
        <v>10</v>
      </c>
    </row>
    <row r="213" spans="1:12">
      <c r="A213" t="s">
        <v>3236</v>
      </c>
      <c r="B213" s="2">
        <v>45487</v>
      </c>
      <c r="C213">
        <v>2024</v>
      </c>
      <c r="D213">
        <v>7</v>
      </c>
      <c r="E213" t="s">
        <v>93</v>
      </c>
      <c r="F213" t="s">
        <v>47</v>
      </c>
      <c r="G213" t="s">
        <v>74</v>
      </c>
      <c r="H213" t="s">
        <v>3034</v>
      </c>
      <c r="I213" t="s">
        <v>35</v>
      </c>
      <c r="J213" t="s">
        <v>33</v>
      </c>
      <c r="K213" t="s">
        <v>2969</v>
      </c>
      <c r="L213" t="s">
        <v>10</v>
      </c>
    </row>
    <row r="214" spans="1:12">
      <c r="A214" t="s">
        <v>3237</v>
      </c>
      <c r="B214" s="2">
        <v>45487</v>
      </c>
      <c r="C214">
        <v>2024</v>
      </c>
      <c r="D214">
        <v>7</v>
      </c>
      <c r="E214" t="s">
        <v>93</v>
      </c>
      <c r="F214" t="s">
        <v>31</v>
      </c>
      <c r="G214" t="s">
        <v>27</v>
      </c>
      <c r="H214" t="s">
        <v>3032</v>
      </c>
      <c r="I214" t="s">
        <v>22</v>
      </c>
      <c r="J214" t="s">
        <v>44</v>
      </c>
      <c r="K214" t="s">
        <v>2969</v>
      </c>
      <c r="L214" t="s">
        <v>10</v>
      </c>
    </row>
    <row r="215" spans="1:12">
      <c r="A215" t="s">
        <v>3238</v>
      </c>
      <c r="B215" s="2">
        <v>45491</v>
      </c>
      <c r="C215">
        <v>2024</v>
      </c>
      <c r="D215">
        <v>7</v>
      </c>
      <c r="E215" t="s">
        <v>93</v>
      </c>
      <c r="F215" t="s">
        <v>54</v>
      </c>
      <c r="G215" t="s">
        <v>32</v>
      </c>
      <c r="H215" t="s">
        <v>3022</v>
      </c>
      <c r="I215" t="s">
        <v>8</v>
      </c>
      <c r="J215" t="s">
        <v>44</v>
      </c>
      <c r="K215" t="s">
        <v>2977</v>
      </c>
      <c r="L215" t="s">
        <v>10</v>
      </c>
    </row>
    <row r="216" spans="1:12">
      <c r="A216" t="s">
        <v>3239</v>
      </c>
      <c r="B216" s="2">
        <v>45481</v>
      </c>
      <c r="C216">
        <v>2024</v>
      </c>
      <c r="D216">
        <v>7</v>
      </c>
      <c r="E216" t="s">
        <v>93</v>
      </c>
      <c r="F216" t="s">
        <v>26</v>
      </c>
      <c r="G216" t="s">
        <v>20</v>
      </c>
      <c r="H216" t="s">
        <v>3039</v>
      </c>
      <c r="I216" t="s">
        <v>22</v>
      </c>
      <c r="J216" t="s">
        <v>44</v>
      </c>
      <c r="K216" t="s">
        <v>2969</v>
      </c>
      <c r="L216" t="s">
        <v>10</v>
      </c>
    </row>
    <row r="217" spans="1:12">
      <c r="A217" t="s">
        <v>3240</v>
      </c>
      <c r="B217" s="2">
        <v>45481</v>
      </c>
      <c r="C217">
        <v>2024</v>
      </c>
      <c r="D217">
        <v>7</v>
      </c>
      <c r="E217" t="s">
        <v>93</v>
      </c>
      <c r="F217" t="s">
        <v>26</v>
      </c>
      <c r="G217" t="s">
        <v>3</v>
      </c>
      <c r="H217" t="s">
        <v>3045</v>
      </c>
      <c r="I217" t="s">
        <v>15</v>
      </c>
      <c r="J217" t="s">
        <v>12</v>
      </c>
      <c r="K217" t="s">
        <v>2969</v>
      </c>
      <c r="L217" t="s">
        <v>10</v>
      </c>
    </row>
    <row r="218" spans="1:12">
      <c r="A218" t="s">
        <v>3241</v>
      </c>
      <c r="B218" s="2">
        <v>45485</v>
      </c>
      <c r="C218">
        <v>2024</v>
      </c>
      <c r="D218">
        <v>7</v>
      </c>
      <c r="E218" t="s">
        <v>93</v>
      </c>
      <c r="F218" t="s">
        <v>47</v>
      </c>
      <c r="G218" t="s">
        <v>64</v>
      </c>
      <c r="H218" t="s">
        <v>3045</v>
      </c>
      <c r="I218" t="s">
        <v>8</v>
      </c>
      <c r="J218" t="s">
        <v>33</v>
      </c>
      <c r="K218" t="s">
        <v>2969</v>
      </c>
      <c r="L218" t="s">
        <v>10</v>
      </c>
    </row>
    <row r="219" spans="1:12">
      <c r="A219" t="s">
        <v>3242</v>
      </c>
      <c r="B219" s="2">
        <v>45501</v>
      </c>
      <c r="C219">
        <v>2024</v>
      </c>
      <c r="D219">
        <v>7</v>
      </c>
      <c r="E219" t="s">
        <v>93</v>
      </c>
      <c r="F219" t="s">
        <v>38</v>
      </c>
      <c r="G219" t="s">
        <v>61</v>
      </c>
      <c r="H219" t="s">
        <v>3045</v>
      </c>
      <c r="I219" t="s">
        <v>35</v>
      </c>
      <c r="J219" t="s">
        <v>33</v>
      </c>
      <c r="K219" t="s">
        <v>2969</v>
      </c>
      <c r="L219" t="s">
        <v>10</v>
      </c>
    </row>
    <row r="220" spans="1:12">
      <c r="A220" t="s">
        <v>3243</v>
      </c>
      <c r="B220" s="2">
        <v>45481</v>
      </c>
      <c r="C220">
        <v>2024</v>
      </c>
      <c r="D220">
        <v>7</v>
      </c>
      <c r="E220" t="s">
        <v>93</v>
      </c>
      <c r="F220" t="s">
        <v>54</v>
      </c>
      <c r="G220" t="s">
        <v>32</v>
      </c>
      <c r="H220" t="s">
        <v>3019</v>
      </c>
      <c r="I220" t="s">
        <v>35</v>
      </c>
      <c r="J220" t="s">
        <v>44</v>
      </c>
      <c r="K220" t="s">
        <v>2969</v>
      </c>
      <c r="L220" t="s">
        <v>10</v>
      </c>
    </row>
    <row r="221" spans="1:12">
      <c r="A221" t="s">
        <v>3244</v>
      </c>
      <c r="B221" s="2">
        <v>45477</v>
      </c>
      <c r="C221">
        <v>2024</v>
      </c>
      <c r="D221">
        <v>7</v>
      </c>
      <c r="E221" t="s">
        <v>93</v>
      </c>
      <c r="F221" t="s">
        <v>67</v>
      </c>
      <c r="G221" t="s">
        <v>38</v>
      </c>
      <c r="H221" t="s">
        <v>3022</v>
      </c>
      <c r="I221" t="s">
        <v>15</v>
      </c>
      <c r="J221" t="s">
        <v>12</v>
      </c>
      <c r="K221" t="s">
        <v>2969</v>
      </c>
      <c r="L221" t="s">
        <v>10</v>
      </c>
    </row>
    <row r="222" spans="1:12">
      <c r="A222" t="s">
        <v>3245</v>
      </c>
      <c r="B222" s="2">
        <v>45497</v>
      </c>
      <c r="C222">
        <v>2024</v>
      </c>
      <c r="D222">
        <v>7</v>
      </c>
      <c r="E222" t="s">
        <v>93</v>
      </c>
      <c r="F222" t="s">
        <v>40</v>
      </c>
      <c r="G222" t="s">
        <v>3</v>
      </c>
      <c r="H222" t="s">
        <v>3019</v>
      </c>
      <c r="I222" t="s">
        <v>35</v>
      </c>
      <c r="J222" t="s">
        <v>44</v>
      </c>
      <c r="K222" t="s">
        <v>2969</v>
      </c>
      <c r="L222" t="s">
        <v>10</v>
      </c>
    </row>
    <row r="223" spans="1:12">
      <c r="A223" t="s">
        <v>3246</v>
      </c>
      <c r="B223" s="2">
        <v>45490</v>
      </c>
      <c r="C223">
        <v>2024</v>
      </c>
      <c r="D223">
        <v>7</v>
      </c>
      <c r="E223" t="s">
        <v>93</v>
      </c>
      <c r="F223" t="s">
        <v>26</v>
      </c>
      <c r="G223" t="s">
        <v>64</v>
      </c>
      <c r="H223" t="s">
        <v>51</v>
      </c>
      <c r="I223" t="s">
        <v>52</v>
      </c>
      <c r="J223" t="s">
        <v>44</v>
      </c>
      <c r="K223" t="s">
        <v>2969</v>
      </c>
      <c r="L223" t="s">
        <v>10</v>
      </c>
    </row>
    <row r="224" spans="1:12">
      <c r="A224" t="s">
        <v>3247</v>
      </c>
      <c r="B224" s="2">
        <v>45484</v>
      </c>
      <c r="C224">
        <v>2024</v>
      </c>
      <c r="D224">
        <v>7</v>
      </c>
      <c r="E224" t="s">
        <v>93</v>
      </c>
      <c r="F224" t="s">
        <v>2</v>
      </c>
      <c r="G224" t="s">
        <v>61</v>
      </c>
      <c r="H224" t="s">
        <v>3019</v>
      </c>
      <c r="I224" t="s">
        <v>42</v>
      </c>
      <c r="J224" t="s">
        <v>44</v>
      </c>
      <c r="K224" t="s">
        <v>2977</v>
      </c>
      <c r="L224" t="s">
        <v>17</v>
      </c>
    </row>
    <row r="225" spans="1:12">
      <c r="A225" t="s">
        <v>3248</v>
      </c>
      <c r="B225" s="2">
        <v>45491</v>
      </c>
      <c r="C225">
        <v>2024</v>
      </c>
      <c r="D225">
        <v>7</v>
      </c>
      <c r="E225" t="s">
        <v>93</v>
      </c>
      <c r="F225" t="s">
        <v>31</v>
      </c>
      <c r="G225" t="s">
        <v>3</v>
      </c>
      <c r="H225" t="s">
        <v>3045</v>
      </c>
      <c r="I225" t="s">
        <v>42</v>
      </c>
      <c r="J225" t="s">
        <v>33</v>
      </c>
      <c r="K225" t="s">
        <v>2969</v>
      </c>
      <c r="L225" t="s">
        <v>10</v>
      </c>
    </row>
    <row r="226" spans="1:12">
      <c r="A226" t="s">
        <v>3249</v>
      </c>
      <c r="B226" s="2">
        <v>45501</v>
      </c>
      <c r="C226">
        <v>2024</v>
      </c>
      <c r="D226">
        <v>7</v>
      </c>
      <c r="E226" t="s">
        <v>93</v>
      </c>
      <c r="F226" t="s">
        <v>2</v>
      </c>
      <c r="G226" t="s">
        <v>38</v>
      </c>
      <c r="H226" t="s">
        <v>51</v>
      </c>
      <c r="I226" t="s">
        <v>8</v>
      </c>
      <c r="J226" t="s">
        <v>44</v>
      </c>
      <c r="K226" t="s">
        <v>2969</v>
      </c>
      <c r="L226" t="s">
        <v>10</v>
      </c>
    </row>
    <row r="227" spans="1:12">
      <c r="A227" t="s">
        <v>3250</v>
      </c>
      <c r="B227" s="2">
        <v>45491</v>
      </c>
      <c r="C227">
        <v>2024</v>
      </c>
      <c r="D227">
        <v>7</v>
      </c>
      <c r="E227" t="s">
        <v>93</v>
      </c>
      <c r="F227" t="s">
        <v>2</v>
      </c>
      <c r="G227" t="s">
        <v>27</v>
      </c>
      <c r="H227" t="s">
        <v>3022</v>
      </c>
      <c r="I227" t="s">
        <v>8</v>
      </c>
      <c r="J227" t="s">
        <v>4</v>
      </c>
      <c r="K227" t="s">
        <v>2969</v>
      </c>
      <c r="L227" t="s">
        <v>10</v>
      </c>
    </row>
    <row r="228" spans="1:12">
      <c r="A228" t="s">
        <v>3251</v>
      </c>
      <c r="B228" s="2">
        <v>45488</v>
      </c>
      <c r="C228">
        <v>2024</v>
      </c>
      <c r="D228">
        <v>7</v>
      </c>
      <c r="E228" t="s">
        <v>93</v>
      </c>
      <c r="F228" t="s">
        <v>47</v>
      </c>
      <c r="G228" t="s">
        <v>61</v>
      </c>
      <c r="H228" t="s">
        <v>3039</v>
      </c>
      <c r="I228" t="s">
        <v>52</v>
      </c>
      <c r="J228" t="s">
        <v>44</v>
      </c>
      <c r="K228" t="s">
        <v>2969</v>
      </c>
      <c r="L228" t="s">
        <v>10</v>
      </c>
    </row>
    <row r="229" spans="1:12">
      <c r="A229" t="s">
        <v>3252</v>
      </c>
      <c r="B229" s="2">
        <v>45500</v>
      </c>
      <c r="C229">
        <v>2024</v>
      </c>
      <c r="D229">
        <v>7</v>
      </c>
      <c r="E229" t="s">
        <v>93</v>
      </c>
      <c r="F229" t="s">
        <v>38</v>
      </c>
      <c r="G229" t="s">
        <v>3</v>
      </c>
      <c r="H229" t="s">
        <v>3026</v>
      </c>
      <c r="I229" t="s">
        <v>35</v>
      </c>
      <c r="J229" t="s">
        <v>12</v>
      </c>
      <c r="K229" t="s">
        <v>2969</v>
      </c>
      <c r="L229" t="s">
        <v>10</v>
      </c>
    </row>
    <row r="230" spans="1:12">
      <c r="A230" t="s">
        <v>3253</v>
      </c>
      <c r="B230" s="2">
        <v>45478</v>
      </c>
      <c r="C230">
        <v>2024</v>
      </c>
      <c r="D230">
        <v>7</v>
      </c>
      <c r="E230" t="s">
        <v>93</v>
      </c>
      <c r="F230" t="s">
        <v>54</v>
      </c>
      <c r="G230" t="s">
        <v>32</v>
      </c>
      <c r="H230" t="s">
        <v>3034</v>
      </c>
      <c r="I230" t="s">
        <v>52</v>
      </c>
      <c r="J230" t="s">
        <v>4</v>
      </c>
      <c r="K230" t="s">
        <v>2969</v>
      </c>
      <c r="L230" t="s">
        <v>10</v>
      </c>
    </row>
    <row r="231" spans="1:12">
      <c r="A231" t="s">
        <v>3254</v>
      </c>
      <c r="B231" s="2">
        <v>45486</v>
      </c>
      <c r="C231">
        <v>2024</v>
      </c>
      <c r="D231">
        <v>7</v>
      </c>
      <c r="E231" t="s">
        <v>93</v>
      </c>
      <c r="F231" t="s">
        <v>40</v>
      </c>
      <c r="G231" t="s">
        <v>3</v>
      </c>
      <c r="H231" t="s">
        <v>3019</v>
      </c>
      <c r="I231" t="s">
        <v>35</v>
      </c>
      <c r="J231" t="s">
        <v>4</v>
      </c>
      <c r="K231" t="s">
        <v>2969</v>
      </c>
      <c r="L231" t="s">
        <v>10</v>
      </c>
    </row>
    <row r="232" spans="1:12">
      <c r="A232" t="s">
        <v>3255</v>
      </c>
      <c r="B232" s="2">
        <v>45497</v>
      </c>
      <c r="C232">
        <v>2024</v>
      </c>
      <c r="D232">
        <v>7</v>
      </c>
      <c r="E232" t="s">
        <v>93</v>
      </c>
      <c r="F232" t="s">
        <v>31</v>
      </c>
      <c r="G232" t="s">
        <v>64</v>
      </c>
      <c r="H232" t="s">
        <v>3026</v>
      </c>
      <c r="I232" t="s">
        <v>15</v>
      </c>
      <c r="J232" t="s">
        <v>4</v>
      </c>
      <c r="K232" t="s">
        <v>2969</v>
      </c>
      <c r="L232" t="s">
        <v>10</v>
      </c>
    </row>
    <row r="233" spans="1:12">
      <c r="A233" t="s">
        <v>3256</v>
      </c>
      <c r="B233" s="2">
        <v>45494</v>
      </c>
      <c r="C233">
        <v>2024</v>
      </c>
      <c r="D233">
        <v>7</v>
      </c>
      <c r="E233" t="s">
        <v>93</v>
      </c>
      <c r="F233" t="s">
        <v>40</v>
      </c>
      <c r="G233" t="s">
        <v>38</v>
      </c>
      <c r="H233" t="s">
        <v>3045</v>
      </c>
      <c r="I233" t="s">
        <v>15</v>
      </c>
      <c r="J233" t="s">
        <v>12</v>
      </c>
      <c r="K233" t="s">
        <v>2969</v>
      </c>
      <c r="L233" t="s">
        <v>10</v>
      </c>
    </row>
    <row r="234" spans="1:12">
      <c r="A234" t="s">
        <v>3257</v>
      </c>
      <c r="B234" s="2">
        <v>45480</v>
      </c>
      <c r="C234">
        <v>2024</v>
      </c>
      <c r="D234">
        <v>7</v>
      </c>
      <c r="E234" t="s">
        <v>93</v>
      </c>
      <c r="F234" t="s">
        <v>40</v>
      </c>
      <c r="G234" t="s">
        <v>69</v>
      </c>
      <c r="H234" t="s">
        <v>3032</v>
      </c>
      <c r="I234" t="s">
        <v>15</v>
      </c>
      <c r="J234" t="s">
        <v>44</v>
      </c>
      <c r="K234" t="s">
        <v>2969</v>
      </c>
      <c r="L234" t="s">
        <v>17</v>
      </c>
    </row>
    <row r="235" spans="1:12">
      <c r="A235" t="s">
        <v>3258</v>
      </c>
      <c r="B235" s="2">
        <v>45493</v>
      </c>
      <c r="C235">
        <v>2024</v>
      </c>
      <c r="D235">
        <v>7</v>
      </c>
      <c r="E235" t="s">
        <v>93</v>
      </c>
      <c r="F235" t="s">
        <v>31</v>
      </c>
      <c r="G235" t="s">
        <v>32</v>
      </c>
      <c r="H235" t="s">
        <v>3032</v>
      </c>
      <c r="I235" t="s">
        <v>35</v>
      </c>
      <c r="J235" t="s">
        <v>44</v>
      </c>
      <c r="K235" t="s">
        <v>2969</v>
      </c>
      <c r="L235" t="s">
        <v>10</v>
      </c>
    </row>
    <row r="236" spans="1:12">
      <c r="A236" t="s">
        <v>3259</v>
      </c>
      <c r="B236" s="2">
        <v>45486</v>
      </c>
      <c r="C236">
        <v>2024</v>
      </c>
      <c r="D236">
        <v>7</v>
      </c>
      <c r="E236" t="s">
        <v>93</v>
      </c>
      <c r="F236" t="s">
        <v>38</v>
      </c>
      <c r="G236" t="s">
        <v>32</v>
      </c>
      <c r="H236" t="s">
        <v>3045</v>
      </c>
      <c r="I236" t="s">
        <v>35</v>
      </c>
      <c r="J236" t="s">
        <v>12</v>
      </c>
      <c r="K236" t="s">
        <v>2969</v>
      </c>
      <c r="L236" t="s">
        <v>10</v>
      </c>
    </row>
    <row r="237" spans="1:12">
      <c r="A237" t="s">
        <v>3260</v>
      </c>
      <c r="B237" s="2">
        <v>45489</v>
      </c>
      <c r="C237">
        <v>2024</v>
      </c>
      <c r="D237">
        <v>7</v>
      </c>
      <c r="E237" t="s">
        <v>93</v>
      </c>
      <c r="F237" t="s">
        <v>40</v>
      </c>
      <c r="G237" t="s">
        <v>3</v>
      </c>
      <c r="H237" t="s">
        <v>3026</v>
      </c>
      <c r="I237" t="s">
        <v>15</v>
      </c>
      <c r="J237" t="s">
        <v>12</v>
      </c>
      <c r="K237" t="s">
        <v>2969</v>
      </c>
      <c r="L237" t="s">
        <v>10</v>
      </c>
    </row>
    <row r="238" spans="1:12">
      <c r="A238" t="s">
        <v>3261</v>
      </c>
      <c r="B238" s="2">
        <v>45486</v>
      </c>
      <c r="C238">
        <v>2024</v>
      </c>
      <c r="D238">
        <v>7</v>
      </c>
      <c r="E238" t="s">
        <v>93</v>
      </c>
      <c r="F238" t="s">
        <v>2</v>
      </c>
      <c r="G238" t="s">
        <v>69</v>
      </c>
      <c r="H238" t="s">
        <v>3032</v>
      </c>
      <c r="I238" t="s">
        <v>15</v>
      </c>
      <c r="J238" t="s">
        <v>44</v>
      </c>
      <c r="K238" t="s">
        <v>2969</v>
      </c>
      <c r="L238" t="s">
        <v>10</v>
      </c>
    </row>
    <row r="239" spans="1:12">
      <c r="A239" t="s">
        <v>3262</v>
      </c>
      <c r="B239" s="2">
        <v>45495</v>
      </c>
      <c r="C239">
        <v>2024</v>
      </c>
      <c r="D239">
        <v>7</v>
      </c>
      <c r="E239" t="s">
        <v>93</v>
      </c>
      <c r="F239" t="s">
        <v>19</v>
      </c>
      <c r="G239" t="s">
        <v>61</v>
      </c>
      <c r="H239" t="s">
        <v>3026</v>
      </c>
      <c r="I239" t="s">
        <v>22</v>
      </c>
      <c r="J239" t="s">
        <v>33</v>
      </c>
      <c r="K239" t="s">
        <v>2969</v>
      </c>
      <c r="L239" t="s">
        <v>10</v>
      </c>
    </row>
    <row r="240" spans="1:12">
      <c r="A240" t="s">
        <v>3263</v>
      </c>
      <c r="B240" s="2">
        <v>45481</v>
      </c>
      <c r="C240">
        <v>2024</v>
      </c>
      <c r="D240">
        <v>7</v>
      </c>
      <c r="E240" t="s">
        <v>93</v>
      </c>
      <c r="F240" t="s">
        <v>54</v>
      </c>
      <c r="G240" t="s">
        <v>20</v>
      </c>
      <c r="H240" t="s">
        <v>3022</v>
      </c>
      <c r="I240" t="s">
        <v>52</v>
      </c>
      <c r="J240" t="s">
        <v>33</v>
      </c>
      <c r="K240" t="s">
        <v>2969</v>
      </c>
      <c r="L240" t="s">
        <v>10</v>
      </c>
    </row>
    <row r="241" spans="1:12">
      <c r="A241" t="s">
        <v>3264</v>
      </c>
      <c r="B241" s="2">
        <v>45477</v>
      </c>
      <c r="C241">
        <v>2024</v>
      </c>
      <c r="D241">
        <v>7</v>
      </c>
      <c r="E241" t="s">
        <v>93</v>
      </c>
      <c r="F241" t="s">
        <v>38</v>
      </c>
      <c r="G241" t="s">
        <v>27</v>
      </c>
      <c r="H241" t="s">
        <v>3019</v>
      </c>
      <c r="I241" t="s">
        <v>52</v>
      </c>
      <c r="J241" t="s">
        <v>4</v>
      </c>
      <c r="K241" t="s">
        <v>2969</v>
      </c>
      <c r="L241" t="s">
        <v>17</v>
      </c>
    </row>
    <row r="242" spans="1:12">
      <c r="A242" t="s">
        <v>3265</v>
      </c>
      <c r="B242" s="2">
        <v>45482</v>
      </c>
      <c r="C242">
        <v>2024</v>
      </c>
      <c r="D242">
        <v>7</v>
      </c>
      <c r="E242" t="s">
        <v>93</v>
      </c>
      <c r="F242" t="s">
        <v>40</v>
      </c>
      <c r="G242" t="s">
        <v>3</v>
      </c>
      <c r="H242" t="s">
        <v>3034</v>
      </c>
      <c r="I242" t="s">
        <v>22</v>
      </c>
      <c r="J242" t="s">
        <v>4</v>
      </c>
      <c r="K242" t="s">
        <v>2969</v>
      </c>
      <c r="L242" t="s">
        <v>10</v>
      </c>
    </row>
    <row r="243" spans="1:12">
      <c r="A243" t="s">
        <v>3266</v>
      </c>
      <c r="B243" s="2">
        <v>45486</v>
      </c>
      <c r="C243">
        <v>2024</v>
      </c>
      <c r="D243">
        <v>7</v>
      </c>
      <c r="E243" t="s">
        <v>93</v>
      </c>
      <c r="F243" t="s">
        <v>26</v>
      </c>
      <c r="G243" t="s">
        <v>32</v>
      </c>
      <c r="H243" t="s">
        <v>51</v>
      </c>
      <c r="I243" t="s">
        <v>8</v>
      </c>
      <c r="J243" t="s">
        <v>33</v>
      </c>
      <c r="K243" t="s">
        <v>2969</v>
      </c>
      <c r="L243" t="s">
        <v>10</v>
      </c>
    </row>
    <row r="244" spans="1:12">
      <c r="A244" t="s">
        <v>3267</v>
      </c>
      <c r="B244" s="2">
        <v>45507</v>
      </c>
      <c r="C244">
        <v>2024</v>
      </c>
      <c r="D244">
        <v>8</v>
      </c>
      <c r="E244" t="s">
        <v>101</v>
      </c>
      <c r="F244" t="s">
        <v>54</v>
      </c>
      <c r="G244" t="s">
        <v>74</v>
      </c>
      <c r="H244" t="s">
        <v>3045</v>
      </c>
      <c r="I244" t="s">
        <v>8</v>
      </c>
      <c r="J244" t="s">
        <v>33</v>
      </c>
      <c r="K244" t="s">
        <v>2977</v>
      </c>
      <c r="L244" t="s">
        <v>10</v>
      </c>
    </row>
    <row r="245" spans="1:12">
      <c r="A245" t="s">
        <v>3268</v>
      </c>
      <c r="B245" s="2">
        <v>45516</v>
      </c>
      <c r="C245">
        <v>2024</v>
      </c>
      <c r="D245">
        <v>8</v>
      </c>
      <c r="E245" t="s">
        <v>101</v>
      </c>
      <c r="F245" t="s">
        <v>67</v>
      </c>
      <c r="G245" t="s">
        <v>69</v>
      </c>
      <c r="H245" t="s">
        <v>3019</v>
      </c>
      <c r="I245" t="s">
        <v>8</v>
      </c>
      <c r="J245" t="s">
        <v>33</v>
      </c>
      <c r="K245" t="s">
        <v>2969</v>
      </c>
      <c r="L245" t="s">
        <v>10</v>
      </c>
    </row>
    <row r="246" spans="1:12">
      <c r="A246" t="s">
        <v>3269</v>
      </c>
      <c r="B246" s="2">
        <v>45525</v>
      </c>
      <c r="C246">
        <v>2024</v>
      </c>
      <c r="D246">
        <v>8</v>
      </c>
      <c r="E246" t="s">
        <v>101</v>
      </c>
      <c r="F246" t="s">
        <v>47</v>
      </c>
      <c r="G246" t="s">
        <v>20</v>
      </c>
      <c r="H246" t="s">
        <v>51</v>
      </c>
      <c r="I246" t="s">
        <v>8</v>
      </c>
      <c r="J246" t="s">
        <v>12</v>
      </c>
      <c r="K246" t="s">
        <v>2969</v>
      </c>
      <c r="L246" t="s">
        <v>10</v>
      </c>
    </row>
    <row r="247" spans="1:12">
      <c r="A247" t="s">
        <v>3270</v>
      </c>
      <c r="B247" s="2">
        <v>45525</v>
      </c>
      <c r="C247">
        <v>2024</v>
      </c>
      <c r="D247">
        <v>8</v>
      </c>
      <c r="E247" t="s">
        <v>101</v>
      </c>
      <c r="F247" t="s">
        <v>67</v>
      </c>
      <c r="G247" t="s">
        <v>64</v>
      </c>
      <c r="H247" t="s">
        <v>3039</v>
      </c>
      <c r="I247" t="s">
        <v>35</v>
      </c>
      <c r="J247" t="s">
        <v>12</v>
      </c>
      <c r="K247" t="s">
        <v>2969</v>
      </c>
      <c r="L247" t="s">
        <v>10</v>
      </c>
    </row>
    <row r="248" spans="1:12">
      <c r="A248" t="s">
        <v>3271</v>
      </c>
      <c r="B248" s="2">
        <v>45520</v>
      </c>
      <c r="C248">
        <v>2024</v>
      </c>
      <c r="D248">
        <v>8</v>
      </c>
      <c r="E248" t="s">
        <v>101</v>
      </c>
      <c r="F248" t="s">
        <v>38</v>
      </c>
      <c r="G248" t="s">
        <v>55</v>
      </c>
      <c r="H248" t="s">
        <v>3039</v>
      </c>
      <c r="I248" t="s">
        <v>15</v>
      </c>
      <c r="J248" t="s">
        <v>33</v>
      </c>
      <c r="K248" t="s">
        <v>2969</v>
      </c>
      <c r="L248" t="s">
        <v>10</v>
      </c>
    </row>
    <row r="249" spans="1:12">
      <c r="A249" t="s">
        <v>3272</v>
      </c>
      <c r="B249" s="2">
        <v>45511</v>
      </c>
      <c r="C249">
        <v>2024</v>
      </c>
      <c r="D249">
        <v>8</v>
      </c>
      <c r="E249" t="s">
        <v>101</v>
      </c>
      <c r="F249" t="s">
        <v>38</v>
      </c>
      <c r="G249" t="s">
        <v>20</v>
      </c>
      <c r="H249" t="s">
        <v>3022</v>
      </c>
      <c r="I249" t="s">
        <v>42</v>
      </c>
      <c r="J249" t="s">
        <v>33</v>
      </c>
      <c r="K249" t="s">
        <v>2969</v>
      </c>
      <c r="L249" t="s">
        <v>10</v>
      </c>
    </row>
    <row r="250" spans="1:12">
      <c r="A250" t="s">
        <v>3273</v>
      </c>
      <c r="B250" s="2">
        <v>45517</v>
      </c>
      <c r="C250">
        <v>2024</v>
      </c>
      <c r="D250">
        <v>8</v>
      </c>
      <c r="E250" t="s">
        <v>101</v>
      </c>
      <c r="F250" t="s">
        <v>67</v>
      </c>
      <c r="G250" t="s">
        <v>74</v>
      </c>
      <c r="H250" t="s">
        <v>3034</v>
      </c>
      <c r="I250" t="s">
        <v>8</v>
      </c>
      <c r="J250" t="s">
        <v>44</v>
      </c>
      <c r="K250" t="s">
        <v>2969</v>
      </c>
      <c r="L250" t="s">
        <v>10</v>
      </c>
    </row>
    <row r="251" spans="1:12">
      <c r="A251" t="s">
        <v>3274</v>
      </c>
      <c r="B251" s="2">
        <v>45509</v>
      </c>
      <c r="C251">
        <v>2024</v>
      </c>
      <c r="D251">
        <v>8</v>
      </c>
      <c r="E251" t="s">
        <v>101</v>
      </c>
      <c r="F251" t="s">
        <v>78</v>
      </c>
      <c r="G251" t="s">
        <v>94</v>
      </c>
      <c r="H251" t="s">
        <v>3019</v>
      </c>
      <c r="I251" t="s">
        <v>35</v>
      </c>
      <c r="J251" t="s">
        <v>4</v>
      </c>
      <c r="K251" t="s">
        <v>2969</v>
      </c>
      <c r="L251" t="s">
        <v>10</v>
      </c>
    </row>
    <row r="252" spans="1:12">
      <c r="A252" t="s">
        <v>3275</v>
      </c>
      <c r="B252" s="2">
        <v>45521</v>
      </c>
      <c r="C252">
        <v>2024</v>
      </c>
      <c r="D252">
        <v>8</v>
      </c>
      <c r="E252" t="s">
        <v>101</v>
      </c>
      <c r="F252" t="s">
        <v>38</v>
      </c>
      <c r="G252" t="s">
        <v>3</v>
      </c>
      <c r="H252" t="s">
        <v>3022</v>
      </c>
      <c r="I252" t="s">
        <v>15</v>
      </c>
      <c r="J252" t="s">
        <v>12</v>
      </c>
      <c r="K252" t="s">
        <v>2977</v>
      </c>
      <c r="L252" t="s">
        <v>10</v>
      </c>
    </row>
    <row r="253" spans="1:12">
      <c r="A253" t="s">
        <v>3276</v>
      </c>
      <c r="B253" s="2">
        <v>45520</v>
      </c>
      <c r="C253">
        <v>2024</v>
      </c>
      <c r="D253">
        <v>8</v>
      </c>
      <c r="E253" t="s">
        <v>101</v>
      </c>
      <c r="F253" t="s">
        <v>19</v>
      </c>
      <c r="G253" t="s">
        <v>69</v>
      </c>
      <c r="H253" t="s">
        <v>3026</v>
      </c>
      <c r="I253" t="s">
        <v>22</v>
      </c>
      <c r="J253" t="s">
        <v>33</v>
      </c>
      <c r="K253" t="s">
        <v>2969</v>
      </c>
      <c r="L253" t="s">
        <v>10</v>
      </c>
    </row>
    <row r="254" spans="1:12">
      <c r="A254" t="s">
        <v>3277</v>
      </c>
      <c r="B254" s="2">
        <v>45527</v>
      </c>
      <c r="C254">
        <v>2024</v>
      </c>
      <c r="D254">
        <v>8</v>
      </c>
      <c r="E254" t="s">
        <v>101</v>
      </c>
      <c r="F254" t="s">
        <v>40</v>
      </c>
      <c r="G254" t="s">
        <v>27</v>
      </c>
      <c r="H254" t="s">
        <v>3032</v>
      </c>
      <c r="I254" t="s">
        <v>15</v>
      </c>
      <c r="J254" t="s">
        <v>12</v>
      </c>
      <c r="K254" t="s">
        <v>2969</v>
      </c>
      <c r="L254" t="s">
        <v>10</v>
      </c>
    </row>
    <row r="255" spans="1:12">
      <c r="A255" t="s">
        <v>3278</v>
      </c>
      <c r="B255" s="2">
        <v>45507</v>
      </c>
      <c r="C255">
        <v>2024</v>
      </c>
      <c r="D255">
        <v>8</v>
      </c>
      <c r="E255" t="s">
        <v>101</v>
      </c>
      <c r="F255" t="s">
        <v>31</v>
      </c>
      <c r="G255" t="s">
        <v>55</v>
      </c>
      <c r="H255" t="s">
        <v>3034</v>
      </c>
      <c r="I255" t="s">
        <v>52</v>
      </c>
      <c r="J255" t="s">
        <v>33</v>
      </c>
      <c r="K255" t="s">
        <v>2969</v>
      </c>
      <c r="L255" t="s">
        <v>10</v>
      </c>
    </row>
    <row r="256" spans="1:12">
      <c r="A256" t="s">
        <v>3279</v>
      </c>
      <c r="B256" s="2">
        <v>45511</v>
      </c>
      <c r="C256">
        <v>2024</v>
      </c>
      <c r="D256">
        <v>8</v>
      </c>
      <c r="E256" t="s">
        <v>101</v>
      </c>
      <c r="F256" t="s">
        <v>78</v>
      </c>
      <c r="G256" t="s">
        <v>64</v>
      </c>
      <c r="H256" t="s">
        <v>3034</v>
      </c>
      <c r="I256" t="s">
        <v>52</v>
      </c>
      <c r="J256" t="s">
        <v>4</v>
      </c>
      <c r="K256" t="s">
        <v>2969</v>
      </c>
      <c r="L256" t="s">
        <v>10</v>
      </c>
    </row>
    <row r="257" spans="1:12">
      <c r="A257" t="s">
        <v>3280</v>
      </c>
      <c r="B257" s="2">
        <v>45524</v>
      </c>
      <c r="C257">
        <v>2024</v>
      </c>
      <c r="D257">
        <v>8</v>
      </c>
      <c r="E257" t="s">
        <v>101</v>
      </c>
      <c r="F257" t="s">
        <v>19</v>
      </c>
      <c r="G257" t="s">
        <v>94</v>
      </c>
      <c r="H257" t="s">
        <v>3019</v>
      </c>
      <c r="I257" t="s">
        <v>15</v>
      </c>
      <c r="J257" t="s">
        <v>44</v>
      </c>
      <c r="K257" t="s">
        <v>2977</v>
      </c>
      <c r="L257" t="s">
        <v>10</v>
      </c>
    </row>
    <row r="258" spans="1:12">
      <c r="A258" t="s">
        <v>3281</v>
      </c>
      <c r="B258" s="2">
        <v>45524</v>
      </c>
      <c r="C258">
        <v>2024</v>
      </c>
      <c r="D258">
        <v>8</v>
      </c>
      <c r="E258" t="s">
        <v>101</v>
      </c>
      <c r="F258" t="s">
        <v>78</v>
      </c>
      <c r="G258" t="s">
        <v>38</v>
      </c>
      <c r="H258" t="s">
        <v>3019</v>
      </c>
      <c r="I258" t="s">
        <v>22</v>
      </c>
      <c r="J258" t="s">
        <v>33</v>
      </c>
      <c r="K258" t="s">
        <v>2969</v>
      </c>
      <c r="L258" t="s">
        <v>10</v>
      </c>
    </row>
    <row r="259" spans="1:12">
      <c r="A259" t="s">
        <v>3282</v>
      </c>
      <c r="B259" s="2">
        <v>45523</v>
      </c>
      <c r="C259">
        <v>2024</v>
      </c>
      <c r="D259">
        <v>8</v>
      </c>
      <c r="E259" t="s">
        <v>101</v>
      </c>
      <c r="F259" t="s">
        <v>2</v>
      </c>
      <c r="G259" t="s">
        <v>3</v>
      </c>
      <c r="H259" t="s">
        <v>3039</v>
      </c>
      <c r="I259" t="s">
        <v>52</v>
      </c>
      <c r="J259" t="s">
        <v>44</v>
      </c>
      <c r="K259" t="s">
        <v>2969</v>
      </c>
      <c r="L259" t="s">
        <v>10</v>
      </c>
    </row>
    <row r="260" spans="1:12">
      <c r="A260" t="s">
        <v>3283</v>
      </c>
      <c r="B260" s="2">
        <v>45505</v>
      </c>
      <c r="C260">
        <v>2024</v>
      </c>
      <c r="D260">
        <v>8</v>
      </c>
      <c r="E260" t="s">
        <v>101</v>
      </c>
      <c r="F260" t="s">
        <v>31</v>
      </c>
      <c r="G260" t="s">
        <v>94</v>
      </c>
      <c r="H260" t="s">
        <v>51</v>
      </c>
      <c r="I260" t="s">
        <v>8</v>
      </c>
      <c r="J260" t="s">
        <v>4</v>
      </c>
      <c r="K260" t="s">
        <v>2977</v>
      </c>
      <c r="L260" t="s">
        <v>10</v>
      </c>
    </row>
    <row r="261" spans="1:12">
      <c r="A261" t="s">
        <v>3284</v>
      </c>
      <c r="B261" s="2">
        <v>45510</v>
      </c>
      <c r="C261">
        <v>2024</v>
      </c>
      <c r="D261">
        <v>8</v>
      </c>
      <c r="E261" t="s">
        <v>101</v>
      </c>
      <c r="F261" t="s">
        <v>2</v>
      </c>
      <c r="G261" t="s">
        <v>64</v>
      </c>
      <c r="H261" t="s">
        <v>3034</v>
      </c>
      <c r="I261" t="s">
        <v>42</v>
      </c>
      <c r="J261" t="s">
        <v>12</v>
      </c>
      <c r="K261" t="s">
        <v>2977</v>
      </c>
      <c r="L261" t="s">
        <v>10</v>
      </c>
    </row>
    <row r="262" spans="1:12">
      <c r="A262" t="s">
        <v>3285</v>
      </c>
      <c r="B262" s="2">
        <v>45529</v>
      </c>
      <c r="C262">
        <v>2024</v>
      </c>
      <c r="D262">
        <v>8</v>
      </c>
      <c r="E262" t="s">
        <v>101</v>
      </c>
      <c r="F262" t="s">
        <v>40</v>
      </c>
      <c r="G262" t="s">
        <v>64</v>
      </c>
      <c r="H262" t="s">
        <v>3034</v>
      </c>
      <c r="I262" t="s">
        <v>52</v>
      </c>
      <c r="J262" t="s">
        <v>12</v>
      </c>
      <c r="K262" t="s">
        <v>2977</v>
      </c>
      <c r="L262" t="s">
        <v>10</v>
      </c>
    </row>
    <row r="263" spans="1:12">
      <c r="A263" t="s">
        <v>3286</v>
      </c>
      <c r="B263" s="2">
        <v>45511</v>
      </c>
      <c r="C263">
        <v>2024</v>
      </c>
      <c r="D263">
        <v>8</v>
      </c>
      <c r="E263" t="s">
        <v>101</v>
      </c>
      <c r="F263" t="s">
        <v>47</v>
      </c>
      <c r="G263" t="s">
        <v>38</v>
      </c>
      <c r="H263" t="s">
        <v>51</v>
      </c>
      <c r="I263" t="s">
        <v>35</v>
      </c>
      <c r="J263" t="s">
        <v>44</v>
      </c>
      <c r="K263" t="s">
        <v>2977</v>
      </c>
      <c r="L263" t="s">
        <v>10</v>
      </c>
    </row>
    <row r="264" spans="1:12">
      <c r="A264" t="s">
        <v>3287</v>
      </c>
      <c r="B264" s="2">
        <v>45528</v>
      </c>
      <c r="C264">
        <v>2024</v>
      </c>
      <c r="D264">
        <v>8</v>
      </c>
      <c r="E264" t="s">
        <v>101</v>
      </c>
      <c r="F264" t="s">
        <v>38</v>
      </c>
      <c r="G264" t="s">
        <v>20</v>
      </c>
      <c r="H264" t="s">
        <v>3039</v>
      </c>
      <c r="I264" t="s">
        <v>52</v>
      </c>
      <c r="J264" t="s">
        <v>12</v>
      </c>
      <c r="K264" t="s">
        <v>2969</v>
      </c>
      <c r="L264" t="s">
        <v>10</v>
      </c>
    </row>
    <row r="265" spans="1:12">
      <c r="A265" t="s">
        <v>3288</v>
      </c>
      <c r="B265" s="2">
        <v>45512</v>
      </c>
      <c r="C265">
        <v>2024</v>
      </c>
      <c r="D265">
        <v>8</v>
      </c>
      <c r="E265" t="s">
        <v>101</v>
      </c>
      <c r="F265" t="s">
        <v>2</v>
      </c>
      <c r="G265" t="s">
        <v>94</v>
      </c>
      <c r="H265" t="s">
        <v>51</v>
      </c>
      <c r="I265" t="s">
        <v>35</v>
      </c>
      <c r="J265" t="s">
        <v>33</v>
      </c>
      <c r="K265" t="s">
        <v>2969</v>
      </c>
      <c r="L265" t="s">
        <v>17</v>
      </c>
    </row>
    <row r="266" spans="1:12">
      <c r="A266" t="s">
        <v>3289</v>
      </c>
      <c r="B266" s="2">
        <v>45524</v>
      </c>
      <c r="C266">
        <v>2024</v>
      </c>
      <c r="D266">
        <v>8</v>
      </c>
      <c r="E266" t="s">
        <v>101</v>
      </c>
      <c r="F266" t="s">
        <v>78</v>
      </c>
      <c r="G266" t="s">
        <v>61</v>
      </c>
      <c r="H266" t="s">
        <v>3034</v>
      </c>
      <c r="I266" t="s">
        <v>42</v>
      </c>
      <c r="J266" t="s">
        <v>44</v>
      </c>
      <c r="K266" t="s">
        <v>2977</v>
      </c>
      <c r="L266" t="s">
        <v>10</v>
      </c>
    </row>
    <row r="267" spans="1:12">
      <c r="A267" t="s">
        <v>3290</v>
      </c>
      <c r="B267" s="2">
        <v>45509</v>
      </c>
      <c r="C267">
        <v>2024</v>
      </c>
      <c r="D267">
        <v>8</v>
      </c>
      <c r="E267" t="s">
        <v>101</v>
      </c>
      <c r="F267" t="s">
        <v>38</v>
      </c>
      <c r="G267" t="s">
        <v>69</v>
      </c>
      <c r="H267" t="s">
        <v>3032</v>
      </c>
      <c r="I267" t="s">
        <v>35</v>
      </c>
      <c r="J267" t="s">
        <v>4</v>
      </c>
      <c r="K267" t="s">
        <v>2969</v>
      </c>
      <c r="L267" t="s">
        <v>10</v>
      </c>
    </row>
    <row r="268" spans="1:12">
      <c r="A268" t="s">
        <v>3291</v>
      </c>
      <c r="B268" s="2">
        <v>45526</v>
      </c>
      <c r="C268">
        <v>2024</v>
      </c>
      <c r="D268">
        <v>8</v>
      </c>
      <c r="E268" t="s">
        <v>101</v>
      </c>
      <c r="F268" t="s">
        <v>38</v>
      </c>
      <c r="G268" t="s">
        <v>48</v>
      </c>
      <c r="H268" t="s">
        <v>3022</v>
      </c>
      <c r="I268" t="s">
        <v>35</v>
      </c>
      <c r="J268" t="s">
        <v>4</v>
      </c>
      <c r="K268" t="s">
        <v>2969</v>
      </c>
      <c r="L268" t="s">
        <v>10</v>
      </c>
    </row>
    <row r="269" spans="1:12">
      <c r="A269" t="s">
        <v>3292</v>
      </c>
      <c r="B269" s="2">
        <v>45528</v>
      </c>
      <c r="C269">
        <v>2024</v>
      </c>
      <c r="D269">
        <v>8</v>
      </c>
      <c r="E269" t="s">
        <v>101</v>
      </c>
      <c r="F269" t="s">
        <v>31</v>
      </c>
      <c r="G269" t="s">
        <v>94</v>
      </c>
      <c r="H269" t="s">
        <v>3034</v>
      </c>
      <c r="I269" t="s">
        <v>52</v>
      </c>
      <c r="J269" t="s">
        <v>33</v>
      </c>
      <c r="K269" t="s">
        <v>2969</v>
      </c>
      <c r="L269" t="s">
        <v>10</v>
      </c>
    </row>
    <row r="270" spans="1:12">
      <c r="A270" t="s">
        <v>3293</v>
      </c>
      <c r="B270" s="2">
        <v>45518</v>
      </c>
      <c r="C270">
        <v>2024</v>
      </c>
      <c r="D270">
        <v>8</v>
      </c>
      <c r="E270" t="s">
        <v>101</v>
      </c>
      <c r="F270" t="s">
        <v>47</v>
      </c>
      <c r="G270" t="s">
        <v>61</v>
      </c>
      <c r="H270" t="s">
        <v>3032</v>
      </c>
      <c r="I270" t="s">
        <v>52</v>
      </c>
      <c r="J270" t="s">
        <v>4</v>
      </c>
      <c r="K270" t="s">
        <v>2969</v>
      </c>
      <c r="L270" t="s">
        <v>10</v>
      </c>
    </row>
    <row r="271" spans="1:12">
      <c r="A271" t="s">
        <v>3294</v>
      </c>
      <c r="B271" s="2">
        <v>45521</v>
      </c>
      <c r="C271">
        <v>2024</v>
      </c>
      <c r="D271">
        <v>8</v>
      </c>
      <c r="E271" t="s">
        <v>101</v>
      </c>
      <c r="F271" t="s">
        <v>67</v>
      </c>
      <c r="G271" t="s">
        <v>38</v>
      </c>
      <c r="H271" t="s">
        <v>3022</v>
      </c>
      <c r="I271" t="s">
        <v>15</v>
      </c>
      <c r="J271" t="s">
        <v>4</v>
      </c>
      <c r="K271" t="s">
        <v>2969</v>
      </c>
      <c r="L271" t="s">
        <v>10</v>
      </c>
    </row>
    <row r="272" spans="1:12">
      <c r="A272" t="s">
        <v>3295</v>
      </c>
      <c r="B272" s="2">
        <v>45523</v>
      </c>
      <c r="C272">
        <v>2024</v>
      </c>
      <c r="D272">
        <v>8</v>
      </c>
      <c r="E272" t="s">
        <v>101</v>
      </c>
      <c r="F272" t="s">
        <v>19</v>
      </c>
      <c r="G272" t="s">
        <v>3</v>
      </c>
      <c r="H272" t="s">
        <v>3032</v>
      </c>
      <c r="I272" t="s">
        <v>15</v>
      </c>
      <c r="J272" t="s">
        <v>44</v>
      </c>
      <c r="K272" t="s">
        <v>2969</v>
      </c>
      <c r="L272" t="s">
        <v>10</v>
      </c>
    </row>
    <row r="273" spans="1:12">
      <c r="A273" t="s">
        <v>3296</v>
      </c>
      <c r="B273" s="2">
        <v>45507</v>
      </c>
      <c r="C273">
        <v>2024</v>
      </c>
      <c r="D273">
        <v>8</v>
      </c>
      <c r="E273" t="s">
        <v>101</v>
      </c>
      <c r="F273" t="s">
        <v>38</v>
      </c>
      <c r="G273" t="s">
        <v>64</v>
      </c>
      <c r="H273" t="s">
        <v>3022</v>
      </c>
      <c r="I273" t="s">
        <v>42</v>
      </c>
      <c r="J273" t="s">
        <v>4</v>
      </c>
      <c r="K273" t="s">
        <v>2969</v>
      </c>
      <c r="L273" t="s">
        <v>10</v>
      </c>
    </row>
    <row r="274" spans="1:12">
      <c r="A274" t="s">
        <v>3297</v>
      </c>
      <c r="B274" s="2">
        <v>45519</v>
      </c>
      <c r="C274">
        <v>2024</v>
      </c>
      <c r="D274">
        <v>8</v>
      </c>
      <c r="E274" t="s">
        <v>101</v>
      </c>
      <c r="F274" t="s">
        <v>78</v>
      </c>
      <c r="G274" t="s">
        <v>55</v>
      </c>
      <c r="H274" t="s">
        <v>51</v>
      </c>
      <c r="I274" t="s">
        <v>15</v>
      </c>
      <c r="J274" t="s">
        <v>4</v>
      </c>
      <c r="K274" t="s">
        <v>2969</v>
      </c>
      <c r="L274" t="s">
        <v>10</v>
      </c>
    </row>
    <row r="275" spans="1:12">
      <c r="A275" t="s">
        <v>3298</v>
      </c>
      <c r="B275" s="2">
        <v>45529</v>
      </c>
      <c r="C275">
        <v>2024</v>
      </c>
      <c r="D275">
        <v>8</v>
      </c>
      <c r="E275" t="s">
        <v>101</v>
      </c>
      <c r="F275" t="s">
        <v>67</v>
      </c>
      <c r="G275" t="s">
        <v>64</v>
      </c>
      <c r="H275" t="s">
        <v>51</v>
      </c>
      <c r="I275" t="s">
        <v>22</v>
      </c>
      <c r="J275" t="s">
        <v>12</v>
      </c>
      <c r="K275" t="s">
        <v>2969</v>
      </c>
      <c r="L275" t="s">
        <v>10</v>
      </c>
    </row>
    <row r="276" spans="1:12">
      <c r="A276" t="s">
        <v>3299</v>
      </c>
      <c r="B276" s="2">
        <v>45544</v>
      </c>
      <c r="C276">
        <v>2024</v>
      </c>
      <c r="D276">
        <v>9</v>
      </c>
      <c r="E276" t="s">
        <v>105</v>
      </c>
      <c r="F276" t="s">
        <v>78</v>
      </c>
      <c r="G276" t="s">
        <v>74</v>
      </c>
      <c r="H276" t="s">
        <v>3032</v>
      </c>
      <c r="I276" t="s">
        <v>42</v>
      </c>
      <c r="J276" t="s">
        <v>44</v>
      </c>
      <c r="K276" t="s">
        <v>2969</v>
      </c>
      <c r="L276" t="s">
        <v>10</v>
      </c>
    </row>
    <row r="277" spans="1:12">
      <c r="A277" t="s">
        <v>3300</v>
      </c>
      <c r="B277" s="2">
        <v>45546</v>
      </c>
      <c r="C277">
        <v>2024</v>
      </c>
      <c r="D277">
        <v>9</v>
      </c>
      <c r="E277" t="s">
        <v>105</v>
      </c>
      <c r="F277" t="s">
        <v>47</v>
      </c>
      <c r="G277" t="s">
        <v>32</v>
      </c>
      <c r="H277" t="s">
        <v>3034</v>
      </c>
      <c r="I277" t="s">
        <v>35</v>
      </c>
      <c r="J277" t="s">
        <v>33</v>
      </c>
      <c r="K277" t="s">
        <v>2969</v>
      </c>
      <c r="L277" t="s">
        <v>10</v>
      </c>
    </row>
    <row r="278" spans="1:12">
      <c r="A278" t="s">
        <v>3301</v>
      </c>
      <c r="B278" s="2">
        <v>45539</v>
      </c>
      <c r="C278">
        <v>2024</v>
      </c>
      <c r="D278">
        <v>9</v>
      </c>
      <c r="E278" t="s">
        <v>105</v>
      </c>
      <c r="F278" t="s">
        <v>67</v>
      </c>
      <c r="G278" t="s">
        <v>38</v>
      </c>
      <c r="H278" t="s">
        <v>3045</v>
      </c>
      <c r="I278" t="s">
        <v>52</v>
      </c>
      <c r="J278" t="s">
        <v>4</v>
      </c>
      <c r="K278" t="s">
        <v>2969</v>
      </c>
      <c r="L278" t="s">
        <v>17</v>
      </c>
    </row>
    <row r="279" spans="1:12">
      <c r="A279" t="s">
        <v>3302</v>
      </c>
      <c r="B279" s="2">
        <v>45563</v>
      </c>
      <c r="C279">
        <v>2024</v>
      </c>
      <c r="D279">
        <v>9</v>
      </c>
      <c r="E279" t="s">
        <v>105</v>
      </c>
      <c r="F279" t="s">
        <v>40</v>
      </c>
      <c r="G279" t="s">
        <v>55</v>
      </c>
      <c r="H279" t="s">
        <v>3032</v>
      </c>
      <c r="I279" t="s">
        <v>8</v>
      </c>
      <c r="J279" t="s">
        <v>33</v>
      </c>
      <c r="K279" t="s">
        <v>2969</v>
      </c>
      <c r="L279" t="s">
        <v>10</v>
      </c>
    </row>
    <row r="280" spans="1:12">
      <c r="A280" t="s">
        <v>3303</v>
      </c>
      <c r="B280" s="2">
        <v>45550</v>
      </c>
      <c r="C280">
        <v>2024</v>
      </c>
      <c r="D280">
        <v>9</v>
      </c>
      <c r="E280" t="s">
        <v>105</v>
      </c>
      <c r="F280" t="s">
        <v>40</v>
      </c>
      <c r="G280" t="s">
        <v>74</v>
      </c>
      <c r="H280" t="s">
        <v>3019</v>
      </c>
      <c r="I280" t="s">
        <v>42</v>
      </c>
      <c r="J280" t="s">
        <v>4</v>
      </c>
      <c r="K280" t="s">
        <v>2977</v>
      </c>
      <c r="L280" t="s">
        <v>10</v>
      </c>
    </row>
    <row r="281" spans="1:12">
      <c r="A281" t="s">
        <v>3304</v>
      </c>
      <c r="B281" s="2">
        <v>45540</v>
      </c>
      <c r="C281">
        <v>2024</v>
      </c>
      <c r="D281">
        <v>9</v>
      </c>
      <c r="E281" t="s">
        <v>105</v>
      </c>
      <c r="F281" t="s">
        <v>26</v>
      </c>
      <c r="G281" t="s">
        <v>3</v>
      </c>
      <c r="H281" t="s">
        <v>3019</v>
      </c>
      <c r="I281" t="s">
        <v>35</v>
      </c>
      <c r="J281" t="s">
        <v>33</v>
      </c>
      <c r="K281" t="s">
        <v>2969</v>
      </c>
      <c r="L281" t="s">
        <v>10</v>
      </c>
    </row>
    <row r="282" spans="1:12">
      <c r="A282" t="s">
        <v>3305</v>
      </c>
      <c r="B282" s="2">
        <v>45545</v>
      </c>
      <c r="C282">
        <v>2024</v>
      </c>
      <c r="D282">
        <v>9</v>
      </c>
      <c r="E282" t="s">
        <v>105</v>
      </c>
      <c r="F282" t="s">
        <v>2</v>
      </c>
      <c r="G282" t="s">
        <v>61</v>
      </c>
      <c r="H282" t="s">
        <v>51</v>
      </c>
      <c r="I282" t="s">
        <v>35</v>
      </c>
      <c r="J282" t="s">
        <v>4</v>
      </c>
      <c r="K282" t="s">
        <v>2969</v>
      </c>
      <c r="L282" t="s">
        <v>10</v>
      </c>
    </row>
    <row r="283" spans="1:12">
      <c r="A283" t="s">
        <v>3306</v>
      </c>
      <c r="B283" s="2">
        <v>45550</v>
      </c>
      <c r="C283">
        <v>2024</v>
      </c>
      <c r="D283">
        <v>9</v>
      </c>
      <c r="E283" t="s">
        <v>105</v>
      </c>
      <c r="F283" t="s">
        <v>67</v>
      </c>
      <c r="G283" t="s">
        <v>69</v>
      </c>
      <c r="H283" t="s">
        <v>3022</v>
      </c>
      <c r="I283" t="s">
        <v>8</v>
      </c>
      <c r="J283" t="s">
        <v>12</v>
      </c>
      <c r="K283" t="s">
        <v>2969</v>
      </c>
      <c r="L283" t="s">
        <v>17</v>
      </c>
    </row>
    <row r="284" spans="1:12">
      <c r="A284" t="s">
        <v>3307</v>
      </c>
      <c r="B284" s="2">
        <v>45551</v>
      </c>
      <c r="C284">
        <v>2024</v>
      </c>
      <c r="D284">
        <v>9</v>
      </c>
      <c r="E284" t="s">
        <v>105</v>
      </c>
      <c r="F284" t="s">
        <v>2</v>
      </c>
      <c r="G284" t="s">
        <v>61</v>
      </c>
      <c r="H284" t="s">
        <v>3032</v>
      </c>
      <c r="I284" t="s">
        <v>15</v>
      </c>
      <c r="J284" t="s">
        <v>44</v>
      </c>
      <c r="K284" t="s">
        <v>2969</v>
      </c>
      <c r="L284" t="s">
        <v>10</v>
      </c>
    </row>
    <row r="285" spans="1:12">
      <c r="A285" t="s">
        <v>3308</v>
      </c>
      <c r="B285" s="2">
        <v>45557</v>
      </c>
      <c r="C285">
        <v>2024</v>
      </c>
      <c r="D285">
        <v>9</v>
      </c>
      <c r="E285" t="s">
        <v>105</v>
      </c>
      <c r="F285" t="s">
        <v>38</v>
      </c>
      <c r="G285" t="s">
        <v>32</v>
      </c>
      <c r="H285" t="s">
        <v>3032</v>
      </c>
      <c r="I285" t="s">
        <v>8</v>
      </c>
      <c r="J285" t="s">
        <v>12</v>
      </c>
      <c r="K285" t="s">
        <v>2969</v>
      </c>
      <c r="L285" t="s">
        <v>10</v>
      </c>
    </row>
    <row r="286" spans="1:12">
      <c r="A286" t="s">
        <v>3309</v>
      </c>
      <c r="B286" s="2">
        <v>45556</v>
      </c>
      <c r="C286">
        <v>2024</v>
      </c>
      <c r="D286">
        <v>9</v>
      </c>
      <c r="E286" t="s">
        <v>105</v>
      </c>
      <c r="F286" t="s">
        <v>40</v>
      </c>
      <c r="G286" t="s">
        <v>38</v>
      </c>
      <c r="H286" t="s">
        <v>3039</v>
      </c>
      <c r="I286" t="s">
        <v>35</v>
      </c>
      <c r="J286" t="s">
        <v>44</v>
      </c>
      <c r="K286" t="s">
        <v>2969</v>
      </c>
      <c r="L286" t="s">
        <v>10</v>
      </c>
    </row>
    <row r="287" spans="1:12">
      <c r="A287" t="s">
        <v>3310</v>
      </c>
      <c r="B287" s="2">
        <v>45554</v>
      </c>
      <c r="C287">
        <v>2024</v>
      </c>
      <c r="D287">
        <v>9</v>
      </c>
      <c r="E287" t="s">
        <v>105</v>
      </c>
      <c r="F287" t="s">
        <v>47</v>
      </c>
      <c r="G287" t="s">
        <v>69</v>
      </c>
      <c r="H287" t="s">
        <v>3026</v>
      </c>
      <c r="I287" t="s">
        <v>15</v>
      </c>
      <c r="J287" t="s">
        <v>4</v>
      </c>
      <c r="K287" t="s">
        <v>2969</v>
      </c>
      <c r="L287" t="s">
        <v>10</v>
      </c>
    </row>
    <row r="288" spans="1:12">
      <c r="A288" t="s">
        <v>3311</v>
      </c>
      <c r="B288" s="2">
        <v>45541</v>
      </c>
      <c r="C288">
        <v>2024</v>
      </c>
      <c r="D288">
        <v>9</v>
      </c>
      <c r="E288" t="s">
        <v>105</v>
      </c>
      <c r="F288" t="s">
        <v>19</v>
      </c>
      <c r="G288" t="s">
        <v>55</v>
      </c>
      <c r="H288" t="s">
        <v>3045</v>
      </c>
      <c r="I288" t="s">
        <v>22</v>
      </c>
      <c r="J288" t="s">
        <v>12</v>
      </c>
      <c r="K288" t="s">
        <v>2969</v>
      </c>
      <c r="L288" t="s">
        <v>10</v>
      </c>
    </row>
    <row r="289" spans="1:12">
      <c r="A289" t="s">
        <v>3312</v>
      </c>
      <c r="B289" s="2">
        <v>45556</v>
      </c>
      <c r="C289">
        <v>2024</v>
      </c>
      <c r="D289">
        <v>9</v>
      </c>
      <c r="E289" t="s">
        <v>105</v>
      </c>
      <c r="F289" t="s">
        <v>26</v>
      </c>
      <c r="G289" t="s">
        <v>74</v>
      </c>
      <c r="H289" t="s">
        <v>3022</v>
      </c>
      <c r="I289" t="s">
        <v>35</v>
      </c>
      <c r="J289" t="s">
        <v>12</v>
      </c>
      <c r="K289" t="s">
        <v>2969</v>
      </c>
      <c r="L289" t="s">
        <v>10</v>
      </c>
    </row>
    <row r="290" spans="1:12">
      <c r="A290" t="s">
        <v>3313</v>
      </c>
      <c r="B290" s="2">
        <v>45562</v>
      </c>
      <c r="C290">
        <v>2024</v>
      </c>
      <c r="D290">
        <v>9</v>
      </c>
      <c r="E290" t="s">
        <v>105</v>
      </c>
      <c r="F290" t="s">
        <v>67</v>
      </c>
      <c r="G290" t="s">
        <v>55</v>
      </c>
      <c r="H290" t="s">
        <v>3026</v>
      </c>
      <c r="I290" t="s">
        <v>42</v>
      </c>
      <c r="J290" t="s">
        <v>44</v>
      </c>
      <c r="K290" t="s">
        <v>2969</v>
      </c>
      <c r="L290" t="s">
        <v>10</v>
      </c>
    </row>
    <row r="291" spans="1:12">
      <c r="A291" t="s">
        <v>3314</v>
      </c>
      <c r="B291" s="2">
        <v>45550</v>
      </c>
      <c r="C291">
        <v>2024</v>
      </c>
      <c r="D291">
        <v>9</v>
      </c>
      <c r="E291" t="s">
        <v>105</v>
      </c>
      <c r="F291" t="s">
        <v>40</v>
      </c>
      <c r="G291" t="s">
        <v>61</v>
      </c>
      <c r="H291" t="s">
        <v>3022</v>
      </c>
      <c r="I291" t="s">
        <v>8</v>
      </c>
      <c r="J291" t="s">
        <v>4</v>
      </c>
      <c r="K291" t="s">
        <v>2977</v>
      </c>
      <c r="L291" t="s">
        <v>10</v>
      </c>
    </row>
    <row r="292" spans="1:12">
      <c r="A292" t="s">
        <v>3315</v>
      </c>
      <c r="B292" s="2">
        <v>45551</v>
      </c>
      <c r="C292">
        <v>2024</v>
      </c>
      <c r="D292">
        <v>9</v>
      </c>
      <c r="E292" t="s">
        <v>105</v>
      </c>
      <c r="F292" t="s">
        <v>67</v>
      </c>
      <c r="G292" t="s">
        <v>64</v>
      </c>
      <c r="H292" t="s">
        <v>3022</v>
      </c>
      <c r="I292" t="s">
        <v>22</v>
      </c>
      <c r="J292" t="s">
        <v>44</v>
      </c>
      <c r="K292" t="s">
        <v>2969</v>
      </c>
      <c r="L292" t="s">
        <v>10</v>
      </c>
    </row>
    <row r="293" spans="1:12">
      <c r="A293" t="s">
        <v>3316</v>
      </c>
      <c r="B293" s="2">
        <v>45557</v>
      </c>
      <c r="C293">
        <v>2024</v>
      </c>
      <c r="D293">
        <v>9</v>
      </c>
      <c r="E293" t="s">
        <v>105</v>
      </c>
      <c r="F293" t="s">
        <v>38</v>
      </c>
      <c r="G293" t="s">
        <v>55</v>
      </c>
      <c r="H293" t="s">
        <v>3039</v>
      </c>
      <c r="I293" t="s">
        <v>52</v>
      </c>
      <c r="J293" t="s">
        <v>12</v>
      </c>
      <c r="K293" t="s">
        <v>2977</v>
      </c>
      <c r="L293" t="s">
        <v>10</v>
      </c>
    </row>
    <row r="294" spans="1:12">
      <c r="A294" t="s">
        <v>3317</v>
      </c>
      <c r="B294" s="2">
        <v>45555</v>
      </c>
      <c r="C294">
        <v>2024</v>
      </c>
      <c r="D294">
        <v>9</v>
      </c>
      <c r="E294" t="s">
        <v>105</v>
      </c>
      <c r="F294" t="s">
        <v>78</v>
      </c>
      <c r="G294" t="s">
        <v>55</v>
      </c>
      <c r="H294" t="s">
        <v>3045</v>
      </c>
      <c r="I294" t="s">
        <v>42</v>
      </c>
      <c r="J294" t="s">
        <v>12</v>
      </c>
      <c r="K294" t="s">
        <v>2969</v>
      </c>
      <c r="L294" t="s">
        <v>10</v>
      </c>
    </row>
    <row r="295" spans="1:12">
      <c r="A295" t="s">
        <v>3318</v>
      </c>
      <c r="B295" s="2">
        <v>45547</v>
      </c>
      <c r="C295">
        <v>2024</v>
      </c>
      <c r="D295">
        <v>9</v>
      </c>
      <c r="E295" t="s">
        <v>105</v>
      </c>
      <c r="F295" t="s">
        <v>31</v>
      </c>
      <c r="G295" t="s">
        <v>69</v>
      </c>
      <c r="H295" t="s">
        <v>3022</v>
      </c>
      <c r="I295" t="s">
        <v>35</v>
      </c>
      <c r="J295" t="s">
        <v>44</v>
      </c>
      <c r="K295" t="s">
        <v>2977</v>
      </c>
      <c r="L295" t="s">
        <v>10</v>
      </c>
    </row>
    <row r="296" spans="1:12">
      <c r="A296" t="s">
        <v>3319</v>
      </c>
      <c r="B296" s="2">
        <v>45556</v>
      </c>
      <c r="C296">
        <v>2024</v>
      </c>
      <c r="D296">
        <v>9</v>
      </c>
      <c r="E296" t="s">
        <v>105</v>
      </c>
      <c r="F296" t="s">
        <v>26</v>
      </c>
      <c r="G296" t="s">
        <v>55</v>
      </c>
      <c r="H296" t="s">
        <v>3045</v>
      </c>
      <c r="I296" t="s">
        <v>8</v>
      </c>
      <c r="J296" t="s">
        <v>33</v>
      </c>
      <c r="K296" t="s">
        <v>2969</v>
      </c>
      <c r="L296" t="s">
        <v>10</v>
      </c>
    </row>
    <row r="297" spans="1:12">
      <c r="A297" t="s">
        <v>3320</v>
      </c>
      <c r="B297" s="2">
        <v>45544</v>
      </c>
      <c r="C297">
        <v>2024</v>
      </c>
      <c r="D297">
        <v>9</v>
      </c>
      <c r="E297" t="s">
        <v>105</v>
      </c>
      <c r="F297" t="s">
        <v>67</v>
      </c>
      <c r="G297" t="s">
        <v>94</v>
      </c>
      <c r="H297" t="s">
        <v>3026</v>
      </c>
      <c r="I297" t="s">
        <v>15</v>
      </c>
      <c r="J297" t="s">
        <v>4</v>
      </c>
      <c r="K297" t="s">
        <v>2969</v>
      </c>
      <c r="L297" t="s">
        <v>10</v>
      </c>
    </row>
    <row r="298" spans="1:12">
      <c r="A298" t="s">
        <v>3321</v>
      </c>
      <c r="B298" s="2">
        <v>45555</v>
      </c>
      <c r="C298">
        <v>2024</v>
      </c>
      <c r="D298">
        <v>9</v>
      </c>
      <c r="E298" t="s">
        <v>105</v>
      </c>
      <c r="F298" t="s">
        <v>54</v>
      </c>
      <c r="G298" t="s">
        <v>55</v>
      </c>
      <c r="H298" t="s">
        <v>3026</v>
      </c>
      <c r="I298" t="s">
        <v>22</v>
      </c>
      <c r="J298" t="s">
        <v>44</v>
      </c>
      <c r="K298" t="s">
        <v>2969</v>
      </c>
      <c r="L298" t="s">
        <v>10</v>
      </c>
    </row>
    <row r="299" spans="1:12">
      <c r="A299" t="s">
        <v>3322</v>
      </c>
      <c r="B299" s="2">
        <v>45561</v>
      </c>
      <c r="C299">
        <v>2024</v>
      </c>
      <c r="D299">
        <v>9</v>
      </c>
      <c r="E299" t="s">
        <v>105</v>
      </c>
      <c r="F299" t="s">
        <v>54</v>
      </c>
      <c r="G299" t="s">
        <v>55</v>
      </c>
      <c r="H299" t="s">
        <v>3022</v>
      </c>
      <c r="I299" t="s">
        <v>15</v>
      </c>
      <c r="J299" t="s">
        <v>12</v>
      </c>
      <c r="K299" t="s">
        <v>2969</v>
      </c>
      <c r="L299" t="s">
        <v>10</v>
      </c>
    </row>
    <row r="300" spans="1:12">
      <c r="A300" t="s">
        <v>3323</v>
      </c>
      <c r="B300" s="2">
        <v>45580</v>
      </c>
      <c r="C300">
        <v>2024</v>
      </c>
      <c r="D300">
        <v>10</v>
      </c>
      <c r="E300" t="s">
        <v>113</v>
      </c>
      <c r="F300" t="s">
        <v>67</v>
      </c>
      <c r="G300" t="s">
        <v>38</v>
      </c>
      <c r="H300" t="s">
        <v>51</v>
      </c>
      <c r="I300" t="s">
        <v>8</v>
      </c>
      <c r="J300" t="s">
        <v>44</v>
      </c>
      <c r="K300" t="s">
        <v>2969</v>
      </c>
      <c r="L300" t="s">
        <v>17</v>
      </c>
    </row>
    <row r="301" spans="1:12">
      <c r="A301" t="s">
        <v>3324</v>
      </c>
      <c r="B301" s="2">
        <v>45588</v>
      </c>
      <c r="C301">
        <v>2024</v>
      </c>
      <c r="D301">
        <v>10</v>
      </c>
      <c r="E301" t="s">
        <v>113</v>
      </c>
      <c r="F301" t="s">
        <v>26</v>
      </c>
      <c r="G301" t="s">
        <v>20</v>
      </c>
      <c r="H301" t="s">
        <v>3032</v>
      </c>
      <c r="I301" t="s">
        <v>8</v>
      </c>
      <c r="J301" t="s">
        <v>33</v>
      </c>
      <c r="K301" t="s">
        <v>2977</v>
      </c>
      <c r="L301" t="s">
        <v>10</v>
      </c>
    </row>
    <row r="302" spans="1:12">
      <c r="A302" t="s">
        <v>3325</v>
      </c>
      <c r="B302" s="2">
        <v>45579</v>
      </c>
      <c r="C302">
        <v>2024</v>
      </c>
      <c r="D302">
        <v>10</v>
      </c>
      <c r="E302" t="s">
        <v>113</v>
      </c>
      <c r="F302" t="s">
        <v>26</v>
      </c>
      <c r="G302" t="s">
        <v>74</v>
      </c>
      <c r="H302" t="s">
        <v>3045</v>
      </c>
      <c r="I302" t="s">
        <v>52</v>
      </c>
      <c r="J302" t="s">
        <v>12</v>
      </c>
      <c r="K302" t="s">
        <v>2969</v>
      </c>
      <c r="L302" t="s">
        <v>10</v>
      </c>
    </row>
    <row r="303" spans="1:12">
      <c r="A303" t="s">
        <v>3326</v>
      </c>
      <c r="B303" s="2">
        <v>45590</v>
      </c>
      <c r="C303">
        <v>2024</v>
      </c>
      <c r="D303">
        <v>10</v>
      </c>
      <c r="E303" t="s">
        <v>113</v>
      </c>
      <c r="F303" t="s">
        <v>54</v>
      </c>
      <c r="G303" t="s">
        <v>48</v>
      </c>
      <c r="H303" t="s">
        <v>3045</v>
      </c>
      <c r="I303" t="s">
        <v>35</v>
      </c>
      <c r="J303" t="s">
        <v>4</v>
      </c>
      <c r="K303" t="s">
        <v>2969</v>
      </c>
      <c r="L303" t="s">
        <v>17</v>
      </c>
    </row>
    <row r="304" spans="1:12">
      <c r="A304" t="s">
        <v>3327</v>
      </c>
      <c r="B304" s="2">
        <v>45566</v>
      </c>
      <c r="C304">
        <v>2024</v>
      </c>
      <c r="D304">
        <v>10</v>
      </c>
      <c r="E304" t="s">
        <v>113</v>
      </c>
      <c r="F304" t="s">
        <v>47</v>
      </c>
      <c r="G304" t="s">
        <v>61</v>
      </c>
      <c r="H304" t="s">
        <v>3034</v>
      </c>
      <c r="I304" t="s">
        <v>42</v>
      </c>
      <c r="J304" t="s">
        <v>4</v>
      </c>
      <c r="K304" t="s">
        <v>2969</v>
      </c>
      <c r="L304" t="s">
        <v>17</v>
      </c>
    </row>
    <row r="305" spans="1:12">
      <c r="A305" t="s">
        <v>3328</v>
      </c>
      <c r="B305" s="2">
        <v>45576</v>
      </c>
      <c r="C305">
        <v>2024</v>
      </c>
      <c r="D305">
        <v>10</v>
      </c>
      <c r="E305" t="s">
        <v>113</v>
      </c>
      <c r="F305" t="s">
        <v>67</v>
      </c>
      <c r="G305" t="s">
        <v>32</v>
      </c>
      <c r="H305" t="s">
        <v>3045</v>
      </c>
      <c r="I305" t="s">
        <v>42</v>
      </c>
      <c r="J305" t="s">
        <v>44</v>
      </c>
      <c r="K305" t="s">
        <v>2969</v>
      </c>
      <c r="L305" t="s">
        <v>10</v>
      </c>
    </row>
    <row r="306" spans="1:12">
      <c r="A306" t="s">
        <v>3329</v>
      </c>
      <c r="B306" s="2">
        <v>45578</v>
      </c>
      <c r="C306">
        <v>2024</v>
      </c>
      <c r="D306">
        <v>10</v>
      </c>
      <c r="E306" t="s">
        <v>113</v>
      </c>
      <c r="F306" t="s">
        <v>47</v>
      </c>
      <c r="G306" t="s">
        <v>64</v>
      </c>
      <c r="H306" t="s">
        <v>3045</v>
      </c>
      <c r="I306" t="s">
        <v>8</v>
      </c>
      <c r="J306" t="s">
        <v>44</v>
      </c>
      <c r="K306" t="s">
        <v>2969</v>
      </c>
      <c r="L306" t="s">
        <v>10</v>
      </c>
    </row>
    <row r="307" spans="1:12">
      <c r="A307" t="s">
        <v>3330</v>
      </c>
      <c r="B307" s="2">
        <v>45586</v>
      </c>
      <c r="C307">
        <v>2024</v>
      </c>
      <c r="D307">
        <v>10</v>
      </c>
      <c r="E307" t="s">
        <v>113</v>
      </c>
      <c r="F307" t="s">
        <v>26</v>
      </c>
      <c r="G307" t="s">
        <v>32</v>
      </c>
      <c r="H307" t="s">
        <v>3039</v>
      </c>
      <c r="I307" t="s">
        <v>52</v>
      </c>
      <c r="J307" t="s">
        <v>33</v>
      </c>
      <c r="K307" t="s">
        <v>2969</v>
      </c>
      <c r="L307" t="s">
        <v>10</v>
      </c>
    </row>
    <row r="308" spans="1:12">
      <c r="A308" t="s">
        <v>3331</v>
      </c>
      <c r="B308" s="2">
        <v>45572</v>
      </c>
      <c r="C308">
        <v>2024</v>
      </c>
      <c r="D308">
        <v>10</v>
      </c>
      <c r="E308" t="s">
        <v>113</v>
      </c>
      <c r="F308" t="s">
        <v>38</v>
      </c>
      <c r="G308" t="s">
        <v>69</v>
      </c>
      <c r="H308" t="s">
        <v>51</v>
      </c>
      <c r="I308" t="s">
        <v>15</v>
      </c>
      <c r="J308" t="s">
        <v>44</v>
      </c>
      <c r="K308" t="s">
        <v>2977</v>
      </c>
      <c r="L308" t="s">
        <v>10</v>
      </c>
    </row>
    <row r="309" spans="1:12">
      <c r="A309" t="s">
        <v>3332</v>
      </c>
      <c r="B309" s="2">
        <v>45573</v>
      </c>
      <c r="C309">
        <v>2024</v>
      </c>
      <c r="D309">
        <v>10</v>
      </c>
      <c r="E309" t="s">
        <v>113</v>
      </c>
      <c r="F309" t="s">
        <v>38</v>
      </c>
      <c r="G309" t="s">
        <v>38</v>
      </c>
      <c r="H309" t="s">
        <v>51</v>
      </c>
      <c r="I309" t="s">
        <v>35</v>
      </c>
      <c r="J309" t="s">
        <v>33</v>
      </c>
      <c r="K309" t="s">
        <v>2969</v>
      </c>
      <c r="L309" t="s">
        <v>10</v>
      </c>
    </row>
    <row r="310" spans="1:12">
      <c r="A310" t="s">
        <v>3333</v>
      </c>
      <c r="B310" s="2">
        <v>45567</v>
      </c>
      <c r="C310">
        <v>2024</v>
      </c>
      <c r="D310">
        <v>10</v>
      </c>
      <c r="E310" t="s">
        <v>113</v>
      </c>
      <c r="F310" t="s">
        <v>40</v>
      </c>
      <c r="G310" t="s">
        <v>74</v>
      </c>
      <c r="H310" t="s">
        <v>3019</v>
      </c>
      <c r="I310" t="s">
        <v>8</v>
      </c>
      <c r="J310" t="s">
        <v>44</v>
      </c>
      <c r="K310" t="s">
        <v>2969</v>
      </c>
      <c r="L310" t="s">
        <v>10</v>
      </c>
    </row>
    <row r="311" spans="1:12">
      <c r="A311" t="s">
        <v>3334</v>
      </c>
      <c r="B311" s="2">
        <v>45569</v>
      </c>
      <c r="C311">
        <v>2024</v>
      </c>
      <c r="D311">
        <v>10</v>
      </c>
      <c r="E311" t="s">
        <v>113</v>
      </c>
      <c r="F311" t="s">
        <v>26</v>
      </c>
      <c r="G311" t="s">
        <v>61</v>
      </c>
      <c r="H311" t="s">
        <v>3034</v>
      </c>
      <c r="I311" t="s">
        <v>22</v>
      </c>
      <c r="J311" t="s">
        <v>12</v>
      </c>
      <c r="K311" t="s">
        <v>2969</v>
      </c>
      <c r="L311" t="s">
        <v>10</v>
      </c>
    </row>
    <row r="312" spans="1:12">
      <c r="A312" t="s">
        <v>3335</v>
      </c>
      <c r="B312" s="2">
        <v>45573</v>
      </c>
      <c r="C312">
        <v>2024</v>
      </c>
      <c r="D312">
        <v>10</v>
      </c>
      <c r="E312" t="s">
        <v>113</v>
      </c>
      <c r="F312" t="s">
        <v>2</v>
      </c>
      <c r="G312" t="s">
        <v>3</v>
      </c>
      <c r="H312" t="s">
        <v>3039</v>
      </c>
      <c r="I312" t="s">
        <v>42</v>
      </c>
      <c r="J312" t="s">
        <v>44</v>
      </c>
      <c r="K312" t="s">
        <v>2969</v>
      </c>
      <c r="L312" t="s">
        <v>10</v>
      </c>
    </row>
    <row r="313" spans="1:12">
      <c r="A313" t="s">
        <v>3336</v>
      </c>
      <c r="B313" s="2">
        <v>45582</v>
      </c>
      <c r="C313">
        <v>2024</v>
      </c>
      <c r="D313">
        <v>10</v>
      </c>
      <c r="E313" t="s">
        <v>113</v>
      </c>
      <c r="F313" t="s">
        <v>31</v>
      </c>
      <c r="G313" t="s">
        <v>27</v>
      </c>
      <c r="H313" t="s">
        <v>3026</v>
      </c>
      <c r="I313" t="s">
        <v>15</v>
      </c>
      <c r="J313" t="s">
        <v>44</v>
      </c>
      <c r="K313" t="s">
        <v>2969</v>
      </c>
      <c r="L313" t="s">
        <v>10</v>
      </c>
    </row>
    <row r="314" spans="1:12">
      <c r="A314" t="s">
        <v>3337</v>
      </c>
      <c r="B314" s="2">
        <v>45593</v>
      </c>
      <c r="C314">
        <v>2024</v>
      </c>
      <c r="D314">
        <v>10</v>
      </c>
      <c r="E314" t="s">
        <v>113</v>
      </c>
      <c r="F314" t="s">
        <v>26</v>
      </c>
      <c r="G314" t="s">
        <v>69</v>
      </c>
      <c r="H314" t="s">
        <v>3034</v>
      </c>
      <c r="I314" t="s">
        <v>42</v>
      </c>
      <c r="J314" t="s">
        <v>44</v>
      </c>
      <c r="K314" t="s">
        <v>2969</v>
      </c>
      <c r="L314" t="s">
        <v>10</v>
      </c>
    </row>
    <row r="315" spans="1:12">
      <c r="A315" t="s">
        <v>3338</v>
      </c>
      <c r="B315" s="2">
        <v>45580</v>
      </c>
      <c r="C315">
        <v>2024</v>
      </c>
      <c r="D315">
        <v>10</v>
      </c>
      <c r="E315" t="s">
        <v>113</v>
      </c>
      <c r="F315" t="s">
        <v>19</v>
      </c>
      <c r="G315" t="s">
        <v>48</v>
      </c>
      <c r="H315" t="s">
        <v>3039</v>
      </c>
      <c r="I315" t="s">
        <v>22</v>
      </c>
      <c r="J315" t="s">
        <v>12</v>
      </c>
      <c r="K315" t="s">
        <v>2969</v>
      </c>
      <c r="L315" t="s">
        <v>10</v>
      </c>
    </row>
    <row r="316" spans="1:12">
      <c r="A316" t="s">
        <v>3339</v>
      </c>
      <c r="B316" s="2">
        <v>45579</v>
      </c>
      <c r="C316">
        <v>2024</v>
      </c>
      <c r="D316">
        <v>10</v>
      </c>
      <c r="E316" t="s">
        <v>113</v>
      </c>
      <c r="F316" t="s">
        <v>40</v>
      </c>
      <c r="G316" t="s">
        <v>38</v>
      </c>
      <c r="H316" t="s">
        <v>3032</v>
      </c>
      <c r="I316" t="s">
        <v>22</v>
      </c>
      <c r="J316" t="s">
        <v>4</v>
      </c>
      <c r="K316" t="s">
        <v>2969</v>
      </c>
      <c r="L316" t="s">
        <v>10</v>
      </c>
    </row>
    <row r="317" spans="1:12">
      <c r="A317" t="s">
        <v>3340</v>
      </c>
      <c r="B317" s="2">
        <v>45580</v>
      </c>
      <c r="C317">
        <v>2024</v>
      </c>
      <c r="D317">
        <v>10</v>
      </c>
      <c r="E317" t="s">
        <v>113</v>
      </c>
      <c r="F317" t="s">
        <v>31</v>
      </c>
      <c r="G317" t="s">
        <v>20</v>
      </c>
      <c r="H317" t="s">
        <v>3032</v>
      </c>
      <c r="I317" t="s">
        <v>42</v>
      </c>
      <c r="J317" t="s">
        <v>33</v>
      </c>
      <c r="K317" t="s">
        <v>2969</v>
      </c>
      <c r="L317" t="s">
        <v>17</v>
      </c>
    </row>
    <row r="318" spans="1:12">
      <c r="A318" t="s">
        <v>3341</v>
      </c>
      <c r="B318" s="2">
        <v>45575</v>
      </c>
      <c r="C318">
        <v>2024</v>
      </c>
      <c r="D318">
        <v>10</v>
      </c>
      <c r="E318" t="s">
        <v>113</v>
      </c>
      <c r="F318" t="s">
        <v>38</v>
      </c>
      <c r="G318" t="s">
        <v>27</v>
      </c>
      <c r="H318" t="s">
        <v>3034</v>
      </c>
      <c r="I318" t="s">
        <v>22</v>
      </c>
      <c r="J318" t="s">
        <v>33</v>
      </c>
      <c r="K318" t="s">
        <v>2969</v>
      </c>
      <c r="L318" t="s">
        <v>10</v>
      </c>
    </row>
    <row r="319" spans="1:12">
      <c r="A319" t="s">
        <v>3342</v>
      </c>
      <c r="B319" s="2">
        <v>45567</v>
      </c>
      <c r="C319">
        <v>2024</v>
      </c>
      <c r="D319">
        <v>10</v>
      </c>
      <c r="E319" t="s">
        <v>113</v>
      </c>
      <c r="F319" t="s">
        <v>19</v>
      </c>
      <c r="G319" t="s">
        <v>94</v>
      </c>
      <c r="H319" t="s">
        <v>3022</v>
      </c>
      <c r="I319" t="s">
        <v>35</v>
      </c>
      <c r="J319" t="s">
        <v>12</v>
      </c>
      <c r="K319" t="s">
        <v>2969</v>
      </c>
      <c r="L319" t="s">
        <v>10</v>
      </c>
    </row>
    <row r="320" spans="1:12">
      <c r="A320" t="s">
        <v>3343</v>
      </c>
      <c r="B320" s="2">
        <v>45592</v>
      </c>
      <c r="C320">
        <v>2024</v>
      </c>
      <c r="D320">
        <v>10</v>
      </c>
      <c r="E320" t="s">
        <v>113</v>
      </c>
      <c r="F320" t="s">
        <v>47</v>
      </c>
      <c r="G320" t="s">
        <v>48</v>
      </c>
      <c r="H320" t="s">
        <v>3034</v>
      </c>
      <c r="I320" t="s">
        <v>15</v>
      </c>
      <c r="J320" t="s">
        <v>44</v>
      </c>
      <c r="K320" t="s">
        <v>2969</v>
      </c>
      <c r="L320" t="s">
        <v>10</v>
      </c>
    </row>
    <row r="321" spans="1:12">
      <c r="A321" t="s">
        <v>3344</v>
      </c>
      <c r="B321" s="2">
        <v>45567</v>
      </c>
      <c r="C321">
        <v>2024</v>
      </c>
      <c r="D321">
        <v>10</v>
      </c>
      <c r="E321" t="s">
        <v>113</v>
      </c>
      <c r="F321" t="s">
        <v>40</v>
      </c>
      <c r="G321" t="s">
        <v>3</v>
      </c>
      <c r="H321" t="s">
        <v>3026</v>
      </c>
      <c r="I321" t="s">
        <v>22</v>
      </c>
      <c r="J321" t="s">
        <v>33</v>
      </c>
      <c r="K321" t="s">
        <v>2969</v>
      </c>
      <c r="L321" t="s">
        <v>17</v>
      </c>
    </row>
    <row r="322" spans="1:12">
      <c r="A322" t="s">
        <v>3345</v>
      </c>
      <c r="B322" s="2">
        <v>45584</v>
      </c>
      <c r="C322">
        <v>2024</v>
      </c>
      <c r="D322">
        <v>10</v>
      </c>
      <c r="E322" t="s">
        <v>113</v>
      </c>
      <c r="F322" t="s">
        <v>40</v>
      </c>
      <c r="G322" t="s">
        <v>74</v>
      </c>
      <c r="H322" t="s">
        <v>3034</v>
      </c>
      <c r="I322" t="s">
        <v>8</v>
      </c>
      <c r="J322" t="s">
        <v>44</v>
      </c>
      <c r="K322" t="s">
        <v>2969</v>
      </c>
      <c r="L322" t="s">
        <v>10</v>
      </c>
    </row>
    <row r="323" spans="1:12">
      <c r="A323" t="s">
        <v>3346</v>
      </c>
      <c r="B323" s="2">
        <v>45576</v>
      </c>
      <c r="C323">
        <v>2024</v>
      </c>
      <c r="D323">
        <v>10</v>
      </c>
      <c r="E323" t="s">
        <v>113</v>
      </c>
      <c r="F323" t="s">
        <v>54</v>
      </c>
      <c r="G323" t="s">
        <v>20</v>
      </c>
      <c r="H323" t="s">
        <v>3022</v>
      </c>
      <c r="I323" t="s">
        <v>42</v>
      </c>
      <c r="J323" t="s">
        <v>33</v>
      </c>
      <c r="K323" t="s">
        <v>2977</v>
      </c>
      <c r="L323" t="s">
        <v>10</v>
      </c>
    </row>
    <row r="324" spans="1:12">
      <c r="A324" t="s">
        <v>3347</v>
      </c>
      <c r="B324" s="2">
        <v>45608</v>
      </c>
      <c r="C324">
        <v>2024</v>
      </c>
      <c r="D324">
        <v>11</v>
      </c>
      <c r="E324" t="s">
        <v>117</v>
      </c>
      <c r="F324" t="s">
        <v>40</v>
      </c>
      <c r="G324" t="s">
        <v>27</v>
      </c>
      <c r="H324" t="s">
        <v>3045</v>
      </c>
      <c r="I324" t="s">
        <v>35</v>
      </c>
      <c r="J324" t="s">
        <v>12</v>
      </c>
      <c r="K324" t="s">
        <v>2969</v>
      </c>
      <c r="L324" t="s">
        <v>10</v>
      </c>
    </row>
    <row r="325" spans="1:12">
      <c r="A325" t="s">
        <v>3348</v>
      </c>
      <c r="B325" s="2">
        <v>45602</v>
      </c>
      <c r="C325">
        <v>2024</v>
      </c>
      <c r="D325">
        <v>11</v>
      </c>
      <c r="E325" t="s">
        <v>117</v>
      </c>
      <c r="F325" t="s">
        <v>78</v>
      </c>
      <c r="G325" t="s">
        <v>20</v>
      </c>
      <c r="H325" t="s">
        <v>51</v>
      </c>
      <c r="I325" t="s">
        <v>42</v>
      </c>
      <c r="J325" t="s">
        <v>4</v>
      </c>
      <c r="K325" t="s">
        <v>2969</v>
      </c>
      <c r="L325" t="s">
        <v>10</v>
      </c>
    </row>
    <row r="326" spans="1:12">
      <c r="A326" t="s">
        <v>3349</v>
      </c>
      <c r="B326" s="2">
        <v>45618</v>
      </c>
      <c r="C326">
        <v>2024</v>
      </c>
      <c r="D326">
        <v>11</v>
      </c>
      <c r="E326" t="s">
        <v>117</v>
      </c>
      <c r="F326" t="s">
        <v>47</v>
      </c>
      <c r="G326" t="s">
        <v>3</v>
      </c>
      <c r="H326" t="s">
        <v>51</v>
      </c>
      <c r="I326" t="s">
        <v>52</v>
      </c>
      <c r="J326" t="s">
        <v>4</v>
      </c>
      <c r="K326" t="s">
        <v>2977</v>
      </c>
      <c r="L326" t="s">
        <v>10</v>
      </c>
    </row>
    <row r="327" spans="1:12">
      <c r="A327" t="s">
        <v>3350</v>
      </c>
      <c r="B327" s="2">
        <v>45599</v>
      </c>
      <c r="C327">
        <v>2024</v>
      </c>
      <c r="D327">
        <v>11</v>
      </c>
      <c r="E327" t="s">
        <v>117</v>
      </c>
      <c r="F327" t="s">
        <v>47</v>
      </c>
      <c r="G327" t="s">
        <v>69</v>
      </c>
      <c r="H327" t="s">
        <v>3022</v>
      </c>
      <c r="I327" t="s">
        <v>52</v>
      </c>
      <c r="J327" t="s">
        <v>44</v>
      </c>
      <c r="K327" t="s">
        <v>2969</v>
      </c>
      <c r="L327" t="s">
        <v>10</v>
      </c>
    </row>
    <row r="328" spans="1:12">
      <c r="A328" t="s">
        <v>3351</v>
      </c>
      <c r="B328" s="2">
        <v>45608</v>
      </c>
      <c r="C328">
        <v>2024</v>
      </c>
      <c r="D328">
        <v>11</v>
      </c>
      <c r="E328" t="s">
        <v>117</v>
      </c>
      <c r="F328" t="s">
        <v>38</v>
      </c>
      <c r="G328" t="s">
        <v>48</v>
      </c>
      <c r="H328" t="s">
        <v>3022</v>
      </c>
      <c r="I328" t="s">
        <v>15</v>
      </c>
      <c r="J328" t="s">
        <v>12</v>
      </c>
      <c r="K328" t="s">
        <v>2977</v>
      </c>
      <c r="L328" t="s">
        <v>10</v>
      </c>
    </row>
    <row r="329" spans="1:12">
      <c r="A329" t="s">
        <v>3352</v>
      </c>
      <c r="B329" s="2">
        <v>45608</v>
      </c>
      <c r="C329">
        <v>2024</v>
      </c>
      <c r="D329">
        <v>11</v>
      </c>
      <c r="E329" t="s">
        <v>117</v>
      </c>
      <c r="F329" t="s">
        <v>19</v>
      </c>
      <c r="G329" t="s">
        <v>69</v>
      </c>
      <c r="H329" t="s">
        <v>3034</v>
      </c>
      <c r="I329" t="s">
        <v>15</v>
      </c>
      <c r="J329" t="s">
        <v>4</v>
      </c>
      <c r="K329" t="s">
        <v>2969</v>
      </c>
      <c r="L329" t="s">
        <v>10</v>
      </c>
    </row>
    <row r="330" spans="1:12">
      <c r="A330" t="s">
        <v>3353</v>
      </c>
      <c r="B330" s="2">
        <v>45610</v>
      </c>
      <c r="C330">
        <v>2024</v>
      </c>
      <c r="D330">
        <v>11</v>
      </c>
      <c r="E330" t="s">
        <v>117</v>
      </c>
      <c r="F330" t="s">
        <v>40</v>
      </c>
      <c r="G330" t="s">
        <v>69</v>
      </c>
      <c r="H330" t="s">
        <v>3034</v>
      </c>
      <c r="I330" t="s">
        <v>22</v>
      </c>
      <c r="J330" t="s">
        <v>12</v>
      </c>
      <c r="K330" t="s">
        <v>2969</v>
      </c>
      <c r="L330" t="s">
        <v>10</v>
      </c>
    </row>
    <row r="331" spans="1:12">
      <c r="A331" t="s">
        <v>3354</v>
      </c>
      <c r="B331" s="2">
        <v>45619</v>
      </c>
      <c r="C331">
        <v>2024</v>
      </c>
      <c r="D331">
        <v>11</v>
      </c>
      <c r="E331" t="s">
        <v>117</v>
      </c>
      <c r="F331" t="s">
        <v>19</v>
      </c>
      <c r="G331" t="s">
        <v>48</v>
      </c>
      <c r="H331" t="s">
        <v>3034</v>
      </c>
      <c r="I331" t="s">
        <v>8</v>
      </c>
      <c r="J331" t="s">
        <v>4</v>
      </c>
      <c r="K331" t="s">
        <v>2969</v>
      </c>
      <c r="L331" t="s">
        <v>10</v>
      </c>
    </row>
    <row r="332" spans="1:12">
      <c r="A332" t="s">
        <v>3355</v>
      </c>
      <c r="B332" s="2">
        <v>45622</v>
      </c>
      <c r="C332">
        <v>2024</v>
      </c>
      <c r="D332">
        <v>11</v>
      </c>
      <c r="E332" t="s">
        <v>117</v>
      </c>
      <c r="F332" t="s">
        <v>19</v>
      </c>
      <c r="G332" t="s">
        <v>94</v>
      </c>
      <c r="H332" t="s">
        <v>3034</v>
      </c>
      <c r="I332" t="s">
        <v>22</v>
      </c>
      <c r="J332" t="s">
        <v>12</v>
      </c>
      <c r="K332" t="s">
        <v>2969</v>
      </c>
      <c r="L332" t="s">
        <v>10</v>
      </c>
    </row>
    <row r="333" spans="1:12">
      <c r="A333" t="s">
        <v>3356</v>
      </c>
      <c r="B333" s="2">
        <v>45605</v>
      </c>
      <c r="C333">
        <v>2024</v>
      </c>
      <c r="D333">
        <v>11</v>
      </c>
      <c r="E333" t="s">
        <v>117</v>
      </c>
      <c r="F333" t="s">
        <v>38</v>
      </c>
      <c r="G333" t="s">
        <v>32</v>
      </c>
      <c r="H333" t="s">
        <v>3039</v>
      </c>
      <c r="I333" t="s">
        <v>52</v>
      </c>
      <c r="J333" t="s">
        <v>4</v>
      </c>
      <c r="K333" t="s">
        <v>2969</v>
      </c>
      <c r="L333" t="s">
        <v>10</v>
      </c>
    </row>
    <row r="334" spans="1:12">
      <c r="A334" t="s">
        <v>3357</v>
      </c>
      <c r="B334" s="2">
        <v>45620</v>
      </c>
      <c r="C334">
        <v>2024</v>
      </c>
      <c r="D334">
        <v>11</v>
      </c>
      <c r="E334" t="s">
        <v>117</v>
      </c>
      <c r="F334" t="s">
        <v>40</v>
      </c>
      <c r="G334" t="s">
        <v>64</v>
      </c>
      <c r="H334" t="s">
        <v>3022</v>
      </c>
      <c r="I334" t="s">
        <v>42</v>
      </c>
      <c r="J334" t="s">
        <v>12</v>
      </c>
      <c r="K334" t="s">
        <v>2977</v>
      </c>
      <c r="L334" t="s">
        <v>17</v>
      </c>
    </row>
    <row r="335" spans="1:12">
      <c r="A335" t="s">
        <v>3358</v>
      </c>
      <c r="B335" s="2">
        <v>45622</v>
      </c>
      <c r="C335">
        <v>2024</v>
      </c>
      <c r="D335">
        <v>11</v>
      </c>
      <c r="E335" t="s">
        <v>117</v>
      </c>
      <c r="F335" t="s">
        <v>31</v>
      </c>
      <c r="G335" t="s">
        <v>38</v>
      </c>
      <c r="H335" t="s">
        <v>3039</v>
      </c>
      <c r="I335" t="s">
        <v>22</v>
      </c>
      <c r="J335" t="s">
        <v>12</v>
      </c>
      <c r="K335" t="s">
        <v>2969</v>
      </c>
      <c r="L335" t="s">
        <v>10</v>
      </c>
    </row>
    <row r="336" spans="1:12">
      <c r="A336" t="s">
        <v>3359</v>
      </c>
      <c r="B336" s="2">
        <v>45597</v>
      </c>
      <c r="C336">
        <v>2024</v>
      </c>
      <c r="D336">
        <v>11</v>
      </c>
      <c r="E336" t="s">
        <v>117</v>
      </c>
      <c r="F336" t="s">
        <v>47</v>
      </c>
      <c r="G336" t="s">
        <v>55</v>
      </c>
      <c r="H336" t="s">
        <v>3026</v>
      </c>
      <c r="I336" t="s">
        <v>8</v>
      </c>
      <c r="J336" t="s">
        <v>44</v>
      </c>
      <c r="K336" t="s">
        <v>2969</v>
      </c>
      <c r="L336" t="s">
        <v>10</v>
      </c>
    </row>
    <row r="337" spans="1:12">
      <c r="A337" t="s">
        <v>3360</v>
      </c>
      <c r="B337" s="2">
        <v>45605</v>
      </c>
      <c r="C337">
        <v>2024</v>
      </c>
      <c r="D337">
        <v>11</v>
      </c>
      <c r="E337" t="s">
        <v>117</v>
      </c>
      <c r="F337" t="s">
        <v>67</v>
      </c>
      <c r="G337" t="s">
        <v>61</v>
      </c>
      <c r="H337" t="s">
        <v>3022</v>
      </c>
      <c r="I337" t="s">
        <v>42</v>
      </c>
      <c r="J337" t="s">
        <v>33</v>
      </c>
      <c r="K337" t="s">
        <v>2977</v>
      </c>
      <c r="L337" t="s">
        <v>10</v>
      </c>
    </row>
    <row r="338" spans="1:12">
      <c r="A338" t="s">
        <v>3361</v>
      </c>
      <c r="B338" s="2">
        <v>45602</v>
      </c>
      <c r="C338">
        <v>2024</v>
      </c>
      <c r="D338">
        <v>11</v>
      </c>
      <c r="E338" t="s">
        <v>117</v>
      </c>
      <c r="F338" t="s">
        <v>38</v>
      </c>
      <c r="G338" t="s">
        <v>38</v>
      </c>
      <c r="H338" t="s">
        <v>3032</v>
      </c>
      <c r="I338" t="s">
        <v>15</v>
      </c>
      <c r="J338" t="s">
        <v>33</v>
      </c>
      <c r="K338" t="s">
        <v>2969</v>
      </c>
      <c r="L338" t="s">
        <v>10</v>
      </c>
    </row>
    <row r="339" spans="1:12">
      <c r="A339" t="s">
        <v>3362</v>
      </c>
      <c r="B339" s="2">
        <v>45619</v>
      </c>
      <c r="C339">
        <v>2024</v>
      </c>
      <c r="D339">
        <v>11</v>
      </c>
      <c r="E339" t="s">
        <v>117</v>
      </c>
      <c r="F339" t="s">
        <v>26</v>
      </c>
      <c r="G339" t="s">
        <v>48</v>
      </c>
      <c r="H339" t="s">
        <v>3034</v>
      </c>
      <c r="I339" t="s">
        <v>15</v>
      </c>
      <c r="J339" t="s">
        <v>12</v>
      </c>
      <c r="K339" t="s">
        <v>2969</v>
      </c>
      <c r="L339" t="s">
        <v>10</v>
      </c>
    </row>
    <row r="340" spans="1:12">
      <c r="A340" t="s">
        <v>3363</v>
      </c>
      <c r="B340" s="2">
        <v>45608</v>
      </c>
      <c r="C340">
        <v>2024</v>
      </c>
      <c r="D340">
        <v>11</v>
      </c>
      <c r="E340" t="s">
        <v>117</v>
      </c>
      <c r="F340" t="s">
        <v>78</v>
      </c>
      <c r="G340" t="s">
        <v>38</v>
      </c>
      <c r="H340" t="s">
        <v>3034</v>
      </c>
      <c r="I340" t="s">
        <v>15</v>
      </c>
      <c r="J340" t="s">
        <v>44</v>
      </c>
      <c r="K340" t="s">
        <v>2969</v>
      </c>
      <c r="L340" t="s">
        <v>10</v>
      </c>
    </row>
    <row r="341" spans="1:12">
      <c r="A341" t="s">
        <v>3364</v>
      </c>
      <c r="B341" s="2">
        <v>45600</v>
      </c>
      <c r="C341">
        <v>2024</v>
      </c>
      <c r="D341">
        <v>11</v>
      </c>
      <c r="E341" t="s">
        <v>117</v>
      </c>
      <c r="F341" t="s">
        <v>2</v>
      </c>
      <c r="G341" t="s">
        <v>61</v>
      </c>
      <c r="H341" t="s">
        <v>3039</v>
      </c>
      <c r="I341" t="s">
        <v>22</v>
      </c>
      <c r="J341" t="s">
        <v>33</v>
      </c>
      <c r="K341" t="s">
        <v>2969</v>
      </c>
      <c r="L341" t="s">
        <v>10</v>
      </c>
    </row>
    <row r="342" spans="1:12">
      <c r="A342" t="s">
        <v>3365</v>
      </c>
      <c r="B342" s="2">
        <v>45623</v>
      </c>
      <c r="C342">
        <v>2024</v>
      </c>
      <c r="D342">
        <v>11</v>
      </c>
      <c r="E342" t="s">
        <v>117</v>
      </c>
      <c r="F342" t="s">
        <v>54</v>
      </c>
      <c r="G342" t="s">
        <v>32</v>
      </c>
      <c r="H342" t="s">
        <v>3039</v>
      </c>
      <c r="I342" t="s">
        <v>52</v>
      </c>
      <c r="J342" t="s">
        <v>33</v>
      </c>
      <c r="K342" t="s">
        <v>2969</v>
      </c>
      <c r="L342" t="s">
        <v>10</v>
      </c>
    </row>
    <row r="343" spans="1:12">
      <c r="A343" t="s">
        <v>3366</v>
      </c>
      <c r="B343" s="2">
        <v>45615</v>
      </c>
      <c r="C343">
        <v>2024</v>
      </c>
      <c r="D343">
        <v>11</v>
      </c>
      <c r="E343" t="s">
        <v>117</v>
      </c>
      <c r="F343" t="s">
        <v>38</v>
      </c>
      <c r="G343" t="s">
        <v>74</v>
      </c>
      <c r="H343" t="s">
        <v>3019</v>
      </c>
      <c r="I343" t="s">
        <v>42</v>
      </c>
      <c r="J343" t="s">
        <v>4</v>
      </c>
      <c r="K343" t="s">
        <v>2969</v>
      </c>
      <c r="L343" t="s">
        <v>10</v>
      </c>
    </row>
    <row r="344" spans="1:12">
      <c r="A344" t="s">
        <v>3367</v>
      </c>
      <c r="B344" s="2">
        <v>45599</v>
      </c>
      <c r="C344">
        <v>2024</v>
      </c>
      <c r="D344">
        <v>11</v>
      </c>
      <c r="E344" t="s">
        <v>117</v>
      </c>
      <c r="F344" t="s">
        <v>2</v>
      </c>
      <c r="G344" t="s">
        <v>48</v>
      </c>
      <c r="H344" t="s">
        <v>3022</v>
      </c>
      <c r="I344" t="s">
        <v>22</v>
      </c>
      <c r="J344" t="s">
        <v>33</v>
      </c>
      <c r="K344" t="s">
        <v>2977</v>
      </c>
      <c r="L344" t="s">
        <v>10</v>
      </c>
    </row>
    <row r="345" spans="1:12">
      <c r="A345" t="s">
        <v>3368</v>
      </c>
      <c r="B345" s="2">
        <v>45611</v>
      </c>
      <c r="C345">
        <v>2024</v>
      </c>
      <c r="D345">
        <v>11</v>
      </c>
      <c r="E345" t="s">
        <v>117</v>
      </c>
      <c r="F345" t="s">
        <v>40</v>
      </c>
      <c r="G345" t="s">
        <v>27</v>
      </c>
      <c r="H345" t="s">
        <v>3045</v>
      </c>
      <c r="I345" t="s">
        <v>22</v>
      </c>
      <c r="J345" t="s">
        <v>33</v>
      </c>
      <c r="K345" t="s">
        <v>2977</v>
      </c>
      <c r="L345" t="s">
        <v>17</v>
      </c>
    </row>
    <row r="346" spans="1:12">
      <c r="A346" t="s">
        <v>3369</v>
      </c>
      <c r="B346" s="2">
        <v>45602</v>
      </c>
      <c r="C346">
        <v>2024</v>
      </c>
      <c r="D346">
        <v>11</v>
      </c>
      <c r="E346" t="s">
        <v>117</v>
      </c>
      <c r="F346" t="s">
        <v>19</v>
      </c>
      <c r="G346" t="s">
        <v>69</v>
      </c>
      <c r="H346" t="s">
        <v>3032</v>
      </c>
      <c r="I346" t="s">
        <v>35</v>
      </c>
      <c r="J346" t="s">
        <v>12</v>
      </c>
      <c r="K346" t="s">
        <v>2977</v>
      </c>
      <c r="L346" t="s">
        <v>10</v>
      </c>
    </row>
    <row r="347" spans="1:12">
      <c r="A347" t="s">
        <v>3370</v>
      </c>
      <c r="B347" s="2">
        <v>45601</v>
      </c>
      <c r="C347">
        <v>2024</v>
      </c>
      <c r="D347">
        <v>11</v>
      </c>
      <c r="E347" t="s">
        <v>117</v>
      </c>
      <c r="F347" t="s">
        <v>40</v>
      </c>
      <c r="G347" t="s">
        <v>3</v>
      </c>
      <c r="H347" t="s">
        <v>3022</v>
      </c>
      <c r="I347" t="s">
        <v>52</v>
      </c>
      <c r="J347" t="s">
        <v>33</v>
      </c>
      <c r="K347" t="s">
        <v>2969</v>
      </c>
      <c r="L347" t="s">
        <v>10</v>
      </c>
    </row>
    <row r="348" spans="1:12">
      <c r="A348" t="s">
        <v>3371</v>
      </c>
      <c r="B348" s="2">
        <v>45615</v>
      </c>
      <c r="C348">
        <v>2024</v>
      </c>
      <c r="D348">
        <v>11</v>
      </c>
      <c r="E348" t="s">
        <v>117</v>
      </c>
      <c r="F348" t="s">
        <v>67</v>
      </c>
      <c r="G348" t="s">
        <v>32</v>
      </c>
      <c r="H348" t="s">
        <v>3045</v>
      </c>
      <c r="I348" t="s">
        <v>15</v>
      </c>
      <c r="J348" t="s">
        <v>33</v>
      </c>
      <c r="K348" t="s">
        <v>2969</v>
      </c>
      <c r="L348" t="s">
        <v>10</v>
      </c>
    </row>
    <row r="349" spans="1:12">
      <c r="A349" t="s">
        <v>3372</v>
      </c>
      <c r="B349" s="2">
        <v>45598</v>
      </c>
      <c r="C349">
        <v>2024</v>
      </c>
      <c r="D349">
        <v>11</v>
      </c>
      <c r="E349" t="s">
        <v>117</v>
      </c>
      <c r="F349" t="s">
        <v>26</v>
      </c>
      <c r="G349" t="s">
        <v>74</v>
      </c>
      <c r="H349" t="s">
        <v>3034</v>
      </c>
      <c r="I349" t="s">
        <v>35</v>
      </c>
      <c r="J349" t="s">
        <v>12</v>
      </c>
      <c r="K349" t="s">
        <v>2969</v>
      </c>
      <c r="L349" t="s">
        <v>17</v>
      </c>
    </row>
    <row r="350" spans="1:12">
      <c r="A350" t="s">
        <v>3373</v>
      </c>
      <c r="B350" s="2">
        <v>45613</v>
      </c>
      <c r="C350">
        <v>2024</v>
      </c>
      <c r="D350">
        <v>11</v>
      </c>
      <c r="E350" t="s">
        <v>117</v>
      </c>
      <c r="F350" t="s">
        <v>47</v>
      </c>
      <c r="G350" t="s">
        <v>55</v>
      </c>
      <c r="H350" t="s">
        <v>3026</v>
      </c>
      <c r="I350" t="s">
        <v>42</v>
      </c>
      <c r="J350" t="s">
        <v>4</v>
      </c>
      <c r="K350" t="s">
        <v>2969</v>
      </c>
      <c r="L350" t="s">
        <v>10</v>
      </c>
    </row>
    <row r="351" spans="1:12">
      <c r="A351" t="s">
        <v>3374</v>
      </c>
      <c r="B351" s="2">
        <v>45631</v>
      </c>
      <c r="C351">
        <v>2024</v>
      </c>
      <c r="D351">
        <v>12</v>
      </c>
      <c r="E351" t="s">
        <v>124</v>
      </c>
      <c r="F351" t="s">
        <v>2</v>
      </c>
      <c r="G351" t="s">
        <v>61</v>
      </c>
      <c r="H351" t="s">
        <v>3045</v>
      </c>
      <c r="I351" t="s">
        <v>42</v>
      </c>
      <c r="J351" t="s">
        <v>12</v>
      </c>
      <c r="K351" t="s">
        <v>2969</v>
      </c>
      <c r="L351" t="s">
        <v>10</v>
      </c>
    </row>
    <row r="352" spans="1:12">
      <c r="A352" t="s">
        <v>3375</v>
      </c>
      <c r="B352" s="2">
        <v>45627</v>
      </c>
      <c r="C352">
        <v>2024</v>
      </c>
      <c r="D352">
        <v>12</v>
      </c>
      <c r="E352" t="s">
        <v>124</v>
      </c>
      <c r="F352" t="s">
        <v>31</v>
      </c>
      <c r="G352" t="s">
        <v>48</v>
      </c>
      <c r="H352" t="s">
        <v>3032</v>
      </c>
      <c r="I352" t="s">
        <v>15</v>
      </c>
      <c r="J352" t="s">
        <v>12</v>
      </c>
      <c r="K352" t="s">
        <v>2969</v>
      </c>
      <c r="L352" t="s">
        <v>10</v>
      </c>
    </row>
    <row r="353" spans="1:12">
      <c r="A353" t="s">
        <v>3376</v>
      </c>
      <c r="B353" s="2">
        <v>45636</v>
      </c>
      <c r="C353">
        <v>2024</v>
      </c>
      <c r="D353">
        <v>12</v>
      </c>
      <c r="E353" t="s">
        <v>124</v>
      </c>
      <c r="F353" t="s">
        <v>2</v>
      </c>
      <c r="G353" t="s">
        <v>64</v>
      </c>
      <c r="H353" t="s">
        <v>3022</v>
      </c>
      <c r="I353" t="s">
        <v>22</v>
      </c>
      <c r="J353" t="s">
        <v>33</v>
      </c>
      <c r="K353" t="s">
        <v>2969</v>
      </c>
      <c r="L353" t="s">
        <v>10</v>
      </c>
    </row>
    <row r="354" spans="1:12">
      <c r="A354" t="s">
        <v>3377</v>
      </c>
      <c r="B354" s="2">
        <v>45629</v>
      </c>
      <c r="C354">
        <v>2024</v>
      </c>
      <c r="D354">
        <v>12</v>
      </c>
      <c r="E354" t="s">
        <v>124</v>
      </c>
      <c r="F354" t="s">
        <v>26</v>
      </c>
      <c r="G354" t="s">
        <v>55</v>
      </c>
      <c r="H354" t="s">
        <v>3022</v>
      </c>
      <c r="I354" t="s">
        <v>35</v>
      </c>
      <c r="J354" t="s">
        <v>44</v>
      </c>
      <c r="K354" t="s">
        <v>2969</v>
      </c>
      <c r="L354" t="s">
        <v>10</v>
      </c>
    </row>
    <row r="355" spans="1:12">
      <c r="A355" t="s">
        <v>3378</v>
      </c>
      <c r="B355" s="2">
        <v>45635</v>
      </c>
      <c r="C355">
        <v>2024</v>
      </c>
      <c r="D355">
        <v>12</v>
      </c>
      <c r="E355" t="s">
        <v>124</v>
      </c>
      <c r="F355" t="s">
        <v>19</v>
      </c>
      <c r="G355" t="s">
        <v>38</v>
      </c>
      <c r="H355" t="s">
        <v>3039</v>
      </c>
      <c r="I355" t="s">
        <v>52</v>
      </c>
      <c r="J355" t="s">
        <v>44</v>
      </c>
      <c r="K355" t="s">
        <v>2969</v>
      </c>
      <c r="L355" t="s">
        <v>10</v>
      </c>
    </row>
    <row r="356" spans="1:12">
      <c r="A356" t="s">
        <v>3379</v>
      </c>
      <c r="B356" s="2">
        <v>45651</v>
      </c>
      <c r="C356">
        <v>2024</v>
      </c>
      <c r="D356">
        <v>12</v>
      </c>
      <c r="E356" t="s">
        <v>124</v>
      </c>
      <c r="F356" t="s">
        <v>19</v>
      </c>
      <c r="G356" t="s">
        <v>94</v>
      </c>
      <c r="H356" t="s">
        <v>3026</v>
      </c>
      <c r="I356" t="s">
        <v>35</v>
      </c>
      <c r="J356" t="s">
        <v>12</v>
      </c>
      <c r="K356" t="s">
        <v>2969</v>
      </c>
      <c r="L356" t="s">
        <v>10</v>
      </c>
    </row>
    <row r="357" spans="1:12">
      <c r="A357" t="s">
        <v>3380</v>
      </c>
      <c r="B357" s="2">
        <v>45641</v>
      </c>
      <c r="C357">
        <v>2024</v>
      </c>
      <c r="D357">
        <v>12</v>
      </c>
      <c r="E357" t="s">
        <v>124</v>
      </c>
      <c r="F357" t="s">
        <v>40</v>
      </c>
      <c r="G357" t="s">
        <v>38</v>
      </c>
      <c r="H357" t="s">
        <v>3032</v>
      </c>
      <c r="I357" t="s">
        <v>22</v>
      </c>
      <c r="J357" t="s">
        <v>4</v>
      </c>
      <c r="K357" t="s">
        <v>2969</v>
      </c>
      <c r="L357" t="s">
        <v>10</v>
      </c>
    </row>
    <row r="358" spans="1:12">
      <c r="A358" t="s">
        <v>3381</v>
      </c>
      <c r="B358" s="2">
        <v>45637</v>
      </c>
      <c r="C358">
        <v>2024</v>
      </c>
      <c r="D358">
        <v>12</v>
      </c>
      <c r="E358" t="s">
        <v>124</v>
      </c>
      <c r="F358" t="s">
        <v>38</v>
      </c>
      <c r="G358" t="s">
        <v>27</v>
      </c>
      <c r="H358" t="s">
        <v>3022</v>
      </c>
      <c r="I358" t="s">
        <v>15</v>
      </c>
      <c r="J358" t="s">
        <v>4</v>
      </c>
      <c r="K358" t="s">
        <v>2969</v>
      </c>
      <c r="L358" t="s">
        <v>10</v>
      </c>
    </row>
    <row r="359" spans="1:12">
      <c r="A359" t="s">
        <v>3382</v>
      </c>
      <c r="B359" s="2">
        <v>45639</v>
      </c>
      <c r="C359">
        <v>2024</v>
      </c>
      <c r="D359">
        <v>12</v>
      </c>
      <c r="E359" t="s">
        <v>124</v>
      </c>
      <c r="F359" t="s">
        <v>2</v>
      </c>
      <c r="G359" t="s">
        <v>27</v>
      </c>
      <c r="H359" t="s">
        <v>3034</v>
      </c>
      <c r="I359" t="s">
        <v>22</v>
      </c>
      <c r="J359" t="s">
        <v>4</v>
      </c>
      <c r="K359" t="s">
        <v>2969</v>
      </c>
      <c r="L359" t="s">
        <v>10</v>
      </c>
    </row>
    <row r="360" spans="1:12">
      <c r="A360" t="s">
        <v>3383</v>
      </c>
      <c r="B360" s="2">
        <v>45637</v>
      </c>
      <c r="C360">
        <v>2024</v>
      </c>
      <c r="D360">
        <v>12</v>
      </c>
      <c r="E360" t="s">
        <v>124</v>
      </c>
      <c r="F360" t="s">
        <v>40</v>
      </c>
      <c r="G360" t="s">
        <v>61</v>
      </c>
      <c r="H360" t="s">
        <v>3039</v>
      </c>
      <c r="I360" t="s">
        <v>22</v>
      </c>
      <c r="J360" t="s">
        <v>4</v>
      </c>
      <c r="K360" t="s">
        <v>2969</v>
      </c>
      <c r="L360" t="s">
        <v>10</v>
      </c>
    </row>
    <row r="361" spans="1:12">
      <c r="A361" t="s">
        <v>3384</v>
      </c>
      <c r="B361" s="2">
        <v>45627</v>
      </c>
      <c r="C361">
        <v>2024</v>
      </c>
      <c r="D361">
        <v>12</v>
      </c>
      <c r="E361" t="s">
        <v>124</v>
      </c>
      <c r="F361" t="s">
        <v>47</v>
      </c>
      <c r="G361" t="s">
        <v>32</v>
      </c>
      <c r="H361" t="s">
        <v>51</v>
      </c>
      <c r="I361" t="s">
        <v>52</v>
      </c>
      <c r="J361" t="s">
        <v>4</v>
      </c>
      <c r="K361" t="s">
        <v>2969</v>
      </c>
      <c r="L361" t="s">
        <v>10</v>
      </c>
    </row>
    <row r="362" spans="1:12">
      <c r="A362" t="s">
        <v>3385</v>
      </c>
      <c r="B362" s="2">
        <v>45651</v>
      </c>
      <c r="C362">
        <v>2024</v>
      </c>
      <c r="D362">
        <v>12</v>
      </c>
      <c r="E362" t="s">
        <v>124</v>
      </c>
      <c r="F362" t="s">
        <v>26</v>
      </c>
      <c r="G362" t="s">
        <v>48</v>
      </c>
      <c r="H362" t="s">
        <v>3026</v>
      </c>
      <c r="I362" t="s">
        <v>42</v>
      </c>
      <c r="J362" t="s">
        <v>33</v>
      </c>
      <c r="K362" t="s">
        <v>2969</v>
      </c>
      <c r="L362" t="s">
        <v>10</v>
      </c>
    </row>
    <row r="363" spans="1:12">
      <c r="A363" t="s">
        <v>3386</v>
      </c>
      <c r="B363" s="2">
        <v>45635</v>
      </c>
      <c r="C363">
        <v>2024</v>
      </c>
      <c r="D363">
        <v>12</v>
      </c>
      <c r="E363" t="s">
        <v>124</v>
      </c>
      <c r="F363" t="s">
        <v>38</v>
      </c>
      <c r="G363" t="s">
        <v>69</v>
      </c>
      <c r="H363" t="s">
        <v>3022</v>
      </c>
      <c r="I363" t="s">
        <v>22</v>
      </c>
      <c r="J363" t="s">
        <v>12</v>
      </c>
      <c r="K363" t="s">
        <v>2969</v>
      </c>
      <c r="L363" t="s">
        <v>10</v>
      </c>
    </row>
    <row r="364" spans="1:12">
      <c r="A364" t="s">
        <v>3387</v>
      </c>
      <c r="B364" s="2">
        <v>45652</v>
      </c>
      <c r="C364">
        <v>2024</v>
      </c>
      <c r="D364">
        <v>12</v>
      </c>
      <c r="E364" t="s">
        <v>124</v>
      </c>
      <c r="F364" t="s">
        <v>38</v>
      </c>
      <c r="G364" t="s">
        <v>69</v>
      </c>
      <c r="H364" t="s">
        <v>3019</v>
      </c>
      <c r="I364" t="s">
        <v>35</v>
      </c>
      <c r="J364" t="s">
        <v>4</v>
      </c>
      <c r="K364" t="s">
        <v>2969</v>
      </c>
      <c r="L364" t="s">
        <v>10</v>
      </c>
    </row>
    <row r="365" spans="1:12">
      <c r="A365" t="s">
        <v>3388</v>
      </c>
      <c r="B365" s="2">
        <v>45633</v>
      </c>
      <c r="C365">
        <v>2024</v>
      </c>
      <c r="D365">
        <v>12</v>
      </c>
      <c r="E365" t="s">
        <v>124</v>
      </c>
      <c r="F365" t="s">
        <v>40</v>
      </c>
      <c r="G365" t="s">
        <v>32</v>
      </c>
      <c r="H365" t="s">
        <v>3026</v>
      </c>
      <c r="I365" t="s">
        <v>35</v>
      </c>
      <c r="J365" t="s">
        <v>44</v>
      </c>
      <c r="K365" t="s">
        <v>2969</v>
      </c>
      <c r="L365" t="s">
        <v>10</v>
      </c>
    </row>
    <row r="366" spans="1:12">
      <c r="A366" t="s">
        <v>3389</v>
      </c>
      <c r="B366" s="2">
        <v>45647</v>
      </c>
      <c r="C366">
        <v>2024</v>
      </c>
      <c r="D366">
        <v>12</v>
      </c>
      <c r="E366" t="s">
        <v>124</v>
      </c>
      <c r="F366" t="s">
        <v>78</v>
      </c>
      <c r="G366" t="s">
        <v>69</v>
      </c>
      <c r="H366" t="s">
        <v>3026</v>
      </c>
      <c r="I366" t="s">
        <v>52</v>
      </c>
      <c r="J366" t="s">
        <v>4</v>
      </c>
      <c r="K366" t="s">
        <v>2969</v>
      </c>
      <c r="L366" t="s">
        <v>10</v>
      </c>
    </row>
    <row r="367" spans="1:12">
      <c r="A367" t="s">
        <v>3390</v>
      </c>
      <c r="B367" s="2">
        <v>45654</v>
      </c>
      <c r="C367">
        <v>2024</v>
      </c>
      <c r="D367">
        <v>12</v>
      </c>
      <c r="E367" t="s">
        <v>124</v>
      </c>
      <c r="F367" t="s">
        <v>38</v>
      </c>
      <c r="G367" t="s">
        <v>69</v>
      </c>
      <c r="H367" t="s">
        <v>51</v>
      </c>
      <c r="I367" t="s">
        <v>15</v>
      </c>
      <c r="J367" t="s">
        <v>44</v>
      </c>
      <c r="K367" t="s">
        <v>2969</v>
      </c>
      <c r="L367" t="s">
        <v>10</v>
      </c>
    </row>
    <row r="368" spans="1:12">
      <c r="A368" t="s">
        <v>3391</v>
      </c>
      <c r="B368" s="2">
        <v>45652</v>
      </c>
      <c r="C368">
        <v>2024</v>
      </c>
      <c r="D368">
        <v>12</v>
      </c>
      <c r="E368" t="s">
        <v>124</v>
      </c>
      <c r="F368" t="s">
        <v>40</v>
      </c>
      <c r="G368" t="s">
        <v>61</v>
      </c>
      <c r="H368" t="s">
        <v>51</v>
      </c>
      <c r="I368" t="s">
        <v>22</v>
      </c>
      <c r="J368" t="s">
        <v>44</v>
      </c>
      <c r="K368" t="s">
        <v>2969</v>
      </c>
      <c r="L368" t="s">
        <v>10</v>
      </c>
    </row>
    <row r="369" spans="1:12">
      <c r="A369" t="s">
        <v>3392</v>
      </c>
      <c r="B369" s="2">
        <v>45646</v>
      </c>
      <c r="C369">
        <v>2024</v>
      </c>
      <c r="D369">
        <v>12</v>
      </c>
      <c r="E369" t="s">
        <v>124</v>
      </c>
      <c r="F369" t="s">
        <v>54</v>
      </c>
      <c r="G369" t="s">
        <v>48</v>
      </c>
      <c r="H369" t="s">
        <v>3034</v>
      </c>
      <c r="I369" t="s">
        <v>22</v>
      </c>
      <c r="J369" t="s">
        <v>12</v>
      </c>
      <c r="K369" t="s">
        <v>2969</v>
      </c>
      <c r="L369" t="s">
        <v>10</v>
      </c>
    </row>
    <row r="370" spans="1:12">
      <c r="A370" t="s">
        <v>3393</v>
      </c>
      <c r="B370" s="2">
        <v>45649</v>
      </c>
      <c r="C370">
        <v>2024</v>
      </c>
      <c r="D370">
        <v>12</v>
      </c>
      <c r="E370" t="s">
        <v>124</v>
      </c>
      <c r="F370" t="s">
        <v>67</v>
      </c>
      <c r="G370" t="s">
        <v>69</v>
      </c>
      <c r="H370" t="s">
        <v>3045</v>
      </c>
      <c r="I370" t="s">
        <v>22</v>
      </c>
      <c r="J370" t="s">
        <v>12</v>
      </c>
      <c r="K370" t="s">
        <v>2969</v>
      </c>
      <c r="L370" t="s">
        <v>10</v>
      </c>
    </row>
    <row r="371" spans="1:12">
      <c r="A371" t="s">
        <v>3394</v>
      </c>
      <c r="B371" s="2">
        <v>45637</v>
      </c>
      <c r="C371">
        <v>2024</v>
      </c>
      <c r="D371">
        <v>12</v>
      </c>
      <c r="E371" t="s">
        <v>124</v>
      </c>
      <c r="F371" t="s">
        <v>67</v>
      </c>
      <c r="G371" t="s">
        <v>3</v>
      </c>
      <c r="H371" t="s">
        <v>3022</v>
      </c>
      <c r="I371" t="s">
        <v>35</v>
      </c>
      <c r="J371" t="s">
        <v>33</v>
      </c>
      <c r="K371" t="s">
        <v>2969</v>
      </c>
      <c r="L371" t="s">
        <v>10</v>
      </c>
    </row>
    <row r="372" spans="1:12">
      <c r="A372" t="s">
        <v>3395</v>
      </c>
      <c r="B372" s="2">
        <v>45659</v>
      </c>
      <c r="C372">
        <v>2025</v>
      </c>
      <c r="D372">
        <v>1</v>
      </c>
      <c r="E372" t="s">
        <v>1</v>
      </c>
      <c r="F372" t="s">
        <v>67</v>
      </c>
      <c r="G372" t="s">
        <v>48</v>
      </c>
      <c r="H372" t="s">
        <v>3026</v>
      </c>
      <c r="I372" t="s">
        <v>35</v>
      </c>
      <c r="J372" t="s">
        <v>4</v>
      </c>
      <c r="K372" t="s">
        <v>2969</v>
      </c>
      <c r="L372" t="s">
        <v>10</v>
      </c>
    </row>
    <row r="373" spans="1:12">
      <c r="A373" t="s">
        <v>3396</v>
      </c>
      <c r="B373" s="2">
        <v>45682</v>
      </c>
      <c r="C373">
        <v>2025</v>
      </c>
      <c r="D373">
        <v>1</v>
      </c>
      <c r="E373" t="s">
        <v>1</v>
      </c>
      <c r="F373" t="s">
        <v>67</v>
      </c>
      <c r="G373" t="s">
        <v>74</v>
      </c>
      <c r="H373" t="s">
        <v>3019</v>
      </c>
      <c r="I373" t="s">
        <v>35</v>
      </c>
      <c r="J373" t="s">
        <v>4</v>
      </c>
      <c r="K373" t="s">
        <v>2969</v>
      </c>
      <c r="L373" t="s">
        <v>17</v>
      </c>
    </row>
    <row r="374" spans="1:12">
      <c r="A374" t="s">
        <v>3397</v>
      </c>
      <c r="B374" s="2">
        <v>45661</v>
      </c>
      <c r="C374">
        <v>2025</v>
      </c>
      <c r="D374">
        <v>1</v>
      </c>
      <c r="E374" t="s">
        <v>1</v>
      </c>
      <c r="F374" t="s">
        <v>40</v>
      </c>
      <c r="G374" t="s">
        <v>27</v>
      </c>
      <c r="H374" t="s">
        <v>3032</v>
      </c>
      <c r="I374" t="s">
        <v>52</v>
      </c>
      <c r="J374" t="s">
        <v>12</v>
      </c>
      <c r="K374" t="s">
        <v>2969</v>
      </c>
      <c r="L374" t="s">
        <v>10</v>
      </c>
    </row>
    <row r="375" spans="1:12">
      <c r="A375" t="s">
        <v>3398</v>
      </c>
      <c r="B375" s="2">
        <v>45661</v>
      </c>
      <c r="C375">
        <v>2025</v>
      </c>
      <c r="D375">
        <v>1</v>
      </c>
      <c r="E375" t="s">
        <v>1</v>
      </c>
      <c r="F375" t="s">
        <v>54</v>
      </c>
      <c r="G375" t="s">
        <v>55</v>
      </c>
      <c r="H375" t="s">
        <v>3032</v>
      </c>
      <c r="I375" t="s">
        <v>15</v>
      </c>
      <c r="J375" t="s">
        <v>4</v>
      </c>
      <c r="K375" t="s">
        <v>2969</v>
      </c>
      <c r="L375" t="s">
        <v>10</v>
      </c>
    </row>
    <row r="376" spans="1:12">
      <c r="A376" t="s">
        <v>3399</v>
      </c>
      <c r="B376" s="2">
        <v>45683</v>
      </c>
      <c r="C376">
        <v>2025</v>
      </c>
      <c r="D376">
        <v>1</v>
      </c>
      <c r="E376" t="s">
        <v>1</v>
      </c>
      <c r="F376" t="s">
        <v>47</v>
      </c>
      <c r="G376" t="s">
        <v>48</v>
      </c>
      <c r="H376" t="s">
        <v>3045</v>
      </c>
      <c r="I376" t="s">
        <v>42</v>
      </c>
      <c r="J376" t="s">
        <v>44</v>
      </c>
      <c r="K376" t="s">
        <v>2969</v>
      </c>
      <c r="L376" t="s">
        <v>10</v>
      </c>
    </row>
    <row r="377" spans="1:12">
      <c r="A377" t="s">
        <v>3400</v>
      </c>
      <c r="B377" s="2">
        <v>45665</v>
      </c>
      <c r="C377">
        <v>2025</v>
      </c>
      <c r="D377">
        <v>1</v>
      </c>
      <c r="E377" t="s">
        <v>1</v>
      </c>
      <c r="F377" t="s">
        <v>26</v>
      </c>
      <c r="G377" t="s">
        <v>20</v>
      </c>
      <c r="H377" t="s">
        <v>3022</v>
      </c>
      <c r="I377" t="s">
        <v>22</v>
      </c>
      <c r="J377" t="s">
        <v>4</v>
      </c>
      <c r="K377" t="s">
        <v>2969</v>
      </c>
      <c r="L377" t="s">
        <v>10</v>
      </c>
    </row>
    <row r="378" spans="1:12">
      <c r="A378" t="s">
        <v>3401</v>
      </c>
      <c r="B378" s="2">
        <v>45663</v>
      </c>
      <c r="C378">
        <v>2025</v>
      </c>
      <c r="D378">
        <v>1</v>
      </c>
      <c r="E378" t="s">
        <v>1</v>
      </c>
      <c r="F378" t="s">
        <v>19</v>
      </c>
      <c r="G378" t="s">
        <v>61</v>
      </c>
      <c r="H378" t="s">
        <v>51</v>
      </c>
      <c r="I378" t="s">
        <v>42</v>
      </c>
      <c r="J378" t="s">
        <v>4</v>
      </c>
      <c r="K378" t="s">
        <v>2969</v>
      </c>
      <c r="L378" t="s">
        <v>17</v>
      </c>
    </row>
    <row r="379" spans="1:12">
      <c r="A379" t="s">
        <v>3402</v>
      </c>
      <c r="B379" s="2">
        <v>45658</v>
      </c>
      <c r="C379">
        <v>2025</v>
      </c>
      <c r="D379">
        <v>1</v>
      </c>
      <c r="E379" t="s">
        <v>1</v>
      </c>
      <c r="F379" t="s">
        <v>31</v>
      </c>
      <c r="G379" t="s">
        <v>27</v>
      </c>
      <c r="H379" t="s">
        <v>3019</v>
      </c>
      <c r="I379" t="s">
        <v>8</v>
      </c>
      <c r="J379" t="s">
        <v>33</v>
      </c>
      <c r="K379" t="s">
        <v>2969</v>
      </c>
      <c r="L379" t="s">
        <v>10</v>
      </c>
    </row>
    <row r="380" spans="1:12">
      <c r="A380" t="s">
        <v>3403</v>
      </c>
      <c r="B380" s="2">
        <v>45672</v>
      </c>
      <c r="C380">
        <v>2025</v>
      </c>
      <c r="D380">
        <v>1</v>
      </c>
      <c r="E380" t="s">
        <v>1</v>
      </c>
      <c r="F380" t="s">
        <v>78</v>
      </c>
      <c r="G380" t="s">
        <v>3</v>
      </c>
      <c r="H380" t="s">
        <v>3034</v>
      </c>
      <c r="I380" t="s">
        <v>22</v>
      </c>
      <c r="J380" t="s">
        <v>12</v>
      </c>
      <c r="K380" t="s">
        <v>2969</v>
      </c>
      <c r="L380" t="s">
        <v>10</v>
      </c>
    </row>
    <row r="381" spans="1:12">
      <c r="A381" t="s">
        <v>3404</v>
      </c>
      <c r="B381" s="2">
        <v>45669</v>
      </c>
      <c r="C381">
        <v>2025</v>
      </c>
      <c r="D381">
        <v>1</v>
      </c>
      <c r="E381" t="s">
        <v>1</v>
      </c>
      <c r="F381" t="s">
        <v>78</v>
      </c>
      <c r="G381" t="s">
        <v>74</v>
      </c>
      <c r="H381" t="s">
        <v>51</v>
      </c>
      <c r="I381" t="s">
        <v>8</v>
      </c>
      <c r="J381" t="s">
        <v>12</v>
      </c>
      <c r="K381" t="s">
        <v>2969</v>
      </c>
      <c r="L381" t="s">
        <v>17</v>
      </c>
    </row>
    <row r="382" spans="1:12">
      <c r="A382" t="s">
        <v>3405</v>
      </c>
      <c r="B382" s="2">
        <v>45677</v>
      </c>
      <c r="C382">
        <v>2025</v>
      </c>
      <c r="D382">
        <v>1</v>
      </c>
      <c r="E382" t="s">
        <v>1</v>
      </c>
      <c r="F382" t="s">
        <v>38</v>
      </c>
      <c r="G382" t="s">
        <v>94</v>
      </c>
      <c r="H382" t="s">
        <v>3019</v>
      </c>
      <c r="I382" t="s">
        <v>35</v>
      </c>
      <c r="J382" t="s">
        <v>12</v>
      </c>
      <c r="K382" t="s">
        <v>2969</v>
      </c>
      <c r="L382" t="s">
        <v>10</v>
      </c>
    </row>
    <row r="383" spans="1:12">
      <c r="A383" t="s">
        <v>3406</v>
      </c>
      <c r="B383" s="2">
        <v>45673</v>
      </c>
      <c r="C383">
        <v>2025</v>
      </c>
      <c r="D383">
        <v>1</v>
      </c>
      <c r="E383" t="s">
        <v>1</v>
      </c>
      <c r="F383" t="s">
        <v>78</v>
      </c>
      <c r="G383" t="s">
        <v>32</v>
      </c>
      <c r="H383" t="s">
        <v>3032</v>
      </c>
      <c r="I383" t="s">
        <v>22</v>
      </c>
      <c r="J383" t="s">
        <v>44</v>
      </c>
      <c r="K383" t="s">
        <v>2969</v>
      </c>
      <c r="L383" t="s">
        <v>17</v>
      </c>
    </row>
    <row r="384" spans="1:12">
      <c r="A384" t="s">
        <v>3407</v>
      </c>
      <c r="B384" s="2">
        <v>45672</v>
      </c>
      <c r="C384">
        <v>2025</v>
      </c>
      <c r="D384">
        <v>1</v>
      </c>
      <c r="E384" t="s">
        <v>1</v>
      </c>
      <c r="F384" t="s">
        <v>47</v>
      </c>
      <c r="G384" t="s">
        <v>32</v>
      </c>
      <c r="H384" t="s">
        <v>3032</v>
      </c>
      <c r="I384" t="s">
        <v>35</v>
      </c>
      <c r="J384" t="s">
        <v>4</v>
      </c>
      <c r="K384" t="s">
        <v>2969</v>
      </c>
      <c r="L384" t="s">
        <v>10</v>
      </c>
    </row>
    <row r="385" spans="1:12">
      <c r="A385" t="s">
        <v>3408</v>
      </c>
      <c r="B385" s="2">
        <v>45675</v>
      </c>
      <c r="C385">
        <v>2025</v>
      </c>
      <c r="D385">
        <v>1</v>
      </c>
      <c r="E385" t="s">
        <v>1</v>
      </c>
      <c r="F385" t="s">
        <v>31</v>
      </c>
      <c r="G385" t="s">
        <v>69</v>
      </c>
      <c r="H385" t="s">
        <v>3045</v>
      </c>
      <c r="I385" t="s">
        <v>22</v>
      </c>
      <c r="J385" t="s">
        <v>4</v>
      </c>
      <c r="K385" t="s">
        <v>2969</v>
      </c>
      <c r="L385" t="s">
        <v>10</v>
      </c>
    </row>
    <row r="386" spans="1:12">
      <c r="A386" t="s">
        <v>3409</v>
      </c>
      <c r="B386" s="2">
        <v>45666</v>
      </c>
      <c r="C386">
        <v>2025</v>
      </c>
      <c r="D386">
        <v>1</v>
      </c>
      <c r="E386" t="s">
        <v>1</v>
      </c>
      <c r="F386" t="s">
        <v>26</v>
      </c>
      <c r="G386" t="s">
        <v>55</v>
      </c>
      <c r="H386" t="s">
        <v>3045</v>
      </c>
      <c r="I386" t="s">
        <v>52</v>
      </c>
      <c r="J386" t="s">
        <v>12</v>
      </c>
      <c r="K386" t="s">
        <v>2969</v>
      </c>
      <c r="L386" t="s">
        <v>17</v>
      </c>
    </row>
    <row r="387" spans="1:12">
      <c r="A387" t="s">
        <v>3410</v>
      </c>
      <c r="B387" s="2">
        <v>45680</v>
      </c>
      <c r="C387">
        <v>2025</v>
      </c>
      <c r="D387">
        <v>1</v>
      </c>
      <c r="E387" t="s">
        <v>1</v>
      </c>
      <c r="F387" t="s">
        <v>40</v>
      </c>
      <c r="G387" t="s">
        <v>3</v>
      </c>
      <c r="H387" t="s">
        <v>3022</v>
      </c>
      <c r="I387" t="s">
        <v>42</v>
      </c>
      <c r="J387" t="s">
        <v>4</v>
      </c>
      <c r="K387" t="s">
        <v>2969</v>
      </c>
      <c r="L387" t="s">
        <v>10</v>
      </c>
    </row>
    <row r="388" spans="1:12">
      <c r="A388" t="s">
        <v>3411</v>
      </c>
      <c r="B388" s="2">
        <v>45675</v>
      </c>
      <c r="C388">
        <v>2025</v>
      </c>
      <c r="D388">
        <v>1</v>
      </c>
      <c r="E388" t="s">
        <v>1</v>
      </c>
      <c r="F388" t="s">
        <v>2</v>
      </c>
      <c r="G388" t="s">
        <v>3</v>
      </c>
      <c r="H388" t="s">
        <v>3045</v>
      </c>
      <c r="I388" t="s">
        <v>52</v>
      </c>
      <c r="J388" t="s">
        <v>12</v>
      </c>
      <c r="K388" t="s">
        <v>2969</v>
      </c>
      <c r="L388" t="s">
        <v>10</v>
      </c>
    </row>
    <row r="389" spans="1:12">
      <c r="A389" t="s">
        <v>3412</v>
      </c>
      <c r="B389" s="2">
        <v>45669</v>
      </c>
      <c r="C389">
        <v>2025</v>
      </c>
      <c r="D389">
        <v>1</v>
      </c>
      <c r="E389" t="s">
        <v>1</v>
      </c>
      <c r="F389" t="s">
        <v>47</v>
      </c>
      <c r="G389" t="s">
        <v>64</v>
      </c>
      <c r="H389" t="s">
        <v>3026</v>
      </c>
      <c r="I389" t="s">
        <v>8</v>
      </c>
      <c r="J389" t="s">
        <v>4</v>
      </c>
      <c r="K389" t="s">
        <v>2969</v>
      </c>
      <c r="L389" t="s">
        <v>10</v>
      </c>
    </row>
    <row r="390" spans="1:12">
      <c r="A390" t="s">
        <v>3413</v>
      </c>
      <c r="B390" s="2">
        <v>45678</v>
      </c>
      <c r="C390">
        <v>2025</v>
      </c>
      <c r="D390">
        <v>1</v>
      </c>
      <c r="E390" t="s">
        <v>1</v>
      </c>
      <c r="F390" t="s">
        <v>38</v>
      </c>
      <c r="G390" t="s">
        <v>38</v>
      </c>
      <c r="H390" t="s">
        <v>3032</v>
      </c>
      <c r="I390" t="s">
        <v>42</v>
      </c>
      <c r="J390" t="s">
        <v>33</v>
      </c>
      <c r="K390" t="s">
        <v>2969</v>
      </c>
      <c r="L390" t="s">
        <v>10</v>
      </c>
    </row>
    <row r="391" spans="1:12">
      <c r="A391" t="s">
        <v>3414</v>
      </c>
      <c r="B391" s="2">
        <v>45678</v>
      </c>
      <c r="C391">
        <v>2025</v>
      </c>
      <c r="D391">
        <v>1</v>
      </c>
      <c r="E391" t="s">
        <v>1</v>
      </c>
      <c r="F391" t="s">
        <v>19</v>
      </c>
      <c r="G391" t="s">
        <v>94</v>
      </c>
      <c r="H391" t="s">
        <v>3026</v>
      </c>
      <c r="I391" t="s">
        <v>8</v>
      </c>
      <c r="J391" t="s">
        <v>33</v>
      </c>
      <c r="K391" t="s">
        <v>2969</v>
      </c>
      <c r="L391" t="s">
        <v>10</v>
      </c>
    </row>
    <row r="392" spans="1:12">
      <c r="A392" t="s">
        <v>3415</v>
      </c>
      <c r="B392" s="2">
        <v>45660</v>
      </c>
      <c r="C392">
        <v>2025</v>
      </c>
      <c r="D392">
        <v>1</v>
      </c>
      <c r="E392" t="s">
        <v>1</v>
      </c>
      <c r="F392" t="s">
        <v>19</v>
      </c>
      <c r="G392" t="s">
        <v>3</v>
      </c>
      <c r="H392" t="s">
        <v>3019</v>
      </c>
      <c r="I392" t="s">
        <v>8</v>
      </c>
      <c r="J392" t="s">
        <v>33</v>
      </c>
      <c r="K392" t="s">
        <v>2969</v>
      </c>
      <c r="L392" t="s">
        <v>10</v>
      </c>
    </row>
    <row r="393" spans="1:12">
      <c r="A393" t="s">
        <v>3416</v>
      </c>
      <c r="B393" s="2">
        <v>45669</v>
      </c>
      <c r="C393">
        <v>2025</v>
      </c>
      <c r="D393">
        <v>1</v>
      </c>
      <c r="E393" t="s">
        <v>1</v>
      </c>
      <c r="F393" t="s">
        <v>47</v>
      </c>
      <c r="G393" t="s">
        <v>55</v>
      </c>
      <c r="H393" t="s">
        <v>3045</v>
      </c>
      <c r="I393" t="s">
        <v>35</v>
      </c>
      <c r="J393" t="s">
        <v>12</v>
      </c>
      <c r="K393" t="s">
        <v>2969</v>
      </c>
      <c r="L393" t="s">
        <v>10</v>
      </c>
    </row>
    <row r="394" spans="1:12">
      <c r="A394" t="s">
        <v>3417</v>
      </c>
      <c r="B394" s="2">
        <v>45668</v>
      </c>
      <c r="C394">
        <v>2025</v>
      </c>
      <c r="D394">
        <v>1</v>
      </c>
      <c r="E394" t="s">
        <v>1</v>
      </c>
      <c r="F394" t="s">
        <v>31</v>
      </c>
      <c r="G394" t="s">
        <v>55</v>
      </c>
      <c r="H394" t="s">
        <v>3026</v>
      </c>
      <c r="I394" t="s">
        <v>8</v>
      </c>
      <c r="J394" t="s">
        <v>4</v>
      </c>
      <c r="K394" t="s">
        <v>2969</v>
      </c>
      <c r="L394" t="s">
        <v>10</v>
      </c>
    </row>
    <row r="395" spans="1:12">
      <c r="A395" t="s">
        <v>3418</v>
      </c>
      <c r="B395" s="2">
        <v>45671</v>
      </c>
      <c r="C395">
        <v>2025</v>
      </c>
      <c r="D395">
        <v>1</v>
      </c>
      <c r="E395" t="s">
        <v>1</v>
      </c>
      <c r="F395" t="s">
        <v>2</v>
      </c>
      <c r="G395" t="s">
        <v>32</v>
      </c>
      <c r="H395" t="s">
        <v>3045</v>
      </c>
      <c r="I395" t="s">
        <v>15</v>
      </c>
      <c r="J395" t="s">
        <v>12</v>
      </c>
      <c r="K395" t="s">
        <v>2969</v>
      </c>
      <c r="L395" t="s">
        <v>10</v>
      </c>
    </row>
    <row r="396" spans="1:12">
      <c r="A396" t="s">
        <v>3419</v>
      </c>
      <c r="B396" s="2">
        <v>45678</v>
      </c>
      <c r="C396">
        <v>2025</v>
      </c>
      <c r="D396">
        <v>1</v>
      </c>
      <c r="E396" t="s">
        <v>1</v>
      </c>
      <c r="F396" t="s">
        <v>26</v>
      </c>
      <c r="G396" t="s">
        <v>69</v>
      </c>
      <c r="H396" t="s">
        <v>3019</v>
      </c>
      <c r="I396" t="s">
        <v>15</v>
      </c>
      <c r="J396" t="s">
        <v>44</v>
      </c>
      <c r="K396" t="s">
        <v>2969</v>
      </c>
      <c r="L396" t="s">
        <v>10</v>
      </c>
    </row>
    <row r="397" spans="1:12">
      <c r="A397" t="s">
        <v>3420</v>
      </c>
      <c r="B397" s="2">
        <v>45676</v>
      </c>
      <c r="C397">
        <v>2025</v>
      </c>
      <c r="D397">
        <v>1</v>
      </c>
      <c r="E397" t="s">
        <v>1</v>
      </c>
      <c r="F397" t="s">
        <v>2</v>
      </c>
      <c r="G397" t="s">
        <v>55</v>
      </c>
      <c r="H397" t="s">
        <v>3045</v>
      </c>
      <c r="I397" t="s">
        <v>42</v>
      </c>
      <c r="J397" t="s">
        <v>4</v>
      </c>
      <c r="K397" t="s">
        <v>2969</v>
      </c>
      <c r="L397" t="s">
        <v>10</v>
      </c>
    </row>
    <row r="398" spans="1:12">
      <c r="A398" t="s">
        <v>3421</v>
      </c>
      <c r="B398" s="2">
        <v>45692</v>
      </c>
      <c r="C398">
        <v>2025</v>
      </c>
      <c r="D398">
        <v>2</v>
      </c>
      <c r="E398" t="s">
        <v>25</v>
      </c>
      <c r="F398" t="s">
        <v>31</v>
      </c>
      <c r="G398" t="s">
        <v>61</v>
      </c>
      <c r="H398" t="s">
        <v>51</v>
      </c>
      <c r="I398" t="s">
        <v>15</v>
      </c>
      <c r="J398" t="s">
        <v>12</v>
      </c>
      <c r="K398" t="s">
        <v>2969</v>
      </c>
      <c r="L398" t="s">
        <v>10</v>
      </c>
    </row>
    <row r="399" spans="1:12">
      <c r="A399" t="s">
        <v>3422</v>
      </c>
      <c r="B399" s="2">
        <v>45699</v>
      </c>
      <c r="C399">
        <v>2025</v>
      </c>
      <c r="D399">
        <v>2</v>
      </c>
      <c r="E399" t="s">
        <v>25</v>
      </c>
      <c r="F399" t="s">
        <v>40</v>
      </c>
      <c r="G399" t="s">
        <v>64</v>
      </c>
      <c r="H399" t="s">
        <v>51</v>
      </c>
      <c r="I399" t="s">
        <v>42</v>
      </c>
      <c r="J399" t="s">
        <v>33</v>
      </c>
      <c r="K399" t="s">
        <v>2969</v>
      </c>
      <c r="L399" t="s">
        <v>10</v>
      </c>
    </row>
    <row r="400" spans="1:12">
      <c r="A400" t="s">
        <v>3423</v>
      </c>
      <c r="B400" s="2">
        <v>45713</v>
      </c>
      <c r="C400">
        <v>2025</v>
      </c>
      <c r="D400">
        <v>2</v>
      </c>
      <c r="E400" t="s">
        <v>25</v>
      </c>
      <c r="F400" t="s">
        <v>31</v>
      </c>
      <c r="G400" t="s">
        <v>3</v>
      </c>
      <c r="H400" t="s">
        <v>3019</v>
      </c>
      <c r="I400" t="s">
        <v>42</v>
      </c>
      <c r="J400" t="s">
        <v>33</v>
      </c>
      <c r="K400" t="s">
        <v>2969</v>
      </c>
      <c r="L400" t="s">
        <v>17</v>
      </c>
    </row>
    <row r="401" spans="1:12">
      <c r="A401" t="s">
        <v>3424</v>
      </c>
      <c r="B401" s="2">
        <v>45707</v>
      </c>
      <c r="C401">
        <v>2025</v>
      </c>
      <c r="D401">
        <v>2</v>
      </c>
      <c r="E401" t="s">
        <v>25</v>
      </c>
      <c r="F401" t="s">
        <v>31</v>
      </c>
      <c r="G401" t="s">
        <v>48</v>
      </c>
      <c r="H401" t="s">
        <v>3034</v>
      </c>
      <c r="I401" t="s">
        <v>8</v>
      </c>
      <c r="J401" t="s">
        <v>33</v>
      </c>
      <c r="K401" t="s">
        <v>2977</v>
      </c>
      <c r="L401" t="s">
        <v>10</v>
      </c>
    </row>
    <row r="402" spans="1:12">
      <c r="A402" t="s">
        <v>3425</v>
      </c>
      <c r="B402" s="2">
        <v>45698</v>
      </c>
      <c r="C402">
        <v>2025</v>
      </c>
      <c r="D402">
        <v>2</v>
      </c>
      <c r="E402" t="s">
        <v>25</v>
      </c>
      <c r="F402" t="s">
        <v>38</v>
      </c>
      <c r="G402" t="s">
        <v>69</v>
      </c>
      <c r="H402" t="s">
        <v>3026</v>
      </c>
      <c r="I402" t="s">
        <v>35</v>
      </c>
      <c r="J402" t="s">
        <v>12</v>
      </c>
      <c r="K402" t="s">
        <v>2969</v>
      </c>
      <c r="L402" t="s">
        <v>10</v>
      </c>
    </row>
    <row r="403" spans="1:12">
      <c r="A403" t="s">
        <v>3426</v>
      </c>
      <c r="B403" s="2">
        <v>45691</v>
      </c>
      <c r="C403">
        <v>2025</v>
      </c>
      <c r="D403">
        <v>2</v>
      </c>
      <c r="E403" t="s">
        <v>25</v>
      </c>
      <c r="F403" t="s">
        <v>47</v>
      </c>
      <c r="G403" t="s">
        <v>32</v>
      </c>
      <c r="H403" t="s">
        <v>3019</v>
      </c>
      <c r="I403" t="s">
        <v>22</v>
      </c>
      <c r="J403" t="s">
        <v>33</v>
      </c>
      <c r="K403" t="s">
        <v>2969</v>
      </c>
      <c r="L403" t="s">
        <v>10</v>
      </c>
    </row>
    <row r="404" spans="1:12">
      <c r="A404" t="s">
        <v>3427</v>
      </c>
      <c r="B404" s="2">
        <v>45714</v>
      </c>
      <c r="C404">
        <v>2025</v>
      </c>
      <c r="D404">
        <v>2</v>
      </c>
      <c r="E404" t="s">
        <v>25</v>
      </c>
      <c r="F404" t="s">
        <v>26</v>
      </c>
      <c r="G404" t="s">
        <v>61</v>
      </c>
      <c r="H404" t="s">
        <v>3045</v>
      </c>
      <c r="I404" t="s">
        <v>15</v>
      </c>
      <c r="J404" t="s">
        <v>12</v>
      </c>
      <c r="K404" t="s">
        <v>2969</v>
      </c>
      <c r="L404" t="s">
        <v>10</v>
      </c>
    </row>
    <row r="405" spans="1:12">
      <c r="A405" t="s">
        <v>3428</v>
      </c>
      <c r="B405" s="2">
        <v>45712</v>
      </c>
      <c r="C405">
        <v>2025</v>
      </c>
      <c r="D405">
        <v>2</v>
      </c>
      <c r="E405" t="s">
        <v>25</v>
      </c>
      <c r="F405" t="s">
        <v>67</v>
      </c>
      <c r="G405" t="s">
        <v>64</v>
      </c>
      <c r="H405" t="s">
        <v>3026</v>
      </c>
      <c r="I405" t="s">
        <v>15</v>
      </c>
      <c r="J405" t="s">
        <v>44</v>
      </c>
      <c r="K405" t="s">
        <v>2969</v>
      </c>
      <c r="L405" t="s">
        <v>10</v>
      </c>
    </row>
    <row r="406" spans="1:12">
      <c r="A406" t="s">
        <v>3429</v>
      </c>
      <c r="B406" s="2">
        <v>45712</v>
      </c>
      <c r="C406">
        <v>2025</v>
      </c>
      <c r="D406">
        <v>2</v>
      </c>
      <c r="E406" t="s">
        <v>25</v>
      </c>
      <c r="F406" t="s">
        <v>67</v>
      </c>
      <c r="G406" t="s">
        <v>3</v>
      </c>
      <c r="H406" t="s">
        <v>51</v>
      </c>
      <c r="I406" t="s">
        <v>8</v>
      </c>
      <c r="J406" t="s">
        <v>4</v>
      </c>
      <c r="K406" t="s">
        <v>2969</v>
      </c>
      <c r="L406" t="s">
        <v>10</v>
      </c>
    </row>
    <row r="407" spans="1:12">
      <c r="A407" t="s">
        <v>3430</v>
      </c>
      <c r="B407" s="2">
        <v>45706</v>
      </c>
      <c r="C407">
        <v>2025</v>
      </c>
      <c r="D407">
        <v>2</v>
      </c>
      <c r="E407" t="s">
        <v>25</v>
      </c>
      <c r="F407" t="s">
        <v>38</v>
      </c>
      <c r="G407" t="s">
        <v>61</v>
      </c>
      <c r="H407" t="s">
        <v>51</v>
      </c>
      <c r="I407" t="s">
        <v>15</v>
      </c>
      <c r="J407" t="s">
        <v>12</v>
      </c>
      <c r="K407" t="s">
        <v>2977</v>
      </c>
      <c r="L407" t="s">
        <v>10</v>
      </c>
    </row>
    <row r="408" spans="1:12">
      <c r="A408" t="s">
        <v>3431</v>
      </c>
      <c r="B408" s="2">
        <v>45704</v>
      </c>
      <c r="C408">
        <v>2025</v>
      </c>
      <c r="D408">
        <v>2</v>
      </c>
      <c r="E408" t="s">
        <v>25</v>
      </c>
      <c r="F408" t="s">
        <v>54</v>
      </c>
      <c r="G408" t="s">
        <v>3</v>
      </c>
      <c r="H408" t="s">
        <v>51</v>
      </c>
      <c r="I408" t="s">
        <v>42</v>
      </c>
      <c r="J408" t="s">
        <v>44</v>
      </c>
      <c r="K408" t="s">
        <v>2969</v>
      </c>
      <c r="L408" t="s">
        <v>10</v>
      </c>
    </row>
    <row r="409" spans="1:12">
      <c r="A409" t="s">
        <v>3432</v>
      </c>
      <c r="B409" s="2">
        <v>45713</v>
      </c>
      <c r="C409">
        <v>2025</v>
      </c>
      <c r="D409">
        <v>2</v>
      </c>
      <c r="E409" t="s">
        <v>25</v>
      </c>
      <c r="F409" t="s">
        <v>2</v>
      </c>
      <c r="G409" t="s">
        <v>3</v>
      </c>
      <c r="H409" t="s">
        <v>3019</v>
      </c>
      <c r="I409" t="s">
        <v>35</v>
      </c>
      <c r="J409" t="s">
        <v>12</v>
      </c>
      <c r="K409" t="s">
        <v>2969</v>
      </c>
      <c r="L409" t="s">
        <v>10</v>
      </c>
    </row>
    <row r="410" spans="1:12">
      <c r="A410" t="s">
        <v>3433</v>
      </c>
      <c r="B410" s="2">
        <v>45704</v>
      </c>
      <c r="C410">
        <v>2025</v>
      </c>
      <c r="D410">
        <v>2</v>
      </c>
      <c r="E410" t="s">
        <v>25</v>
      </c>
      <c r="F410" t="s">
        <v>54</v>
      </c>
      <c r="G410" t="s">
        <v>27</v>
      </c>
      <c r="H410" t="s">
        <v>3034</v>
      </c>
      <c r="I410" t="s">
        <v>52</v>
      </c>
      <c r="J410" t="s">
        <v>4</v>
      </c>
      <c r="K410" t="s">
        <v>2969</v>
      </c>
      <c r="L410" t="s">
        <v>17</v>
      </c>
    </row>
    <row r="411" spans="1:12">
      <c r="A411" t="s">
        <v>3434</v>
      </c>
      <c r="B411" s="2">
        <v>45692</v>
      </c>
      <c r="C411">
        <v>2025</v>
      </c>
      <c r="D411">
        <v>2</v>
      </c>
      <c r="E411" t="s">
        <v>25</v>
      </c>
      <c r="F411" t="s">
        <v>78</v>
      </c>
      <c r="G411" t="s">
        <v>55</v>
      </c>
      <c r="H411" t="s">
        <v>3019</v>
      </c>
      <c r="I411" t="s">
        <v>22</v>
      </c>
      <c r="J411" t="s">
        <v>44</v>
      </c>
      <c r="K411" t="s">
        <v>2969</v>
      </c>
      <c r="L411" t="s">
        <v>10</v>
      </c>
    </row>
    <row r="412" spans="1:12">
      <c r="A412" t="s">
        <v>3435</v>
      </c>
      <c r="B412" s="2">
        <v>45708</v>
      </c>
      <c r="C412">
        <v>2025</v>
      </c>
      <c r="D412">
        <v>2</v>
      </c>
      <c r="E412" t="s">
        <v>25</v>
      </c>
      <c r="F412" t="s">
        <v>67</v>
      </c>
      <c r="G412" t="s">
        <v>74</v>
      </c>
      <c r="H412" t="s">
        <v>3022</v>
      </c>
      <c r="I412" t="s">
        <v>42</v>
      </c>
      <c r="J412" t="s">
        <v>4</v>
      </c>
      <c r="K412" t="s">
        <v>2969</v>
      </c>
      <c r="L412" t="s">
        <v>10</v>
      </c>
    </row>
    <row r="413" spans="1:12">
      <c r="A413" t="s">
        <v>3436</v>
      </c>
      <c r="B413" s="2">
        <v>45708</v>
      </c>
      <c r="C413">
        <v>2025</v>
      </c>
      <c r="D413">
        <v>2</v>
      </c>
      <c r="E413" t="s">
        <v>25</v>
      </c>
      <c r="F413" t="s">
        <v>38</v>
      </c>
      <c r="G413" t="s">
        <v>38</v>
      </c>
      <c r="H413" t="s">
        <v>3032</v>
      </c>
      <c r="I413" t="s">
        <v>42</v>
      </c>
      <c r="J413" t="s">
        <v>44</v>
      </c>
      <c r="K413" t="s">
        <v>2969</v>
      </c>
      <c r="L413" t="s">
        <v>10</v>
      </c>
    </row>
    <row r="414" spans="1:12">
      <c r="A414" t="s">
        <v>3437</v>
      </c>
      <c r="B414" s="2">
        <v>45698</v>
      </c>
      <c r="C414">
        <v>2025</v>
      </c>
      <c r="D414">
        <v>2</v>
      </c>
      <c r="E414" t="s">
        <v>25</v>
      </c>
      <c r="F414" t="s">
        <v>78</v>
      </c>
      <c r="G414" t="s">
        <v>74</v>
      </c>
      <c r="H414" t="s">
        <v>3022</v>
      </c>
      <c r="I414" t="s">
        <v>8</v>
      </c>
      <c r="J414" t="s">
        <v>33</v>
      </c>
      <c r="K414" t="s">
        <v>2969</v>
      </c>
      <c r="L414" t="s">
        <v>10</v>
      </c>
    </row>
    <row r="415" spans="1:12">
      <c r="A415" t="s">
        <v>3438</v>
      </c>
      <c r="B415" s="2">
        <v>45707</v>
      </c>
      <c r="C415">
        <v>2025</v>
      </c>
      <c r="D415">
        <v>2</v>
      </c>
      <c r="E415" t="s">
        <v>25</v>
      </c>
      <c r="F415" t="s">
        <v>78</v>
      </c>
      <c r="G415" t="s">
        <v>94</v>
      </c>
      <c r="H415" t="s">
        <v>3019</v>
      </c>
      <c r="I415" t="s">
        <v>52</v>
      </c>
      <c r="J415" t="s">
        <v>12</v>
      </c>
      <c r="K415" t="s">
        <v>2969</v>
      </c>
      <c r="L415" t="s">
        <v>10</v>
      </c>
    </row>
    <row r="416" spans="1:12">
      <c r="A416" t="s">
        <v>3439</v>
      </c>
      <c r="B416" s="2">
        <v>45707</v>
      </c>
      <c r="C416">
        <v>2025</v>
      </c>
      <c r="D416">
        <v>2</v>
      </c>
      <c r="E416" t="s">
        <v>25</v>
      </c>
      <c r="F416" t="s">
        <v>67</v>
      </c>
      <c r="G416" t="s">
        <v>69</v>
      </c>
      <c r="H416" t="s">
        <v>3026</v>
      </c>
      <c r="I416" t="s">
        <v>8</v>
      </c>
      <c r="J416" t="s">
        <v>33</v>
      </c>
      <c r="K416" t="s">
        <v>2969</v>
      </c>
      <c r="L416" t="s">
        <v>10</v>
      </c>
    </row>
    <row r="417" spans="1:12">
      <c r="A417" t="s">
        <v>3440</v>
      </c>
      <c r="B417" s="2">
        <v>45698</v>
      </c>
      <c r="C417">
        <v>2025</v>
      </c>
      <c r="D417">
        <v>2</v>
      </c>
      <c r="E417" t="s">
        <v>25</v>
      </c>
      <c r="F417" t="s">
        <v>2</v>
      </c>
      <c r="G417" t="s">
        <v>27</v>
      </c>
      <c r="H417" t="s">
        <v>3045</v>
      </c>
      <c r="I417" t="s">
        <v>8</v>
      </c>
      <c r="J417" t="s">
        <v>44</v>
      </c>
      <c r="K417" t="s">
        <v>2969</v>
      </c>
      <c r="L417" t="s">
        <v>10</v>
      </c>
    </row>
    <row r="418" spans="1:12">
      <c r="A418" t="s">
        <v>3441</v>
      </c>
      <c r="B418" s="2">
        <v>45700</v>
      </c>
      <c r="C418">
        <v>2025</v>
      </c>
      <c r="D418">
        <v>2</v>
      </c>
      <c r="E418" t="s">
        <v>25</v>
      </c>
      <c r="F418" t="s">
        <v>78</v>
      </c>
      <c r="G418" t="s">
        <v>20</v>
      </c>
      <c r="H418" t="s">
        <v>3026</v>
      </c>
      <c r="I418" t="s">
        <v>52</v>
      </c>
      <c r="J418" t="s">
        <v>33</v>
      </c>
      <c r="K418" t="s">
        <v>2969</v>
      </c>
      <c r="L418" t="s">
        <v>10</v>
      </c>
    </row>
    <row r="419" spans="1:12">
      <c r="A419" t="s">
        <v>3442</v>
      </c>
      <c r="B419" s="2">
        <v>45697</v>
      </c>
      <c r="C419">
        <v>2025</v>
      </c>
      <c r="D419">
        <v>2</v>
      </c>
      <c r="E419" t="s">
        <v>25</v>
      </c>
      <c r="F419" t="s">
        <v>78</v>
      </c>
      <c r="G419" t="s">
        <v>48</v>
      </c>
      <c r="H419" t="s">
        <v>3022</v>
      </c>
      <c r="I419" t="s">
        <v>22</v>
      </c>
      <c r="J419" t="s">
        <v>12</v>
      </c>
      <c r="K419" t="s">
        <v>2969</v>
      </c>
      <c r="L419" t="s">
        <v>10</v>
      </c>
    </row>
    <row r="420" spans="1:12">
      <c r="A420" t="s">
        <v>3443</v>
      </c>
      <c r="B420" s="2">
        <v>45701</v>
      </c>
      <c r="C420">
        <v>2025</v>
      </c>
      <c r="D420">
        <v>2</v>
      </c>
      <c r="E420" t="s">
        <v>25</v>
      </c>
      <c r="F420" t="s">
        <v>19</v>
      </c>
      <c r="G420" t="s">
        <v>32</v>
      </c>
      <c r="H420" t="s">
        <v>3039</v>
      </c>
      <c r="I420" t="s">
        <v>22</v>
      </c>
      <c r="J420" t="s">
        <v>44</v>
      </c>
      <c r="K420" t="s">
        <v>2969</v>
      </c>
      <c r="L420" t="s">
        <v>10</v>
      </c>
    </row>
    <row r="421" spans="1:12">
      <c r="A421" t="s">
        <v>3444</v>
      </c>
      <c r="B421" s="2">
        <v>45716</v>
      </c>
      <c r="C421">
        <v>2025</v>
      </c>
      <c r="D421">
        <v>2</v>
      </c>
      <c r="E421" t="s">
        <v>25</v>
      </c>
      <c r="F421" t="s">
        <v>31</v>
      </c>
      <c r="G421" t="s">
        <v>3</v>
      </c>
      <c r="H421" t="s">
        <v>3022</v>
      </c>
      <c r="I421" t="s">
        <v>8</v>
      </c>
      <c r="J421" t="s">
        <v>4</v>
      </c>
      <c r="K421" t="s">
        <v>2969</v>
      </c>
      <c r="L421" t="s">
        <v>17</v>
      </c>
    </row>
    <row r="422" spans="1:12">
      <c r="A422" t="s">
        <v>3445</v>
      </c>
      <c r="B422" s="2">
        <v>45699</v>
      </c>
      <c r="C422">
        <v>2025</v>
      </c>
      <c r="D422">
        <v>2</v>
      </c>
      <c r="E422" t="s">
        <v>25</v>
      </c>
      <c r="F422" t="s">
        <v>19</v>
      </c>
      <c r="G422" t="s">
        <v>48</v>
      </c>
      <c r="H422" t="s">
        <v>3034</v>
      </c>
      <c r="I422" t="s">
        <v>15</v>
      </c>
      <c r="J422" t="s">
        <v>33</v>
      </c>
      <c r="K422" t="s">
        <v>2969</v>
      </c>
      <c r="L422" t="s">
        <v>10</v>
      </c>
    </row>
    <row r="423" spans="1:12">
      <c r="A423" t="s">
        <v>3446</v>
      </c>
      <c r="B423" s="2">
        <v>45695</v>
      </c>
      <c r="C423">
        <v>2025</v>
      </c>
      <c r="D423">
        <v>2</v>
      </c>
      <c r="E423" t="s">
        <v>25</v>
      </c>
      <c r="F423" t="s">
        <v>26</v>
      </c>
      <c r="G423" t="s">
        <v>61</v>
      </c>
      <c r="H423" t="s">
        <v>3039</v>
      </c>
      <c r="I423" t="s">
        <v>52</v>
      </c>
      <c r="J423" t="s">
        <v>4</v>
      </c>
      <c r="K423" t="s">
        <v>2969</v>
      </c>
      <c r="L423" t="s">
        <v>10</v>
      </c>
    </row>
    <row r="424" spans="1:12">
      <c r="A424" t="s">
        <v>3447</v>
      </c>
      <c r="B424" s="2">
        <v>45715</v>
      </c>
      <c r="C424">
        <v>2025</v>
      </c>
      <c r="D424">
        <v>2</v>
      </c>
      <c r="E424" t="s">
        <v>25</v>
      </c>
      <c r="F424" t="s">
        <v>2</v>
      </c>
      <c r="G424" t="s">
        <v>69</v>
      </c>
      <c r="H424" t="s">
        <v>3034</v>
      </c>
      <c r="I424" t="s">
        <v>42</v>
      </c>
      <c r="J424" t="s">
        <v>44</v>
      </c>
      <c r="K424" t="s">
        <v>2969</v>
      </c>
      <c r="L424" t="s">
        <v>10</v>
      </c>
    </row>
    <row r="425" spans="1:12">
      <c r="A425" t="s">
        <v>3448</v>
      </c>
      <c r="B425" s="2">
        <v>45709</v>
      </c>
      <c r="C425">
        <v>2025</v>
      </c>
      <c r="D425">
        <v>2</v>
      </c>
      <c r="E425" t="s">
        <v>25</v>
      </c>
      <c r="F425" t="s">
        <v>40</v>
      </c>
      <c r="G425" t="s">
        <v>69</v>
      </c>
      <c r="H425" t="s">
        <v>3039</v>
      </c>
      <c r="I425" t="s">
        <v>42</v>
      </c>
      <c r="J425" t="s">
        <v>44</v>
      </c>
      <c r="K425" t="s">
        <v>2969</v>
      </c>
      <c r="L425" t="s">
        <v>10</v>
      </c>
    </row>
    <row r="426" spans="1:12">
      <c r="A426" t="s">
        <v>3449</v>
      </c>
      <c r="B426" s="2">
        <v>45691</v>
      </c>
      <c r="C426">
        <v>2025</v>
      </c>
      <c r="D426">
        <v>2</v>
      </c>
      <c r="E426" t="s">
        <v>25</v>
      </c>
      <c r="F426" t="s">
        <v>31</v>
      </c>
      <c r="G426" t="s">
        <v>48</v>
      </c>
      <c r="H426" t="s">
        <v>3034</v>
      </c>
      <c r="I426" t="s">
        <v>42</v>
      </c>
      <c r="J426" t="s">
        <v>33</v>
      </c>
      <c r="K426" t="s">
        <v>2969</v>
      </c>
      <c r="L426" t="s">
        <v>10</v>
      </c>
    </row>
    <row r="427" spans="1:12">
      <c r="A427" t="s">
        <v>3450</v>
      </c>
      <c r="B427" s="2">
        <v>45701</v>
      </c>
      <c r="C427">
        <v>2025</v>
      </c>
      <c r="D427">
        <v>2</v>
      </c>
      <c r="E427" t="s">
        <v>25</v>
      </c>
      <c r="F427" t="s">
        <v>31</v>
      </c>
      <c r="G427" t="s">
        <v>32</v>
      </c>
      <c r="H427" t="s">
        <v>3019</v>
      </c>
      <c r="I427" t="s">
        <v>42</v>
      </c>
      <c r="J427" t="s">
        <v>12</v>
      </c>
      <c r="K427" t="s">
        <v>2969</v>
      </c>
      <c r="L427" t="s">
        <v>10</v>
      </c>
    </row>
    <row r="428" spans="1:12">
      <c r="A428" t="s">
        <v>3451</v>
      </c>
      <c r="B428" s="2">
        <v>45709</v>
      </c>
      <c r="C428">
        <v>2025</v>
      </c>
      <c r="D428">
        <v>2</v>
      </c>
      <c r="E428" t="s">
        <v>25</v>
      </c>
      <c r="F428" t="s">
        <v>40</v>
      </c>
      <c r="G428" t="s">
        <v>94</v>
      </c>
      <c r="H428" t="s">
        <v>3026</v>
      </c>
      <c r="I428" t="s">
        <v>22</v>
      </c>
      <c r="J428" t="s">
        <v>33</v>
      </c>
      <c r="K428" t="s">
        <v>2969</v>
      </c>
      <c r="L428" t="s">
        <v>10</v>
      </c>
    </row>
    <row r="429" spans="1:12">
      <c r="A429" t="s">
        <v>3452</v>
      </c>
      <c r="B429" s="2">
        <v>45698</v>
      </c>
      <c r="C429">
        <v>2025</v>
      </c>
      <c r="D429">
        <v>2</v>
      </c>
      <c r="E429" t="s">
        <v>25</v>
      </c>
      <c r="F429" t="s">
        <v>38</v>
      </c>
      <c r="G429" t="s">
        <v>32</v>
      </c>
      <c r="H429" t="s">
        <v>3026</v>
      </c>
      <c r="I429" t="s">
        <v>8</v>
      </c>
      <c r="J429" t="s">
        <v>33</v>
      </c>
      <c r="K429" t="s">
        <v>2969</v>
      </c>
      <c r="L429" t="s">
        <v>10</v>
      </c>
    </row>
    <row r="430" spans="1:12">
      <c r="A430" t="s">
        <v>3453</v>
      </c>
      <c r="B430" s="2">
        <v>45690</v>
      </c>
      <c r="C430">
        <v>2025</v>
      </c>
      <c r="D430">
        <v>2</v>
      </c>
      <c r="E430" t="s">
        <v>25</v>
      </c>
      <c r="F430" t="s">
        <v>19</v>
      </c>
      <c r="G430" t="s">
        <v>64</v>
      </c>
      <c r="H430" t="s">
        <v>3022</v>
      </c>
      <c r="I430" t="s">
        <v>15</v>
      </c>
      <c r="J430" t="s">
        <v>4</v>
      </c>
      <c r="K430" t="s">
        <v>2969</v>
      </c>
      <c r="L430" t="s">
        <v>10</v>
      </c>
    </row>
    <row r="431" spans="1:12">
      <c r="A431" t="s">
        <v>3454</v>
      </c>
      <c r="B431" s="2">
        <v>45696</v>
      </c>
      <c r="C431">
        <v>2025</v>
      </c>
      <c r="D431">
        <v>2</v>
      </c>
      <c r="E431" t="s">
        <v>25</v>
      </c>
      <c r="F431" t="s">
        <v>19</v>
      </c>
      <c r="G431" t="s">
        <v>69</v>
      </c>
      <c r="H431" t="s">
        <v>3022</v>
      </c>
      <c r="I431" t="s">
        <v>15</v>
      </c>
      <c r="J431" t="s">
        <v>4</v>
      </c>
      <c r="K431" t="s">
        <v>2969</v>
      </c>
      <c r="L431" t="s">
        <v>10</v>
      </c>
    </row>
    <row r="432" spans="1:12">
      <c r="A432" t="s">
        <v>3455</v>
      </c>
      <c r="B432" s="2">
        <v>45696</v>
      </c>
      <c r="C432">
        <v>2025</v>
      </c>
      <c r="D432">
        <v>2</v>
      </c>
      <c r="E432" t="s">
        <v>25</v>
      </c>
      <c r="F432" t="s">
        <v>47</v>
      </c>
      <c r="G432" t="s">
        <v>48</v>
      </c>
      <c r="H432" t="s">
        <v>3026</v>
      </c>
      <c r="I432" t="s">
        <v>52</v>
      </c>
      <c r="J432" t="s">
        <v>4</v>
      </c>
      <c r="K432" t="s">
        <v>2969</v>
      </c>
      <c r="L432" t="s">
        <v>10</v>
      </c>
    </row>
    <row r="433" spans="1:12">
      <c r="A433" t="s">
        <v>3456</v>
      </c>
      <c r="B433" s="2">
        <v>45697</v>
      </c>
      <c r="C433">
        <v>2025</v>
      </c>
      <c r="D433">
        <v>2</v>
      </c>
      <c r="E433" t="s">
        <v>25</v>
      </c>
      <c r="F433" t="s">
        <v>40</v>
      </c>
      <c r="G433" t="s">
        <v>94</v>
      </c>
      <c r="H433" t="s">
        <v>3034</v>
      </c>
      <c r="I433" t="s">
        <v>22</v>
      </c>
      <c r="J433" t="s">
        <v>4</v>
      </c>
      <c r="K433" t="s">
        <v>2969</v>
      </c>
      <c r="L433" t="s">
        <v>10</v>
      </c>
    </row>
    <row r="434" spans="1:12">
      <c r="A434" t="s">
        <v>3457</v>
      </c>
      <c r="B434" s="2">
        <v>45708</v>
      </c>
      <c r="C434">
        <v>2025</v>
      </c>
      <c r="D434">
        <v>2</v>
      </c>
      <c r="E434" t="s">
        <v>25</v>
      </c>
      <c r="F434" t="s">
        <v>78</v>
      </c>
      <c r="G434" t="s">
        <v>38</v>
      </c>
      <c r="H434" t="s">
        <v>3034</v>
      </c>
      <c r="I434" t="s">
        <v>22</v>
      </c>
      <c r="J434" t="s">
        <v>33</v>
      </c>
      <c r="K434" t="s">
        <v>2969</v>
      </c>
      <c r="L434" t="s">
        <v>17</v>
      </c>
    </row>
    <row r="435" spans="1:12">
      <c r="A435" t="s">
        <v>3458</v>
      </c>
      <c r="B435" s="2">
        <v>45707</v>
      </c>
      <c r="C435">
        <v>2025</v>
      </c>
      <c r="D435">
        <v>2</v>
      </c>
      <c r="E435" t="s">
        <v>25</v>
      </c>
      <c r="F435" t="s">
        <v>26</v>
      </c>
      <c r="G435" t="s">
        <v>74</v>
      </c>
      <c r="H435" t="s">
        <v>51</v>
      </c>
      <c r="I435" t="s">
        <v>15</v>
      </c>
      <c r="J435" t="s">
        <v>12</v>
      </c>
      <c r="K435" t="s">
        <v>2969</v>
      </c>
      <c r="L435" t="s">
        <v>17</v>
      </c>
    </row>
    <row r="436" spans="1:12">
      <c r="A436" t="s">
        <v>3459</v>
      </c>
      <c r="B436" s="2">
        <v>45692</v>
      </c>
      <c r="C436">
        <v>2025</v>
      </c>
      <c r="D436">
        <v>2</v>
      </c>
      <c r="E436" t="s">
        <v>25</v>
      </c>
      <c r="F436" t="s">
        <v>19</v>
      </c>
      <c r="G436" t="s">
        <v>48</v>
      </c>
      <c r="H436" t="s">
        <v>51</v>
      </c>
      <c r="I436" t="s">
        <v>8</v>
      </c>
      <c r="J436" t="s">
        <v>33</v>
      </c>
      <c r="K436" t="s">
        <v>2969</v>
      </c>
      <c r="L436" t="s">
        <v>10</v>
      </c>
    </row>
    <row r="437" spans="1:12">
      <c r="A437" t="s">
        <v>3460</v>
      </c>
      <c r="B437" s="2">
        <v>45703</v>
      </c>
      <c r="C437">
        <v>2025</v>
      </c>
      <c r="D437">
        <v>2</v>
      </c>
      <c r="E437" t="s">
        <v>25</v>
      </c>
      <c r="F437" t="s">
        <v>40</v>
      </c>
      <c r="G437" t="s">
        <v>27</v>
      </c>
      <c r="H437" t="s">
        <v>3022</v>
      </c>
      <c r="I437" t="s">
        <v>35</v>
      </c>
      <c r="J437" t="s">
        <v>12</v>
      </c>
      <c r="K437" t="s">
        <v>2977</v>
      </c>
      <c r="L437" t="s">
        <v>10</v>
      </c>
    </row>
    <row r="438" spans="1:12">
      <c r="A438" t="s">
        <v>3461</v>
      </c>
      <c r="B438" s="2">
        <v>45690</v>
      </c>
      <c r="C438">
        <v>2025</v>
      </c>
      <c r="D438">
        <v>2</v>
      </c>
      <c r="E438" t="s">
        <v>25</v>
      </c>
      <c r="F438" t="s">
        <v>31</v>
      </c>
      <c r="G438" t="s">
        <v>3</v>
      </c>
      <c r="H438" t="s">
        <v>3032</v>
      </c>
      <c r="I438" t="s">
        <v>52</v>
      </c>
      <c r="J438" t="s">
        <v>4</v>
      </c>
      <c r="K438" t="s">
        <v>2969</v>
      </c>
      <c r="L438" t="s">
        <v>10</v>
      </c>
    </row>
    <row r="439" spans="1:12">
      <c r="A439" t="s">
        <v>3462</v>
      </c>
      <c r="B439" s="2">
        <v>45699</v>
      </c>
      <c r="C439">
        <v>2025</v>
      </c>
      <c r="D439">
        <v>2</v>
      </c>
      <c r="E439" t="s">
        <v>25</v>
      </c>
      <c r="F439" t="s">
        <v>2</v>
      </c>
      <c r="G439" t="s">
        <v>64</v>
      </c>
      <c r="H439" t="s">
        <v>3039</v>
      </c>
      <c r="I439" t="s">
        <v>35</v>
      </c>
      <c r="J439" t="s">
        <v>33</v>
      </c>
      <c r="K439" t="s">
        <v>2969</v>
      </c>
      <c r="L439" t="s">
        <v>10</v>
      </c>
    </row>
    <row r="440" spans="1:12">
      <c r="A440" t="s">
        <v>3463</v>
      </c>
      <c r="B440" s="2">
        <v>45701</v>
      </c>
      <c r="C440">
        <v>2025</v>
      </c>
      <c r="D440">
        <v>2</v>
      </c>
      <c r="E440" t="s">
        <v>25</v>
      </c>
      <c r="F440" t="s">
        <v>26</v>
      </c>
      <c r="G440" t="s">
        <v>64</v>
      </c>
      <c r="H440" t="s">
        <v>3039</v>
      </c>
      <c r="I440" t="s">
        <v>35</v>
      </c>
      <c r="J440" t="s">
        <v>4</v>
      </c>
      <c r="K440" t="s">
        <v>2969</v>
      </c>
      <c r="L440" t="s">
        <v>10</v>
      </c>
    </row>
    <row r="441" spans="1:12">
      <c r="A441" t="s">
        <v>3464</v>
      </c>
      <c r="B441" s="2">
        <v>45700</v>
      </c>
      <c r="C441">
        <v>2025</v>
      </c>
      <c r="D441">
        <v>2</v>
      </c>
      <c r="E441" t="s">
        <v>25</v>
      </c>
      <c r="F441" t="s">
        <v>67</v>
      </c>
      <c r="G441" t="s">
        <v>3</v>
      </c>
      <c r="H441" t="s">
        <v>51</v>
      </c>
      <c r="I441" t="s">
        <v>22</v>
      </c>
      <c r="J441" t="s">
        <v>44</v>
      </c>
      <c r="K441" t="s">
        <v>2969</v>
      </c>
      <c r="L441" t="s">
        <v>10</v>
      </c>
    </row>
    <row r="442" spans="1:12">
      <c r="A442" t="s">
        <v>3465</v>
      </c>
      <c r="B442" s="2">
        <v>45696</v>
      </c>
      <c r="C442">
        <v>2025</v>
      </c>
      <c r="D442">
        <v>2</v>
      </c>
      <c r="E442" t="s">
        <v>25</v>
      </c>
      <c r="F442" t="s">
        <v>47</v>
      </c>
      <c r="G442" t="s">
        <v>20</v>
      </c>
      <c r="H442" t="s">
        <v>51</v>
      </c>
      <c r="I442" t="s">
        <v>52</v>
      </c>
      <c r="J442" t="s">
        <v>12</v>
      </c>
      <c r="K442" t="s">
        <v>2969</v>
      </c>
      <c r="L442" t="s">
        <v>10</v>
      </c>
    </row>
    <row r="443" spans="1:12">
      <c r="A443" t="s">
        <v>3466</v>
      </c>
      <c r="B443" s="2">
        <v>45739</v>
      </c>
      <c r="C443">
        <v>2025</v>
      </c>
      <c r="D443">
        <v>3</v>
      </c>
      <c r="E443" t="s">
        <v>60</v>
      </c>
      <c r="F443" t="s">
        <v>78</v>
      </c>
      <c r="G443" t="s">
        <v>74</v>
      </c>
      <c r="H443" t="s">
        <v>3032</v>
      </c>
      <c r="I443" t="s">
        <v>35</v>
      </c>
      <c r="J443" t="s">
        <v>33</v>
      </c>
      <c r="K443" t="s">
        <v>2969</v>
      </c>
      <c r="L443" t="s">
        <v>10</v>
      </c>
    </row>
    <row r="444" spans="1:12">
      <c r="A444" t="s">
        <v>3467</v>
      </c>
      <c r="B444" s="2">
        <v>45724</v>
      </c>
      <c r="C444">
        <v>2025</v>
      </c>
      <c r="D444">
        <v>3</v>
      </c>
      <c r="E444" t="s">
        <v>60</v>
      </c>
      <c r="F444" t="s">
        <v>54</v>
      </c>
      <c r="G444" t="s">
        <v>64</v>
      </c>
      <c r="H444" t="s">
        <v>3022</v>
      </c>
      <c r="I444" t="s">
        <v>8</v>
      </c>
      <c r="J444" t="s">
        <v>44</v>
      </c>
      <c r="K444" t="s">
        <v>2969</v>
      </c>
      <c r="L444" t="s">
        <v>10</v>
      </c>
    </row>
    <row r="445" spans="1:12">
      <c r="A445" t="s">
        <v>3468</v>
      </c>
      <c r="B445" s="2">
        <v>45734</v>
      </c>
      <c r="C445">
        <v>2025</v>
      </c>
      <c r="D445">
        <v>3</v>
      </c>
      <c r="E445" t="s">
        <v>60</v>
      </c>
      <c r="F445" t="s">
        <v>31</v>
      </c>
      <c r="G445" t="s">
        <v>3</v>
      </c>
      <c r="H445" t="s">
        <v>51</v>
      </c>
      <c r="I445" t="s">
        <v>15</v>
      </c>
      <c r="J445" t="s">
        <v>4</v>
      </c>
      <c r="K445" t="s">
        <v>2969</v>
      </c>
      <c r="L445" t="s">
        <v>10</v>
      </c>
    </row>
    <row r="446" spans="1:12">
      <c r="A446" t="s">
        <v>3469</v>
      </c>
      <c r="B446" s="2">
        <v>45741</v>
      </c>
      <c r="C446">
        <v>2025</v>
      </c>
      <c r="D446">
        <v>3</v>
      </c>
      <c r="E446" t="s">
        <v>60</v>
      </c>
      <c r="F446" t="s">
        <v>31</v>
      </c>
      <c r="G446" t="s">
        <v>74</v>
      </c>
      <c r="H446" t="s">
        <v>3034</v>
      </c>
      <c r="I446" t="s">
        <v>22</v>
      </c>
      <c r="J446" t="s">
        <v>4</v>
      </c>
      <c r="K446" t="s">
        <v>2969</v>
      </c>
      <c r="L446" t="s">
        <v>10</v>
      </c>
    </row>
    <row r="447" spans="1:12">
      <c r="A447" t="s">
        <v>3470</v>
      </c>
      <c r="B447" s="2">
        <v>45738</v>
      </c>
      <c r="C447">
        <v>2025</v>
      </c>
      <c r="D447">
        <v>3</v>
      </c>
      <c r="E447" t="s">
        <v>60</v>
      </c>
      <c r="F447" t="s">
        <v>40</v>
      </c>
      <c r="G447" t="s">
        <v>32</v>
      </c>
      <c r="H447" t="s">
        <v>3045</v>
      </c>
      <c r="I447" t="s">
        <v>52</v>
      </c>
      <c r="J447" t="s">
        <v>12</v>
      </c>
      <c r="K447" t="s">
        <v>2969</v>
      </c>
      <c r="L447" t="s">
        <v>17</v>
      </c>
    </row>
    <row r="448" spans="1:12">
      <c r="A448" t="s">
        <v>3471</v>
      </c>
      <c r="B448" s="2">
        <v>45717</v>
      </c>
      <c r="C448">
        <v>2025</v>
      </c>
      <c r="D448">
        <v>3</v>
      </c>
      <c r="E448" t="s">
        <v>60</v>
      </c>
      <c r="F448" t="s">
        <v>2</v>
      </c>
      <c r="G448" t="s">
        <v>61</v>
      </c>
      <c r="H448" t="s">
        <v>3022</v>
      </c>
      <c r="I448" t="s">
        <v>52</v>
      </c>
      <c r="J448" t="s">
        <v>44</v>
      </c>
      <c r="K448" t="s">
        <v>2969</v>
      </c>
      <c r="L448" t="s">
        <v>10</v>
      </c>
    </row>
    <row r="449" spans="1:12">
      <c r="A449" t="s">
        <v>3472</v>
      </c>
      <c r="B449" s="2">
        <v>45731</v>
      </c>
      <c r="C449">
        <v>2025</v>
      </c>
      <c r="D449">
        <v>3</v>
      </c>
      <c r="E449" t="s">
        <v>60</v>
      </c>
      <c r="F449" t="s">
        <v>40</v>
      </c>
      <c r="G449" t="s">
        <v>48</v>
      </c>
      <c r="H449" t="s">
        <v>51</v>
      </c>
      <c r="I449" t="s">
        <v>42</v>
      </c>
      <c r="J449" t="s">
        <v>12</v>
      </c>
      <c r="K449" t="s">
        <v>2969</v>
      </c>
      <c r="L449" t="s">
        <v>10</v>
      </c>
    </row>
    <row r="450" spans="1:12">
      <c r="A450" t="s">
        <v>3473</v>
      </c>
      <c r="B450" s="2">
        <v>45718</v>
      </c>
      <c r="C450">
        <v>2025</v>
      </c>
      <c r="D450">
        <v>3</v>
      </c>
      <c r="E450" t="s">
        <v>60</v>
      </c>
      <c r="F450" t="s">
        <v>47</v>
      </c>
      <c r="G450" t="s">
        <v>94</v>
      </c>
      <c r="H450" t="s">
        <v>3032</v>
      </c>
      <c r="I450" t="s">
        <v>22</v>
      </c>
      <c r="J450" t="s">
        <v>44</v>
      </c>
      <c r="K450" t="s">
        <v>2969</v>
      </c>
      <c r="L450" t="s">
        <v>10</v>
      </c>
    </row>
    <row r="451" spans="1:12">
      <c r="A451" t="s">
        <v>3474</v>
      </c>
      <c r="B451" s="2">
        <v>45736</v>
      </c>
      <c r="C451">
        <v>2025</v>
      </c>
      <c r="D451">
        <v>3</v>
      </c>
      <c r="E451" t="s">
        <v>60</v>
      </c>
      <c r="F451" t="s">
        <v>47</v>
      </c>
      <c r="G451" t="s">
        <v>74</v>
      </c>
      <c r="H451" t="s">
        <v>3045</v>
      </c>
      <c r="I451" t="s">
        <v>22</v>
      </c>
      <c r="J451" t="s">
        <v>44</v>
      </c>
      <c r="K451" t="s">
        <v>2969</v>
      </c>
      <c r="L451" t="s">
        <v>10</v>
      </c>
    </row>
    <row r="452" spans="1:12">
      <c r="A452" t="s">
        <v>3475</v>
      </c>
      <c r="B452" s="2">
        <v>45734</v>
      </c>
      <c r="C452">
        <v>2025</v>
      </c>
      <c r="D452">
        <v>3</v>
      </c>
      <c r="E452" t="s">
        <v>60</v>
      </c>
      <c r="F452" t="s">
        <v>19</v>
      </c>
      <c r="G452" t="s">
        <v>48</v>
      </c>
      <c r="H452" t="s">
        <v>3032</v>
      </c>
      <c r="I452" t="s">
        <v>35</v>
      </c>
      <c r="J452" t="s">
        <v>4</v>
      </c>
      <c r="K452" t="s">
        <v>2969</v>
      </c>
      <c r="L452" t="s">
        <v>10</v>
      </c>
    </row>
    <row r="453" spans="1:12">
      <c r="A453" t="s">
        <v>3476</v>
      </c>
      <c r="B453" s="2">
        <v>45744</v>
      </c>
      <c r="C453">
        <v>2025</v>
      </c>
      <c r="D453">
        <v>3</v>
      </c>
      <c r="E453" t="s">
        <v>60</v>
      </c>
      <c r="F453" t="s">
        <v>31</v>
      </c>
      <c r="G453" t="s">
        <v>61</v>
      </c>
      <c r="H453" t="s">
        <v>3045</v>
      </c>
      <c r="I453" t="s">
        <v>35</v>
      </c>
      <c r="J453" t="s">
        <v>33</v>
      </c>
      <c r="K453" t="s">
        <v>2969</v>
      </c>
      <c r="L453" t="s">
        <v>10</v>
      </c>
    </row>
    <row r="454" spans="1:12">
      <c r="A454" t="s">
        <v>3477</v>
      </c>
      <c r="B454" s="2">
        <v>45736</v>
      </c>
      <c r="C454">
        <v>2025</v>
      </c>
      <c r="D454">
        <v>3</v>
      </c>
      <c r="E454" t="s">
        <v>60</v>
      </c>
      <c r="F454" t="s">
        <v>38</v>
      </c>
      <c r="G454" t="s">
        <v>55</v>
      </c>
      <c r="H454" t="s">
        <v>3032</v>
      </c>
      <c r="I454" t="s">
        <v>52</v>
      </c>
      <c r="J454" t="s">
        <v>44</v>
      </c>
      <c r="K454" t="s">
        <v>2969</v>
      </c>
      <c r="L454" t="s">
        <v>10</v>
      </c>
    </row>
    <row r="455" spans="1:12">
      <c r="A455" t="s">
        <v>3478</v>
      </c>
      <c r="B455" s="2">
        <v>45742</v>
      </c>
      <c r="C455">
        <v>2025</v>
      </c>
      <c r="D455">
        <v>3</v>
      </c>
      <c r="E455" t="s">
        <v>60</v>
      </c>
      <c r="F455" t="s">
        <v>2</v>
      </c>
      <c r="G455" t="s">
        <v>69</v>
      </c>
      <c r="H455" t="s">
        <v>51</v>
      </c>
      <c r="I455" t="s">
        <v>8</v>
      </c>
      <c r="J455" t="s">
        <v>4</v>
      </c>
      <c r="K455" t="s">
        <v>2969</v>
      </c>
      <c r="L455" t="s">
        <v>17</v>
      </c>
    </row>
    <row r="456" spans="1:12">
      <c r="A456" t="s">
        <v>3479</v>
      </c>
      <c r="B456" s="2">
        <v>45720</v>
      </c>
      <c r="C456">
        <v>2025</v>
      </c>
      <c r="D456">
        <v>3</v>
      </c>
      <c r="E456" t="s">
        <v>60</v>
      </c>
      <c r="F456" t="s">
        <v>67</v>
      </c>
      <c r="G456" t="s">
        <v>74</v>
      </c>
      <c r="H456" t="s">
        <v>3032</v>
      </c>
      <c r="I456" t="s">
        <v>15</v>
      </c>
      <c r="J456" t="s">
        <v>44</v>
      </c>
      <c r="K456" t="s">
        <v>2969</v>
      </c>
      <c r="L456" t="s">
        <v>10</v>
      </c>
    </row>
    <row r="457" spans="1:12">
      <c r="A457" t="s">
        <v>3480</v>
      </c>
      <c r="B457" s="2">
        <v>45728</v>
      </c>
      <c r="C457">
        <v>2025</v>
      </c>
      <c r="D457">
        <v>3</v>
      </c>
      <c r="E457" t="s">
        <v>60</v>
      </c>
      <c r="F457" t="s">
        <v>78</v>
      </c>
      <c r="G457" t="s">
        <v>55</v>
      </c>
      <c r="H457" t="s">
        <v>3032</v>
      </c>
      <c r="I457" t="s">
        <v>22</v>
      </c>
      <c r="J457" t="s">
        <v>44</v>
      </c>
      <c r="K457" t="s">
        <v>2969</v>
      </c>
      <c r="L457" t="s">
        <v>10</v>
      </c>
    </row>
    <row r="458" spans="1:12">
      <c r="A458" t="s">
        <v>3481</v>
      </c>
      <c r="B458" s="2">
        <v>45735</v>
      </c>
      <c r="C458">
        <v>2025</v>
      </c>
      <c r="D458">
        <v>3</v>
      </c>
      <c r="E458" t="s">
        <v>60</v>
      </c>
      <c r="F458" t="s">
        <v>19</v>
      </c>
      <c r="G458" t="s">
        <v>48</v>
      </c>
      <c r="H458" t="s">
        <v>3026</v>
      </c>
      <c r="I458" t="s">
        <v>15</v>
      </c>
      <c r="J458" t="s">
        <v>33</v>
      </c>
      <c r="K458" t="s">
        <v>2969</v>
      </c>
      <c r="L458" t="s">
        <v>10</v>
      </c>
    </row>
    <row r="459" spans="1:12">
      <c r="A459" t="s">
        <v>3482</v>
      </c>
      <c r="B459" s="2">
        <v>45725</v>
      </c>
      <c r="C459">
        <v>2025</v>
      </c>
      <c r="D459">
        <v>3</v>
      </c>
      <c r="E459" t="s">
        <v>60</v>
      </c>
      <c r="F459" t="s">
        <v>47</v>
      </c>
      <c r="G459" t="s">
        <v>20</v>
      </c>
      <c r="H459" t="s">
        <v>51</v>
      </c>
      <c r="I459" t="s">
        <v>35</v>
      </c>
      <c r="J459" t="s">
        <v>33</v>
      </c>
      <c r="K459" t="s">
        <v>2969</v>
      </c>
      <c r="L459" t="s">
        <v>10</v>
      </c>
    </row>
    <row r="460" spans="1:12">
      <c r="A460" t="s">
        <v>3483</v>
      </c>
      <c r="B460" s="2">
        <v>45740</v>
      </c>
      <c r="C460">
        <v>2025</v>
      </c>
      <c r="D460">
        <v>3</v>
      </c>
      <c r="E460" t="s">
        <v>60</v>
      </c>
      <c r="F460" t="s">
        <v>31</v>
      </c>
      <c r="G460" t="s">
        <v>27</v>
      </c>
      <c r="H460" t="s">
        <v>3022</v>
      </c>
      <c r="I460" t="s">
        <v>42</v>
      </c>
      <c r="J460" t="s">
        <v>4</v>
      </c>
      <c r="K460" t="s">
        <v>2969</v>
      </c>
      <c r="L460" t="s">
        <v>17</v>
      </c>
    </row>
    <row r="461" spans="1:12">
      <c r="A461" t="s">
        <v>3484</v>
      </c>
      <c r="B461" s="2">
        <v>45722</v>
      </c>
      <c r="C461">
        <v>2025</v>
      </c>
      <c r="D461">
        <v>3</v>
      </c>
      <c r="E461" t="s">
        <v>60</v>
      </c>
      <c r="F461" t="s">
        <v>31</v>
      </c>
      <c r="G461" t="s">
        <v>64</v>
      </c>
      <c r="H461" t="s">
        <v>3022</v>
      </c>
      <c r="I461" t="s">
        <v>15</v>
      </c>
      <c r="J461" t="s">
        <v>12</v>
      </c>
      <c r="K461" t="s">
        <v>2969</v>
      </c>
      <c r="L461" t="s">
        <v>10</v>
      </c>
    </row>
    <row r="462" spans="1:12">
      <c r="A462" t="s">
        <v>3485</v>
      </c>
      <c r="B462" s="2">
        <v>45739</v>
      </c>
      <c r="C462">
        <v>2025</v>
      </c>
      <c r="D462">
        <v>3</v>
      </c>
      <c r="E462" t="s">
        <v>60</v>
      </c>
      <c r="F462" t="s">
        <v>38</v>
      </c>
      <c r="G462" t="s">
        <v>38</v>
      </c>
      <c r="H462" t="s">
        <v>3032</v>
      </c>
      <c r="I462" t="s">
        <v>8</v>
      </c>
      <c r="J462" t="s">
        <v>4</v>
      </c>
      <c r="K462" t="s">
        <v>2969</v>
      </c>
      <c r="L462" t="s">
        <v>10</v>
      </c>
    </row>
    <row r="463" spans="1:12">
      <c r="A463" t="s">
        <v>3486</v>
      </c>
      <c r="B463" s="2">
        <v>45741</v>
      </c>
      <c r="C463">
        <v>2025</v>
      </c>
      <c r="D463">
        <v>3</v>
      </c>
      <c r="E463" t="s">
        <v>60</v>
      </c>
      <c r="F463" t="s">
        <v>19</v>
      </c>
      <c r="G463" t="s">
        <v>32</v>
      </c>
      <c r="H463" t="s">
        <v>3022</v>
      </c>
      <c r="I463" t="s">
        <v>42</v>
      </c>
      <c r="J463" t="s">
        <v>12</v>
      </c>
      <c r="K463" t="s">
        <v>2969</v>
      </c>
      <c r="L463" t="s">
        <v>10</v>
      </c>
    </row>
    <row r="464" spans="1:12">
      <c r="A464" t="s">
        <v>3487</v>
      </c>
      <c r="B464" s="2">
        <v>45721</v>
      </c>
      <c r="C464">
        <v>2025</v>
      </c>
      <c r="D464">
        <v>3</v>
      </c>
      <c r="E464" t="s">
        <v>60</v>
      </c>
      <c r="F464" t="s">
        <v>38</v>
      </c>
      <c r="G464" t="s">
        <v>20</v>
      </c>
      <c r="H464" t="s">
        <v>3019</v>
      </c>
      <c r="I464" t="s">
        <v>22</v>
      </c>
      <c r="J464" t="s">
        <v>12</v>
      </c>
      <c r="K464" t="s">
        <v>2969</v>
      </c>
      <c r="L464" t="s">
        <v>10</v>
      </c>
    </row>
    <row r="465" spans="1:12">
      <c r="A465" t="s">
        <v>3488</v>
      </c>
      <c r="B465" s="2">
        <v>45722</v>
      </c>
      <c r="C465">
        <v>2025</v>
      </c>
      <c r="D465">
        <v>3</v>
      </c>
      <c r="E465" t="s">
        <v>60</v>
      </c>
      <c r="F465" t="s">
        <v>19</v>
      </c>
      <c r="G465" t="s">
        <v>27</v>
      </c>
      <c r="H465" t="s">
        <v>3019</v>
      </c>
      <c r="I465" t="s">
        <v>42</v>
      </c>
      <c r="J465" t="s">
        <v>44</v>
      </c>
      <c r="K465" t="s">
        <v>2977</v>
      </c>
      <c r="L465" t="s">
        <v>17</v>
      </c>
    </row>
    <row r="466" spans="1:12">
      <c r="A466" t="s">
        <v>3489</v>
      </c>
      <c r="B466" s="2">
        <v>45743</v>
      </c>
      <c r="C466">
        <v>2025</v>
      </c>
      <c r="D466">
        <v>3</v>
      </c>
      <c r="E466" t="s">
        <v>60</v>
      </c>
      <c r="F466" t="s">
        <v>2</v>
      </c>
      <c r="G466" t="s">
        <v>69</v>
      </c>
      <c r="H466" t="s">
        <v>3019</v>
      </c>
      <c r="I466" t="s">
        <v>42</v>
      </c>
      <c r="J466" t="s">
        <v>4</v>
      </c>
      <c r="K466" t="s">
        <v>2969</v>
      </c>
      <c r="L466" t="s">
        <v>10</v>
      </c>
    </row>
    <row r="467" spans="1:12">
      <c r="A467" t="s">
        <v>3490</v>
      </c>
      <c r="B467" s="2">
        <v>45718</v>
      </c>
      <c r="C467">
        <v>2025</v>
      </c>
      <c r="D467">
        <v>3</v>
      </c>
      <c r="E467" t="s">
        <v>60</v>
      </c>
      <c r="F467" t="s">
        <v>40</v>
      </c>
      <c r="G467" t="s">
        <v>94</v>
      </c>
      <c r="H467" t="s">
        <v>51</v>
      </c>
      <c r="I467" t="s">
        <v>42</v>
      </c>
      <c r="J467" t="s">
        <v>33</v>
      </c>
      <c r="K467" t="s">
        <v>2969</v>
      </c>
      <c r="L467" t="s">
        <v>10</v>
      </c>
    </row>
    <row r="468" spans="1:12">
      <c r="A468" t="s">
        <v>3491</v>
      </c>
      <c r="B468" s="2">
        <v>45731</v>
      </c>
      <c r="C468">
        <v>2025</v>
      </c>
      <c r="D468">
        <v>3</v>
      </c>
      <c r="E468" t="s">
        <v>60</v>
      </c>
      <c r="F468" t="s">
        <v>78</v>
      </c>
      <c r="G468" t="s">
        <v>27</v>
      </c>
      <c r="H468" t="s">
        <v>3034</v>
      </c>
      <c r="I468" t="s">
        <v>42</v>
      </c>
      <c r="J468" t="s">
        <v>12</v>
      </c>
      <c r="K468" t="s">
        <v>2969</v>
      </c>
      <c r="L468" t="s">
        <v>10</v>
      </c>
    </row>
    <row r="469" spans="1:12">
      <c r="A469" t="s">
        <v>3492</v>
      </c>
      <c r="B469" s="2">
        <v>45737</v>
      </c>
      <c r="C469">
        <v>2025</v>
      </c>
      <c r="D469">
        <v>3</v>
      </c>
      <c r="E469" t="s">
        <v>60</v>
      </c>
      <c r="F469" t="s">
        <v>78</v>
      </c>
      <c r="G469" t="s">
        <v>61</v>
      </c>
      <c r="H469" t="s">
        <v>3022</v>
      </c>
      <c r="I469" t="s">
        <v>22</v>
      </c>
      <c r="J469" t="s">
        <v>12</v>
      </c>
      <c r="K469" t="s">
        <v>2969</v>
      </c>
      <c r="L469" t="s">
        <v>10</v>
      </c>
    </row>
    <row r="470" spans="1:12">
      <c r="A470" t="s">
        <v>3493</v>
      </c>
      <c r="B470" s="2">
        <v>45737</v>
      </c>
      <c r="C470">
        <v>2025</v>
      </c>
      <c r="D470">
        <v>3</v>
      </c>
      <c r="E470" t="s">
        <v>60</v>
      </c>
      <c r="F470" t="s">
        <v>19</v>
      </c>
      <c r="G470" t="s">
        <v>64</v>
      </c>
      <c r="H470" t="s">
        <v>3039</v>
      </c>
      <c r="I470" t="s">
        <v>15</v>
      </c>
      <c r="J470" t="s">
        <v>33</v>
      </c>
      <c r="K470" t="s">
        <v>2969</v>
      </c>
      <c r="L470" t="s">
        <v>10</v>
      </c>
    </row>
    <row r="471" spans="1:12">
      <c r="A471" t="s">
        <v>3494</v>
      </c>
      <c r="B471" s="2">
        <v>45733</v>
      </c>
      <c r="C471">
        <v>2025</v>
      </c>
      <c r="D471">
        <v>3</v>
      </c>
      <c r="E471" t="s">
        <v>60</v>
      </c>
      <c r="F471" t="s">
        <v>38</v>
      </c>
      <c r="G471" t="s">
        <v>55</v>
      </c>
      <c r="H471" t="s">
        <v>51</v>
      </c>
      <c r="I471" t="s">
        <v>22</v>
      </c>
      <c r="J471" t="s">
        <v>12</v>
      </c>
      <c r="K471" t="s">
        <v>2969</v>
      </c>
      <c r="L471" t="s">
        <v>10</v>
      </c>
    </row>
    <row r="472" spans="1:12">
      <c r="A472" t="s">
        <v>3495</v>
      </c>
      <c r="B472" s="2">
        <v>45720</v>
      </c>
      <c r="C472">
        <v>2025</v>
      </c>
      <c r="D472">
        <v>3</v>
      </c>
      <c r="E472" t="s">
        <v>60</v>
      </c>
      <c r="F472" t="s">
        <v>54</v>
      </c>
      <c r="G472" t="s">
        <v>64</v>
      </c>
      <c r="H472" t="s">
        <v>3032</v>
      </c>
      <c r="I472" t="s">
        <v>15</v>
      </c>
      <c r="J472" t="s">
        <v>33</v>
      </c>
      <c r="K472" t="s">
        <v>2969</v>
      </c>
      <c r="L472" t="s">
        <v>10</v>
      </c>
    </row>
    <row r="473" spans="1:12">
      <c r="A473" t="s">
        <v>3496</v>
      </c>
      <c r="B473" s="2">
        <v>45740</v>
      </c>
      <c r="C473">
        <v>2025</v>
      </c>
      <c r="D473">
        <v>3</v>
      </c>
      <c r="E473" t="s">
        <v>60</v>
      </c>
      <c r="F473" t="s">
        <v>54</v>
      </c>
      <c r="G473" t="s">
        <v>61</v>
      </c>
      <c r="H473" t="s">
        <v>3026</v>
      </c>
      <c r="I473" t="s">
        <v>15</v>
      </c>
      <c r="J473" t="s">
        <v>33</v>
      </c>
      <c r="K473" t="s">
        <v>2969</v>
      </c>
      <c r="L473" t="s">
        <v>10</v>
      </c>
    </row>
    <row r="474" spans="1:12">
      <c r="A474" t="s">
        <v>3497</v>
      </c>
      <c r="B474" s="2">
        <v>45753</v>
      </c>
      <c r="C474">
        <v>2025</v>
      </c>
      <c r="D474">
        <v>4</v>
      </c>
      <c r="E474" t="s">
        <v>73</v>
      </c>
      <c r="F474" t="s">
        <v>26</v>
      </c>
      <c r="G474" t="s">
        <v>38</v>
      </c>
      <c r="H474" t="s">
        <v>3045</v>
      </c>
      <c r="I474" t="s">
        <v>35</v>
      </c>
      <c r="J474" t="s">
        <v>12</v>
      </c>
      <c r="K474" t="s">
        <v>2969</v>
      </c>
      <c r="L474" t="s">
        <v>10</v>
      </c>
    </row>
    <row r="475" spans="1:12">
      <c r="A475" t="s">
        <v>3498</v>
      </c>
      <c r="B475" s="2">
        <v>45756</v>
      </c>
      <c r="C475">
        <v>2025</v>
      </c>
      <c r="D475">
        <v>4</v>
      </c>
      <c r="E475" t="s">
        <v>73</v>
      </c>
      <c r="F475" t="s">
        <v>31</v>
      </c>
      <c r="G475" t="s">
        <v>20</v>
      </c>
      <c r="H475" t="s">
        <v>3022</v>
      </c>
      <c r="I475" t="s">
        <v>42</v>
      </c>
      <c r="J475" t="s">
        <v>33</v>
      </c>
      <c r="K475" t="s">
        <v>2969</v>
      </c>
      <c r="L475" t="s">
        <v>10</v>
      </c>
    </row>
    <row r="476" spans="1:12">
      <c r="A476" t="s">
        <v>3499</v>
      </c>
      <c r="B476" s="2">
        <v>45769</v>
      </c>
      <c r="C476">
        <v>2025</v>
      </c>
      <c r="D476">
        <v>4</v>
      </c>
      <c r="E476" t="s">
        <v>73</v>
      </c>
      <c r="F476" t="s">
        <v>38</v>
      </c>
      <c r="G476" t="s">
        <v>27</v>
      </c>
      <c r="H476" t="s">
        <v>3045</v>
      </c>
      <c r="I476" t="s">
        <v>42</v>
      </c>
      <c r="J476" t="s">
        <v>4</v>
      </c>
      <c r="K476" t="s">
        <v>2969</v>
      </c>
      <c r="L476" t="s">
        <v>10</v>
      </c>
    </row>
    <row r="477" spans="1:12">
      <c r="A477" t="s">
        <v>3500</v>
      </c>
      <c r="B477" s="2">
        <v>45768</v>
      </c>
      <c r="C477">
        <v>2025</v>
      </c>
      <c r="D477">
        <v>4</v>
      </c>
      <c r="E477" t="s">
        <v>73</v>
      </c>
      <c r="F477" t="s">
        <v>47</v>
      </c>
      <c r="G477" t="s">
        <v>74</v>
      </c>
      <c r="H477" t="s">
        <v>3026</v>
      </c>
      <c r="I477" t="s">
        <v>22</v>
      </c>
      <c r="J477" t="s">
        <v>33</v>
      </c>
      <c r="K477" t="s">
        <v>2969</v>
      </c>
      <c r="L477" t="s">
        <v>10</v>
      </c>
    </row>
    <row r="478" spans="1:12">
      <c r="A478" t="s">
        <v>3501</v>
      </c>
      <c r="B478" s="2">
        <v>45757</v>
      </c>
      <c r="C478">
        <v>2025</v>
      </c>
      <c r="D478">
        <v>4</v>
      </c>
      <c r="E478" t="s">
        <v>73</v>
      </c>
      <c r="F478" t="s">
        <v>26</v>
      </c>
      <c r="G478" t="s">
        <v>69</v>
      </c>
      <c r="H478" t="s">
        <v>3039</v>
      </c>
      <c r="I478" t="s">
        <v>8</v>
      </c>
      <c r="J478" t="s">
        <v>4</v>
      </c>
      <c r="K478" t="s">
        <v>2969</v>
      </c>
      <c r="L478" t="s">
        <v>17</v>
      </c>
    </row>
    <row r="479" spans="1:12">
      <c r="A479" t="s">
        <v>3502</v>
      </c>
      <c r="B479" s="2">
        <v>45757</v>
      </c>
      <c r="C479">
        <v>2025</v>
      </c>
      <c r="D479">
        <v>4</v>
      </c>
      <c r="E479" t="s">
        <v>73</v>
      </c>
      <c r="F479" t="s">
        <v>26</v>
      </c>
      <c r="G479" t="s">
        <v>32</v>
      </c>
      <c r="H479" t="s">
        <v>3034</v>
      </c>
      <c r="I479" t="s">
        <v>52</v>
      </c>
      <c r="J479" t="s">
        <v>44</v>
      </c>
      <c r="K479" t="s">
        <v>2969</v>
      </c>
      <c r="L479" t="s">
        <v>10</v>
      </c>
    </row>
    <row r="480" spans="1:12">
      <c r="A480" t="s">
        <v>3503</v>
      </c>
      <c r="B480" s="2">
        <v>45753</v>
      </c>
      <c r="C480">
        <v>2025</v>
      </c>
      <c r="D480">
        <v>4</v>
      </c>
      <c r="E480" t="s">
        <v>73</v>
      </c>
      <c r="F480" t="s">
        <v>47</v>
      </c>
      <c r="G480" t="s">
        <v>32</v>
      </c>
      <c r="H480" t="s">
        <v>3026</v>
      </c>
      <c r="I480" t="s">
        <v>35</v>
      </c>
      <c r="J480" t="s">
        <v>33</v>
      </c>
      <c r="K480" t="s">
        <v>2977</v>
      </c>
      <c r="L480" t="s">
        <v>10</v>
      </c>
    </row>
    <row r="481" spans="1:12">
      <c r="A481" t="s">
        <v>3504</v>
      </c>
      <c r="B481" s="2">
        <v>45764</v>
      </c>
      <c r="C481">
        <v>2025</v>
      </c>
      <c r="D481">
        <v>4</v>
      </c>
      <c r="E481" t="s">
        <v>73</v>
      </c>
      <c r="F481" t="s">
        <v>67</v>
      </c>
      <c r="G481" t="s">
        <v>61</v>
      </c>
      <c r="H481" t="s">
        <v>3026</v>
      </c>
      <c r="I481" t="s">
        <v>22</v>
      </c>
      <c r="J481" t="s">
        <v>12</v>
      </c>
      <c r="K481" t="s">
        <v>2969</v>
      </c>
      <c r="L481" t="s">
        <v>17</v>
      </c>
    </row>
    <row r="482" spans="1:12">
      <c r="A482" t="s">
        <v>3505</v>
      </c>
      <c r="B482" s="2">
        <v>45766</v>
      </c>
      <c r="C482">
        <v>2025</v>
      </c>
      <c r="D482">
        <v>4</v>
      </c>
      <c r="E482" t="s">
        <v>73</v>
      </c>
      <c r="F482" t="s">
        <v>78</v>
      </c>
      <c r="G482" t="s">
        <v>74</v>
      </c>
      <c r="H482" t="s">
        <v>3039</v>
      </c>
      <c r="I482" t="s">
        <v>15</v>
      </c>
      <c r="J482" t="s">
        <v>4</v>
      </c>
      <c r="K482" t="s">
        <v>2977</v>
      </c>
      <c r="L482" t="s">
        <v>10</v>
      </c>
    </row>
    <row r="483" spans="1:12">
      <c r="A483" t="s">
        <v>3506</v>
      </c>
      <c r="B483" s="2">
        <v>45768</v>
      </c>
      <c r="C483">
        <v>2025</v>
      </c>
      <c r="D483">
        <v>4</v>
      </c>
      <c r="E483" t="s">
        <v>73</v>
      </c>
      <c r="F483" t="s">
        <v>47</v>
      </c>
      <c r="G483" t="s">
        <v>48</v>
      </c>
      <c r="H483" t="s">
        <v>3034</v>
      </c>
      <c r="I483" t="s">
        <v>35</v>
      </c>
      <c r="J483" t="s">
        <v>44</v>
      </c>
      <c r="K483" t="s">
        <v>2969</v>
      </c>
      <c r="L483" t="s">
        <v>10</v>
      </c>
    </row>
    <row r="484" spans="1:12">
      <c r="A484" t="s">
        <v>3507</v>
      </c>
      <c r="B484" s="2">
        <v>45766</v>
      </c>
      <c r="C484">
        <v>2025</v>
      </c>
      <c r="D484">
        <v>4</v>
      </c>
      <c r="E484" t="s">
        <v>73</v>
      </c>
      <c r="F484" t="s">
        <v>54</v>
      </c>
      <c r="G484" t="s">
        <v>27</v>
      </c>
      <c r="H484" t="s">
        <v>51</v>
      </c>
      <c r="I484" t="s">
        <v>42</v>
      </c>
      <c r="J484" t="s">
        <v>12</v>
      </c>
      <c r="K484" t="s">
        <v>2977</v>
      </c>
      <c r="L484" t="s">
        <v>10</v>
      </c>
    </row>
    <row r="485" spans="1:12">
      <c r="A485" t="s">
        <v>3508</v>
      </c>
      <c r="B485" s="2">
        <v>45754</v>
      </c>
      <c r="C485">
        <v>2025</v>
      </c>
      <c r="D485">
        <v>4</v>
      </c>
      <c r="E485" t="s">
        <v>73</v>
      </c>
      <c r="F485" t="s">
        <v>78</v>
      </c>
      <c r="G485" t="s">
        <v>64</v>
      </c>
      <c r="H485" t="s">
        <v>3039</v>
      </c>
      <c r="I485" t="s">
        <v>52</v>
      </c>
      <c r="J485" t="s">
        <v>4</v>
      </c>
      <c r="K485" t="s">
        <v>2977</v>
      </c>
      <c r="L485" t="s">
        <v>17</v>
      </c>
    </row>
    <row r="486" spans="1:12">
      <c r="A486" t="s">
        <v>3509</v>
      </c>
      <c r="B486" s="2">
        <v>45771</v>
      </c>
      <c r="C486">
        <v>2025</v>
      </c>
      <c r="D486">
        <v>4</v>
      </c>
      <c r="E486" t="s">
        <v>73</v>
      </c>
      <c r="F486" t="s">
        <v>2</v>
      </c>
      <c r="G486" t="s">
        <v>20</v>
      </c>
      <c r="H486" t="s">
        <v>3019</v>
      </c>
      <c r="I486" t="s">
        <v>52</v>
      </c>
      <c r="J486" t="s">
        <v>12</v>
      </c>
      <c r="K486" t="s">
        <v>2969</v>
      </c>
      <c r="L486" t="s">
        <v>10</v>
      </c>
    </row>
    <row r="487" spans="1:12">
      <c r="A487" t="s">
        <v>3510</v>
      </c>
      <c r="B487" s="2">
        <v>45761</v>
      </c>
      <c r="C487">
        <v>2025</v>
      </c>
      <c r="D487">
        <v>4</v>
      </c>
      <c r="E487" t="s">
        <v>73</v>
      </c>
      <c r="F487" t="s">
        <v>26</v>
      </c>
      <c r="G487" t="s">
        <v>94</v>
      </c>
      <c r="H487" t="s">
        <v>3045</v>
      </c>
      <c r="I487" t="s">
        <v>22</v>
      </c>
      <c r="J487" t="s">
        <v>33</v>
      </c>
      <c r="K487" t="s">
        <v>2969</v>
      </c>
      <c r="L487" t="s">
        <v>10</v>
      </c>
    </row>
    <row r="488" spans="1:12">
      <c r="A488" t="s">
        <v>3511</v>
      </c>
      <c r="B488" s="2">
        <v>45754</v>
      </c>
      <c r="C488">
        <v>2025</v>
      </c>
      <c r="D488">
        <v>4</v>
      </c>
      <c r="E488" t="s">
        <v>73</v>
      </c>
      <c r="F488" t="s">
        <v>54</v>
      </c>
      <c r="G488" t="s">
        <v>27</v>
      </c>
      <c r="H488" t="s">
        <v>3026</v>
      </c>
      <c r="I488" t="s">
        <v>52</v>
      </c>
      <c r="J488" t="s">
        <v>33</v>
      </c>
      <c r="K488" t="s">
        <v>2969</v>
      </c>
      <c r="L488" t="s">
        <v>10</v>
      </c>
    </row>
    <row r="489" spans="1:12">
      <c r="A489" t="s">
        <v>3512</v>
      </c>
      <c r="B489" s="2">
        <v>45749</v>
      </c>
      <c r="C489">
        <v>2025</v>
      </c>
      <c r="D489">
        <v>4</v>
      </c>
      <c r="E489" t="s">
        <v>73</v>
      </c>
      <c r="F489" t="s">
        <v>54</v>
      </c>
      <c r="G489" t="s">
        <v>38</v>
      </c>
      <c r="H489" t="s">
        <v>3045</v>
      </c>
      <c r="I489" t="s">
        <v>15</v>
      </c>
      <c r="J489" t="s">
        <v>44</v>
      </c>
      <c r="K489" t="s">
        <v>2969</v>
      </c>
      <c r="L489" t="s">
        <v>10</v>
      </c>
    </row>
    <row r="490" spans="1:12">
      <c r="A490" t="s">
        <v>3513</v>
      </c>
      <c r="B490" s="2">
        <v>45750</v>
      </c>
      <c r="C490">
        <v>2025</v>
      </c>
      <c r="D490">
        <v>4</v>
      </c>
      <c r="E490" t="s">
        <v>73</v>
      </c>
      <c r="F490" t="s">
        <v>67</v>
      </c>
      <c r="G490" t="s">
        <v>64</v>
      </c>
      <c r="H490" t="s">
        <v>3022</v>
      </c>
      <c r="I490" t="s">
        <v>8</v>
      </c>
      <c r="J490" t="s">
        <v>33</v>
      </c>
      <c r="K490" t="s">
        <v>2977</v>
      </c>
      <c r="L490" t="s">
        <v>10</v>
      </c>
    </row>
    <row r="491" spans="1:12">
      <c r="A491" t="s">
        <v>3514</v>
      </c>
      <c r="B491" s="2">
        <v>45766</v>
      </c>
      <c r="C491">
        <v>2025</v>
      </c>
      <c r="D491">
        <v>4</v>
      </c>
      <c r="E491" t="s">
        <v>73</v>
      </c>
      <c r="F491" t="s">
        <v>67</v>
      </c>
      <c r="G491" t="s">
        <v>69</v>
      </c>
      <c r="H491" t="s">
        <v>3019</v>
      </c>
      <c r="I491" t="s">
        <v>15</v>
      </c>
      <c r="J491" t="s">
        <v>4</v>
      </c>
      <c r="K491" t="s">
        <v>2969</v>
      </c>
      <c r="L491" t="s">
        <v>10</v>
      </c>
    </row>
    <row r="492" spans="1:12">
      <c r="A492" t="s">
        <v>3515</v>
      </c>
      <c r="B492" s="2">
        <v>45769</v>
      </c>
      <c r="C492">
        <v>2025</v>
      </c>
      <c r="D492">
        <v>4</v>
      </c>
      <c r="E492" t="s">
        <v>73</v>
      </c>
      <c r="F492" t="s">
        <v>47</v>
      </c>
      <c r="G492" t="s">
        <v>48</v>
      </c>
      <c r="H492" t="s">
        <v>3022</v>
      </c>
      <c r="I492" t="s">
        <v>22</v>
      </c>
      <c r="J492" t="s">
        <v>33</v>
      </c>
      <c r="K492" t="s">
        <v>2969</v>
      </c>
      <c r="L492" t="s">
        <v>10</v>
      </c>
    </row>
    <row r="493" spans="1:12">
      <c r="A493" t="s">
        <v>3516</v>
      </c>
      <c r="B493" s="2">
        <v>45759</v>
      </c>
      <c r="C493">
        <v>2025</v>
      </c>
      <c r="D493">
        <v>4</v>
      </c>
      <c r="E493" t="s">
        <v>73</v>
      </c>
      <c r="F493" t="s">
        <v>67</v>
      </c>
      <c r="G493" t="s">
        <v>48</v>
      </c>
      <c r="H493" t="s">
        <v>51</v>
      </c>
      <c r="I493" t="s">
        <v>22</v>
      </c>
      <c r="J493" t="s">
        <v>4</v>
      </c>
      <c r="K493" t="s">
        <v>2969</v>
      </c>
      <c r="L493" t="s">
        <v>10</v>
      </c>
    </row>
    <row r="494" spans="1:12">
      <c r="A494" t="s">
        <v>3517</v>
      </c>
      <c r="B494" s="2">
        <v>45754</v>
      </c>
      <c r="C494">
        <v>2025</v>
      </c>
      <c r="D494">
        <v>4</v>
      </c>
      <c r="E494" t="s">
        <v>73</v>
      </c>
      <c r="F494" t="s">
        <v>2</v>
      </c>
      <c r="G494" t="s">
        <v>74</v>
      </c>
      <c r="H494" t="s">
        <v>3026</v>
      </c>
      <c r="I494" t="s">
        <v>15</v>
      </c>
      <c r="J494" t="s">
        <v>44</v>
      </c>
      <c r="K494" t="s">
        <v>2969</v>
      </c>
      <c r="L494" t="s">
        <v>10</v>
      </c>
    </row>
    <row r="495" spans="1:12">
      <c r="A495" t="s">
        <v>3518</v>
      </c>
      <c r="B495" s="2">
        <v>45765</v>
      </c>
      <c r="C495">
        <v>2025</v>
      </c>
      <c r="D495">
        <v>4</v>
      </c>
      <c r="E495" t="s">
        <v>73</v>
      </c>
      <c r="F495" t="s">
        <v>47</v>
      </c>
      <c r="G495" t="s">
        <v>48</v>
      </c>
      <c r="H495" t="s">
        <v>3032</v>
      </c>
      <c r="I495" t="s">
        <v>15</v>
      </c>
      <c r="J495" t="s">
        <v>44</v>
      </c>
      <c r="K495" t="s">
        <v>2969</v>
      </c>
      <c r="L495" t="s">
        <v>10</v>
      </c>
    </row>
    <row r="496" spans="1:12">
      <c r="A496" t="s">
        <v>3519</v>
      </c>
      <c r="B496" s="2">
        <v>45751</v>
      </c>
      <c r="C496">
        <v>2025</v>
      </c>
      <c r="D496">
        <v>4</v>
      </c>
      <c r="E496" t="s">
        <v>73</v>
      </c>
      <c r="F496" t="s">
        <v>54</v>
      </c>
      <c r="G496" t="s">
        <v>38</v>
      </c>
      <c r="H496" t="s">
        <v>3039</v>
      </c>
      <c r="I496" t="s">
        <v>42</v>
      </c>
      <c r="J496" t="s">
        <v>12</v>
      </c>
      <c r="K496" t="s">
        <v>2969</v>
      </c>
      <c r="L496" t="s">
        <v>10</v>
      </c>
    </row>
    <row r="497" spans="1:12">
      <c r="A497" t="s">
        <v>3520</v>
      </c>
      <c r="B497" s="2">
        <v>45770</v>
      </c>
      <c r="C497">
        <v>2025</v>
      </c>
      <c r="D497">
        <v>4</v>
      </c>
      <c r="E497" t="s">
        <v>73</v>
      </c>
      <c r="F497" t="s">
        <v>26</v>
      </c>
      <c r="G497" t="s">
        <v>61</v>
      </c>
      <c r="H497" t="s">
        <v>3032</v>
      </c>
      <c r="I497" t="s">
        <v>42</v>
      </c>
      <c r="J497" t="s">
        <v>44</v>
      </c>
      <c r="K497" t="s">
        <v>2977</v>
      </c>
      <c r="L497" t="s">
        <v>17</v>
      </c>
    </row>
    <row r="498" spans="1:12">
      <c r="A498" t="s">
        <v>3521</v>
      </c>
      <c r="B498" s="2">
        <v>45770</v>
      </c>
      <c r="C498">
        <v>2025</v>
      </c>
      <c r="D498">
        <v>4</v>
      </c>
      <c r="E498" t="s">
        <v>73</v>
      </c>
      <c r="F498" t="s">
        <v>67</v>
      </c>
      <c r="G498" t="s">
        <v>61</v>
      </c>
      <c r="H498" t="s">
        <v>51</v>
      </c>
      <c r="I498" t="s">
        <v>52</v>
      </c>
      <c r="J498" t="s">
        <v>44</v>
      </c>
      <c r="K498" t="s">
        <v>2969</v>
      </c>
      <c r="L498" t="s">
        <v>10</v>
      </c>
    </row>
    <row r="499" spans="1:12">
      <c r="A499" t="s">
        <v>3522</v>
      </c>
      <c r="B499" s="2">
        <v>45753</v>
      </c>
      <c r="C499">
        <v>2025</v>
      </c>
      <c r="D499">
        <v>4</v>
      </c>
      <c r="E499" t="s">
        <v>73</v>
      </c>
      <c r="F499" t="s">
        <v>54</v>
      </c>
      <c r="G499" t="s">
        <v>48</v>
      </c>
      <c r="H499" t="s">
        <v>3019</v>
      </c>
      <c r="I499" t="s">
        <v>35</v>
      </c>
      <c r="J499" t="s">
        <v>44</v>
      </c>
      <c r="K499" t="s">
        <v>2969</v>
      </c>
      <c r="L499" t="s">
        <v>10</v>
      </c>
    </row>
    <row r="500" spans="1:12">
      <c r="A500" t="s">
        <v>3523</v>
      </c>
      <c r="B500" s="2">
        <v>45753</v>
      </c>
      <c r="C500">
        <v>2025</v>
      </c>
      <c r="D500">
        <v>4</v>
      </c>
      <c r="E500" t="s">
        <v>73</v>
      </c>
      <c r="F500" t="s">
        <v>19</v>
      </c>
      <c r="G500" t="s">
        <v>38</v>
      </c>
      <c r="H500" t="s">
        <v>3019</v>
      </c>
      <c r="I500" t="s">
        <v>35</v>
      </c>
      <c r="J500" t="s">
        <v>4</v>
      </c>
      <c r="K500" t="s">
        <v>2969</v>
      </c>
      <c r="L500" t="s">
        <v>10</v>
      </c>
    </row>
    <row r="501" spans="1:12">
      <c r="A501" t="s">
        <v>3524</v>
      </c>
      <c r="B501" s="2">
        <v>45763</v>
      </c>
      <c r="C501">
        <v>2025</v>
      </c>
      <c r="D501">
        <v>4</v>
      </c>
      <c r="E501" t="s">
        <v>73</v>
      </c>
      <c r="F501" t="s">
        <v>26</v>
      </c>
      <c r="G501" t="s">
        <v>94</v>
      </c>
      <c r="H501" t="s">
        <v>3034</v>
      </c>
      <c r="I501" t="s">
        <v>42</v>
      </c>
      <c r="J501" t="s">
        <v>12</v>
      </c>
      <c r="K501" t="s">
        <v>2969</v>
      </c>
      <c r="L501" t="s">
        <v>10</v>
      </c>
    </row>
    <row r="502" spans="1:12">
      <c r="A502" t="s">
        <v>3525</v>
      </c>
      <c r="B502" s="2">
        <v>45767</v>
      </c>
      <c r="C502">
        <v>2025</v>
      </c>
      <c r="D502">
        <v>4</v>
      </c>
      <c r="E502" t="s">
        <v>73</v>
      </c>
      <c r="F502" t="s">
        <v>67</v>
      </c>
      <c r="G502" t="s">
        <v>61</v>
      </c>
      <c r="H502" t="s">
        <v>3045</v>
      </c>
      <c r="I502" t="s">
        <v>35</v>
      </c>
      <c r="J502" t="s">
        <v>44</v>
      </c>
      <c r="K502" t="s">
        <v>2969</v>
      </c>
      <c r="L502" t="s">
        <v>10</v>
      </c>
    </row>
    <row r="503" spans="1:12">
      <c r="A503" t="s">
        <v>3526</v>
      </c>
      <c r="B503" s="2">
        <v>45754</v>
      </c>
      <c r="C503">
        <v>2025</v>
      </c>
      <c r="D503">
        <v>4</v>
      </c>
      <c r="E503" t="s">
        <v>73</v>
      </c>
      <c r="F503" t="s">
        <v>78</v>
      </c>
      <c r="G503" t="s">
        <v>32</v>
      </c>
      <c r="H503" t="s">
        <v>3039</v>
      </c>
      <c r="I503" t="s">
        <v>52</v>
      </c>
      <c r="J503" t="s">
        <v>33</v>
      </c>
      <c r="K503" t="s">
        <v>2969</v>
      </c>
      <c r="L503" t="s">
        <v>17</v>
      </c>
    </row>
    <row r="504" spans="1:12">
      <c r="A504" t="s">
        <v>3527</v>
      </c>
      <c r="B504" s="2">
        <v>45774</v>
      </c>
      <c r="C504">
        <v>2025</v>
      </c>
      <c r="D504">
        <v>4</v>
      </c>
      <c r="E504" t="s">
        <v>73</v>
      </c>
      <c r="F504" t="s">
        <v>67</v>
      </c>
      <c r="G504" t="s">
        <v>69</v>
      </c>
      <c r="H504" t="s">
        <v>3039</v>
      </c>
      <c r="I504" t="s">
        <v>52</v>
      </c>
      <c r="J504" t="s">
        <v>12</v>
      </c>
      <c r="K504" t="s">
        <v>2969</v>
      </c>
      <c r="L504" t="s">
        <v>17</v>
      </c>
    </row>
    <row r="505" spans="1:12">
      <c r="A505" t="s">
        <v>3528</v>
      </c>
      <c r="B505" s="2">
        <v>45756</v>
      </c>
      <c r="C505">
        <v>2025</v>
      </c>
      <c r="D505">
        <v>4</v>
      </c>
      <c r="E505" t="s">
        <v>73</v>
      </c>
      <c r="F505" t="s">
        <v>38</v>
      </c>
      <c r="G505" t="s">
        <v>38</v>
      </c>
      <c r="H505" t="s">
        <v>3045</v>
      </c>
      <c r="I505" t="s">
        <v>42</v>
      </c>
      <c r="J505" t="s">
        <v>4</v>
      </c>
      <c r="K505" t="s">
        <v>2969</v>
      </c>
      <c r="L505" t="s">
        <v>10</v>
      </c>
    </row>
    <row r="506" spans="1:12">
      <c r="A506" t="s">
        <v>3529</v>
      </c>
      <c r="B506" s="2">
        <v>45756</v>
      </c>
      <c r="C506">
        <v>2025</v>
      </c>
      <c r="D506">
        <v>4</v>
      </c>
      <c r="E506" t="s">
        <v>73</v>
      </c>
      <c r="F506" t="s">
        <v>67</v>
      </c>
      <c r="G506" t="s">
        <v>64</v>
      </c>
      <c r="H506" t="s">
        <v>3032</v>
      </c>
      <c r="I506" t="s">
        <v>35</v>
      </c>
      <c r="J506" t="s">
        <v>44</v>
      </c>
      <c r="K506" t="s">
        <v>2969</v>
      </c>
      <c r="L506" t="s">
        <v>10</v>
      </c>
    </row>
    <row r="507" spans="1:12">
      <c r="A507" t="s">
        <v>3530</v>
      </c>
      <c r="B507" s="2">
        <v>45770</v>
      </c>
      <c r="C507">
        <v>2025</v>
      </c>
      <c r="D507">
        <v>4</v>
      </c>
      <c r="E507" t="s">
        <v>73</v>
      </c>
      <c r="F507" t="s">
        <v>54</v>
      </c>
      <c r="G507" t="s">
        <v>55</v>
      </c>
      <c r="H507" t="s">
        <v>3022</v>
      </c>
      <c r="I507" t="s">
        <v>52</v>
      </c>
      <c r="J507" t="s">
        <v>4</v>
      </c>
      <c r="K507" t="s">
        <v>2969</v>
      </c>
      <c r="L507" t="s">
        <v>10</v>
      </c>
    </row>
    <row r="508" spans="1:12">
      <c r="A508" t="s">
        <v>3531</v>
      </c>
      <c r="B508" s="2">
        <v>45770</v>
      </c>
      <c r="C508">
        <v>2025</v>
      </c>
      <c r="D508">
        <v>4</v>
      </c>
      <c r="E508" t="s">
        <v>73</v>
      </c>
      <c r="F508" t="s">
        <v>38</v>
      </c>
      <c r="G508" t="s">
        <v>3</v>
      </c>
      <c r="H508" t="s">
        <v>3034</v>
      </c>
      <c r="I508" t="s">
        <v>15</v>
      </c>
      <c r="J508" t="s">
        <v>12</v>
      </c>
      <c r="K508" t="s">
        <v>2969</v>
      </c>
      <c r="L508" t="s">
        <v>10</v>
      </c>
    </row>
    <row r="509" spans="1:12">
      <c r="A509" t="s">
        <v>3532</v>
      </c>
      <c r="B509" s="2">
        <v>45748</v>
      </c>
      <c r="C509">
        <v>2025</v>
      </c>
      <c r="D509">
        <v>4</v>
      </c>
      <c r="E509" t="s">
        <v>73</v>
      </c>
      <c r="F509" t="s">
        <v>19</v>
      </c>
      <c r="G509" t="s">
        <v>64</v>
      </c>
      <c r="H509" t="s">
        <v>3022</v>
      </c>
      <c r="I509" t="s">
        <v>8</v>
      </c>
      <c r="J509" t="s">
        <v>33</v>
      </c>
      <c r="K509" t="s">
        <v>2969</v>
      </c>
      <c r="L509" t="s">
        <v>10</v>
      </c>
    </row>
    <row r="510" spans="1:12">
      <c r="A510" t="s">
        <v>3533</v>
      </c>
      <c r="B510" s="2">
        <v>45764</v>
      </c>
      <c r="C510">
        <v>2025</v>
      </c>
      <c r="D510">
        <v>4</v>
      </c>
      <c r="E510" t="s">
        <v>73</v>
      </c>
      <c r="F510" t="s">
        <v>26</v>
      </c>
      <c r="G510" t="s">
        <v>61</v>
      </c>
      <c r="H510" t="s">
        <v>3032</v>
      </c>
      <c r="I510" t="s">
        <v>15</v>
      </c>
      <c r="J510" t="s">
        <v>4</v>
      </c>
      <c r="K510" t="s">
        <v>2969</v>
      </c>
      <c r="L510" t="s">
        <v>10</v>
      </c>
    </row>
    <row r="511" spans="1:12">
      <c r="A511" t="s">
        <v>3534</v>
      </c>
      <c r="B511" s="2">
        <v>45763</v>
      </c>
      <c r="C511">
        <v>2025</v>
      </c>
      <c r="D511">
        <v>4</v>
      </c>
      <c r="E511" t="s">
        <v>73</v>
      </c>
      <c r="F511" t="s">
        <v>67</v>
      </c>
      <c r="G511" t="s">
        <v>3</v>
      </c>
      <c r="H511" t="s">
        <v>3034</v>
      </c>
      <c r="I511" t="s">
        <v>22</v>
      </c>
      <c r="J511" t="s">
        <v>44</v>
      </c>
      <c r="K511" t="s">
        <v>2969</v>
      </c>
      <c r="L511" t="s">
        <v>10</v>
      </c>
    </row>
    <row r="512" spans="1:12">
      <c r="A512" t="s">
        <v>3535</v>
      </c>
      <c r="B512" s="2">
        <v>45770</v>
      </c>
      <c r="C512">
        <v>2025</v>
      </c>
      <c r="D512">
        <v>4</v>
      </c>
      <c r="E512" t="s">
        <v>73</v>
      </c>
      <c r="F512" t="s">
        <v>67</v>
      </c>
      <c r="G512" t="s">
        <v>3</v>
      </c>
      <c r="H512" t="s">
        <v>3045</v>
      </c>
      <c r="I512" t="s">
        <v>42</v>
      </c>
      <c r="J512" t="s">
        <v>44</v>
      </c>
      <c r="K512" t="s">
        <v>2969</v>
      </c>
      <c r="L512" t="s">
        <v>10</v>
      </c>
    </row>
    <row r="513" spans="1:12">
      <c r="A513" t="s">
        <v>3536</v>
      </c>
      <c r="B513" s="2">
        <v>45764</v>
      </c>
      <c r="C513">
        <v>2025</v>
      </c>
      <c r="D513">
        <v>4</v>
      </c>
      <c r="E513" t="s">
        <v>73</v>
      </c>
      <c r="F513" t="s">
        <v>47</v>
      </c>
      <c r="G513" t="s">
        <v>61</v>
      </c>
      <c r="H513" t="s">
        <v>3045</v>
      </c>
      <c r="I513" t="s">
        <v>8</v>
      </c>
      <c r="J513" t="s">
        <v>4</v>
      </c>
      <c r="K513" t="s">
        <v>2969</v>
      </c>
      <c r="L513" t="s">
        <v>10</v>
      </c>
    </row>
    <row r="514" spans="1:12">
      <c r="A514" t="s">
        <v>3537</v>
      </c>
      <c r="B514" s="2">
        <v>45754</v>
      </c>
      <c r="C514">
        <v>2025</v>
      </c>
      <c r="D514">
        <v>4</v>
      </c>
      <c r="E514" t="s">
        <v>73</v>
      </c>
      <c r="F514" t="s">
        <v>38</v>
      </c>
      <c r="G514" t="s">
        <v>48</v>
      </c>
      <c r="H514" t="s">
        <v>3032</v>
      </c>
      <c r="I514" t="s">
        <v>15</v>
      </c>
      <c r="J514" t="s">
        <v>33</v>
      </c>
      <c r="K514" t="s">
        <v>2969</v>
      </c>
      <c r="L514" t="s">
        <v>10</v>
      </c>
    </row>
    <row r="515" spans="1:12">
      <c r="A515" t="s">
        <v>3538</v>
      </c>
      <c r="B515" s="2">
        <v>45772</v>
      </c>
      <c r="C515">
        <v>2025</v>
      </c>
      <c r="D515">
        <v>4</v>
      </c>
      <c r="E515" t="s">
        <v>73</v>
      </c>
      <c r="F515" t="s">
        <v>40</v>
      </c>
      <c r="G515" t="s">
        <v>32</v>
      </c>
      <c r="H515" t="s">
        <v>3045</v>
      </c>
      <c r="I515" t="s">
        <v>42</v>
      </c>
      <c r="J515" t="s">
        <v>44</v>
      </c>
      <c r="K515" t="s">
        <v>2969</v>
      </c>
      <c r="L515" t="s">
        <v>10</v>
      </c>
    </row>
    <row r="516" spans="1:12">
      <c r="A516" t="s">
        <v>3539</v>
      </c>
      <c r="B516" s="2">
        <v>45754</v>
      </c>
      <c r="C516">
        <v>2025</v>
      </c>
      <c r="D516">
        <v>4</v>
      </c>
      <c r="E516" t="s">
        <v>73</v>
      </c>
      <c r="F516" t="s">
        <v>40</v>
      </c>
      <c r="G516" t="s">
        <v>64</v>
      </c>
      <c r="H516" t="s">
        <v>51</v>
      </c>
      <c r="I516" t="s">
        <v>52</v>
      </c>
      <c r="J516" t="s">
        <v>12</v>
      </c>
      <c r="K516" t="s">
        <v>2969</v>
      </c>
      <c r="L516" t="s">
        <v>10</v>
      </c>
    </row>
    <row r="517" spans="1:12">
      <c r="A517" t="s">
        <v>3540</v>
      </c>
      <c r="B517" s="2">
        <v>45769</v>
      </c>
      <c r="C517">
        <v>2025</v>
      </c>
      <c r="D517">
        <v>4</v>
      </c>
      <c r="E517" t="s">
        <v>73</v>
      </c>
      <c r="F517" t="s">
        <v>2</v>
      </c>
      <c r="G517" t="s">
        <v>69</v>
      </c>
      <c r="H517" t="s">
        <v>51</v>
      </c>
      <c r="I517" t="s">
        <v>8</v>
      </c>
      <c r="J517" t="s">
        <v>12</v>
      </c>
      <c r="K517" t="s">
        <v>2969</v>
      </c>
      <c r="L517" t="s">
        <v>10</v>
      </c>
    </row>
    <row r="518" spans="1:12">
      <c r="A518" t="s">
        <v>3541</v>
      </c>
      <c r="B518" s="2">
        <v>45761</v>
      </c>
      <c r="C518">
        <v>2025</v>
      </c>
      <c r="D518">
        <v>4</v>
      </c>
      <c r="E518" t="s">
        <v>73</v>
      </c>
      <c r="F518" t="s">
        <v>40</v>
      </c>
      <c r="G518" t="s">
        <v>94</v>
      </c>
      <c r="H518" t="s">
        <v>3026</v>
      </c>
      <c r="I518" t="s">
        <v>22</v>
      </c>
      <c r="J518" t="s">
        <v>33</v>
      </c>
      <c r="K518" t="s">
        <v>2969</v>
      </c>
      <c r="L518" t="s">
        <v>10</v>
      </c>
    </row>
    <row r="519" spans="1:12">
      <c r="A519" t="s">
        <v>3542</v>
      </c>
      <c r="B519" s="2">
        <v>45779</v>
      </c>
      <c r="C519">
        <v>2025</v>
      </c>
      <c r="D519">
        <v>5</v>
      </c>
      <c r="E519" t="s">
        <v>83</v>
      </c>
      <c r="F519" t="s">
        <v>31</v>
      </c>
      <c r="G519" t="s">
        <v>20</v>
      </c>
      <c r="H519" t="s">
        <v>3039</v>
      </c>
      <c r="I519" t="s">
        <v>42</v>
      </c>
      <c r="J519" t="s">
        <v>33</v>
      </c>
      <c r="K519" t="s">
        <v>2969</v>
      </c>
      <c r="L519" t="s">
        <v>10</v>
      </c>
    </row>
    <row r="520" spans="1:12">
      <c r="A520" t="s">
        <v>3543</v>
      </c>
      <c r="B520" s="2">
        <v>45791</v>
      </c>
      <c r="C520">
        <v>2025</v>
      </c>
      <c r="D520">
        <v>5</v>
      </c>
      <c r="E520" t="s">
        <v>83</v>
      </c>
      <c r="F520" t="s">
        <v>54</v>
      </c>
      <c r="G520" t="s">
        <v>20</v>
      </c>
      <c r="H520" t="s">
        <v>3019</v>
      </c>
      <c r="I520" t="s">
        <v>35</v>
      </c>
      <c r="J520" t="s">
        <v>44</v>
      </c>
      <c r="K520" t="s">
        <v>2969</v>
      </c>
      <c r="L520" t="s">
        <v>10</v>
      </c>
    </row>
    <row r="521" spans="1:12">
      <c r="A521" t="s">
        <v>3544</v>
      </c>
      <c r="B521" s="2">
        <v>45798</v>
      </c>
      <c r="C521">
        <v>2025</v>
      </c>
      <c r="D521">
        <v>5</v>
      </c>
      <c r="E521" t="s">
        <v>83</v>
      </c>
      <c r="F521" t="s">
        <v>67</v>
      </c>
      <c r="G521" t="s">
        <v>48</v>
      </c>
      <c r="H521" t="s">
        <v>51</v>
      </c>
      <c r="I521" t="s">
        <v>15</v>
      </c>
      <c r="J521" t="s">
        <v>4</v>
      </c>
      <c r="K521" t="s">
        <v>2969</v>
      </c>
      <c r="L521" t="s">
        <v>10</v>
      </c>
    </row>
    <row r="522" spans="1:12">
      <c r="A522" t="s">
        <v>3545</v>
      </c>
      <c r="B522" s="2">
        <v>45795</v>
      </c>
      <c r="C522">
        <v>2025</v>
      </c>
      <c r="D522">
        <v>5</v>
      </c>
      <c r="E522" t="s">
        <v>83</v>
      </c>
      <c r="F522" t="s">
        <v>26</v>
      </c>
      <c r="G522" t="s">
        <v>94</v>
      </c>
      <c r="H522" t="s">
        <v>51</v>
      </c>
      <c r="I522" t="s">
        <v>35</v>
      </c>
      <c r="J522" t="s">
        <v>4</v>
      </c>
      <c r="K522" t="s">
        <v>2969</v>
      </c>
      <c r="L522" t="s">
        <v>10</v>
      </c>
    </row>
    <row r="523" spans="1:12">
      <c r="A523" t="s">
        <v>3546</v>
      </c>
      <c r="B523" s="2">
        <v>45780</v>
      </c>
      <c r="C523">
        <v>2025</v>
      </c>
      <c r="D523">
        <v>5</v>
      </c>
      <c r="E523" t="s">
        <v>83</v>
      </c>
      <c r="F523" t="s">
        <v>40</v>
      </c>
      <c r="G523" t="s">
        <v>38</v>
      </c>
      <c r="H523" t="s">
        <v>3039</v>
      </c>
      <c r="I523" t="s">
        <v>8</v>
      </c>
      <c r="J523" t="s">
        <v>12</v>
      </c>
      <c r="K523" t="s">
        <v>2969</v>
      </c>
      <c r="L523" t="s">
        <v>10</v>
      </c>
    </row>
    <row r="524" spans="1:12">
      <c r="A524" t="s">
        <v>3547</v>
      </c>
      <c r="B524" s="2">
        <v>45786</v>
      </c>
      <c r="C524">
        <v>2025</v>
      </c>
      <c r="D524">
        <v>5</v>
      </c>
      <c r="E524" t="s">
        <v>83</v>
      </c>
      <c r="F524" t="s">
        <v>78</v>
      </c>
      <c r="G524" t="s">
        <v>55</v>
      </c>
      <c r="H524" t="s">
        <v>3045</v>
      </c>
      <c r="I524" t="s">
        <v>52</v>
      </c>
      <c r="J524" t="s">
        <v>33</v>
      </c>
      <c r="K524" t="s">
        <v>2969</v>
      </c>
      <c r="L524" t="s">
        <v>10</v>
      </c>
    </row>
    <row r="525" spans="1:12">
      <c r="A525" t="s">
        <v>3548</v>
      </c>
      <c r="B525" s="2">
        <v>45792</v>
      </c>
      <c r="C525">
        <v>2025</v>
      </c>
      <c r="D525">
        <v>5</v>
      </c>
      <c r="E525" t="s">
        <v>83</v>
      </c>
      <c r="F525" t="s">
        <v>78</v>
      </c>
      <c r="G525" t="s">
        <v>69</v>
      </c>
      <c r="H525" t="s">
        <v>51</v>
      </c>
      <c r="I525" t="s">
        <v>22</v>
      </c>
      <c r="J525" t="s">
        <v>12</v>
      </c>
      <c r="K525" t="s">
        <v>2969</v>
      </c>
      <c r="L525" t="s">
        <v>10</v>
      </c>
    </row>
    <row r="526" spans="1:12">
      <c r="A526" t="s">
        <v>3549</v>
      </c>
      <c r="B526" s="2">
        <v>45781</v>
      </c>
      <c r="C526">
        <v>2025</v>
      </c>
      <c r="D526">
        <v>5</v>
      </c>
      <c r="E526" t="s">
        <v>83</v>
      </c>
      <c r="F526" t="s">
        <v>38</v>
      </c>
      <c r="G526" t="s">
        <v>74</v>
      </c>
      <c r="H526" t="s">
        <v>3039</v>
      </c>
      <c r="I526" t="s">
        <v>35</v>
      </c>
      <c r="J526" t="s">
        <v>44</v>
      </c>
      <c r="K526" t="s">
        <v>2969</v>
      </c>
      <c r="L526" t="s">
        <v>10</v>
      </c>
    </row>
    <row r="527" spans="1:12">
      <c r="A527" t="s">
        <v>3550</v>
      </c>
      <c r="B527" s="2">
        <v>45802</v>
      </c>
      <c r="C527">
        <v>2025</v>
      </c>
      <c r="D527">
        <v>5</v>
      </c>
      <c r="E527" t="s">
        <v>83</v>
      </c>
      <c r="F527" t="s">
        <v>2</v>
      </c>
      <c r="G527" t="s">
        <v>3</v>
      </c>
      <c r="H527" t="s">
        <v>3026</v>
      </c>
      <c r="I527" t="s">
        <v>8</v>
      </c>
      <c r="J527" t="s">
        <v>12</v>
      </c>
      <c r="K527" t="s">
        <v>2969</v>
      </c>
      <c r="L527" t="s">
        <v>10</v>
      </c>
    </row>
    <row r="528" spans="1:12">
      <c r="A528" t="s">
        <v>3551</v>
      </c>
      <c r="B528" s="2">
        <v>45805</v>
      </c>
      <c r="C528">
        <v>2025</v>
      </c>
      <c r="D528">
        <v>5</v>
      </c>
      <c r="E528" t="s">
        <v>83</v>
      </c>
      <c r="F528" t="s">
        <v>67</v>
      </c>
      <c r="G528" t="s">
        <v>20</v>
      </c>
      <c r="H528" t="s">
        <v>3022</v>
      </c>
      <c r="I528" t="s">
        <v>35</v>
      </c>
      <c r="J528" t="s">
        <v>33</v>
      </c>
      <c r="K528" t="s">
        <v>2969</v>
      </c>
      <c r="L528" t="s">
        <v>10</v>
      </c>
    </row>
    <row r="529" spans="1:12">
      <c r="A529" t="s">
        <v>3552</v>
      </c>
      <c r="B529" s="2">
        <v>45799</v>
      </c>
      <c r="C529">
        <v>2025</v>
      </c>
      <c r="D529">
        <v>5</v>
      </c>
      <c r="E529" t="s">
        <v>83</v>
      </c>
      <c r="F529" t="s">
        <v>26</v>
      </c>
      <c r="G529" t="s">
        <v>3</v>
      </c>
      <c r="H529" t="s">
        <v>51</v>
      </c>
      <c r="I529" t="s">
        <v>22</v>
      </c>
      <c r="J529" t="s">
        <v>44</v>
      </c>
      <c r="K529" t="s">
        <v>2969</v>
      </c>
      <c r="L529" t="s">
        <v>10</v>
      </c>
    </row>
    <row r="530" spans="1:12">
      <c r="A530" t="s">
        <v>3553</v>
      </c>
      <c r="B530" s="2">
        <v>45793</v>
      </c>
      <c r="C530">
        <v>2025</v>
      </c>
      <c r="D530">
        <v>5</v>
      </c>
      <c r="E530" t="s">
        <v>83</v>
      </c>
      <c r="F530" t="s">
        <v>2</v>
      </c>
      <c r="G530" t="s">
        <v>55</v>
      </c>
      <c r="H530" t="s">
        <v>3019</v>
      </c>
      <c r="I530" t="s">
        <v>15</v>
      </c>
      <c r="J530" t="s">
        <v>44</v>
      </c>
      <c r="K530" t="s">
        <v>2969</v>
      </c>
      <c r="L530" t="s">
        <v>10</v>
      </c>
    </row>
    <row r="531" spans="1:12">
      <c r="A531" t="s">
        <v>3554</v>
      </c>
      <c r="B531" s="2">
        <v>45780</v>
      </c>
      <c r="C531">
        <v>2025</v>
      </c>
      <c r="D531">
        <v>5</v>
      </c>
      <c r="E531" t="s">
        <v>83</v>
      </c>
      <c r="F531" t="s">
        <v>2</v>
      </c>
      <c r="G531" t="s">
        <v>94</v>
      </c>
      <c r="H531" t="s">
        <v>3034</v>
      </c>
      <c r="I531" t="s">
        <v>15</v>
      </c>
      <c r="J531" t="s">
        <v>4</v>
      </c>
      <c r="K531" t="s">
        <v>2969</v>
      </c>
      <c r="L531" t="s">
        <v>10</v>
      </c>
    </row>
    <row r="532" spans="1:12">
      <c r="A532" t="s">
        <v>3555</v>
      </c>
      <c r="B532" s="2">
        <v>45805</v>
      </c>
      <c r="C532">
        <v>2025</v>
      </c>
      <c r="D532">
        <v>5</v>
      </c>
      <c r="E532" t="s">
        <v>83</v>
      </c>
      <c r="F532" t="s">
        <v>26</v>
      </c>
      <c r="G532" t="s">
        <v>32</v>
      </c>
      <c r="H532" t="s">
        <v>3019</v>
      </c>
      <c r="I532" t="s">
        <v>8</v>
      </c>
      <c r="J532" t="s">
        <v>44</v>
      </c>
      <c r="K532" t="s">
        <v>2969</v>
      </c>
      <c r="L532" t="s">
        <v>10</v>
      </c>
    </row>
    <row r="533" spans="1:12">
      <c r="A533" t="s">
        <v>3556</v>
      </c>
      <c r="B533" s="2">
        <v>45797</v>
      </c>
      <c r="C533">
        <v>2025</v>
      </c>
      <c r="D533">
        <v>5</v>
      </c>
      <c r="E533" t="s">
        <v>83</v>
      </c>
      <c r="F533" t="s">
        <v>67</v>
      </c>
      <c r="G533" t="s">
        <v>94</v>
      </c>
      <c r="H533" t="s">
        <v>3022</v>
      </c>
      <c r="I533" t="s">
        <v>15</v>
      </c>
      <c r="J533" t="s">
        <v>12</v>
      </c>
      <c r="K533" t="s">
        <v>2969</v>
      </c>
      <c r="L533" t="s">
        <v>10</v>
      </c>
    </row>
    <row r="534" spans="1:12">
      <c r="A534" t="s">
        <v>3557</v>
      </c>
      <c r="B534" s="2">
        <v>45797</v>
      </c>
      <c r="C534">
        <v>2025</v>
      </c>
      <c r="D534">
        <v>5</v>
      </c>
      <c r="E534" t="s">
        <v>83</v>
      </c>
      <c r="F534" t="s">
        <v>19</v>
      </c>
      <c r="G534" t="s">
        <v>64</v>
      </c>
      <c r="H534" t="s">
        <v>3022</v>
      </c>
      <c r="I534" t="s">
        <v>35</v>
      </c>
      <c r="J534" t="s">
        <v>4</v>
      </c>
      <c r="K534" t="s">
        <v>2969</v>
      </c>
      <c r="L534" t="s">
        <v>10</v>
      </c>
    </row>
    <row r="535" spans="1:12">
      <c r="A535" t="s">
        <v>3558</v>
      </c>
      <c r="B535" s="2">
        <v>45805</v>
      </c>
      <c r="C535">
        <v>2025</v>
      </c>
      <c r="D535">
        <v>5</v>
      </c>
      <c r="E535" t="s">
        <v>83</v>
      </c>
      <c r="F535" t="s">
        <v>78</v>
      </c>
      <c r="G535" t="s">
        <v>3</v>
      </c>
      <c r="H535" t="s">
        <v>3026</v>
      </c>
      <c r="I535" t="s">
        <v>35</v>
      </c>
      <c r="J535" t="s">
        <v>33</v>
      </c>
      <c r="K535" t="s">
        <v>2969</v>
      </c>
      <c r="L535" t="s">
        <v>10</v>
      </c>
    </row>
    <row r="536" spans="1:12">
      <c r="A536" t="s">
        <v>3559</v>
      </c>
      <c r="B536" s="2">
        <v>45792</v>
      </c>
      <c r="C536">
        <v>2025</v>
      </c>
      <c r="D536">
        <v>5</v>
      </c>
      <c r="E536" t="s">
        <v>83</v>
      </c>
      <c r="F536" t="s">
        <v>2</v>
      </c>
      <c r="G536" t="s">
        <v>48</v>
      </c>
      <c r="H536" t="s">
        <v>3026</v>
      </c>
      <c r="I536" t="s">
        <v>22</v>
      </c>
      <c r="J536" t="s">
        <v>4</v>
      </c>
      <c r="K536" t="s">
        <v>2977</v>
      </c>
      <c r="L536" t="s">
        <v>10</v>
      </c>
    </row>
    <row r="537" spans="1:12">
      <c r="A537" t="s">
        <v>3560</v>
      </c>
      <c r="B537" s="2">
        <v>45786</v>
      </c>
      <c r="C537">
        <v>2025</v>
      </c>
      <c r="D537">
        <v>5</v>
      </c>
      <c r="E537" t="s">
        <v>83</v>
      </c>
      <c r="F537" t="s">
        <v>38</v>
      </c>
      <c r="G537" t="s">
        <v>74</v>
      </c>
      <c r="H537" t="s">
        <v>3032</v>
      </c>
      <c r="I537" t="s">
        <v>22</v>
      </c>
      <c r="J537" t="s">
        <v>33</v>
      </c>
      <c r="K537" t="s">
        <v>2969</v>
      </c>
      <c r="L537" t="s">
        <v>10</v>
      </c>
    </row>
    <row r="538" spans="1:12">
      <c r="A538" t="s">
        <v>3561</v>
      </c>
      <c r="B538" s="2">
        <v>45781</v>
      </c>
      <c r="C538">
        <v>2025</v>
      </c>
      <c r="D538">
        <v>5</v>
      </c>
      <c r="E538" t="s">
        <v>83</v>
      </c>
      <c r="F538" t="s">
        <v>31</v>
      </c>
      <c r="G538" t="s">
        <v>61</v>
      </c>
      <c r="H538" t="s">
        <v>51</v>
      </c>
      <c r="I538" t="s">
        <v>22</v>
      </c>
      <c r="J538" t="s">
        <v>44</v>
      </c>
      <c r="K538" t="s">
        <v>2977</v>
      </c>
      <c r="L538" t="s">
        <v>17</v>
      </c>
    </row>
    <row r="539" spans="1:12">
      <c r="A539" t="s">
        <v>3562</v>
      </c>
      <c r="B539" s="2">
        <v>45785</v>
      </c>
      <c r="C539">
        <v>2025</v>
      </c>
      <c r="D539">
        <v>5</v>
      </c>
      <c r="E539" t="s">
        <v>83</v>
      </c>
      <c r="F539" t="s">
        <v>38</v>
      </c>
      <c r="G539" t="s">
        <v>64</v>
      </c>
      <c r="H539" t="s">
        <v>3019</v>
      </c>
      <c r="I539" t="s">
        <v>52</v>
      </c>
      <c r="J539" t="s">
        <v>12</v>
      </c>
      <c r="K539" t="s">
        <v>2969</v>
      </c>
      <c r="L539" t="s">
        <v>10</v>
      </c>
    </row>
    <row r="540" spans="1:12">
      <c r="A540" t="s">
        <v>3563</v>
      </c>
      <c r="B540" s="2">
        <v>45787</v>
      </c>
      <c r="C540">
        <v>2025</v>
      </c>
      <c r="D540">
        <v>5</v>
      </c>
      <c r="E540" t="s">
        <v>83</v>
      </c>
      <c r="F540" t="s">
        <v>47</v>
      </c>
      <c r="G540" t="s">
        <v>27</v>
      </c>
      <c r="H540" t="s">
        <v>3032</v>
      </c>
      <c r="I540" t="s">
        <v>35</v>
      </c>
      <c r="J540" t="s">
        <v>33</v>
      </c>
      <c r="K540" t="s">
        <v>2969</v>
      </c>
      <c r="L540" t="s">
        <v>10</v>
      </c>
    </row>
    <row r="541" spans="1:12">
      <c r="A541" t="s">
        <v>3564</v>
      </c>
      <c r="B541" s="2">
        <v>45780</v>
      </c>
      <c r="C541">
        <v>2025</v>
      </c>
      <c r="D541">
        <v>5</v>
      </c>
      <c r="E541" t="s">
        <v>83</v>
      </c>
      <c r="F541" t="s">
        <v>19</v>
      </c>
      <c r="G541" t="s">
        <v>74</v>
      </c>
      <c r="H541" t="s">
        <v>3045</v>
      </c>
      <c r="I541" t="s">
        <v>8</v>
      </c>
      <c r="J541" t="s">
        <v>33</v>
      </c>
      <c r="K541" t="s">
        <v>2969</v>
      </c>
      <c r="L541" t="s">
        <v>17</v>
      </c>
    </row>
    <row r="542" spans="1:12">
      <c r="A542" t="s">
        <v>3565</v>
      </c>
      <c r="B542" s="2">
        <v>45803</v>
      </c>
      <c r="C542">
        <v>2025</v>
      </c>
      <c r="D542">
        <v>5</v>
      </c>
      <c r="E542" t="s">
        <v>83</v>
      </c>
      <c r="F542" t="s">
        <v>38</v>
      </c>
      <c r="G542" t="s">
        <v>3</v>
      </c>
      <c r="H542" t="s">
        <v>3026</v>
      </c>
      <c r="I542" t="s">
        <v>35</v>
      </c>
      <c r="J542" t="s">
        <v>4</v>
      </c>
      <c r="K542" t="s">
        <v>2969</v>
      </c>
      <c r="L542" t="s">
        <v>10</v>
      </c>
    </row>
    <row r="543" spans="1:12">
      <c r="A543" t="s">
        <v>3566</v>
      </c>
      <c r="B543" s="2">
        <v>45780</v>
      </c>
      <c r="C543">
        <v>2025</v>
      </c>
      <c r="D543">
        <v>5</v>
      </c>
      <c r="E543" t="s">
        <v>83</v>
      </c>
      <c r="F543" t="s">
        <v>40</v>
      </c>
      <c r="G543" t="s">
        <v>69</v>
      </c>
      <c r="H543" t="s">
        <v>51</v>
      </c>
      <c r="I543" t="s">
        <v>22</v>
      </c>
      <c r="J543" t="s">
        <v>44</v>
      </c>
      <c r="K543" t="s">
        <v>2969</v>
      </c>
      <c r="L543" t="s">
        <v>10</v>
      </c>
    </row>
    <row r="544" spans="1:12">
      <c r="A544" t="s">
        <v>3567</v>
      </c>
      <c r="B544" s="2">
        <v>45805</v>
      </c>
      <c r="C544">
        <v>2025</v>
      </c>
      <c r="D544">
        <v>5</v>
      </c>
      <c r="E544" t="s">
        <v>83</v>
      </c>
      <c r="F544" t="s">
        <v>26</v>
      </c>
      <c r="G544" t="s">
        <v>64</v>
      </c>
      <c r="H544" t="s">
        <v>3032</v>
      </c>
      <c r="I544" t="s">
        <v>52</v>
      </c>
      <c r="J544" t="s">
        <v>4</v>
      </c>
      <c r="K544" t="s">
        <v>2969</v>
      </c>
      <c r="L544" t="s">
        <v>10</v>
      </c>
    </row>
    <row r="545" spans="1:12">
      <c r="A545" t="s">
        <v>3568</v>
      </c>
      <c r="B545" s="2">
        <v>45802</v>
      </c>
      <c r="C545">
        <v>2025</v>
      </c>
      <c r="D545">
        <v>5</v>
      </c>
      <c r="E545" t="s">
        <v>83</v>
      </c>
      <c r="F545" t="s">
        <v>2</v>
      </c>
      <c r="G545" t="s">
        <v>61</v>
      </c>
      <c r="H545" t="s">
        <v>51</v>
      </c>
      <c r="I545" t="s">
        <v>42</v>
      </c>
      <c r="J545" t="s">
        <v>4</v>
      </c>
      <c r="K545" t="s">
        <v>2977</v>
      </c>
      <c r="L545" t="s">
        <v>10</v>
      </c>
    </row>
    <row r="546" spans="1:12">
      <c r="A546" t="s">
        <v>3569</v>
      </c>
      <c r="B546" s="2">
        <v>45799</v>
      </c>
      <c r="C546">
        <v>2025</v>
      </c>
      <c r="D546">
        <v>5</v>
      </c>
      <c r="E546" t="s">
        <v>83</v>
      </c>
      <c r="F546" t="s">
        <v>78</v>
      </c>
      <c r="G546" t="s">
        <v>20</v>
      </c>
      <c r="H546" t="s">
        <v>3026</v>
      </c>
      <c r="I546" t="s">
        <v>52</v>
      </c>
      <c r="J546" t="s">
        <v>4</v>
      </c>
      <c r="K546" t="s">
        <v>2969</v>
      </c>
      <c r="L546" t="s">
        <v>10</v>
      </c>
    </row>
    <row r="547" spans="1:12">
      <c r="A547" t="s">
        <v>3570</v>
      </c>
      <c r="B547" s="2">
        <v>45796</v>
      </c>
      <c r="C547">
        <v>2025</v>
      </c>
      <c r="D547">
        <v>5</v>
      </c>
      <c r="E547" t="s">
        <v>83</v>
      </c>
      <c r="F547" t="s">
        <v>78</v>
      </c>
      <c r="G547" t="s">
        <v>94</v>
      </c>
      <c r="H547" t="s">
        <v>3045</v>
      </c>
      <c r="I547" t="s">
        <v>22</v>
      </c>
      <c r="J547" t="s">
        <v>12</v>
      </c>
      <c r="K547" t="s">
        <v>2969</v>
      </c>
      <c r="L547" t="s">
        <v>10</v>
      </c>
    </row>
    <row r="548" spans="1:12">
      <c r="A548" t="s">
        <v>3571</v>
      </c>
      <c r="B548" s="2">
        <v>45797</v>
      </c>
      <c r="C548">
        <v>2025</v>
      </c>
      <c r="D548">
        <v>5</v>
      </c>
      <c r="E548" t="s">
        <v>83</v>
      </c>
      <c r="F548" t="s">
        <v>2</v>
      </c>
      <c r="G548" t="s">
        <v>48</v>
      </c>
      <c r="H548" t="s">
        <v>3045</v>
      </c>
      <c r="I548" t="s">
        <v>52</v>
      </c>
      <c r="J548" t="s">
        <v>44</v>
      </c>
      <c r="K548" t="s">
        <v>2977</v>
      </c>
      <c r="L548" t="s">
        <v>10</v>
      </c>
    </row>
    <row r="549" spans="1:12">
      <c r="A549" t="s">
        <v>3572</v>
      </c>
      <c r="B549" s="2">
        <v>45786</v>
      </c>
      <c r="C549">
        <v>2025</v>
      </c>
      <c r="D549">
        <v>5</v>
      </c>
      <c r="E549" t="s">
        <v>83</v>
      </c>
      <c r="F549" t="s">
        <v>78</v>
      </c>
      <c r="G549" t="s">
        <v>69</v>
      </c>
      <c r="H549" t="s">
        <v>3045</v>
      </c>
      <c r="I549" t="s">
        <v>22</v>
      </c>
      <c r="J549" t="s">
        <v>44</v>
      </c>
      <c r="K549" t="s">
        <v>2969</v>
      </c>
      <c r="L549" t="s">
        <v>10</v>
      </c>
    </row>
    <row r="550" spans="1:12">
      <c r="A550" t="s">
        <v>3573</v>
      </c>
      <c r="B550" s="2">
        <v>45779</v>
      </c>
      <c r="C550">
        <v>2025</v>
      </c>
      <c r="D550">
        <v>5</v>
      </c>
      <c r="E550" t="s">
        <v>83</v>
      </c>
      <c r="F550" t="s">
        <v>26</v>
      </c>
      <c r="G550" t="s">
        <v>94</v>
      </c>
      <c r="H550" t="s">
        <v>3045</v>
      </c>
      <c r="I550" t="s">
        <v>52</v>
      </c>
      <c r="J550" t="s">
        <v>4</v>
      </c>
      <c r="K550" t="s">
        <v>2969</v>
      </c>
      <c r="L550" t="s">
        <v>10</v>
      </c>
    </row>
    <row r="551" spans="1:12">
      <c r="A551" t="s">
        <v>3574</v>
      </c>
      <c r="B551" s="2">
        <v>45786</v>
      </c>
      <c r="C551">
        <v>2025</v>
      </c>
      <c r="D551">
        <v>5</v>
      </c>
      <c r="E551" t="s">
        <v>83</v>
      </c>
      <c r="F551" t="s">
        <v>40</v>
      </c>
      <c r="G551" t="s">
        <v>20</v>
      </c>
      <c r="H551" t="s">
        <v>3034</v>
      </c>
      <c r="I551" t="s">
        <v>15</v>
      </c>
      <c r="J551" t="s">
        <v>44</v>
      </c>
      <c r="K551" t="s">
        <v>2969</v>
      </c>
      <c r="L551" t="s">
        <v>10</v>
      </c>
    </row>
    <row r="552" spans="1:12">
      <c r="A552" t="s">
        <v>3575</v>
      </c>
      <c r="B552" s="2">
        <v>45789</v>
      </c>
      <c r="C552">
        <v>2025</v>
      </c>
      <c r="D552">
        <v>5</v>
      </c>
      <c r="E552" t="s">
        <v>83</v>
      </c>
      <c r="F552" t="s">
        <v>31</v>
      </c>
      <c r="G552" t="s">
        <v>69</v>
      </c>
      <c r="H552" t="s">
        <v>51</v>
      </c>
      <c r="I552" t="s">
        <v>35</v>
      </c>
      <c r="J552" t="s">
        <v>4</v>
      </c>
      <c r="K552" t="s">
        <v>2969</v>
      </c>
      <c r="L552" t="s">
        <v>10</v>
      </c>
    </row>
    <row r="553" spans="1:12">
      <c r="A553" t="s">
        <v>3576</v>
      </c>
      <c r="B553" s="2">
        <v>45787</v>
      </c>
      <c r="C553">
        <v>2025</v>
      </c>
      <c r="D553">
        <v>5</v>
      </c>
      <c r="E553" t="s">
        <v>83</v>
      </c>
      <c r="F553" t="s">
        <v>67</v>
      </c>
      <c r="G553" t="s">
        <v>74</v>
      </c>
      <c r="H553" t="s">
        <v>3026</v>
      </c>
      <c r="I553" t="s">
        <v>35</v>
      </c>
      <c r="J553" t="s">
        <v>33</v>
      </c>
      <c r="K553" t="s">
        <v>2969</v>
      </c>
      <c r="L553" t="s">
        <v>10</v>
      </c>
    </row>
    <row r="554" spans="1:12">
      <c r="A554" t="s">
        <v>3577</v>
      </c>
      <c r="B554" s="2">
        <v>45834</v>
      </c>
      <c r="C554">
        <v>2025</v>
      </c>
      <c r="D554">
        <v>6</v>
      </c>
      <c r="E554" t="s">
        <v>87</v>
      </c>
      <c r="F554" t="s">
        <v>67</v>
      </c>
      <c r="G554" t="s">
        <v>94</v>
      </c>
      <c r="H554" t="s">
        <v>3019</v>
      </c>
      <c r="I554" t="s">
        <v>15</v>
      </c>
      <c r="J554" t="s">
        <v>44</v>
      </c>
      <c r="K554" t="s">
        <v>2969</v>
      </c>
      <c r="L554" t="s">
        <v>10</v>
      </c>
    </row>
    <row r="555" spans="1:12">
      <c r="A555" t="s">
        <v>3578</v>
      </c>
      <c r="B555" s="2">
        <v>45814</v>
      </c>
      <c r="C555">
        <v>2025</v>
      </c>
      <c r="D555">
        <v>6</v>
      </c>
      <c r="E555" t="s">
        <v>87</v>
      </c>
      <c r="F555" t="s">
        <v>78</v>
      </c>
      <c r="G555" t="s">
        <v>94</v>
      </c>
      <c r="H555" t="s">
        <v>3034</v>
      </c>
      <c r="I555" t="s">
        <v>42</v>
      </c>
      <c r="J555" t="s">
        <v>4</v>
      </c>
      <c r="K555" t="s">
        <v>2977</v>
      </c>
      <c r="L555" t="s">
        <v>10</v>
      </c>
    </row>
    <row r="556" spans="1:12">
      <c r="A556" t="s">
        <v>3579</v>
      </c>
      <c r="B556" s="2">
        <v>45811</v>
      </c>
      <c r="C556">
        <v>2025</v>
      </c>
      <c r="D556">
        <v>6</v>
      </c>
      <c r="E556" t="s">
        <v>87</v>
      </c>
      <c r="F556" t="s">
        <v>47</v>
      </c>
      <c r="G556" t="s">
        <v>61</v>
      </c>
      <c r="H556" t="s">
        <v>3045</v>
      </c>
      <c r="I556" t="s">
        <v>15</v>
      </c>
      <c r="J556" t="s">
        <v>44</v>
      </c>
      <c r="K556" t="s">
        <v>2969</v>
      </c>
      <c r="L556" t="s">
        <v>10</v>
      </c>
    </row>
    <row r="557" spans="1:12">
      <c r="A557" t="s">
        <v>3580</v>
      </c>
      <c r="B557" s="2">
        <v>45825</v>
      </c>
      <c r="C557">
        <v>2025</v>
      </c>
      <c r="D557">
        <v>6</v>
      </c>
      <c r="E557" t="s">
        <v>87</v>
      </c>
      <c r="F557" t="s">
        <v>40</v>
      </c>
      <c r="G557" t="s">
        <v>38</v>
      </c>
      <c r="H557" t="s">
        <v>3034</v>
      </c>
      <c r="I557" t="s">
        <v>15</v>
      </c>
      <c r="J557" t="s">
        <v>4</v>
      </c>
      <c r="K557" t="s">
        <v>2969</v>
      </c>
      <c r="L557" t="s">
        <v>10</v>
      </c>
    </row>
    <row r="558" spans="1:12">
      <c r="A558" t="s">
        <v>3581</v>
      </c>
      <c r="B558" s="2">
        <v>45816</v>
      </c>
      <c r="C558">
        <v>2025</v>
      </c>
      <c r="D558">
        <v>6</v>
      </c>
      <c r="E558" t="s">
        <v>87</v>
      </c>
      <c r="F558" t="s">
        <v>19</v>
      </c>
      <c r="G558" t="s">
        <v>20</v>
      </c>
      <c r="H558" t="s">
        <v>3039</v>
      </c>
      <c r="I558" t="s">
        <v>42</v>
      </c>
      <c r="J558" t="s">
        <v>33</v>
      </c>
      <c r="K558" t="s">
        <v>2969</v>
      </c>
      <c r="L558" t="s">
        <v>10</v>
      </c>
    </row>
    <row r="559" spans="1:12">
      <c r="A559" t="s">
        <v>3582</v>
      </c>
      <c r="B559" s="2">
        <v>45824</v>
      </c>
      <c r="C559">
        <v>2025</v>
      </c>
      <c r="D559">
        <v>6</v>
      </c>
      <c r="E559" t="s">
        <v>87</v>
      </c>
      <c r="F559" t="s">
        <v>2</v>
      </c>
      <c r="G559" t="s">
        <v>20</v>
      </c>
      <c r="H559" t="s">
        <v>3032</v>
      </c>
      <c r="I559" t="s">
        <v>42</v>
      </c>
      <c r="J559" t="s">
        <v>44</v>
      </c>
      <c r="K559" t="s">
        <v>2977</v>
      </c>
      <c r="L559" t="s">
        <v>17</v>
      </c>
    </row>
    <row r="560" spans="1:12">
      <c r="A560" t="s">
        <v>3583</v>
      </c>
      <c r="B560" s="2">
        <v>45832</v>
      </c>
      <c r="C560">
        <v>2025</v>
      </c>
      <c r="D560">
        <v>6</v>
      </c>
      <c r="E560" t="s">
        <v>87</v>
      </c>
      <c r="F560" t="s">
        <v>78</v>
      </c>
      <c r="G560" t="s">
        <v>48</v>
      </c>
      <c r="H560" t="s">
        <v>3026</v>
      </c>
      <c r="I560" t="s">
        <v>42</v>
      </c>
      <c r="J560" t="s">
        <v>12</v>
      </c>
      <c r="K560" t="s">
        <v>2969</v>
      </c>
      <c r="L560" t="s">
        <v>10</v>
      </c>
    </row>
    <row r="561" spans="1:12">
      <c r="A561" t="s">
        <v>3584</v>
      </c>
      <c r="B561" s="2">
        <v>45817</v>
      </c>
      <c r="C561">
        <v>2025</v>
      </c>
      <c r="D561">
        <v>6</v>
      </c>
      <c r="E561" t="s">
        <v>87</v>
      </c>
      <c r="F561" t="s">
        <v>19</v>
      </c>
      <c r="G561" t="s">
        <v>55</v>
      </c>
      <c r="H561" t="s">
        <v>3026</v>
      </c>
      <c r="I561" t="s">
        <v>8</v>
      </c>
      <c r="J561" t="s">
        <v>4</v>
      </c>
      <c r="K561" t="s">
        <v>2969</v>
      </c>
      <c r="L561" t="s">
        <v>10</v>
      </c>
    </row>
    <row r="562" spans="1:12">
      <c r="A562" t="s">
        <v>3585</v>
      </c>
      <c r="B562" s="2">
        <v>45829</v>
      </c>
      <c r="C562">
        <v>2025</v>
      </c>
      <c r="D562">
        <v>6</v>
      </c>
      <c r="E562" t="s">
        <v>87</v>
      </c>
      <c r="F562" t="s">
        <v>47</v>
      </c>
      <c r="G562" t="s">
        <v>55</v>
      </c>
      <c r="H562" t="s">
        <v>3045</v>
      </c>
      <c r="I562" t="s">
        <v>42</v>
      </c>
      <c r="J562" t="s">
        <v>4</v>
      </c>
      <c r="K562" t="s">
        <v>2969</v>
      </c>
      <c r="L562" t="s">
        <v>10</v>
      </c>
    </row>
    <row r="563" spans="1:12">
      <c r="A563" t="s">
        <v>3586</v>
      </c>
      <c r="B563" s="2">
        <v>45822</v>
      </c>
      <c r="C563">
        <v>2025</v>
      </c>
      <c r="D563">
        <v>6</v>
      </c>
      <c r="E563" t="s">
        <v>87</v>
      </c>
      <c r="F563" t="s">
        <v>19</v>
      </c>
      <c r="G563" t="s">
        <v>27</v>
      </c>
      <c r="H563" t="s">
        <v>3034</v>
      </c>
      <c r="I563" t="s">
        <v>52</v>
      </c>
      <c r="J563" t="s">
        <v>4</v>
      </c>
      <c r="K563" t="s">
        <v>2969</v>
      </c>
      <c r="L563" t="s">
        <v>10</v>
      </c>
    </row>
    <row r="564" spans="1:12">
      <c r="A564" t="s">
        <v>3587</v>
      </c>
      <c r="B564" s="2">
        <v>45828</v>
      </c>
      <c r="C564">
        <v>2025</v>
      </c>
      <c r="D564">
        <v>6</v>
      </c>
      <c r="E564" t="s">
        <v>87</v>
      </c>
      <c r="F564" t="s">
        <v>54</v>
      </c>
      <c r="G564" t="s">
        <v>64</v>
      </c>
      <c r="H564" t="s">
        <v>3034</v>
      </c>
      <c r="I564" t="s">
        <v>8</v>
      </c>
      <c r="J564" t="s">
        <v>12</v>
      </c>
      <c r="K564" t="s">
        <v>2969</v>
      </c>
      <c r="L564" t="s">
        <v>10</v>
      </c>
    </row>
    <row r="565" spans="1:12">
      <c r="A565" t="s">
        <v>3588</v>
      </c>
      <c r="B565" s="2">
        <v>45810</v>
      </c>
      <c r="C565">
        <v>2025</v>
      </c>
      <c r="D565">
        <v>6</v>
      </c>
      <c r="E565" t="s">
        <v>87</v>
      </c>
      <c r="F565" t="s">
        <v>2</v>
      </c>
      <c r="G565" t="s">
        <v>20</v>
      </c>
      <c r="H565" t="s">
        <v>3034</v>
      </c>
      <c r="I565" t="s">
        <v>15</v>
      </c>
      <c r="J565" t="s">
        <v>12</v>
      </c>
      <c r="K565" t="s">
        <v>2969</v>
      </c>
      <c r="L565" t="s">
        <v>10</v>
      </c>
    </row>
    <row r="566" spans="1:12">
      <c r="A566" t="s">
        <v>3589</v>
      </c>
      <c r="B566" s="2">
        <v>45814</v>
      </c>
      <c r="C566">
        <v>2025</v>
      </c>
      <c r="D566">
        <v>6</v>
      </c>
      <c r="E566" t="s">
        <v>87</v>
      </c>
      <c r="F566" t="s">
        <v>54</v>
      </c>
      <c r="G566" t="s">
        <v>48</v>
      </c>
      <c r="H566" t="s">
        <v>3019</v>
      </c>
      <c r="I566" t="s">
        <v>35</v>
      </c>
      <c r="J566" t="s">
        <v>33</v>
      </c>
      <c r="K566" t="s">
        <v>2969</v>
      </c>
      <c r="L566" t="s">
        <v>10</v>
      </c>
    </row>
    <row r="567" spans="1:12">
      <c r="A567" t="s">
        <v>3590</v>
      </c>
      <c r="B567" s="2">
        <v>45816</v>
      </c>
      <c r="C567">
        <v>2025</v>
      </c>
      <c r="D567">
        <v>6</v>
      </c>
      <c r="E567" t="s">
        <v>87</v>
      </c>
      <c r="F567" t="s">
        <v>19</v>
      </c>
      <c r="G567" t="s">
        <v>55</v>
      </c>
      <c r="H567" t="s">
        <v>3022</v>
      </c>
      <c r="I567" t="s">
        <v>52</v>
      </c>
      <c r="J567" t="s">
        <v>4</v>
      </c>
      <c r="K567" t="s">
        <v>2969</v>
      </c>
      <c r="L567" t="s">
        <v>17</v>
      </c>
    </row>
    <row r="568" spans="1:12">
      <c r="A568" t="s">
        <v>3591</v>
      </c>
      <c r="B568" s="2">
        <v>45831</v>
      </c>
      <c r="C568">
        <v>2025</v>
      </c>
      <c r="D568">
        <v>6</v>
      </c>
      <c r="E568" t="s">
        <v>87</v>
      </c>
      <c r="F568" t="s">
        <v>47</v>
      </c>
      <c r="G568" t="s">
        <v>27</v>
      </c>
      <c r="H568" t="s">
        <v>3022</v>
      </c>
      <c r="I568" t="s">
        <v>22</v>
      </c>
      <c r="J568" t="s">
        <v>44</v>
      </c>
      <c r="K568" t="s">
        <v>2969</v>
      </c>
      <c r="L568" t="s">
        <v>10</v>
      </c>
    </row>
    <row r="569" spans="1:12">
      <c r="A569" t="s">
        <v>3592</v>
      </c>
      <c r="B569" s="2">
        <v>45820</v>
      </c>
      <c r="C569">
        <v>2025</v>
      </c>
      <c r="D569">
        <v>6</v>
      </c>
      <c r="E569" t="s">
        <v>87</v>
      </c>
      <c r="F569" t="s">
        <v>54</v>
      </c>
      <c r="G569" t="s">
        <v>61</v>
      </c>
      <c r="H569" t="s">
        <v>3034</v>
      </c>
      <c r="I569" t="s">
        <v>42</v>
      </c>
      <c r="J569" t="s">
        <v>4</v>
      </c>
      <c r="K569" t="s">
        <v>2969</v>
      </c>
      <c r="L569" t="s">
        <v>10</v>
      </c>
    </row>
    <row r="570" spans="1:12">
      <c r="A570" t="s">
        <v>3593</v>
      </c>
      <c r="B570" s="2">
        <v>45820</v>
      </c>
      <c r="C570">
        <v>2025</v>
      </c>
      <c r="D570">
        <v>6</v>
      </c>
      <c r="E570" t="s">
        <v>87</v>
      </c>
      <c r="F570" t="s">
        <v>38</v>
      </c>
      <c r="G570" t="s">
        <v>38</v>
      </c>
      <c r="H570" t="s">
        <v>3032</v>
      </c>
      <c r="I570" t="s">
        <v>35</v>
      </c>
      <c r="J570" t="s">
        <v>44</v>
      </c>
      <c r="K570" t="s">
        <v>2969</v>
      </c>
      <c r="L570" t="s">
        <v>10</v>
      </c>
    </row>
    <row r="571" spans="1:12">
      <c r="A571" t="s">
        <v>3594</v>
      </c>
      <c r="B571" s="2">
        <v>45836</v>
      </c>
      <c r="C571">
        <v>2025</v>
      </c>
      <c r="D571">
        <v>6</v>
      </c>
      <c r="E571" t="s">
        <v>87</v>
      </c>
      <c r="F571" t="s">
        <v>31</v>
      </c>
      <c r="G571" t="s">
        <v>48</v>
      </c>
      <c r="H571" t="s">
        <v>3019</v>
      </c>
      <c r="I571" t="s">
        <v>52</v>
      </c>
      <c r="J571" t="s">
        <v>12</v>
      </c>
      <c r="K571" t="s">
        <v>2969</v>
      </c>
      <c r="L571" t="s">
        <v>10</v>
      </c>
    </row>
    <row r="572" spans="1:12">
      <c r="A572" t="s">
        <v>3595</v>
      </c>
      <c r="B572" s="2">
        <v>45812</v>
      </c>
      <c r="C572">
        <v>2025</v>
      </c>
      <c r="D572">
        <v>6</v>
      </c>
      <c r="E572" t="s">
        <v>87</v>
      </c>
      <c r="F572" t="s">
        <v>26</v>
      </c>
      <c r="G572" t="s">
        <v>61</v>
      </c>
      <c r="H572" t="s">
        <v>3019</v>
      </c>
      <c r="I572" t="s">
        <v>15</v>
      </c>
      <c r="J572" t="s">
        <v>12</v>
      </c>
      <c r="K572" t="s">
        <v>2969</v>
      </c>
      <c r="L572" t="s">
        <v>10</v>
      </c>
    </row>
    <row r="573" spans="1:12">
      <c r="A573" t="s">
        <v>3596</v>
      </c>
      <c r="B573" s="2">
        <v>45824</v>
      </c>
      <c r="C573">
        <v>2025</v>
      </c>
      <c r="D573">
        <v>6</v>
      </c>
      <c r="E573" t="s">
        <v>87</v>
      </c>
      <c r="F573" t="s">
        <v>19</v>
      </c>
      <c r="G573" t="s">
        <v>74</v>
      </c>
      <c r="H573" t="s">
        <v>3019</v>
      </c>
      <c r="I573" t="s">
        <v>8</v>
      </c>
      <c r="J573" t="s">
        <v>44</v>
      </c>
      <c r="K573" t="s">
        <v>2969</v>
      </c>
      <c r="L573" t="s">
        <v>10</v>
      </c>
    </row>
    <row r="574" spans="1:12">
      <c r="A574" t="s">
        <v>3597</v>
      </c>
      <c r="B574" s="2">
        <v>45825</v>
      </c>
      <c r="C574">
        <v>2025</v>
      </c>
      <c r="D574">
        <v>6</v>
      </c>
      <c r="E574" t="s">
        <v>87</v>
      </c>
      <c r="F574" t="s">
        <v>38</v>
      </c>
      <c r="G574" t="s">
        <v>38</v>
      </c>
      <c r="H574" t="s">
        <v>3045</v>
      </c>
      <c r="I574" t="s">
        <v>15</v>
      </c>
      <c r="J574" t="s">
        <v>12</v>
      </c>
      <c r="K574" t="s">
        <v>2969</v>
      </c>
      <c r="L574" t="s">
        <v>17</v>
      </c>
    </row>
    <row r="575" spans="1:12">
      <c r="A575" t="s">
        <v>3598</v>
      </c>
      <c r="B575" s="2">
        <v>45809</v>
      </c>
      <c r="C575">
        <v>2025</v>
      </c>
      <c r="D575">
        <v>6</v>
      </c>
      <c r="E575" t="s">
        <v>87</v>
      </c>
      <c r="F575" t="s">
        <v>78</v>
      </c>
      <c r="G575" t="s">
        <v>64</v>
      </c>
      <c r="H575" t="s">
        <v>51</v>
      </c>
      <c r="I575" t="s">
        <v>35</v>
      </c>
      <c r="J575" t="s">
        <v>4</v>
      </c>
      <c r="K575" t="s">
        <v>2969</v>
      </c>
      <c r="L575" t="s">
        <v>10</v>
      </c>
    </row>
    <row r="576" spans="1:12">
      <c r="A576" t="s">
        <v>3599</v>
      </c>
      <c r="B576" s="2">
        <v>45816</v>
      </c>
      <c r="C576">
        <v>2025</v>
      </c>
      <c r="D576">
        <v>6</v>
      </c>
      <c r="E576" t="s">
        <v>87</v>
      </c>
      <c r="F576" t="s">
        <v>40</v>
      </c>
      <c r="G576" t="s">
        <v>61</v>
      </c>
      <c r="H576" t="s">
        <v>3034</v>
      </c>
      <c r="I576" t="s">
        <v>42</v>
      </c>
      <c r="J576" t="s">
        <v>33</v>
      </c>
      <c r="K576" t="s">
        <v>2977</v>
      </c>
      <c r="L576" t="s">
        <v>17</v>
      </c>
    </row>
    <row r="577" spans="1:12">
      <c r="A577" t="s">
        <v>3600</v>
      </c>
      <c r="B577" s="2">
        <v>45848</v>
      </c>
      <c r="C577">
        <v>2025</v>
      </c>
      <c r="D577">
        <v>7</v>
      </c>
      <c r="E577" t="s">
        <v>93</v>
      </c>
      <c r="F577" t="s">
        <v>47</v>
      </c>
      <c r="G577" t="s">
        <v>69</v>
      </c>
      <c r="H577" t="s">
        <v>3019</v>
      </c>
      <c r="I577" t="s">
        <v>42</v>
      </c>
      <c r="J577" t="s">
        <v>4</v>
      </c>
      <c r="K577" t="s">
        <v>2969</v>
      </c>
      <c r="L577" t="s">
        <v>10</v>
      </c>
    </row>
    <row r="578" spans="1:12">
      <c r="A578" t="s">
        <v>3601</v>
      </c>
      <c r="B578" s="2">
        <v>45858</v>
      </c>
      <c r="C578">
        <v>2025</v>
      </c>
      <c r="D578">
        <v>7</v>
      </c>
      <c r="E578" t="s">
        <v>93</v>
      </c>
      <c r="F578" t="s">
        <v>67</v>
      </c>
      <c r="G578" t="s">
        <v>48</v>
      </c>
      <c r="H578" t="s">
        <v>3039</v>
      </c>
      <c r="I578" t="s">
        <v>35</v>
      </c>
      <c r="J578" t="s">
        <v>33</v>
      </c>
      <c r="K578" t="s">
        <v>2969</v>
      </c>
      <c r="L578" t="s">
        <v>17</v>
      </c>
    </row>
    <row r="579" spans="1:12">
      <c r="A579" t="s">
        <v>3602</v>
      </c>
      <c r="B579" s="2">
        <v>45841</v>
      </c>
      <c r="C579">
        <v>2025</v>
      </c>
      <c r="D579">
        <v>7</v>
      </c>
      <c r="E579" t="s">
        <v>93</v>
      </c>
      <c r="F579" t="s">
        <v>31</v>
      </c>
      <c r="G579" t="s">
        <v>38</v>
      </c>
      <c r="H579" t="s">
        <v>3032</v>
      </c>
      <c r="I579" t="s">
        <v>52</v>
      </c>
      <c r="J579" t="s">
        <v>12</v>
      </c>
      <c r="K579" t="s">
        <v>2969</v>
      </c>
      <c r="L579" t="s">
        <v>10</v>
      </c>
    </row>
    <row r="580" spans="1:12">
      <c r="A580" t="s">
        <v>3603</v>
      </c>
      <c r="B580" s="2">
        <v>45840</v>
      </c>
      <c r="C580">
        <v>2025</v>
      </c>
      <c r="D580">
        <v>7</v>
      </c>
      <c r="E580" t="s">
        <v>93</v>
      </c>
      <c r="F580" t="s">
        <v>78</v>
      </c>
      <c r="G580" t="s">
        <v>64</v>
      </c>
      <c r="H580" t="s">
        <v>3032</v>
      </c>
      <c r="I580" t="s">
        <v>15</v>
      </c>
      <c r="J580" t="s">
        <v>44</v>
      </c>
      <c r="K580" t="s">
        <v>2969</v>
      </c>
      <c r="L580" t="s">
        <v>10</v>
      </c>
    </row>
    <row r="581" spans="1:12">
      <c r="A581" t="s">
        <v>3604</v>
      </c>
      <c r="B581" s="2">
        <v>45866</v>
      </c>
      <c r="C581">
        <v>2025</v>
      </c>
      <c r="D581">
        <v>7</v>
      </c>
      <c r="E581" t="s">
        <v>93</v>
      </c>
      <c r="F581" t="s">
        <v>40</v>
      </c>
      <c r="G581" t="s">
        <v>69</v>
      </c>
      <c r="H581" t="s">
        <v>3045</v>
      </c>
      <c r="I581" t="s">
        <v>15</v>
      </c>
      <c r="J581" t="s">
        <v>4</v>
      </c>
      <c r="K581" t="s">
        <v>2969</v>
      </c>
      <c r="L581" t="s">
        <v>10</v>
      </c>
    </row>
    <row r="582" spans="1:12">
      <c r="A582" t="s">
        <v>3605</v>
      </c>
      <c r="B582" s="2">
        <v>45841</v>
      </c>
      <c r="C582">
        <v>2025</v>
      </c>
      <c r="D582">
        <v>7</v>
      </c>
      <c r="E582" t="s">
        <v>93</v>
      </c>
      <c r="F582" t="s">
        <v>47</v>
      </c>
      <c r="G582" t="s">
        <v>61</v>
      </c>
      <c r="H582" t="s">
        <v>3045</v>
      </c>
      <c r="I582" t="s">
        <v>15</v>
      </c>
      <c r="J582" t="s">
        <v>44</v>
      </c>
      <c r="K582" t="s">
        <v>2969</v>
      </c>
      <c r="L582" t="s">
        <v>10</v>
      </c>
    </row>
    <row r="583" spans="1:12">
      <c r="A583" t="s">
        <v>3606</v>
      </c>
      <c r="B583" s="2">
        <v>45839</v>
      </c>
      <c r="C583">
        <v>2025</v>
      </c>
      <c r="D583">
        <v>7</v>
      </c>
      <c r="E583" t="s">
        <v>93</v>
      </c>
      <c r="F583" t="s">
        <v>40</v>
      </c>
      <c r="G583" t="s">
        <v>48</v>
      </c>
      <c r="H583" t="s">
        <v>3045</v>
      </c>
      <c r="I583" t="s">
        <v>42</v>
      </c>
      <c r="J583" t="s">
        <v>44</v>
      </c>
      <c r="K583" t="s">
        <v>2969</v>
      </c>
      <c r="L583" t="s">
        <v>10</v>
      </c>
    </row>
    <row r="584" spans="1:12">
      <c r="A584" t="s">
        <v>3607</v>
      </c>
      <c r="B584" s="2">
        <v>45845</v>
      </c>
      <c r="C584">
        <v>2025</v>
      </c>
      <c r="D584">
        <v>7</v>
      </c>
      <c r="E584" t="s">
        <v>93</v>
      </c>
      <c r="F584" t="s">
        <v>2</v>
      </c>
      <c r="G584" t="s">
        <v>32</v>
      </c>
      <c r="H584" t="s">
        <v>3022</v>
      </c>
      <c r="I584" t="s">
        <v>52</v>
      </c>
      <c r="J584" t="s">
        <v>12</v>
      </c>
      <c r="K584" t="s">
        <v>2969</v>
      </c>
      <c r="L584" t="s">
        <v>17</v>
      </c>
    </row>
    <row r="585" spans="1:12">
      <c r="A585" t="s">
        <v>3608</v>
      </c>
      <c r="B585" s="2">
        <v>45863</v>
      </c>
      <c r="C585">
        <v>2025</v>
      </c>
      <c r="D585">
        <v>7</v>
      </c>
      <c r="E585" t="s">
        <v>93</v>
      </c>
      <c r="F585" t="s">
        <v>2</v>
      </c>
      <c r="G585" t="s">
        <v>48</v>
      </c>
      <c r="H585" t="s">
        <v>3022</v>
      </c>
      <c r="I585" t="s">
        <v>15</v>
      </c>
      <c r="J585" t="s">
        <v>44</v>
      </c>
      <c r="K585" t="s">
        <v>2977</v>
      </c>
      <c r="L585" t="s">
        <v>10</v>
      </c>
    </row>
    <row r="586" spans="1:12">
      <c r="A586" t="s">
        <v>3609</v>
      </c>
      <c r="B586" s="2">
        <v>45864</v>
      </c>
      <c r="C586">
        <v>2025</v>
      </c>
      <c r="D586">
        <v>7</v>
      </c>
      <c r="E586" t="s">
        <v>93</v>
      </c>
      <c r="F586" t="s">
        <v>26</v>
      </c>
      <c r="G586" t="s">
        <v>55</v>
      </c>
      <c r="H586" t="s">
        <v>3026</v>
      </c>
      <c r="I586" t="s">
        <v>42</v>
      </c>
      <c r="J586" t="s">
        <v>33</v>
      </c>
      <c r="K586" t="s">
        <v>2969</v>
      </c>
      <c r="L586" t="s">
        <v>17</v>
      </c>
    </row>
    <row r="587" spans="1:12">
      <c r="A587" t="s">
        <v>3610</v>
      </c>
      <c r="B587" s="2">
        <v>45853</v>
      </c>
      <c r="C587">
        <v>2025</v>
      </c>
      <c r="D587">
        <v>7</v>
      </c>
      <c r="E587" t="s">
        <v>93</v>
      </c>
      <c r="F587" t="s">
        <v>78</v>
      </c>
      <c r="G587" t="s">
        <v>64</v>
      </c>
      <c r="H587" t="s">
        <v>3045</v>
      </c>
      <c r="I587" t="s">
        <v>42</v>
      </c>
      <c r="J587" t="s">
        <v>44</v>
      </c>
      <c r="K587" t="s">
        <v>2969</v>
      </c>
      <c r="L587" t="s">
        <v>10</v>
      </c>
    </row>
    <row r="588" spans="1:12">
      <c r="A588" t="s">
        <v>3611</v>
      </c>
      <c r="B588" s="2">
        <v>45863</v>
      </c>
      <c r="C588">
        <v>2025</v>
      </c>
      <c r="D588">
        <v>7</v>
      </c>
      <c r="E588" t="s">
        <v>93</v>
      </c>
      <c r="F588" t="s">
        <v>78</v>
      </c>
      <c r="G588" t="s">
        <v>27</v>
      </c>
      <c r="H588" t="s">
        <v>3034</v>
      </c>
      <c r="I588" t="s">
        <v>15</v>
      </c>
      <c r="J588" t="s">
        <v>33</v>
      </c>
      <c r="K588" t="s">
        <v>2969</v>
      </c>
      <c r="L588" t="s">
        <v>10</v>
      </c>
    </row>
    <row r="589" spans="1:12">
      <c r="A589" t="s">
        <v>3612</v>
      </c>
      <c r="B589" s="2">
        <v>45840</v>
      </c>
      <c r="C589">
        <v>2025</v>
      </c>
      <c r="D589">
        <v>7</v>
      </c>
      <c r="E589" t="s">
        <v>93</v>
      </c>
      <c r="F589" t="s">
        <v>47</v>
      </c>
      <c r="G589" t="s">
        <v>64</v>
      </c>
      <c r="H589" t="s">
        <v>3045</v>
      </c>
      <c r="I589" t="s">
        <v>42</v>
      </c>
      <c r="J589" t="s">
        <v>12</v>
      </c>
      <c r="K589" t="s">
        <v>2969</v>
      </c>
      <c r="L589" t="s">
        <v>10</v>
      </c>
    </row>
    <row r="590" spans="1:12">
      <c r="A590" t="s">
        <v>3613</v>
      </c>
      <c r="B590" s="2">
        <v>45852</v>
      </c>
      <c r="C590">
        <v>2025</v>
      </c>
      <c r="D590">
        <v>7</v>
      </c>
      <c r="E590" t="s">
        <v>93</v>
      </c>
      <c r="F590" t="s">
        <v>19</v>
      </c>
      <c r="G590" t="s">
        <v>94</v>
      </c>
      <c r="H590" t="s">
        <v>3019</v>
      </c>
      <c r="I590" t="s">
        <v>52</v>
      </c>
      <c r="J590" t="s">
        <v>12</v>
      </c>
      <c r="K590" t="s">
        <v>2977</v>
      </c>
      <c r="L590" t="s">
        <v>10</v>
      </c>
    </row>
    <row r="591" spans="1:12">
      <c r="A591" t="s">
        <v>3614</v>
      </c>
      <c r="B591" s="2">
        <v>45857</v>
      </c>
      <c r="C591">
        <v>2025</v>
      </c>
      <c r="D591">
        <v>7</v>
      </c>
      <c r="E591" t="s">
        <v>93</v>
      </c>
      <c r="F591" t="s">
        <v>67</v>
      </c>
      <c r="G591" t="s">
        <v>55</v>
      </c>
      <c r="H591" t="s">
        <v>51</v>
      </c>
      <c r="I591" t="s">
        <v>22</v>
      </c>
      <c r="J591" t="s">
        <v>33</v>
      </c>
      <c r="K591" t="s">
        <v>2969</v>
      </c>
      <c r="L591" t="s">
        <v>10</v>
      </c>
    </row>
    <row r="592" spans="1:12">
      <c r="A592" t="s">
        <v>3615</v>
      </c>
      <c r="B592" s="2">
        <v>45841</v>
      </c>
      <c r="C592">
        <v>2025</v>
      </c>
      <c r="D592">
        <v>7</v>
      </c>
      <c r="E592" t="s">
        <v>93</v>
      </c>
      <c r="F592" t="s">
        <v>26</v>
      </c>
      <c r="G592" t="s">
        <v>55</v>
      </c>
      <c r="H592" t="s">
        <v>3045</v>
      </c>
      <c r="I592" t="s">
        <v>15</v>
      </c>
      <c r="J592" t="s">
        <v>33</v>
      </c>
      <c r="K592" t="s">
        <v>2969</v>
      </c>
      <c r="L592" t="s">
        <v>10</v>
      </c>
    </row>
    <row r="593" spans="1:12">
      <c r="A593" t="s">
        <v>3616</v>
      </c>
      <c r="B593" s="2">
        <v>45843</v>
      </c>
      <c r="C593">
        <v>2025</v>
      </c>
      <c r="D593">
        <v>7</v>
      </c>
      <c r="E593" t="s">
        <v>93</v>
      </c>
      <c r="F593" t="s">
        <v>47</v>
      </c>
      <c r="G593" t="s">
        <v>69</v>
      </c>
      <c r="H593" t="s">
        <v>3039</v>
      </c>
      <c r="I593" t="s">
        <v>42</v>
      </c>
      <c r="J593" t="s">
        <v>33</v>
      </c>
      <c r="K593" t="s">
        <v>2969</v>
      </c>
      <c r="L593" t="s">
        <v>10</v>
      </c>
    </row>
    <row r="594" spans="1:12">
      <c r="A594" t="s">
        <v>3617</v>
      </c>
      <c r="B594" s="2">
        <v>45862</v>
      </c>
      <c r="C594">
        <v>2025</v>
      </c>
      <c r="D594">
        <v>7</v>
      </c>
      <c r="E594" t="s">
        <v>93</v>
      </c>
      <c r="F594" t="s">
        <v>40</v>
      </c>
      <c r="G594" t="s">
        <v>32</v>
      </c>
      <c r="H594" t="s">
        <v>3032</v>
      </c>
      <c r="I594" t="s">
        <v>15</v>
      </c>
      <c r="J594" t="s">
        <v>12</v>
      </c>
      <c r="K594" t="s">
        <v>2969</v>
      </c>
      <c r="L594" t="s">
        <v>10</v>
      </c>
    </row>
    <row r="595" spans="1:12">
      <c r="A595" t="s">
        <v>3618</v>
      </c>
      <c r="B595" s="2">
        <v>45866</v>
      </c>
      <c r="C595">
        <v>2025</v>
      </c>
      <c r="D595">
        <v>7</v>
      </c>
      <c r="E595" t="s">
        <v>93</v>
      </c>
      <c r="F595" t="s">
        <v>38</v>
      </c>
      <c r="G595" t="s">
        <v>74</v>
      </c>
      <c r="H595" t="s">
        <v>3032</v>
      </c>
      <c r="I595" t="s">
        <v>8</v>
      </c>
      <c r="J595" t="s">
        <v>12</v>
      </c>
      <c r="K595" t="s">
        <v>2969</v>
      </c>
      <c r="L595" t="s">
        <v>10</v>
      </c>
    </row>
    <row r="596" spans="1:12">
      <c r="A596" t="s">
        <v>3619</v>
      </c>
      <c r="B596" s="2">
        <v>45839</v>
      </c>
      <c r="C596">
        <v>2025</v>
      </c>
      <c r="D596">
        <v>7</v>
      </c>
      <c r="E596" t="s">
        <v>93</v>
      </c>
      <c r="F596" t="s">
        <v>19</v>
      </c>
      <c r="G596" t="s">
        <v>32</v>
      </c>
      <c r="H596" t="s">
        <v>51</v>
      </c>
      <c r="I596" t="s">
        <v>52</v>
      </c>
      <c r="J596" t="s">
        <v>33</v>
      </c>
      <c r="K596" t="s">
        <v>2969</v>
      </c>
      <c r="L596" t="s">
        <v>10</v>
      </c>
    </row>
    <row r="597" spans="1:12">
      <c r="A597" t="s">
        <v>3620</v>
      </c>
      <c r="B597" s="2">
        <v>45857</v>
      </c>
      <c r="C597">
        <v>2025</v>
      </c>
      <c r="D597">
        <v>7</v>
      </c>
      <c r="E597" t="s">
        <v>93</v>
      </c>
      <c r="F597" t="s">
        <v>47</v>
      </c>
      <c r="G597" t="s">
        <v>74</v>
      </c>
      <c r="H597" t="s">
        <v>3032</v>
      </c>
      <c r="I597" t="s">
        <v>35</v>
      </c>
      <c r="J597" t="s">
        <v>44</v>
      </c>
      <c r="K597" t="s">
        <v>2977</v>
      </c>
      <c r="L597" t="s">
        <v>10</v>
      </c>
    </row>
    <row r="598" spans="1:12">
      <c r="A598" t="s">
        <v>3621</v>
      </c>
      <c r="B598" s="2">
        <v>45888</v>
      </c>
      <c r="C598">
        <v>2025</v>
      </c>
      <c r="D598">
        <v>8</v>
      </c>
      <c r="E598" t="s">
        <v>101</v>
      </c>
      <c r="F598" t="s">
        <v>47</v>
      </c>
      <c r="G598" t="s">
        <v>32</v>
      </c>
      <c r="H598" t="s">
        <v>3039</v>
      </c>
      <c r="I598" t="s">
        <v>52</v>
      </c>
      <c r="J598" t="s">
        <v>44</v>
      </c>
      <c r="K598" t="s">
        <v>2969</v>
      </c>
      <c r="L598" t="s">
        <v>10</v>
      </c>
    </row>
    <row r="599" spans="1:12">
      <c r="A599" t="s">
        <v>3622</v>
      </c>
      <c r="B599" s="2">
        <v>45873</v>
      </c>
      <c r="C599">
        <v>2025</v>
      </c>
      <c r="D599">
        <v>8</v>
      </c>
      <c r="E599" t="s">
        <v>101</v>
      </c>
      <c r="F599" t="s">
        <v>78</v>
      </c>
      <c r="G599" t="s">
        <v>55</v>
      </c>
      <c r="H599" t="s">
        <v>3045</v>
      </c>
      <c r="I599" t="s">
        <v>8</v>
      </c>
      <c r="J599" t="s">
        <v>44</v>
      </c>
      <c r="K599" t="s">
        <v>2969</v>
      </c>
      <c r="L599" t="s">
        <v>10</v>
      </c>
    </row>
    <row r="600" spans="1:12">
      <c r="A600" t="s">
        <v>3623</v>
      </c>
      <c r="B600" s="2">
        <v>45881</v>
      </c>
      <c r="C600">
        <v>2025</v>
      </c>
      <c r="D600">
        <v>8</v>
      </c>
      <c r="E600" t="s">
        <v>101</v>
      </c>
      <c r="F600" t="s">
        <v>19</v>
      </c>
      <c r="G600" t="s">
        <v>32</v>
      </c>
      <c r="H600" t="s">
        <v>3045</v>
      </c>
      <c r="I600" t="s">
        <v>22</v>
      </c>
      <c r="J600" t="s">
        <v>12</v>
      </c>
      <c r="K600" t="s">
        <v>2969</v>
      </c>
      <c r="L600" t="s">
        <v>10</v>
      </c>
    </row>
    <row r="601" spans="1:12">
      <c r="A601" t="s">
        <v>3624</v>
      </c>
      <c r="B601" s="2">
        <v>45891</v>
      </c>
      <c r="C601">
        <v>2025</v>
      </c>
      <c r="D601">
        <v>8</v>
      </c>
      <c r="E601" t="s">
        <v>101</v>
      </c>
      <c r="F601" t="s">
        <v>67</v>
      </c>
      <c r="G601" t="s">
        <v>61</v>
      </c>
      <c r="H601" t="s">
        <v>3045</v>
      </c>
      <c r="I601" t="s">
        <v>42</v>
      </c>
      <c r="J601" t="s">
        <v>44</v>
      </c>
      <c r="K601" t="s">
        <v>2969</v>
      </c>
      <c r="L601" t="s">
        <v>10</v>
      </c>
    </row>
    <row r="602" spans="1:12">
      <c r="A602" t="s">
        <v>3625</v>
      </c>
      <c r="B602" s="2">
        <v>45896</v>
      </c>
      <c r="C602">
        <v>2025</v>
      </c>
      <c r="D602">
        <v>8</v>
      </c>
      <c r="E602" t="s">
        <v>101</v>
      </c>
      <c r="F602" t="s">
        <v>31</v>
      </c>
      <c r="G602" t="s">
        <v>32</v>
      </c>
      <c r="H602" t="s">
        <v>3022</v>
      </c>
      <c r="I602" t="s">
        <v>42</v>
      </c>
      <c r="J602" t="s">
        <v>44</v>
      </c>
      <c r="K602" t="s">
        <v>2969</v>
      </c>
      <c r="L602" t="s">
        <v>17</v>
      </c>
    </row>
    <row r="603" spans="1:12">
      <c r="A603" t="s">
        <v>3626</v>
      </c>
      <c r="B603" s="2">
        <v>45870</v>
      </c>
      <c r="C603">
        <v>2025</v>
      </c>
      <c r="D603">
        <v>8</v>
      </c>
      <c r="E603" t="s">
        <v>101</v>
      </c>
      <c r="F603" t="s">
        <v>54</v>
      </c>
      <c r="G603" t="s">
        <v>74</v>
      </c>
      <c r="H603" t="s">
        <v>3019</v>
      </c>
      <c r="I603" t="s">
        <v>22</v>
      </c>
      <c r="J603" t="s">
        <v>44</v>
      </c>
      <c r="K603" t="s">
        <v>2969</v>
      </c>
      <c r="L603" t="s">
        <v>10</v>
      </c>
    </row>
    <row r="604" spans="1:12">
      <c r="A604" t="s">
        <v>3627</v>
      </c>
      <c r="B604" s="2">
        <v>45892</v>
      </c>
      <c r="C604">
        <v>2025</v>
      </c>
      <c r="D604">
        <v>8</v>
      </c>
      <c r="E604" t="s">
        <v>101</v>
      </c>
      <c r="F604" t="s">
        <v>40</v>
      </c>
      <c r="G604" t="s">
        <v>27</v>
      </c>
      <c r="H604" t="s">
        <v>3034</v>
      </c>
      <c r="I604" t="s">
        <v>15</v>
      </c>
      <c r="J604" t="s">
        <v>4</v>
      </c>
      <c r="K604" t="s">
        <v>2969</v>
      </c>
      <c r="L604" t="s">
        <v>10</v>
      </c>
    </row>
    <row r="605" spans="1:12">
      <c r="A605" t="s">
        <v>3628</v>
      </c>
      <c r="B605" s="2">
        <v>45882</v>
      </c>
      <c r="C605">
        <v>2025</v>
      </c>
      <c r="D605">
        <v>8</v>
      </c>
      <c r="E605" t="s">
        <v>101</v>
      </c>
      <c r="F605" t="s">
        <v>38</v>
      </c>
      <c r="G605" t="s">
        <v>64</v>
      </c>
      <c r="H605" t="s">
        <v>3039</v>
      </c>
      <c r="I605" t="s">
        <v>22</v>
      </c>
      <c r="J605" t="s">
        <v>44</v>
      </c>
      <c r="K605" t="s">
        <v>2969</v>
      </c>
      <c r="L605" t="s">
        <v>10</v>
      </c>
    </row>
    <row r="606" spans="1:12">
      <c r="A606" t="s">
        <v>3629</v>
      </c>
      <c r="B606" s="2">
        <v>45877</v>
      </c>
      <c r="C606">
        <v>2025</v>
      </c>
      <c r="D606">
        <v>8</v>
      </c>
      <c r="E606" t="s">
        <v>101</v>
      </c>
      <c r="F606" t="s">
        <v>38</v>
      </c>
      <c r="G606" t="s">
        <v>69</v>
      </c>
      <c r="H606" t="s">
        <v>3026</v>
      </c>
      <c r="I606" t="s">
        <v>8</v>
      </c>
      <c r="J606" t="s">
        <v>44</v>
      </c>
      <c r="K606" t="s">
        <v>2969</v>
      </c>
      <c r="L606" t="s">
        <v>10</v>
      </c>
    </row>
    <row r="607" spans="1:12">
      <c r="A607" t="s">
        <v>3630</v>
      </c>
      <c r="B607" s="2">
        <v>45887</v>
      </c>
      <c r="C607">
        <v>2025</v>
      </c>
      <c r="D607">
        <v>8</v>
      </c>
      <c r="E607" t="s">
        <v>101</v>
      </c>
      <c r="F607" t="s">
        <v>47</v>
      </c>
      <c r="G607" t="s">
        <v>69</v>
      </c>
      <c r="H607" t="s">
        <v>3022</v>
      </c>
      <c r="I607" t="s">
        <v>15</v>
      </c>
      <c r="J607" t="s">
        <v>4</v>
      </c>
      <c r="K607" t="s">
        <v>2969</v>
      </c>
      <c r="L607" t="s">
        <v>10</v>
      </c>
    </row>
    <row r="608" spans="1:12">
      <c r="A608" t="s">
        <v>3631</v>
      </c>
      <c r="B608" s="2">
        <v>45890</v>
      </c>
      <c r="C608">
        <v>2025</v>
      </c>
      <c r="D608">
        <v>8</v>
      </c>
      <c r="E608" t="s">
        <v>101</v>
      </c>
      <c r="F608" t="s">
        <v>38</v>
      </c>
      <c r="G608" t="s">
        <v>61</v>
      </c>
      <c r="H608" t="s">
        <v>3039</v>
      </c>
      <c r="I608" t="s">
        <v>8</v>
      </c>
      <c r="J608" t="s">
        <v>44</v>
      </c>
      <c r="K608" t="s">
        <v>2969</v>
      </c>
      <c r="L608" t="s">
        <v>10</v>
      </c>
    </row>
    <row r="609" spans="1:12">
      <c r="A609" t="s">
        <v>3632</v>
      </c>
      <c r="B609" s="2">
        <v>45881</v>
      </c>
      <c r="C609">
        <v>2025</v>
      </c>
      <c r="D609">
        <v>8</v>
      </c>
      <c r="E609" t="s">
        <v>101</v>
      </c>
      <c r="F609" t="s">
        <v>54</v>
      </c>
      <c r="G609" t="s">
        <v>74</v>
      </c>
      <c r="H609" t="s">
        <v>3032</v>
      </c>
      <c r="I609" t="s">
        <v>15</v>
      </c>
      <c r="J609" t="s">
        <v>12</v>
      </c>
      <c r="K609" t="s">
        <v>2969</v>
      </c>
      <c r="L609" t="s">
        <v>10</v>
      </c>
    </row>
    <row r="610" spans="1:12">
      <c r="A610" t="s">
        <v>3633</v>
      </c>
      <c r="B610" s="2">
        <v>45882</v>
      </c>
      <c r="C610">
        <v>2025</v>
      </c>
      <c r="D610">
        <v>8</v>
      </c>
      <c r="E610" t="s">
        <v>101</v>
      </c>
      <c r="F610" t="s">
        <v>19</v>
      </c>
      <c r="G610" t="s">
        <v>38</v>
      </c>
      <c r="H610" t="s">
        <v>3045</v>
      </c>
      <c r="I610" t="s">
        <v>42</v>
      </c>
      <c r="J610" t="s">
        <v>12</v>
      </c>
      <c r="K610" t="s">
        <v>2969</v>
      </c>
      <c r="L610" t="s">
        <v>10</v>
      </c>
    </row>
    <row r="611" spans="1:12">
      <c r="A611" t="s">
        <v>3634</v>
      </c>
      <c r="B611" s="2">
        <v>45879</v>
      </c>
      <c r="C611">
        <v>2025</v>
      </c>
      <c r="D611">
        <v>8</v>
      </c>
      <c r="E611" t="s">
        <v>101</v>
      </c>
      <c r="F611" t="s">
        <v>67</v>
      </c>
      <c r="G611" t="s">
        <v>94</v>
      </c>
      <c r="H611" t="s">
        <v>51</v>
      </c>
      <c r="I611" t="s">
        <v>35</v>
      </c>
      <c r="J611" t="s">
        <v>12</v>
      </c>
      <c r="K611" t="s">
        <v>2969</v>
      </c>
      <c r="L611" t="s">
        <v>10</v>
      </c>
    </row>
    <row r="612" spans="1:12">
      <c r="A612" t="s">
        <v>3635</v>
      </c>
      <c r="B612" s="2">
        <v>45872</v>
      </c>
      <c r="C612">
        <v>2025</v>
      </c>
      <c r="D612">
        <v>8</v>
      </c>
      <c r="E612" t="s">
        <v>101</v>
      </c>
      <c r="F612" t="s">
        <v>40</v>
      </c>
      <c r="G612" t="s">
        <v>27</v>
      </c>
      <c r="H612" t="s">
        <v>51</v>
      </c>
      <c r="I612" t="s">
        <v>8</v>
      </c>
      <c r="J612" t="s">
        <v>33</v>
      </c>
      <c r="K612" t="s">
        <v>2969</v>
      </c>
      <c r="L612" t="s">
        <v>10</v>
      </c>
    </row>
    <row r="613" spans="1:12">
      <c r="A613" t="s">
        <v>3636</v>
      </c>
      <c r="B613" s="2">
        <v>45877</v>
      </c>
      <c r="C613">
        <v>2025</v>
      </c>
      <c r="D613">
        <v>8</v>
      </c>
      <c r="E613" t="s">
        <v>101</v>
      </c>
      <c r="F613" t="s">
        <v>2</v>
      </c>
      <c r="G613" t="s">
        <v>64</v>
      </c>
      <c r="H613" t="s">
        <v>3045</v>
      </c>
      <c r="I613" t="s">
        <v>8</v>
      </c>
      <c r="J613" t="s">
        <v>12</v>
      </c>
      <c r="K613" t="s">
        <v>2969</v>
      </c>
      <c r="L613" t="s">
        <v>10</v>
      </c>
    </row>
    <row r="614" spans="1:12">
      <c r="A614" t="s">
        <v>3637</v>
      </c>
      <c r="B614" s="2">
        <v>45870</v>
      </c>
      <c r="C614">
        <v>2025</v>
      </c>
      <c r="D614">
        <v>8</v>
      </c>
      <c r="E614" t="s">
        <v>101</v>
      </c>
      <c r="F614" t="s">
        <v>67</v>
      </c>
      <c r="G614" t="s">
        <v>74</v>
      </c>
      <c r="H614" t="s">
        <v>3034</v>
      </c>
      <c r="I614" t="s">
        <v>22</v>
      </c>
      <c r="J614" t="s">
        <v>33</v>
      </c>
      <c r="K614" t="s">
        <v>2969</v>
      </c>
      <c r="L614" t="s">
        <v>10</v>
      </c>
    </row>
    <row r="615" spans="1:12">
      <c r="A615" t="s">
        <v>3638</v>
      </c>
      <c r="B615" s="2">
        <v>45884</v>
      </c>
      <c r="C615">
        <v>2025</v>
      </c>
      <c r="D615">
        <v>8</v>
      </c>
      <c r="E615" t="s">
        <v>101</v>
      </c>
      <c r="F615" t="s">
        <v>38</v>
      </c>
      <c r="G615" t="s">
        <v>74</v>
      </c>
      <c r="H615" t="s">
        <v>3032</v>
      </c>
      <c r="I615" t="s">
        <v>8</v>
      </c>
      <c r="J615" t="s">
        <v>4</v>
      </c>
      <c r="K615" t="s">
        <v>2969</v>
      </c>
      <c r="L615" t="s">
        <v>17</v>
      </c>
    </row>
    <row r="616" spans="1:12">
      <c r="A616" t="s">
        <v>3639</v>
      </c>
      <c r="B616" s="2">
        <v>45871</v>
      </c>
      <c r="C616">
        <v>2025</v>
      </c>
      <c r="D616">
        <v>8</v>
      </c>
      <c r="E616" t="s">
        <v>101</v>
      </c>
      <c r="F616" t="s">
        <v>38</v>
      </c>
      <c r="G616" t="s">
        <v>38</v>
      </c>
      <c r="H616" t="s">
        <v>3039</v>
      </c>
      <c r="I616" t="s">
        <v>35</v>
      </c>
      <c r="J616" t="s">
        <v>12</v>
      </c>
      <c r="K616" t="s">
        <v>2969</v>
      </c>
      <c r="L616" t="s">
        <v>10</v>
      </c>
    </row>
    <row r="617" spans="1:12">
      <c r="A617" t="s">
        <v>3640</v>
      </c>
      <c r="B617" s="2">
        <v>45881</v>
      </c>
      <c r="C617">
        <v>2025</v>
      </c>
      <c r="D617">
        <v>8</v>
      </c>
      <c r="E617" t="s">
        <v>101</v>
      </c>
      <c r="F617" t="s">
        <v>78</v>
      </c>
      <c r="G617" t="s">
        <v>27</v>
      </c>
      <c r="H617" t="s">
        <v>3026</v>
      </c>
      <c r="I617" t="s">
        <v>42</v>
      </c>
      <c r="J617" t="s">
        <v>4</v>
      </c>
      <c r="K617" t="s">
        <v>2977</v>
      </c>
      <c r="L617" t="s">
        <v>10</v>
      </c>
    </row>
    <row r="618" spans="1:12">
      <c r="A618" t="s">
        <v>3641</v>
      </c>
      <c r="B618" s="2">
        <v>45872</v>
      </c>
      <c r="C618">
        <v>2025</v>
      </c>
      <c r="D618">
        <v>8</v>
      </c>
      <c r="E618" t="s">
        <v>101</v>
      </c>
      <c r="F618" t="s">
        <v>67</v>
      </c>
      <c r="G618" t="s">
        <v>48</v>
      </c>
      <c r="H618" t="s">
        <v>3039</v>
      </c>
      <c r="I618" t="s">
        <v>42</v>
      </c>
      <c r="J618" t="s">
        <v>4</v>
      </c>
      <c r="K618" t="s">
        <v>2969</v>
      </c>
      <c r="L618" t="s">
        <v>10</v>
      </c>
    </row>
    <row r="619" spans="1:12">
      <c r="A619" t="s">
        <v>3642</v>
      </c>
      <c r="B619" s="2">
        <v>45877</v>
      </c>
      <c r="C619">
        <v>2025</v>
      </c>
      <c r="D619">
        <v>8</v>
      </c>
      <c r="E619" t="s">
        <v>101</v>
      </c>
      <c r="F619" t="s">
        <v>54</v>
      </c>
      <c r="G619" t="s">
        <v>74</v>
      </c>
      <c r="H619" t="s">
        <v>3019</v>
      </c>
      <c r="I619" t="s">
        <v>22</v>
      </c>
      <c r="J619" t="s">
        <v>44</v>
      </c>
      <c r="K619" t="s">
        <v>2969</v>
      </c>
      <c r="L619" t="s">
        <v>17</v>
      </c>
    </row>
    <row r="620" spans="1:12">
      <c r="A620" t="s">
        <v>3643</v>
      </c>
      <c r="B620" s="2">
        <v>45872</v>
      </c>
      <c r="C620">
        <v>2025</v>
      </c>
      <c r="D620">
        <v>8</v>
      </c>
      <c r="E620" t="s">
        <v>101</v>
      </c>
      <c r="F620" t="s">
        <v>67</v>
      </c>
      <c r="G620" t="s">
        <v>61</v>
      </c>
      <c r="H620" t="s">
        <v>3045</v>
      </c>
      <c r="I620" t="s">
        <v>52</v>
      </c>
      <c r="J620" t="s">
        <v>33</v>
      </c>
      <c r="K620" t="s">
        <v>2969</v>
      </c>
      <c r="L620" t="s">
        <v>17</v>
      </c>
    </row>
    <row r="621" spans="1:12">
      <c r="A621" t="s">
        <v>3644</v>
      </c>
      <c r="B621" s="2">
        <v>45874</v>
      </c>
      <c r="C621">
        <v>2025</v>
      </c>
      <c r="D621">
        <v>8</v>
      </c>
      <c r="E621" t="s">
        <v>101</v>
      </c>
      <c r="F621" t="s">
        <v>2</v>
      </c>
      <c r="G621" t="s">
        <v>38</v>
      </c>
      <c r="H621" t="s">
        <v>3019</v>
      </c>
      <c r="I621" t="s">
        <v>52</v>
      </c>
      <c r="J621" t="s">
        <v>33</v>
      </c>
      <c r="K621" t="s">
        <v>2969</v>
      </c>
      <c r="L621" t="s">
        <v>10</v>
      </c>
    </row>
    <row r="622" spans="1:12">
      <c r="A622" t="s">
        <v>3645</v>
      </c>
      <c r="B622" s="2">
        <v>45875</v>
      </c>
      <c r="C622">
        <v>2025</v>
      </c>
      <c r="D622">
        <v>8</v>
      </c>
      <c r="E622" t="s">
        <v>101</v>
      </c>
      <c r="F622" t="s">
        <v>31</v>
      </c>
      <c r="G622" t="s">
        <v>20</v>
      </c>
      <c r="H622" t="s">
        <v>3019</v>
      </c>
      <c r="I622" t="s">
        <v>15</v>
      </c>
      <c r="J622" t="s">
        <v>44</v>
      </c>
      <c r="K622" t="s">
        <v>2977</v>
      </c>
      <c r="L622" t="s">
        <v>10</v>
      </c>
    </row>
    <row r="623" spans="1:12">
      <c r="A623" t="s">
        <v>3646</v>
      </c>
      <c r="B623" s="2">
        <v>45881</v>
      </c>
      <c r="C623">
        <v>2025</v>
      </c>
      <c r="D623">
        <v>8</v>
      </c>
      <c r="E623" t="s">
        <v>101</v>
      </c>
      <c r="F623" t="s">
        <v>31</v>
      </c>
      <c r="G623" t="s">
        <v>3</v>
      </c>
      <c r="H623" t="s">
        <v>3019</v>
      </c>
      <c r="I623" t="s">
        <v>35</v>
      </c>
      <c r="J623" t="s">
        <v>44</v>
      </c>
      <c r="K623" t="s">
        <v>2969</v>
      </c>
      <c r="L623" t="s">
        <v>10</v>
      </c>
    </row>
    <row r="624" spans="1:12">
      <c r="A624" t="s">
        <v>3647</v>
      </c>
      <c r="B624" s="2">
        <v>45874</v>
      </c>
      <c r="C624">
        <v>2025</v>
      </c>
      <c r="D624">
        <v>8</v>
      </c>
      <c r="E624" t="s">
        <v>101</v>
      </c>
      <c r="F624" t="s">
        <v>47</v>
      </c>
      <c r="G624" t="s">
        <v>20</v>
      </c>
      <c r="H624" t="s">
        <v>3019</v>
      </c>
      <c r="I624" t="s">
        <v>15</v>
      </c>
      <c r="J624" t="s">
        <v>4</v>
      </c>
      <c r="K624" t="s">
        <v>2977</v>
      </c>
      <c r="L624" t="s">
        <v>17</v>
      </c>
    </row>
    <row r="625" spans="1:12">
      <c r="A625" t="s">
        <v>3648</v>
      </c>
      <c r="B625" s="2">
        <v>45897</v>
      </c>
      <c r="C625">
        <v>2025</v>
      </c>
      <c r="D625">
        <v>8</v>
      </c>
      <c r="E625" t="s">
        <v>101</v>
      </c>
      <c r="F625" t="s">
        <v>38</v>
      </c>
      <c r="G625" t="s">
        <v>48</v>
      </c>
      <c r="H625" t="s">
        <v>3039</v>
      </c>
      <c r="I625" t="s">
        <v>15</v>
      </c>
      <c r="J625" t="s">
        <v>33</v>
      </c>
      <c r="K625" t="s">
        <v>2969</v>
      </c>
      <c r="L625" t="s">
        <v>10</v>
      </c>
    </row>
    <row r="626" spans="1:12">
      <c r="A626" t="s">
        <v>3649</v>
      </c>
      <c r="B626" s="2">
        <v>45894</v>
      </c>
      <c r="C626">
        <v>2025</v>
      </c>
      <c r="D626">
        <v>8</v>
      </c>
      <c r="E626" t="s">
        <v>101</v>
      </c>
      <c r="F626" t="s">
        <v>67</v>
      </c>
      <c r="G626" t="s">
        <v>3</v>
      </c>
      <c r="H626" t="s">
        <v>3022</v>
      </c>
      <c r="I626" t="s">
        <v>42</v>
      </c>
      <c r="J626" t="s">
        <v>44</v>
      </c>
      <c r="K626" t="s">
        <v>2969</v>
      </c>
      <c r="L626" t="s">
        <v>10</v>
      </c>
    </row>
    <row r="627" spans="1:12">
      <c r="A627" t="s">
        <v>3650</v>
      </c>
      <c r="B627" s="2">
        <v>45888</v>
      </c>
      <c r="C627">
        <v>2025</v>
      </c>
      <c r="D627">
        <v>8</v>
      </c>
      <c r="E627" t="s">
        <v>101</v>
      </c>
      <c r="F627" t="s">
        <v>47</v>
      </c>
      <c r="G627" t="s">
        <v>3</v>
      </c>
      <c r="H627" t="s">
        <v>3022</v>
      </c>
      <c r="I627" t="s">
        <v>8</v>
      </c>
      <c r="J627" t="s">
        <v>33</v>
      </c>
      <c r="K627" t="s">
        <v>2969</v>
      </c>
      <c r="L627" t="s">
        <v>10</v>
      </c>
    </row>
    <row r="628" spans="1:12">
      <c r="A628" t="s">
        <v>3651</v>
      </c>
      <c r="B628" s="2">
        <v>45873</v>
      </c>
      <c r="C628">
        <v>2025</v>
      </c>
      <c r="D628">
        <v>8</v>
      </c>
      <c r="E628" t="s">
        <v>101</v>
      </c>
      <c r="F628" t="s">
        <v>26</v>
      </c>
      <c r="G628" t="s">
        <v>94</v>
      </c>
      <c r="H628" t="s">
        <v>3032</v>
      </c>
      <c r="I628" t="s">
        <v>8</v>
      </c>
      <c r="J628" t="s">
        <v>4</v>
      </c>
      <c r="K628" t="s">
        <v>2969</v>
      </c>
      <c r="L628" t="s">
        <v>10</v>
      </c>
    </row>
    <row r="629" spans="1:12">
      <c r="A629" t="s">
        <v>3652</v>
      </c>
      <c r="B629" s="2">
        <v>45891</v>
      </c>
      <c r="C629">
        <v>2025</v>
      </c>
      <c r="D629">
        <v>8</v>
      </c>
      <c r="E629" t="s">
        <v>101</v>
      </c>
      <c r="F629" t="s">
        <v>67</v>
      </c>
      <c r="G629" t="s">
        <v>27</v>
      </c>
      <c r="H629" t="s">
        <v>3034</v>
      </c>
      <c r="I629" t="s">
        <v>15</v>
      </c>
      <c r="J629" t="s">
        <v>12</v>
      </c>
      <c r="K629" t="s">
        <v>2969</v>
      </c>
      <c r="L629" t="s">
        <v>10</v>
      </c>
    </row>
    <row r="630" spans="1:12">
      <c r="A630" t="s">
        <v>3653</v>
      </c>
      <c r="B630" s="2">
        <v>45889</v>
      </c>
      <c r="C630">
        <v>2025</v>
      </c>
      <c r="D630">
        <v>8</v>
      </c>
      <c r="E630" t="s">
        <v>101</v>
      </c>
      <c r="F630" t="s">
        <v>31</v>
      </c>
      <c r="G630" t="s">
        <v>20</v>
      </c>
      <c r="H630" t="s">
        <v>3032</v>
      </c>
      <c r="I630" t="s">
        <v>35</v>
      </c>
      <c r="J630" t="s">
        <v>33</v>
      </c>
      <c r="K630" t="s">
        <v>2977</v>
      </c>
      <c r="L630" t="s">
        <v>10</v>
      </c>
    </row>
    <row r="631" spans="1:12">
      <c r="A631" t="s">
        <v>3654</v>
      </c>
      <c r="B631" s="2">
        <v>45879</v>
      </c>
      <c r="C631">
        <v>2025</v>
      </c>
      <c r="D631">
        <v>8</v>
      </c>
      <c r="E631" t="s">
        <v>101</v>
      </c>
      <c r="F631" t="s">
        <v>40</v>
      </c>
      <c r="G631" t="s">
        <v>64</v>
      </c>
      <c r="H631" t="s">
        <v>3026</v>
      </c>
      <c r="I631" t="s">
        <v>35</v>
      </c>
      <c r="J631" t="s">
        <v>12</v>
      </c>
      <c r="K631" t="s">
        <v>2969</v>
      </c>
      <c r="L631" t="s">
        <v>10</v>
      </c>
    </row>
    <row r="632" spans="1:12">
      <c r="A632" t="s">
        <v>3655</v>
      </c>
      <c r="B632" s="2">
        <v>45878</v>
      </c>
      <c r="C632">
        <v>2025</v>
      </c>
      <c r="D632">
        <v>8</v>
      </c>
      <c r="E632" t="s">
        <v>101</v>
      </c>
      <c r="F632" t="s">
        <v>19</v>
      </c>
      <c r="G632" t="s">
        <v>94</v>
      </c>
      <c r="H632" t="s">
        <v>3032</v>
      </c>
      <c r="I632" t="s">
        <v>42</v>
      </c>
      <c r="J632" t="s">
        <v>4</v>
      </c>
      <c r="K632" t="s">
        <v>2969</v>
      </c>
      <c r="L632" t="s">
        <v>10</v>
      </c>
    </row>
    <row r="633" spans="1:12">
      <c r="A633" t="s">
        <v>3656</v>
      </c>
      <c r="B633" s="2">
        <v>45882</v>
      </c>
      <c r="C633">
        <v>2025</v>
      </c>
      <c r="D633">
        <v>8</v>
      </c>
      <c r="E633" t="s">
        <v>101</v>
      </c>
      <c r="F633" t="s">
        <v>78</v>
      </c>
      <c r="G633" t="s">
        <v>69</v>
      </c>
      <c r="H633" t="s">
        <v>3022</v>
      </c>
      <c r="I633" t="s">
        <v>8</v>
      </c>
      <c r="J633" t="s">
        <v>4</v>
      </c>
      <c r="K633" t="s">
        <v>2969</v>
      </c>
      <c r="L633" t="s">
        <v>10</v>
      </c>
    </row>
    <row r="634" spans="1:12">
      <c r="A634" t="s">
        <v>3657</v>
      </c>
      <c r="B634" s="2">
        <v>45893</v>
      </c>
      <c r="C634">
        <v>2025</v>
      </c>
      <c r="D634">
        <v>8</v>
      </c>
      <c r="E634" t="s">
        <v>101</v>
      </c>
      <c r="F634" t="s">
        <v>54</v>
      </c>
      <c r="G634" t="s">
        <v>32</v>
      </c>
      <c r="H634" t="s">
        <v>3039</v>
      </c>
      <c r="I634" t="s">
        <v>52</v>
      </c>
      <c r="J634" t="s">
        <v>44</v>
      </c>
      <c r="K634" t="s">
        <v>2969</v>
      </c>
      <c r="L634" t="s">
        <v>10</v>
      </c>
    </row>
    <row r="635" spans="1:12">
      <c r="A635" t="s">
        <v>3658</v>
      </c>
      <c r="B635" s="2">
        <v>45871</v>
      </c>
      <c r="C635">
        <v>2025</v>
      </c>
      <c r="D635">
        <v>8</v>
      </c>
      <c r="E635" t="s">
        <v>101</v>
      </c>
      <c r="F635" t="s">
        <v>67</v>
      </c>
      <c r="G635" t="s">
        <v>61</v>
      </c>
      <c r="H635" t="s">
        <v>3045</v>
      </c>
      <c r="I635" t="s">
        <v>35</v>
      </c>
      <c r="J635" t="s">
        <v>33</v>
      </c>
      <c r="K635" t="s">
        <v>2969</v>
      </c>
      <c r="L635" t="s">
        <v>10</v>
      </c>
    </row>
    <row r="636" spans="1:12">
      <c r="A636" t="s">
        <v>3659</v>
      </c>
      <c r="B636" s="2">
        <v>45879</v>
      </c>
      <c r="C636">
        <v>2025</v>
      </c>
      <c r="D636">
        <v>8</v>
      </c>
      <c r="E636" t="s">
        <v>101</v>
      </c>
      <c r="F636" t="s">
        <v>78</v>
      </c>
      <c r="G636" t="s">
        <v>61</v>
      </c>
      <c r="H636" t="s">
        <v>3019</v>
      </c>
      <c r="I636" t="s">
        <v>8</v>
      </c>
      <c r="J636" t="s">
        <v>12</v>
      </c>
      <c r="K636" t="s">
        <v>2969</v>
      </c>
      <c r="L636" t="s">
        <v>17</v>
      </c>
    </row>
    <row r="637" spans="1:12">
      <c r="A637" t="s">
        <v>3660</v>
      </c>
      <c r="B637" s="2">
        <v>45870</v>
      </c>
      <c r="C637">
        <v>2025</v>
      </c>
      <c r="D637">
        <v>8</v>
      </c>
      <c r="E637" t="s">
        <v>101</v>
      </c>
      <c r="F637" t="s">
        <v>47</v>
      </c>
      <c r="G637" t="s">
        <v>48</v>
      </c>
      <c r="H637" t="s">
        <v>3045</v>
      </c>
      <c r="I637" t="s">
        <v>35</v>
      </c>
      <c r="J637" t="s">
        <v>4</v>
      </c>
      <c r="K637" t="s">
        <v>2969</v>
      </c>
      <c r="L637" t="s">
        <v>10</v>
      </c>
    </row>
    <row r="638" spans="1:12">
      <c r="A638" t="s">
        <v>3661</v>
      </c>
      <c r="B638" s="2">
        <v>45916</v>
      </c>
      <c r="C638">
        <v>2025</v>
      </c>
      <c r="D638">
        <v>9</v>
      </c>
      <c r="E638" t="s">
        <v>105</v>
      </c>
      <c r="F638" t="s">
        <v>38</v>
      </c>
      <c r="G638" t="s">
        <v>3</v>
      </c>
      <c r="H638" t="s">
        <v>3039</v>
      </c>
      <c r="I638" t="s">
        <v>35</v>
      </c>
      <c r="J638" t="s">
        <v>4</v>
      </c>
      <c r="K638" t="s">
        <v>2969</v>
      </c>
      <c r="L638" t="s">
        <v>17</v>
      </c>
    </row>
    <row r="639" spans="1:12">
      <c r="A639" t="s">
        <v>3662</v>
      </c>
      <c r="B639" s="2">
        <v>45915</v>
      </c>
      <c r="C639">
        <v>2025</v>
      </c>
      <c r="D639">
        <v>9</v>
      </c>
      <c r="E639" t="s">
        <v>105</v>
      </c>
      <c r="F639" t="s">
        <v>54</v>
      </c>
      <c r="G639" t="s">
        <v>55</v>
      </c>
      <c r="H639" t="s">
        <v>3034</v>
      </c>
      <c r="I639" t="s">
        <v>42</v>
      </c>
      <c r="J639" t="s">
        <v>44</v>
      </c>
      <c r="K639" t="s">
        <v>2969</v>
      </c>
      <c r="L639" t="s">
        <v>10</v>
      </c>
    </row>
    <row r="640" spans="1:12">
      <c r="A640" t="s">
        <v>3663</v>
      </c>
      <c r="B640" s="2">
        <v>45925</v>
      </c>
      <c r="C640">
        <v>2025</v>
      </c>
      <c r="D640">
        <v>9</v>
      </c>
      <c r="E640" t="s">
        <v>105</v>
      </c>
      <c r="F640" t="s">
        <v>38</v>
      </c>
      <c r="G640" t="s">
        <v>48</v>
      </c>
      <c r="H640" t="s">
        <v>51</v>
      </c>
      <c r="I640" t="s">
        <v>22</v>
      </c>
      <c r="J640" t="s">
        <v>44</v>
      </c>
      <c r="K640" t="s">
        <v>2969</v>
      </c>
      <c r="L640" t="s">
        <v>10</v>
      </c>
    </row>
    <row r="641" spans="1:12">
      <c r="A641" t="s">
        <v>3664</v>
      </c>
      <c r="B641" s="2">
        <v>45902</v>
      </c>
      <c r="C641">
        <v>2025</v>
      </c>
      <c r="D641">
        <v>9</v>
      </c>
      <c r="E641" t="s">
        <v>105</v>
      </c>
      <c r="F641" t="s">
        <v>54</v>
      </c>
      <c r="G641" t="s">
        <v>27</v>
      </c>
      <c r="H641" t="s">
        <v>3026</v>
      </c>
      <c r="I641" t="s">
        <v>35</v>
      </c>
      <c r="J641" t="s">
        <v>12</v>
      </c>
      <c r="K641" t="s">
        <v>2969</v>
      </c>
      <c r="L641" t="s">
        <v>10</v>
      </c>
    </row>
    <row r="642" spans="1:12">
      <c r="A642" t="s">
        <v>3665</v>
      </c>
      <c r="B642" s="2">
        <v>45928</v>
      </c>
      <c r="C642">
        <v>2025</v>
      </c>
      <c r="D642">
        <v>9</v>
      </c>
      <c r="E642" t="s">
        <v>105</v>
      </c>
      <c r="F642" t="s">
        <v>78</v>
      </c>
      <c r="G642" t="s">
        <v>3</v>
      </c>
      <c r="H642" t="s">
        <v>3034</v>
      </c>
      <c r="I642" t="s">
        <v>42</v>
      </c>
      <c r="J642" t="s">
        <v>44</v>
      </c>
      <c r="K642" t="s">
        <v>2969</v>
      </c>
      <c r="L642" t="s">
        <v>10</v>
      </c>
    </row>
    <row r="643" spans="1:12">
      <c r="A643" t="s">
        <v>3666</v>
      </c>
      <c r="B643" s="2">
        <v>45911</v>
      </c>
      <c r="C643">
        <v>2025</v>
      </c>
      <c r="D643">
        <v>9</v>
      </c>
      <c r="E643" t="s">
        <v>105</v>
      </c>
      <c r="F643" t="s">
        <v>31</v>
      </c>
      <c r="G643" t="s">
        <v>61</v>
      </c>
      <c r="H643" t="s">
        <v>3034</v>
      </c>
      <c r="I643" t="s">
        <v>22</v>
      </c>
      <c r="J643" t="s">
        <v>33</v>
      </c>
      <c r="K643" t="s">
        <v>2969</v>
      </c>
      <c r="L643" t="s">
        <v>10</v>
      </c>
    </row>
    <row r="644" spans="1:12">
      <c r="A644" t="s">
        <v>3667</v>
      </c>
      <c r="B644" s="2">
        <v>45918</v>
      </c>
      <c r="C644">
        <v>2025</v>
      </c>
      <c r="D644">
        <v>9</v>
      </c>
      <c r="E644" t="s">
        <v>105</v>
      </c>
      <c r="F644" t="s">
        <v>38</v>
      </c>
      <c r="G644" t="s">
        <v>94</v>
      </c>
      <c r="H644" t="s">
        <v>3045</v>
      </c>
      <c r="I644" t="s">
        <v>22</v>
      </c>
      <c r="J644" t="s">
        <v>33</v>
      </c>
      <c r="K644" t="s">
        <v>2969</v>
      </c>
      <c r="L644" t="s">
        <v>10</v>
      </c>
    </row>
    <row r="645" spans="1:12">
      <c r="A645" t="s">
        <v>3668</v>
      </c>
      <c r="B645" s="2">
        <v>45901</v>
      </c>
      <c r="C645">
        <v>2025</v>
      </c>
      <c r="D645">
        <v>9</v>
      </c>
      <c r="E645" t="s">
        <v>105</v>
      </c>
      <c r="F645" t="s">
        <v>38</v>
      </c>
      <c r="G645" t="s">
        <v>20</v>
      </c>
      <c r="H645" t="s">
        <v>51</v>
      </c>
      <c r="I645" t="s">
        <v>15</v>
      </c>
      <c r="J645" t="s">
        <v>12</v>
      </c>
      <c r="K645" t="s">
        <v>2977</v>
      </c>
      <c r="L645" t="s">
        <v>10</v>
      </c>
    </row>
    <row r="646" spans="1:12">
      <c r="A646" t="s">
        <v>3669</v>
      </c>
      <c r="B646" s="2">
        <v>45923</v>
      </c>
      <c r="C646">
        <v>2025</v>
      </c>
      <c r="D646">
        <v>9</v>
      </c>
      <c r="E646" t="s">
        <v>105</v>
      </c>
      <c r="F646" t="s">
        <v>26</v>
      </c>
      <c r="G646" t="s">
        <v>32</v>
      </c>
      <c r="H646" t="s">
        <v>3034</v>
      </c>
      <c r="I646" t="s">
        <v>52</v>
      </c>
      <c r="J646" t="s">
        <v>33</v>
      </c>
      <c r="K646" t="s">
        <v>2969</v>
      </c>
      <c r="L646" t="s">
        <v>10</v>
      </c>
    </row>
    <row r="647" spans="1:12">
      <c r="A647" t="s">
        <v>3670</v>
      </c>
      <c r="B647" s="2">
        <v>45926</v>
      </c>
      <c r="C647">
        <v>2025</v>
      </c>
      <c r="D647">
        <v>9</v>
      </c>
      <c r="E647" t="s">
        <v>105</v>
      </c>
      <c r="F647" t="s">
        <v>67</v>
      </c>
      <c r="G647" t="s">
        <v>74</v>
      </c>
      <c r="H647" t="s">
        <v>3039</v>
      </c>
      <c r="I647" t="s">
        <v>15</v>
      </c>
      <c r="J647" t="s">
        <v>12</v>
      </c>
      <c r="K647" t="s">
        <v>2969</v>
      </c>
      <c r="L647" t="s">
        <v>10</v>
      </c>
    </row>
    <row r="648" spans="1:12">
      <c r="A648" t="s">
        <v>3671</v>
      </c>
      <c r="B648" s="2">
        <v>45924</v>
      </c>
      <c r="C648">
        <v>2025</v>
      </c>
      <c r="D648">
        <v>9</v>
      </c>
      <c r="E648" t="s">
        <v>105</v>
      </c>
      <c r="F648" t="s">
        <v>2</v>
      </c>
      <c r="G648" t="s">
        <v>32</v>
      </c>
      <c r="H648" t="s">
        <v>3022</v>
      </c>
      <c r="I648" t="s">
        <v>22</v>
      </c>
      <c r="J648" t="s">
        <v>44</v>
      </c>
      <c r="K648" t="s">
        <v>2969</v>
      </c>
      <c r="L648" t="s">
        <v>10</v>
      </c>
    </row>
    <row r="649" spans="1:12">
      <c r="A649" t="s">
        <v>3672</v>
      </c>
      <c r="B649" s="2">
        <v>45911</v>
      </c>
      <c r="C649">
        <v>2025</v>
      </c>
      <c r="D649">
        <v>9</v>
      </c>
      <c r="E649" t="s">
        <v>105</v>
      </c>
      <c r="F649" t="s">
        <v>19</v>
      </c>
      <c r="G649" t="s">
        <v>64</v>
      </c>
      <c r="H649" t="s">
        <v>3026</v>
      </c>
      <c r="I649" t="s">
        <v>22</v>
      </c>
      <c r="J649" t="s">
        <v>33</v>
      </c>
      <c r="K649" t="s">
        <v>2969</v>
      </c>
      <c r="L649" t="s">
        <v>10</v>
      </c>
    </row>
    <row r="650" spans="1:12">
      <c r="A650" t="s">
        <v>3673</v>
      </c>
      <c r="B650" s="2">
        <v>45912</v>
      </c>
      <c r="C650">
        <v>2025</v>
      </c>
      <c r="D650">
        <v>9</v>
      </c>
      <c r="E650" t="s">
        <v>105</v>
      </c>
      <c r="F650" t="s">
        <v>40</v>
      </c>
      <c r="G650" t="s">
        <v>3</v>
      </c>
      <c r="H650" t="s">
        <v>3039</v>
      </c>
      <c r="I650" t="s">
        <v>52</v>
      </c>
      <c r="J650" t="s">
        <v>4</v>
      </c>
      <c r="K650" t="s">
        <v>2969</v>
      </c>
      <c r="L650" t="s">
        <v>10</v>
      </c>
    </row>
    <row r="651" spans="1:12">
      <c r="A651" t="s">
        <v>3674</v>
      </c>
      <c r="B651" s="2">
        <v>45904</v>
      </c>
      <c r="C651">
        <v>2025</v>
      </c>
      <c r="D651">
        <v>9</v>
      </c>
      <c r="E651" t="s">
        <v>105</v>
      </c>
      <c r="F651" t="s">
        <v>54</v>
      </c>
      <c r="G651" t="s">
        <v>94</v>
      </c>
      <c r="H651" t="s">
        <v>3026</v>
      </c>
      <c r="I651" t="s">
        <v>15</v>
      </c>
      <c r="J651" t="s">
        <v>4</v>
      </c>
      <c r="K651" t="s">
        <v>2969</v>
      </c>
      <c r="L651" t="s">
        <v>10</v>
      </c>
    </row>
    <row r="652" spans="1:12">
      <c r="A652" t="s">
        <v>3675</v>
      </c>
      <c r="B652" s="2">
        <v>45921</v>
      </c>
      <c r="C652">
        <v>2025</v>
      </c>
      <c r="D652">
        <v>9</v>
      </c>
      <c r="E652" t="s">
        <v>105</v>
      </c>
      <c r="F652" t="s">
        <v>47</v>
      </c>
      <c r="G652" t="s">
        <v>55</v>
      </c>
      <c r="H652" t="s">
        <v>51</v>
      </c>
      <c r="I652" t="s">
        <v>35</v>
      </c>
      <c r="J652" t="s">
        <v>12</v>
      </c>
      <c r="K652" t="s">
        <v>2969</v>
      </c>
      <c r="L652" t="s">
        <v>10</v>
      </c>
    </row>
    <row r="653" spans="1:12">
      <c r="A653" t="s">
        <v>3676</v>
      </c>
      <c r="B653" s="2">
        <v>45915</v>
      </c>
      <c r="C653">
        <v>2025</v>
      </c>
      <c r="D653">
        <v>9</v>
      </c>
      <c r="E653" t="s">
        <v>105</v>
      </c>
      <c r="F653" t="s">
        <v>19</v>
      </c>
      <c r="G653" t="s">
        <v>3</v>
      </c>
      <c r="H653" t="s">
        <v>3032</v>
      </c>
      <c r="I653" t="s">
        <v>35</v>
      </c>
      <c r="J653" t="s">
        <v>4</v>
      </c>
      <c r="K653" t="s">
        <v>2969</v>
      </c>
      <c r="L653" t="s">
        <v>10</v>
      </c>
    </row>
    <row r="654" spans="1:12">
      <c r="A654" t="s">
        <v>3677</v>
      </c>
      <c r="B654" s="2">
        <v>45914</v>
      </c>
      <c r="C654">
        <v>2025</v>
      </c>
      <c r="D654">
        <v>9</v>
      </c>
      <c r="E654" t="s">
        <v>105</v>
      </c>
      <c r="F654" t="s">
        <v>40</v>
      </c>
      <c r="G654" t="s">
        <v>69</v>
      </c>
      <c r="H654" t="s">
        <v>3032</v>
      </c>
      <c r="I654" t="s">
        <v>15</v>
      </c>
      <c r="J654" t="s">
        <v>4</v>
      </c>
      <c r="K654" t="s">
        <v>2969</v>
      </c>
      <c r="L654" t="s">
        <v>10</v>
      </c>
    </row>
    <row r="655" spans="1:12">
      <c r="A655" t="s">
        <v>3678</v>
      </c>
      <c r="B655" s="2">
        <v>45917</v>
      </c>
      <c r="C655">
        <v>2025</v>
      </c>
      <c r="D655">
        <v>9</v>
      </c>
      <c r="E655" t="s">
        <v>105</v>
      </c>
      <c r="F655" t="s">
        <v>19</v>
      </c>
      <c r="G655" t="s">
        <v>55</v>
      </c>
      <c r="H655" t="s">
        <v>3045</v>
      </c>
      <c r="I655" t="s">
        <v>15</v>
      </c>
      <c r="J655" t="s">
        <v>4</v>
      </c>
      <c r="K655" t="s">
        <v>2969</v>
      </c>
      <c r="L655" t="s">
        <v>10</v>
      </c>
    </row>
    <row r="656" spans="1:12">
      <c r="A656" t="s">
        <v>3679</v>
      </c>
      <c r="B656" s="2">
        <v>45920</v>
      </c>
      <c r="C656">
        <v>2025</v>
      </c>
      <c r="D656">
        <v>9</v>
      </c>
      <c r="E656" t="s">
        <v>105</v>
      </c>
      <c r="F656" t="s">
        <v>54</v>
      </c>
      <c r="G656" t="s">
        <v>48</v>
      </c>
      <c r="H656" t="s">
        <v>3032</v>
      </c>
      <c r="I656" t="s">
        <v>22</v>
      </c>
      <c r="J656" t="s">
        <v>4</v>
      </c>
      <c r="K656" t="s">
        <v>2969</v>
      </c>
      <c r="L656" t="s">
        <v>10</v>
      </c>
    </row>
    <row r="657" spans="1:12">
      <c r="A657" t="s">
        <v>3680</v>
      </c>
      <c r="B657" s="2">
        <v>45904</v>
      </c>
      <c r="C657">
        <v>2025</v>
      </c>
      <c r="D657">
        <v>9</v>
      </c>
      <c r="E657" t="s">
        <v>105</v>
      </c>
      <c r="F657" t="s">
        <v>54</v>
      </c>
      <c r="G657" t="s">
        <v>27</v>
      </c>
      <c r="H657" t="s">
        <v>3032</v>
      </c>
      <c r="I657" t="s">
        <v>15</v>
      </c>
      <c r="J657" t="s">
        <v>12</v>
      </c>
      <c r="K657" t="s">
        <v>2969</v>
      </c>
      <c r="L657" t="s">
        <v>10</v>
      </c>
    </row>
    <row r="658" spans="1:12">
      <c r="A658" t="s">
        <v>3681</v>
      </c>
      <c r="B658" s="2">
        <v>45917</v>
      </c>
      <c r="C658">
        <v>2025</v>
      </c>
      <c r="D658">
        <v>9</v>
      </c>
      <c r="E658" t="s">
        <v>105</v>
      </c>
      <c r="F658" t="s">
        <v>38</v>
      </c>
      <c r="G658" t="s">
        <v>55</v>
      </c>
      <c r="H658" t="s">
        <v>3032</v>
      </c>
      <c r="I658" t="s">
        <v>42</v>
      </c>
      <c r="J658" t="s">
        <v>44</v>
      </c>
      <c r="K658" t="s">
        <v>2969</v>
      </c>
      <c r="L658" t="s">
        <v>10</v>
      </c>
    </row>
    <row r="659" spans="1:12">
      <c r="A659" t="s">
        <v>3682</v>
      </c>
      <c r="B659" s="2">
        <v>45927</v>
      </c>
      <c r="C659">
        <v>2025</v>
      </c>
      <c r="D659">
        <v>9</v>
      </c>
      <c r="E659" t="s">
        <v>105</v>
      </c>
      <c r="F659" t="s">
        <v>67</v>
      </c>
      <c r="G659" t="s">
        <v>27</v>
      </c>
      <c r="H659" t="s">
        <v>3045</v>
      </c>
      <c r="I659" t="s">
        <v>42</v>
      </c>
      <c r="J659" t="s">
        <v>4</v>
      </c>
      <c r="K659" t="s">
        <v>2969</v>
      </c>
      <c r="L659" t="s">
        <v>10</v>
      </c>
    </row>
    <row r="660" spans="1:12">
      <c r="A660" t="s">
        <v>3683</v>
      </c>
      <c r="B660" s="2">
        <v>45927</v>
      </c>
      <c r="C660">
        <v>2025</v>
      </c>
      <c r="D660">
        <v>9</v>
      </c>
      <c r="E660" t="s">
        <v>105</v>
      </c>
      <c r="F660" t="s">
        <v>26</v>
      </c>
      <c r="G660" t="s">
        <v>27</v>
      </c>
      <c r="H660" t="s">
        <v>3039</v>
      </c>
      <c r="I660" t="s">
        <v>15</v>
      </c>
      <c r="J660" t="s">
        <v>12</v>
      </c>
      <c r="K660" t="s">
        <v>2969</v>
      </c>
      <c r="L660" t="s">
        <v>10</v>
      </c>
    </row>
    <row r="661" spans="1:12">
      <c r="A661" t="s">
        <v>3684</v>
      </c>
      <c r="B661" s="2">
        <v>45923</v>
      </c>
      <c r="C661">
        <v>2025</v>
      </c>
      <c r="D661">
        <v>9</v>
      </c>
      <c r="E661" t="s">
        <v>105</v>
      </c>
      <c r="F661" t="s">
        <v>67</v>
      </c>
      <c r="G661" t="s">
        <v>38</v>
      </c>
      <c r="H661" t="s">
        <v>3026</v>
      </c>
      <c r="I661" t="s">
        <v>15</v>
      </c>
      <c r="J661" t="s">
        <v>12</v>
      </c>
      <c r="K661" t="s">
        <v>2969</v>
      </c>
      <c r="L661" t="s">
        <v>10</v>
      </c>
    </row>
    <row r="662" spans="1:12">
      <c r="A662" t="s">
        <v>3685</v>
      </c>
      <c r="B662" s="2">
        <v>45920</v>
      </c>
      <c r="C662">
        <v>2025</v>
      </c>
      <c r="D662">
        <v>9</v>
      </c>
      <c r="E662" t="s">
        <v>105</v>
      </c>
      <c r="F662" t="s">
        <v>54</v>
      </c>
      <c r="G662" t="s">
        <v>20</v>
      </c>
      <c r="H662" t="s">
        <v>3034</v>
      </c>
      <c r="I662" t="s">
        <v>42</v>
      </c>
      <c r="J662" t="s">
        <v>4</v>
      </c>
      <c r="K662" t="s">
        <v>2969</v>
      </c>
      <c r="L662" t="s">
        <v>10</v>
      </c>
    </row>
    <row r="663" spans="1:12">
      <c r="A663" t="s">
        <v>3686</v>
      </c>
      <c r="B663" s="2">
        <v>45918</v>
      </c>
      <c r="C663">
        <v>2025</v>
      </c>
      <c r="D663">
        <v>9</v>
      </c>
      <c r="E663" t="s">
        <v>105</v>
      </c>
      <c r="F663" t="s">
        <v>2</v>
      </c>
      <c r="G663" t="s">
        <v>61</v>
      </c>
      <c r="H663" t="s">
        <v>51</v>
      </c>
      <c r="I663" t="s">
        <v>42</v>
      </c>
      <c r="J663" t="s">
        <v>4</v>
      </c>
      <c r="K663" t="s">
        <v>2977</v>
      </c>
      <c r="L663" t="s">
        <v>10</v>
      </c>
    </row>
    <row r="664" spans="1:12">
      <c r="A664" t="s">
        <v>3687</v>
      </c>
      <c r="B664" s="2">
        <v>45905</v>
      </c>
      <c r="C664">
        <v>2025</v>
      </c>
      <c r="D664">
        <v>9</v>
      </c>
      <c r="E664" t="s">
        <v>105</v>
      </c>
      <c r="F664" t="s">
        <v>26</v>
      </c>
      <c r="G664" t="s">
        <v>38</v>
      </c>
      <c r="H664" t="s">
        <v>3034</v>
      </c>
      <c r="I664" t="s">
        <v>15</v>
      </c>
      <c r="J664" t="s">
        <v>44</v>
      </c>
      <c r="K664" t="s">
        <v>2969</v>
      </c>
      <c r="L664" t="s">
        <v>10</v>
      </c>
    </row>
    <row r="665" spans="1:12">
      <c r="A665" t="s">
        <v>3688</v>
      </c>
      <c r="B665" s="2">
        <v>45906</v>
      </c>
      <c r="C665">
        <v>2025</v>
      </c>
      <c r="D665">
        <v>9</v>
      </c>
      <c r="E665" t="s">
        <v>105</v>
      </c>
      <c r="F665" t="s">
        <v>2</v>
      </c>
      <c r="G665" t="s">
        <v>38</v>
      </c>
      <c r="H665" t="s">
        <v>3022</v>
      </c>
      <c r="I665" t="s">
        <v>42</v>
      </c>
      <c r="J665" t="s">
        <v>33</v>
      </c>
      <c r="K665" t="s">
        <v>2969</v>
      </c>
      <c r="L665" t="s">
        <v>10</v>
      </c>
    </row>
    <row r="666" spans="1:12">
      <c r="A666" t="s">
        <v>3689</v>
      </c>
      <c r="B666" s="2">
        <v>45927</v>
      </c>
      <c r="C666">
        <v>2025</v>
      </c>
      <c r="D666">
        <v>9</v>
      </c>
      <c r="E666" t="s">
        <v>105</v>
      </c>
      <c r="F666" t="s">
        <v>47</v>
      </c>
      <c r="G666" t="s">
        <v>61</v>
      </c>
      <c r="H666" t="s">
        <v>51</v>
      </c>
      <c r="I666" t="s">
        <v>42</v>
      </c>
      <c r="J666" t="s">
        <v>12</v>
      </c>
      <c r="K666" t="s">
        <v>2969</v>
      </c>
      <c r="L666" t="s">
        <v>10</v>
      </c>
    </row>
    <row r="667" spans="1:12">
      <c r="A667" t="s">
        <v>3690</v>
      </c>
      <c r="B667" s="2">
        <v>45921</v>
      </c>
      <c r="C667">
        <v>2025</v>
      </c>
      <c r="D667">
        <v>9</v>
      </c>
      <c r="E667" t="s">
        <v>105</v>
      </c>
      <c r="F667" t="s">
        <v>54</v>
      </c>
      <c r="G667" t="s">
        <v>69</v>
      </c>
      <c r="H667" t="s">
        <v>51</v>
      </c>
      <c r="I667" t="s">
        <v>15</v>
      </c>
      <c r="J667" t="s">
        <v>44</v>
      </c>
      <c r="K667" t="s">
        <v>2969</v>
      </c>
      <c r="L667" t="s">
        <v>10</v>
      </c>
    </row>
    <row r="668" spans="1:12">
      <c r="A668" t="s">
        <v>3691</v>
      </c>
      <c r="B668" s="2">
        <v>45910</v>
      </c>
      <c r="C668">
        <v>2025</v>
      </c>
      <c r="D668">
        <v>9</v>
      </c>
      <c r="E668" t="s">
        <v>105</v>
      </c>
      <c r="F668" t="s">
        <v>31</v>
      </c>
      <c r="G668" t="s">
        <v>74</v>
      </c>
      <c r="H668" t="s">
        <v>3026</v>
      </c>
      <c r="I668" t="s">
        <v>15</v>
      </c>
      <c r="J668" t="s">
        <v>4</v>
      </c>
      <c r="K668" t="s">
        <v>2969</v>
      </c>
      <c r="L668" t="s">
        <v>10</v>
      </c>
    </row>
    <row r="669" spans="1:12">
      <c r="A669" t="s">
        <v>3692</v>
      </c>
      <c r="B669" s="2">
        <v>45926</v>
      </c>
      <c r="C669">
        <v>2025</v>
      </c>
      <c r="D669">
        <v>9</v>
      </c>
      <c r="E669" t="s">
        <v>105</v>
      </c>
      <c r="F669" t="s">
        <v>67</v>
      </c>
      <c r="G669" t="s">
        <v>74</v>
      </c>
      <c r="H669" t="s">
        <v>3019</v>
      </c>
      <c r="I669" t="s">
        <v>8</v>
      </c>
      <c r="J669" t="s">
        <v>4</v>
      </c>
      <c r="K669" t="s">
        <v>2969</v>
      </c>
      <c r="L669" t="s">
        <v>10</v>
      </c>
    </row>
    <row r="670" spans="1:12">
      <c r="A670" t="s">
        <v>3693</v>
      </c>
      <c r="B670" s="2">
        <v>45921</v>
      </c>
      <c r="C670">
        <v>2025</v>
      </c>
      <c r="D670">
        <v>9</v>
      </c>
      <c r="E670" t="s">
        <v>105</v>
      </c>
      <c r="F670" t="s">
        <v>26</v>
      </c>
      <c r="G670" t="s">
        <v>94</v>
      </c>
      <c r="H670" t="s">
        <v>3034</v>
      </c>
      <c r="I670" t="s">
        <v>22</v>
      </c>
      <c r="J670" t="s">
        <v>4</v>
      </c>
      <c r="K670" t="s">
        <v>2969</v>
      </c>
      <c r="L670" t="s">
        <v>10</v>
      </c>
    </row>
    <row r="671" spans="1:12">
      <c r="A671" t="s">
        <v>3694</v>
      </c>
      <c r="B671" s="2">
        <v>45917</v>
      </c>
      <c r="C671">
        <v>2025</v>
      </c>
      <c r="D671">
        <v>9</v>
      </c>
      <c r="E671" t="s">
        <v>105</v>
      </c>
      <c r="F671" t="s">
        <v>19</v>
      </c>
      <c r="G671" t="s">
        <v>20</v>
      </c>
      <c r="H671" t="s">
        <v>3032</v>
      </c>
      <c r="I671" t="s">
        <v>52</v>
      </c>
      <c r="J671" t="s">
        <v>4</v>
      </c>
      <c r="K671" t="s">
        <v>2977</v>
      </c>
      <c r="L671" t="s">
        <v>10</v>
      </c>
    </row>
    <row r="672" spans="1:12">
      <c r="A672" t="s">
        <v>3695</v>
      </c>
      <c r="B672" s="2">
        <v>45903</v>
      </c>
      <c r="C672">
        <v>2025</v>
      </c>
      <c r="D672">
        <v>9</v>
      </c>
      <c r="E672" t="s">
        <v>105</v>
      </c>
      <c r="F672" t="s">
        <v>2</v>
      </c>
      <c r="G672" t="s">
        <v>64</v>
      </c>
      <c r="H672" t="s">
        <v>3034</v>
      </c>
      <c r="I672" t="s">
        <v>52</v>
      </c>
      <c r="J672" t="s">
        <v>12</v>
      </c>
      <c r="K672" t="s">
        <v>2969</v>
      </c>
      <c r="L672" t="s">
        <v>17</v>
      </c>
    </row>
    <row r="673" spans="1:12">
      <c r="A673" t="s">
        <v>3696</v>
      </c>
      <c r="B673" s="2">
        <v>45906</v>
      </c>
      <c r="C673">
        <v>2025</v>
      </c>
      <c r="D673">
        <v>9</v>
      </c>
      <c r="E673" t="s">
        <v>105</v>
      </c>
      <c r="F673" t="s">
        <v>40</v>
      </c>
      <c r="G673" t="s">
        <v>61</v>
      </c>
      <c r="H673" t="s">
        <v>3039</v>
      </c>
      <c r="I673" t="s">
        <v>8</v>
      </c>
      <c r="J673" t="s">
        <v>44</v>
      </c>
      <c r="K673" t="s">
        <v>2969</v>
      </c>
      <c r="L673" t="s">
        <v>17</v>
      </c>
    </row>
    <row r="674" spans="1:12">
      <c r="A674" t="s">
        <v>3697</v>
      </c>
      <c r="B674" s="2">
        <v>45957</v>
      </c>
      <c r="C674">
        <v>2025</v>
      </c>
      <c r="D674">
        <v>10</v>
      </c>
      <c r="E674" t="s">
        <v>113</v>
      </c>
      <c r="F674" t="s">
        <v>26</v>
      </c>
      <c r="G674" t="s">
        <v>61</v>
      </c>
      <c r="H674" t="s">
        <v>3032</v>
      </c>
      <c r="I674" t="s">
        <v>15</v>
      </c>
      <c r="J674" t="s">
        <v>44</v>
      </c>
      <c r="K674" t="s">
        <v>2969</v>
      </c>
      <c r="L674" t="s">
        <v>10</v>
      </c>
    </row>
    <row r="675" spans="1:12">
      <c r="A675" t="s">
        <v>3698</v>
      </c>
      <c r="B675" s="2">
        <v>45948</v>
      </c>
      <c r="C675">
        <v>2025</v>
      </c>
      <c r="D675">
        <v>10</v>
      </c>
      <c r="E675" t="s">
        <v>113</v>
      </c>
      <c r="F675" t="s">
        <v>19</v>
      </c>
      <c r="G675" t="s">
        <v>94</v>
      </c>
      <c r="H675" t="s">
        <v>3022</v>
      </c>
      <c r="I675" t="s">
        <v>8</v>
      </c>
      <c r="J675" t="s">
        <v>33</v>
      </c>
      <c r="K675" t="s">
        <v>2969</v>
      </c>
      <c r="L675" t="s">
        <v>10</v>
      </c>
    </row>
    <row r="676" spans="1:12">
      <c r="A676" t="s">
        <v>3699</v>
      </c>
      <c r="B676" s="2">
        <v>45954</v>
      </c>
      <c r="C676">
        <v>2025</v>
      </c>
      <c r="D676">
        <v>10</v>
      </c>
      <c r="E676" t="s">
        <v>113</v>
      </c>
      <c r="F676" t="s">
        <v>54</v>
      </c>
      <c r="G676" t="s">
        <v>64</v>
      </c>
      <c r="H676" t="s">
        <v>3034</v>
      </c>
      <c r="I676" t="s">
        <v>35</v>
      </c>
      <c r="J676" t="s">
        <v>12</v>
      </c>
      <c r="K676" t="s">
        <v>2977</v>
      </c>
      <c r="L676" t="s">
        <v>10</v>
      </c>
    </row>
    <row r="677" spans="1:12">
      <c r="A677" t="s">
        <v>3700</v>
      </c>
      <c r="B677" s="2">
        <v>45937</v>
      </c>
      <c r="C677">
        <v>2025</v>
      </c>
      <c r="D677">
        <v>10</v>
      </c>
      <c r="E677" t="s">
        <v>113</v>
      </c>
      <c r="F677" t="s">
        <v>54</v>
      </c>
      <c r="G677" t="s">
        <v>3</v>
      </c>
      <c r="H677" t="s">
        <v>3019</v>
      </c>
      <c r="I677" t="s">
        <v>15</v>
      </c>
      <c r="J677" t="s">
        <v>44</v>
      </c>
      <c r="K677" t="s">
        <v>2969</v>
      </c>
      <c r="L677" t="s">
        <v>10</v>
      </c>
    </row>
    <row r="678" spans="1:12">
      <c r="A678" t="s">
        <v>3701</v>
      </c>
      <c r="B678" s="2">
        <v>45949</v>
      </c>
      <c r="C678">
        <v>2025</v>
      </c>
      <c r="D678">
        <v>10</v>
      </c>
      <c r="E678" t="s">
        <v>113</v>
      </c>
      <c r="F678" t="s">
        <v>38</v>
      </c>
      <c r="G678" t="s">
        <v>48</v>
      </c>
      <c r="H678" t="s">
        <v>3022</v>
      </c>
      <c r="I678" t="s">
        <v>8</v>
      </c>
      <c r="J678" t="s">
        <v>12</v>
      </c>
      <c r="K678" t="s">
        <v>2969</v>
      </c>
      <c r="L678" t="s">
        <v>10</v>
      </c>
    </row>
    <row r="679" spans="1:12">
      <c r="A679" t="s">
        <v>3702</v>
      </c>
      <c r="B679" s="2">
        <v>45939</v>
      </c>
      <c r="C679">
        <v>2025</v>
      </c>
      <c r="D679">
        <v>10</v>
      </c>
      <c r="E679" t="s">
        <v>113</v>
      </c>
      <c r="F679" t="s">
        <v>40</v>
      </c>
      <c r="G679" t="s">
        <v>94</v>
      </c>
      <c r="H679" t="s">
        <v>3039</v>
      </c>
      <c r="I679" t="s">
        <v>42</v>
      </c>
      <c r="J679" t="s">
        <v>44</v>
      </c>
      <c r="K679" t="s">
        <v>2969</v>
      </c>
      <c r="L679" t="s">
        <v>10</v>
      </c>
    </row>
    <row r="680" spans="1:12">
      <c r="A680" t="s">
        <v>3703</v>
      </c>
      <c r="B680" s="2">
        <v>45954</v>
      </c>
      <c r="C680">
        <v>2025</v>
      </c>
      <c r="D680">
        <v>10</v>
      </c>
      <c r="E680" t="s">
        <v>113</v>
      </c>
      <c r="F680" t="s">
        <v>47</v>
      </c>
      <c r="G680" t="s">
        <v>69</v>
      </c>
      <c r="H680" t="s">
        <v>3032</v>
      </c>
      <c r="I680" t="s">
        <v>8</v>
      </c>
      <c r="J680" t="s">
        <v>4</v>
      </c>
      <c r="K680" t="s">
        <v>2977</v>
      </c>
      <c r="L680" t="s">
        <v>17</v>
      </c>
    </row>
    <row r="681" spans="1:12">
      <c r="A681" t="s">
        <v>3704</v>
      </c>
      <c r="B681" s="2">
        <v>45934</v>
      </c>
      <c r="C681">
        <v>2025</v>
      </c>
      <c r="D681">
        <v>10</v>
      </c>
      <c r="E681" t="s">
        <v>113</v>
      </c>
      <c r="F681" t="s">
        <v>38</v>
      </c>
      <c r="G681" t="s">
        <v>20</v>
      </c>
      <c r="H681" t="s">
        <v>3032</v>
      </c>
      <c r="I681" t="s">
        <v>15</v>
      </c>
      <c r="J681" t="s">
        <v>12</v>
      </c>
      <c r="K681" t="s">
        <v>2969</v>
      </c>
      <c r="L681" t="s">
        <v>10</v>
      </c>
    </row>
    <row r="682" spans="1:12">
      <c r="A682" t="s">
        <v>3705</v>
      </c>
      <c r="B682" s="2">
        <v>45940</v>
      </c>
      <c r="C682">
        <v>2025</v>
      </c>
      <c r="D682">
        <v>10</v>
      </c>
      <c r="E682" t="s">
        <v>113</v>
      </c>
      <c r="F682" t="s">
        <v>31</v>
      </c>
      <c r="G682" t="s">
        <v>32</v>
      </c>
      <c r="H682" t="s">
        <v>51</v>
      </c>
      <c r="I682" t="s">
        <v>22</v>
      </c>
      <c r="J682" t="s">
        <v>33</v>
      </c>
      <c r="K682" t="s">
        <v>2969</v>
      </c>
      <c r="L682" t="s">
        <v>10</v>
      </c>
    </row>
    <row r="683" spans="1:12">
      <c r="A683" t="s">
        <v>3706</v>
      </c>
      <c r="B683" s="2">
        <v>45956</v>
      </c>
      <c r="C683">
        <v>2025</v>
      </c>
      <c r="D683">
        <v>10</v>
      </c>
      <c r="E683" t="s">
        <v>113</v>
      </c>
      <c r="F683" t="s">
        <v>47</v>
      </c>
      <c r="G683" t="s">
        <v>3</v>
      </c>
      <c r="H683" t="s">
        <v>51</v>
      </c>
      <c r="I683" t="s">
        <v>15</v>
      </c>
      <c r="J683" t="s">
        <v>44</v>
      </c>
      <c r="K683" t="s">
        <v>2969</v>
      </c>
      <c r="L683" t="s">
        <v>10</v>
      </c>
    </row>
    <row r="684" spans="1:12">
      <c r="A684" t="s">
        <v>3707</v>
      </c>
      <c r="B684" s="2">
        <v>45933</v>
      </c>
      <c r="C684">
        <v>2025</v>
      </c>
      <c r="D684">
        <v>10</v>
      </c>
      <c r="E684" t="s">
        <v>113</v>
      </c>
      <c r="F684" t="s">
        <v>19</v>
      </c>
      <c r="G684" t="s">
        <v>3</v>
      </c>
      <c r="H684" t="s">
        <v>3039</v>
      </c>
      <c r="I684" t="s">
        <v>15</v>
      </c>
      <c r="J684" t="s">
        <v>44</v>
      </c>
      <c r="K684" t="s">
        <v>2969</v>
      </c>
      <c r="L684" t="s">
        <v>10</v>
      </c>
    </row>
    <row r="685" spans="1:12">
      <c r="A685" t="s">
        <v>3708</v>
      </c>
      <c r="B685" s="2">
        <v>45948</v>
      </c>
      <c r="C685">
        <v>2025</v>
      </c>
      <c r="D685">
        <v>10</v>
      </c>
      <c r="E685" t="s">
        <v>113</v>
      </c>
      <c r="F685" t="s">
        <v>40</v>
      </c>
      <c r="G685" t="s">
        <v>64</v>
      </c>
      <c r="H685" t="s">
        <v>3026</v>
      </c>
      <c r="I685" t="s">
        <v>8</v>
      </c>
      <c r="J685" t="s">
        <v>12</v>
      </c>
      <c r="K685" t="s">
        <v>2969</v>
      </c>
      <c r="L685" t="s">
        <v>17</v>
      </c>
    </row>
    <row r="686" spans="1:12">
      <c r="A686" t="s">
        <v>3709</v>
      </c>
      <c r="B686" s="2">
        <v>45939</v>
      </c>
      <c r="C686">
        <v>2025</v>
      </c>
      <c r="D686">
        <v>10</v>
      </c>
      <c r="E686" t="s">
        <v>113</v>
      </c>
      <c r="F686" t="s">
        <v>78</v>
      </c>
      <c r="G686" t="s">
        <v>48</v>
      </c>
      <c r="H686" t="s">
        <v>51</v>
      </c>
      <c r="I686" t="s">
        <v>42</v>
      </c>
      <c r="J686" t="s">
        <v>12</v>
      </c>
      <c r="K686" t="s">
        <v>2969</v>
      </c>
      <c r="L686" t="s">
        <v>10</v>
      </c>
    </row>
    <row r="687" spans="1:12">
      <c r="A687" t="s">
        <v>3710</v>
      </c>
      <c r="B687" s="2">
        <v>45937</v>
      </c>
      <c r="C687">
        <v>2025</v>
      </c>
      <c r="D687">
        <v>10</v>
      </c>
      <c r="E687" t="s">
        <v>113</v>
      </c>
      <c r="F687" t="s">
        <v>40</v>
      </c>
      <c r="G687" t="s">
        <v>55</v>
      </c>
      <c r="H687" t="s">
        <v>51</v>
      </c>
      <c r="I687" t="s">
        <v>35</v>
      </c>
      <c r="J687" t="s">
        <v>4</v>
      </c>
      <c r="K687" t="s">
        <v>2969</v>
      </c>
      <c r="L687" t="s">
        <v>10</v>
      </c>
    </row>
    <row r="688" spans="1:12">
      <c r="A688" t="s">
        <v>3711</v>
      </c>
      <c r="B688" s="2">
        <v>45945</v>
      </c>
      <c r="C688">
        <v>2025</v>
      </c>
      <c r="D688">
        <v>10</v>
      </c>
      <c r="E688" t="s">
        <v>113</v>
      </c>
      <c r="F688" t="s">
        <v>31</v>
      </c>
      <c r="G688" t="s">
        <v>74</v>
      </c>
      <c r="H688" t="s">
        <v>3045</v>
      </c>
      <c r="I688" t="s">
        <v>42</v>
      </c>
      <c r="J688" t="s">
        <v>4</v>
      </c>
      <c r="K688" t="s">
        <v>2969</v>
      </c>
      <c r="L688" t="s">
        <v>10</v>
      </c>
    </row>
    <row r="689" spans="1:12">
      <c r="A689" t="s">
        <v>3712</v>
      </c>
      <c r="B689" s="2">
        <v>45948</v>
      </c>
      <c r="C689">
        <v>2025</v>
      </c>
      <c r="D689">
        <v>10</v>
      </c>
      <c r="E689" t="s">
        <v>113</v>
      </c>
      <c r="F689" t="s">
        <v>2</v>
      </c>
      <c r="G689" t="s">
        <v>61</v>
      </c>
      <c r="H689" t="s">
        <v>3045</v>
      </c>
      <c r="I689" t="s">
        <v>42</v>
      </c>
      <c r="J689" t="s">
        <v>44</v>
      </c>
      <c r="K689" t="s">
        <v>2969</v>
      </c>
      <c r="L689" t="s">
        <v>10</v>
      </c>
    </row>
    <row r="690" spans="1:12">
      <c r="A690" t="s">
        <v>3713</v>
      </c>
      <c r="B690" s="2">
        <v>45935</v>
      </c>
      <c r="C690">
        <v>2025</v>
      </c>
      <c r="D690">
        <v>10</v>
      </c>
      <c r="E690" t="s">
        <v>113</v>
      </c>
      <c r="F690" t="s">
        <v>2</v>
      </c>
      <c r="G690" t="s">
        <v>27</v>
      </c>
      <c r="H690" t="s">
        <v>3034</v>
      </c>
      <c r="I690" t="s">
        <v>52</v>
      </c>
      <c r="J690" t="s">
        <v>44</v>
      </c>
      <c r="K690" t="s">
        <v>2969</v>
      </c>
      <c r="L690" t="s">
        <v>10</v>
      </c>
    </row>
    <row r="691" spans="1:12">
      <c r="A691" t="s">
        <v>3714</v>
      </c>
      <c r="B691" s="2">
        <v>45954</v>
      </c>
      <c r="C691">
        <v>2025</v>
      </c>
      <c r="D691">
        <v>10</v>
      </c>
      <c r="E691" t="s">
        <v>113</v>
      </c>
      <c r="F691" t="s">
        <v>31</v>
      </c>
      <c r="G691" t="s">
        <v>94</v>
      </c>
      <c r="H691" t="s">
        <v>3039</v>
      </c>
      <c r="I691" t="s">
        <v>52</v>
      </c>
      <c r="J691" t="s">
        <v>44</v>
      </c>
      <c r="K691" t="s">
        <v>2969</v>
      </c>
      <c r="L691" t="s">
        <v>17</v>
      </c>
    </row>
    <row r="692" spans="1:12">
      <c r="A692" t="s">
        <v>3715</v>
      </c>
      <c r="B692" s="2">
        <v>45949</v>
      </c>
      <c r="C692">
        <v>2025</v>
      </c>
      <c r="D692">
        <v>10</v>
      </c>
      <c r="E692" t="s">
        <v>113</v>
      </c>
      <c r="F692" t="s">
        <v>26</v>
      </c>
      <c r="G692" t="s">
        <v>38</v>
      </c>
      <c r="H692" t="s">
        <v>3034</v>
      </c>
      <c r="I692" t="s">
        <v>8</v>
      </c>
      <c r="J692" t="s">
        <v>4</v>
      </c>
      <c r="K692" t="s">
        <v>2969</v>
      </c>
      <c r="L692" t="s">
        <v>10</v>
      </c>
    </row>
    <row r="693" spans="1:12">
      <c r="A693" t="s">
        <v>3716</v>
      </c>
      <c r="B693" s="2">
        <v>45958</v>
      </c>
      <c r="C693">
        <v>2025</v>
      </c>
      <c r="D693">
        <v>10</v>
      </c>
      <c r="E693" t="s">
        <v>113</v>
      </c>
      <c r="F693" t="s">
        <v>19</v>
      </c>
      <c r="G693" t="s">
        <v>27</v>
      </c>
      <c r="H693" t="s">
        <v>3045</v>
      </c>
      <c r="I693" t="s">
        <v>15</v>
      </c>
      <c r="J693" t="s">
        <v>33</v>
      </c>
      <c r="K693" t="s">
        <v>2969</v>
      </c>
      <c r="L693" t="s">
        <v>10</v>
      </c>
    </row>
    <row r="694" spans="1:12">
      <c r="A694" t="s">
        <v>3717</v>
      </c>
      <c r="B694" s="2">
        <v>45949</v>
      </c>
      <c r="C694">
        <v>2025</v>
      </c>
      <c r="D694">
        <v>10</v>
      </c>
      <c r="E694" t="s">
        <v>113</v>
      </c>
      <c r="F694" t="s">
        <v>38</v>
      </c>
      <c r="G694" t="s">
        <v>69</v>
      </c>
      <c r="H694" t="s">
        <v>3026</v>
      </c>
      <c r="I694" t="s">
        <v>35</v>
      </c>
      <c r="J694" t="s">
        <v>33</v>
      </c>
      <c r="K694" t="s">
        <v>2969</v>
      </c>
      <c r="L694" t="s">
        <v>10</v>
      </c>
    </row>
    <row r="695" spans="1:12">
      <c r="A695" t="s">
        <v>3718</v>
      </c>
      <c r="B695" s="2">
        <v>45957</v>
      </c>
      <c r="C695">
        <v>2025</v>
      </c>
      <c r="D695">
        <v>10</v>
      </c>
      <c r="E695" t="s">
        <v>113</v>
      </c>
      <c r="F695" t="s">
        <v>54</v>
      </c>
      <c r="G695" t="s">
        <v>69</v>
      </c>
      <c r="H695" t="s">
        <v>3019</v>
      </c>
      <c r="I695" t="s">
        <v>42</v>
      </c>
      <c r="J695" t="s">
        <v>33</v>
      </c>
      <c r="K695" t="s">
        <v>2969</v>
      </c>
      <c r="L695" t="s">
        <v>10</v>
      </c>
    </row>
    <row r="696" spans="1:12">
      <c r="A696" t="s">
        <v>3719</v>
      </c>
      <c r="B696" s="2">
        <v>45932</v>
      </c>
      <c r="C696">
        <v>2025</v>
      </c>
      <c r="D696">
        <v>10</v>
      </c>
      <c r="E696" t="s">
        <v>113</v>
      </c>
      <c r="F696" t="s">
        <v>31</v>
      </c>
      <c r="G696" t="s">
        <v>61</v>
      </c>
      <c r="H696" t="s">
        <v>3022</v>
      </c>
      <c r="I696" t="s">
        <v>22</v>
      </c>
      <c r="J696" t="s">
        <v>4</v>
      </c>
      <c r="K696" t="s">
        <v>2969</v>
      </c>
      <c r="L696" t="s">
        <v>10</v>
      </c>
    </row>
    <row r="697" spans="1:12">
      <c r="A697" t="s">
        <v>3720</v>
      </c>
      <c r="B697" s="2">
        <v>45937</v>
      </c>
      <c r="C697">
        <v>2025</v>
      </c>
      <c r="D697">
        <v>10</v>
      </c>
      <c r="E697" t="s">
        <v>113</v>
      </c>
      <c r="F697" t="s">
        <v>26</v>
      </c>
      <c r="G697" t="s">
        <v>64</v>
      </c>
      <c r="H697" t="s">
        <v>3039</v>
      </c>
      <c r="I697" t="s">
        <v>52</v>
      </c>
      <c r="J697" t="s">
        <v>4</v>
      </c>
      <c r="K697" t="s">
        <v>2969</v>
      </c>
      <c r="L697" t="s">
        <v>10</v>
      </c>
    </row>
    <row r="698" spans="1:12">
      <c r="A698" t="s">
        <v>3721</v>
      </c>
      <c r="B698" s="2">
        <v>45948</v>
      </c>
      <c r="C698">
        <v>2025</v>
      </c>
      <c r="D698">
        <v>10</v>
      </c>
      <c r="E698" t="s">
        <v>113</v>
      </c>
      <c r="F698" t="s">
        <v>31</v>
      </c>
      <c r="G698" t="s">
        <v>55</v>
      </c>
      <c r="H698" t="s">
        <v>3019</v>
      </c>
      <c r="I698" t="s">
        <v>35</v>
      </c>
      <c r="J698" t="s">
        <v>12</v>
      </c>
      <c r="K698" t="s">
        <v>2969</v>
      </c>
      <c r="L698" t="s">
        <v>10</v>
      </c>
    </row>
    <row r="699" spans="1:12">
      <c r="A699" t="s">
        <v>3722</v>
      </c>
      <c r="B699" s="2">
        <v>45958</v>
      </c>
      <c r="C699">
        <v>2025</v>
      </c>
      <c r="D699">
        <v>10</v>
      </c>
      <c r="E699" t="s">
        <v>113</v>
      </c>
      <c r="F699" t="s">
        <v>19</v>
      </c>
      <c r="G699" t="s">
        <v>3</v>
      </c>
      <c r="H699" t="s">
        <v>3034</v>
      </c>
      <c r="I699" t="s">
        <v>52</v>
      </c>
      <c r="J699" t="s">
        <v>44</v>
      </c>
      <c r="K699" t="s">
        <v>2969</v>
      </c>
      <c r="L699" t="s">
        <v>10</v>
      </c>
    </row>
    <row r="700" spans="1:12">
      <c r="A700" t="s">
        <v>3723</v>
      </c>
      <c r="B700" s="2">
        <v>45940</v>
      </c>
      <c r="C700">
        <v>2025</v>
      </c>
      <c r="D700">
        <v>10</v>
      </c>
      <c r="E700" t="s">
        <v>113</v>
      </c>
      <c r="F700" t="s">
        <v>31</v>
      </c>
      <c r="G700" t="s">
        <v>61</v>
      </c>
      <c r="H700" t="s">
        <v>3039</v>
      </c>
      <c r="I700" t="s">
        <v>8</v>
      </c>
      <c r="J700" t="s">
        <v>4</v>
      </c>
      <c r="K700" t="s">
        <v>2969</v>
      </c>
      <c r="L700" t="s">
        <v>10</v>
      </c>
    </row>
    <row r="701" spans="1:12">
      <c r="A701" t="s">
        <v>3724</v>
      </c>
      <c r="B701" s="2">
        <v>45980</v>
      </c>
      <c r="C701">
        <v>2025</v>
      </c>
      <c r="D701">
        <v>11</v>
      </c>
      <c r="E701" t="s">
        <v>117</v>
      </c>
      <c r="F701" t="s">
        <v>31</v>
      </c>
      <c r="G701" t="s">
        <v>32</v>
      </c>
      <c r="H701" t="s">
        <v>3032</v>
      </c>
      <c r="I701" t="s">
        <v>15</v>
      </c>
      <c r="J701" t="s">
        <v>33</v>
      </c>
      <c r="K701" t="s">
        <v>2969</v>
      </c>
      <c r="L701" t="s">
        <v>10</v>
      </c>
    </row>
    <row r="702" spans="1:12">
      <c r="A702" t="s">
        <v>3725</v>
      </c>
      <c r="B702" s="2">
        <v>45989</v>
      </c>
      <c r="C702">
        <v>2025</v>
      </c>
      <c r="D702">
        <v>11</v>
      </c>
      <c r="E702" t="s">
        <v>117</v>
      </c>
      <c r="F702" t="s">
        <v>47</v>
      </c>
      <c r="G702" t="s">
        <v>20</v>
      </c>
      <c r="H702" t="s">
        <v>51</v>
      </c>
      <c r="I702" t="s">
        <v>8</v>
      </c>
      <c r="J702" t="s">
        <v>4</v>
      </c>
      <c r="K702" t="s">
        <v>2969</v>
      </c>
      <c r="L702" t="s">
        <v>10</v>
      </c>
    </row>
    <row r="703" spans="1:12">
      <c r="A703" t="s">
        <v>3726</v>
      </c>
      <c r="B703" s="2">
        <v>45987</v>
      </c>
      <c r="C703">
        <v>2025</v>
      </c>
      <c r="D703">
        <v>11</v>
      </c>
      <c r="E703" t="s">
        <v>117</v>
      </c>
      <c r="F703" t="s">
        <v>38</v>
      </c>
      <c r="G703" t="s">
        <v>48</v>
      </c>
      <c r="H703" t="s">
        <v>3026</v>
      </c>
      <c r="I703" t="s">
        <v>35</v>
      </c>
      <c r="J703" t="s">
        <v>44</v>
      </c>
      <c r="K703" t="s">
        <v>2969</v>
      </c>
      <c r="L703" t="s">
        <v>17</v>
      </c>
    </row>
    <row r="704" spans="1:12">
      <c r="A704" t="s">
        <v>3727</v>
      </c>
      <c r="B704" s="2">
        <v>45981</v>
      </c>
      <c r="C704">
        <v>2025</v>
      </c>
      <c r="D704">
        <v>11</v>
      </c>
      <c r="E704" t="s">
        <v>117</v>
      </c>
      <c r="F704" t="s">
        <v>31</v>
      </c>
      <c r="G704" t="s">
        <v>94</v>
      </c>
      <c r="H704" t="s">
        <v>3045</v>
      </c>
      <c r="I704" t="s">
        <v>42</v>
      </c>
      <c r="J704" t="s">
        <v>12</v>
      </c>
      <c r="K704" t="s">
        <v>2969</v>
      </c>
      <c r="L704" t="s">
        <v>10</v>
      </c>
    </row>
    <row r="705" spans="1:12">
      <c r="A705" t="s">
        <v>3728</v>
      </c>
      <c r="B705" s="2">
        <v>45985</v>
      </c>
      <c r="C705">
        <v>2025</v>
      </c>
      <c r="D705">
        <v>11</v>
      </c>
      <c r="E705" t="s">
        <v>117</v>
      </c>
      <c r="F705" t="s">
        <v>26</v>
      </c>
      <c r="G705" t="s">
        <v>94</v>
      </c>
      <c r="H705" t="s">
        <v>3032</v>
      </c>
      <c r="I705" t="s">
        <v>15</v>
      </c>
      <c r="J705" t="s">
        <v>44</v>
      </c>
      <c r="K705" t="s">
        <v>2969</v>
      </c>
      <c r="L705" t="s">
        <v>17</v>
      </c>
    </row>
    <row r="706" spans="1:12">
      <c r="A706" t="s">
        <v>3729</v>
      </c>
      <c r="B706" s="2">
        <v>45968</v>
      </c>
      <c r="C706">
        <v>2025</v>
      </c>
      <c r="D706">
        <v>11</v>
      </c>
      <c r="E706" t="s">
        <v>117</v>
      </c>
      <c r="F706" t="s">
        <v>26</v>
      </c>
      <c r="G706" t="s">
        <v>27</v>
      </c>
      <c r="H706" t="s">
        <v>3022</v>
      </c>
      <c r="I706" t="s">
        <v>15</v>
      </c>
      <c r="J706" t="s">
        <v>44</v>
      </c>
      <c r="K706" t="s">
        <v>2969</v>
      </c>
      <c r="L706" t="s">
        <v>10</v>
      </c>
    </row>
    <row r="707" spans="1:12">
      <c r="A707" t="s">
        <v>3730</v>
      </c>
      <c r="B707" s="2">
        <v>45984</v>
      </c>
      <c r="C707">
        <v>2025</v>
      </c>
      <c r="D707">
        <v>11</v>
      </c>
      <c r="E707" t="s">
        <v>117</v>
      </c>
      <c r="F707" t="s">
        <v>19</v>
      </c>
      <c r="G707" t="s">
        <v>69</v>
      </c>
      <c r="H707" t="s">
        <v>3032</v>
      </c>
      <c r="I707" t="s">
        <v>42</v>
      </c>
      <c r="J707" t="s">
        <v>4</v>
      </c>
      <c r="K707" t="s">
        <v>2969</v>
      </c>
      <c r="L707" t="s">
        <v>10</v>
      </c>
    </row>
    <row r="708" spans="1:12">
      <c r="A708" t="s">
        <v>3731</v>
      </c>
      <c r="B708" s="2">
        <v>45977</v>
      </c>
      <c r="C708">
        <v>2025</v>
      </c>
      <c r="D708">
        <v>11</v>
      </c>
      <c r="E708" t="s">
        <v>117</v>
      </c>
      <c r="F708" t="s">
        <v>67</v>
      </c>
      <c r="G708" t="s">
        <v>48</v>
      </c>
      <c r="H708" t="s">
        <v>3045</v>
      </c>
      <c r="I708" t="s">
        <v>22</v>
      </c>
      <c r="J708" t="s">
        <v>4</v>
      </c>
      <c r="K708" t="s">
        <v>2969</v>
      </c>
      <c r="L708" t="s">
        <v>17</v>
      </c>
    </row>
    <row r="709" spans="1:12">
      <c r="A709" t="s">
        <v>3732</v>
      </c>
      <c r="B709" s="2">
        <v>45979</v>
      </c>
      <c r="C709">
        <v>2025</v>
      </c>
      <c r="D709">
        <v>11</v>
      </c>
      <c r="E709" t="s">
        <v>117</v>
      </c>
      <c r="F709" t="s">
        <v>47</v>
      </c>
      <c r="G709" t="s">
        <v>94</v>
      </c>
      <c r="H709" t="s">
        <v>3022</v>
      </c>
      <c r="I709" t="s">
        <v>8</v>
      </c>
      <c r="J709" t="s">
        <v>33</v>
      </c>
      <c r="K709" t="s">
        <v>2969</v>
      </c>
      <c r="L709" t="s">
        <v>10</v>
      </c>
    </row>
    <row r="710" spans="1:12">
      <c r="A710" t="s">
        <v>3733</v>
      </c>
      <c r="B710" s="2">
        <v>45969</v>
      </c>
      <c r="C710">
        <v>2025</v>
      </c>
      <c r="D710">
        <v>11</v>
      </c>
      <c r="E710" t="s">
        <v>117</v>
      </c>
      <c r="F710" t="s">
        <v>67</v>
      </c>
      <c r="G710" t="s">
        <v>64</v>
      </c>
      <c r="H710" t="s">
        <v>3034</v>
      </c>
      <c r="I710" t="s">
        <v>52</v>
      </c>
      <c r="J710" t="s">
        <v>12</v>
      </c>
      <c r="K710" t="s">
        <v>2969</v>
      </c>
      <c r="L710" t="s">
        <v>10</v>
      </c>
    </row>
    <row r="711" spans="1:12">
      <c r="A711" t="s">
        <v>3734</v>
      </c>
      <c r="B711" s="2">
        <v>45980</v>
      </c>
      <c r="C711">
        <v>2025</v>
      </c>
      <c r="D711">
        <v>11</v>
      </c>
      <c r="E711" t="s">
        <v>117</v>
      </c>
      <c r="F711" t="s">
        <v>47</v>
      </c>
      <c r="G711" t="s">
        <v>3</v>
      </c>
      <c r="H711" t="s">
        <v>3039</v>
      </c>
      <c r="I711" t="s">
        <v>52</v>
      </c>
      <c r="J711" t="s">
        <v>33</v>
      </c>
      <c r="K711" t="s">
        <v>2977</v>
      </c>
      <c r="L711" t="s">
        <v>10</v>
      </c>
    </row>
    <row r="712" spans="1:12">
      <c r="A712" t="s">
        <v>3735</v>
      </c>
      <c r="B712" s="2">
        <v>45976</v>
      </c>
      <c r="C712">
        <v>2025</v>
      </c>
      <c r="D712">
        <v>11</v>
      </c>
      <c r="E712" t="s">
        <v>117</v>
      </c>
      <c r="F712" t="s">
        <v>31</v>
      </c>
      <c r="G712" t="s">
        <v>3</v>
      </c>
      <c r="H712" t="s">
        <v>3039</v>
      </c>
      <c r="I712" t="s">
        <v>42</v>
      </c>
      <c r="J712" t="s">
        <v>44</v>
      </c>
      <c r="K712" t="s">
        <v>2969</v>
      </c>
      <c r="L712" t="s">
        <v>10</v>
      </c>
    </row>
    <row r="713" spans="1:12">
      <c r="A713" t="s">
        <v>3736</v>
      </c>
      <c r="B713" s="2">
        <v>45963</v>
      </c>
      <c r="C713">
        <v>2025</v>
      </c>
      <c r="D713">
        <v>11</v>
      </c>
      <c r="E713" t="s">
        <v>117</v>
      </c>
      <c r="F713" t="s">
        <v>47</v>
      </c>
      <c r="G713" t="s">
        <v>3</v>
      </c>
      <c r="H713" t="s">
        <v>3034</v>
      </c>
      <c r="I713" t="s">
        <v>52</v>
      </c>
      <c r="J713" t="s">
        <v>33</v>
      </c>
      <c r="K713" t="s">
        <v>2969</v>
      </c>
      <c r="L713" t="s">
        <v>10</v>
      </c>
    </row>
    <row r="714" spans="1:12">
      <c r="A714" t="s">
        <v>3737</v>
      </c>
      <c r="B714" s="2">
        <v>45976</v>
      </c>
      <c r="C714">
        <v>2025</v>
      </c>
      <c r="D714">
        <v>11</v>
      </c>
      <c r="E714" t="s">
        <v>117</v>
      </c>
      <c r="F714" t="s">
        <v>40</v>
      </c>
      <c r="G714" t="s">
        <v>94</v>
      </c>
      <c r="H714" t="s">
        <v>3039</v>
      </c>
      <c r="I714" t="s">
        <v>15</v>
      </c>
      <c r="J714" t="s">
        <v>44</v>
      </c>
      <c r="K714" t="s">
        <v>2969</v>
      </c>
      <c r="L714" t="s">
        <v>10</v>
      </c>
    </row>
    <row r="715" spans="1:12">
      <c r="A715" t="s">
        <v>3738</v>
      </c>
      <c r="B715" s="2">
        <v>45964</v>
      </c>
      <c r="C715">
        <v>2025</v>
      </c>
      <c r="D715">
        <v>11</v>
      </c>
      <c r="E715" t="s">
        <v>117</v>
      </c>
      <c r="F715" t="s">
        <v>2</v>
      </c>
      <c r="G715" t="s">
        <v>94</v>
      </c>
      <c r="H715" t="s">
        <v>3026</v>
      </c>
      <c r="I715" t="s">
        <v>22</v>
      </c>
      <c r="J715" t="s">
        <v>4</v>
      </c>
      <c r="K715" t="s">
        <v>2969</v>
      </c>
      <c r="L715" t="s">
        <v>10</v>
      </c>
    </row>
    <row r="716" spans="1:12">
      <c r="A716" t="s">
        <v>3739</v>
      </c>
      <c r="B716" s="2">
        <v>45986</v>
      </c>
      <c r="C716">
        <v>2025</v>
      </c>
      <c r="D716">
        <v>11</v>
      </c>
      <c r="E716" t="s">
        <v>117</v>
      </c>
      <c r="F716" t="s">
        <v>38</v>
      </c>
      <c r="G716" t="s">
        <v>61</v>
      </c>
      <c r="H716" t="s">
        <v>3019</v>
      </c>
      <c r="I716" t="s">
        <v>8</v>
      </c>
      <c r="J716" t="s">
        <v>44</v>
      </c>
      <c r="K716" t="s">
        <v>2969</v>
      </c>
      <c r="L716" t="s">
        <v>10</v>
      </c>
    </row>
    <row r="717" spans="1:12">
      <c r="A717" t="s">
        <v>3740</v>
      </c>
      <c r="B717" s="2">
        <v>45975</v>
      </c>
      <c r="C717">
        <v>2025</v>
      </c>
      <c r="D717">
        <v>11</v>
      </c>
      <c r="E717" t="s">
        <v>117</v>
      </c>
      <c r="F717" t="s">
        <v>78</v>
      </c>
      <c r="G717" t="s">
        <v>64</v>
      </c>
      <c r="H717" t="s">
        <v>51</v>
      </c>
      <c r="I717" t="s">
        <v>22</v>
      </c>
      <c r="J717" t="s">
        <v>44</v>
      </c>
      <c r="K717" t="s">
        <v>2969</v>
      </c>
      <c r="L717" t="s">
        <v>10</v>
      </c>
    </row>
    <row r="718" spans="1:12">
      <c r="A718" t="s">
        <v>3741</v>
      </c>
      <c r="B718" s="2">
        <v>45969</v>
      </c>
      <c r="C718">
        <v>2025</v>
      </c>
      <c r="D718">
        <v>11</v>
      </c>
      <c r="E718" t="s">
        <v>117</v>
      </c>
      <c r="F718" t="s">
        <v>26</v>
      </c>
      <c r="G718" t="s">
        <v>20</v>
      </c>
      <c r="H718" t="s">
        <v>3032</v>
      </c>
      <c r="I718" t="s">
        <v>8</v>
      </c>
      <c r="J718" t="s">
        <v>4</v>
      </c>
      <c r="K718" t="s">
        <v>2969</v>
      </c>
      <c r="L718" t="s">
        <v>10</v>
      </c>
    </row>
    <row r="719" spans="1:12">
      <c r="A719" t="s">
        <v>3742</v>
      </c>
      <c r="B719" s="2">
        <v>45974</v>
      </c>
      <c r="C719">
        <v>2025</v>
      </c>
      <c r="D719">
        <v>11</v>
      </c>
      <c r="E719" t="s">
        <v>117</v>
      </c>
      <c r="F719" t="s">
        <v>54</v>
      </c>
      <c r="G719" t="s">
        <v>74</v>
      </c>
      <c r="H719" t="s">
        <v>3032</v>
      </c>
      <c r="I719" t="s">
        <v>42</v>
      </c>
      <c r="J719" t="s">
        <v>44</v>
      </c>
      <c r="K719" t="s">
        <v>2977</v>
      </c>
      <c r="L719" t="s">
        <v>10</v>
      </c>
    </row>
    <row r="720" spans="1:12">
      <c r="A720" t="s">
        <v>3743</v>
      </c>
      <c r="B720" s="2">
        <v>45979</v>
      </c>
      <c r="C720">
        <v>2025</v>
      </c>
      <c r="D720">
        <v>11</v>
      </c>
      <c r="E720" t="s">
        <v>117</v>
      </c>
      <c r="F720" t="s">
        <v>47</v>
      </c>
      <c r="G720" t="s">
        <v>3</v>
      </c>
      <c r="H720" t="s">
        <v>3039</v>
      </c>
      <c r="I720" t="s">
        <v>22</v>
      </c>
      <c r="J720" t="s">
        <v>12</v>
      </c>
      <c r="K720" t="s">
        <v>2969</v>
      </c>
      <c r="L720" t="s">
        <v>10</v>
      </c>
    </row>
    <row r="721" spans="1:12">
      <c r="A721" t="s">
        <v>3744</v>
      </c>
      <c r="B721" s="2">
        <v>45978</v>
      </c>
      <c r="C721">
        <v>2025</v>
      </c>
      <c r="D721">
        <v>11</v>
      </c>
      <c r="E721" t="s">
        <v>117</v>
      </c>
      <c r="F721" t="s">
        <v>38</v>
      </c>
      <c r="G721" t="s">
        <v>64</v>
      </c>
      <c r="H721" t="s">
        <v>51</v>
      </c>
      <c r="I721" t="s">
        <v>22</v>
      </c>
      <c r="J721" t="s">
        <v>12</v>
      </c>
      <c r="K721" t="s">
        <v>2969</v>
      </c>
      <c r="L721" t="s">
        <v>10</v>
      </c>
    </row>
    <row r="722" spans="1:12">
      <c r="A722" t="s">
        <v>3745</v>
      </c>
      <c r="B722" s="2">
        <v>45963</v>
      </c>
      <c r="C722">
        <v>2025</v>
      </c>
      <c r="D722">
        <v>11</v>
      </c>
      <c r="E722" t="s">
        <v>117</v>
      </c>
      <c r="F722" t="s">
        <v>40</v>
      </c>
      <c r="G722" t="s">
        <v>64</v>
      </c>
      <c r="H722" t="s">
        <v>3026</v>
      </c>
      <c r="I722" t="s">
        <v>52</v>
      </c>
      <c r="J722" t="s">
        <v>4</v>
      </c>
      <c r="K722" t="s">
        <v>2969</v>
      </c>
      <c r="L722" t="s">
        <v>10</v>
      </c>
    </row>
    <row r="723" spans="1:12">
      <c r="A723" t="s">
        <v>3746</v>
      </c>
      <c r="B723" s="2">
        <v>45988</v>
      </c>
      <c r="C723">
        <v>2025</v>
      </c>
      <c r="D723">
        <v>11</v>
      </c>
      <c r="E723" t="s">
        <v>117</v>
      </c>
      <c r="F723" t="s">
        <v>67</v>
      </c>
      <c r="G723" t="s">
        <v>27</v>
      </c>
      <c r="H723" t="s">
        <v>3039</v>
      </c>
      <c r="I723" t="s">
        <v>8</v>
      </c>
      <c r="J723" t="s">
        <v>44</v>
      </c>
      <c r="K723" t="s">
        <v>2977</v>
      </c>
      <c r="L723" t="s">
        <v>10</v>
      </c>
    </row>
    <row r="724" spans="1:12">
      <c r="A724" t="s">
        <v>3747</v>
      </c>
      <c r="B724" s="2">
        <v>45987</v>
      </c>
      <c r="C724">
        <v>2025</v>
      </c>
      <c r="D724">
        <v>11</v>
      </c>
      <c r="E724" t="s">
        <v>117</v>
      </c>
      <c r="F724" t="s">
        <v>26</v>
      </c>
      <c r="G724" t="s">
        <v>27</v>
      </c>
      <c r="H724" t="s">
        <v>3034</v>
      </c>
      <c r="I724" t="s">
        <v>15</v>
      </c>
      <c r="J724" t="s">
        <v>33</v>
      </c>
      <c r="K724" t="s">
        <v>2969</v>
      </c>
      <c r="L724" t="s">
        <v>10</v>
      </c>
    </row>
    <row r="725" spans="1:12">
      <c r="A725" t="s">
        <v>3748</v>
      </c>
      <c r="B725" s="2">
        <v>46008</v>
      </c>
      <c r="C725">
        <v>2025</v>
      </c>
      <c r="D725">
        <v>12</v>
      </c>
      <c r="E725" t="s">
        <v>124</v>
      </c>
      <c r="F725" t="s">
        <v>19</v>
      </c>
      <c r="G725" t="s">
        <v>94</v>
      </c>
      <c r="H725" t="s">
        <v>3032</v>
      </c>
      <c r="I725" t="s">
        <v>8</v>
      </c>
      <c r="J725" t="s">
        <v>4</v>
      </c>
      <c r="K725" t="s">
        <v>2969</v>
      </c>
      <c r="L725" t="s">
        <v>10</v>
      </c>
    </row>
    <row r="726" spans="1:12">
      <c r="A726" t="s">
        <v>3749</v>
      </c>
      <c r="B726" s="2">
        <v>46014</v>
      </c>
      <c r="C726">
        <v>2025</v>
      </c>
      <c r="D726">
        <v>12</v>
      </c>
      <c r="E726" t="s">
        <v>124</v>
      </c>
      <c r="F726" t="s">
        <v>19</v>
      </c>
      <c r="G726" t="s">
        <v>74</v>
      </c>
      <c r="H726" t="s">
        <v>3022</v>
      </c>
      <c r="I726" t="s">
        <v>35</v>
      </c>
      <c r="J726" t="s">
        <v>4</v>
      </c>
      <c r="K726" t="s">
        <v>2969</v>
      </c>
      <c r="L726" t="s">
        <v>10</v>
      </c>
    </row>
    <row r="727" spans="1:12">
      <c r="A727" t="s">
        <v>3750</v>
      </c>
      <c r="B727" s="2">
        <v>46006</v>
      </c>
      <c r="C727">
        <v>2025</v>
      </c>
      <c r="D727">
        <v>12</v>
      </c>
      <c r="E727" t="s">
        <v>124</v>
      </c>
      <c r="F727" t="s">
        <v>38</v>
      </c>
      <c r="G727" t="s">
        <v>69</v>
      </c>
      <c r="H727" t="s">
        <v>51</v>
      </c>
      <c r="I727" t="s">
        <v>35</v>
      </c>
      <c r="J727" t="s">
        <v>4</v>
      </c>
      <c r="K727" t="s">
        <v>2969</v>
      </c>
      <c r="L727" t="s">
        <v>10</v>
      </c>
    </row>
    <row r="728" spans="1:12">
      <c r="A728" t="s">
        <v>3751</v>
      </c>
      <c r="B728" s="2">
        <v>46000</v>
      </c>
      <c r="C728">
        <v>2025</v>
      </c>
      <c r="D728">
        <v>12</v>
      </c>
      <c r="E728" t="s">
        <v>124</v>
      </c>
      <c r="F728" t="s">
        <v>47</v>
      </c>
      <c r="G728" t="s">
        <v>55</v>
      </c>
      <c r="H728" t="s">
        <v>3026</v>
      </c>
      <c r="I728" t="s">
        <v>35</v>
      </c>
      <c r="J728" t="s">
        <v>44</v>
      </c>
      <c r="K728" t="s">
        <v>2969</v>
      </c>
      <c r="L728" t="s">
        <v>17</v>
      </c>
    </row>
    <row r="729" spans="1:12">
      <c r="A729" t="s">
        <v>3752</v>
      </c>
      <c r="B729" s="2">
        <v>46016</v>
      </c>
      <c r="C729">
        <v>2025</v>
      </c>
      <c r="D729">
        <v>12</v>
      </c>
      <c r="E729" t="s">
        <v>124</v>
      </c>
      <c r="F729" t="s">
        <v>2</v>
      </c>
      <c r="G729" t="s">
        <v>64</v>
      </c>
      <c r="H729" t="s">
        <v>3026</v>
      </c>
      <c r="I729" t="s">
        <v>22</v>
      </c>
      <c r="J729" t="s">
        <v>4</v>
      </c>
      <c r="K729" t="s">
        <v>2969</v>
      </c>
      <c r="L729" t="s">
        <v>10</v>
      </c>
    </row>
    <row r="730" spans="1:12">
      <c r="A730" t="s">
        <v>3753</v>
      </c>
      <c r="B730" s="2">
        <v>46000</v>
      </c>
      <c r="C730">
        <v>2025</v>
      </c>
      <c r="D730">
        <v>12</v>
      </c>
      <c r="E730" t="s">
        <v>124</v>
      </c>
      <c r="F730" t="s">
        <v>31</v>
      </c>
      <c r="G730" t="s">
        <v>64</v>
      </c>
      <c r="H730" t="s">
        <v>3034</v>
      </c>
      <c r="I730" t="s">
        <v>42</v>
      </c>
      <c r="J730" t="s">
        <v>44</v>
      </c>
      <c r="K730" t="s">
        <v>2969</v>
      </c>
      <c r="L730" t="s">
        <v>10</v>
      </c>
    </row>
    <row r="731" spans="1:12">
      <c r="A731" t="s">
        <v>3754</v>
      </c>
      <c r="B731" s="2">
        <v>46010</v>
      </c>
      <c r="C731">
        <v>2025</v>
      </c>
      <c r="D731">
        <v>12</v>
      </c>
      <c r="E731" t="s">
        <v>124</v>
      </c>
      <c r="F731" t="s">
        <v>78</v>
      </c>
      <c r="G731" t="s">
        <v>48</v>
      </c>
      <c r="H731" t="s">
        <v>3039</v>
      </c>
      <c r="I731" t="s">
        <v>8</v>
      </c>
      <c r="J731" t="s">
        <v>12</v>
      </c>
      <c r="K731" t="s">
        <v>2969</v>
      </c>
      <c r="L731" t="s">
        <v>10</v>
      </c>
    </row>
    <row r="732" spans="1:12">
      <c r="A732" t="s">
        <v>3755</v>
      </c>
      <c r="B732" s="2">
        <v>45997</v>
      </c>
      <c r="C732">
        <v>2025</v>
      </c>
      <c r="D732">
        <v>12</v>
      </c>
      <c r="E732" t="s">
        <v>124</v>
      </c>
      <c r="F732" t="s">
        <v>40</v>
      </c>
      <c r="G732" t="s">
        <v>48</v>
      </c>
      <c r="H732" t="s">
        <v>3019</v>
      </c>
      <c r="I732" t="s">
        <v>8</v>
      </c>
      <c r="J732" t="s">
        <v>4</v>
      </c>
      <c r="K732" t="s">
        <v>2969</v>
      </c>
      <c r="L732" t="s">
        <v>10</v>
      </c>
    </row>
    <row r="733" spans="1:12">
      <c r="A733" t="s">
        <v>3756</v>
      </c>
      <c r="B733" s="2">
        <v>46013</v>
      </c>
      <c r="C733">
        <v>2025</v>
      </c>
      <c r="D733">
        <v>12</v>
      </c>
      <c r="E733" t="s">
        <v>124</v>
      </c>
      <c r="F733" t="s">
        <v>2</v>
      </c>
      <c r="G733" t="s">
        <v>3</v>
      </c>
      <c r="H733" t="s">
        <v>3039</v>
      </c>
      <c r="I733" t="s">
        <v>42</v>
      </c>
      <c r="J733" t="s">
        <v>4</v>
      </c>
      <c r="K733" t="s">
        <v>2969</v>
      </c>
      <c r="L733" t="s">
        <v>10</v>
      </c>
    </row>
    <row r="734" spans="1:12">
      <c r="A734" t="s">
        <v>3757</v>
      </c>
      <c r="B734" s="2">
        <v>46018</v>
      </c>
      <c r="C734">
        <v>2025</v>
      </c>
      <c r="D734">
        <v>12</v>
      </c>
      <c r="E734" t="s">
        <v>124</v>
      </c>
      <c r="F734" t="s">
        <v>26</v>
      </c>
      <c r="G734" t="s">
        <v>94</v>
      </c>
      <c r="H734" t="s">
        <v>3032</v>
      </c>
      <c r="I734" t="s">
        <v>8</v>
      </c>
      <c r="J734" t="s">
        <v>33</v>
      </c>
      <c r="K734" t="s">
        <v>2969</v>
      </c>
      <c r="L734" t="s">
        <v>10</v>
      </c>
    </row>
    <row r="735" spans="1:12">
      <c r="A735" t="s">
        <v>3758</v>
      </c>
      <c r="B735" s="2">
        <v>46010</v>
      </c>
      <c r="C735">
        <v>2025</v>
      </c>
      <c r="D735">
        <v>12</v>
      </c>
      <c r="E735" t="s">
        <v>124</v>
      </c>
      <c r="F735" t="s">
        <v>31</v>
      </c>
      <c r="G735" t="s">
        <v>38</v>
      </c>
      <c r="H735" t="s">
        <v>3045</v>
      </c>
      <c r="I735" t="s">
        <v>42</v>
      </c>
      <c r="J735" t="s">
        <v>12</v>
      </c>
      <c r="K735" t="s">
        <v>2969</v>
      </c>
      <c r="L735" t="s">
        <v>10</v>
      </c>
    </row>
    <row r="736" spans="1:12">
      <c r="A736" t="s">
        <v>3759</v>
      </c>
      <c r="B736" s="2">
        <v>46005</v>
      </c>
      <c r="C736">
        <v>2025</v>
      </c>
      <c r="D736">
        <v>12</v>
      </c>
      <c r="E736" t="s">
        <v>124</v>
      </c>
      <c r="F736" t="s">
        <v>38</v>
      </c>
      <c r="G736" t="s">
        <v>74</v>
      </c>
      <c r="H736" t="s">
        <v>3034</v>
      </c>
      <c r="I736" t="s">
        <v>42</v>
      </c>
      <c r="J736" t="s">
        <v>12</v>
      </c>
      <c r="K736" t="s">
        <v>2969</v>
      </c>
      <c r="L736" t="s">
        <v>10</v>
      </c>
    </row>
    <row r="737" spans="1:12">
      <c r="A737" t="s">
        <v>3760</v>
      </c>
      <c r="B737" s="2">
        <v>46013</v>
      </c>
      <c r="C737">
        <v>2025</v>
      </c>
      <c r="D737">
        <v>12</v>
      </c>
      <c r="E737" t="s">
        <v>124</v>
      </c>
      <c r="F737" t="s">
        <v>40</v>
      </c>
      <c r="G737" t="s">
        <v>32</v>
      </c>
      <c r="H737" t="s">
        <v>3045</v>
      </c>
      <c r="I737" t="s">
        <v>35</v>
      </c>
      <c r="J737" t="s">
        <v>33</v>
      </c>
      <c r="K737" t="s">
        <v>2977</v>
      </c>
      <c r="L737" t="s">
        <v>10</v>
      </c>
    </row>
    <row r="738" spans="1:12">
      <c r="A738" t="s">
        <v>3761</v>
      </c>
      <c r="B738" s="2">
        <v>46019</v>
      </c>
      <c r="C738">
        <v>2025</v>
      </c>
      <c r="D738">
        <v>12</v>
      </c>
      <c r="E738" t="s">
        <v>124</v>
      </c>
      <c r="F738" t="s">
        <v>2</v>
      </c>
      <c r="G738" t="s">
        <v>20</v>
      </c>
      <c r="H738" t="s">
        <v>3045</v>
      </c>
      <c r="I738" t="s">
        <v>15</v>
      </c>
      <c r="J738" t="s">
        <v>33</v>
      </c>
      <c r="K738" t="s">
        <v>2969</v>
      </c>
      <c r="L738" t="s">
        <v>10</v>
      </c>
    </row>
    <row r="739" spans="1:12">
      <c r="A739" t="s">
        <v>3762</v>
      </c>
      <c r="B739" s="2">
        <v>45992</v>
      </c>
      <c r="C739">
        <v>2025</v>
      </c>
      <c r="D739">
        <v>12</v>
      </c>
      <c r="E739" t="s">
        <v>124</v>
      </c>
      <c r="F739" t="s">
        <v>54</v>
      </c>
      <c r="G739" t="s">
        <v>74</v>
      </c>
      <c r="H739" t="s">
        <v>3045</v>
      </c>
      <c r="I739" t="s">
        <v>8</v>
      </c>
      <c r="J739" t="s">
        <v>33</v>
      </c>
      <c r="K739" t="s">
        <v>2969</v>
      </c>
      <c r="L739" t="s">
        <v>17</v>
      </c>
    </row>
    <row r="740" spans="1:12">
      <c r="A740" t="s">
        <v>3763</v>
      </c>
      <c r="B740" s="2">
        <v>45997</v>
      </c>
      <c r="C740">
        <v>2025</v>
      </c>
      <c r="D740">
        <v>12</v>
      </c>
      <c r="E740" t="s">
        <v>124</v>
      </c>
      <c r="F740" t="s">
        <v>31</v>
      </c>
      <c r="G740" t="s">
        <v>20</v>
      </c>
      <c r="H740" t="s">
        <v>3045</v>
      </c>
      <c r="I740" t="s">
        <v>22</v>
      </c>
      <c r="J740" t="s">
        <v>44</v>
      </c>
      <c r="K740" t="s">
        <v>2969</v>
      </c>
      <c r="L740" t="s">
        <v>10</v>
      </c>
    </row>
    <row r="741" spans="1:12">
      <c r="A741" t="s">
        <v>3764</v>
      </c>
      <c r="B741" s="2">
        <v>45999</v>
      </c>
      <c r="C741">
        <v>2025</v>
      </c>
      <c r="D741">
        <v>12</v>
      </c>
      <c r="E741" t="s">
        <v>124</v>
      </c>
      <c r="F741" t="s">
        <v>26</v>
      </c>
      <c r="G741" t="s">
        <v>27</v>
      </c>
      <c r="H741" t="s">
        <v>51</v>
      </c>
      <c r="I741" t="s">
        <v>15</v>
      </c>
      <c r="J741" t="s">
        <v>33</v>
      </c>
      <c r="K741" t="s">
        <v>2969</v>
      </c>
      <c r="L741" t="s">
        <v>17</v>
      </c>
    </row>
    <row r="742" spans="1:12">
      <c r="A742" t="s">
        <v>3765</v>
      </c>
      <c r="B742" s="2">
        <v>46004</v>
      </c>
      <c r="C742">
        <v>2025</v>
      </c>
      <c r="D742">
        <v>12</v>
      </c>
      <c r="E742" t="s">
        <v>124</v>
      </c>
      <c r="F742" t="s">
        <v>38</v>
      </c>
      <c r="G742" t="s">
        <v>3</v>
      </c>
      <c r="H742" t="s">
        <v>3034</v>
      </c>
      <c r="I742" t="s">
        <v>52</v>
      </c>
      <c r="J742" t="s">
        <v>12</v>
      </c>
      <c r="K742" t="s">
        <v>2969</v>
      </c>
      <c r="L742" t="s">
        <v>10</v>
      </c>
    </row>
    <row r="743" spans="1:12">
      <c r="A743" t="s">
        <v>3766</v>
      </c>
      <c r="B743" s="2">
        <v>45996</v>
      </c>
      <c r="C743">
        <v>2025</v>
      </c>
      <c r="D743">
        <v>12</v>
      </c>
      <c r="E743" t="s">
        <v>124</v>
      </c>
      <c r="F743" t="s">
        <v>40</v>
      </c>
      <c r="G743" t="s">
        <v>61</v>
      </c>
      <c r="H743" t="s">
        <v>3034</v>
      </c>
      <c r="I743" t="s">
        <v>15</v>
      </c>
      <c r="J743" t="s">
        <v>44</v>
      </c>
      <c r="K743" t="s">
        <v>2969</v>
      </c>
      <c r="L743" t="s">
        <v>10</v>
      </c>
    </row>
    <row r="744" spans="1:12">
      <c r="A744" t="s">
        <v>3767</v>
      </c>
      <c r="B744" s="2">
        <v>46008</v>
      </c>
      <c r="C744">
        <v>2025</v>
      </c>
      <c r="D744">
        <v>12</v>
      </c>
      <c r="E744" t="s">
        <v>124</v>
      </c>
      <c r="F744" t="s">
        <v>54</v>
      </c>
      <c r="G744" t="s">
        <v>61</v>
      </c>
      <c r="H744" t="s">
        <v>3019</v>
      </c>
      <c r="I744" t="s">
        <v>42</v>
      </c>
      <c r="J744" t="s">
        <v>44</v>
      </c>
      <c r="K744" t="s">
        <v>2969</v>
      </c>
      <c r="L744" t="s">
        <v>10</v>
      </c>
    </row>
    <row r="745" spans="1:12">
      <c r="A745" t="s">
        <v>3768</v>
      </c>
      <c r="B745" s="2">
        <v>46007</v>
      </c>
      <c r="C745">
        <v>2025</v>
      </c>
      <c r="D745">
        <v>12</v>
      </c>
      <c r="E745" t="s">
        <v>124</v>
      </c>
      <c r="F745" t="s">
        <v>19</v>
      </c>
      <c r="G745" t="s">
        <v>64</v>
      </c>
      <c r="H745" t="s">
        <v>3039</v>
      </c>
      <c r="I745" t="s">
        <v>42</v>
      </c>
      <c r="J745" t="s">
        <v>44</v>
      </c>
      <c r="K745" t="s">
        <v>2969</v>
      </c>
      <c r="L745" t="s">
        <v>10</v>
      </c>
    </row>
    <row r="746" spans="1:12">
      <c r="A746" t="s">
        <v>3769</v>
      </c>
      <c r="B746" s="2">
        <v>45992</v>
      </c>
      <c r="C746">
        <v>2025</v>
      </c>
      <c r="D746">
        <v>12</v>
      </c>
      <c r="E746" t="s">
        <v>124</v>
      </c>
      <c r="F746" t="s">
        <v>40</v>
      </c>
      <c r="G746" t="s">
        <v>48</v>
      </c>
      <c r="H746" t="s">
        <v>3039</v>
      </c>
      <c r="I746" t="s">
        <v>22</v>
      </c>
      <c r="J746" t="s">
        <v>33</v>
      </c>
      <c r="K746" t="s">
        <v>2969</v>
      </c>
      <c r="L746" t="s">
        <v>17</v>
      </c>
    </row>
    <row r="747" spans="1:12">
      <c r="A747" t="s">
        <v>3770</v>
      </c>
      <c r="B747" s="2">
        <v>46019</v>
      </c>
      <c r="C747">
        <v>2025</v>
      </c>
      <c r="D747">
        <v>12</v>
      </c>
      <c r="E747" t="s">
        <v>124</v>
      </c>
      <c r="F747" t="s">
        <v>19</v>
      </c>
      <c r="G747" t="s">
        <v>48</v>
      </c>
      <c r="H747" t="s">
        <v>3022</v>
      </c>
      <c r="I747" t="s">
        <v>35</v>
      </c>
      <c r="J747" t="s">
        <v>33</v>
      </c>
      <c r="K747" t="s">
        <v>2969</v>
      </c>
      <c r="L747" t="s">
        <v>10</v>
      </c>
    </row>
    <row r="748" spans="1:12">
      <c r="A748" t="s">
        <v>3771</v>
      </c>
      <c r="B748" s="2">
        <v>45994</v>
      </c>
      <c r="C748">
        <v>2025</v>
      </c>
      <c r="D748">
        <v>12</v>
      </c>
      <c r="E748" t="s">
        <v>124</v>
      </c>
      <c r="F748" t="s">
        <v>31</v>
      </c>
      <c r="G748" t="s">
        <v>27</v>
      </c>
      <c r="H748" t="s">
        <v>3022</v>
      </c>
      <c r="I748" t="s">
        <v>15</v>
      </c>
      <c r="J748" t="s">
        <v>4</v>
      </c>
      <c r="K748" t="s">
        <v>2969</v>
      </c>
      <c r="L748" t="s">
        <v>10</v>
      </c>
    </row>
    <row r="749" spans="1:12">
      <c r="A749" t="s">
        <v>3772</v>
      </c>
      <c r="B749" s="2">
        <v>46015</v>
      </c>
      <c r="C749">
        <v>2025</v>
      </c>
      <c r="D749">
        <v>12</v>
      </c>
      <c r="E749" t="s">
        <v>124</v>
      </c>
      <c r="F749" t="s">
        <v>67</v>
      </c>
      <c r="G749" t="s">
        <v>27</v>
      </c>
      <c r="H749" t="s">
        <v>3019</v>
      </c>
      <c r="I749" t="s">
        <v>8</v>
      </c>
      <c r="J749" t="s">
        <v>12</v>
      </c>
      <c r="K749" t="s">
        <v>2969</v>
      </c>
      <c r="L749" t="s">
        <v>10</v>
      </c>
    </row>
    <row r="750" spans="1:12">
      <c r="A750" t="s">
        <v>3773</v>
      </c>
      <c r="B750" s="2">
        <v>46005</v>
      </c>
      <c r="C750">
        <v>2025</v>
      </c>
      <c r="D750">
        <v>12</v>
      </c>
      <c r="E750" t="s">
        <v>124</v>
      </c>
      <c r="F750" t="s">
        <v>47</v>
      </c>
      <c r="G750" t="s">
        <v>61</v>
      </c>
      <c r="H750" t="s">
        <v>3045</v>
      </c>
      <c r="I750" t="s">
        <v>35</v>
      </c>
      <c r="J750" t="s">
        <v>44</v>
      </c>
      <c r="K750" t="s">
        <v>2969</v>
      </c>
      <c r="L750" t="s">
        <v>10</v>
      </c>
    </row>
    <row r="751" spans="1:12">
      <c r="A751" t="s">
        <v>3774</v>
      </c>
      <c r="B751" s="2">
        <v>46006</v>
      </c>
      <c r="C751">
        <v>2025</v>
      </c>
      <c r="D751">
        <v>12</v>
      </c>
      <c r="E751" t="s">
        <v>124</v>
      </c>
      <c r="F751" t="s">
        <v>19</v>
      </c>
      <c r="G751" t="s">
        <v>74</v>
      </c>
      <c r="H751" t="s">
        <v>3039</v>
      </c>
      <c r="I751" t="s">
        <v>52</v>
      </c>
      <c r="J751" t="s">
        <v>44</v>
      </c>
      <c r="K751" t="s">
        <v>2969</v>
      </c>
      <c r="L751" t="s">
        <v>10</v>
      </c>
    </row>
    <row r="752" spans="1:12">
      <c r="A752" t="s">
        <v>3775</v>
      </c>
      <c r="B752" s="2">
        <v>46014</v>
      </c>
      <c r="C752">
        <v>2025</v>
      </c>
      <c r="D752">
        <v>12</v>
      </c>
      <c r="E752" t="s">
        <v>124</v>
      </c>
      <c r="F752" t="s">
        <v>19</v>
      </c>
      <c r="G752" t="s">
        <v>69</v>
      </c>
      <c r="H752" t="s">
        <v>3022</v>
      </c>
      <c r="I752" t="s">
        <v>42</v>
      </c>
      <c r="J752" t="s">
        <v>33</v>
      </c>
      <c r="K752" t="s">
        <v>2969</v>
      </c>
      <c r="L752" t="s">
        <v>10</v>
      </c>
    </row>
    <row r="753" spans="1:12">
      <c r="A753" t="s">
        <v>3776</v>
      </c>
      <c r="B753" s="2">
        <v>46016</v>
      </c>
      <c r="C753">
        <v>2025</v>
      </c>
      <c r="D753">
        <v>12</v>
      </c>
      <c r="E753" t="s">
        <v>124</v>
      </c>
      <c r="F753" t="s">
        <v>67</v>
      </c>
      <c r="G753" t="s">
        <v>61</v>
      </c>
      <c r="H753" t="s">
        <v>3045</v>
      </c>
      <c r="I753" t="s">
        <v>35</v>
      </c>
      <c r="J753" t="s">
        <v>4</v>
      </c>
      <c r="K753" t="s">
        <v>2977</v>
      </c>
      <c r="L753" t="s">
        <v>10</v>
      </c>
    </row>
    <row r="754" spans="1:12">
      <c r="A754" t="s">
        <v>3777</v>
      </c>
      <c r="B754" s="2">
        <v>45992</v>
      </c>
      <c r="C754">
        <v>2025</v>
      </c>
      <c r="D754">
        <v>12</v>
      </c>
      <c r="E754" t="s">
        <v>124</v>
      </c>
      <c r="F754" t="s">
        <v>31</v>
      </c>
      <c r="G754" t="s">
        <v>3</v>
      </c>
      <c r="H754" t="s">
        <v>51</v>
      </c>
      <c r="I754" t="s">
        <v>35</v>
      </c>
      <c r="J754" t="s">
        <v>33</v>
      </c>
      <c r="K754" t="s">
        <v>2969</v>
      </c>
      <c r="L754" t="s">
        <v>10</v>
      </c>
    </row>
    <row r="755" spans="1:12">
      <c r="A755" t="s">
        <v>3778</v>
      </c>
      <c r="B755" s="2">
        <v>46010</v>
      </c>
      <c r="C755">
        <v>2025</v>
      </c>
      <c r="D755">
        <v>12</v>
      </c>
      <c r="E755" t="s">
        <v>124</v>
      </c>
      <c r="F755" t="s">
        <v>31</v>
      </c>
      <c r="G755" t="s">
        <v>74</v>
      </c>
      <c r="H755" t="s">
        <v>3019</v>
      </c>
      <c r="I755" t="s">
        <v>35</v>
      </c>
      <c r="J755" t="s">
        <v>4</v>
      </c>
      <c r="K755" t="s">
        <v>2969</v>
      </c>
      <c r="L755" t="s">
        <v>10</v>
      </c>
    </row>
    <row r="756" spans="1:12">
      <c r="A756" t="s">
        <v>3779</v>
      </c>
      <c r="B756" s="2">
        <v>45997</v>
      </c>
      <c r="C756">
        <v>2025</v>
      </c>
      <c r="D756">
        <v>12</v>
      </c>
      <c r="E756" t="s">
        <v>124</v>
      </c>
      <c r="F756" t="s">
        <v>38</v>
      </c>
      <c r="G756" t="s">
        <v>38</v>
      </c>
      <c r="H756" t="s">
        <v>3026</v>
      </c>
      <c r="I756" t="s">
        <v>22</v>
      </c>
      <c r="J756" t="s">
        <v>4</v>
      </c>
      <c r="K756" t="s">
        <v>2969</v>
      </c>
      <c r="L756" t="s">
        <v>10</v>
      </c>
    </row>
    <row r="757" spans="1:12">
      <c r="A757" t="s">
        <v>3780</v>
      </c>
      <c r="B757" s="2">
        <v>46015</v>
      </c>
      <c r="C757">
        <v>2025</v>
      </c>
      <c r="D757">
        <v>12</v>
      </c>
      <c r="E757" t="s">
        <v>124</v>
      </c>
      <c r="F757" t="s">
        <v>54</v>
      </c>
      <c r="G757" t="s">
        <v>48</v>
      </c>
      <c r="H757" t="s">
        <v>3019</v>
      </c>
      <c r="I757" t="s">
        <v>52</v>
      </c>
      <c r="J757" t="s">
        <v>12</v>
      </c>
      <c r="K757" t="s">
        <v>2969</v>
      </c>
      <c r="L757" t="s">
        <v>17</v>
      </c>
    </row>
    <row r="758" spans="1:12">
      <c r="A758" t="s">
        <v>3781</v>
      </c>
      <c r="B758" s="2">
        <v>46000</v>
      </c>
      <c r="C758">
        <v>2025</v>
      </c>
      <c r="D758">
        <v>12</v>
      </c>
      <c r="E758" t="s">
        <v>124</v>
      </c>
      <c r="F758" t="s">
        <v>40</v>
      </c>
      <c r="G758" t="s">
        <v>74</v>
      </c>
      <c r="H758" t="s">
        <v>3019</v>
      </c>
      <c r="I758" t="s">
        <v>15</v>
      </c>
      <c r="J758" t="s">
        <v>33</v>
      </c>
      <c r="K758" t="s">
        <v>2969</v>
      </c>
      <c r="L758" t="s">
        <v>10</v>
      </c>
    </row>
    <row r="759" spans="1:12">
      <c r="A759" t="s">
        <v>3782</v>
      </c>
      <c r="B759" s="2">
        <v>46025</v>
      </c>
      <c r="C759">
        <v>2026</v>
      </c>
      <c r="D759">
        <v>1</v>
      </c>
      <c r="E759" t="s">
        <v>1</v>
      </c>
      <c r="F759" t="s">
        <v>31</v>
      </c>
      <c r="G759" t="s">
        <v>48</v>
      </c>
      <c r="H759" t="s">
        <v>3032</v>
      </c>
      <c r="I759" t="s">
        <v>8</v>
      </c>
      <c r="J759" t="s">
        <v>12</v>
      </c>
      <c r="K759" t="s">
        <v>2969</v>
      </c>
      <c r="L759" t="s">
        <v>10</v>
      </c>
    </row>
    <row r="760" spans="1:12">
      <c r="A760" t="s">
        <v>3783</v>
      </c>
      <c r="B760" s="2">
        <v>46030</v>
      </c>
      <c r="C760">
        <v>2026</v>
      </c>
      <c r="D760">
        <v>1</v>
      </c>
      <c r="E760" t="s">
        <v>1</v>
      </c>
      <c r="F760" t="s">
        <v>31</v>
      </c>
      <c r="G760" t="s">
        <v>20</v>
      </c>
      <c r="H760" t="s">
        <v>3032</v>
      </c>
      <c r="I760" t="s">
        <v>15</v>
      </c>
      <c r="J760" t="s">
        <v>12</v>
      </c>
      <c r="K760" t="s">
        <v>2969</v>
      </c>
      <c r="L760" t="s">
        <v>10</v>
      </c>
    </row>
    <row r="761" spans="1:12">
      <c r="A761" t="s">
        <v>3784</v>
      </c>
      <c r="B761" s="2">
        <v>46028</v>
      </c>
      <c r="C761">
        <v>2026</v>
      </c>
      <c r="D761">
        <v>1</v>
      </c>
      <c r="E761" t="s">
        <v>1</v>
      </c>
      <c r="F761" t="s">
        <v>19</v>
      </c>
      <c r="G761" t="s">
        <v>74</v>
      </c>
      <c r="H761" t="s">
        <v>51</v>
      </c>
      <c r="I761" t="s">
        <v>42</v>
      </c>
      <c r="J761" t="s">
        <v>33</v>
      </c>
      <c r="K761" t="s">
        <v>2969</v>
      </c>
      <c r="L761" t="s">
        <v>17</v>
      </c>
    </row>
    <row r="762" spans="1:12">
      <c r="A762" t="s">
        <v>3785</v>
      </c>
      <c r="B762" s="2">
        <v>46047</v>
      </c>
      <c r="C762">
        <v>2026</v>
      </c>
      <c r="D762">
        <v>1</v>
      </c>
      <c r="E762" t="s">
        <v>1</v>
      </c>
      <c r="F762" t="s">
        <v>19</v>
      </c>
      <c r="G762" t="s">
        <v>94</v>
      </c>
      <c r="H762" t="s">
        <v>3045</v>
      </c>
      <c r="I762" t="s">
        <v>22</v>
      </c>
      <c r="J762" t="s">
        <v>4</v>
      </c>
      <c r="K762" t="s">
        <v>2969</v>
      </c>
      <c r="L762" t="s">
        <v>10</v>
      </c>
    </row>
    <row r="763" spans="1:12">
      <c r="A763" t="s">
        <v>3786</v>
      </c>
      <c r="B763" s="2">
        <v>46031</v>
      </c>
      <c r="C763">
        <v>2026</v>
      </c>
      <c r="D763">
        <v>1</v>
      </c>
      <c r="E763" t="s">
        <v>1</v>
      </c>
      <c r="F763" t="s">
        <v>26</v>
      </c>
      <c r="G763" t="s">
        <v>94</v>
      </c>
      <c r="H763" t="s">
        <v>3026</v>
      </c>
      <c r="I763" t="s">
        <v>52</v>
      </c>
      <c r="J763" t="s">
        <v>44</v>
      </c>
      <c r="K763" t="s">
        <v>2969</v>
      </c>
      <c r="L763" t="s">
        <v>10</v>
      </c>
    </row>
    <row r="764" spans="1:12">
      <c r="A764" t="s">
        <v>3787</v>
      </c>
      <c r="B764" s="2">
        <v>46032</v>
      </c>
      <c r="C764">
        <v>2026</v>
      </c>
      <c r="D764">
        <v>1</v>
      </c>
      <c r="E764" t="s">
        <v>1</v>
      </c>
      <c r="F764" t="s">
        <v>19</v>
      </c>
      <c r="G764" t="s">
        <v>48</v>
      </c>
      <c r="H764" t="s">
        <v>3045</v>
      </c>
      <c r="I764" t="s">
        <v>35</v>
      </c>
      <c r="J764" t="s">
        <v>4</v>
      </c>
      <c r="K764" t="s">
        <v>2969</v>
      </c>
      <c r="L764" t="s">
        <v>10</v>
      </c>
    </row>
    <row r="765" spans="1:12">
      <c r="A765" t="s">
        <v>3788</v>
      </c>
      <c r="B765" s="2">
        <v>46046</v>
      </c>
      <c r="C765">
        <v>2026</v>
      </c>
      <c r="D765">
        <v>1</v>
      </c>
      <c r="E765" t="s">
        <v>1</v>
      </c>
      <c r="F765" t="s">
        <v>40</v>
      </c>
      <c r="G765" t="s">
        <v>3</v>
      </c>
      <c r="H765" t="s">
        <v>3045</v>
      </c>
      <c r="I765" t="s">
        <v>52</v>
      </c>
      <c r="J765" t="s">
        <v>4</v>
      </c>
      <c r="K765" t="s">
        <v>2969</v>
      </c>
      <c r="L765" t="s">
        <v>10</v>
      </c>
    </row>
    <row r="766" spans="1:12">
      <c r="A766" t="s">
        <v>3789</v>
      </c>
      <c r="B766" s="2">
        <v>46029</v>
      </c>
      <c r="C766">
        <v>2026</v>
      </c>
      <c r="D766">
        <v>1</v>
      </c>
      <c r="E766" t="s">
        <v>1</v>
      </c>
      <c r="F766" t="s">
        <v>78</v>
      </c>
      <c r="G766" t="s">
        <v>32</v>
      </c>
      <c r="H766" t="s">
        <v>3039</v>
      </c>
      <c r="I766" t="s">
        <v>15</v>
      </c>
      <c r="J766" t="s">
        <v>33</v>
      </c>
      <c r="K766" t="s">
        <v>2969</v>
      </c>
      <c r="L766" t="s">
        <v>10</v>
      </c>
    </row>
    <row r="767" spans="1:12">
      <c r="A767" t="s">
        <v>3790</v>
      </c>
      <c r="B767" s="2">
        <v>46050</v>
      </c>
      <c r="C767">
        <v>2026</v>
      </c>
      <c r="D767">
        <v>1</v>
      </c>
      <c r="E767" t="s">
        <v>1</v>
      </c>
      <c r="F767" t="s">
        <v>54</v>
      </c>
      <c r="G767" t="s">
        <v>74</v>
      </c>
      <c r="H767" t="s">
        <v>3039</v>
      </c>
      <c r="I767" t="s">
        <v>35</v>
      </c>
      <c r="J767" t="s">
        <v>12</v>
      </c>
      <c r="K767" t="s">
        <v>2969</v>
      </c>
      <c r="L767" t="s">
        <v>10</v>
      </c>
    </row>
    <row r="768" spans="1:12">
      <c r="A768" t="s">
        <v>3791</v>
      </c>
      <c r="B768" s="2">
        <v>46040</v>
      </c>
      <c r="C768">
        <v>2026</v>
      </c>
      <c r="D768">
        <v>1</v>
      </c>
      <c r="E768" t="s">
        <v>1</v>
      </c>
      <c r="F768" t="s">
        <v>67</v>
      </c>
      <c r="G768" t="s">
        <v>27</v>
      </c>
      <c r="H768" t="s">
        <v>3039</v>
      </c>
      <c r="I768" t="s">
        <v>52</v>
      </c>
      <c r="J768" t="s">
        <v>4</v>
      </c>
      <c r="K768" t="s">
        <v>2969</v>
      </c>
      <c r="L768" t="s">
        <v>10</v>
      </c>
    </row>
    <row r="769" spans="1:12">
      <c r="A769" t="s">
        <v>3792</v>
      </c>
      <c r="B769" s="2">
        <v>46044</v>
      </c>
      <c r="C769">
        <v>2026</v>
      </c>
      <c r="D769">
        <v>1</v>
      </c>
      <c r="E769" t="s">
        <v>1</v>
      </c>
      <c r="F769" t="s">
        <v>47</v>
      </c>
      <c r="G769" t="s">
        <v>64</v>
      </c>
      <c r="H769" t="s">
        <v>3045</v>
      </c>
      <c r="I769" t="s">
        <v>35</v>
      </c>
      <c r="J769" t="s">
        <v>44</v>
      </c>
      <c r="K769" t="s">
        <v>2969</v>
      </c>
      <c r="L769" t="s">
        <v>17</v>
      </c>
    </row>
    <row r="770" spans="1:12">
      <c r="A770" t="s">
        <v>3793</v>
      </c>
      <c r="B770" s="2">
        <v>46049</v>
      </c>
      <c r="C770">
        <v>2026</v>
      </c>
      <c r="D770">
        <v>1</v>
      </c>
      <c r="E770" t="s">
        <v>1</v>
      </c>
      <c r="F770" t="s">
        <v>54</v>
      </c>
      <c r="G770" t="s">
        <v>3</v>
      </c>
      <c r="H770" t="s">
        <v>3026</v>
      </c>
      <c r="I770" t="s">
        <v>8</v>
      </c>
      <c r="J770" t="s">
        <v>4</v>
      </c>
      <c r="K770" t="s">
        <v>2969</v>
      </c>
      <c r="L770" t="s">
        <v>10</v>
      </c>
    </row>
    <row r="771" spans="1:12">
      <c r="A771" t="s">
        <v>3794</v>
      </c>
      <c r="B771" s="2">
        <v>46042</v>
      </c>
      <c r="C771">
        <v>2026</v>
      </c>
      <c r="D771">
        <v>1</v>
      </c>
      <c r="E771" t="s">
        <v>1</v>
      </c>
      <c r="F771" t="s">
        <v>26</v>
      </c>
      <c r="G771" t="s">
        <v>94</v>
      </c>
      <c r="H771" t="s">
        <v>3039</v>
      </c>
      <c r="I771" t="s">
        <v>22</v>
      </c>
      <c r="J771" t="s">
        <v>33</v>
      </c>
      <c r="K771" t="s">
        <v>2969</v>
      </c>
      <c r="L771" t="s">
        <v>10</v>
      </c>
    </row>
    <row r="772" spans="1:12">
      <c r="A772" t="s">
        <v>3795</v>
      </c>
      <c r="B772" s="2">
        <v>46040</v>
      </c>
      <c r="C772">
        <v>2026</v>
      </c>
      <c r="D772">
        <v>1</v>
      </c>
      <c r="E772" t="s">
        <v>1</v>
      </c>
      <c r="F772" t="s">
        <v>26</v>
      </c>
      <c r="G772" t="s">
        <v>61</v>
      </c>
      <c r="H772" t="s">
        <v>3039</v>
      </c>
      <c r="I772" t="s">
        <v>8</v>
      </c>
      <c r="J772" t="s">
        <v>12</v>
      </c>
      <c r="K772" t="s">
        <v>2969</v>
      </c>
      <c r="L772" t="s">
        <v>10</v>
      </c>
    </row>
    <row r="773" spans="1:12">
      <c r="A773" t="s">
        <v>3796</v>
      </c>
      <c r="B773" s="2">
        <v>46028</v>
      </c>
      <c r="C773">
        <v>2026</v>
      </c>
      <c r="D773">
        <v>1</v>
      </c>
      <c r="E773" t="s">
        <v>1</v>
      </c>
      <c r="F773" t="s">
        <v>67</v>
      </c>
      <c r="G773" t="s">
        <v>64</v>
      </c>
      <c r="H773" t="s">
        <v>3019</v>
      </c>
      <c r="I773" t="s">
        <v>22</v>
      </c>
      <c r="J773" t="s">
        <v>12</v>
      </c>
      <c r="K773" t="s">
        <v>2969</v>
      </c>
      <c r="L773" t="s">
        <v>10</v>
      </c>
    </row>
    <row r="774" spans="1:12">
      <c r="A774" t="s">
        <v>3797</v>
      </c>
      <c r="B774" s="2">
        <v>46044</v>
      </c>
      <c r="C774">
        <v>2026</v>
      </c>
      <c r="D774">
        <v>1</v>
      </c>
      <c r="E774" t="s">
        <v>1</v>
      </c>
      <c r="F774" t="s">
        <v>78</v>
      </c>
      <c r="G774" t="s">
        <v>94</v>
      </c>
      <c r="H774" t="s">
        <v>3032</v>
      </c>
      <c r="I774" t="s">
        <v>52</v>
      </c>
      <c r="J774" t="s">
        <v>4</v>
      </c>
      <c r="K774" t="s">
        <v>2969</v>
      </c>
      <c r="L774" t="s">
        <v>10</v>
      </c>
    </row>
    <row r="775" spans="1:12">
      <c r="A775" t="s">
        <v>3798</v>
      </c>
      <c r="B775" s="2">
        <v>46038</v>
      </c>
      <c r="C775">
        <v>2026</v>
      </c>
      <c r="D775">
        <v>1</v>
      </c>
      <c r="E775" t="s">
        <v>1</v>
      </c>
      <c r="F775" t="s">
        <v>67</v>
      </c>
      <c r="G775" t="s">
        <v>32</v>
      </c>
      <c r="H775" t="s">
        <v>51</v>
      </c>
      <c r="I775" t="s">
        <v>42</v>
      </c>
      <c r="J775" t="s">
        <v>4</v>
      </c>
      <c r="K775" t="s">
        <v>2969</v>
      </c>
      <c r="L775" t="s">
        <v>10</v>
      </c>
    </row>
    <row r="776" spans="1:12">
      <c r="A776" t="s">
        <v>3799</v>
      </c>
      <c r="B776" s="2">
        <v>46042</v>
      </c>
      <c r="C776">
        <v>2026</v>
      </c>
      <c r="D776">
        <v>1</v>
      </c>
      <c r="E776" t="s">
        <v>1</v>
      </c>
      <c r="F776" t="s">
        <v>54</v>
      </c>
      <c r="G776" t="s">
        <v>27</v>
      </c>
      <c r="H776" t="s">
        <v>51</v>
      </c>
      <c r="I776" t="s">
        <v>42</v>
      </c>
      <c r="J776" t="s">
        <v>33</v>
      </c>
      <c r="K776" t="s">
        <v>2969</v>
      </c>
      <c r="L776" t="s">
        <v>10</v>
      </c>
    </row>
    <row r="777" spans="1:12">
      <c r="A777" t="s">
        <v>3800</v>
      </c>
      <c r="B777" s="2">
        <v>46024</v>
      </c>
      <c r="C777">
        <v>2026</v>
      </c>
      <c r="D777">
        <v>1</v>
      </c>
      <c r="E777" t="s">
        <v>1</v>
      </c>
      <c r="F777" t="s">
        <v>47</v>
      </c>
      <c r="G777" t="s">
        <v>48</v>
      </c>
      <c r="H777" t="s">
        <v>3032</v>
      </c>
      <c r="I777" t="s">
        <v>15</v>
      </c>
      <c r="J777" t="s">
        <v>4</v>
      </c>
      <c r="K777" t="s">
        <v>2977</v>
      </c>
      <c r="L777" t="s">
        <v>10</v>
      </c>
    </row>
    <row r="778" spans="1:12">
      <c r="A778" t="s">
        <v>3801</v>
      </c>
      <c r="B778" s="2">
        <v>46047</v>
      </c>
      <c r="C778">
        <v>2026</v>
      </c>
      <c r="D778">
        <v>1</v>
      </c>
      <c r="E778" t="s">
        <v>1</v>
      </c>
      <c r="F778" t="s">
        <v>78</v>
      </c>
      <c r="G778" t="s">
        <v>3</v>
      </c>
      <c r="H778" t="s">
        <v>3026</v>
      </c>
      <c r="I778" t="s">
        <v>35</v>
      </c>
      <c r="J778" t="s">
        <v>12</v>
      </c>
      <c r="K778" t="s">
        <v>2969</v>
      </c>
      <c r="L778" t="s">
        <v>10</v>
      </c>
    </row>
    <row r="779" spans="1:12">
      <c r="A779" t="s">
        <v>3802</v>
      </c>
      <c r="B779" s="2">
        <v>46032</v>
      </c>
      <c r="C779">
        <v>2026</v>
      </c>
      <c r="D779">
        <v>1</v>
      </c>
      <c r="E779" t="s">
        <v>1</v>
      </c>
      <c r="F779" t="s">
        <v>2</v>
      </c>
      <c r="G779" t="s">
        <v>55</v>
      </c>
      <c r="H779" t="s">
        <v>3045</v>
      </c>
      <c r="I779" t="s">
        <v>35</v>
      </c>
      <c r="J779" t="s">
        <v>44</v>
      </c>
      <c r="K779" t="s">
        <v>2969</v>
      </c>
      <c r="L779" t="s">
        <v>10</v>
      </c>
    </row>
    <row r="780" spans="1:12">
      <c r="A780" t="s">
        <v>3803</v>
      </c>
      <c r="B780" s="2">
        <v>46043</v>
      </c>
      <c r="C780">
        <v>2026</v>
      </c>
      <c r="D780">
        <v>1</v>
      </c>
      <c r="E780" t="s">
        <v>1</v>
      </c>
      <c r="F780" t="s">
        <v>38</v>
      </c>
      <c r="G780" t="s">
        <v>38</v>
      </c>
      <c r="H780" t="s">
        <v>3034</v>
      </c>
      <c r="I780" t="s">
        <v>52</v>
      </c>
      <c r="J780" t="s">
        <v>44</v>
      </c>
      <c r="K780" t="s">
        <v>2969</v>
      </c>
      <c r="L780" t="s">
        <v>10</v>
      </c>
    </row>
    <row r="781" spans="1:12">
      <c r="A781" t="s">
        <v>3804</v>
      </c>
      <c r="B781" s="2">
        <v>46023</v>
      </c>
      <c r="C781">
        <v>2026</v>
      </c>
      <c r="D781">
        <v>1</v>
      </c>
      <c r="E781" t="s">
        <v>1</v>
      </c>
      <c r="F781" t="s">
        <v>54</v>
      </c>
      <c r="G781" t="s">
        <v>27</v>
      </c>
      <c r="H781" t="s">
        <v>51</v>
      </c>
      <c r="I781" t="s">
        <v>15</v>
      </c>
      <c r="J781" t="s">
        <v>12</v>
      </c>
      <c r="K781" t="s">
        <v>2969</v>
      </c>
      <c r="L781" t="s">
        <v>10</v>
      </c>
    </row>
    <row r="782" spans="1:12">
      <c r="A782" t="s">
        <v>3805</v>
      </c>
      <c r="B782" s="2">
        <v>46036</v>
      </c>
      <c r="C782">
        <v>2026</v>
      </c>
      <c r="D782">
        <v>1</v>
      </c>
      <c r="E782" t="s">
        <v>1</v>
      </c>
      <c r="F782" t="s">
        <v>2</v>
      </c>
      <c r="G782" t="s">
        <v>64</v>
      </c>
      <c r="H782" t="s">
        <v>3032</v>
      </c>
      <c r="I782" t="s">
        <v>22</v>
      </c>
      <c r="J782" t="s">
        <v>44</v>
      </c>
      <c r="K782" t="s">
        <v>2977</v>
      </c>
      <c r="L782" t="s">
        <v>10</v>
      </c>
    </row>
    <row r="783" spans="1:12">
      <c r="A783" t="s">
        <v>3806</v>
      </c>
      <c r="B783" s="2">
        <v>46034</v>
      </c>
      <c r="C783">
        <v>2026</v>
      </c>
      <c r="D783">
        <v>1</v>
      </c>
      <c r="E783" t="s">
        <v>1</v>
      </c>
      <c r="F783" t="s">
        <v>47</v>
      </c>
      <c r="G783" t="s">
        <v>94</v>
      </c>
      <c r="H783" t="s">
        <v>3045</v>
      </c>
      <c r="I783" t="s">
        <v>8</v>
      </c>
      <c r="J783" t="s">
        <v>33</v>
      </c>
      <c r="K783" t="s">
        <v>2969</v>
      </c>
      <c r="L783" t="s">
        <v>10</v>
      </c>
    </row>
    <row r="784" spans="1:12">
      <c r="A784" t="s">
        <v>3807</v>
      </c>
      <c r="B784" s="2">
        <v>46031</v>
      </c>
      <c r="C784">
        <v>2026</v>
      </c>
      <c r="D784">
        <v>1</v>
      </c>
      <c r="E784" t="s">
        <v>1</v>
      </c>
      <c r="F784" t="s">
        <v>31</v>
      </c>
      <c r="G784" t="s">
        <v>48</v>
      </c>
      <c r="H784" t="s">
        <v>3034</v>
      </c>
      <c r="I784" t="s">
        <v>8</v>
      </c>
      <c r="J784" t="s">
        <v>33</v>
      </c>
      <c r="K784" t="s">
        <v>2969</v>
      </c>
      <c r="L784" t="s">
        <v>10</v>
      </c>
    </row>
    <row r="785" spans="1:12">
      <c r="A785" t="s">
        <v>3808</v>
      </c>
      <c r="B785" s="2">
        <v>46029</v>
      </c>
      <c r="C785">
        <v>2026</v>
      </c>
      <c r="D785">
        <v>1</v>
      </c>
      <c r="E785" t="s">
        <v>1</v>
      </c>
      <c r="F785" t="s">
        <v>2</v>
      </c>
      <c r="G785" t="s">
        <v>94</v>
      </c>
      <c r="H785" t="s">
        <v>51</v>
      </c>
      <c r="I785" t="s">
        <v>22</v>
      </c>
      <c r="J785" t="s">
        <v>4</v>
      </c>
      <c r="K785" t="s">
        <v>2969</v>
      </c>
      <c r="L785" t="s">
        <v>10</v>
      </c>
    </row>
    <row r="786" spans="1:12">
      <c r="A786" t="s">
        <v>3809</v>
      </c>
      <c r="B786" s="2">
        <v>46048</v>
      </c>
      <c r="C786">
        <v>2026</v>
      </c>
      <c r="D786">
        <v>1</v>
      </c>
      <c r="E786" t="s">
        <v>1</v>
      </c>
      <c r="F786" t="s">
        <v>19</v>
      </c>
      <c r="G786" t="s">
        <v>3</v>
      </c>
      <c r="H786" t="s">
        <v>3045</v>
      </c>
      <c r="I786" t="s">
        <v>52</v>
      </c>
      <c r="J786" t="s">
        <v>4</v>
      </c>
      <c r="K786" t="s">
        <v>2977</v>
      </c>
      <c r="L786" t="s">
        <v>10</v>
      </c>
    </row>
    <row r="787" spans="1:12">
      <c r="A787" t="s">
        <v>3810</v>
      </c>
      <c r="B787" s="2">
        <v>46030</v>
      </c>
      <c r="C787">
        <v>2026</v>
      </c>
      <c r="D787">
        <v>1</v>
      </c>
      <c r="E787" t="s">
        <v>1</v>
      </c>
      <c r="F787" t="s">
        <v>47</v>
      </c>
      <c r="G787" t="s">
        <v>20</v>
      </c>
      <c r="H787" t="s">
        <v>3026</v>
      </c>
      <c r="I787" t="s">
        <v>42</v>
      </c>
      <c r="J787" t="s">
        <v>33</v>
      </c>
      <c r="K787" t="s">
        <v>2969</v>
      </c>
      <c r="L787" t="s">
        <v>10</v>
      </c>
    </row>
    <row r="788" spans="1:12">
      <c r="A788" t="s">
        <v>3811</v>
      </c>
      <c r="B788" s="2">
        <v>46024</v>
      </c>
      <c r="C788">
        <v>2026</v>
      </c>
      <c r="D788">
        <v>1</v>
      </c>
      <c r="E788" t="s">
        <v>1</v>
      </c>
      <c r="F788" t="s">
        <v>38</v>
      </c>
      <c r="G788" t="s">
        <v>55</v>
      </c>
      <c r="H788" t="s">
        <v>3032</v>
      </c>
      <c r="I788" t="s">
        <v>15</v>
      </c>
      <c r="J788" t="s">
        <v>33</v>
      </c>
      <c r="K788" t="s">
        <v>2969</v>
      </c>
      <c r="L788" t="s">
        <v>10</v>
      </c>
    </row>
    <row r="789" spans="1:12">
      <c r="A789" t="s">
        <v>3812</v>
      </c>
      <c r="B789" s="2">
        <v>46026</v>
      </c>
      <c r="C789">
        <v>2026</v>
      </c>
      <c r="D789">
        <v>1</v>
      </c>
      <c r="E789" t="s">
        <v>1</v>
      </c>
      <c r="F789" t="s">
        <v>78</v>
      </c>
      <c r="G789" t="s">
        <v>74</v>
      </c>
      <c r="H789" t="s">
        <v>3045</v>
      </c>
      <c r="I789" t="s">
        <v>8</v>
      </c>
      <c r="J789" t="s">
        <v>44</v>
      </c>
      <c r="K789" t="s">
        <v>2969</v>
      </c>
      <c r="L789" t="s">
        <v>10</v>
      </c>
    </row>
    <row r="790" spans="1:12">
      <c r="A790" t="s">
        <v>3813</v>
      </c>
      <c r="B790" s="2">
        <v>46039</v>
      </c>
      <c r="C790">
        <v>2026</v>
      </c>
      <c r="D790">
        <v>1</v>
      </c>
      <c r="E790" t="s">
        <v>1</v>
      </c>
      <c r="F790" t="s">
        <v>26</v>
      </c>
      <c r="G790" t="s">
        <v>3</v>
      </c>
      <c r="H790" t="s">
        <v>3034</v>
      </c>
      <c r="I790" t="s">
        <v>8</v>
      </c>
      <c r="J790" t="s">
        <v>44</v>
      </c>
      <c r="K790" t="s">
        <v>2969</v>
      </c>
      <c r="L790" t="s">
        <v>17</v>
      </c>
    </row>
    <row r="791" spans="1:12">
      <c r="A791" t="s">
        <v>3814</v>
      </c>
      <c r="B791" s="2">
        <v>46028</v>
      </c>
      <c r="C791">
        <v>2026</v>
      </c>
      <c r="D791">
        <v>1</v>
      </c>
      <c r="E791" t="s">
        <v>1</v>
      </c>
      <c r="F791" t="s">
        <v>2</v>
      </c>
      <c r="G791" t="s">
        <v>27</v>
      </c>
      <c r="H791" t="s">
        <v>3022</v>
      </c>
      <c r="I791" t="s">
        <v>22</v>
      </c>
      <c r="J791" t="s">
        <v>4</v>
      </c>
      <c r="K791" t="s">
        <v>2969</v>
      </c>
      <c r="L791" t="s">
        <v>10</v>
      </c>
    </row>
    <row r="792" spans="1:12">
      <c r="A792" t="s">
        <v>3815</v>
      </c>
      <c r="B792" s="2">
        <v>46046</v>
      </c>
      <c r="C792">
        <v>2026</v>
      </c>
      <c r="D792">
        <v>1</v>
      </c>
      <c r="E792" t="s">
        <v>1</v>
      </c>
      <c r="F792" t="s">
        <v>19</v>
      </c>
      <c r="G792" t="s">
        <v>55</v>
      </c>
      <c r="H792" t="s">
        <v>51</v>
      </c>
      <c r="I792" t="s">
        <v>52</v>
      </c>
      <c r="J792" t="s">
        <v>4</v>
      </c>
      <c r="K792" t="s">
        <v>2969</v>
      </c>
      <c r="L792" t="s">
        <v>10</v>
      </c>
    </row>
    <row r="793" spans="1:12">
      <c r="A793" t="s">
        <v>3816</v>
      </c>
      <c r="B793" s="2">
        <v>46024</v>
      </c>
      <c r="C793">
        <v>2026</v>
      </c>
      <c r="D793">
        <v>1</v>
      </c>
      <c r="E793" t="s">
        <v>1</v>
      </c>
      <c r="F793" t="s">
        <v>31</v>
      </c>
      <c r="G793" t="s">
        <v>64</v>
      </c>
      <c r="H793" t="s">
        <v>3045</v>
      </c>
      <c r="I793" t="s">
        <v>15</v>
      </c>
      <c r="J793" t="s">
        <v>44</v>
      </c>
      <c r="K793" t="s">
        <v>2977</v>
      </c>
      <c r="L793" t="s">
        <v>10</v>
      </c>
    </row>
    <row r="794" spans="1:12">
      <c r="A794" t="s">
        <v>3817</v>
      </c>
      <c r="B794" s="2">
        <v>46042</v>
      </c>
      <c r="C794">
        <v>2026</v>
      </c>
      <c r="D794">
        <v>1</v>
      </c>
      <c r="E794" t="s">
        <v>1</v>
      </c>
      <c r="F794" t="s">
        <v>31</v>
      </c>
      <c r="G794" t="s">
        <v>38</v>
      </c>
      <c r="H794" t="s">
        <v>3026</v>
      </c>
      <c r="I794" t="s">
        <v>15</v>
      </c>
      <c r="J794" t="s">
        <v>12</v>
      </c>
      <c r="K794" t="s">
        <v>2969</v>
      </c>
      <c r="L794" t="s">
        <v>10</v>
      </c>
    </row>
    <row r="795" spans="1:12">
      <c r="A795" t="s">
        <v>3818</v>
      </c>
      <c r="B795" s="2">
        <v>46035</v>
      </c>
      <c r="C795">
        <v>2026</v>
      </c>
      <c r="D795">
        <v>1</v>
      </c>
      <c r="E795" t="s">
        <v>1</v>
      </c>
      <c r="F795" t="s">
        <v>40</v>
      </c>
      <c r="G795" t="s">
        <v>69</v>
      </c>
      <c r="H795" t="s">
        <v>3039</v>
      </c>
      <c r="I795" t="s">
        <v>35</v>
      </c>
      <c r="J795" t="s">
        <v>44</v>
      </c>
      <c r="K795" t="s">
        <v>2969</v>
      </c>
      <c r="L795" t="s">
        <v>10</v>
      </c>
    </row>
    <row r="796" spans="1:12">
      <c r="A796" t="s">
        <v>3819</v>
      </c>
      <c r="B796" s="2">
        <v>46032</v>
      </c>
      <c r="C796">
        <v>2026</v>
      </c>
      <c r="D796">
        <v>1</v>
      </c>
      <c r="E796" t="s">
        <v>1</v>
      </c>
      <c r="F796" t="s">
        <v>67</v>
      </c>
      <c r="G796" t="s">
        <v>3</v>
      </c>
      <c r="H796" t="s">
        <v>3019</v>
      </c>
      <c r="I796" t="s">
        <v>52</v>
      </c>
      <c r="J796" t="s">
        <v>44</v>
      </c>
      <c r="K796" t="s">
        <v>2977</v>
      </c>
      <c r="L796" t="s">
        <v>10</v>
      </c>
    </row>
    <row r="797" spans="1:12">
      <c r="A797" t="s">
        <v>3820</v>
      </c>
      <c r="B797" s="2">
        <v>46045</v>
      </c>
      <c r="C797">
        <v>2026</v>
      </c>
      <c r="D797">
        <v>1</v>
      </c>
      <c r="E797" t="s">
        <v>1</v>
      </c>
      <c r="F797" t="s">
        <v>47</v>
      </c>
      <c r="G797" t="s">
        <v>55</v>
      </c>
      <c r="H797" t="s">
        <v>3032</v>
      </c>
      <c r="I797" t="s">
        <v>15</v>
      </c>
      <c r="J797" t="s">
        <v>4</v>
      </c>
      <c r="K797" t="s">
        <v>2969</v>
      </c>
      <c r="L797" t="s">
        <v>10</v>
      </c>
    </row>
    <row r="798" spans="1:12">
      <c r="A798" t="s">
        <v>3821</v>
      </c>
      <c r="B798" s="2">
        <v>46026</v>
      </c>
      <c r="C798">
        <v>2026</v>
      </c>
      <c r="D798">
        <v>1</v>
      </c>
      <c r="E798" t="s">
        <v>1</v>
      </c>
      <c r="F798" t="s">
        <v>31</v>
      </c>
      <c r="G798" t="s">
        <v>94</v>
      </c>
      <c r="H798" t="s">
        <v>51</v>
      </c>
      <c r="I798" t="s">
        <v>35</v>
      </c>
      <c r="J798" t="s">
        <v>33</v>
      </c>
      <c r="K798" t="s">
        <v>2969</v>
      </c>
      <c r="L798" t="s">
        <v>10</v>
      </c>
    </row>
    <row r="799" spans="1:12">
      <c r="A799" t="s">
        <v>3822</v>
      </c>
      <c r="B799" s="2">
        <v>46044</v>
      </c>
      <c r="C799">
        <v>2026</v>
      </c>
      <c r="D799">
        <v>1</v>
      </c>
      <c r="E799" t="s">
        <v>1</v>
      </c>
      <c r="F799" t="s">
        <v>31</v>
      </c>
      <c r="G799" t="s">
        <v>48</v>
      </c>
      <c r="H799" t="s">
        <v>3045</v>
      </c>
      <c r="I799" t="s">
        <v>15</v>
      </c>
      <c r="J799" t="s">
        <v>33</v>
      </c>
      <c r="K799" t="s">
        <v>2969</v>
      </c>
      <c r="L799" t="s">
        <v>10</v>
      </c>
    </row>
    <row r="800" spans="1:12">
      <c r="A800" t="s">
        <v>3823</v>
      </c>
      <c r="B800" s="2">
        <v>46049</v>
      </c>
      <c r="C800">
        <v>2026</v>
      </c>
      <c r="D800">
        <v>1</v>
      </c>
      <c r="E800" t="s">
        <v>1</v>
      </c>
      <c r="F800" t="s">
        <v>54</v>
      </c>
      <c r="G800" t="s">
        <v>55</v>
      </c>
      <c r="H800" t="s">
        <v>3026</v>
      </c>
      <c r="I800" t="s">
        <v>52</v>
      </c>
      <c r="J800" t="s">
        <v>33</v>
      </c>
      <c r="K800" t="s">
        <v>2969</v>
      </c>
      <c r="L800" t="s">
        <v>10</v>
      </c>
    </row>
    <row r="801" spans="1:12">
      <c r="A801" t="s">
        <v>3824</v>
      </c>
      <c r="B801" s="2">
        <v>46030</v>
      </c>
      <c r="C801">
        <v>2026</v>
      </c>
      <c r="D801">
        <v>1</v>
      </c>
      <c r="E801" t="s">
        <v>1</v>
      </c>
      <c r="F801" t="s">
        <v>19</v>
      </c>
      <c r="G801" t="s">
        <v>3</v>
      </c>
      <c r="H801" t="s">
        <v>3032</v>
      </c>
      <c r="I801" t="s">
        <v>42</v>
      </c>
      <c r="J801" t="s">
        <v>4</v>
      </c>
      <c r="K801" t="s">
        <v>2969</v>
      </c>
      <c r="L801" t="s">
        <v>10</v>
      </c>
    </row>
    <row r="802" spans="1:12">
      <c r="A802" t="s">
        <v>3825</v>
      </c>
      <c r="B802" s="2">
        <v>46034</v>
      </c>
      <c r="C802">
        <v>2026</v>
      </c>
      <c r="D802">
        <v>1</v>
      </c>
      <c r="E802" t="s">
        <v>1</v>
      </c>
      <c r="F802" t="s">
        <v>2</v>
      </c>
      <c r="G802" t="s">
        <v>48</v>
      </c>
      <c r="H802" t="s">
        <v>3022</v>
      </c>
      <c r="I802" t="s">
        <v>42</v>
      </c>
      <c r="J802" t="s">
        <v>4</v>
      </c>
      <c r="K802" t="s">
        <v>2969</v>
      </c>
      <c r="L802" t="s">
        <v>10</v>
      </c>
    </row>
    <row r="803" spans="1:12">
      <c r="A803" t="s">
        <v>3826</v>
      </c>
      <c r="B803" s="2">
        <v>46048</v>
      </c>
      <c r="C803">
        <v>2026</v>
      </c>
      <c r="D803">
        <v>1</v>
      </c>
      <c r="E803" t="s">
        <v>1</v>
      </c>
      <c r="F803" t="s">
        <v>40</v>
      </c>
      <c r="G803" t="s">
        <v>94</v>
      </c>
      <c r="H803" t="s">
        <v>3022</v>
      </c>
      <c r="I803" t="s">
        <v>22</v>
      </c>
      <c r="J803" t="s">
        <v>33</v>
      </c>
      <c r="K803" t="s">
        <v>2969</v>
      </c>
      <c r="L803" t="s">
        <v>10</v>
      </c>
    </row>
    <row r="804" spans="1:12">
      <c r="A804" t="s">
        <v>3827</v>
      </c>
      <c r="B804" s="2">
        <v>46054</v>
      </c>
      <c r="C804">
        <v>2026</v>
      </c>
      <c r="D804">
        <v>2</v>
      </c>
      <c r="E804" t="s">
        <v>25</v>
      </c>
      <c r="F804" t="s">
        <v>19</v>
      </c>
      <c r="G804" t="s">
        <v>69</v>
      </c>
      <c r="H804" t="s">
        <v>51</v>
      </c>
      <c r="I804" t="s">
        <v>35</v>
      </c>
      <c r="J804" t="s">
        <v>12</v>
      </c>
      <c r="K804" t="s">
        <v>2969</v>
      </c>
      <c r="L804" t="s">
        <v>10</v>
      </c>
    </row>
    <row r="805" spans="1:12">
      <c r="A805" t="s">
        <v>3828</v>
      </c>
      <c r="B805" s="2">
        <v>46079</v>
      </c>
      <c r="C805">
        <v>2026</v>
      </c>
      <c r="D805">
        <v>2</v>
      </c>
      <c r="E805" t="s">
        <v>25</v>
      </c>
      <c r="F805" t="s">
        <v>54</v>
      </c>
      <c r="G805" t="s">
        <v>38</v>
      </c>
      <c r="H805" t="s">
        <v>3022</v>
      </c>
      <c r="I805" t="s">
        <v>42</v>
      </c>
      <c r="J805" t="s">
        <v>4</v>
      </c>
      <c r="K805" t="s">
        <v>2969</v>
      </c>
      <c r="L805" t="s">
        <v>10</v>
      </c>
    </row>
    <row r="806" spans="1:12">
      <c r="A806" t="s">
        <v>3829</v>
      </c>
      <c r="B806" s="2">
        <v>46054</v>
      </c>
      <c r="C806">
        <v>2026</v>
      </c>
      <c r="D806">
        <v>2</v>
      </c>
      <c r="E806" t="s">
        <v>25</v>
      </c>
      <c r="F806" t="s">
        <v>47</v>
      </c>
      <c r="G806" t="s">
        <v>27</v>
      </c>
      <c r="H806" t="s">
        <v>3034</v>
      </c>
      <c r="I806" t="s">
        <v>22</v>
      </c>
      <c r="J806" t="s">
        <v>4</v>
      </c>
      <c r="K806" t="s">
        <v>2969</v>
      </c>
      <c r="L806" t="s">
        <v>10</v>
      </c>
    </row>
    <row r="807" spans="1:12">
      <c r="A807" t="s">
        <v>3830</v>
      </c>
      <c r="B807" s="2">
        <v>46055</v>
      </c>
      <c r="C807">
        <v>2026</v>
      </c>
      <c r="D807">
        <v>2</v>
      </c>
      <c r="E807" t="s">
        <v>25</v>
      </c>
      <c r="F807" t="s">
        <v>31</v>
      </c>
      <c r="G807" t="s">
        <v>74</v>
      </c>
      <c r="H807" t="s">
        <v>3039</v>
      </c>
      <c r="I807" t="s">
        <v>52</v>
      </c>
      <c r="J807" t="s">
        <v>33</v>
      </c>
      <c r="K807" t="s">
        <v>2969</v>
      </c>
      <c r="L807" t="s">
        <v>10</v>
      </c>
    </row>
    <row r="808" spans="1:12">
      <c r="A808" t="s">
        <v>3831</v>
      </c>
      <c r="B808" s="2">
        <v>46081</v>
      </c>
      <c r="C808">
        <v>2026</v>
      </c>
      <c r="D808">
        <v>2</v>
      </c>
      <c r="E808" t="s">
        <v>25</v>
      </c>
      <c r="F808" t="s">
        <v>54</v>
      </c>
      <c r="G808" t="s">
        <v>64</v>
      </c>
      <c r="H808" t="s">
        <v>3019</v>
      </c>
      <c r="I808" t="s">
        <v>42</v>
      </c>
      <c r="J808" t="s">
        <v>33</v>
      </c>
      <c r="K808" t="s">
        <v>2969</v>
      </c>
      <c r="L808" t="s">
        <v>10</v>
      </c>
    </row>
    <row r="809" spans="1:12">
      <c r="A809" t="s">
        <v>3832</v>
      </c>
      <c r="B809" s="2">
        <v>46073</v>
      </c>
      <c r="C809">
        <v>2026</v>
      </c>
      <c r="D809">
        <v>2</v>
      </c>
      <c r="E809" t="s">
        <v>25</v>
      </c>
      <c r="F809" t="s">
        <v>38</v>
      </c>
      <c r="G809" t="s">
        <v>32</v>
      </c>
      <c r="H809" t="s">
        <v>3045</v>
      </c>
      <c r="I809" t="s">
        <v>15</v>
      </c>
      <c r="J809" t="s">
        <v>4</v>
      </c>
      <c r="K809" t="s">
        <v>2969</v>
      </c>
      <c r="L809" t="s">
        <v>10</v>
      </c>
    </row>
    <row r="810" spans="1:12">
      <c r="A810" t="s">
        <v>3833</v>
      </c>
      <c r="B810" s="2">
        <v>46077</v>
      </c>
      <c r="C810">
        <v>2026</v>
      </c>
      <c r="D810">
        <v>2</v>
      </c>
      <c r="E810" t="s">
        <v>25</v>
      </c>
      <c r="F810" t="s">
        <v>67</v>
      </c>
      <c r="G810" t="s">
        <v>27</v>
      </c>
      <c r="H810" t="s">
        <v>3022</v>
      </c>
      <c r="I810" t="s">
        <v>42</v>
      </c>
      <c r="J810" t="s">
        <v>4</v>
      </c>
      <c r="K810" t="s">
        <v>2969</v>
      </c>
      <c r="L810" t="s">
        <v>10</v>
      </c>
    </row>
    <row r="811" spans="1:12">
      <c r="A811" t="s">
        <v>3834</v>
      </c>
      <c r="B811" s="2">
        <v>46073</v>
      </c>
      <c r="C811">
        <v>2026</v>
      </c>
      <c r="D811">
        <v>2</v>
      </c>
      <c r="E811" t="s">
        <v>25</v>
      </c>
      <c r="F811" t="s">
        <v>2</v>
      </c>
      <c r="G811" t="s">
        <v>55</v>
      </c>
      <c r="H811" t="s">
        <v>3032</v>
      </c>
      <c r="I811" t="s">
        <v>42</v>
      </c>
      <c r="J811" t="s">
        <v>33</v>
      </c>
      <c r="K811" t="s">
        <v>2969</v>
      </c>
      <c r="L811" t="s">
        <v>10</v>
      </c>
    </row>
    <row r="812" spans="1:12">
      <c r="A812" t="s">
        <v>3835</v>
      </c>
      <c r="B812" s="2">
        <v>46073</v>
      </c>
      <c r="C812">
        <v>2026</v>
      </c>
      <c r="D812">
        <v>2</v>
      </c>
      <c r="E812" t="s">
        <v>25</v>
      </c>
      <c r="F812" t="s">
        <v>40</v>
      </c>
      <c r="G812" t="s">
        <v>94</v>
      </c>
      <c r="H812" t="s">
        <v>3032</v>
      </c>
      <c r="I812" t="s">
        <v>15</v>
      </c>
      <c r="J812" t="s">
        <v>12</v>
      </c>
      <c r="K812" t="s">
        <v>2969</v>
      </c>
      <c r="L812" t="s">
        <v>10</v>
      </c>
    </row>
    <row r="813" spans="1:12">
      <c r="A813" t="s">
        <v>3836</v>
      </c>
      <c r="B813" s="2">
        <v>46055</v>
      </c>
      <c r="C813">
        <v>2026</v>
      </c>
      <c r="D813">
        <v>2</v>
      </c>
      <c r="E813" t="s">
        <v>25</v>
      </c>
      <c r="F813" t="s">
        <v>78</v>
      </c>
      <c r="G813" t="s">
        <v>3</v>
      </c>
      <c r="H813" t="s">
        <v>3032</v>
      </c>
      <c r="I813" t="s">
        <v>15</v>
      </c>
      <c r="J813" t="s">
        <v>12</v>
      </c>
      <c r="K813" t="s">
        <v>2969</v>
      </c>
      <c r="L813" t="s">
        <v>17</v>
      </c>
    </row>
    <row r="814" spans="1:12">
      <c r="A814" t="s">
        <v>3837</v>
      </c>
      <c r="B814" s="2">
        <v>46075</v>
      </c>
      <c r="C814">
        <v>2026</v>
      </c>
      <c r="D814">
        <v>2</v>
      </c>
      <c r="E814" t="s">
        <v>25</v>
      </c>
      <c r="F814" t="s">
        <v>26</v>
      </c>
      <c r="G814" t="s">
        <v>3</v>
      </c>
      <c r="H814" t="s">
        <v>3022</v>
      </c>
      <c r="I814" t="s">
        <v>42</v>
      </c>
      <c r="J814" t="s">
        <v>33</v>
      </c>
      <c r="K814" t="s">
        <v>2969</v>
      </c>
      <c r="L814" t="s">
        <v>10</v>
      </c>
    </row>
    <row r="815" spans="1:12">
      <c r="A815" t="s">
        <v>3838</v>
      </c>
      <c r="B815" s="2">
        <v>46065</v>
      </c>
      <c r="C815">
        <v>2026</v>
      </c>
      <c r="D815">
        <v>2</v>
      </c>
      <c r="E815" t="s">
        <v>25</v>
      </c>
      <c r="F815" t="s">
        <v>67</v>
      </c>
      <c r="G815" t="s">
        <v>64</v>
      </c>
      <c r="H815" t="s">
        <v>3026</v>
      </c>
      <c r="I815" t="s">
        <v>52</v>
      </c>
      <c r="J815" t="s">
        <v>4</v>
      </c>
      <c r="K815" t="s">
        <v>2969</v>
      </c>
      <c r="L815" t="s">
        <v>10</v>
      </c>
    </row>
    <row r="816" spans="1:12">
      <c r="A816" t="s">
        <v>3839</v>
      </c>
      <c r="B816" s="2">
        <v>46075</v>
      </c>
      <c r="C816">
        <v>2026</v>
      </c>
      <c r="D816">
        <v>2</v>
      </c>
      <c r="E816" t="s">
        <v>25</v>
      </c>
      <c r="F816" t="s">
        <v>26</v>
      </c>
      <c r="G816" t="s">
        <v>20</v>
      </c>
      <c r="H816" t="s">
        <v>51</v>
      </c>
      <c r="I816" t="s">
        <v>8</v>
      </c>
      <c r="J816" t="s">
        <v>33</v>
      </c>
      <c r="K816" t="s">
        <v>2969</v>
      </c>
      <c r="L816" t="s">
        <v>10</v>
      </c>
    </row>
    <row r="817" spans="1:12">
      <c r="A817" t="s">
        <v>3840</v>
      </c>
      <c r="B817" s="2">
        <v>46071</v>
      </c>
      <c r="C817">
        <v>2026</v>
      </c>
      <c r="D817">
        <v>2</v>
      </c>
      <c r="E817" t="s">
        <v>25</v>
      </c>
      <c r="F817" t="s">
        <v>38</v>
      </c>
      <c r="G817" t="s">
        <v>61</v>
      </c>
      <c r="H817" t="s">
        <v>3022</v>
      </c>
      <c r="I817" t="s">
        <v>15</v>
      </c>
      <c r="J817" t="s">
        <v>4</v>
      </c>
      <c r="K817" t="s">
        <v>2969</v>
      </c>
      <c r="L817" t="s">
        <v>10</v>
      </c>
    </row>
    <row r="818" spans="1:12">
      <c r="A818" t="s">
        <v>3841</v>
      </c>
      <c r="B818" s="2">
        <v>46068</v>
      </c>
      <c r="C818">
        <v>2026</v>
      </c>
      <c r="D818">
        <v>2</v>
      </c>
      <c r="E818" t="s">
        <v>25</v>
      </c>
      <c r="F818" t="s">
        <v>67</v>
      </c>
      <c r="G818" t="s">
        <v>3</v>
      </c>
      <c r="H818" t="s">
        <v>3045</v>
      </c>
      <c r="I818" t="s">
        <v>22</v>
      </c>
      <c r="J818" t="s">
        <v>33</v>
      </c>
      <c r="K818" t="s">
        <v>2977</v>
      </c>
      <c r="L818" t="s">
        <v>10</v>
      </c>
    </row>
    <row r="819" spans="1:12">
      <c r="A819" t="s">
        <v>3842</v>
      </c>
      <c r="B819" s="2">
        <v>46056</v>
      </c>
      <c r="C819">
        <v>2026</v>
      </c>
      <c r="D819">
        <v>2</v>
      </c>
      <c r="E819" t="s">
        <v>25</v>
      </c>
      <c r="F819" t="s">
        <v>54</v>
      </c>
      <c r="G819" t="s">
        <v>69</v>
      </c>
      <c r="H819" t="s">
        <v>3019</v>
      </c>
      <c r="I819" t="s">
        <v>42</v>
      </c>
      <c r="J819" t="s">
        <v>12</v>
      </c>
      <c r="K819" t="s">
        <v>2969</v>
      </c>
      <c r="L819" t="s">
        <v>10</v>
      </c>
    </row>
    <row r="820" spans="1:12">
      <c r="A820" t="s">
        <v>3843</v>
      </c>
      <c r="B820" s="2">
        <v>46074</v>
      </c>
      <c r="C820">
        <v>2026</v>
      </c>
      <c r="D820">
        <v>2</v>
      </c>
      <c r="E820" t="s">
        <v>25</v>
      </c>
      <c r="F820" t="s">
        <v>54</v>
      </c>
      <c r="G820" t="s">
        <v>64</v>
      </c>
      <c r="H820" t="s">
        <v>3034</v>
      </c>
      <c r="I820" t="s">
        <v>35</v>
      </c>
      <c r="J820" t="s">
        <v>44</v>
      </c>
      <c r="K820" t="s">
        <v>2969</v>
      </c>
      <c r="L820" t="s">
        <v>10</v>
      </c>
    </row>
    <row r="821" spans="1:12">
      <c r="A821" t="s">
        <v>3844</v>
      </c>
      <c r="B821" s="2">
        <v>46054</v>
      </c>
      <c r="C821">
        <v>2026</v>
      </c>
      <c r="D821">
        <v>2</v>
      </c>
      <c r="E821" t="s">
        <v>25</v>
      </c>
      <c r="F821" t="s">
        <v>19</v>
      </c>
      <c r="G821" t="s">
        <v>32</v>
      </c>
      <c r="H821" t="s">
        <v>3034</v>
      </c>
      <c r="I821" t="s">
        <v>42</v>
      </c>
      <c r="J821" t="s">
        <v>12</v>
      </c>
      <c r="K821" t="s">
        <v>2969</v>
      </c>
      <c r="L821" t="s">
        <v>10</v>
      </c>
    </row>
    <row r="822" spans="1:12">
      <c r="A822" t="s">
        <v>3845</v>
      </c>
      <c r="B822" s="2">
        <v>46062</v>
      </c>
      <c r="C822">
        <v>2026</v>
      </c>
      <c r="D822">
        <v>2</v>
      </c>
      <c r="E822" t="s">
        <v>25</v>
      </c>
      <c r="F822" t="s">
        <v>38</v>
      </c>
      <c r="G822" t="s">
        <v>27</v>
      </c>
      <c r="H822" t="s">
        <v>3022</v>
      </c>
      <c r="I822" t="s">
        <v>15</v>
      </c>
      <c r="J822" t="s">
        <v>12</v>
      </c>
      <c r="K822" t="s">
        <v>2969</v>
      </c>
      <c r="L822" t="s">
        <v>10</v>
      </c>
    </row>
    <row r="823" spans="1:12">
      <c r="A823" t="s">
        <v>3846</v>
      </c>
      <c r="B823" s="2">
        <v>46079</v>
      </c>
      <c r="C823">
        <v>2026</v>
      </c>
      <c r="D823">
        <v>2</v>
      </c>
      <c r="E823" t="s">
        <v>25</v>
      </c>
      <c r="F823" t="s">
        <v>38</v>
      </c>
      <c r="G823" t="s">
        <v>64</v>
      </c>
      <c r="H823" t="s">
        <v>51</v>
      </c>
      <c r="I823" t="s">
        <v>15</v>
      </c>
      <c r="J823" t="s">
        <v>12</v>
      </c>
      <c r="K823" t="s">
        <v>2969</v>
      </c>
      <c r="L823" t="s">
        <v>10</v>
      </c>
    </row>
    <row r="824" spans="1:12">
      <c r="A824" t="s">
        <v>3847</v>
      </c>
      <c r="B824" s="2">
        <v>46066</v>
      </c>
      <c r="C824">
        <v>2026</v>
      </c>
      <c r="D824">
        <v>2</v>
      </c>
      <c r="E824" t="s">
        <v>25</v>
      </c>
      <c r="F824" t="s">
        <v>47</v>
      </c>
      <c r="G824" t="s">
        <v>3</v>
      </c>
      <c r="H824" t="s">
        <v>3034</v>
      </c>
      <c r="I824" t="s">
        <v>52</v>
      </c>
      <c r="J824" t="s">
        <v>44</v>
      </c>
      <c r="K824" t="s">
        <v>2969</v>
      </c>
      <c r="L824" t="s">
        <v>10</v>
      </c>
    </row>
    <row r="825" spans="1:12">
      <c r="A825" t="s">
        <v>3848</v>
      </c>
      <c r="B825" s="2">
        <v>46069</v>
      </c>
      <c r="C825">
        <v>2026</v>
      </c>
      <c r="D825">
        <v>2</v>
      </c>
      <c r="E825" t="s">
        <v>25</v>
      </c>
      <c r="F825" t="s">
        <v>19</v>
      </c>
      <c r="G825" t="s">
        <v>69</v>
      </c>
      <c r="H825" t="s">
        <v>3022</v>
      </c>
      <c r="I825" t="s">
        <v>15</v>
      </c>
      <c r="J825" t="s">
        <v>44</v>
      </c>
      <c r="K825" t="s">
        <v>2969</v>
      </c>
      <c r="L825" t="s">
        <v>10</v>
      </c>
    </row>
    <row r="826" spans="1:12">
      <c r="A826" t="s">
        <v>3849</v>
      </c>
      <c r="B826" s="2">
        <v>46076</v>
      </c>
      <c r="C826">
        <v>2026</v>
      </c>
      <c r="D826">
        <v>2</v>
      </c>
      <c r="E826" t="s">
        <v>25</v>
      </c>
      <c r="F826" t="s">
        <v>47</v>
      </c>
      <c r="G826" t="s">
        <v>94</v>
      </c>
      <c r="H826" t="s">
        <v>51</v>
      </c>
      <c r="I826" t="s">
        <v>8</v>
      </c>
      <c r="J826" t="s">
        <v>4</v>
      </c>
      <c r="K826" t="s">
        <v>2969</v>
      </c>
      <c r="L826" t="s">
        <v>10</v>
      </c>
    </row>
    <row r="827" spans="1:12">
      <c r="A827" t="s">
        <v>3850</v>
      </c>
      <c r="B827" s="2">
        <v>46072</v>
      </c>
      <c r="C827">
        <v>2026</v>
      </c>
      <c r="D827">
        <v>2</v>
      </c>
      <c r="E827" t="s">
        <v>25</v>
      </c>
      <c r="F827" t="s">
        <v>2</v>
      </c>
      <c r="G827" t="s">
        <v>48</v>
      </c>
      <c r="H827" t="s">
        <v>51</v>
      </c>
      <c r="I827" t="s">
        <v>52</v>
      </c>
      <c r="J827" t="s">
        <v>44</v>
      </c>
      <c r="K827" t="s">
        <v>2969</v>
      </c>
      <c r="L827" t="s">
        <v>10</v>
      </c>
    </row>
    <row r="828" spans="1:12">
      <c r="A828" t="s">
        <v>3851</v>
      </c>
      <c r="B828" s="2">
        <v>46081</v>
      </c>
      <c r="C828">
        <v>2026</v>
      </c>
      <c r="D828">
        <v>2</v>
      </c>
      <c r="E828" t="s">
        <v>25</v>
      </c>
      <c r="F828" t="s">
        <v>2</v>
      </c>
      <c r="G828" t="s">
        <v>55</v>
      </c>
      <c r="H828" t="s">
        <v>3019</v>
      </c>
      <c r="I828" t="s">
        <v>52</v>
      </c>
      <c r="J828" t="s">
        <v>12</v>
      </c>
      <c r="K828" t="s">
        <v>2969</v>
      </c>
      <c r="L828" t="s">
        <v>10</v>
      </c>
    </row>
    <row r="829" spans="1:12">
      <c r="A829" t="s">
        <v>3852</v>
      </c>
      <c r="B829" s="2">
        <v>46081</v>
      </c>
      <c r="C829">
        <v>2026</v>
      </c>
      <c r="D829">
        <v>2</v>
      </c>
      <c r="E829" t="s">
        <v>25</v>
      </c>
      <c r="F829" t="s">
        <v>38</v>
      </c>
      <c r="G829" t="s">
        <v>32</v>
      </c>
      <c r="H829" t="s">
        <v>3022</v>
      </c>
      <c r="I829" t="s">
        <v>52</v>
      </c>
      <c r="J829" t="s">
        <v>4</v>
      </c>
      <c r="K829" t="s">
        <v>2969</v>
      </c>
      <c r="L829" t="s">
        <v>10</v>
      </c>
    </row>
    <row r="830" spans="1:12">
      <c r="A830" t="s">
        <v>3853</v>
      </c>
      <c r="B830" s="2">
        <v>46066</v>
      </c>
      <c r="C830">
        <v>2026</v>
      </c>
      <c r="D830">
        <v>2</v>
      </c>
      <c r="E830" t="s">
        <v>25</v>
      </c>
      <c r="F830" t="s">
        <v>26</v>
      </c>
      <c r="G830" t="s">
        <v>3</v>
      </c>
      <c r="H830" t="s">
        <v>51</v>
      </c>
      <c r="I830" t="s">
        <v>52</v>
      </c>
      <c r="J830" t="s">
        <v>44</v>
      </c>
      <c r="K830" t="s">
        <v>2969</v>
      </c>
      <c r="L830" t="s">
        <v>10</v>
      </c>
    </row>
    <row r="831" spans="1:12">
      <c r="A831" t="s">
        <v>3854</v>
      </c>
      <c r="B831" s="2">
        <v>46061</v>
      </c>
      <c r="C831">
        <v>2026</v>
      </c>
      <c r="D831">
        <v>2</v>
      </c>
      <c r="E831" t="s">
        <v>25</v>
      </c>
      <c r="F831" t="s">
        <v>38</v>
      </c>
      <c r="G831" t="s">
        <v>38</v>
      </c>
      <c r="H831" t="s">
        <v>3019</v>
      </c>
      <c r="I831" t="s">
        <v>15</v>
      </c>
      <c r="J831" t="s">
        <v>44</v>
      </c>
      <c r="K831" t="s">
        <v>2969</v>
      </c>
      <c r="L831" t="s">
        <v>10</v>
      </c>
    </row>
    <row r="832" spans="1:12">
      <c r="A832" t="s">
        <v>3855</v>
      </c>
      <c r="B832" s="2">
        <v>46068</v>
      </c>
      <c r="C832">
        <v>2026</v>
      </c>
      <c r="D832">
        <v>2</v>
      </c>
      <c r="E832" t="s">
        <v>25</v>
      </c>
      <c r="F832" t="s">
        <v>26</v>
      </c>
      <c r="G832" t="s">
        <v>94</v>
      </c>
      <c r="H832" t="s">
        <v>3032</v>
      </c>
      <c r="I832" t="s">
        <v>22</v>
      </c>
      <c r="J832" t="s">
        <v>12</v>
      </c>
      <c r="K832" t="s">
        <v>2969</v>
      </c>
      <c r="L832" t="s">
        <v>10</v>
      </c>
    </row>
    <row r="833" spans="1:12">
      <c r="A833" t="s">
        <v>3856</v>
      </c>
      <c r="B833" s="2">
        <v>46075</v>
      </c>
      <c r="C833">
        <v>2026</v>
      </c>
      <c r="D833">
        <v>2</v>
      </c>
      <c r="E833" t="s">
        <v>25</v>
      </c>
      <c r="F833" t="s">
        <v>47</v>
      </c>
      <c r="G833" t="s">
        <v>69</v>
      </c>
      <c r="H833" t="s">
        <v>3022</v>
      </c>
      <c r="I833" t="s">
        <v>22</v>
      </c>
      <c r="J833" t="s">
        <v>33</v>
      </c>
      <c r="K833" t="s">
        <v>2969</v>
      </c>
      <c r="L833" t="s">
        <v>10</v>
      </c>
    </row>
    <row r="834" spans="1:12">
      <c r="A834" t="s">
        <v>3857</v>
      </c>
      <c r="B834" s="2">
        <v>46081</v>
      </c>
      <c r="C834">
        <v>2026</v>
      </c>
      <c r="D834">
        <v>2</v>
      </c>
      <c r="E834" t="s">
        <v>25</v>
      </c>
      <c r="F834" t="s">
        <v>54</v>
      </c>
      <c r="G834" t="s">
        <v>3</v>
      </c>
      <c r="H834" t="s">
        <v>3034</v>
      </c>
      <c r="I834" t="s">
        <v>8</v>
      </c>
      <c r="J834" t="s">
        <v>12</v>
      </c>
      <c r="K834" t="s">
        <v>2969</v>
      </c>
      <c r="L834" t="s">
        <v>10</v>
      </c>
    </row>
    <row r="835" spans="1:12">
      <c r="A835" t="s">
        <v>3858</v>
      </c>
      <c r="B835" s="2">
        <v>46066</v>
      </c>
      <c r="C835">
        <v>2026</v>
      </c>
      <c r="D835">
        <v>2</v>
      </c>
      <c r="E835" t="s">
        <v>25</v>
      </c>
      <c r="F835" t="s">
        <v>54</v>
      </c>
      <c r="G835" t="s">
        <v>64</v>
      </c>
      <c r="H835" t="s">
        <v>3022</v>
      </c>
      <c r="I835" t="s">
        <v>52</v>
      </c>
      <c r="J835" t="s">
        <v>4</v>
      </c>
      <c r="K835" t="s">
        <v>2969</v>
      </c>
      <c r="L835" t="s">
        <v>10</v>
      </c>
    </row>
    <row r="836" spans="1:12">
      <c r="A836" t="s">
        <v>3859</v>
      </c>
      <c r="B836" s="2">
        <v>46098</v>
      </c>
      <c r="C836">
        <v>2026</v>
      </c>
      <c r="D836">
        <v>3</v>
      </c>
      <c r="E836" t="s">
        <v>60</v>
      </c>
      <c r="F836" t="s">
        <v>78</v>
      </c>
      <c r="G836" t="s">
        <v>20</v>
      </c>
      <c r="H836" t="s">
        <v>3019</v>
      </c>
      <c r="I836" t="s">
        <v>52</v>
      </c>
      <c r="J836" t="s">
        <v>4</v>
      </c>
      <c r="K836" t="s">
        <v>2969</v>
      </c>
      <c r="L836" t="s">
        <v>17</v>
      </c>
    </row>
    <row r="837" spans="1:12">
      <c r="A837" t="s">
        <v>3860</v>
      </c>
      <c r="B837" s="2">
        <v>46086</v>
      </c>
      <c r="C837">
        <v>2026</v>
      </c>
      <c r="D837">
        <v>3</v>
      </c>
      <c r="E837" t="s">
        <v>60</v>
      </c>
      <c r="F837" t="s">
        <v>67</v>
      </c>
      <c r="G837" t="s">
        <v>38</v>
      </c>
      <c r="H837" t="s">
        <v>51</v>
      </c>
      <c r="I837" t="s">
        <v>15</v>
      </c>
      <c r="J837" t="s">
        <v>33</v>
      </c>
      <c r="K837" t="s">
        <v>2969</v>
      </c>
      <c r="L837" t="s">
        <v>10</v>
      </c>
    </row>
    <row r="838" spans="1:12">
      <c r="A838" t="s">
        <v>3861</v>
      </c>
      <c r="B838" s="2">
        <v>46108</v>
      </c>
      <c r="C838">
        <v>2026</v>
      </c>
      <c r="D838">
        <v>3</v>
      </c>
      <c r="E838" t="s">
        <v>60</v>
      </c>
      <c r="F838" t="s">
        <v>38</v>
      </c>
      <c r="G838" t="s">
        <v>32</v>
      </c>
      <c r="H838" t="s">
        <v>51</v>
      </c>
      <c r="I838" t="s">
        <v>22</v>
      </c>
      <c r="J838" t="s">
        <v>4</v>
      </c>
      <c r="K838" t="s">
        <v>2969</v>
      </c>
      <c r="L838" t="s">
        <v>10</v>
      </c>
    </row>
    <row r="839" spans="1:12">
      <c r="A839" t="s">
        <v>3862</v>
      </c>
      <c r="B839" s="2">
        <v>46107</v>
      </c>
      <c r="C839">
        <v>2026</v>
      </c>
      <c r="D839">
        <v>3</v>
      </c>
      <c r="E839" t="s">
        <v>60</v>
      </c>
      <c r="F839" t="s">
        <v>38</v>
      </c>
      <c r="G839" t="s">
        <v>20</v>
      </c>
      <c r="H839" t="s">
        <v>3022</v>
      </c>
      <c r="I839" t="s">
        <v>52</v>
      </c>
      <c r="J839" t="s">
        <v>44</v>
      </c>
      <c r="K839" t="s">
        <v>2969</v>
      </c>
      <c r="L839" t="s">
        <v>17</v>
      </c>
    </row>
    <row r="840" spans="1:12">
      <c r="A840" t="s">
        <v>3863</v>
      </c>
      <c r="B840" s="2">
        <v>46093</v>
      </c>
      <c r="C840">
        <v>2026</v>
      </c>
      <c r="D840">
        <v>3</v>
      </c>
      <c r="E840" t="s">
        <v>60</v>
      </c>
      <c r="F840" t="s">
        <v>40</v>
      </c>
      <c r="G840" t="s">
        <v>94</v>
      </c>
      <c r="H840" t="s">
        <v>3022</v>
      </c>
      <c r="I840" t="s">
        <v>8</v>
      </c>
      <c r="J840" t="s">
        <v>33</v>
      </c>
      <c r="K840" t="s">
        <v>2969</v>
      </c>
      <c r="L840" t="s">
        <v>10</v>
      </c>
    </row>
    <row r="841" spans="1:12">
      <c r="A841" t="s">
        <v>3864</v>
      </c>
      <c r="B841" s="2">
        <v>46087</v>
      </c>
      <c r="C841">
        <v>2026</v>
      </c>
      <c r="D841">
        <v>3</v>
      </c>
      <c r="E841" t="s">
        <v>60</v>
      </c>
      <c r="F841" t="s">
        <v>31</v>
      </c>
      <c r="G841" t="s">
        <v>48</v>
      </c>
      <c r="H841" t="s">
        <v>3026</v>
      </c>
      <c r="I841" t="s">
        <v>8</v>
      </c>
      <c r="J841" t="s">
        <v>33</v>
      </c>
      <c r="K841" t="s">
        <v>2969</v>
      </c>
      <c r="L841" t="s">
        <v>10</v>
      </c>
    </row>
    <row r="842" spans="1:12">
      <c r="A842" t="s">
        <v>3865</v>
      </c>
      <c r="B842" s="2">
        <v>46083</v>
      </c>
      <c r="C842">
        <v>2026</v>
      </c>
      <c r="D842">
        <v>3</v>
      </c>
      <c r="E842" t="s">
        <v>60</v>
      </c>
      <c r="F842" t="s">
        <v>19</v>
      </c>
      <c r="G842" t="s">
        <v>20</v>
      </c>
      <c r="H842" t="s">
        <v>3026</v>
      </c>
      <c r="I842" t="s">
        <v>35</v>
      </c>
      <c r="J842" t="s">
        <v>4</v>
      </c>
      <c r="K842" t="s">
        <v>2969</v>
      </c>
      <c r="L842" t="s">
        <v>10</v>
      </c>
    </row>
    <row r="843" spans="1:12">
      <c r="A843" t="s">
        <v>3866</v>
      </c>
      <c r="B843" s="2">
        <v>46109</v>
      </c>
      <c r="C843">
        <v>2026</v>
      </c>
      <c r="D843">
        <v>3</v>
      </c>
      <c r="E843" t="s">
        <v>60</v>
      </c>
      <c r="F843" t="s">
        <v>38</v>
      </c>
      <c r="G843" t="s">
        <v>32</v>
      </c>
      <c r="H843" t="s">
        <v>3019</v>
      </c>
      <c r="I843" t="s">
        <v>22</v>
      </c>
      <c r="J843" t="s">
        <v>12</v>
      </c>
      <c r="K843" t="s">
        <v>2969</v>
      </c>
      <c r="L843" t="s">
        <v>10</v>
      </c>
    </row>
    <row r="844" spans="1:12">
      <c r="A844" t="s">
        <v>3867</v>
      </c>
      <c r="B844" s="2">
        <v>46085</v>
      </c>
      <c r="C844">
        <v>2026</v>
      </c>
      <c r="D844">
        <v>3</v>
      </c>
      <c r="E844" t="s">
        <v>60</v>
      </c>
      <c r="F844" t="s">
        <v>38</v>
      </c>
      <c r="G844" t="s">
        <v>27</v>
      </c>
      <c r="H844" t="s">
        <v>3045</v>
      </c>
      <c r="I844" t="s">
        <v>52</v>
      </c>
      <c r="J844" t="s">
        <v>4</v>
      </c>
      <c r="K844" t="s">
        <v>2977</v>
      </c>
      <c r="L844" t="s">
        <v>10</v>
      </c>
    </row>
    <row r="845" spans="1:12">
      <c r="A845" t="s">
        <v>3868</v>
      </c>
      <c r="B845" s="2">
        <v>46100</v>
      </c>
      <c r="C845">
        <v>2026</v>
      </c>
      <c r="D845">
        <v>3</v>
      </c>
      <c r="E845" t="s">
        <v>60</v>
      </c>
      <c r="F845" t="s">
        <v>67</v>
      </c>
      <c r="G845" t="s">
        <v>69</v>
      </c>
      <c r="H845" t="s">
        <v>3032</v>
      </c>
      <c r="I845" t="s">
        <v>8</v>
      </c>
      <c r="J845" t="s">
        <v>4</v>
      </c>
      <c r="K845" t="s">
        <v>2969</v>
      </c>
      <c r="L845" t="s">
        <v>10</v>
      </c>
    </row>
    <row r="846" spans="1:12">
      <c r="A846" t="s">
        <v>3869</v>
      </c>
      <c r="B846" s="2">
        <v>46091</v>
      </c>
      <c r="C846">
        <v>2026</v>
      </c>
      <c r="D846">
        <v>3</v>
      </c>
      <c r="E846" t="s">
        <v>60</v>
      </c>
      <c r="F846" t="s">
        <v>31</v>
      </c>
      <c r="G846" t="s">
        <v>38</v>
      </c>
      <c r="H846" t="s">
        <v>3034</v>
      </c>
      <c r="I846" t="s">
        <v>8</v>
      </c>
      <c r="J846" t="s">
        <v>12</v>
      </c>
      <c r="K846" t="s">
        <v>2969</v>
      </c>
      <c r="L846" t="s">
        <v>10</v>
      </c>
    </row>
    <row r="847" spans="1:12">
      <c r="A847" t="s">
        <v>3870</v>
      </c>
      <c r="B847" s="2">
        <v>46083</v>
      </c>
      <c r="C847">
        <v>2026</v>
      </c>
      <c r="D847">
        <v>3</v>
      </c>
      <c r="E847" t="s">
        <v>60</v>
      </c>
      <c r="F847" t="s">
        <v>26</v>
      </c>
      <c r="G847" t="s">
        <v>64</v>
      </c>
      <c r="H847" t="s">
        <v>3039</v>
      </c>
      <c r="I847" t="s">
        <v>8</v>
      </c>
      <c r="J847" t="s">
        <v>44</v>
      </c>
      <c r="K847" t="s">
        <v>2969</v>
      </c>
      <c r="L847" t="s">
        <v>10</v>
      </c>
    </row>
    <row r="848" spans="1:12">
      <c r="A848" t="s">
        <v>3871</v>
      </c>
      <c r="B848" s="2">
        <v>46092</v>
      </c>
      <c r="C848">
        <v>2026</v>
      </c>
      <c r="D848">
        <v>3</v>
      </c>
      <c r="E848" t="s">
        <v>60</v>
      </c>
      <c r="F848" t="s">
        <v>40</v>
      </c>
      <c r="G848" t="s">
        <v>32</v>
      </c>
      <c r="H848" t="s">
        <v>3026</v>
      </c>
      <c r="I848" t="s">
        <v>15</v>
      </c>
      <c r="J848" t="s">
        <v>12</v>
      </c>
      <c r="K848" t="s">
        <v>2969</v>
      </c>
      <c r="L848" t="s">
        <v>10</v>
      </c>
    </row>
    <row r="849" spans="1:12">
      <c r="A849" t="s">
        <v>3872</v>
      </c>
      <c r="B849" s="2">
        <v>46094</v>
      </c>
      <c r="C849">
        <v>2026</v>
      </c>
      <c r="D849">
        <v>3</v>
      </c>
      <c r="E849" t="s">
        <v>60</v>
      </c>
      <c r="F849" t="s">
        <v>19</v>
      </c>
      <c r="G849" t="s">
        <v>55</v>
      </c>
      <c r="H849" t="s">
        <v>51</v>
      </c>
      <c r="I849" t="s">
        <v>15</v>
      </c>
      <c r="J849" t="s">
        <v>12</v>
      </c>
      <c r="K849" t="s">
        <v>2969</v>
      </c>
      <c r="L849" t="s">
        <v>10</v>
      </c>
    </row>
    <row r="850" spans="1:12">
      <c r="A850" t="s">
        <v>3873</v>
      </c>
      <c r="B850" s="2">
        <v>46097</v>
      </c>
      <c r="C850">
        <v>2026</v>
      </c>
      <c r="D850">
        <v>3</v>
      </c>
      <c r="E850" t="s">
        <v>60</v>
      </c>
      <c r="F850" t="s">
        <v>47</v>
      </c>
      <c r="G850" t="s">
        <v>20</v>
      </c>
      <c r="H850" t="s">
        <v>3039</v>
      </c>
      <c r="I850" t="s">
        <v>52</v>
      </c>
      <c r="J850" t="s">
        <v>12</v>
      </c>
      <c r="K850" t="s">
        <v>2969</v>
      </c>
      <c r="L850" t="s">
        <v>10</v>
      </c>
    </row>
    <row r="851" spans="1:12">
      <c r="A851" t="s">
        <v>3874</v>
      </c>
      <c r="B851" s="2">
        <v>46089</v>
      </c>
      <c r="C851">
        <v>2026</v>
      </c>
      <c r="D851">
        <v>3</v>
      </c>
      <c r="E851" t="s">
        <v>60</v>
      </c>
      <c r="F851" t="s">
        <v>40</v>
      </c>
      <c r="G851" t="s">
        <v>3</v>
      </c>
      <c r="H851" t="s">
        <v>3039</v>
      </c>
      <c r="I851" t="s">
        <v>15</v>
      </c>
      <c r="J851" t="s">
        <v>4</v>
      </c>
      <c r="K851" t="s">
        <v>2969</v>
      </c>
      <c r="L851" t="s">
        <v>10</v>
      </c>
    </row>
    <row r="852" spans="1:12">
      <c r="A852" t="s">
        <v>3875</v>
      </c>
      <c r="B852" s="2">
        <v>46094</v>
      </c>
      <c r="C852">
        <v>2026</v>
      </c>
      <c r="D852">
        <v>3</v>
      </c>
      <c r="E852" t="s">
        <v>60</v>
      </c>
      <c r="F852" t="s">
        <v>78</v>
      </c>
      <c r="G852" t="s">
        <v>48</v>
      </c>
      <c r="H852" t="s">
        <v>3022</v>
      </c>
      <c r="I852" t="s">
        <v>8</v>
      </c>
      <c r="J852" t="s">
        <v>12</v>
      </c>
      <c r="K852" t="s">
        <v>2969</v>
      </c>
      <c r="L852" t="s">
        <v>10</v>
      </c>
    </row>
    <row r="853" spans="1:12">
      <c r="A853" t="s">
        <v>3876</v>
      </c>
      <c r="B853" s="2">
        <v>46103</v>
      </c>
      <c r="C853">
        <v>2026</v>
      </c>
      <c r="D853">
        <v>3</v>
      </c>
      <c r="E853" t="s">
        <v>60</v>
      </c>
      <c r="F853" t="s">
        <v>40</v>
      </c>
      <c r="G853" t="s">
        <v>27</v>
      </c>
      <c r="H853" t="s">
        <v>3034</v>
      </c>
      <c r="I853" t="s">
        <v>35</v>
      </c>
      <c r="J853" t="s">
        <v>44</v>
      </c>
      <c r="K853" t="s">
        <v>2969</v>
      </c>
      <c r="L853" t="s">
        <v>10</v>
      </c>
    </row>
    <row r="854" spans="1:12">
      <c r="A854" t="s">
        <v>3877</v>
      </c>
      <c r="B854" s="2">
        <v>46093</v>
      </c>
      <c r="C854">
        <v>2026</v>
      </c>
      <c r="D854">
        <v>3</v>
      </c>
      <c r="E854" t="s">
        <v>60</v>
      </c>
      <c r="F854" t="s">
        <v>19</v>
      </c>
      <c r="G854" t="s">
        <v>3</v>
      </c>
      <c r="H854" t="s">
        <v>3026</v>
      </c>
      <c r="I854" t="s">
        <v>15</v>
      </c>
      <c r="J854" t="s">
        <v>4</v>
      </c>
      <c r="K854" t="s">
        <v>2969</v>
      </c>
      <c r="L854" t="s">
        <v>17</v>
      </c>
    </row>
    <row r="855" spans="1:12">
      <c r="A855" t="s">
        <v>3878</v>
      </c>
      <c r="B855" s="2">
        <v>46097</v>
      </c>
      <c r="C855">
        <v>2026</v>
      </c>
      <c r="D855">
        <v>3</v>
      </c>
      <c r="E855" t="s">
        <v>60</v>
      </c>
      <c r="F855" t="s">
        <v>54</v>
      </c>
      <c r="G855" t="s">
        <v>69</v>
      </c>
      <c r="H855" t="s">
        <v>3039</v>
      </c>
      <c r="I855" t="s">
        <v>52</v>
      </c>
      <c r="J855" t="s">
        <v>12</v>
      </c>
      <c r="K855" t="s">
        <v>2969</v>
      </c>
      <c r="L855" t="s">
        <v>17</v>
      </c>
    </row>
    <row r="856" spans="1:12">
      <c r="A856" t="s">
        <v>3879</v>
      </c>
      <c r="B856" s="2">
        <v>46100</v>
      </c>
      <c r="C856">
        <v>2026</v>
      </c>
      <c r="D856">
        <v>3</v>
      </c>
      <c r="E856" t="s">
        <v>60</v>
      </c>
      <c r="F856" t="s">
        <v>54</v>
      </c>
      <c r="G856" t="s">
        <v>20</v>
      </c>
      <c r="H856" t="s">
        <v>3022</v>
      </c>
      <c r="I856" t="s">
        <v>42</v>
      </c>
      <c r="J856" t="s">
        <v>44</v>
      </c>
      <c r="K856" t="s">
        <v>2969</v>
      </c>
      <c r="L856" t="s">
        <v>10</v>
      </c>
    </row>
    <row r="857" spans="1:12">
      <c r="A857" t="s">
        <v>3880</v>
      </c>
      <c r="B857" s="2">
        <v>46106</v>
      </c>
      <c r="C857">
        <v>2026</v>
      </c>
      <c r="D857">
        <v>3</v>
      </c>
      <c r="E857" t="s">
        <v>60</v>
      </c>
      <c r="F857" t="s">
        <v>54</v>
      </c>
      <c r="G857" t="s">
        <v>3</v>
      </c>
      <c r="H857" t="s">
        <v>3032</v>
      </c>
      <c r="I857" t="s">
        <v>22</v>
      </c>
      <c r="J857" t="s">
        <v>44</v>
      </c>
      <c r="K857" t="s">
        <v>2969</v>
      </c>
      <c r="L857" t="s">
        <v>10</v>
      </c>
    </row>
    <row r="858" spans="1:12">
      <c r="A858" t="s">
        <v>3881</v>
      </c>
      <c r="B858" s="2">
        <v>46106</v>
      </c>
      <c r="C858">
        <v>2026</v>
      </c>
      <c r="D858">
        <v>3</v>
      </c>
      <c r="E858" t="s">
        <v>60</v>
      </c>
      <c r="F858" t="s">
        <v>67</v>
      </c>
      <c r="G858" t="s">
        <v>55</v>
      </c>
      <c r="H858" t="s">
        <v>3026</v>
      </c>
      <c r="I858" t="s">
        <v>42</v>
      </c>
      <c r="J858" t="s">
        <v>4</v>
      </c>
      <c r="K858" t="s">
        <v>2969</v>
      </c>
      <c r="L858" t="s">
        <v>10</v>
      </c>
    </row>
    <row r="859" spans="1:12">
      <c r="A859" t="s">
        <v>3882</v>
      </c>
      <c r="B859" s="2">
        <v>46093</v>
      </c>
      <c r="C859">
        <v>2026</v>
      </c>
      <c r="D859">
        <v>3</v>
      </c>
      <c r="E859" t="s">
        <v>60</v>
      </c>
      <c r="F859" t="s">
        <v>38</v>
      </c>
      <c r="G859" t="s">
        <v>3</v>
      </c>
      <c r="H859" t="s">
        <v>3022</v>
      </c>
      <c r="I859" t="s">
        <v>15</v>
      </c>
      <c r="J859" t="s">
        <v>33</v>
      </c>
      <c r="K859" t="s">
        <v>2969</v>
      </c>
      <c r="L859" t="s">
        <v>10</v>
      </c>
    </row>
    <row r="860" spans="1:12">
      <c r="A860" t="s">
        <v>3883</v>
      </c>
      <c r="B860" s="2">
        <v>46096</v>
      </c>
      <c r="C860">
        <v>2026</v>
      </c>
      <c r="D860">
        <v>3</v>
      </c>
      <c r="E860" t="s">
        <v>60</v>
      </c>
      <c r="F860" t="s">
        <v>54</v>
      </c>
      <c r="G860" t="s">
        <v>74</v>
      </c>
      <c r="H860" t="s">
        <v>3022</v>
      </c>
      <c r="I860" t="s">
        <v>22</v>
      </c>
      <c r="J860" t="s">
        <v>44</v>
      </c>
      <c r="K860" t="s">
        <v>2969</v>
      </c>
      <c r="L860" t="s">
        <v>10</v>
      </c>
    </row>
    <row r="861" spans="1:12">
      <c r="A861" t="s">
        <v>3884</v>
      </c>
      <c r="B861" s="2">
        <v>46104</v>
      </c>
      <c r="C861">
        <v>2026</v>
      </c>
      <c r="D861">
        <v>3</v>
      </c>
      <c r="E861" t="s">
        <v>60</v>
      </c>
      <c r="F861" t="s">
        <v>2</v>
      </c>
      <c r="G861" t="s">
        <v>3</v>
      </c>
      <c r="H861" t="s">
        <v>3026</v>
      </c>
      <c r="I861" t="s">
        <v>8</v>
      </c>
      <c r="J861" t="s">
        <v>4</v>
      </c>
      <c r="K861" t="s">
        <v>2969</v>
      </c>
      <c r="L861" t="s">
        <v>10</v>
      </c>
    </row>
    <row r="862" spans="1:12">
      <c r="A862" t="s">
        <v>3885</v>
      </c>
      <c r="B862" s="2">
        <v>46100</v>
      </c>
      <c r="C862">
        <v>2026</v>
      </c>
      <c r="D862">
        <v>3</v>
      </c>
      <c r="E862" t="s">
        <v>60</v>
      </c>
      <c r="F862" t="s">
        <v>40</v>
      </c>
      <c r="G862" t="s">
        <v>55</v>
      </c>
      <c r="H862" t="s">
        <v>3026</v>
      </c>
      <c r="I862" t="s">
        <v>42</v>
      </c>
      <c r="J862" t="s">
        <v>33</v>
      </c>
      <c r="K862" t="s">
        <v>2969</v>
      </c>
      <c r="L862" t="s">
        <v>17</v>
      </c>
    </row>
    <row r="863" spans="1:12">
      <c r="A863" t="s">
        <v>3886</v>
      </c>
      <c r="B863" s="2">
        <v>46089</v>
      </c>
      <c r="C863">
        <v>2026</v>
      </c>
      <c r="D863">
        <v>3</v>
      </c>
      <c r="E863" t="s">
        <v>60</v>
      </c>
      <c r="F863" t="s">
        <v>54</v>
      </c>
      <c r="G863" t="s">
        <v>64</v>
      </c>
      <c r="H863" t="s">
        <v>51</v>
      </c>
      <c r="I863" t="s">
        <v>15</v>
      </c>
      <c r="J863" t="s">
        <v>4</v>
      </c>
      <c r="K863" t="s">
        <v>2977</v>
      </c>
      <c r="L863" t="s">
        <v>10</v>
      </c>
    </row>
    <row r="864" spans="1:12">
      <c r="A864" t="s">
        <v>3887</v>
      </c>
      <c r="B864" s="2">
        <v>46103</v>
      </c>
      <c r="C864">
        <v>2026</v>
      </c>
      <c r="D864">
        <v>3</v>
      </c>
      <c r="E864" t="s">
        <v>60</v>
      </c>
      <c r="F864" t="s">
        <v>31</v>
      </c>
      <c r="G864" t="s">
        <v>3</v>
      </c>
      <c r="H864" t="s">
        <v>51</v>
      </c>
      <c r="I864" t="s">
        <v>52</v>
      </c>
      <c r="J864" t="s">
        <v>12</v>
      </c>
      <c r="K864" t="s">
        <v>2969</v>
      </c>
      <c r="L864" t="s">
        <v>10</v>
      </c>
    </row>
    <row r="865" spans="1:12">
      <c r="A865" t="s">
        <v>3888</v>
      </c>
      <c r="B865" s="2">
        <v>46103</v>
      </c>
      <c r="C865">
        <v>2026</v>
      </c>
      <c r="D865">
        <v>3</v>
      </c>
      <c r="E865" t="s">
        <v>60</v>
      </c>
      <c r="F865" t="s">
        <v>2</v>
      </c>
      <c r="G865" t="s">
        <v>55</v>
      </c>
      <c r="H865" t="s">
        <v>51</v>
      </c>
      <c r="I865" t="s">
        <v>8</v>
      </c>
      <c r="J865" t="s">
        <v>4</v>
      </c>
      <c r="K865" t="s">
        <v>2969</v>
      </c>
      <c r="L865" t="s">
        <v>10</v>
      </c>
    </row>
    <row r="866" spans="1:12">
      <c r="A866" t="s">
        <v>3889</v>
      </c>
      <c r="B866" s="2">
        <v>46121</v>
      </c>
      <c r="C866">
        <v>2026</v>
      </c>
      <c r="D866">
        <v>4</v>
      </c>
      <c r="E866" t="s">
        <v>73</v>
      </c>
      <c r="F866" t="s">
        <v>47</v>
      </c>
      <c r="G866" t="s">
        <v>20</v>
      </c>
      <c r="H866" t="s">
        <v>3032</v>
      </c>
      <c r="I866" t="s">
        <v>15</v>
      </c>
      <c r="J866" t="s">
        <v>44</v>
      </c>
      <c r="K866" t="s">
        <v>2969</v>
      </c>
      <c r="L866" t="s">
        <v>10</v>
      </c>
    </row>
    <row r="867" spans="1:12">
      <c r="A867" t="s">
        <v>3890</v>
      </c>
      <c r="B867" s="2">
        <v>46116</v>
      </c>
      <c r="C867">
        <v>2026</v>
      </c>
      <c r="D867">
        <v>4</v>
      </c>
      <c r="E867" t="s">
        <v>73</v>
      </c>
      <c r="F867" t="s">
        <v>26</v>
      </c>
      <c r="G867" t="s">
        <v>38</v>
      </c>
      <c r="H867" t="s">
        <v>3045</v>
      </c>
      <c r="I867" t="s">
        <v>35</v>
      </c>
      <c r="J867" t="s">
        <v>33</v>
      </c>
      <c r="K867" t="s">
        <v>2969</v>
      </c>
      <c r="L867" t="s">
        <v>10</v>
      </c>
    </row>
    <row r="868" spans="1:12">
      <c r="A868" t="s">
        <v>3891</v>
      </c>
      <c r="B868" s="2">
        <v>46113</v>
      </c>
      <c r="C868">
        <v>2026</v>
      </c>
      <c r="D868">
        <v>4</v>
      </c>
      <c r="E868" t="s">
        <v>73</v>
      </c>
      <c r="F868" t="s">
        <v>38</v>
      </c>
      <c r="G868" t="s">
        <v>38</v>
      </c>
      <c r="H868" t="s">
        <v>3019</v>
      </c>
      <c r="I868" t="s">
        <v>35</v>
      </c>
      <c r="J868" t="s">
        <v>44</v>
      </c>
      <c r="K868" t="s">
        <v>2969</v>
      </c>
      <c r="L868" t="s">
        <v>10</v>
      </c>
    </row>
    <row r="869" spans="1:12">
      <c r="A869" t="s">
        <v>3892</v>
      </c>
      <c r="B869" s="2">
        <v>46131</v>
      </c>
      <c r="C869">
        <v>2026</v>
      </c>
      <c r="D869">
        <v>4</v>
      </c>
      <c r="E869" t="s">
        <v>73</v>
      </c>
      <c r="F869" t="s">
        <v>19</v>
      </c>
      <c r="G869" t="s">
        <v>48</v>
      </c>
      <c r="H869" t="s">
        <v>3019</v>
      </c>
      <c r="I869" t="s">
        <v>35</v>
      </c>
      <c r="J869" t="s">
        <v>4</v>
      </c>
      <c r="K869" t="s">
        <v>2969</v>
      </c>
      <c r="L869" t="s">
        <v>10</v>
      </c>
    </row>
    <row r="870" spans="1:12">
      <c r="A870" t="s">
        <v>3893</v>
      </c>
      <c r="B870" s="2">
        <v>46136</v>
      </c>
      <c r="C870">
        <v>2026</v>
      </c>
      <c r="D870">
        <v>4</v>
      </c>
      <c r="E870" t="s">
        <v>73</v>
      </c>
      <c r="F870" t="s">
        <v>19</v>
      </c>
      <c r="G870" t="s">
        <v>48</v>
      </c>
      <c r="H870" t="s">
        <v>3019</v>
      </c>
      <c r="I870" t="s">
        <v>42</v>
      </c>
      <c r="J870" t="s">
        <v>4</v>
      </c>
      <c r="K870" t="s">
        <v>2969</v>
      </c>
      <c r="L870" t="s">
        <v>10</v>
      </c>
    </row>
    <row r="871" spans="1:12">
      <c r="A871" t="s">
        <v>3894</v>
      </c>
      <c r="B871" s="2">
        <v>46119</v>
      </c>
      <c r="C871">
        <v>2026</v>
      </c>
      <c r="D871">
        <v>4</v>
      </c>
      <c r="E871" t="s">
        <v>73</v>
      </c>
      <c r="F871" t="s">
        <v>67</v>
      </c>
      <c r="G871" t="s">
        <v>48</v>
      </c>
      <c r="H871" t="s">
        <v>3019</v>
      </c>
      <c r="I871" t="s">
        <v>52</v>
      </c>
      <c r="J871" t="s">
        <v>44</v>
      </c>
      <c r="K871" t="s">
        <v>2969</v>
      </c>
      <c r="L871" t="s">
        <v>10</v>
      </c>
    </row>
    <row r="872" spans="1:12">
      <c r="A872" t="s">
        <v>3895</v>
      </c>
      <c r="B872" s="2">
        <v>46140</v>
      </c>
      <c r="C872">
        <v>2026</v>
      </c>
      <c r="D872">
        <v>4</v>
      </c>
      <c r="E872" t="s">
        <v>73</v>
      </c>
      <c r="F872" t="s">
        <v>2</v>
      </c>
      <c r="G872" t="s">
        <v>3</v>
      </c>
      <c r="H872" t="s">
        <v>3034</v>
      </c>
      <c r="I872" t="s">
        <v>22</v>
      </c>
      <c r="J872" t="s">
        <v>44</v>
      </c>
      <c r="K872" t="s">
        <v>2969</v>
      </c>
      <c r="L872" t="s">
        <v>17</v>
      </c>
    </row>
    <row r="873" spans="1:12">
      <c r="A873" t="s">
        <v>3896</v>
      </c>
      <c r="B873" s="2">
        <v>46124</v>
      </c>
      <c r="C873">
        <v>2026</v>
      </c>
      <c r="D873">
        <v>4</v>
      </c>
      <c r="E873" t="s">
        <v>73</v>
      </c>
      <c r="F873" t="s">
        <v>47</v>
      </c>
      <c r="G873" t="s">
        <v>27</v>
      </c>
      <c r="H873" t="s">
        <v>51</v>
      </c>
      <c r="I873" t="s">
        <v>8</v>
      </c>
      <c r="J873" t="s">
        <v>33</v>
      </c>
      <c r="K873" t="s">
        <v>2969</v>
      </c>
      <c r="L873" t="s">
        <v>17</v>
      </c>
    </row>
    <row r="874" spans="1:12">
      <c r="A874" t="s">
        <v>3897</v>
      </c>
      <c r="B874" s="2">
        <v>46113</v>
      </c>
      <c r="C874">
        <v>2026</v>
      </c>
      <c r="D874">
        <v>4</v>
      </c>
      <c r="E874" t="s">
        <v>73</v>
      </c>
      <c r="F874" t="s">
        <v>2</v>
      </c>
      <c r="G874" t="s">
        <v>38</v>
      </c>
      <c r="H874" t="s">
        <v>3039</v>
      </c>
      <c r="I874" t="s">
        <v>15</v>
      </c>
      <c r="J874" t="s">
        <v>44</v>
      </c>
      <c r="K874" t="s">
        <v>2969</v>
      </c>
      <c r="L874" t="s">
        <v>10</v>
      </c>
    </row>
    <row r="875" spans="1:12">
      <c r="A875" t="s">
        <v>3898</v>
      </c>
      <c r="B875" s="2">
        <v>46138</v>
      </c>
      <c r="C875">
        <v>2026</v>
      </c>
      <c r="D875">
        <v>4</v>
      </c>
      <c r="E875" t="s">
        <v>73</v>
      </c>
      <c r="F875" t="s">
        <v>31</v>
      </c>
      <c r="G875" t="s">
        <v>3</v>
      </c>
      <c r="H875" t="s">
        <v>3045</v>
      </c>
      <c r="I875" t="s">
        <v>42</v>
      </c>
      <c r="J875" t="s">
        <v>4</v>
      </c>
      <c r="K875" t="s">
        <v>2969</v>
      </c>
      <c r="L875" t="s">
        <v>10</v>
      </c>
    </row>
    <row r="876" spans="1:12">
      <c r="A876" t="s">
        <v>3899</v>
      </c>
      <c r="B876" s="2">
        <v>46131</v>
      </c>
      <c r="C876">
        <v>2026</v>
      </c>
      <c r="D876">
        <v>4</v>
      </c>
      <c r="E876" t="s">
        <v>73</v>
      </c>
      <c r="F876" t="s">
        <v>38</v>
      </c>
      <c r="G876" t="s">
        <v>3</v>
      </c>
      <c r="H876" t="s">
        <v>3026</v>
      </c>
      <c r="I876" t="s">
        <v>35</v>
      </c>
      <c r="J876" t="s">
        <v>33</v>
      </c>
      <c r="K876" t="s">
        <v>2969</v>
      </c>
      <c r="L876" t="s">
        <v>10</v>
      </c>
    </row>
    <row r="877" spans="1:12">
      <c r="A877" t="s">
        <v>3900</v>
      </c>
      <c r="B877" s="2">
        <v>46115</v>
      </c>
      <c r="C877">
        <v>2026</v>
      </c>
      <c r="D877">
        <v>4</v>
      </c>
      <c r="E877" t="s">
        <v>73</v>
      </c>
      <c r="F877" t="s">
        <v>40</v>
      </c>
      <c r="G877" t="s">
        <v>48</v>
      </c>
      <c r="H877" t="s">
        <v>3032</v>
      </c>
      <c r="I877" t="s">
        <v>8</v>
      </c>
      <c r="J877" t="s">
        <v>33</v>
      </c>
      <c r="K877" t="s">
        <v>2969</v>
      </c>
      <c r="L877" t="s">
        <v>10</v>
      </c>
    </row>
    <row r="878" spans="1:12">
      <c r="A878" t="s">
        <v>3901</v>
      </c>
      <c r="B878" s="2">
        <v>46127</v>
      </c>
      <c r="C878">
        <v>2026</v>
      </c>
      <c r="D878">
        <v>4</v>
      </c>
      <c r="E878" t="s">
        <v>73</v>
      </c>
      <c r="F878" t="s">
        <v>54</v>
      </c>
      <c r="G878" t="s">
        <v>3</v>
      </c>
      <c r="H878" t="s">
        <v>3039</v>
      </c>
      <c r="I878" t="s">
        <v>42</v>
      </c>
      <c r="J878" t="s">
        <v>33</v>
      </c>
      <c r="K878" t="s">
        <v>2969</v>
      </c>
      <c r="L878" t="s">
        <v>10</v>
      </c>
    </row>
    <row r="879" spans="1:12">
      <c r="A879" t="s">
        <v>3902</v>
      </c>
      <c r="B879" s="2">
        <v>46133</v>
      </c>
      <c r="C879">
        <v>2026</v>
      </c>
      <c r="D879">
        <v>4</v>
      </c>
      <c r="E879" t="s">
        <v>73</v>
      </c>
      <c r="F879" t="s">
        <v>54</v>
      </c>
      <c r="G879" t="s">
        <v>64</v>
      </c>
      <c r="H879" t="s">
        <v>3026</v>
      </c>
      <c r="I879" t="s">
        <v>52</v>
      </c>
      <c r="J879" t="s">
        <v>44</v>
      </c>
      <c r="K879" t="s">
        <v>2969</v>
      </c>
      <c r="L879" t="s">
        <v>17</v>
      </c>
    </row>
    <row r="880" spans="1:12">
      <c r="A880" t="s">
        <v>3903</v>
      </c>
      <c r="B880" s="2">
        <v>46134</v>
      </c>
      <c r="C880">
        <v>2026</v>
      </c>
      <c r="D880">
        <v>4</v>
      </c>
      <c r="E880" t="s">
        <v>73</v>
      </c>
      <c r="F880" t="s">
        <v>26</v>
      </c>
      <c r="G880" t="s">
        <v>69</v>
      </c>
      <c r="H880" t="s">
        <v>3039</v>
      </c>
      <c r="I880" t="s">
        <v>42</v>
      </c>
      <c r="J880" t="s">
        <v>33</v>
      </c>
      <c r="K880" t="s">
        <v>2969</v>
      </c>
      <c r="L880" t="s">
        <v>10</v>
      </c>
    </row>
    <row r="881" spans="1:12">
      <c r="A881" t="s">
        <v>3904</v>
      </c>
      <c r="B881" s="2">
        <v>46140</v>
      </c>
      <c r="C881">
        <v>2026</v>
      </c>
      <c r="D881">
        <v>4</v>
      </c>
      <c r="E881" t="s">
        <v>73</v>
      </c>
      <c r="F881" t="s">
        <v>38</v>
      </c>
      <c r="G881" t="s">
        <v>48</v>
      </c>
      <c r="H881" t="s">
        <v>3039</v>
      </c>
      <c r="I881" t="s">
        <v>15</v>
      </c>
      <c r="J881" t="s">
        <v>33</v>
      </c>
      <c r="K881" t="s">
        <v>2969</v>
      </c>
      <c r="L881" t="s">
        <v>10</v>
      </c>
    </row>
    <row r="882" spans="1:12">
      <c r="A882" t="s">
        <v>3905</v>
      </c>
      <c r="B882" s="2">
        <v>46120</v>
      </c>
      <c r="C882">
        <v>2026</v>
      </c>
      <c r="D882">
        <v>4</v>
      </c>
      <c r="E882" t="s">
        <v>73</v>
      </c>
      <c r="F882" t="s">
        <v>2</v>
      </c>
      <c r="G882" t="s">
        <v>32</v>
      </c>
      <c r="H882" t="s">
        <v>3022</v>
      </c>
      <c r="I882" t="s">
        <v>35</v>
      </c>
      <c r="J882" t="s">
        <v>44</v>
      </c>
      <c r="K882" t="s">
        <v>2969</v>
      </c>
      <c r="L882" t="s">
        <v>10</v>
      </c>
    </row>
    <row r="883" spans="1:12">
      <c r="A883" t="s">
        <v>3906</v>
      </c>
      <c r="B883" s="2">
        <v>46124</v>
      </c>
      <c r="C883">
        <v>2026</v>
      </c>
      <c r="D883">
        <v>4</v>
      </c>
      <c r="E883" t="s">
        <v>73</v>
      </c>
      <c r="F883" t="s">
        <v>19</v>
      </c>
      <c r="G883" t="s">
        <v>55</v>
      </c>
      <c r="H883" t="s">
        <v>3034</v>
      </c>
      <c r="I883" t="s">
        <v>22</v>
      </c>
      <c r="J883" t="s">
        <v>33</v>
      </c>
      <c r="K883" t="s">
        <v>2969</v>
      </c>
      <c r="L883" t="s">
        <v>10</v>
      </c>
    </row>
    <row r="884" spans="1:12">
      <c r="A884" t="s">
        <v>3907</v>
      </c>
      <c r="B884" s="2">
        <v>46134</v>
      </c>
      <c r="C884">
        <v>2026</v>
      </c>
      <c r="D884">
        <v>4</v>
      </c>
      <c r="E884" t="s">
        <v>73</v>
      </c>
      <c r="F884" t="s">
        <v>31</v>
      </c>
      <c r="G884" t="s">
        <v>38</v>
      </c>
      <c r="H884" t="s">
        <v>3039</v>
      </c>
      <c r="I884" t="s">
        <v>15</v>
      </c>
      <c r="J884" t="s">
        <v>12</v>
      </c>
      <c r="K884" t="s">
        <v>2977</v>
      </c>
      <c r="L884" t="s">
        <v>10</v>
      </c>
    </row>
    <row r="885" spans="1:12">
      <c r="A885" t="s">
        <v>3908</v>
      </c>
      <c r="B885" s="2">
        <v>46120</v>
      </c>
      <c r="C885">
        <v>2026</v>
      </c>
      <c r="D885">
        <v>4</v>
      </c>
      <c r="E885" t="s">
        <v>73</v>
      </c>
      <c r="F885" t="s">
        <v>78</v>
      </c>
      <c r="G885" t="s">
        <v>55</v>
      </c>
      <c r="H885" t="s">
        <v>3045</v>
      </c>
      <c r="I885" t="s">
        <v>42</v>
      </c>
      <c r="J885" t="s">
        <v>33</v>
      </c>
      <c r="K885" t="s">
        <v>2969</v>
      </c>
      <c r="L885" t="s">
        <v>10</v>
      </c>
    </row>
    <row r="886" spans="1:12">
      <c r="A886" t="s">
        <v>3909</v>
      </c>
      <c r="B886" s="2">
        <v>46138</v>
      </c>
      <c r="C886">
        <v>2026</v>
      </c>
      <c r="D886">
        <v>4</v>
      </c>
      <c r="E886" t="s">
        <v>73</v>
      </c>
      <c r="F886" t="s">
        <v>54</v>
      </c>
      <c r="G886" t="s">
        <v>32</v>
      </c>
      <c r="H886" t="s">
        <v>51</v>
      </c>
      <c r="I886" t="s">
        <v>22</v>
      </c>
      <c r="J886" t="s">
        <v>4</v>
      </c>
      <c r="K886" t="s">
        <v>2969</v>
      </c>
      <c r="L886" t="s">
        <v>10</v>
      </c>
    </row>
    <row r="887" spans="1:12">
      <c r="A887" t="s">
        <v>3910</v>
      </c>
      <c r="B887" s="2">
        <v>46135</v>
      </c>
      <c r="C887">
        <v>2026</v>
      </c>
      <c r="D887">
        <v>4</v>
      </c>
      <c r="E887" t="s">
        <v>73</v>
      </c>
      <c r="F887" t="s">
        <v>26</v>
      </c>
      <c r="G887" t="s">
        <v>74</v>
      </c>
      <c r="H887" t="s">
        <v>3045</v>
      </c>
      <c r="I887" t="s">
        <v>22</v>
      </c>
      <c r="J887" t="s">
        <v>33</v>
      </c>
      <c r="K887" t="s">
        <v>2969</v>
      </c>
      <c r="L887" t="s">
        <v>17</v>
      </c>
    </row>
    <row r="888" spans="1:12">
      <c r="A888" t="s">
        <v>3911</v>
      </c>
      <c r="B888" s="2">
        <v>46131</v>
      </c>
      <c r="C888">
        <v>2026</v>
      </c>
      <c r="D888">
        <v>4</v>
      </c>
      <c r="E888" t="s">
        <v>73</v>
      </c>
      <c r="F888" t="s">
        <v>78</v>
      </c>
      <c r="G888" t="s">
        <v>3</v>
      </c>
      <c r="H888" t="s">
        <v>3019</v>
      </c>
      <c r="I888" t="s">
        <v>52</v>
      </c>
      <c r="J888" t="s">
        <v>12</v>
      </c>
      <c r="K888" t="s">
        <v>2969</v>
      </c>
      <c r="L888" t="s">
        <v>10</v>
      </c>
    </row>
    <row r="889" spans="1:12">
      <c r="A889" t="s">
        <v>3912</v>
      </c>
      <c r="B889" s="2">
        <v>46113</v>
      </c>
      <c r="C889">
        <v>2026</v>
      </c>
      <c r="D889">
        <v>4</v>
      </c>
      <c r="E889" t="s">
        <v>73</v>
      </c>
      <c r="F889" t="s">
        <v>54</v>
      </c>
      <c r="G889" t="s">
        <v>20</v>
      </c>
      <c r="H889" t="s">
        <v>3039</v>
      </c>
      <c r="I889" t="s">
        <v>15</v>
      </c>
      <c r="J889" t="s">
        <v>44</v>
      </c>
      <c r="K889" t="s">
        <v>2969</v>
      </c>
      <c r="L889" t="s">
        <v>10</v>
      </c>
    </row>
    <row r="890" spans="1:12">
      <c r="A890" t="s">
        <v>3913</v>
      </c>
      <c r="B890" s="2">
        <v>46132</v>
      </c>
      <c r="C890">
        <v>2026</v>
      </c>
      <c r="D890">
        <v>4</v>
      </c>
      <c r="E890" t="s">
        <v>73</v>
      </c>
      <c r="F890" t="s">
        <v>40</v>
      </c>
      <c r="G890" t="s">
        <v>64</v>
      </c>
      <c r="H890" t="s">
        <v>3045</v>
      </c>
      <c r="I890" t="s">
        <v>52</v>
      </c>
      <c r="J890" t="s">
        <v>12</v>
      </c>
      <c r="K890" t="s">
        <v>2969</v>
      </c>
      <c r="L890" t="s">
        <v>10</v>
      </c>
    </row>
    <row r="891" spans="1:12">
      <c r="A891" t="s">
        <v>3914</v>
      </c>
      <c r="B891" s="2">
        <v>46134</v>
      </c>
      <c r="C891">
        <v>2026</v>
      </c>
      <c r="D891">
        <v>4</v>
      </c>
      <c r="E891" t="s">
        <v>73</v>
      </c>
      <c r="F891" t="s">
        <v>54</v>
      </c>
      <c r="G891" t="s">
        <v>61</v>
      </c>
      <c r="H891" t="s">
        <v>3019</v>
      </c>
      <c r="I891" t="s">
        <v>22</v>
      </c>
      <c r="J891" t="s">
        <v>4</v>
      </c>
      <c r="K891" t="s">
        <v>2969</v>
      </c>
      <c r="L891" t="s">
        <v>10</v>
      </c>
    </row>
    <row r="892" spans="1:12">
      <c r="A892" t="s">
        <v>3915</v>
      </c>
      <c r="B892" s="2">
        <v>46128</v>
      </c>
      <c r="C892">
        <v>2026</v>
      </c>
      <c r="D892">
        <v>4</v>
      </c>
      <c r="E892" t="s">
        <v>73</v>
      </c>
      <c r="F892" t="s">
        <v>78</v>
      </c>
      <c r="G892" t="s">
        <v>94</v>
      </c>
      <c r="H892" t="s">
        <v>51</v>
      </c>
      <c r="I892" t="s">
        <v>52</v>
      </c>
      <c r="J892" t="s">
        <v>4</v>
      </c>
      <c r="K892" t="s">
        <v>2969</v>
      </c>
      <c r="L892" t="s">
        <v>10</v>
      </c>
    </row>
    <row r="893" spans="1:12">
      <c r="A893" t="s">
        <v>3916</v>
      </c>
      <c r="B893" s="2">
        <v>46120</v>
      </c>
      <c r="C893">
        <v>2026</v>
      </c>
      <c r="D893">
        <v>4</v>
      </c>
      <c r="E893" t="s">
        <v>73</v>
      </c>
      <c r="F893" t="s">
        <v>2</v>
      </c>
      <c r="G893" t="s">
        <v>94</v>
      </c>
      <c r="H893" t="s">
        <v>3039</v>
      </c>
      <c r="I893" t="s">
        <v>35</v>
      </c>
      <c r="J893" t="s">
        <v>33</v>
      </c>
      <c r="K893" t="s">
        <v>2969</v>
      </c>
      <c r="L893" t="s">
        <v>10</v>
      </c>
    </row>
    <row r="894" spans="1:12">
      <c r="A894" t="s">
        <v>3917</v>
      </c>
      <c r="B894" s="2">
        <v>46131</v>
      </c>
      <c r="C894">
        <v>2026</v>
      </c>
      <c r="D894">
        <v>4</v>
      </c>
      <c r="E894" t="s">
        <v>73</v>
      </c>
      <c r="F894" t="s">
        <v>2</v>
      </c>
      <c r="G894" t="s">
        <v>69</v>
      </c>
      <c r="H894" t="s">
        <v>3045</v>
      </c>
      <c r="I894" t="s">
        <v>35</v>
      </c>
      <c r="J894" t="s">
        <v>12</v>
      </c>
      <c r="K894" t="s">
        <v>2969</v>
      </c>
      <c r="L894" t="s">
        <v>10</v>
      </c>
    </row>
    <row r="895" spans="1:12">
      <c r="A895" t="s">
        <v>3918</v>
      </c>
      <c r="B895" s="2">
        <v>46126</v>
      </c>
      <c r="C895">
        <v>2026</v>
      </c>
      <c r="D895">
        <v>4</v>
      </c>
      <c r="E895" t="s">
        <v>73</v>
      </c>
      <c r="F895" t="s">
        <v>40</v>
      </c>
      <c r="G895" t="s">
        <v>32</v>
      </c>
      <c r="H895" t="s">
        <v>51</v>
      </c>
      <c r="I895" t="s">
        <v>42</v>
      </c>
      <c r="J895" t="s">
        <v>4</v>
      </c>
      <c r="K895" t="s">
        <v>2969</v>
      </c>
      <c r="L895" t="s">
        <v>10</v>
      </c>
    </row>
    <row r="896" spans="1:12">
      <c r="A896" t="s">
        <v>3919</v>
      </c>
      <c r="B896" s="2">
        <v>46130</v>
      </c>
      <c r="C896">
        <v>2026</v>
      </c>
      <c r="D896">
        <v>4</v>
      </c>
      <c r="E896" t="s">
        <v>73</v>
      </c>
      <c r="F896" t="s">
        <v>38</v>
      </c>
      <c r="G896" t="s">
        <v>55</v>
      </c>
      <c r="H896" t="s">
        <v>3045</v>
      </c>
      <c r="I896" t="s">
        <v>35</v>
      </c>
      <c r="J896" t="s">
        <v>33</v>
      </c>
      <c r="K896" t="s">
        <v>2969</v>
      </c>
      <c r="L896" t="s">
        <v>10</v>
      </c>
    </row>
    <row r="897" spans="1:12">
      <c r="A897" t="s">
        <v>3920</v>
      </c>
      <c r="B897" s="2">
        <v>46139</v>
      </c>
      <c r="C897">
        <v>2026</v>
      </c>
      <c r="D897">
        <v>4</v>
      </c>
      <c r="E897" t="s">
        <v>73</v>
      </c>
      <c r="F897" t="s">
        <v>38</v>
      </c>
      <c r="G897" t="s">
        <v>64</v>
      </c>
      <c r="H897" t="s">
        <v>51</v>
      </c>
      <c r="I897" t="s">
        <v>42</v>
      </c>
      <c r="J897" t="s">
        <v>12</v>
      </c>
      <c r="K897" t="s">
        <v>2969</v>
      </c>
      <c r="L897" t="s">
        <v>10</v>
      </c>
    </row>
    <row r="898" spans="1:12">
      <c r="A898" t="s">
        <v>3921</v>
      </c>
      <c r="B898" s="2">
        <v>46117</v>
      </c>
      <c r="C898">
        <v>2026</v>
      </c>
      <c r="D898">
        <v>4</v>
      </c>
      <c r="E898" t="s">
        <v>73</v>
      </c>
      <c r="F898" t="s">
        <v>54</v>
      </c>
      <c r="G898" t="s">
        <v>20</v>
      </c>
      <c r="H898" t="s">
        <v>3022</v>
      </c>
      <c r="I898" t="s">
        <v>22</v>
      </c>
      <c r="J898" t="s">
        <v>44</v>
      </c>
      <c r="K898" t="s">
        <v>2969</v>
      </c>
      <c r="L898" t="s">
        <v>10</v>
      </c>
    </row>
    <row r="899" spans="1:12">
      <c r="A899" t="s">
        <v>3922</v>
      </c>
      <c r="B899" s="2">
        <v>46117</v>
      </c>
      <c r="C899">
        <v>2026</v>
      </c>
      <c r="D899">
        <v>4</v>
      </c>
      <c r="E899" t="s">
        <v>73</v>
      </c>
      <c r="F899" t="s">
        <v>40</v>
      </c>
      <c r="G899" t="s">
        <v>32</v>
      </c>
      <c r="H899" t="s">
        <v>3039</v>
      </c>
      <c r="I899" t="s">
        <v>42</v>
      </c>
      <c r="J899" t="s">
        <v>12</v>
      </c>
      <c r="K899" t="s">
        <v>2969</v>
      </c>
      <c r="L899" t="s">
        <v>10</v>
      </c>
    </row>
    <row r="900" spans="1:12">
      <c r="A900" t="s">
        <v>3923</v>
      </c>
      <c r="B900" s="2">
        <v>46127</v>
      </c>
      <c r="C900">
        <v>2026</v>
      </c>
      <c r="D900">
        <v>4</v>
      </c>
      <c r="E900" t="s">
        <v>73</v>
      </c>
      <c r="F900" t="s">
        <v>31</v>
      </c>
      <c r="G900" t="s">
        <v>27</v>
      </c>
      <c r="H900" t="s">
        <v>3039</v>
      </c>
      <c r="I900" t="s">
        <v>52</v>
      </c>
      <c r="J900" t="s">
        <v>12</v>
      </c>
      <c r="K900" t="s">
        <v>2969</v>
      </c>
      <c r="L900" t="s">
        <v>10</v>
      </c>
    </row>
    <row r="901" spans="1:12">
      <c r="A901" t="s">
        <v>3924</v>
      </c>
      <c r="B901" s="2">
        <v>46131</v>
      </c>
      <c r="C901">
        <v>2026</v>
      </c>
      <c r="D901">
        <v>4</v>
      </c>
      <c r="E901" t="s">
        <v>73</v>
      </c>
      <c r="F901" t="s">
        <v>2</v>
      </c>
      <c r="G901" t="s">
        <v>38</v>
      </c>
      <c r="H901" t="s">
        <v>51</v>
      </c>
      <c r="I901" t="s">
        <v>42</v>
      </c>
      <c r="J901" t="s">
        <v>33</v>
      </c>
      <c r="K901" t="s">
        <v>2969</v>
      </c>
      <c r="L901" t="s">
        <v>10</v>
      </c>
    </row>
    <row r="902" spans="1:12">
      <c r="A902" t="s">
        <v>3925</v>
      </c>
      <c r="B902" s="2">
        <v>46134</v>
      </c>
      <c r="C902">
        <v>2026</v>
      </c>
      <c r="D902">
        <v>4</v>
      </c>
      <c r="E902" t="s">
        <v>73</v>
      </c>
      <c r="F902" t="s">
        <v>26</v>
      </c>
      <c r="G902" t="s">
        <v>20</v>
      </c>
      <c r="H902" t="s">
        <v>3026</v>
      </c>
      <c r="I902" t="s">
        <v>8</v>
      </c>
      <c r="J902" t="s">
        <v>4</v>
      </c>
      <c r="K902" t="s">
        <v>2969</v>
      </c>
      <c r="L902" t="s">
        <v>10</v>
      </c>
    </row>
    <row r="903" spans="1:12">
      <c r="A903" t="s">
        <v>3926</v>
      </c>
      <c r="B903" s="2">
        <v>46131</v>
      </c>
      <c r="C903">
        <v>2026</v>
      </c>
      <c r="D903">
        <v>4</v>
      </c>
      <c r="E903" t="s">
        <v>73</v>
      </c>
      <c r="F903" t="s">
        <v>26</v>
      </c>
      <c r="G903" t="s">
        <v>64</v>
      </c>
      <c r="H903" t="s">
        <v>3026</v>
      </c>
      <c r="I903" t="s">
        <v>8</v>
      </c>
      <c r="J903" t="s">
        <v>4</v>
      </c>
      <c r="K903" t="s">
        <v>2969</v>
      </c>
      <c r="L903" t="s">
        <v>10</v>
      </c>
    </row>
    <row r="904" spans="1:12">
      <c r="A904" t="s">
        <v>3927</v>
      </c>
      <c r="B904" s="2">
        <v>46140</v>
      </c>
      <c r="C904">
        <v>2026</v>
      </c>
      <c r="D904">
        <v>4</v>
      </c>
      <c r="E904" t="s">
        <v>73</v>
      </c>
      <c r="F904" t="s">
        <v>26</v>
      </c>
      <c r="G904" t="s">
        <v>94</v>
      </c>
      <c r="H904" t="s">
        <v>3032</v>
      </c>
      <c r="I904" t="s">
        <v>8</v>
      </c>
      <c r="J904" t="s">
        <v>44</v>
      </c>
      <c r="K904" t="s">
        <v>2969</v>
      </c>
      <c r="L904" t="s">
        <v>10</v>
      </c>
    </row>
    <row r="905" spans="1:12">
      <c r="A905" t="s">
        <v>3928</v>
      </c>
      <c r="B905" s="2">
        <v>46158</v>
      </c>
      <c r="C905">
        <v>2026</v>
      </c>
      <c r="D905">
        <v>5</v>
      </c>
      <c r="E905" t="s">
        <v>83</v>
      </c>
      <c r="F905" t="s">
        <v>40</v>
      </c>
      <c r="G905" t="s">
        <v>94</v>
      </c>
      <c r="H905" t="s">
        <v>3039</v>
      </c>
      <c r="I905" t="s">
        <v>22</v>
      </c>
      <c r="J905" t="s">
        <v>12</v>
      </c>
      <c r="K905" t="s">
        <v>2969</v>
      </c>
      <c r="L905" t="s">
        <v>10</v>
      </c>
    </row>
    <row r="906" spans="1:12">
      <c r="A906" t="s">
        <v>3929</v>
      </c>
      <c r="B906" s="2">
        <v>46167</v>
      </c>
      <c r="C906">
        <v>2026</v>
      </c>
      <c r="D906">
        <v>5</v>
      </c>
      <c r="E906" t="s">
        <v>83</v>
      </c>
      <c r="F906" t="s">
        <v>31</v>
      </c>
      <c r="G906" t="s">
        <v>94</v>
      </c>
      <c r="H906" t="s">
        <v>3022</v>
      </c>
      <c r="I906" t="s">
        <v>22</v>
      </c>
      <c r="J906" t="s">
        <v>12</v>
      </c>
      <c r="K906" t="s">
        <v>2969</v>
      </c>
      <c r="L906" t="s">
        <v>10</v>
      </c>
    </row>
    <row r="907" spans="1:12">
      <c r="A907" t="s">
        <v>3930</v>
      </c>
      <c r="B907" s="2">
        <v>46145</v>
      </c>
      <c r="C907">
        <v>2026</v>
      </c>
      <c r="D907">
        <v>5</v>
      </c>
      <c r="E907" t="s">
        <v>83</v>
      </c>
      <c r="F907" t="s">
        <v>40</v>
      </c>
      <c r="G907" t="s">
        <v>3</v>
      </c>
      <c r="H907" t="s">
        <v>3019</v>
      </c>
      <c r="I907" t="s">
        <v>42</v>
      </c>
      <c r="J907" t="s">
        <v>44</v>
      </c>
      <c r="K907" t="s">
        <v>2969</v>
      </c>
      <c r="L907" t="s">
        <v>10</v>
      </c>
    </row>
    <row r="908" spans="1:12">
      <c r="A908" t="s">
        <v>3931</v>
      </c>
      <c r="B908" s="2">
        <v>46155</v>
      </c>
      <c r="C908">
        <v>2026</v>
      </c>
      <c r="D908">
        <v>5</v>
      </c>
      <c r="E908" t="s">
        <v>83</v>
      </c>
      <c r="F908" t="s">
        <v>26</v>
      </c>
      <c r="G908" t="s">
        <v>48</v>
      </c>
      <c r="H908" t="s">
        <v>3045</v>
      </c>
      <c r="I908" t="s">
        <v>22</v>
      </c>
      <c r="J908" t="s">
        <v>44</v>
      </c>
      <c r="K908" t="s">
        <v>2977</v>
      </c>
      <c r="L908" t="s">
        <v>17</v>
      </c>
    </row>
    <row r="909" spans="1:12">
      <c r="A909" t="s">
        <v>3932</v>
      </c>
      <c r="B909" s="2">
        <v>46151</v>
      </c>
      <c r="C909">
        <v>2026</v>
      </c>
      <c r="D909">
        <v>5</v>
      </c>
      <c r="E909" t="s">
        <v>83</v>
      </c>
      <c r="F909" t="s">
        <v>78</v>
      </c>
      <c r="G909" t="s">
        <v>32</v>
      </c>
      <c r="H909" t="s">
        <v>3019</v>
      </c>
      <c r="I909" t="s">
        <v>52</v>
      </c>
      <c r="J909" t="s">
        <v>44</v>
      </c>
      <c r="K909" t="s">
        <v>2969</v>
      </c>
      <c r="L909" t="s">
        <v>17</v>
      </c>
    </row>
    <row r="910" spans="1:12">
      <c r="A910" t="s">
        <v>3933</v>
      </c>
      <c r="B910" s="2">
        <v>46159</v>
      </c>
      <c r="C910">
        <v>2026</v>
      </c>
      <c r="D910">
        <v>5</v>
      </c>
      <c r="E910" t="s">
        <v>83</v>
      </c>
      <c r="F910" t="s">
        <v>40</v>
      </c>
      <c r="G910" t="s">
        <v>94</v>
      </c>
      <c r="H910" t="s">
        <v>3034</v>
      </c>
      <c r="I910" t="s">
        <v>35</v>
      </c>
      <c r="J910" t="s">
        <v>44</v>
      </c>
      <c r="K910" t="s">
        <v>2969</v>
      </c>
      <c r="L910" t="s">
        <v>10</v>
      </c>
    </row>
    <row r="911" spans="1:12">
      <c r="A911" t="s">
        <v>3934</v>
      </c>
      <c r="B911" s="2">
        <v>46149</v>
      </c>
      <c r="C911">
        <v>2026</v>
      </c>
      <c r="D911">
        <v>5</v>
      </c>
      <c r="E911" t="s">
        <v>83</v>
      </c>
      <c r="F911" t="s">
        <v>38</v>
      </c>
      <c r="G911" t="s">
        <v>27</v>
      </c>
      <c r="H911" t="s">
        <v>3045</v>
      </c>
      <c r="I911" t="s">
        <v>8</v>
      </c>
      <c r="J911" t="s">
        <v>4</v>
      </c>
      <c r="K911" t="s">
        <v>2969</v>
      </c>
      <c r="L911" t="s">
        <v>10</v>
      </c>
    </row>
    <row r="912" spans="1:12">
      <c r="A912" t="s">
        <v>3935</v>
      </c>
      <c r="B912" s="2">
        <v>46146</v>
      </c>
      <c r="C912">
        <v>2026</v>
      </c>
      <c r="D912">
        <v>5</v>
      </c>
      <c r="E912" t="s">
        <v>83</v>
      </c>
      <c r="F912" t="s">
        <v>40</v>
      </c>
      <c r="G912" t="s">
        <v>20</v>
      </c>
      <c r="H912" t="s">
        <v>3019</v>
      </c>
      <c r="I912" t="s">
        <v>52</v>
      </c>
      <c r="J912" t="s">
        <v>12</v>
      </c>
      <c r="K912" t="s">
        <v>2969</v>
      </c>
      <c r="L912" t="s">
        <v>10</v>
      </c>
    </row>
    <row r="913" spans="1:12">
      <c r="A913" t="s">
        <v>3936</v>
      </c>
      <c r="B913" s="2">
        <v>46152</v>
      </c>
      <c r="C913">
        <v>2026</v>
      </c>
      <c r="D913">
        <v>5</v>
      </c>
      <c r="E913" t="s">
        <v>83</v>
      </c>
      <c r="F913" t="s">
        <v>31</v>
      </c>
      <c r="G913" t="s">
        <v>55</v>
      </c>
      <c r="H913" t="s">
        <v>3026</v>
      </c>
      <c r="I913" t="s">
        <v>52</v>
      </c>
      <c r="J913" t="s">
        <v>4</v>
      </c>
      <c r="K913" t="s">
        <v>2969</v>
      </c>
      <c r="L913" t="s">
        <v>10</v>
      </c>
    </row>
    <row r="914" spans="1:12">
      <c r="A914" t="s">
        <v>3937</v>
      </c>
      <c r="B914" s="2">
        <v>46151</v>
      </c>
      <c r="C914">
        <v>2026</v>
      </c>
      <c r="D914">
        <v>5</v>
      </c>
      <c r="E914" t="s">
        <v>83</v>
      </c>
      <c r="F914" t="s">
        <v>2</v>
      </c>
      <c r="G914" t="s">
        <v>64</v>
      </c>
      <c r="H914" t="s">
        <v>3032</v>
      </c>
      <c r="I914" t="s">
        <v>42</v>
      </c>
      <c r="J914" t="s">
        <v>12</v>
      </c>
      <c r="K914" t="s">
        <v>2969</v>
      </c>
      <c r="L914" t="s">
        <v>10</v>
      </c>
    </row>
    <row r="915" spans="1:12">
      <c r="A915" t="s">
        <v>3938</v>
      </c>
      <c r="B915" s="2">
        <v>46169</v>
      </c>
      <c r="C915">
        <v>2026</v>
      </c>
      <c r="D915">
        <v>5</v>
      </c>
      <c r="E915" t="s">
        <v>83</v>
      </c>
      <c r="F915" t="s">
        <v>19</v>
      </c>
      <c r="G915" t="s">
        <v>48</v>
      </c>
      <c r="H915" t="s">
        <v>3022</v>
      </c>
      <c r="I915" t="s">
        <v>15</v>
      </c>
      <c r="J915" t="s">
        <v>12</v>
      </c>
      <c r="K915" t="s">
        <v>2969</v>
      </c>
      <c r="L915" t="s">
        <v>10</v>
      </c>
    </row>
    <row r="916" spans="1:12">
      <c r="A916" t="s">
        <v>3939</v>
      </c>
      <c r="B916" s="2">
        <v>46149</v>
      </c>
      <c r="C916">
        <v>2026</v>
      </c>
      <c r="D916">
        <v>5</v>
      </c>
      <c r="E916" t="s">
        <v>83</v>
      </c>
      <c r="F916" t="s">
        <v>78</v>
      </c>
      <c r="G916" t="s">
        <v>48</v>
      </c>
      <c r="H916" t="s">
        <v>3032</v>
      </c>
      <c r="I916" t="s">
        <v>15</v>
      </c>
      <c r="J916" t="s">
        <v>44</v>
      </c>
      <c r="K916" t="s">
        <v>2969</v>
      </c>
      <c r="L916" t="s">
        <v>10</v>
      </c>
    </row>
    <row r="917" spans="1:12">
      <c r="A917" t="s">
        <v>3940</v>
      </c>
      <c r="B917" s="2">
        <v>46166</v>
      </c>
      <c r="C917">
        <v>2026</v>
      </c>
      <c r="D917">
        <v>5</v>
      </c>
      <c r="E917" t="s">
        <v>83</v>
      </c>
      <c r="F917" t="s">
        <v>19</v>
      </c>
      <c r="G917" t="s">
        <v>32</v>
      </c>
      <c r="H917" t="s">
        <v>51</v>
      </c>
      <c r="I917" t="s">
        <v>52</v>
      </c>
      <c r="J917" t="s">
        <v>33</v>
      </c>
      <c r="K917" t="s">
        <v>2969</v>
      </c>
      <c r="L917" t="s">
        <v>10</v>
      </c>
    </row>
    <row r="918" spans="1:12">
      <c r="A918" t="s">
        <v>3941</v>
      </c>
      <c r="B918" s="2">
        <v>46148</v>
      </c>
      <c r="C918">
        <v>2026</v>
      </c>
      <c r="D918">
        <v>5</v>
      </c>
      <c r="E918" t="s">
        <v>83</v>
      </c>
      <c r="F918" t="s">
        <v>54</v>
      </c>
      <c r="G918" t="s">
        <v>94</v>
      </c>
      <c r="H918" t="s">
        <v>3039</v>
      </c>
      <c r="I918" t="s">
        <v>15</v>
      </c>
      <c r="J918" t="s">
        <v>12</v>
      </c>
      <c r="K918" t="s">
        <v>2977</v>
      </c>
      <c r="L918" t="s">
        <v>10</v>
      </c>
    </row>
    <row r="919" spans="1:12">
      <c r="A919" t="s">
        <v>3942</v>
      </c>
      <c r="B919" s="2">
        <v>46155</v>
      </c>
      <c r="C919">
        <v>2026</v>
      </c>
      <c r="D919">
        <v>5</v>
      </c>
      <c r="E919" t="s">
        <v>83</v>
      </c>
      <c r="F919" t="s">
        <v>40</v>
      </c>
      <c r="G919" t="s">
        <v>69</v>
      </c>
      <c r="H919" t="s">
        <v>3034</v>
      </c>
      <c r="I919" t="s">
        <v>42</v>
      </c>
      <c r="J919" t="s">
        <v>33</v>
      </c>
      <c r="K919" t="s">
        <v>2969</v>
      </c>
      <c r="L919" t="s">
        <v>10</v>
      </c>
    </row>
    <row r="920" spans="1:12">
      <c r="A920" t="s">
        <v>3943</v>
      </c>
      <c r="B920" s="2">
        <v>46151</v>
      </c>
      <c r="C920">
        <v>2026</v>
      </c>
      <c r="D920">
        <v>5</v>
      </c>
      <c r="E920" t="s">
        <v>83</v>
      </c>
      <c r="F920" t="s">
        <v>78</v>
      </c>
      <c r="G920" t="s">
        <v>38</v>
      </c>
      <c r="H920" t="s">
        <v>51</v>
      </c>
      <c r="I920" t="s">
        <v>42</v>
      </c>
      <c r="J920" t="s">
        <v>4</v>
      </c>
      <c r="K920" t="s">
        <v>2969</v>
      </c>
      <c r="L920" t="s">
        <v>10</v>
      </c>
    </row>
    <row r="921" spans="1:12">
      <c r="A921" t="s">
        <v>3944</v>
      </c>
      <c r="B921" s="2">
        <v>46155</v>
      </c>
      <c r="C921">
        <v>2026</v>
      </c>
      <c r="D921">
        <v>5</v>
      </c>
      <c r="E921" t="s">
        <v>83</v>
      </c>
      <c r="F921" t="s">
        <v>40</v>
      </c>
      <c r="G921" t="s">
        <v>61</v>
      </c>
      <c r="H921" t="s">
        <v>3034</v>
      </c>
      <c r="I921" t="s">
        <v>8</v>
      </c>
      <c r="J921" t="s">
        <v>4</v>
      </c>
      <c r="K921" t="s">
        <v>2969</v>
      </c>
      <c r="L921" t="s">
        <v>10</v>
      </c>
    </row>
    <row r="922" spans="1:12">
      <c r="A922" t="s">
        <v>3945</v>
      </c>
      <c r="B922" s="2">
        <v>46169</v>
      </c>
      <c r="C922">
        <v>2026</v>
      </c>
      <c r="D922">
        <v>5</v>
      </c>
      <c r="E922" t="s">
        <v>83</v>
      </c>
      <c r="F922" t="s">
        <v>26</v>
      </c>
      <c r="G922" t="s">
        <v>27</v>
      </c>
      <c r="H922" t="s">
        <v>3039</v>
      </c>
      <c r="I922" t="s">
        <v>8</v>
      </c>
      <c r="J922" t="s">
        <v>44</v>
      </c>
      <c r="K922" t="s">
        <v>2969</v>
      </c>
      <c r="L922" t="s">
        <v>10</v>
      </c>
    </row>
    <row r="923" spans="1:12">
      <c r="A923" t="s">
        <v>3946</v>
      </c>
      <c r="B923" s="2">
        <v>46161</v>
      </c>
      <c r="C923">
        <v>2026</v>
      </c>
      <c r="D923">
        <v>5</v>
      </c>
      <c r="E923" t="s">
        <v>83</v>
      </c>
      <c r="F923" t="s">
        <v>54</v>
      </c>
      <c r="G923" t="s">
        <v>20</v>
      </c>
      <c r="H923" t="s">
        <v>3022</v>
      </c>
      <c r="I923" t="s">
        <v>35</v>
      </c>
      <c r="J923" t="s">
        <v>4</v>
      </c>
      <c r="K923" t="s">
        <v>2969</v>
      </c>
      <c r="L923" t="s">
        <v>10</v>
      </c>
    </row>
    <row r="924" spans="1:12">
      <c r="A924" t="s">
        <v>3947</v>
      </c>
      <c r="B924" s="2">
        <v>46156</v>
      </c>
      <c r="C924">
        <v>2026</v>
      </c>
      <c r="D924">
        <v>5</v>
      </c>
      <c r="E924" t="s">
        <v>83</v>
      </c>
      <c r="F924" t="s">
        <v>78</v>
      </c>
      <c r="G924" t="s">
        <v>69</v>
      </c>
      <c r="H924" t="s">
        <v>3022</v>
      </c>
      <c r="I924" t="s">
        <v>42</v>
      </c>
      <c r="J924" t="s">
        <v>4</v>
      </c>
      <c r="K924" t="s">
        <v>2969</v>
      </c>
      <c r="L924" t="s">
        <v>10</v>
      </c>
    </row>
    <row r="925" spans="1:12">
      <c r="A925" t="s">
        <v>3948</v>
      </c>
      <c r="B925" s="2">
        <v>46152</v>
      </c>
      <c r="C925">
        <v>2026</v>
      </c>
      <c r="D925">
        <v>5</v>
      </c>
      <c r="E925" t="s">
        <v>83</v>
      </c>
      <c r="F925" t="s">
        <v>31</v>
      </c>
      <c r="G925" t="s">
        <v>48</v>
      </c>
      <c r="H925" t="s">
        <v>3022</v>
      </c>
      <c r="I925" t="s">
        <v>8</v>
      </c>
      <c r="J925" t="s">
        <v>44</v>
      </c>
      <c r="K925" t="s">
        <v>2969</v>
      </c>
      <c r="L925" t="s">
        <v>17</v>
      </c>
    </row>
    <row r="926" spans="1:12">
      <c r="A926" t="s">
        <v>3949</v>
      </c>
      <c r="B926" s="2">
        <v>46165</v>
      </c>
      <c r="C926">
        <v>2026</v>
      </c>
      <c r="D926">
        <v>5</v>
      </c>
      <c r="E926" t="s">
        <v>83</v>
      </c>
      <c r="F926" t="s">
        <v>26</v>
      </c>
      <c r="G926" t="s">
        <v>94</v>
      </c>
      <c r="H926" t="s">
        <v>51</v>
      </c>
      <c r="I926" t="s">
        <v>42</v>
      </c>
      <c r="J926" t="s">
        <v>44</v>
      </c>
      <c r="K926" t="s">
        <v>2969</v>
      </c>
      <c r="L926" t="s">
        <v>10</v>
      </c>
    </row>
    <row r="927" spans="1:12">
      <c r="A927" t="s">
        <v>3950</v>
      </c>
      <c r="B927" s="2">
        <v>46165</v>
      </c>
      <c r="C927">
        <v>2026</v>
      </c>
      <c r="D927">
        <v>5</v>
      </c>
      <c r="E927" t="s">
        <v>83</v>
      </c>
      <c r="F927" t="s">
        <v>67</v>
      </c>
      <c r="G927" t="s">
        <v>32</v>
      </c>
      <c r="H927" t="s">
        <v>3019</v>
      </c>
      <c r="I927" t="s">
        <v>52</v>
      </c>
      <c r="J927" t="s">
        <v>12</v>
      </c>
      <c r="K927" t="s">
        <v>2969</v>
      </c>
      <c r="L927" t="s">
        <v>10</v>
      </c>
    </row>
    <row r="928" spans="1:12">
      <c r="A928" t="s">
        <v>3951</v>
      </c>
      <c r="B928" s="2">
        <v>46157</v>
      </c>
      <c r="C928">
        <v>2026</v>
      </c>
      <c r="D928">
        <v>5</v>
      </c>
      <c r="E928" t="s">
        <v>83</v>
      </c>
      <c r="F928" t="s">
        <v>38</v>
      </c>
      <c r="G928" t="s">
        <v>32</v>
      </c>
      <c r="H928" t="s">
        <v>3045</v>
      </c>
      <c r="I928" t="s">
        <v>15</v>
      </c>
      <c r="J928" t="s">
        <v>33</v>
      </c>
      <c r="K928" t="s">
        <v>2969</v>
      </c>
      <c r="L928" t="s">
        <v>10</v>
      </c>
    </row>
    <row r="929" spans="1:12">
      <c r="A929" t="s">
        <v>3952</v>
      </c>
      <c r="B929" s="2">
        <v>46169</v>
      </c>
      <c r="C929">
        <v>2026</v>
      </c>
      <c r="D929">
        <v>5</v>
      </c>
      <c r="E929" t="s">
        <v>83</v>
      </c>
      <c r="F929" t="s">
        <v>31</v>
      </c>
      <c r="G929" t="s">
        <v>20</v>
      </c>
      <c r="H929" t="s">
        <v>3026</v>
      </c>
      <c r="I929" t="s">
        <v>52</v>
      </c>
      <c r="J929" t="s">
        <v>12</v>
      </c>
      <c r="K929" t="s">
        <v>2969</v>
      </c>
      <c r="L929" t="s">
        <v>17</v>
      </c>
    </row>
    <row r="930" spans="1:12">
      <c r="A930" t="s">
        <v>3953</v>
      </c>
      <c r="B930" s="2">
        <v>46155</v>
      </c>
      <c r="C930">
        <v>2026</v>
      </c>
      <c r="D930">
        <v>5</v>
      </c>
      <c r="E930" t="s">
        <v>83</v>
      </c>
      <c r="F930" t="s">
        <v>2</v>
      </c>
      <c r="G930" t="s">
        <v>38</v>
      </c>
      <c r="H930" t="s">
        <v>3034</v>
      </c>
      <c r="I930" t="s">
        <v>22</v>
      </c>
      <c r="J930" t="s">
        <v>4</v>
      </c>
      <c r="K930" t="s">
        <v>2977</v>
      </c>
      <c r="L930" t="s">
        <v>17</v>
      </c>
    </row>
    <row r="931" spans="1:12">
      <c r="A931" t="s">
        <v>3954</v>
      </c>
      <c r="B931" s="2">
        <v>46160</v>
      </c>
      <c r="C931">
        <v>2026</v>
      </c>
      <c r="D931">
        <v>5</v>
      </c>
      <c r="E931" t="s">
        <v>83</v>
      </c>
      <c r="F931" t="s">
        <v>31</v>
      </c>
      <c r="G931" t="s">
        <v>32</v>
      </c>
      <c r="H931" t="s">
        <v>3034</v>
      </c>
      <c r="I931" t="s">
        <v>8</v>
      </c>
      <c r="J931" t="s">
        <v>4</v>
      </c>
      <c r="K931" t="s">
        <v>2969</v>
      </c>
      <c r="L931" t="s">
        <v>10</v>
      </c>
    </row>
    <row r="932" spans="1:12">
      <c r="A932" t="s">
        <v>3955</v>
      </c>
      <c r="B932" s="2">
        <v>46165</v>
      </c>
      <c r="C932">
        <v>2026</v>
      </c>
      <c r="D932">
        <v>5</v>
      </c>
      <c r="E932" t="s">
        <v>83</v>
      </c>
      <c r="F932" t="s">
        <v>40</v>
      </c>
      <c r="G932" t="s">
        <v>27</v>
      </c>
      <c r="H932" t="s">
        <v>3032</v>
      </c>
      <c r="I932" t="s">
        <v>15</v>
      </c>
      <c r="J932" t="s">
        <v>4</v>
      </c>
      <c r="K932" t="s">
        <v>2969</v>
      </c>
      <c r="L932" t="s">
        <v>10</v>
      </c>
    </row>
    <row r="933" spans="1:12">
      <c r="A933" t="s">
        <v>3956</v>
      </c>
      <c r="B933" s="2">
        <v>46169</v>
      </c>
      <c r="C933">
        <v>2026</v>
      </c>
      <c r="D933">
        <v>5</v>
      </c>
      <c r="E933" t="s">
        <v>83</v>
      </c>
      <c r="F933" t="s">
        <v>19</v>
      </c>
      <c r="G933" t="s">
        <v>55</v>
      </c>
      <c r="H933" t="s">
        <v>3034</v>
      </c>
      <c r="I933" t="s">
        <v>15</v>
      </c>
      <c r="J933" t="s">
        <v>33</v>
      </c>
      <c r="K933" t="s">
        <v>2969</v>
      </c>
      <c r="L933" t="s">
        <v>10</v>
      </c>
    </row>
    <row r="934" spans="1:12">
      <c r="A934" t="s">
        <v>3957</v>
      </c>
      <c r="B934" s="2">
        <v>46163</v>
      </c>
      <c r="C934">
        <v>2026</v>
      </c>
      <c r="D934">
        <v>5</v>
      </c>
      <c r="E934" t="s">
        <v>83</v>
      </c>
      <c r="F934" t="s">
        <v>38</v>
      </c>
      <c r="G934" t="s">
        <v>32</v>
      </c>
      <c r="H934" t="s">
        <v>51</v>
      </c>
      <c r="I934" t="s">
        <v>35</v>
      </c>
      <c r="J934" t="s">
        <v>4</v>
      </c>
      <c r="K934" t="s">
        <v>2969</v>
      </c>
      <c r="L934" t="s">
        <v>10</v>
      </c>
    </row>
    <row r="935" spans="1:12">
      <c r="A935" t="s">
        <v>3958</v>
      </c>
      <c r="B935" s="2">
        <v>46164</v>
      </c>
      <c r="C935">
        <v>2026</v>
      </c>
      <c r="D935">
        <v>5</v>
      </c>
      <c r="E935" t="s">
        <v>83</v>
      </c>
      <c r="F935" t="s">
        <v>19</v>
      </c>
      <c r="G935" t="s">
        <v>27</v>
      </c>
      <c r="H935" t="s">
        <v>3019</v>
      </c>
      <c r="I935" t="s">
        <v>42</v>
      </c>
      <c r="J935" t="s">
        <v>33</v>
      </c>
      <c r="K935" t="s">
        <v>2969</v>
      </c>
      <c r="L935" t="s">
        <v>10</v>
      </c>
    </row>
    <row r="936" spans="1:12">
      <c r="A936" t="s">
        <v>3959</v>
      </c>
      <c r="B936" s="2">
        <v>46169</v>
      </c>
      <c r="C936">
        <v>2026</v>
      </c>
      <c r="D936">
        <v>5</v>
      </c>
      <c r="E936" t="s">
        <v>83</v>
      </c>
      <c r="F936" t="s">
        <v>78</v>
      </c>
      <c r="G936" t="s">
        <v>38</v>
      </c>
      <c r="H936" t="s">
        <v>3045</v>
      </c>
      <c r="I936" t="s">
        <v>42</v>
      </c>
      <c r="J936" t="s">
        <v>12</v>
      </c>
      <c r="K936" t="s">
        <v>2969</v>
      </c>
      <c r="L936" t="s">
        <v>10</v>
      </c>
    </row>
    <row r="937" spans="1:12">
      <c r="A937" t="s">
        <v>3960</v>
      </c>
      <c r="B937" s="2">
        <v>46167</v>
      </c>
      <c r="C937">
        <v>2026</v>
      </c>
      <c r="D937">
        <v>5</v>
      </c>
      <c r="E937" t="s">
        <v>83</v>
      </c>
      <c r="F937" t="s">
        <v>26</v>
      </c>
      <c r="G937" t="s">
        <v>32</v>
      </c>
      <c r="H937" t="s">
        <v>3034</v>
      </c>
      <c r="I937" t="s">
        <v>52</v>
      </c>
      <c r="J937" t="s">
        <v>44</v>
      </c>
      <c r="K937" t="s">
        <v>2969</v>
      </c>
      <c r="L937" t="s">
        <v>10</v>
      </c>
    </row>
    <row r="938" spans="1:12">
      <c r="A938" t="s">
        <v>3961</v>
      </c>
      <c r="B938" s="2">
        <v>46152</v>
      </c>
      <c r="C938">
        <v>2026</v>
      </c>
      <c r="D938">
        <v>5</v>
      </c>
      <c r="E938" t="s">
        <v>83</v>
      </c>
      <c r="F938" t="s">
        <v>40</v>
      </c>
      <c r="G938" t="s">
        <v>64</v>
      </c>
      <c r="H938" t="s">
        <v>3022</v>
      </c>
      <c r="I938" t="s">
        <v>52</v>
      </c>
      <c r="J938" t="s">
        <v>33</v>
      </c>
      <c r="K938" t="s">
        <v>2969</v>
      </c>
      <c r="L938" t="s">
        <v>10</v>
      </c>
    </row>
    <row r="939" spans="1:12">
      <c r="A939" t="s">
        <v>3962</v>
      </c>
      <c r="B939" s="2">
        <v>46166</v>
      </c>
      <c r="C939">
        <v>2026</v>
      </c>
      <c r="D939">
        <v>5</v>
      </c>
      <c r="E939" t="s">
        <v>83</v>
      </c>
      <c r="F939" t="s">
        <v>78</v>
      </c>
      <c r="G939" t="s">
        <v>32</v>
      </c>
      <c r="H939" t="s">
        <v>51</v>
      </c>
      <c r="I939" t="s">
        <v>35</v>
      </c>
      <c r="J939" t="s">
        <v>33</v>
      </c>
      <c r="K939" t="s">
        <v>2969</v>
      </c>
      <c r="L939" t="s">
        <v>10</v>
      </c>
    </row>
    <row r="940" spans="1:12">
      <c r="A940" t="s">
        <v>3963</v>
      </c>
      <c r="B940" s="2">
        <v>46164</v>
      </c>
      <c r="C940">
        <v>2026</v>
      </c>
      <c r="D940">
        <v>5</v>
      </c>
      <c r="E940" t="s">
        <v>83</v>
      </c>
      <c r="F940" t="s">
        <v>19</v>
      </c>
      <c r="G940" t="s">
        <v>20</v>
      </c>
      <c r="H940" t="s">
        <v>3019</v>
      </c>
      <c r="I940" t="s">
        <v>35</v>
      </c>
      <c r="J940" t="s">
        <v>44</v>
      </c>
      <c r="K940" t="s">
        <v>2969</v>
      </c>
      <c r="L940" t="s">
        <v>10</v>
      </c>
    </row>
    <row r="941" spans="1:12">
      <c r="A941" t="s">
        <v>3964</v>
      </c>
      <c r="B941" s="2">
        <v>46157</v>
      </c>
      <c r="C941">
        <v>2026</v>
      </c>
      <c r="D941">
        <v>5</v>
      </c>
      <c r="E941" t="s">
        <v>83</v>
      </c>
      <c r="F941" t="s">
        <v>67</v>
      </c>
      <c r="G941" t="s">
        <v>32</v>
      </c>
      <c r="H941" t="s">
        <v>51</v>
      </c>
      <c r="I941" t="s">
        <v>22</v>
      </c>
      <c r="J941" t="s">
        <v>12</v>
      </c>
      <c r="K941" t="s">
        <v>2969</v>
      </c>
      <c r="L941" t="s">
        <v>10</v>
      </c>
    </row>
    <row r="942" spans="1:12">
      <c r="A942" t="s">
        <v>3965</v>
      </c>
      <c r="B942" s="2">
        <v>46168</v>
      </c>
      <c r="C942">
        <v>2026</v>
      </c>
      <c r="D942">
        <v>5</v>
      </c>
      <c r="E942" t="s">
        <v>83</v>
      </c>
      <c r="F942" t="s">
        <v>47</v>
      </c>
      <c r="G942" t="s">
        <v>64</v>
      </c>
      <c r="H942" t="s">
        <v>3026</v>
      </c>
      <c r="I942" t="s">
        <v>15</v>
      </c>
      <c r="J942" t="s">
        <v>44</v>
      </c>
      <c r="K942" t="s">
        <v>2969</v>
      </c>
      <c r="L942" t="s">
        <v>10</v>
      </c>
    </row>
    <row r="943" spans="1:12">
      <c r="A943" t="s">
        <v>3966</v>
      </c>
      <c r="B943" s="2">
        <v>46153</v>
      </c>
      <c r="C943">
        <v>2026</v>
      </c>
      <c r="D943">
        <v>5</v>
      </c>
      <c r="E943" t="s">
        <v>83</v>
      </c>
      <c r="F943" t="s">
        <v>38</v>
      </c>
      <c r="G943" t="s">
        <v>32</v>
      </c>
      <c r="H943" t="s">
        <v>3026</v>
      </c>
      <c r="I943" t="s">
        <v>22</v>
      </c>
      <c r="J943" t="s">
        <v>12</v>
      </c>
      <c r="K943" t="s">
        <v>2977</v>
      </c>
      <c r="L943" t="s">
        <v>17</v>
      </c>
    </row>
    <row r="944" spans="1:12">
      <c r="A944" t="s">
        <v>3967</v>
      </c>
      <c r="B944" s="2">
        <v>46146</v>
      </c>
      <c r="C944">
        <v>2026</v>
      </c>
      <c r="D944">
        <v>5</v>
      </c>
      <c r="E944" t="s">
        <v>83</v>
      </c>
      <c r="F944" t="s">
        <v>19</v>
      </c>
      <c r="G944" t="s">
        <v>32</v>
      </c>
      <c r="H944" t="s">
        <v>3034</v>
      </c>
      <c r="I944" t="s">
        <v>35</v>
      </c>
      <c r="J944" t="s">
        <v>12</v>
      </c>
      <c r="K944" t="s">
        <v>2969</v>
      </c>
      <c r="L944" t="s">
        <v>10</v>
      </c>
    </row>
    <row r="945" spans="1:12">
      <c r="A945" t="s">
        <v>3968</v>
      </c>
      <c r="B945" s="2">
        <v>46168</v>
      </c>
      <c r="C945">
        <v>2026</v>
      </c>
      <c r="D945">
        <v>5</v>
      </c>
      <c r="E945" t="s">
        <v>83</v>
      </c>
      <c r="F945" t="s">
        <v>38</v>
      </c>
      <c r="G945" t="s">
        <v>38</v>
      </c>
      <c r="H945" t="s">
        <v>3026</v>
      </c>
      <c r="I945" t="s">
        <v>52</v>
      </c>
      <c r="J945" t="s">
        <v>12</v>
      </c>
      <c r="K945" t="s">
        <v>2969</v>
      </c>
      <c r="L945" t="s">
        <v>10</v>
      </c>
    </row>
    <row r="946" spans="1:12">
      <c r="A946" t="s">
        <v>3969</v>
      </c>
      <c r="B946" s="2">
        <v>46155</v>
      </c>
      <c r="C946">
        <v>2026</v>
      </c>
      <c r="D946">
        <v>5</v>
      </c>
      <c r="E946" t="s">
        <v>83</v>
      </c>
      <c r="F946" t="s">
        <v>26</v>
      </c>
      <c r="G946" t="s">
        <v>64</v>
      </c>
      <c r="H946" t="s">
        <v>3019</v>
      </c>
      <c r="I946" t="s">
        <v>15</v>
      </c>
      <c r="J946" t="s">
        <v>12</v>
      </c>
      <c r="K946" t="s">
        <v>2969</v>
      </c>
      <c r="L946" t="s">
        <v>17</v>
      </c>
    </row>
    <row r="947" spans="1:12">
      <c r="A947" t="s">
        <v>3970</v>
      </c>
      <c r="B947" s="2">
        <v>46148</v>
      </c>
      <c r="C947">
        <v>2026</v>
      </c>
      <c r="D947">
        <v>5</v>
      </c>
      <c r="E947" t="s">
        <v>83</v>
      </c>
      <c r="F947" t="s">
        <v>38</v>
      </c>
      <c r="G947" t="s">
        <v>32</v>
      </c>
      <c r="H947" t="s">
        <v>3045</v>
      </c>
      <c r="I947" t="s">
        <v>52</v>
      </c>
      <c r="J947" t="s">
        <v>33</v>
      </c>
      <c r="K947" t="s">
        <v>2969</v>
      </c>
      <c r="L947" t="s">
        <v>10</v>
      </c>
    </row>
    <row r="948" spans="1:12">
      <c r="A948" t="s">
        <v>3971</v>
      </c>
      <c r="B948" s="2">
        <v>46155</v>
      </c>
      <c r="C948">
        <v>2026</v>
      </c>
      <c r="D948">
        <v>5</v>
      </c>
      <c r="E948" t="s">
        <v>83</v>
      </c>
      <c r="F948" t="s">
        <v>67</v>
      </c>
      <c r="G948" t="s">
        <v>55</v>
      </c>
      <c r="H948" t="s">
        <v>3022</v>
      </c>
      <c r="I948" t="s">
        <v>8</v>
      </c>
      <c r="J948" t="s">
        <v>4</v>
      </c>
      <c r="K948" t="s">
        <v>2969</v>
      </c>
      <c r="L948" t="s">
        <v>10</v>
      </c>
    </row>
    <row r="949" spans="1:12">
      <c r="A949" t="s">
        <v>3972</v>
      </c>
      <c r="B949" s="2">
        <v>46143</v>
      </c>
      <c r="C949">
        <v>2026</v>
      </c>
      <c r="D949">
        <v>5</v>
      </c>
      <c r="E949" t="s">
        <v>83</v>
      </c>
      <c r="F949" t="s">
        <v>19</v>
      </c>
      <c r="G949" t="s">
        <v>55</v>
      </c>
      <c r="H949" t="s">
        <v>3022</v>
      </c>
      <c r="I949" t="s">
        <v>22</v>
      </c>
      <c r="J949" t="s">
        <v>12</v>
      </c>
      <c r="K949" t="s">
        <v>2969</v>
      </c>
      <c r="L949" t="s">
        <v>10</v>
      </c>
    </row>
    <row r="950" spans="1:12">
      <c r="A950" t="s">
        <v>3973</v>
      </c>
      <c r="B950" s="2">
        <v>46201</v>
      </c>
      <c r="C950">
        <v>2026</v>
      </c>
      <c r="D950">
        <v>6</v>
      </c>
      <c r="E950" t="s">
        <v>87</v>
      </c>
      <c r="F950" t="s">
        <v>38</v>
      </c>
      <c r="G950" t="s">
        <v>38</v>
      </c>
      <c r="H950" t="s">
        <v>3045</v>
      </c>
      <c r="I950" t="s">
        <v>52</v>
      </c>
      <c r="J950" t="s">
        <v>44</v>
      </c>
      <c r="K950" t="s">
        <v>2969</v>
      </c>
      <c r="L950" t="s">
        <v>10</v>
      </c>
    </row>
    <row r="951" spans="1:12">
      <c r="A951" t="s">
        <v>3974</v>
      </c>
      <c r="B951" s="2">
        <v>46201</v>
      </c>
      <c r="C951">
        <v>2026</v>
      </c>
      <c r="D951">
        <v>6</v>
      </c>
      <c r="E951" t="s">
        <v>87</v>
      </c>
      <c r="F951" t="s">
        <v>19</v>
      </c>
      <c r="G951" t="s">
        <v>48</v>
      </c>
      <c r="H951" t="s">
        <v>3022</v>
      </c>
      <c r="I951" t="s">
        <v>22</v>
      </c>
      <c r="J951" t="s">
        <v>33</v>
      </c>
      <c r="K951" t="s">
        <v>2969</v>
      </c>
      <c r="L951" t="s">
        <v>10</v>
      </c>
    </row>
    <row r="952" spans="1:12">
      <c r="A952" t="s">
        <v>3975</v>
      </c>
      <c r="B952" s="2">
        <v>46178</v>
      </c>
      <c r="C952">
        <v>2026</v>
      </c>
      <c r="D952">
        <v>6</v>
      </c>
      <c r="E952" t="s">
        <v>87</v>
      </c>
      <c r="F952" t="s">
        <v>2</v>
      </c>
      <c r="G952" t="s">
        <v>74</v>
      </c>
      <c r="H952" t="s">
        <v>3045</v>
      </c>
      <c r="I952" t="s">
        <v>52</v>
      </c>
      <c r="J952" t="s">
        <v>12</v>
      </c>
      <c r="K952" t="s">
        <v>2969</v>
      </c>
      <c r="L952" t="s">
        <v>10</v>
      </c>
    </row>
    <row r="953" spans="1:12">
      <c r="A953" t="s">
        <v>3976</v>
      </c>
      <c r="B953" s="2">
        <v>46191</v>
      </c>
      <c r="C953">
        <v>2026</v>
      </c>
      <c r="D953">
        <v>6</v>
      </c>
      <c r="E953" t="s">
        <v>87</v>
      </c>
      <c r="F953" t="s">
        <v>78</v>
      </c>
      <c r="G953" t="s">
        <v>74</v>
      </c>
      <c r="H953" t="s">
        <v>3026</v>
      </c>
      <c r="I953" t="s">
        <v>15</v>
      </c>
      <c r="J953" t="s">
        <v>4</v>
      </c>
      <c r="K953" t="s">
        <v>2969</v>
      </c>
      <c r="L953" t="s">
        <v>10</v>
      </c>
    </row>
    <row r="954" spans="1:12">
      <c r="A954" t="s">
        <v>3977</v>
      </c>
      <c r="B954" s="2">
        <v>46194</v>
      </c>
      <c r="C954">
        <v>2026</v>
      </c>
      <c r="D954">
        <v>6</v>
      </c>
      <c r="E954" t="s">
        <v>87</v>
      </c>
      <c r="F954" t="s">
        <v>26</v>
      </c>
      <c r="G954" t="s">
        <v>20</v>
      </c>
      <c r="H954" t="s">
        <v>3039</v>
      </c>
      <c r="I954" t="s">
        <v>15</v>
      </c>
      <c r="J954" t="s">
        <v>4</v>
      </c>
      <c r="K954" t="s">
        <v>2969</v>
      </c>
      <c r="L954" t="s">
        <v>10</v>
      </c>
    </row>
    <row r="955" spans="1:12">
      <c r="A955" t="s">
        <v>3978</v>
      </c>
      <c r="B955" s="2">
        <v>46201</v>
      </c>
      <c r="C955">
        <v>2026</v>
      </c>
      <c r="D955">
        <v>6</v>
      </c>
      <c r="E955" t="s">
        <v>87</v>
      </c>
      <c r="F955" t="s">
        <v>31</v>
      </c>
      <c r="G955" t="s">
        <v>3</v>
      </c>
      <c r="H955" t="s">
        <v>3032</v>
      </c>
      <c r="I955" t="s">
        <v>15</v>
      </c>
      <c r="J955" t="s">
        <v>33</v>
      </c>
      <c r="K955" t="s">
        <v>2969</v>
      </c>
      <c r="L955" t="s">
        <v>10</v>
      </c>
    </row>
    <row r="956" spans="1:12">
      <c r="A956" t="s">
        <v>3979</v>
      </c>
      <c r="B956" s="2">
        <v>46192</v>
      </c>
      <c r="C956">
        <v>2026</v>
      </c>
      <c r="D956">
        <v>6</v>
      </c>
      <c r="E956" t="s">
        <v>87</v>
      </c>
      <c r="F956" t="s">
        <v>78</v>
      </c>
      <c r="G956" t="s">
        <v>69</v>
      </c>
      <c r="H956" t="s">
        <v>3039</v>
      </c>
      <c r="I956" t="s">
        <v>22</v>
      </c>
      <c r="J956" t="s">
        <v>44</v>
      </c>
      <c r="K956" t="s">
        <v>2969</v>
      </c>
      <c r="L956" t="s">
        <v>10</v>
      </c>
    </row>
    <row r="957" spans="1:12">
      <c r="A957" t="s">
        <v>3980</v>
      </c>
      <c r="B957" s="2">
        <v>46181</v>
      </c>
      <c r="C957">
        <v>2026</v>
      </c>
      <c r="D957">
        <v>6</v>
      </c>
      <c r="E957" t="s">
        <v>87</v>
      </c>
      <c r="F957" t="s">
        <v>40</v>
      </c>
      <c r="G957" t="s">
        <v>48</v>
      </c>
      <c r="H957" t="s">
        <v>3032</v>
      </c>
      <c r="I957" t="s">
        <v>8</v>
      </c>
      <c r="J957" t="s">
        <v>44</v>
      </c>
      <c r="K957" t="s">
        <v>2969</v>
      </c>
      <c r="L957" t="s">
        <v>10</v>
      </c>
    </row>
    <row r="958" spans="1:12">
      <c r="A958" t="s">
        <v>3981</v>
      </c>
      <c r="B958" s="2">
        <v>46175</v>
      </c>
      <c r="C958">
        <v>2026</v>
      </c>
      <c r="D958">
        <v>6</v>
      </c>
      <c r="E958" t="s">
        <v>87</v>
      </c>
      <c r="F958" t="s">
        <v>26</v>
      </c>
      <c r="G958" t="s">
        <v>69</v>
      </c>
      <c r="H958" t="s">
        <v>3039</v>
      </c>
      <c r="I958" t="s">
        <v>8</v>
      </c>
      <c r="J958" t="s">
        <v>4</v>
      </c>
      <c r="K958" t="s">
        <v>2969</v>
      </c>
      <c r="L958" t="s">
        <v>10</v>
      </c>
    </row>
    <row r="959" spans="1:12">
      <c r="A959" t="s">
        <v>3982</v>
      </c>
      <c r="B959" s="2">
        <v>46194</v>
      </c>
      <c r="C959">
        <v>2026</v>
      </c>
      <c r="D959">
        <v>6</v>
      </c>
      <c r="E959" t="s">
        <v>87</v>
      </c>
      <c r="F959" t="s">
        <v>31</v>
      </c>
      <c r="G959" t="s">
        <v>20</v>
      </c>
      <c r="H959" t="s">
        <v>3019</v>
      </c>
      <c r="I959" t="s">
        <v>42</v>
      </c>
      <c r="J959" t="s">
        <v>4</v>
      </c>
      <c r="K959" t="s">
        <v>2969</v>
      </c>
      <c r="L959" t="s">
        <v>10</v>
      </c>
    </row>
    <row r="960" spans="1:12">
      <c r="A960" t="s">
        <v>3983</v>
      </c>
      <c r="B960" s="2">
        <v>46196</v>
      </c>
      <c r="C960">
        <v>2026</v>
      </c>
      <c r="D960">
        <v>6</v>
      </c>
      <c r="E960" t="s">
        <v>87</v>
      </c>
      <c r="F960" t="s">
        <v>38</v>
      </c>
      <c r="G960" t="s">
        <v>38</v>
      </c>
      <c r="H960" t="s">
        <v>3045</v>
      </c>
      <c r="I960" t="s">
        <v>15</v>
      </c>
      <c r="J960" t="s">
        <v>44</v>
      </c>
      <c r="K960" t="s">
        <v>2969</v>
      </c>
      <c r="L960" t="s">
        <v>17</v>
      </c>
    </row>
    <row r="961" spans="1:12">
      <c r="A961" t="s">
        <v>3984</v>
      </c>
      <c r="B961" s="2">
        <v>46200</v>
      </c>
      <c r="C961">
        <v>2026</v>
      </c>
      <c r="D961">
        <v>6</v>
      </c>
      <c r="E961" t="s">
        <v>87</v>
      </c>
      <c r="F961" t="s">
        <v>19</v>
      </c>
      <c r="G961" t="s">
        <v>27</v>
      </c>
      <c r="H961" t="s">
        <v>3019</v>
      </c>
      <c r="I961" t="s">
        <v>22</v>
      </c>
      <c r="J961" t="s">
        <v>4</v>
      </c>
      <c r="K961" t="s">
        <v>2977</v>
      </c>
      <c r="L961" t="s">
        <v>10</v>
      </c>
    </row>
    <row r="962" spans="1:12">
      <c r="A962" t="s">
        <v>3985</v>
      </c>
      <c r="B962" s="2">
        <v>46174</v>
      </c>
      <c r="C962">
        <v>2026</v>
      </c>
      <c r="D962">
        <v>6</v>
      </c>
      <c r="E962" t="s">
        <v>87</v>
      </c>
      <c r="F962" t="s">
        <v>67</v>
      </c>
      <c r="G962" t="s">
        <v>27</v>
      </c>
      <c r="H962" t="s">
        <v>3045</v>
      </c>
      <c r="I962" t="s">
        <v>52</v>
      </c>
      <c r="J962" t="s">
        <v>44</v>
      </c>
      <c r="K962" t="s">
        <v>2969</v>
      </c>
      <c r="L962" t="s">
        <v>10</v>
      </c>
    </row>
    <row r="963" spans="1:12">
      <c r="A963" t="s">
        <v>3986</v>
      </c>
      <c r="B963" s="2">
        <v>46199</v>
      </c>
      <c r="C963">
        <v>2026</v>
      </c>
      <c r="D963">
        <v>6</v>
      </c>
      <c r="E963" t="s">
        <v>87</v>
      </c>
      <c r="F963" t="s">
        <v>38</v>
      </c>
      <c r="G963" t="s">
        <v>69</v>
      </c>
      <c r="H963" t="s">
        <v>3045</v>
      </c>
      <c r="I963" t="s">
        <v>8</v>
      </c>
      <c r="J963" t="s">
        <v>44</v>
      </c>
      <c r="K963" t="s">
        <v>2969</v>
      </c>
      <c r="L963" t="s">
        <v>10</v>
      </c>
    </row>
    <row r="964" spans="1:12">
      <c r="A964" t="s">
        <v>3987</v>
      </c>
      <c r="B964" s="2">
        <v>46185</v>
      </c>
      <c r="C964">
        <v>2026</v>
      </c>
      <c r="D964">
        <v>6</v>
      </c>
      <c r="E964" t="s">
        <v>87</v>
      </c>
      <c r="F964" t="s">
        <v>67</v>
      </c>
      <c r="G964" t="s">
        <v>74</v>
      </c>
      <c r="H964" t="s">
        <v>3045</v>
      </c>
      <c r="I964" t="s">
        <v>15</v>
      </c>
      <c r="J964" t="s">
        <v>12</v>
      </c>
      <c r="K964" t="s">
        <v>2969</v>
      </c>
      <c r="L964" t="s">
        <v>10</v>
      </c>
    </row>
    <row r="965" spans="1:12">
      <c r="A965" t="s">
        <v>3988</v>
      </c>
      <c r="B965" s="2">
        <v>46196</v>
      </c>
      <c r="C965">
        <v>2026</v>
      </c>
      <c r="D965">
        <v>6</v>
      </c>
      <c r="E965" t="s">
        <v>87</v>
      </c>
      <c r="F965" t="s">
        <v>47</v>
      </c>
      <c r="G965" t="s">
        <v>48</v>
      </c>
      <c r="H965" t="s">
        <v>3032</v>
      </c>
      <c r="I965" t="s">
        <v>35</v>
      </c>
      <c r="J965" t="s">
        <v>12</v>
      </c>
      <c r="K965" t="s">
        <v>2969</v>
      </c>
      <c r="L965" t="s">
        <v>10</v>
      </c>
    </row>
    <row r="966" spans="1:12">
      <c r="A966" t="s">
        <v>3989</v>
      </c>
      <c r="B966" s="2">
        <v>46183</v>
      </c>
      <c r="C966">
        <v>2026</v>
      </c>
      <c r="D966">
        <v>6</v>
      </c>
      <c r="E966" t="s">
        <v>87</v>
      </c>
      <c r="F966" t="s">
        <v>26</v>
      </c>
      <c r="G966" t="s">
        <v>3</v>
      </c>
      <c r="H966" t="s">
        <v>3026</v>
      </c>
      <c r="I966" t="s">
        <v>15</v>
      </c>
      <c r="J966" t="s">
        <v>33</v>
      </c>
      <c r="K966" t="s">
        <v>2969</v>
      </c>
      <c r="L966" t="s">
        <v>10</v>
      </c>
    </row>
    <row r="967" spans="1:12">
      <c r="A967" t="s">
        <v>3990</v>
      </c>
      <c r="B967" s="2">
        <v>46177</v>
      </c>
      <c r="C967">
        <v>2026</v>
      </c>
      <c r="D967">
        <v>6</v>
      </c>
      <c r="E967" t="s">
        <v>87</v>
      </c>
      <c r="F967" t="s">
        <v>67</v>
      </c>
      <c r="G967" t="s">
        <v>61</v>
      </c>
      <c r="H967" t="s">
        <v>3032</v>
      </c>
      <c r="I967" t="s">
        <v>35</v>
      </c>
      <c r="J967" t="s">
        <v>12</v>
      </c>
      <c r="K967" t="s">
        <v>2969</v>
      </c>
      <c r="L967" t="s">
        <v>17</v>
      </c>
    </row>
    <row r="968" spans="1:12">
      <c r="A968" t="s">
        <v>3991</v>
      </c>
      <c r="B968" s="2">
        <v>46193</v>
      </c>
      <c r="C968">
        <v>2026</v>
      </c>
      <c r="D968">
        <v>6</v>
      </c>
      <c r="E968" t="s">
        <v>87</v>
      </c>
      <c r="F968" t="s">
        <v>19</v>
      </c>
      <c r="G968" t="s">
        <v>61</v>
      </c>
      <c r="H968" t="s">
        <v>3039</v>
      </c>
      <c r="I968" t="s">
        <v>35</v>
      </c>
      <c r="J968" t="s">
        <v>4</v>
      </c>
      <c r="K968" t="s">
        <v>2969</v>
      </c>
      <c r="L968" t="s">
        <v>17</v>
      </c>
    </row>
    <row r="969" spans="1:12">
      <c r="A969" t="s">
        <v>3992</v>
      </c>
      <c r="B969" s="2">
        <v>46183</v>
      </c>
      <c r="C969">
        <v>2026</v>
      </c>
      <c r="D969">
        <v>6</v>
      </c>
      <c r="E969" t="s">
        <v>87</v>
      </c>
      <c r="F969" t="s">
        <v>19</v>
      </c>
      <c r="G969" t="s">
        <v>55</v>
      </c>
      <c r="H969" t="s">
        <v>3019</v>
      </c>
      <c r="I969" t="s">
        <v>8</v>
      </c>
      <c r="J969" t="s">
        <v>44</v>
      </c>
      <c r="K969" t="s">
        <v>2969</v>
      </c>
      <c r="L969" t="s">
        <v>10</v>
      </c>
    </row>
    <row r="970" spans="1:12">
      <c r="A970" t="s">
        <v>3993</v>
      </c>
      <c r="B970" s="2">
        <v>46185</v>
      </c>
      <c r="C970">
        <v>2026</v>
      </c>
      <c r="D970">
        <v>6</v>
      </c>
      <c r="E970" t="s">
        <v>87</v>
      </c>
      <c r="F970" t="s">
        <v>67</v>
      </c>
      <c r="G970" t="s">
        <v>38</v>
      </c>
      <c r="H970" t="s">
        <v>3045</v>
      </c>
      <c r="I970" t="s">
        <v>42</v>
      </c>
      <c r="J970" t="s">
        <v>33</v>
      </c>
      <c r="K970" t="s">
        <v>2969</v>
      </c>
      <c r="L970" t="s">
        <v>10</v>
      </c>
    </row>
    <row r="971" spans="1:12">
      <c r="A971" t="s">
        <v>3994</v>
      </c>
      <c r="B971" s="2">
        <v>46196</v>
      </c>
      <c r="C971">
        <v>2026</v>
      </c>
      <c r="D971">
        <v>6</v>
      </c>
      <c r="E971" t="s">
        <v>87</v>
      </c>
      <c r="F971" t="s">
        <v>31</v>
      </c>
      <c r="G971" t="s">
        <v>20</v>
      </c>
      <c r="H971" t="s">
        <v>3022</v>
      </c>
      <c r="I971" t="s">
        <v>22</v>
      </c>
      <c r="J971" t="s">
        <v>12</v>
      </c>
      <c r="K971" t="s">
        <v>2969</v>
      </c>
      <c r="L971" t="s">
        <v>17</v>
      </c>
    </row>
    <row r="972" spans="1:12">
      <c r="A972" t="s">
        <v>3995</v>
      </c>
      <c r="B972" s="2">
        <v>46194</v>
      </c>
      <c r="C972">
        <v>2026</v>
      </c>
      <c r="D972">
        <v>6</v>
      </c>
      <c r="E972" t="s">
        <v>87</v>
      </c>
      <c r="F972" t="s">
        <v>38</v>
      </c>
      <c r="G972" t="s">
        <v>74</v>
      </c>
      <c r="H972" t="s">
        <v>3032</v>
      </c>
      <c r="I972" t="s">
        <v>42</v>
      </c>
      <c r="J972" t="s">
        <v>33</v>
      </c>
      <c r="K972" t="s">
        <v>2969</v>
      </c>
      <c r="L972" t="s">
        <v>10</v>
      </c>
    </row>
    <row r="973" spans="1:12">
      <c r="A973" t="s">
        <v>3996</v>
      </c>
      <c r="B973" s="2">
        <v>46180</v>
      </c>
      <c r="C973">
        <v>2026</v>
      </c>
      <c r="D973">
        <v>6</v>
      </c>
      <c r="E973" t="s">
        <v>87</v>
      </c>
      <c r="F973" t="s">
        <v>38</v>
      </c>
      <c r="G973" t="s">
        <v>32</v>
      </c>
      <c r="H973" t="s">
        <v>3045</v>
      </c>
      <c r="I973" t="s">
        <v>52</v>
      </c>
      <c r="J973" t="s">
        <v>12</v>
      </c>
      <c r="K973" t="s">
        <v>2969</v>
      </c>
      <c r="L973" t="s">
        <v>10</v>
      </c>
    </row>
    <row r="974" spans="1:12">
      <c r="A974" t="s">
        <v>3997</v>
      </c>
      <c r="B974" s="2">
        <v>46179</v>
      </c>
      <c r="C974">
        <v>2026</v>
      </c>
      <c r="D974">
        <v>6</v>
      </c>
      <c r="E974" t="s">
        <v>87</v>
      </c>
      <c r="F974" t="s">
        <v>2</v>
      </c>
      <c r="G974" t="s">
        <v>61</v>
      </c>
      <c r="H974" t="s">
        <v>3034</v>
      </c>
      <c r="I974" t="s">
        <v>15</v>
      </c>
      <c r="J974" t="s">
        <v>4</v>
      </c>
      <c r="K974" t="s">
        <v>2969</v>
      </c>
      <c r="L974" t="s">
        <v>10</v>
      </c>
    </row>
    <row r="975" spans="1:12">
      <c r="A975" t="s">
        <v>3998</v>
      </c>
      <c r="B975" s="2">
        <v>46192</v>
      </c>
      <c r="C975">
        <v>2026</v>
      </c>
      <c r="D975">
        <v>6</v>
      </c>
      <c r="E975" t="s">
        <v>87</v>
      </c>
      <c r="F975" t="s">
        <v>67</v>
      </c>
      <c r="G975" t="s">
        <v>55</v>
      </c>
      <c r="H975" t="s">
        <v>3034</v>
      </c>
      <c r="I975" t="s">
        <v>52</v>
      </c>
      <c r="J975" t="s">
        <v>12</v>
      </c>
      <c r="K975" t="s">
        <v>2969</v>
      </c>
      <c r="L975" t="s">
        <v>10</v>
      </c>
    </row>
    <row r="976" spans="1:12">
      <c r="A976" t="s">
        <v>3999</v>
      </c>
      <c r="B976" s="2">
        <v>46196</v>
      </c>
      <c r="C976">
        <v>2026</v>
      </c>
      <c r="D976">
        <v>6</v>
      </c>
      <c r="E976" t="s">
        <v>87</v>
      </c>
      <c r="F976" t="s">
        <v>38</v>
      </c>
      <c r="G976" t="s">
        <v>48</v>
      </c>
      <c r="H976" t="s">
        <v>3034</v>
      </c>
      <c r="I976" t="s">
        <v>15</v>
      </c>
      <c r="J976" t="s">
        <v>33</v>
      </c>
      <c r="K976" t="s">
        <v>2969</v>
      </c>
      <c r="L976" t="s">
        <v>10</v>
      </c>
    </row>
    <row r="977" spans="1:12">
      <c r="A977" t="s">
        <v>4000</v>
      </c>
      <c r="B977" s="2">
        <v>46201</v>
      </c>
      <c r="C977">
        <v>2026</v>
      </c>
      <c r="D977">
        <v>6</v>
      </c>
      <c r="E977" t="s">
        <v>87</v>
      </c>
      <c r="F977" t="s">
        <v>47</v>
      </c>
      <c r="G977" t="s">
        <v>38</v>
      </c>
      <c r="H977" t="s">
        <v>3022</v>
      </c>
      <c r="I977" t="s">
        <v>52</v>
      </c>
      <c r="J977" t="s">
        <v>33</v>
      </c>
      <c r="K977" t="s">
        <v>2977</v>
      </c>
      <c r="L977" t="s">
        <v>10</v>
      </c>
    </row>
    <row r="978" spans="1:12">
      <c r="A978" t="s">
        <v>4001</v>
      </c>
      <c r="B978" s="2">
        <v>46184</v>
      </c>
      <c r="C978">
        <v>2026</v>
      </c>
      <c r="D978">
        <v>6</v>
      </c>
      <c r="E978" t="s">
        <v>87</v>
      </c>
      <c r="F978" t="s">
        <v>19</v>
      </c>
      <c r="G978" t="s">
        <v>55</v>
      </c>
      <c r="H978" t="s">
        <v>3034</v>
      </c>
      <c r="I978" t="s">
        <v>22</v>
      </c>
      <c r="J978" t="s">
        <v>44</v>
      </c>
      <c r="K978" t="s">
        <v>2969</v>
      </c>
      <c r="L978" t="s">
        <v>10</v>
      </c>
    </row>
    <row r="979" spans="1:12">
      <c r="A979" t="s">
        <v>4002</v>
      </c>
      <c r="B979" s="2">
        <v>46193</v>
      </c>
      <c r="C979">
        <v>2026</v>
      </c>
      <c r="D979">
        <v>6</v>
      </c>
      <c r="E979" t="s">
        <v>87</v>
      </c>
      <c r="F979" t="s">
        <v>47</v>
      </c>
      <c r="G979" t="s">
        <v>69</v>
      </c>
      <c r="H979" t="s">
        <v>3045</v>
      </c>
      <c r="I979" t="s">
        <v>35</v>
      </c>
      <c r="J979" t="s">
        <v>12</v>
      </c>
      <c r="K979" t="s">
        <v>2977</v>
      </c>
      <c r="L979" t="s">
        <v>10</v>
      </c>
    </row>
    <row r="980" spans="1:12">
      <c r="A980" t="s">
        <v>4003</v>
      </c>
      <c r="B980" s="2">
        <v>46177</v>
      </c>
      <c r="C980">
        <v>2026</v>
      </c>
      <c r="D980">
        <v>6</v>
      </c>
      <c r="E980" t="s">
        <v>87</v>
      </c>
      <c r="F980" t="s">
        <v>38</v>
      </c>
      <c r="G980" t="s">
        <v>48</v>
      </c>
      <c r="H980" t="s">
        <v>3019</v>
      </c>
      <c r="I980" t="s">
        <v>15</v>
      </c>
      <c r="J980" t="s">
        <v>33</v>
      </c>
      <c r="K980" t="s">
        <v>2969</v>
      </c>
      <c r="L980" t="s">
        <v>10</v>
      </c>
    </row>
    <row r="981" spans="1:12">
      <c r="A981" t="s">
        <v>4004</v>
      </c>
      <c r="B981" s="2">
        <v>46195</v>
      </c>
      <c r="C981">
        <v>2026</v>
      </c>
      <c r="D981">
        <v>6</v>
      </c>
      <c r="E981" t="s">
        <v>87</v>
      </c>
      <c r="F981" t="s">
        <v>47</v>
      </c>
      <c r="G981" t="s">
        <v>27</v>
      </c>
      <c r="H981" t="s">
        <v>3032</v>
      </c>
      <c r="I981" t="s">
        <v>15</v>
      </c>
      <c r="J981" t="s">
        <v>12</v>
      </c>
      <c r="K981" t="s">
        <v>2969</v>
      </c>
      <c r="L981" t="s">
        <v>10</v>
      </c>
    </row>
    <row r="982" spans="1:12">
      <c r="A982" t="s">
        <v>4005</v>
      </c>
      <c r="B982" s="2">
        <v>46186</v>
      </c>
      <c r="C982">
        <v>2026</v>
      </c>
      <c r="D982">
        <v>6</v>
      </c>
      <c r="E982" t="s">
        <v>87</v>
      </c>
      <c r="F982" t="s">
        <v>67</v>
      </c>
      <c r="G982" t="s">
        <v>20</v>
      </c>
      <c r="H982" t="s">
        <v>3039</v>
      </c>
      <c r="I982" t="s">
        <v>42</v>
      </c>
      <c r="J982" t="s">
        <v>12</v>
      </c>
      <c r="K982" t="s">
        <v>2969</v>
      </c>
      <c r="L982" t="s">
        <v>10</v>
      </c>
    </row>
    <row r="983" spans="1:12">
      <c r="A983" t="s">
        <v>4006</v>
      </c>
      <c r="B983" s="2">
        <v>46191</v>
      </c>
      <c r="C983">
        <v>2026</v>
      </c>
      <c r="D983">
        <v>6</v>
      </c>
      <c r="E983" t="s">
        <v>87</v>
      </c>
      <c r="F983" t="s">
        <v>47</v>
      </c>
      <c r="G983" t="s">
        <v>61</v>
      </c>
      <c r="H983" t="s">
        <v>3019</v>
      </c>
      <c r="I983" t="s">
        <v>42</v>
      </c>
      <c r="J983" t="s">
        <v>12</v>
      </c>
      <c r="K983" t="s">
        <v>2969</v>
      </c>
      <c r="L983" t="s">
        <v>10</v>
      </c>
    </row>
    <row r="984" spans="1:12">
      <c r="A984" t="s">
        <v>4007</v>
      </c>
      <c r="B984" s="2">
        <v>46186</v>
      </c>
      <c r="C984">
        <v>2026</v>
      </c>
      <c r="D984">
        <v>6</v>
      </c>
      <c r="E984" t="s">
        <v>87</v>
      </c>
      <c r="F984" t="s">
        <v>78</v>
      </c>
      <c r="G984" t="s">
        <v>55</v>
      </c>
      <c r="H984" t="s">
        <v>3026</v>
      </c>
      <c r="I984" t="s">
        <v>15</v>
      </c>
      <c r="J984" t="s">
        <v>44</v>
      </c>
      <c r="K984" t="s">
        <v>2969</v>
      </c>
      <c r="L984" t="s">
        <v>10</v>
      </c>
    </row>
    <row r="985" spans="1:12">
      <c r="A985" t="s">
        <v>4008</v>
      </c>
      <c r="B985" s="2">
        <v>46183</v>
      </c>
      <c r="C985">
        <v>2026</v>
      </c>
      <c r="D985">
        <v>6</v>
      </c>
      <c r="E985" t="s">
        <v>87</v>
      </c>
      <c r="F985" t="s">
        <v>54</v>
      </c>
      <c r="G985" t="s">
        <v>3</v>
      </c>
      <c r="H985" t="s">
        <v>3034</v>
      </c>
      <c r="I985" t="s">
        <v>8</v>
      </c>
      <c r="J985" t="s">
        <v>12</v>
      </c>
      <c r="K985" t="s">
        <v>2969</v>
      </c>
      <c r="L985" t="s">
        <v>10</v>
      </c>
    </row>
    <row r="986" spans="1:12">
      <c r="A986" t="s">
        <v>4009</v>
      </c>
      <c r="B986" s="2">
        <v>46177</v>
      </c>
      <c r="C986">
        <v>2026</v>
      </c>
      <c r="D986">
        <v>6</v>
      </c>
      <c r="E986" t="s">
        <v>87</v>
      </c>
      <c r="F986" t="s">
        <v>2</v>
      </c>
      <c r="G986" t="s">
        <v>32</v>
      </c>
      <c r="H986" t="s">
        <v>3032</v>
      </c>
      <c r="I986" t="s">
        <v>15</v>
      </c>
      <c r="J986" t="s">
        <v>44</v>
      </c>
      <c r="K986" t="s">
        <v>2969</v>
      </c>
      <c r="L986" t="s">
        <v>10</v>
      </c>
    </row>
    <row r="987" spans="1:12">
      <c r="A987" t="s">
        <v>4010</v>
      </c>
      <c r="B987" s="2">
        <v>46186</v>
      </c>
      <c r="C987">
        <v>2026</v>
      </c>
      <c r="D987">
        <v>6</v>
      </c>
      <c r="E987" t="s">
        <v>87</v>
      </c>
      <c r="F987" t="s">
        <v>38</v>
      </c>
      <c r="G987" t="s">
        <v>20</v>
      </c>
      <c r="H987" t="s">
        <v>3032</v>
      </c>
      <c r="I987" t="s">
        <v>8</v>
      </c>
      <c r="J987" t="s">
        <v>44</v>
      </c>
      <c r="K987" t="s">
        <v>2969</v>
      </c>
      <c r="L987" t="s">
        <v>10</v>
      </c>
    </row>
    <row r="988" spans="1:12">
      <c r="A988" t="s">
        <v>4011</v>
      </c>
      <c r="B988" s="2">
        <v>46192</v>
      </c>
      <c r="C988">
        <v>2026</v>
      </c>
      <c r="D988">
        <v>6</v>
      </c>
      <c r="E988" t="s">
        <v>87</v>
      </c>
      <c r="F988" t="s">
        <v>54</v>
      </c>
      <c r="G988" t="s">
        <v>3</v>
      </c>
      <c r="H988" t="s">
        <v>3022</v>
      </c>
      <c r="I988" t="s">
        <v>52</v>
      </c>
      <c r="J988" t="s">
        <v>12</v>
      </c>
      <c r="K988" t="s">
        <v>2969</v>
      </c>
      <c r="L988" t="s">
        <v>10</v>
      </c>
    </row>
    <row r="989" spans="1:12">
      <c r="A989" t="s">
        <v>4012</v>
      </c>
      <c r="B989" s="2">
        <v>46181</v>
      </c>
      <c r="C989">
        <v>2026</v>
      </c>
      <c r="D989">
        <v>6</v>
      </c>
      <c r="E989" t="s">
        <v>87</v>
      </c>
      <c r="F989" t="s">
        <v>19</v>
      </c>
      <c r="G989" t="s">
        <v>61</v>
      </c>
      <c r="H989" t="s">
        <v>3022</v>
      </c>
      <c r="I989" t="s">
        <v>22</v>
      </c>
      <c r="J989" t="s">
        <v>4</v>
      </c>
      <c r="K989" t="s">
        <v>2969</v>
      </c>
      <c r="L989" t="s">
        <v>10</v>
      </c>
    </row>
    <row r="990" spans="1:12">
      <c r="A990" t="s">
        <v>4013</v>
      </c>
      <c r="B990" s="2">
        <v>46180</v>
      </c>
      <c r="C990">
        <v>2026</v>
      </c>
      <c r="D990">
        <v>6</v>
      </c>
      <c r="E990" t="s">
        <v>87</v>
      </c>
      <c r="F990" t="s">
        <v>78</v>
      </c>
      <c r="G990" t="s">
        <v>27</v>
      </c>
      <c r="H990" t="s">
        <v>3019</v>
      </c>
      <c r="I990" t="s">
        <v>8</v>
      </c>
      <c r="J990" t="s">
        <v>12</v>
      </c>
      <c r="K990" t="s">
        <v>2969</v>
      </c>
      <c r="L990" t="s">
        <v>10</v>
      </c>
    </row>
    <row r="991" spans="1:12">
      <c r="A991" t="s">
        <v>4014</v>
      </c>
      <c r="B991" s="2">
        <v>46194</v>
      </c>
      <c r="C991">
        <v>2026</v>
      </c>
      <c r="D991">
        <v>6</v>
      </c>
      <c r="E991" t="s">
        <v>87</v>
      </c>
      <c r="F991" t="s">
        <v>78</v>
      </c>
      <c r="G991" t="s">
        <v>94</v>
      </c>
      <c r="H991" t="s">
        <v>3022</v>
      </c>
      <c r="I991" t="s">
        <v>8</v>
      </c>
      <c r="J991" t="s">
        <v>4</v>
      </c>
      <c r="K991" t="s">
        <v>2969</v>
      </c>
      <c r="L991" t="s">
        <v>10</v>
      </c>
    </row>
    <row r="992" spans="1:12">
      <c r="A992" t="s">
        <v>4015</v>
      </c>
      <c r="B992" s="2">
        <v>46192</v>
      </c>
      <c r="C992">
        <v>2026</v>
      </c>
      <c r="D992">
        <v>6</v>
      </c>
      <c r="E992" t="s">
        <v>87</v>
      </c>
      <c r="F992" t="s">
        <v>26</v>
      </c>
      <c r="G992" t="s">
        <v>74</v>
      </c>
      <c r="H992" t="s">
        <v>3034</v>
      </c>
      <c r="I992" t="s">
        <v>15</v>
      </c>
      <c r="J992" t="s">
        <v>12</v>
      </c>
      <c r="K992" t="s">
        <v>2969</v>
      </c>
      <c r="L992" t="s">
        <v>10</v>
      </c>
    </row>
    <row r="993" spans="1:12">
      <c r="A993" t="s">
        <v>4016</v>
      </c>
      <c r="B993" s="2">
        <v>46200</v>
      </c>
      <c r="C993">
        <v>2026</v>
      </c>
      <c r="D993">
        <v>6</v>
      </c>
      <c r="E993" t="s">
        <v>87</v>
      </c>
      <c r="F993" t="s">
        <v>31</v>
      </c>
      <c r="G993" t="s">
        <v>20</v>
      </c>
      <c r="H993" t="s">
        <v>3019</v>
      </c>
      <c r="I993" t="s">
        <v>35</v>
      </c>
      <c r="J993" t="s">
        <v>44</v>
      </c>
      <c r="K993" t="s">
        <v>2969</v>
      </c>
      <c r="L993" t="s">
        <v>10</v>
      </c>
    </row>
    <row r="994" spans="1:12">
      <c r="A994" t="s">
        <v>4017</v>
      </c>
      <c r="B994" s="2">
        <v>46197</v>
      </c>
      <c r="C994">
        <v>2026</v>
      </c>
      <c r="D994">
        <v>6</v>
      </c>
      <c r="E994" t="s">
        <v>87</v>
      </c>
      <c r="F994" t="s">
        <v>26</v>
      </c>
      <c r="G994" t="s">
        <v>69</v>
      </c>
      <c r="H994" t="s">
        <v>3022</v>
      </c>
      <c r="I994" t="s">
        <v>42</v>
      </c>
      <c r="J994" t="s">
        <v>44</v>
      </c>
      <c r="K994" t="s">
        <v>2969</v>
      </c>
      <c r="L994" t="s">
        <v>10</v>
      </c>
    </row>
  </sheetData>
  <hyperlinks>
    <hyperlink ref="N1" location="'Home'!A1" display="Hom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</sheetPr>
  <dimension ref="A1:L30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8" width="11.7109375" customWidth="1"/>
    <col min="9" max="9" width="12.7109375" customWidth="1"/>
    <col min="10" max="10" width="15.7109375" customWidth="1"/>
  </cols>
  <sheetData>
    <row r="1" spans="1:12">
      <c r="A1" t="s">
        <v>4328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4329</v>
      </c>
      <c r="H1" t="s">
        <v>2890</v>
      </c>
      <c r="I1" t="s">
        <v>2891</v>
      </c>
      <c r="J1" t="s">
        <v>4330</v>
      </c>
      <c r="L1" s="1" t="s">
        <v>203</v>
      </c>
    </row>
    <row r="2" spans="1:12">
      <c r="A2" t="s">
        <v>4020</v>
      </c>
      <c r="B2" s="2">
        <v>45298</v>
      </c>
      <c r="C2">
        <v>2024</v>
      </c>
      <c r="D2">
        <v>1</v>
      </c>
      <c r="E2" t="s">
        <v>1</v>
      </c>
      <c r="F2" t="s">
        <v>26</v>
      </c>
      <c r="G2" t="s">
        <v>4021</v>
      </c>
      <c r="H2">
        <v>27</v>
      </c>
      <c r="I2">
        <v>21</v>
      </c>
      <c r="J2">
        <v>77.8</v>
      </c>
    </row>
    <row r="3" spans="1:12">
      <c r="A3" t="s">
        <v>4022</v>
      </c>
      <c r="B3" s="2">
        <v>45311</v>
      </c>
      <c r="C3">
        <v>2024</v>
      </c>
      <c r="D3">
        <v>1</v>
      </c>
      <c r="E3" t="s">
        <v>1</v>
      </c>
      <c r="F3" t="s">
        <v>31</v>
      </c>
      <c r="G3" t="s">
        <v>3039</v>
      </c>
      <c r="H3">
        <v>29</v>
      </c>
      <c r="I3">
        <v>22</v>
      </c>
      <c r="J3">
        <v>75.90000000000001</v>
      </c>
    </row>
    <row r="4" spans="1:12">
      <c r="A4" t="s">
        <v>4023</v>
      </c>
      <c r="B4" s="2">
        <v>45314</v>
      </c>
      <c r="C4">
        <v>2024</v>
      </c>
      <c r="D4">
        <v>1</v>
      </c>
      <c r="E4" t="s">
        <v>1</v>
      </c>
      <c r="F4" t="s">
        <v>47</v>
      </c>
      <c r="G4" t="s">
        <v>4024</v>
      </c>
      <c r="H4">
        <v>30</v>
      </c>
      <c r="I4">
        <v>22</v>
      </c>
      <c r="J4">
        <v>73.3</v>
      </c>
    </row>
    <row r="5" spans="1:12">
      <c r="A5" t="s">
        <v>4025</v>
      </c>
      <c r="B5" s="2">
        <v>45318</v>
      </c>
      <c r="C5">
        <v>2024</v>
      </c>
      <c r="D5">
        <v>1</v>
      </c>
      <c r="E5" t="s">
        <v>1</v>
      </c>
      <c r="F5" t="s">
        <v>40</v>
      </c>
      <c r="G5" t="s">
        <v>4026</v>
      </c>
      <c r="H5">
        <v>37</v>
      </c>
      <c r="I5">
        <v>26</v>
      </c>
      <c r="J5">
        <v>70.3</v>
      </c>
    </row>
    <row r="6" spans="1:12">
      <c r="A6" t="s">
        <v>4027</v>
      </c>
      <c r="B6" s="2">
        <v>45310</v>
      </c>
      <c r="C6">
        <v>2024</v>
      </c>
      <c r="D6">
        <v>1</v>
      </c>
      <c r="E6" t="s">
        <v>1</v>
      </c>
      <c r="F6" t="s">
        <v>54</v>
      </c>
      <c r="G6" t="s">
        <v>4026</v>
      </c>
      <c r="H6">
        <v>17</v>
      </c>
      <c r="I6">
        <v>15</v>
      </c>
      <c r="J6">
        <v>88.2</v>
      </c>
    </row>
    <row r="7" spans="1:12">
      <c r="A7" t="s">
        <v>4028</v>
      </c>
      <c r="B7" s="2">
        <v>45295</v>
      </c>
      <c r="C7">
        <v>2024</v>
      </c>
      <c r="D7">
        <v>1</v>
      </c>
      <c r="E7" t="s">
        <v>1</v>
      </c>
      <c r="F7" t="s">
        <v>67</v>
      </c>
      <c r="G7" t="s">
        <v>3026</v>
      </c>
      <c r="H7">
        <v>32</v>
      </c>
      <c r="I7">
        <v>31</v>
      </c>
      <c r="J7">
        <v>96.90000000000001</v>
      </c>
    </row>
    <row r="8" spans="1:12">
      <c r="A8" t="s">
        <v>4029</v>
      </c>
      <c r="B8" s="2">
        <v>45319</v>
      </c>
      <c r="C8">
        <v>2024</v>
      </c>
      <c r="D8">
        <v>1</v>
      </c>
      <c r="E8" t="s">
        <v>1</v>
      </c>
      <c r="F8" t="s">
        <v>19</v>
      </c>
      <c r="G8" t="s">
        <v>3026</v>
      </c>
      <c r="H8">
        <v>39</v>
      </c>
      <c r="I8">
        <v>32</v>
      </c>
      <c r="J8">
        <v>82.09999999999999</v>
      </c>
    </row>
    <row r="9" spans="1:12">
      <c r="A9" t="s">
        <v>4030</v>
      </c>
      <c r="B9" s="2">
        <v>45292</v>
      </c>
      <c r="C9">
        <v>2024</v>
      </c>
      <c r="D9">
        <v>1</v>
      </c>
      <c r="E9" t="s">
        <v>1</v>
      </c>
      <c r="F9" t="s">
        <v>38</v>
      </c>
      <c r="G9" t="s">
        <v>4024</v>
      </c>
      <c r="H9">
        <v>22</v>
      </c>
      <c r="I9">
        <v>21</v>
      </c>
      <c r="J9">
        <v>95.5</v>
      </c>
    </row>
    <row r="10" spans="1:12">
      <c r="A10" t="s">
        <v>4031</v>
      </c>
      <c r="B10" s="2">
        <v>45307</v>
      </c>
      <c r="C10">
        <v>2024</v>
      </c>
      <c r="D10">
        <v>1</v>
      </c>
      <c r="E10" t="s">
        <v>1</v>
      </c>
      <c r="F10" t="s">
        <v>2</v>
      </c>
      <c r="G10" t="s">
        <v>4032</v>
      </c>
      <c r="H10">
        <v>23</v>
      </c>
      <c r="I10">
        <v>22</v>
      </c>
      <c r="J10">
        <v>95.7</v>
      </c>
    </row>
    <row r="11" spans="1:12">
      <c r="A11" t="s">
        <v>4033</v>
      </c>
      <c r="B11" s="2">
        <v>45307</v>
      </c>
      <c r="C11">
        <v>2024</v>
      </c>
      <c r="D11">
        <v>1</v>
      </c>
      <c r="E11" t="s">
        <v>1</v>
      </c>
      <c r="F11" t="s">
        <v>78</v>
      </c>
      <c r="G11" t="s">
        <v>4034</v>
      </c>
      <c r="H11">
        <v>29</v>
      </c>
      <c r="I11">
        <v>24</v>
      </c>
      <c r="J11">
        <v>82.8</v>
      </c>
    </row>
    <row r="12" spans="1:12">
      <c r="A12" t="s">
        <v>4035</v>
      </c>
      <c r="B12" s="2">
        <v>45328</v>
      </c>
      <c r="C12">
        <v>2024</v>
      </c>
      <c r="D12">
        <v>2</v>
      </c>
      <c r="E12" t="s">
        <v>25</v>
      </c>
      <c r="F12" t="s">
        <v>26</v>
      </c>
      <c r="G12" t="s">
        <v>4032</v>
      </c>
      <c r="H12">
        <v>18</v>
      </c>
      <c r="I12">
        <v>14</v>
      </c>
      <c r="J12">
        <v>77.8</v>
      </c>
    </row>
    <row r="13" spans="1:12">
      <c r="A13" t="s">
        <v>4036</v>
      </c>
      <c r="B13" s="2">
        <v>45328</v>
      </c>
      <c r="C13">
        <v>2024</v>
      </c>
      <c r="D13">
        <v>2</v>
      </c>
      <c r="E13" t="s">
        <v>25</v>
      </c>
      <c r="F13" t="s">
        <v>31</v>
      </c>
      <c r="G13" t="s">
        <v>4032</v>
      </c>
      <c r="H13">
        <v>33</v>
      </c>
      <c r="I13">
        <v>23</v>
      </c>
      <c r="J13">
        <v>69.7</v>
      </c>
    </row>
    <row r="14" spans="1:12">
      <c r="A14" t="s">
        <v>4037</v>
      </c>
      <c r="B14" s="2">
        <v>45343</v>
      </c>
      <c r="C14">
        <v>2024</v>
      </c>
      <c r="D14">
        <v>2</v>
      </c>
      <c r="E14" t="s">
        <v>25</v>
      </c>
      <c r="F14" t="s">
        <v>47</v>
      </c>
      <c r="G14" t="s">
        <v>3026</v>
      </c>
      <c r="H14">
        <v>13</v>
      </c>
      <c r="I14">
        <v>12</v>
      </c>
      <c r="J14">
        <v>92.3</v>
      </c>
    </row>
    <row r="15" spans="1:12">
      <c r="A15" t="s">
        <v>4038</v>
      </c>
      <c r="B15" s="2">
        <v>45325</v>
      </c>
      <c r="C15">
        <v>2024</v>
      </c>
      <c r="D15">
        <v>2</v>
      </c>
      <c r="E15" t="s">
        <v>25</v>
      </c>
      <c r="F15" t="s">
        <v>40</v>
      </c>
      <c r="G15" t="s">
        <v>4039</v>
      </c>
      <c r="H15">
        <v>10</v>
      </c>
      <c r="I15">
        <v>7</v>
      </c>
      <c r="J15">
        <v>70</v>
      </c>
    </row>
    <row r="16" spans="1:12">
      <c r="A16" t="s">
        <v>4040</v>
      </c>
      <c r="B16" s="2">
        <v>45343</v>
      </c>
      <c r="C16">
        <v>2024</v>
      </c>
      <c r="D16">
        <v>2</v>
      </c>
      <c r="E16" t="s">
        <v>25</v>
      </c>
      <c r="F16" t="s">
        <v>54</v>
      </c>
      <c r="G16" t="s">
        <v>4041</v>
      </c>
      <c r="H16">
        <v>39</v>
      </c>
      <c r="I16">
        <v>33</v>
      </c>
      <c r="J16">
        <v>84.59999999999999</v>
      </c>
    </row>
    <row r="17" spans="1:10">
      <c r="A17" t="s">
        <v>4042</v>
      </c>
      <c r="B17" s="2">
        <v>45337</v>
      </c>
      <c r="C17">
        <v>2024</v>
      </c>
      <c r="D17">
        <v>2</v>
      </c>
      <c r="E17" t="s">
        <v>25</v>
      </c>
      <c r="F17" t="s">
        <v>67</v>
      </c>
      <c r="G17" t="s">
        <v>4041</v>
      </c>
      <c r="H17">
        <v>36</v>
      </c>
      <c r="I17">
        <v>29</v>
      </c>
      <c r="J17">
        <v>80.59999999999999</v>
      </c>
    </row>
    <row r="18" spans="1:10">
      <c r="A18" t="s">
        <v>4043</v>
      </c>
      <c r="B18" s="2">
        <v>45340</v>
      </c>
      <c r="C18">
        <v>2024</v>
      </c>
      <c r="D18">
        <v>2</v>
      </c>
      <c r="E18" t="s">
        <v>25</v>
      </c>
      <c r="F18" t="s">
        <v>19</v>
      </c>
      <c r="G18" t="s">
        <v>4044</v>
      </c>
      <c r="H18">
        <v>25</v>
      </c>
      <c r="I18">
        <v>18</v>
      </c>
      <c r="J18">
        <v>72</v>
      </c>
    </row>
    <row r="19" spans="1:10">
      <c r="A19" t="s">
        <v>4045</v>
      </c>
      <c r="B19" s="2">
        <v>45330</v>
      </c>
      <c r="C19">
        <v>2024</v>
      </c>
      <c r="D19">
        <v>2</v>
      </c>
      <c r="E19" t="s">
        <v>25</v>
      </c>
      <c r="F19" t="s">
        <v>38</v>
      </c>
      <c r="G19" t="s">
        <v>3026</v>
      </c>
      <c r="H19">
        <v>13</v>
      </c>
      <c r="I19">
        <v>11</v>
      </c>
      <c r="J19">
        <v>84.59999999999999</v>
      </c>
    </row>
    <row r="20" spans="1:10">
      <c r="A20" t="s">
        <v>4046</v>
      </c>
      <c r="B20" s="2">
        <v>45328</v>
      </c>
      <c r="C20">
        <v>2024</v>
      </c>
      <c r="D20">
        <v>2</v>
      </c>
      <c r="E20" t="s">
        <v>25</v>
      </c>
      <c r="F20" t="s">
        <v>2</v>
      </c>
      <c r="G20" t="s">
        <v>3039</v>
      </c>
      <c r="H20">
        <v>37</v>
      </c>
      <c r="I20">
        <v>27</v>
      </c>
      <c r="J20">
        <v>73</v>
      </c>
    </row>
    <row r="21" spans="1:10">
      <c r="A21" t="s">
        <v>4047</v>
      </c>
      <c r="B21" s="2">
        <v>45345</v>
      </c>
      <c r="C21">
        <v>2024</v>
      </c>
      <c r="D21">
        <v>2</v>
      </c>
      <c r="E21" t="s">
        <v>25</v>
      </c>
      <c r="F21" t="s">
        <v>78</v>
      </c>
      <c r="G21" t="s">
        <v>4026</v>
      </c>
      <c r="H21">
        <v>14</v>
      </c>
      <c r="I21">
        <v>12</v>
      </c>
      <c r="J21">
        <v>85.7</v>
      </c>
    </row>
    <row r="22" spans="1:10">
      <c r="A22" t="s">
        <v>4048</v>
      </c>
      <c r="B22" s="2">
        <v>45354</v>
      </c>
      <c r="C22">
        <v>2024</v>
      </c>
      <c r="D22">
        <v>3</v>
      </c>
      <c r="E22" t="s">
        <v>60</v>
      </c>
      <c r="F22" t="s">
        <v>26</v>
      </c>
      <c r="G22" t="s">
        <v>3039</v>
      </c>
      <c r="H22">
        <v>35</v>
      </c>
      <c r="I22">
        <v>25</v>
      </c>
      <c r="J22">
        <v>71.40000000000001</v>
      </c>
    </row>
    <row r="23" spans="1:10">
      <c r="A23" t="s">
        <v>4049</v>
      </c>
      <c r="B23" s="2">
        <v>45367</v>
      </c>
      <c r="C23">
        <v>2024</v>
      </c>
      <c r="D23">
        <v>3</v>
      </c>
      <c r="E23" t="s">
        <v>60</v>
      </c>
      <c r="F23" t="s">
        <v>31</v>
      </c>
      <c r="G23" t="s">
        <v>4026</v>
      </c>
      <c r="H23">
        <v>30</v>
      </c>
      <c r="I23">
        <v>22</v>
      </c>
      <c r="J23">
        <v>73.3</v>
      </c>
    </row>
    <row r="24" spans="1:10">
      <c r="A24" t="s">
        <v>4050</v>
      </c>
      <c r="B24" s="2">
        <v>45352</v>
      </c>
      <c r="C24">
        <v>2024</v>
      </c>
      <c r="D24">
        <v>3</v>
      </c>
      <c r="E24" t="s">
        <v>60</v>
      </c>
      <c r="F24" t="s">
        <v>47</v>
      </c>
      <c r="G24" t="s">
        <v>4044</v>
      </c>
      <c r="H24">
        <v>17</v>
      </c>
      <c r="I24">
        <v>12</v>
      </c>
      <c r="J24">
        <v>70.59999999999999</v>
      </c>
    </row>
    <row r="25" spans="1:10">
      <c r="A25" t="s">
        <v>4051</v>
      </c>
      <c r="B25" s="2">
        <v>45363</v>
      </c>
      <c r="C25">
        <v>2024</v>
      </c>
      <c r="D25">
        <v>3</v>
      </c>
      <c r="E25" t="s">
        <v>60</v>
      </c>
      <c r="F25" t="s">
        <v>40</v>
      </c>
      <c r="G25" t="s">
        <v>4034</v>
      </c>
      <c r="H25">
        <v>40</v>
      </c>
      <c r="I25">
        <v>32</v>
      </c>
      <c r="J25">
        <v>80</v>
      </c>
    </row>
    <row r="26" spans="1:10">
      <c r="A26" t="s">
        <v>4052</v>
      </c>
      <c r="B26" s="2">
        <v>45374</v>
      </c>
      <c r="C26">
        <v>2024</v>
      </c>
      <c r="D26">
        <v>3</v>
      </c>
      <c r="E26" t="s">
        <v>60</v>
      </c>
      <c r="F26" t="s">
        <v>54</v>
      </c>
      <c r="G26" t="s">
        <v>4044</v>
      </c>
      <c r="H26">
        <v>13</v>
      </c>
      <c r="I26">
        <v>11</v>
      </c>
      <c r="J26">
        <v>84.59999999999999</v>
      </c>
    </row>
    <row r="27" spans="1:10">
      <c r="A27" t="s">
        <v>4053</v>
      </c>
      <c r="B27" s="2">
        <v>45368</v>
      </c>
      <c r="C27">
        <v>2024</v>
      </c>
      <c r="D27">
        <v>3</v>
      </c>
      <c r="E27" t="s">
        <v>60</v>
      </c>
      <c r="F27" t="s">
        <v>67</v>
      </c>
      <c r="G27" t="s">
        <v>4034</v>
      </c>
      <c r="H27">
        <v>21</v>
      </c>
      <c r="I27">
        <v>19</v>
      </c>
      <c r="J27">
        <v>90.5</v>
      </c>
    </row>
    <row r="28" spans="1:10">
      <c r="A28" t="s">
        <v>4054</v>
      </c>
      <c r="B28" s="2">
        <v>45371</v>
      </c>
      <c r="C28">
        <v>2024</v>
      </c>
      <c r="D28">
        <v>3</v>
      </c>
      <c r="E28" t="s">
        <v>60</v>
      </c>
      <c r="F28" t="s">
        <v>19</v>
      </c>
      <c r="G28" t="s">
        <v>4032</v>
      </c>
      <c r="H28">
        <v>22</v>
      </c>
      <c r="I28">
        <v>18</v>
      </c>
      <c r="J28">
        <v>81.8</v>
      </c>
    </row>
    <row r="29" spans="1:10">
      <c r="A29" t="s">
        <v>4055</v>
      </c>
      <c r="B29" s="2">
        <v>45360</v>
      </c>
      <c r="C29">
        <v>2024</v>
      </c>
      <c r="D29">
        <v>3</v>
      </c>
      <c r="E29" t="s">
        <v>60</v>
      </c>
      <c r="F29" t="s">
        <v>38</v>
      </c>
      <c r="G29" t="s">
        <v>4034</v>
      </c>
      <c r="H29">
        <v>25</v>
      </c>
      <c r="I29">
        <v>19</v>
      </c>
      <c r="J29">
        <v>76</v>
      </c>
    </row>
    <row r="30" spans="1:10">
      <c r="A30" t="s">
        <v>4056</v>
      </c>
      <c r="B30" s="2">
        <v>45359</v>
      </c>
      <c r="C30">
        <v>2024</v>
      </c>
      <c r="D30">
        <v>3</v>
      </c>
      <c r="E30" t="s">
        <v>60</v>
      </c>
      <c r="F30" t="s">
        <v>2</v>
      </c>
      <c r="G30" t="s">
        <v>4039</v>
      </c>
      <c r="H30">
        <v>24</v>
      </c>
      <c r="I30">
        <v>22</v>
      </c>
      <c r="J30">
        <v>91.7</v>
      </c>
    </row>
    <row r="31" spans="1:10">
      <c r="A31" t="s">
        <v>4057</v>
      </c>
      <c r="B31" s="2">
        <v>45375</v>
      </c>
      <c r="C31">
        <v>2024</v>
      </c>
      <c r="D31">
        <v>3</v>
      </c>
      <c r="E31" t="s">
        <v>60</v>
      </c>
      <c r="F31" t="s">
        <v>78</v>
      </c>
      <c r="G31" t="s">
        <v>4039</v>
      </c>
      <c r="H31">
        <v>14</v>
      </c>
      <c r="I31">
        <v>12</v>
      </c>
      <c r="J31">
        <v>85.7</v>
      </c>
    </row>
    <row r="32" spans="1:10">
      <c r="A32" t="s">
        <v>4058</v>
      </c>
      <c r="B32" s="2">
        <v>45399</v>
      </c>
      <c r="C32">
        <v>2024</v>
      </c>
      <c r="D32">
        <v>4</v>
      </c>
      <c r="E32" t="s">
        <v>73</v>
      </c>
      <c r="F32" t="s">
        <v>26</v>
      </c>
      <c r="G32" t="s">
        <v>4026</v>
      </c>
      <c r="H32">
        <v>34</v>
      </c>
      <c r="I32">
        <v>26</v>
      </c>
      <c r="J32">
        <v>76.5</v>
      </c>
    </row>
    <row r="33" spans="1:10">
      <c r="A33" t="s">
        <v>4059</v>
      </c>
      <c r="B33" s="2">
        <v>45384</v>
      </c>
      <c r="C33">
        <v>2024</v>
      </c>
      <c r="D33">
        <v>4</v>
      </c>
      <c r="E33" t="s">
        <v>73</v>
      </c>
      <c r="F33" t="s">
        <v>31</v>
      </c>
      <c r="G33" t="s">
        <v>4041</v>
      </c>
      <c r="H33">
        <v>21</v>
      </c>
      <c r="I33">
        <v>19</v>
      </c>
      <c r="J33">
        <v>90.5</v>
      </c>
    </row>
    <row r="34" spans="1:10">
      <c r="A34" t="s">
        <v>4060</v>
      </c>
      <c r="B34" s="2">
        <v>45387</v>
      </c>
      <c r="C34">
        <v>2024</v>
      </c>
      <c r="D34">
        <v>4</v>
      </c>
      <c r="E34" t="s">
        <v>73</v>
      </c>
      <c r="F34" t="s">
        <v>47</v>
      </c>
      <c r="G34" t="s">
        <v>4034</v>
      </c>
      <c r="H34">
        <v>29</v>
      </c>
      <c r="I34">
        <v>23</v>
      </c>
      <c r="J34">
        <v>79.3</v>
      </c>
    </row>
    <row r="35" spans="1:10">
      <c r="A35" t="s">
        <v>4061</v>
      </c>
      <c r="B35" s="2">
        <v>45405</v>
      </c>
      <c r="C35">
        <v>2024</v>
      </c>
      <c r="D35">
        <v>4</v>
      </c>
      <c r="E35" t="s">
        <v>73</v>
      </c>
      <c r="F35" t="s">
        <v>40</v>
      </c>
      <c r="G35" t="s">
        <v>4032</v>
      </c>
      <c r="H35">
        <v>28</v>
      </c>
      <c r="I35">
        <v>22</v>
      </c>
      <c r="J35">
        <v>78.59999999999999</v>
      </c>
    </row>
    <row r="36" spans="1:10">
      <c r="A36" t="s">
        <v>4062</v>
      </c>
      <c r="B36" s="2">
        <v>45386</v>
      </c>
      <c r="C36">
        <v>2024</v>
      </c>
      <c r="D36">
        <v>4</v>
      </c>
      <c r="E36" t="s">
        <v>73</v>
      </c>
      <c r="F36" t="s">
        <v>54</v>
      </c>
      <c r="G36" t="s">
        <v>4021</v>
      </c>
      <c r="H36">
        <v>23</v>
      </c>
      <c r="I36">
        <v>19</v>
      </c>
      <c r="J36">
        <v>82.59999999999999</v>
      </c>
    </row>
    <row r="37" spans="1:10">
      <c r="A37" t="s">
        <v>4063</v>
      </c>
      <c r="B37" s="2">
        <v>45386</v>
      </c>
      <c r="C37">
        <v>2024</v>
      </c>
      <c r="D37">
        <v>4</v>
      </c>
      <c r="E37" t="s">
        <v>73</v>
      </c>
      <c r="F37" t="s">
        <v>67</v>
      </c>
      <c r="G37" t="s">
        <v>4032</v>
      </c>
      <c r="H37">
        <v>18</v>
      </c>
      <c r="I37">
        <v>16</v>
      </c>
      <c r="J37">
        <v>88.90000000000001</v>
      </c>
    </row>
    <row r="38" spans="1:10">
      <c r="A38" t="s">
        <v>4064</v>
      </c>
      <c r="B38" s="2">
        <v>45399</v>
      </c>
      <c r="C38">
        <v>2024</v>
      </c>
      <c r="D38">
        <v>4</v>
      </c>
      <c r="E38" t="s">
        <v>73</v>
      </c>
      <c r="F38" t="s">
        <v>19</v>
      </c>
      <c r="G38" t="s">
        <v>4026</v>
      </c>
      <c r="H38">
        <v>13</v>
      </c>
      <c r="I38">
        <v>10</v>
      </c>
      <c r="J38">
        <v>76.90000000000001</v>
      </c>
    </row>
    <row r="39" spans="1:10">
      <c r="A39" t="s">
        <v>4065</v>
      </c>
      <c r="B39" s="2">
        <v>45403</v>
      </c>
      <c r="C39">
        <v>2024</v>
      </c>
      <c r="D39">
        <v>4</v>
      </c>
      <c r="E39" t="s">
        <v>73</v>
      </c>
      <c r="F39" t="s">
        <v>38</v>
      </c>
      <c r="G39" t="s">
        <v>4041</v>
      </c>
      <c r="H39">
        <v>10</v>
      </c>
      <c r="I39">
        <v>8</v>
      </c>
      <c r="J39">
        <v>80</v>
      </c>
    </row>
    <row r="40" spans="1:10">
      <c r="A40" t="s">
        <v>4066</v>
      </c>
      <c r="B40" s="2">
        <v>45393</v>
      </c>
      <c r="C40">
        <v>2024</v>
      </c>
      <c r="D40">
        <v>4</v>
      </c>
      <c r="E40" t="s">
        <v>73</v>
      </c>
      <c r="F40" t="s">
        <v>2</v>
      </c>
      <c r="G40" t="s">
        <v>4039</v>
      </c>
      <c r="H40">
        <v>29</v>
      </c>
      <c r="I40">
        <v>24</v>
      </c>
      <c r="J40">
        <v>82.8</v>
      </c>
    </row>
    <row r="41" spans="1:10">
      <c r="A41" t="s">
        <v>4067</v>
      </c>
      <c r="B41" s="2">
        <v>45398</v>
      </c>
      <c r="C41">
        <v>2024</v>
      </c>
      <c r="D41">
        <v>4</v>
      </c>
      <c r="E41" t="s">
        <v>73</v>
      </c>
      <c r="F41" t="s">
        <v>78</v>
      </c>
      <c r="G41" t="s">
        <v>3039</v>
      </c>
      <c r="H41">
        <v>21</v>
      </c>
      <c r="I41">
        <v>16</v>
      </c>
      <c r="J41">
        <v>76.2</v>
      </c>
    </row>
    <row r="42" spans="1:10">
      <c r="A42" t="s">
        <v>4068</v>
      </c>
      <c r="B42" s="2">
        <v>45429</v>
      </c>
      <c r="C42">
        <v>2024</v>
      </c>
      <c r="D42">
        <v>5</v>
      </c>
      <c r="E42" t="s">
        <v>83</v>
      </c>
      <c r="F42" t="s">
        <v>26</v>
      </c>
      <c r="G42" t="s">
        <v>4034</v>
      </c>
      <c r="H42">
        <v>14</v>
      </c>
      <c r="I42">
        <v>12</v>
      </c>
      <c r="J42">
        <v>85.7</v>
      </c>
    </row>
    <row r="43" spans="1:10">
      <c r="A43" t="s">
        <v>4069</v>
      </c>
      <c r="B43" s="2">
        <v>45415</v>
      </c>
      <c r="C43">
        <v>2024</v>
      </c>
      <c r="D43">
        <v>5</v>
      </c>
      <c r="E43" t="s">
        <v>83</v>
      </c>
      <c r="F43" t="s">
        <v>31</v>
      </c>
      <c r="G43" t="s">
        <v>4044</v>
      </c>
      <c r="H43">
        <v>14</v>
      </c>
      <c r="I43">
        <v>10</v>
      </c>
      <c r="J43">
        <v>71.40000000000001</v>
      </c>
    </row>
    <row r="44" spans="1:10">
      <c r="A44" t="s">
        <v>4070</v>
      </c>
      <c r="B44" s="2">
        <v>45438</v>
      </c>
      <c r="C44">
        <v>2024</v>
      </c>
      <c r="D44">
        <v>5</v>
      </c>
      <c r="E44" t="s">
        <v>83</v>
      </c>
      <c r="F44" t="s">
        <v>47</v>
      </c>
      <c r="G44" t="s">
        <v>4032</v>
      </c>
      <c r="H44">
        <v>30</v>
      </c>
      <c r="I44">
        <v>26</v>
      </c>
      <c r="J44">
        <v>86.7</v>
      </c>
    </row>
    <row r="45" spans="1:10">
      <c r="A45" t="s">
        <v>4071</v>
      </c>
      <c r="B45" s="2">
        <v>45428</v>
      </c>
      <c r="C45">
        <v>2024</v>
      </c>
      <c r="D45">
        <v>5</v>
      </c>
      <c r="E45" t="s">
        <v>83</v>
      </c>
      <c r="F45" t="s">
        <v>40</v>
      </c>
      <c r="G45" t="s">
        <v>3026</v>
      </c>
      <c r="H45">
        <v>37</v>
      </c>
      <c r="I45">
        <v>33</v>
      </c>
      <c r="J45">
        <v>89.2</v>
      </c>
    </row>
    <row r="46" spans="1:10">
      <c r="A46" t="s">
        <v>4072</v>
      </c>
      <c r="B46" s="2">
        <v>45436</v>
      </c>
      <c r="C46">
        <v>2024</v>
      </c>
      <c r="D46">
        <v>5</v>
      </c>
      <c r="E46" t="s">
        <v>83</v>
      </c>
      <c r="F46" t="s">
        <v>54</v>
      </c>
      <c r="G46" t="s">
        <v>4024</v>
      </c>
      <c r="H46">
        <v>14</v>
      </c>
      <c r="I46">
        <v>11</v>
      </c>
      <c r="J46">
        <v>78.59999999999999</v>
      </c>
    </row>
    <row r="47" spans="1:10">
      <c r="A47" t="s">
        <v>4073</v>
      </c>
      <c r="B47" s="2">
        <v>45425</v>
      </c>
      <c r="C47">
        <v>2024</v>
      </c>
      <c r="D47">
        <v>5</v>
      </c>
      <c r="E47" t="s">
        <v>83</v>
      </c>
      <c r="F47" t="s">
        <v>67</v>
      </c>
      <c r="G47" t="s">
        <v>4034</v>
      </c>
      <c r="H47">
        <v>30</v>
      </c>
      <c r="I47">
        <v>26</v>
      </c>
      <c r="J47">
        <v>86.7</v>
      </c>
    </row>
    <row r="48" spans="1:10">
      <c r="A48" t="s">
        <v>4074</v>
      </c>
      <c r="B48" s="2">
        <v>45430</v>
      </c>
      <c r="C48">
        <v>2024</v>
      </c>
      <c r="D48">
        <v>5</v>
      </c>
      <c r="E48" t="s">
        <v>83</v>
      </c>
      <c r="F48" t="s">
        <v>19</v>
      </c>
      <c r="G48" t="s">
        <v>4026</v>
      </c>
      <c r="H48">
        <v>23</v>
      </c>
      <c r="I48">
        <v>17</v>
      </c>
      <c r="J48">
        <v>73.90000000000001</v>
      </c>
    </row>
    <row r="49" spans="1:10">
      <c r="A49" t="s">
        <v>4075</v>
      </c>
      <c r="B49" s="2">
        <v>45420</v>
      </c>
      <c r="C49">
        <v>2024</v>
      </c>
      <c r="D49">
        <v>5</v>
      </c>
      <c r="E49" t="s">
        <v>83</v>
      </c>
      <c r="F49" t="s">
        <v>38</v>
      </c>
      <c r="G49" t="s">
        <v>3026</v>
      </c>
      <c r="H49">
        <v>25</v>
      </c>
      <c r="I49">
        <v>19</v>
      </c>
      <c r="J49">
        <v>76</v>
      </c>
    </row>
    <row r="50" spans="1:10">
      <c r="A50" t="s">
        <v>4076</v>
      </c>
      <c r="B50" s="2">
        <v>45426</v>
      </c>
      <c r="C50">
        <v>2024</v>
      </c>
      <c r="D50">
        <v>5</v>
      </c>
      <c r="E50" t="s">
        <v>83</v>
      </c>
      <c r="F50" t="s">
        <v>2</v>
      </c>
      <c r="G50" t="s">
        <v>4034</v>
      </c>
      <c r="H50">
        <v>17</v>
      </c>
      <c r="I50">
        <v>14</v>
      </c>
      <c r="J50">
        <v>82.40000000000001</v>
      </c>
    </row>
    <row r="51" spans="1:10">
      <c r="A51" t="s">
        <v>4077</v>
      </c>
      <c r="B51" s="2">
        <v>45422</v>
      </c>
      <c r="C51">
        <v>2024</v>
      </c>
      <c r="D51">
        <v>5</v>
      </c>
      <c r="E51" t="s">
        <v>83</v>
      </c>
      <c r="F51" t="s">
        <v>78</v>
      </c>
      <c r="G51" t="s">
        <v>3026</v>
      </c>
      <c r="H51">
        <v>24</v>
      </c>
      <c r="I51">
        <v>23</v>
      </c>
      <c r="J51">
        <v>95.8</v>
      </c>
    </row>
    <row r="52" spans="1:10">
      <c r="A52" t="s">
        <v>4078</v>
      </c>
      <c r="B52" s="2">
        <v>45459</v>
      </c>
      <c r="C52">
        <v>2024</v>
      </c>
      <c r="D52">
        <v>6</v>
      </c>
      <c r="E52" t="s">
        <v>87</v>
      </c>
      <c r="F52" t="s">
        <v>26</v>
      </c>
      <c r="G52" t="s">
        <v>4026</v>
      </c>
      <c r="H52">
        <v>10</v>
      </c>
      <c r="I52">
        <v>9</v>
      </c>
      <c r="J52">
        <v>90</v>
      </c>
    </row>
    <row r="53" spans="1:10">
      <c r="A53" t="s">
        <v>4079</v>
      </c>
      <c r="B53" s="2">
        <v>45444</v>
      </c>
      <c r="C53">
        <v>2024</v>
      </c>
      <c r="D53">
        <v>6</v>
      </c>
      <c r="E53" t="s">
        <v>87</v>
      </c>
      <c r="F53" t="s">
        <v>31</v>
      </c>
      <c r="G53" t="s">
        <v>3039</v>
      </c>
      <c r="H53">
        <v>12</v>
      </c>
      <c r="I53">
        <v>10</v>
      </c>
      <c r="J53">
        <v>83.3</v>
      </c>
    </row>
    <row r="54" spans="1:10">
      <c r="A54" t="s">
        <v>4080</v>
      </c>
      <c r="B54" s="2">
        <v>45469</v>
      </c>
      <c r="C54">
        <v>2024</v>
      </c>
      <c r="D54">
        <v>6</v>
      </c>
      <c r="E54" t="s">
        <v>87</v>
      </c>
      <c r="F54" t="s">
        <v>47</v>
      </c>
      <c r="G54" t="s">
        <v>4039</v>
      </c>
      <c r="H54">
        <v>21</v>
      </c>
      <c r="I54">
        <v>18</v>
      </c>
      <c r="J54">
        <v>85.7</v>
      </c>
    </row>
    <row r="55" spans="1:10">
      <c r="A55" t="s">
        <v>4081</v>
      </c>
      <c r="B55" s="2">
        <v>45451</v>
      </c>
      <c r="C55">
        <v>2024</v>
      </c>
      <c r="D55">
        <v>6</v>
      </c>
      <c r="E55" t="s">
        <v>87</v>
      </c>
      <c r="F55" t="s">
        <v>40</v>
      </c>
      <c r="G55" t="s">
        <v>3039</v>
      </c>
      <c r="H55">
        <v>38</v>
      </c>
      <c r="I55">
        <v>29</v>
      </c>
      <c r="J55">
        <v>76.3</v>
      </c>
    </row>
    <row r="56" spans="1:10">
      <c r="A56" t="s">
        <v>4082</v>
      </c>
      <c r="B56" s="2">
        <v>45467</v>
      </c>
      <c r="C56">
        <v>2024</v>
      </c>
      <c r="D56">
        <v>6</v>
      </c>
      <c r="E56" t="s">
        <v>87</v>
      </c>
      <c r="F56" t="s">
        <v>54</v>
      </c>
      <c r="G56" t="s">
        <v>4024</v>
      </c>
      <c r="H56">
        <v>33</v>
      </c>
      <c r="I56">
        <v>28</v>
      </c>
      <c r="J56">
        <v>84.8</v>
      </c>
    </row>
    <row r="57" spans="1:10">
      <c r="A57" t="s">
        <v>4083</v>
      </c>
      <c r="B57" s="2">
        <v>45452</v>
      </c>
      <c r="C57">
        <v>2024</v>
      </c>
      <c r="D57">
        <v>6</v>
      </c>
      <c r="E57" t="s">
        <v>87</v>
      </c>
      <c r="F57" t="s">
        <v>67</v>
      </c>
      <c r="G57" t="s">
        <v>4039</v>
      </c>
      <c r="H57">
        <v>28</v>
      </c>
      <c r="I57">
        <v>23</v>
      </c>
      <c r="J57">
        <v>82.09999999999999</v>
      </c>
    </row>
    <row r="58" spans="1:10">
      <c r="A58" t="s">
        <v>4084</v>
      </c>
      <c r="B58" s="2">
        <v>45457</v>
      </c>
      <c r="C58">
        <v>2024</v>
      </c>
      <c r="D58">
        <v>6</v>
      </c>
      <c r="E58" t="s">
        <v>87</v>
      </c>
      <c r="F58" t="s">
        <v>19</v>
      </c>
      <c r="G58" t="s">
        <v>3026</v>
      </c>
      <c r="H58">
        <v>13</v>
      </c>
      <c r="I58">
        <v>10</v>
      </c>
      <c r="J58">
        <v>76.90000000000001</v>
      </c>
    </row>
    <row r="59" spans="1:10">
      <c r="A59" t="s">
        <v>4085</v>
      </c>
      <c r="B59" s="2">
        <v>45471</v>
      </c>
      <c r="C59">
        <v>2024</v>
      </c>
      <c r="D59">
        <v>6</v>
      </c>
      <c r="E59" t="s">
        <v>87</v>
      </c>
      <c r="F59" t="s">
        <v>38</v>
      </c>
      <c r="G59" t="s">
        <v>3026</v>
      </c>
      <c r="H59">
        <v>10</v>
      </c>
      <c r="I59">
        <v>9</v>
      </c>
      <c r="J59">
        <v>90</v>
      </c>
    </row>
    <row r="60" spans="1:10">
      <c r="A60" t="s">
        <v>4086</v>
      </c>
      <c r="B60" s="2">
        <v>45449</v>
      </c>
      <c r="C60">
        <v>2024</v>
      </c>
      <c r="D60">
        <v>6</v>
      </c>
      <c r="E60" t="s">
        <v>87</v>
      </c>
      <c r="F60" t="s">
        <v>2</v>
      </c>
      <c r="G60" t="s">
        <v>3026</v>
      </c>
      <c r="H60">
        <v>22</v>
      </c>
      <c r="I60">
        <v>19</v>
      </c>
      <c r="J60">
        <v>86.40000000000001</v>
      </c>
    </row>
    <row r="61" spans="1:10">
      <c r="A61" t="s">
        <v>4087</v>
      </c>
      <c r="B61" s="2">
        <v>45447</v>
      </c>
      <c r="C61">
        <v>2024</v>
      </c>
      <c r="D61">
        <v>6</v>
      </c>
      <c r="E61" t="s">
        <v>87</v>
      </c>
      <c r="F61" t="s">
        <v>78</v>
      </c>
      <c r="G61" t="s">
        <v>3026</v>
      </c>
      <c r="H61">
        <v>11</v>
      </c>
      <c r="I61">
        <v>7</v>
      </c>
      <c r="J61">
        <v>63.6</v>
      </c>
    </row>
    <row r="62" spans="1:10">
      <c r="A62" t="s">
        <v>4088</v>
      </c>
      <c r="B62" s="2">
        <v>45500</v>
      </c>
      <c r="C62">
        <v>2024</v>
      </c>
      <c r="D62">
        <v>7</v>
      </c>
      <c r="E62" t="s">
        <v>93</v>
      </c>
      <c r="F62" t="s">
        <v>26</v>
      </c>
      <c r="G62" t="s">
        <v>4021</v>
      </c>
      <c r="H62">
        <v>24</v>
      </c>
      <c r="I62">
        <v>20</v>
      </c>
      <c r="J62">
        <v>83.3</v>
      </c>
    </row>
    <row r="63" spans="1:10">
      <c r="A63" t="s">
        <v>4089</v>
      </c>
      <c r="B63" s="2">
        <v>45482</v>
      </c>
      <c r="C63">
        <v>2024</v>
      </c>
      <c r="D63">
        <v>7</v>
      </c>
      <c r="E63" t="s">
        <v>93</v>
      </c>
      <c r="F63" t="s">
        <v>31</v>
      </c>
      <c r="G63" t="s">
        <v>4026</v>
      </c>
      <c r="H63">
        <v>32</v>
      </c>
      <c r="I63">
        <v>28</v>
      </c>
      <c r="J63">
        <v>87.5</v>
      </c>
    </row>
    <row r="64" spans="1:10">
      <c r="A64" t="s">
        <v>4090</v>
      </c>
      <c r="B64" s="2">
        <v>45478</v>
      </c>
      <c r="C64">
        <v>2024</v>
      </c>
      <c r="D64">
        <v>7</v>
      </c>
      <c r="E64" t="s">
        <v>93</v>
      </c>
      <c r="F64" t="s">
        <v>47</v>
      </c>
      <c r="G64" t="s">
        <v>4024</v>
      </c>
      <c r="H64">
        <v>11</v>
      </c>
      <c r="I64">
        <v>8</v>
      </c>
      <c r="J64">
        <v>72.7</v>
      </c>
    </row>
    <row r="65" spans="1:10">
      <c r="A65" t="s">
        <v>4091</v>
      </c>
      <c r="B65" s="2">
        <v>45474</v>
      </c>
      <c r="C65">
        <v>2024</v>
      </c>
      <c r="D65">
        <v>7</v>
      </c>
      <c r="E65" t="s">
        <v>93</v>
      </c>
      <c r="F65" t="s">
        <v>40</v>
      </c>
      <c r="G65" t="s">
        <v>4034</v>
      </c>
      <c r="H65">
        <v>10</v>
      </c>
      <c r="I65">
        <v>7</v>
      </c>
      <c r="J65">
        <v>70</v>
      </c>
    </row>
    <row r="66" spans="1:10">
      <c r="A66" t="s">
        <v>4092</v>
      </c>
      <c r="B66" s="2">
        <v>45487</v>
      </c>
      <c r="C66">
        <v>2024</v>
      </c>
      <c r="D66">
        <v>7</v>
      </c>
      <c r="E66" t="s">
        <v>93</v>
      </c>
      <c r="F66" t="s">
        <v>54</v>
      </c>
      <c r="G66" t="s">
        <v>4041</v>
      </c>
      <c r="H66">
        <v>22</v>
      </c>
      <c r="I66">
        <v>16</v>
      </c>
      <c r="J66">
        <v>72.7</v>
      </c>
    </row>
    <row r="67" spans="1:10">
      <c r="A67" t="s">
        <v>4093</v>
      </c>
      <c r="B67" s="2">
        <v>45492</v>
      </c>
      <c r="C67">
        <v>2024</v>
      </c>
      <c r="D67">
        <v>7</v>
      </c>
      <c r="E67" t="s">
        <v>93</v>
      </c>
      <c r="F67" t="s">
        <v>67</v>
      </c>
      <c r="G67" t="s">
        <v>4041</v>
      </c>
      <c r="H67">
        <v>40</v>
      </c>
      <c r="I67">
        <v>33</v>
      </c>
      <c r="J67">
        <v>82.5</v>
      </c>
    </row>
    <row r="68" spans="1:10">
      <c r="A68" t="s">
        <v>4094</v>
      </c>
      <c r="B68" s="2">
        <v>45474</v>
      </c>
      <c r="C68">
        <v>2024</v>
      </c>
      <c r="D68">
        <v>7</v>
      </c>
      <c r="E68" t="s">
        <v>93</v>
      </c>
      <c r="F68" t="s">
        <v>19</v>
      </c>
      <c r="G68" t="s">
        <v>4024</v>
      </c>
      <c r="H68">
        <v>34</v>
      </c>
      <c r="I68">
        <v>31</v>
      </c>
      <c r="J68">
        <v>91.2</v>
      </c>
    </row>
    <row r="69" spans="1:10">
      <c r="A69" t="s">
        <v>4095</v>
      </c>
      <c r="B69" s="2">
        <v>45497</v>
      </c>
      <c r="C69">
        <v>2024</v>
      </c>
      <c r="D69">
        <v>7</v>
      </c>
      <c r="E69" t="s">
        <v>93</v>
      </c>
      <c r="F69" t="s">
        <v>38</v>
      </c>
      <c r="G69" t="s">
        <v>3039</v>
      </c>
      <c r="H69">
        <v>21</v>
      </c>
      <c r="I69">
        <v>18</v>
      </c>
      <c r="J69">
        <v>85.7</v>
      </c>
    </row>
    <row r="70" spans="1:10">
      <c r="A70" t="s">
        <v>4096</v>
      </c>
      <c r="B70" s="2">
        <v>45498</v>
      </c>
      <c r="C70">
        <v>2024</v>
      </c>
      <c r="D70">
        <v>7</v>
      </c>
      <c r="E70" t="s">
        <v>93</v>
      </c>
      <c r="F70" t="s">
        <v>2</v>
      </c>
      <c r="G70" t="s">
        <v>4044</v>
      </c>
      <c r="H70">
        <v>15</v>
      </c>
      <c r="I70">
        <v>13</v>
      </c>
      <c r="J70">
        <v>86.7</v>
      </c>
    </row>
    <row r="71" spans="1:10">
      <c r="A71" t="s">
        <v>4097</v>
      </c>
      <c r="B71" s="2">
        <v>45490</v>
      </c>
      <c r="C71">
        <v>2024</v>
      </c>
      <c r="D71">
        <v>7</v>
      </c>
      <c r="E71" t="s">
        <v>93</v>
      </c>
      <c r="F71" t="s">
        <v>78</v>
      </c>
      <c r="G71" t="s">
        <v>3026</v>
      </c>
      <c r="H71">
        <v>14</v>
      </c>
      <c r="I71">
        <v>12</v>
      </c>
      <c r="J71">
        <v>85.7</v>
      </c>
    </row>
    <row r="72" spans="1:10">
      <c r="A72" t="s">
        <v>4098</v>
      </c>
      <c r="B72" s="2">
        <v>45520</v>
      </c>
      <c r="C72">
        <v>2024</v>
      </c>
      <c r="D72">
        <v>8</v>
      </c>
      <c r="E72" t="s">
        <v>101</v>
      </c>
      <c r="F72" t="s">
        <v>26</v>
      </c>
      <c r="G72" t="s">
        <v>4032</v>
      </c>
      <c r="H72">
        <v>40</v>
      </c>
      <c r="I72">
        <v>31</v>
      </c>
      <c r="J72">
        <v>77.5</v>
      </c>
    </row>
    <row r="73" spans="1:10">
      <c r="A73" t="s">
        <v>4099</v>
      </c>
      <c r="B73" s="2">
        <v>45506</v>
      </c>
      <c r="C73">
        <v>2024</v>
      </c>
      <c r="D73">
        <v>8</v>
      </c>
      <c r="E73" t="s">
        <v>101</v>
      </c>
      <c r="F73" t="s">
        <v>31</v>
      </c>
      <c r="G73" t="s">
        <v>4032</v>
      </c>
      <c r="H73">
        <v>23</v>
      </c>
      <c r="I73">
        <v>17</v>
      </c>
      <c r="J73">
        <v>73.90000000000001</v>
      </c>
    </row>
    <row r="74" spans="1:10">
      <c r="A74" t="s">
        <v>4100</v>
      </c>
      <c r="B74" s="2">
        <v>45527</v>
      </c>
      <c r="C74">
        <v>2024</v>
      </c>
      <c r="D74">
        <v>8</v>
      </c>
      <c r="E74" t="s">
        <v>101</v>
      </c>
      <c r="F74" t="s">
        <v>47</v>
      </c>
      <c r="G74" t="s">
        <v>3026</v>
      </c>
      <c r="H74">
        <v>16</v>
      </c>
      <c r="I74">
        <v>14</v>
      </c>
      <c r="J74">
        <v>87.5</v>
      </c>
    </row>
    <row r="75" spans="1:10">
      <c r="A75" t="s">
        <v>4101</v>
      </c>
      <c r="B75" s="2">
        <v>45506</v>
      </c>
      <c r="C75">
        <v>2024</v>
      </c>
      <c r="D75">
        <v>8</v>
      </c>
      <c r="E75" t="s">
        <v>101</v>
      </c>
      <c r="F75" t="s">
        <v>40</v>
      </c>
      <c r="G75" t="s">
        <v>4034</v>
      </c>
      <c r="H75">
        <v>28</v>
      </c>
      <c r="I75">
        <v>23</v>
      </c>
      <c r="J75">
        <v>82.09999999999999</v>
      </c>
    </row>
    <row r="76" spans="1:10">
      <c r="A76" t="s">
        <v>4102</v>
      </c>
      <c r="B76" s="2">
        <v>45510</v>
      </c>
      <c r="C76">
        <v>2024</v>
      </c>
      <c r="D76">
        <v>8</v>
      </c>
      <c r="E76" t="s">
        <v>101</v>
      </c>
      <c r="F76" t="s">
        <v>54</v>
      </c>
      <c r="G76" t="s">
        <v>3026</v>
      </c>
      <c r="H76">
        <v>39</v>
      </c>
      <c r="I76">
        <v>34</v>
      </c>
      <c r="J76">
        <v>87.2</v>
      </c>
    </row>
    <row r="77" spans="1:10">
      <c r="A77" t="s">
        <v>4103</v>
      </c>
      <c r="B77" s="2">
        <v>45528</v>
      </c>
      <c r="C77">
        <v>2024</v>
      </c>
      <c r="D77">
        <v>8</v>
      </c>
      <c r="E77" t="s">
        <v>101</v>
      </c>
      <c r="F77" t="s">
        <v>67</v>
      </c>
      <c r="G77" t="s">
        <v>3026</v>
      </c>
      <c r="H77">
        <v>13</v>
      </c>
      <c r="I77">
        <v>9</v>
      </c>
      <c r="J77">
        <v>69.2</v>
      </c>
    </row>
    <row r="78" spans="1:10">
      <c r="A78" t="s">
        <v>4104</v>
      </c>
      <c r="B78" s="2">
        <v>45515</v>
      </c>
      <c r="C78">
        <v>2024</v>
      </c>
      <c r="D78">
        <v>8</v>
      </c>
      <c r="E78" t="s">
        <v>101</v>
      </c>
      <c r="F78" t="s">
        <v>19</v>
      </c>
      <c r="G78" t="s">
        <v>4039</v>
      </c>
      <c r="H78">
        <v>29</v>
      </c>
      <c r="I78">
        <v>25</v>
      </c>
      <c r="J78">
        <v>86.2</v>
      </c>
    </row>
    <row r="79" spans="1:10">
      <c r="A79" t="s">
        <v>4105</v>
      </c>
      <c r="B79" s="2">
        <v>45518</v>
      </c>
      <c r="C79">
        <v>2024</v>
      </c>
      <c r="D79">
        <v>8</v>
      </c>
      <c r="E79" t="s">
        <v>101</v>
      </c>
      <c r="F79" t="s">
        <v>38</v>
      </c>
      <c r="G79" t="s">
        <v>4024</v>
      </c>
      <c r="H79">
        <v>19</v>
      </c>
      <c r="I79">
        <v>16</v>
      </c>
      <c r="J79">
        <v>84.2</v>
      </c>
    </row>
    <row r="80" spans="1:10">
      <c r="A80" t="s">
        <v>4106</v>
      </c>
      <c r="B80" s="2">
        <v>45517</v>
      </c>
      <c r="C80">
        <v>2024</v>
      </c>
      <c r="D80">
        <v>8</v>
      </c>
      <c r="E80" t="s">
        <v>101</v>
      </c>
      <c r="F80" t="s">
        <v>2</v>
      </c>
      <c r="G80" t="s">
        <v>4044</v>
      </c>
      <c r="H80">
        <v>35</v>
      </c>
      <c r="I80">
        <v>34</v>
      </c>
      <c r="J80">
        <v>97.09999999999999</v>
      </c>
    </row>
    <row r="81" spans="1:10">
      <c r="A81" t="s">
        <v>4107</v>
      </c>
      <c r="B81" s="2">
        <v>45511</v>
      </c>
      <c r="C81">
        <v>2024</v>
      </c>
      <c r="D81">
        <v>8</v>
      </c>
      <c r="E81" t="s">
        <v>101</v>
      </c>
      <c r="F81" t="s">
        <v>78</v>
      </c>
      <c r="G81" t="s">
        <v>4026</v>
      </c>
      <c r="H81">
        <v>24</v>
      </c>
      <c r="I81">
        <v>19</v>
      </c>
      <c r="J81">
        <v>79.2</v>
      </c>
    </row>
    <row r="82" spans="1:10">
      <c r="A82" t="s">
        <v>4108</v>
      </c>
      <c r="B82" s="2">
        <v>45541</v>
      </c>
      <c r="C82">
        <v>2024</v>
      </c>
      <c r="D82">
        <v>9</v>
      </c>
      <c r="E82" t="s">
        <v>105</v>
      </c>
      <c r="F82" t="s">
        <v>26</v>
      </c>
      <c r="G82" t="s">
        <v>4034</v>
      </c>
      <c r="H82">
        <v>11</v>
      </c>
      <c r="I82">
        <v>8</v>
      </c>
      <c r="J82">
        <v>72.7</v>
      </c>
    </row>
    <row r="83" spans="1:10">
      <c r="A83" t="s">
        <v>4109</v>
      </c>
      <c r="B83" s="2">
        <v>45556</v>
      </c>
      <c r="C83">
        <v>2024</v>
      </c>
      <c r="D83">
        <v>9</v>
      </c>
      <c r="E83" t="s">
        <v>105</v>
      </c>
      <c r="F83" t="s">
        <v>31</v>
      </c>
      <c r="G83" t="s">
        <v>4021</v>
      </c>
      <c r="H83">
        <v>36</v>
      </c>
      <c r="I83">
        <v>31</v>
      </c>
      <c r="J83">
        <v>86.09999999999999</v>
      </c>
    </row>
    <row r="84" spans="1:10">
      <c r="A84" t="s">
        <v>4110</v>
      </c>
      <c r="B84" s="2">
        <v>45552</v>
      </c>
      <c r="C84">
        <v>2024</v>
      </c>
      <c r="D84">
        <v>9</v>
      </c>
      <c r="E84" t="s">
        <v>105</v>
      </c>
      <c r="F84" t="s">
        <v>47</v>
      </c>
      <c r="G84" t="s">
        <v>4026</v>
      </c>
      <c r="H84">
        <v>30</v>
      </c>
      <c r="I84">
        <v>29</v>
      </c>
      <c r="J84">
        <v>96.7</v>
      </c>
    </row>
    <row r="85" spans="1:10">
      <c r="A85" t="s">
        <v>4111</v>
      </c>
      <c r="B85" s="2">
        <v>45553</v>
      </c>
      <c r="C85">
        <v>2024</v>
      </c>
      <c r="D85">
        <v>9</v>
      </c>
      <c r="E85" t="s">
        <v>105</v>
      </c>
      <c r="F85" t="s">
        <v>40</v>
      </c>
      <c r="G85" t="s">
        <v>4026</v>
      </c>
      <c r="H85">
        <v>17</v>
      </c>
      <c r="I85">
        <v>14</v>
      </c>
      <c r="J85">
        <v>82.40000000000001</v>
      </c>
    </row>
    <row r="86" spans="1:10">
      <c r="A86" t="s">
        <v>4112</v>
      </c>
      <c r="B86" s="2">
        <v>45545</v>
      </c>
      <c r="C86">
        <v>2024</v>
      </c>
      <c r="D86">
        <v>9</v>
      </c>
      <c r="E86" t="s">
        <v>105</v>
      </c>
      <c r="F86" t="s">
        <v>54</v>
      </c>
      <c r="G86" t="s">
        <v>4021</v>
      </c>
      <c r="H86">
        <v>29</v>
      </c>
      <c r="I86">
        <v>25</v>
      </c>
      <c r="J86">
        <v>86.2</v>
      </c>
    </row>
    <row r="87" spans="1:10">
      <c r="A87" t="s">
        <v>4113</v>
      </c>
      <c r="B87" s="2">
        <v>45554</v>
      </c>
      <c r="C87">
        <v>2024</v>
      </c>
      <c r="D87">
        <v>9</v>
      </c>
      <c r="E87" t="s">
        <v>105</v>
      </c>
      <c r="F87" t="s">
        <v>67</v>
      </c>
      <c r="G87" t="s">
        <v>4032</v>
      </c>
      <c r="H87">
        <v>30</v>
      </c>
      <c r="I87">
        <v>25</v>
      </c>
      <c r="J87">
        <v>83.3</v>
      </c>
    </row>
    <row r="88" spans="1:10">
      <c r="A88" t="s">
        <v>4114</v>
      </c>
      <c r="B88" s="2">
        <v>45560</v>
      </c>
      <c r="C88">
        <v>2024</v>
      </c>
      <c r="D88">
        <v>9</v>
      </c>
      <c r="E88" t="s">
        <v>105</v>
      </c>
      <c r="F88" t="s">
        <v>19</v>
      </c>
      <c r="G88" t="s">
        <v>4044</v>
      </c>
      <c r="H88">
        <v>11</v>
      </c>
      <c r="I88">
        <v>9</v>
      </c>
      <c r="J88">
        <v>81.8</v>
      </c>
    </row>
    <row r="89" spans="1:10">
      <c r="A89" t="s">
        <v>4115</v>
      </c>
      <c r="B89" s="2">
        <v>45562</v>
      </c>
      <c r="C89">
        <v>2024</v>
      </c>
      <c r="D89">
        <v>9</v>
      </c>
      <c r="E89" t="s">
        <v>105</v>
      </c>
      <c r="F89" t="s">
        <v>38</v>
      </c>
      <c r="G89" t="s">
        <v>3039</v>
      </c>
      <c r="H89">
        <v>27</v>
      </c>
      <c r="I89">
        <v>20</v>
      </c>
      <c r="J89">
        <v>74.09999999999999</v>
      </c>
    </row>
    <row r="90" spans="1:10">
      <c r="A90" t="s">
        <v>4116</v>
      </c>
      <c r="B90" s="2">
        <v>45556</v>
      </c>
      <c r="C90">
        <v>2024</v>
      </c>
      <c r="D90">
        <v>9</v>
      </c>
      <c r="E90" t="s">
        <v>105</v>
      </c>
      <c r="F90" t="s">
        <v>2</v>
      </c>
      <c r="G90" t="s">
        <v>4041</v>
      </c>
      <c r="H90">
        <v>17</v>
      </c>
      <c r="I90">
        <v>12</v>
      </c>
      <c r="J90">
        <v>70.59999999999999</v>
      </c>
    </row>
    <row r="91" spans="1:10">
      <c r="A91" t="s">
        <v>4117</v>
      </c>
      <c r="B91" s="2">
        <v>45556</v>
      </c>
      <c r="C91">
        <v>2024</v>
      </c>
      <c r="D91">
        <v>9</v>
      </c>
      <c r="E91" t="s">
        <v>105</v>
      </c>
      <c r="F91" t="s">
        <v>78</v>
      </c>
      <c r="G91" t="s">
        <v>4041</v>
      </c>
      <c r="H91">
        <v>11</v>
      </c>
      <c r="I91">
        <v>9</v>
      </c>
      <c r="J91">
        <v>81.8</v>
      </c>
    </row>
    <row r="92" spans="1:10">
      <c r="A92" t="s">
        <v>4118</v>
      </c>
      <c r="B92" s="2">
        <v>45577</v>
      </c>
      <c r="C92">
        <v>2024</v>
      </c>
      <c r="D92">
        <v>10</v>
      </c>
      <c r="E92" t="s">
        <v>113</v>
      </c>
      <c r="F92" t="s">
        <v>26</v>
      </c>
      <c r="G92" t="s">
        <v>4039</v>
      </c>
      <c r="H92">
        <v>37</v>
      </c>
      <c r="I92">
        <v>35</v>
      </c>
      <c r="J92">
        <v>94.59999999999999</v>
      </c>
    </row>
    <row r="93" spans="1:10">
      <c r="A93" t="s">
        <v>4119</v>
      </c>
      <c r="B93" s="2">
        <v>45593</v>
      </c>
      <c r="C93">
        <v>2024</v>
      </c>
      <c r="D93">
        <v>10</v>
      </c>
      <c r="E93" t="s">
        <v>113</v>
      </c>
      <c r="F93" t="s">
        <v>31</v>
      </c>
      <c r="G93" t="s">
        <v>4021</v>
      </c>
      <c r="H93">
        <v>38</v>
      </c>
      <c r="I93">
        <v>28</v>
      </c>
      <c r="J93">
        <v>73.7</v>
      </c>
    </row>
    <row r="94" spans="1:10">
      <c r="A94" t="s">
        <v>4120</v>
      </c>
      <c r="B94" s="2">
        <v>45586</v>
      </c>
      <c r="C94">
        <v>2024</v>
      </c>
      <c r="D94">
        <v>10</v>
      </c>
      <c r="E94" t="s">
        <v>113</v>
      </c>
      <c r="F94" t="s">
        <v>47</v>
      </c>
      <c r="G94" t="s">
        <v>4024</v>
      </c>
      <c r="H94">
        <v>30</v>
      </c>
      <c r="I94">
        <v>22</v>
      </c>
      <c r="J94">
        <v>73.3</v>
      </c>
    </row>
    <row r="95" spans="1:10">
      <c r="A95" t="s">
        <v>4121</v>
      </c>
      <c r="B95" s="2">
        <v>45574</v>
      </c>
      <c r="C95">
        <v>2024</v>
      </c>
      <c r="D95">
        <v>10</v>
      </c>
      <c r="E95" t="s">
        <v>113</v>
      </c>
      <c r="F95" t="s">
        <v>40</v>
      </c>
      <c r="G95" t="s">
        <v>4034</v>
      </c>
      <c r="H95">
        <v>30</v>
      </c>
      <c r="I95">
        <v>28</v>
      </c>
      <c r="J95">
        <v>93.3</v>
      </c>
    </row>
    <row r="96" spans="1:10">
      <c r="A96" t="s">
        <v>4122</v>
      </c>
      <c r="B96" s="2">
        <v>45584</v>
      </c>
      <c r="C96">
        <v>2024</v>
      </c>
      <c r="D96">
        <v>10</v>
      </c>
      <c r="E96" t="s">
        <v>113</v>
      </c>
      <c r="F96" t="s">
        <v>54</v>
      </c>
      <c r="G96" t="s">
        <v>4032</v>
      </c>
      <c r="H96">
        <v>23</v>
      </c>
      <c r="I96">
        <v>21</v>
      </c>
      <c r="J96">
        <v>91.3</v>
      </c>
    </row>
    <row r="97" spans="1:10">
      <c r="A97" t="s">
        <v>4123</v>
      </c>
      <c r="B97" s="2">
        <v>45587</v>
      </c>
      <c r="C97">
        <v>2024</v>
      </c>
      <c r="D97">
        <v>10</v>
      </c>
      <c r="E97" t="s">
        <v>113</v>
      </c>
      <c r="F97" t="s">
        <v>67</v>
      </c>
      <c r="G97" t="s">
        <v>4044</v>
      </c>
      <c r="H97">
        <v>31</v>
      </c>
      <c r="I97">
        <v>30</v>
      </c>
      <c r="J97">
        <v>96.8</v>
      </c>
    </row>
    <row r="98" spans="1:10">
      <c r="A98" t="s">
        <v>4124</v>
      </c>
      <c r="B98" s="2">
        <v>45581</v>
      </c>
      <c r="C98">
        <v>2024</v>
      </c>
      <c r="D98">
        <v>10</v>
      </c>
      <c r="E98" t="s">
        <v>113</v>
      </c>
      <c r="F98" t="s">
        <v>19</v>
      </c>
      <c r="G98" t="s">
        <v>3026</v>
      </c>
      <c r="H98">
        <v>31</v>
      </c>
      <c r="I98">
        <v>24</v>
      </c>
      <c r="J98">
        <v>77.40000000000001</v>
      </c>
    </row>
    <row r="99" spans="1:10">
      <c r="A99" t="s">
        <v>4125</v>
      </c>
      <c r="B99" s="2">
        <v>45568</v>
      </c>
      <c r="C99">
        <v>2024</v>
      </c>
      <c r="D99">
        <v>10</v>
      </c>
      <c r="E99" t="s">
        <v>113</v>
      </c>
      <c r="F99" t="s">
        <v>38</v>
      </c>
      <c r="G99" t="s">
        <v>3026</v>
      </c>
      <c r="H99">
        <v>13</v>
      </c>
      <c r="I99">
        <v>11</v>
      </c>
      <c r="J99">
        <v>84.59999999999999</v>
      </c>
    </row>
    <row r="100" spans="1:10">
      <c r="A100" t="s">
        <v>4126</v>
      </c>
      <c r="B100" s="2">
        <v>45591</v>
      </c>
      <c r="C100">
        <v>2024</v>
      </c>
      <c r="D100">
        <v>10</v>
      </c>
      <c r="E100" t="s">
        <v>113</v>
      </c>
      <c r="F100" t="s">
        <v>2</v>
      </c>
      <c r="G100" t="s">
        <v>3039</v>
      </c>
      <c r="H100">
        <v>14</v>
      </c>
      <c r="I100">
        <v>10</v>
      </c>
      <c r="J100">
        <v>71.40000000000001</v>
      </c>
    </row>
    <row r="101" spans="1:10">
      <c r="A101" t="s">
        <v>4127</v>
      </c>
      <c r="B101" s="2">
        <v>45583</v>
      </c>
      <c r="C101">
        <v>2024</v>
      </c>
      <c r="D101">
        <v>10</v>
      </c>
      <c r="E101" t="s">
        <v>113</v>
      </c>
      <c r="F101" t="s">
        <v>78</v>
      </c>
      <c r="G101" t="s">
        <v>4034</v>
      </c>
      <c r="H101">
        <v>39</v>
      </c>
      <c r="I101">
        <v>31</v>
      </c>
      <c r="J101">
        <v>79.5</v>
      </c>
    </row>
    <row r="102" spans="1:10">
      <c r="A102" t="s">
        <v>4128</v>
      </c>
      <c r="B102" s="2">
        <v>45603</v>
      </c>
      <c r="C102">
        <v>2024</v>
      </c>
      <c r="D102">
        <v>11</v>
      </c>
      <c r="E102" t="s">
        <v>117</v>
      </c>
      <c r="F102" t="s">
        <v>26</v>
      </c>
      <c r="G102" t="s">
        <v>4039</v>
      </c>
      <c r="H102">
        <v>30</v>
      </c>
      <c r="I102">
        <v>25</v>
      </c>
      <c r="J102">
        <v>83.3</v>
      </c>
    </row>
    <row r="103" spans="1:10">
      <c r="A103" t="s">
        <v>4129</v>
      </c>
      <c r="B103" s="2">
        <v>45606</v>
      </c>
      <c r="C103">
        <v>2024</v>
      </c>
      <c r="D103">
        <v>11</v>
      </c>
      <c r="E103" t="s">
        <v>117</v>
      </c>
      <c r="F103" t="s">
        <v>31</v>
      </c>
      <c r="G103" t="s">
        <v>4034</v>
      </c>
      <c r="H103">
        <v>26</v>
      </c>
      <c r="I103">
        <v>20</v>
      </c>
      <c r="J103">
        <v>76.90000000000001</v>
      </c>
    </row>
    <row r="104" spans="1:10">
      <c r="A104" t="s">
        <v>4130</v>
      </c>
      <c r="B104" s="2">
        <v>45623</v>
      </c>
      <c r="C104">
        <v>2024</v>
      </c>
      <c r="D104">
        <v>11</v>
      </c>
      <c r="E104" t="s">
        <v>117</v>
      </c>
      <c r="F104" t="s">
        <v>47</v>
      </c>
      <c r="G104" t="s">
        <v>3026</v>
      </c>
      <c r="H104">
        <v>28</v>
      </c>
      <c r="I104">
        <v>27</v>
      </c>
      <c r="J104">
        <v>96.40000000000001</v>
      </c>
    </row>
    <row r="105" spans="1:10">
      <c r="A105" t="s">
        <v>4131</v>
      </c>
      <c r="B105" s="2">
        <v>45603</v>
      </c>
      <c r="C105">
        <v>2024</v>
      </c>
      <c r="D105">
        <v>11</v>
      </c>
      <c r="E105" t="s">
        <v>117</v>
      </c>
      <c r="F105" t="s">
        <v>40</v>
      </c>
      <c r="G105" t="s">
        <v>4044</v>
      </c>
      <c r="H105">
        <v>15</v>
      </c>
      <c r="I105">
        <v>12</v>
      </c>
      <c r="J105">
        <v>80</v>
      </c>
    </row>
    <row r="106" spans="1:10">
      <c r="A106" t="s">
        <v>4132</v>
      </c>
      <c r="B106" s="2">
        <v>45621</v>
      </c>
      <c r="C106">
        <v>2024</v>
      </c>
      <c r="D106">
        <v>11</v>
      </c>
      <c r="E106" t="s">
        <v>117</v>
      </c>
      <c r="F106" t="s">
        <v>54</v>
      </c>
      <c r="G106" t="s">
        <v>4026</v>
      </c>
      <c r="H106">
        <v>17</v>
      </c>
      <c r="I106">
        <v>16</v>
      </c>
      <c r="J106">
        <v>94.09999999999999</v>
      </c>
    </row>
    <row r="107" spans="1:10">
      <c r="A107" t="s">
        <v>4133</v>
      </c>
      <c r="B107" s="2">
        <v>45609</v>
      </c>
      <c r="C107">
        <v>2024</v>
      </c>
      <c r="D107">
        <v>11</v>
      </c>
      <c r="E107" t="s">
        <v>117</v>
      </c>
      <c r="F107" t="s">
        <v>67</v>
      </c>
      <c r="G107" t="s">
        <v>4044</v>
      </c>
      <c r="H107">
        <v>10</v>
      </c>
      <c r="I107">
        <v>8</v>
      </c>
      <c r="J107">
        <v>80</v>
      </c>
    </row>
    <row r="108" spans="1:10">
      <c r="A108" t="s">
        <v>4134</v>
      </c>
      <c r="B108" s="2">
        <v>45597</v>
      </c>
      <c r="C108">
        <v>2024</v>
      </c>
      <c r="D108">
        <v>11</v>
      </c>
      <c r="E108" t="s">
        <v>117</v>
      </c>
      <c r="F108" t="s">
        <v>19</v>
      </c>
      <c r="G108" t="s">
        <v>3026</v>
      </c>
      <c r="H108">
        <v>21</v>
      </c>
      <c r="I108">
        <v>18</v>
      </c>
      <c r="J108">
        <v>85.7</v>
      </c>
    </row>
    <row r="109" spans="1:10">
      <c r="A109" t="s">
        <v>4135</v>
      </c>
      <c r="B109" s="2">
        <v>45617</v>
      </c>
      <c r="C109">
        <v>2024</v>
      </c>
      <c r="D109">
        <v>11</v>
      </c>
      <c r="E109" t="s">
        <v>117</v>
      </c>
      <c r="F109" t="s">
        <v>38</v>
      </c>
      <c r="G109" t="s">
        <v>4026</v>
      </c>
      <c r="H109">
        <v>30</v>
      </c>
      <c r="I109">
        <v>24</v>
      </c>
      <c r="J109">
        <v>80</v>
      </c>
    </row>
    <row r="110" spans="1:10">
      <c r="A110" t="s">
        <v>4136</v>
      </c>
      <c r="B110" s="2">
        <v>45608</v>
      </c>
      <c r="C110">
        <v>2024</v>
      </c>
      <c r="D110">
        <v>11</v>
      </c>
      <c r="E110" t="s">
        <v>117</v>
      </c>
      <c r="F110" t="s">
        <v>2</v>
      </c>
      <c r="G110" t="s">
        <v>4021</v>
      </c>
      <c r="H110">
        <v>30</v>
      </c>
      <c r="I110">
        <v>22</v>
      </c>
      <c r="J110">
        <v>73.3</v>
      </c>
    </row>
    <row r="111" spans="1:10">
      <c r="A111" t="s">
        <v>4137</v>
      </c>
      <c r="B111" s="2">
        <v>45622</v>
      </c>
      <c r="C111">
        <v>2024</v>
      </c>
      <c r="D111">
        <v>11</v>
      </c>
      <c r="E111" t="s">
        <v>117</v>
      </c>
      <c r="F111" t="s">
        <v>78</v>
      </c>
      <c r="G111" t="s">
        <v>4032</v>
      </c>
      <c r="H111">
        <v>34</v>
      </c>
      <c r="I111">
        <v>24</v>
      </c>
      <c r="J111">
        <v>70.59999999999999</v>
      </c>
    </row>
    <row r="112" spans="1:10">
      <c r="A112" t="s">
        <v>4138</v>
      </c>
      <c r="B112" s="2">
        <v>45627</v>
      </c>
      <c r="C112">
        <v>2024</v>
      </c>
      <c r="D112">
        <v>12</v>
      </c>
      <c r="E112" t="s">
        <v>124</v>
      </c>
      <c r="F112" t="s">
        <v>26</v>
      </c>
      <c r="G112" t="s">
        <v>4034</v>
      </c>
      <c r="H112">
        <v>38</v>
      </c>
      <c r="I112">
        <v>36</v>
      </c>
      <c r="J112">
        <v>94.7</v>
      </c>
    </row>
    <row r="113" spans="1:10">
      <c r="A113" t="s">
        <v>4139</v>
      </c>
      <c r="B113" s="2">
        <v>45649</v>
      </c>
      <c r="C113">
        <v>2024</v>
      </c>
      <c r="D113">
        <v>12</v>
      </c>
      <c r="E113" t="s">
        <v>124</v>
      </c>
      <c r="F113" t="s">
        <v>31</v>
      </c>
      <c r="G113" t="s">
        <v>4032</v>
      </c>
      <c r="H113">
        <v>22</v>
      </c>
      <c r="I113">
        <v>21</v>
      </c>
      <c r="J113">
        <v>95.5</v>
      </c>
    </row>
    <row r="114" spans="1:10">
      <c r="A114" t="s">
        <v>4140</v>
      </c>
      <c r="B114" s="2">
        <v>45647</v>
      </c>
      <c r="C114">
        <v>2024</v>
      </c>
      <c r="D114">
        <v>12</v>
      </c>
      <c r="E114" t="s">
        <v>124</v>
      </c>
      <c r="F114" t="s">
        <v>47</v>
      </c>
      <c r="G114" t="s">
        <v>4024</v>
      </c>
      <c r="H114">
        <v>39</v>
      </c>
      <c r="I114">
        <v>35</v>
      </c>
      <c r="J114">
        <v>89.7</v>
      </c>
    </row>
    <row r="115" spans="1:10">
      <c r="A115" t="s">
        <v>4141</v>
      </c>
      <c r="B115" s="2">
        <v>45633</v>
      </c>
      <c r="C115">
        <v>2024</v>
      </c>
      <c r="D115">
        <v>12</v>
      </c>
      <c r="E115" t="s">
        <v>124</v>
      </c>
      <c r="F115" t="s">
        <v>40</v>
      </c>
      <c r="G115" t="s">
        <v>4034</v>
      </c>
      <c r="H115">
        <v>37</v>
      </c>
      <c r="I115">
        <v>31</v>
      </c>
      <c r="J115">
        <v>83.8</v>
      </c>
    </row>
    <row r="116" spans="1:10">
      <c r="A116" t="s">
        <v>4142</v>
      </c>
      <c r="B116" s="2">
        <v>45633</v>
      </c>
      <c r="C116">
        <v>2024</v>
      </c>
      <c r="D116">
        <v>12</v>
      </c>
      <c r="E116" t="s">
        <v>124</v>
      </c>
      <c r="F116" t="s">
        <v>54</v>
      </c>
      <c r="G116" t="s">
        <v>4026</v>
      </c>
      <c r="H116">
        <v>21</v>
      </c>
      <c r="I116">
        <v>19</v>
      </c>
      <c r="J116">
        <v>90.5</v>
      </c>
    </row>
    <row r="117" spans="1:10">
      <c r="A117" t="s">
        <v>4143</v>
      </c>
      <c r="B117" s="2">
        <v>45631</v>
      </c>
      <c r="C117">
        <v>2024</v>
      </c>
      <c r="D117">
        <v>12</v>
      </c>
      <c r="E117" t="s">
        <v>124</v>
      </c>
      <c r="F117" t="s">
        <v>67</v>
      </c>
      <c r="G117" t="s">
        <v>4041</v>
      </c>
      <c r="H117">
        <v>14</v>
      </c>
      <c r="I117">
        <v>10</v>
      </c>
      <c r="J117">
        <v>71.40000000000001</v>
      </c>
    </row>
    <row r="118" spans="1:10">
      <c r="A118" t="s">
        <v>4144</v>
      </c>
      <c r="B118" s="2">
        <v>45632</v>
      </c>
      <c r="C118">
        <v>2024</v>
      </c>
      <c r="D118">
        <v>12</v>
      </c>
      <c r="E118" t="s">
        <v>124</v>
      </c>
      <c r="F118" t="s">
        <v>19</v>
      </c>
      <c r="G118" t="s">
        <v>4032</v>
      </c>
      <c r="H118">
        <v>16</v>
      </c>
      <c r="I118">
        <v>13</v>
      </c>
      <c r="J118">
        <v>81.2</v>
      </c>
    </row>
    <row r="119" spans="1:10">
      <c r="A119" t="s">
        <v>4145</v>
      </c>
      <c r="B119" s="2">
        <v>45647</v>
      </c>
      <c r="C119">
        <v>2024</v>
      </c>
      <c r="D119">
        <v>12</v>
      </c>
      <c r="E119" t="s">
        <v>124</v>
      </c>
      <c r="F119" t="s">
        <v>38</v>
      </c>
      <c r="G119" t="s">
        <v>3026</v>
      </c>
      <c r="H119">
        <v>34</v>
      </c>
      <c r="I119">
        <v>24</v>
      </c>
      <c r="J119">
        <v>70.59999999999999</v>
      </c>
    </row>
    <row r="120" spans="1:10">
      <c r="A120" t="s">
        <v>4146</v>
      </c>
      <c r="B120" s="2">
        <v>45651</v>
      </c>
      <c r="C120">
        <v>2024</v>
      </c>
      <c r="D120">
        <v>12</v>
      </c>
      <c r="E120" t="s">
        <v>124</v>
      </c>
      <c r="F120" t="s">
        <v>2</v>
      </c>
      <c r="G120" t="s">
        <v>4039</v>
      </c>
      <c r="H120">
        <v>33</v>
      </c>
      <c r="I120">
        <v>26</v>
      </c>
      <c r="J120">
        <v>78.8</v>
      </c>
    </row>
    <row r="121" spans="1:10">
      <c r="A121" t="s">
        <v>4147</v>
      </c>
      <c r="B121" s="2">
        <v>45628</v>
      </c>
      <c r="C121">
        <v>2024</v>
      </c>
      <c r="D121">
        <v>12</v>
      </c>
      <c r="E121" t="s">
        <v>124</v>
      </c>
      <c r="F121" t="s">
        <v>78</v>
      </c>
      <c r="G121" t="s">
        <v>3039</v>
      </c>
      <c r="H121">
        <v>28</v>
      </c>
      <c r="I121">
        <v>23</v>
      </c>
      <c r="J121">
        <v>82.09999999999999</v>
      </c>
    </row>
    <row r="122" spans="1:10">
      <c r="A122" t="s">
        <v>4148</v>
      </c>
      <c r="B122" s="2">
        <v>45669</v>
      </c>
      <c r="C122">
        <v>2025</v>
      </c>
      <c r="D122">
        <v>1</v>
      </c>
      <c r="E122" t="s">
        <v>1</v>
      </c>
      <c r="F122" t="s">
        <v>26</v>
      </c>
      <c r="G122" t="s">
        <v>4021</v>
      </c>
      <c r="H122">
        <v>11</v>
      </c>
      <c r="I122">
        <v>9</v>
      </c>
      <c r="J122">
        <v>81.8</v>
      </c>
    </row>
    <row r="123" spans="1:10">
      <c r="A123" t="s">
        <v>4149</v>
      </c>
      <c r="B123" s="2">
        <v>45671</v>
      </c>
      <c r="C123">
        <v>2025</v>
      </c>
      <c r="D123">
        <v>1</v>
      </c>
      <c r="E123" t="s">
        <v>1</v>
      </c>
      <c r="F123" t="s">
        <v>31</v>
      </c>
      <c r="G123" t="s">
        <v>3039</v>
      </c>
      <c r="H123">
        <v>36</v>
      </c>
      <c r="I123">
        <v>28</v>
      </c>
      <c r="J123">
        <v>77.8</v>
      </c>
    </row>
    <row r="124" spans="1:10">
      <c r="A124" t="s">
        <v>4150</v>
      </c>
      <c r="B124" s="2">
        <v>45667</v>
      </c>
      <c r="C124">
        <v>2025</v>
      </c>
      <c r="D124">
        <v>1</v>
      </c>
      <c r="E124" t="s">
        <v>1</v>
      </c>
      <c r="F124" t="s">
        <v>47</v>
      </c>
      <c r="G124" t="s">
        <v>4021</v>
      </c>
      <c r="H124">
        <v>19</v>
      </c>
      <c r="I124">
        <v>17</v>
      </c>
      <c r="J124">
        <v>89.5</v>
      </c>
    </row>
    <row r="125" spans="1:10">
      <c r="A125" t="s">
        <v>4151</v>
      </c>
      <c r="B125" s="2">
        <v>45684</v>
      </c>
      <c r="C125">
        <v>2025</v>
      </c>
      <c r="D125">
        <v>1</v>
      </c>
      <c r="E125" t="s">
        <v>1</v>
      </c>
      <c r="F125" t="s">
        <v>40</v>
      </c>
      <c r="G125" t="s">
        <v>4034</v>
      </c>
      <c r="H125">
        <v>25</v>
      </c>
      <c r="I125">
        <v>18</v>
      </c>
      <c r="J125">
        <v>72</v>
      </c>
    </row>
    <row r="126" spans="1:10">
      <c r="A126" t="s">
        <v>4152</v>
      </c>
      <c r="B126" s="2">
        <v>45671</v>
      </c>
      <c r="C126">
        <v>2025</v>
      </c>
      <c r="D126">
        <v>1</v>
      </c>
      <c r="E126" t="s">
        <v>1</v>
      </c>
      <c r="F126" t="s">
        <v>54</v>
      </c>
      <c r="G126" t="s">
        <v>4032</v>
      </c>
      <c r="H126">
        <v>18</v>
      </c>
      <c r="I126">
        <v>17</v>
      </c>
      <c r="J126">
        <v>94.40000000000001</v>
      </c>
    </row>
    <row r="127" spans="1:10">
      <c r="A127" t="s">
        <v>4153</v>
      </c>
      <c r="B127" s="2">
        <v>45681</v>
      </c>
      <c r="C127">
        <v>2025</v>
      </c>
      <c r="D127">
        <v>1</v>
      </c>
      <c r="E127" t="s">
        <v>1</v>
      </c>
      <c r="F127" t="s">
        <v>67</v>
      </c>
      <c r="G127" t="s">
        <v>4039</v>
      </c>
      <c r="H127">
        <v>27</v>
      </c>
      <c r="I127">
        <v>24</v>
      </c>
      <c r="J127">
        <v>88.90000000000001</v>
      </c>
    </row>
    <row r="128" spans="1:10">
      <c r="A128" t="s">
        <v>4154</v>
      </c>
      <c r="B128" s="2">
        <v>45676</v>
      </c>
      <c r="C128">
        <v>2025</v>
      </c>
      <c r="D128">
        <v>1</v>
      </c>
      <c r="E128" t="s">
        <v>1</v>
      </c>
      <c r="F128" t="s">
        <v>19</v>
      </c>
      <c r="G128" t="s">
        <v>4041</v>
      </c>
      <c r="H128">
        <v>36</v>
      </c>
      <c r="I128">
        <v>30</v>
      </c>
      <c r="J128">
        <v>83.3</v>
      </c>
    </row>
    <row r="129" spans="1:10">
      <c r="A129" t="s">
        <v>4155</v>
      </c>
      <c r="B129" s="2">
        <v>45673</v>
      </c>
      <c r="C129">
        <v>2025</v>
      </c>
      <c r="D129">
        <v>1</v>
      </c>
      <c r="E129" t="s">
        <v>1</v>
      </c>
      <c r="F129" t="s">
        <v>38</v>
      </c>
      <c r="G129" t="s">
        <v>4044</v>
      </c>
      <c r="H129">
        <v>35</v>
      </c>
      <c r="I129">
        <v>33</v>
      </c>
      <c r="J129">
        <v>94.3</v>
      </c>
    </row>
    <row r="130" spans="1:10">
      <c r="A130" t="s">
        <v>4156</v>
      </c>
      <c r="B130" s="2">
        <v>45668</v>
      </c>
      <c r="C130">
        <v>2025</v>
      </c>
      <c r="D130">
        <v>1</v>
      </c>
      <c r="E130" t="s">
        <v>1</v>
      </c>
      <c r="F130" t="s">
        <v>2</v>
      </c>
      <c r="G130" t="s">
        <v>4024</v>
      </c>
      <c r="H130">
        <v>20</v>
      </c>
      <c r="I130">
        <v>19</v>
      </c>
      <c r="J130">
        <v>95</v>
      </c>
    </row>
    <row r="131" spans="1:10">
      <c r="A131" t="s">
        <v>4157</v>
      </c>
      <c r="B131" s="2">
        <v>45662</v>
      </c>
      <c r="C131">
        <v>2025</v>
      </c>
      <c r="D131">
        <v>1</v>
      </c>
      <c r="E131" t="s">
        <v>1</v>
      </c>
      <c r="F131" t="s">
        <v>78</v>
      </c>
      <c r="G131" t="s">
        <v>4026</v>
      </c>
      <c r="H131">
        <v>19</v>
      </c>
      <c r="I131">
        <v>18</v>
      </c>
      <c r="J131">
        <v>94.7</v>
      </c>
    </row>
    <row r="132" spans="1:10">
      <c r="A132" t="s">
        <v>4158</v>
      </c>
      <c r="B132" s="2">
        <v>45697</v>
      </c>
      <c r="C132">
        <v>2025</v>
      </c>
      <c r="D132">
        <v>2</v>
      </c>
      <c r="E132" t="s">
        <v>25</v>
      </c>
      <c r="F132" t="s">
        <v>26</v>
      </c>
      <c r="G132" t="s">
        <v>4041</v>
      </c>
      <c r="H132">
        <v>37</v>
      </c>
      <c r="I132">
        <v>36</v>
      </c>
      <c r="J132">
        <v>97.3</v>
      </c>
    </row>
    <row r="133" spans="1:10">
      <c r="A133" t="s">
        <v>4159</v>
      </c>
      <c r="B133" s="2">
        <v>45709</v>
      </c>
      <c r="C133">
        <v>2025</v>
      </c>
      <c r="D133">
        <v>2</v>
      </c>
      <c r="E133" t="s">
        <v>25</v>
      </c>
      <c r="F133" t="s">
        <v>31</v>
      </c>
      <c r="G133" t="s">
        <v>4024</v>
      </c>
      <c r="H133">
        <v>19</v>
      </c>
      <c r="I133">
        <v>18</v>
      </c>
      <c r="J133">
        <v>94.7</v>
      </c>
    </row>
    <row r="134" spans="1:10">
      <c r="A134" t="s">
        <v>4160</v>
      </c>
      <c r="B134" s="2">
        <v>45706</v>
      </c>
      <c r="C134">
        <v>2025</v>
      </c>
      <c r="D134">
        <v>2</v>
      </c>
      <c r="E134" t="s">
        <v>25</v>
      </c>
      <c r="F134" t="s">
        <v>47</v>
      </c>
      <c r="G134" t="s">
        <v>4041</v>
      </c>
      <c r="H134">
        <v>16</v>
      </c>
      <c r="I134">
        <v>13</v>
      </c>
      <c r="J134">
        <v>81.2</v>
      </c>
    </row>
    <row r="135" spans="1:10">
      <c r="A135" t="s">
        <v>4161</v>
      </c>
      <c r="B135" s="2">
        <v>45694</v>
      </c>
      <c r="C135">
        <v>2025</v>
      </c>
      <c r="D135">
        <v>2</v>
      </c>
      <c r="E135" t="s">
        <v>25</v>
      </c>
      <c r="F135" t="s">
        <v>40</v>
      </c>
      <c r="G135" t="s">
        <v>4026</v>
      </c>
      <c r="H135">
        <v>12</v>
      </c>
      <c r="I135">
        <v>11</v>
      </c>
      <c r="J135">
        <v>91.7</v>
      </c>
    </row>
    <row r="136" spans="1:10">
      <c r="A136" t="s">
        <v>4162</v>
      </c>
      <c r="B136" s="2">
        <v>45712</v>
      </c>
      <c r="C136">
        <v>2025</v>
      </c>
      <c r="D136">
        <v>2</v>
      </c>
      <c r="E136" t="s">
        <v>25</v>
      </c>
      <c r="F136" t="s">
        <v>54</v>
      </c>
      <c r="G136" t="s">
        <v>3039</v>
      </c>
      <c r="H136">
        <v>27</v>
      </c>
      <c r="I136">
        <v>24</v>
      </c>
      <c r="J136">
        <v>88.90000000000001</v>
      </c>
    </row>
    <row r="137" spans="1:10">
      <c r="A137" t="s">
        <v>4163</v>
      </c>
      <c r="B137" s="2">
        <v>45712</v>
      </c>
      <c r="C137">
        <v>2025</v>
      </c>
      <c r="D137">
        <v>2</v>
      </c>
      <c r="E137" t="s">
        <v>25</v>
      </c>
      <c r="F137" t="s">
        <v>67</v>
      </c>
      <c r="G137" t="s">
        <v>3026</v>
      </c>
      <c r="H137">
        <v>29</v>
      </c>
      <c r="I137">
        <v>27</v>
      </c>
      <c r="J137">
        <v>93.09999999999999</v>
      </c>
    </row>
    <row r="138" spans="1:10">
      <c r="A138" t="s">
        <v>4164</v>
      </c>
      <c r="B138" s="2">
        <v>45697</v>
      </c>
      <c r="C138">
        <v>2025</v>
      </c>
      <c r="D138">
        <v>2</v>
      </c>
      <c r="E138" t="s">
        <v>25</v>
      </c>
      <c r="F138" t="s">
        <v>19</v>
      </c>
      <c r="G138" t="s">
        <v>4039</v>
      </c>
      <c r="H138">
        <v>40</v>
      </c>
      <c r="I138">
        <v>34</v>
      </c>
      <c r="J138">
        <v>85</v>
      </c>
    </row>
    <row r="139" spans="1:10">
      <c r="A139" t="s">
        <v>4165</v>
      </c>
      <c r="B139" s="2">
        <v>45689</v>
      </c>
      <c r="C139">
        <v>2025</v>
      </c>
      <c r="D139">
        <v>2</v>
      </c>
      <c r="E139" t="s">
        <v>25</v>
      </c>
      <c r="F139" t="s">
        <v>38</v>
      </c>
      <c r="G139" t="s">
        <v>4041</v>
      </c>
      <c r="H139">
        <v>40</v>
      </c>
      <c r="I139">
        <v>30</v>
      </c>
      <c r="J139">
        <v>75</v>
      </c>
    </row>
    <row r="140" spans="1:10">
      <c r="A140" t="s">
        <v>4166</v>
      </c>
      <c r="B140" s="2">
        <v>45698</v>
      </c>
      <c r="C140">
        <v>2025</v>
      </c>
      <c r="D140">
        <v>2</v>
      </c>
      <c r="E140" t="s">
        <v>25</v>
      </c>
      <c r="F140" t="s">
        <v>2</v>
      </c>
      <c r="G140" t="s">
        <v>4044</v>
      </c>
      <c r="H140">
        <v>32</v>
      </c>
      <c r="I140">
        <v>24</v>
      </c>
      <c r="J140">
        <v>75</v>
      </c>
    </row>
    <row r="141" spans="1:10">
      <c r="A141" t="s">
        <v>4167</v>
      </c>
      <c r="B141" s="2">
        <v>45706</v>
      </c>
      <c r="C141">
        <v>2025</v>
      </c>
      <c r="D141">
        <v>2</v>
      </c>
      <c r="E141" t="s">
        <v>25</v>
      </c>
      <c r="F141" t="s">
        <v>78</v>
      </c>
      <c r="G141" t="s">
        <v>4039</v>
      </c>
      <c r="H141">
        <v>16</v>
      </c>
      <c r="I141">
        <v>11</v>
      </c>
      <c r="J141">
        <v>68.8</v>
      </c>
    </row>
    <row r="142" spans="1:10">
      <c r="A142" t="s">
        <v>4168</v>
      </c>
      <c r="B142" s="2">
        <v>45741</v>
      </c>
      <c r="C142">
        <v>2025</v>
      </c>
      <c r="D142">
        <v>3</v>
      </c>
      <c r="E142" t="s">
        <v>60</v>
      </c>
      <c r="F142" t="s">
        <v>26</v>
      </c>
      <c r="G142" t="s">
        <v>4039</v>
      </c>
      <c r="H142">
        <v>18</v>
      </c>
      <c r="I142">
        <v>14</v>
      </c>
      <c r="J142">
        <v>77.8</v>
      </c>
    </row>
    <row r="143" spans="1:10">
      <c r="A143" t="s">
        <v>4169</v>
      </c>
      <c r="B143" s="2">
        <v>45744</v>
      </c>
      <c r="C143">
        <v>2025</v>
      </c>
      <c r="D143">
        <v>3</v>
      </c>
      <c r="E143" t="s">
        <v>60</v>
      </c>
      <c r="F143" t="s">
        <v>31</v>
      </c>
      <c r="G143" t="s">
        <v>3039</v>
      </c>
      <c r="H143">
        <v>20</v>
      </c>
      <c r="I143">
        <v>15</v>
      </c>
      <c r="J143">
        <v>75</v>
      </c>
    </row>
    <row r="144" spans="1:10">
      <c r="A144" t="s">
        <v>4170</v>
      </c>
      <c r="B144" s="2">
        <v>45723</v>
      </c>
      <c r="C144">
        <v>2025</v>
      </c>
      <c r="D144">
        <v>3</v>
      </c>
      <c r="E144" t="s">
        <v>60</v>
      </c>
      <c r="F144" t="s">
        <v>47</v>
      </c>
      <c r="G144" t="s">
        <v>4032</v>
      </c>
      <c r="H144">
        <v>32</v>
      </c>
      <c r="I144">
        <v>27</v>
      </c>
      <c r="J144">
        <v>84.40000000000001</v>
      </c>
    </row>
    <row r="145" spans="1:10">
      <c r="A145" t="s">
        <v>4171</v>
      </c>
      <c r="B145" s="2">
        <v>45735</v>
      </c>
      <c r="C145">
        <v>2025</v>
      </c>
      <c r="D145">
        <v>3</v>
      </c>
      <c r="E145" t="s">
        <v>60</v>
      </c>
      <c r="F145" t="s">
        <v>40</v>
      </c>
      <c r="G145" t="s">
        <v>4044</v>
      </c>
      <c r="H145">
        <v>19</v>
      </c>
      <c r="I145">
        <v>14</v>
      </c>
      <c r="J145">
        <v>73.7</v>
      </c>
    </row>
    <row r="146" spans="1:10">
      <c r="A146" t="s">
        <v>4172</v>
      </c>
      <c r="B146" s="2">
        <v>45744</v>
      </c>
      <c r="C146">
        <v>2025</v>
      </c>
      <c r="D146">
        <v>3</v>
      </c>
      <c r="E146" t="s">
        <v>60</v>
      </c>
      <c r="F146" t="s">
        <v>54</v>
      </c>
      <c r="G146" t="s">
        <v>4041</v>
      </c>
      <c r="H146">
        <v>29</v>
      </c>
      <c r="I146">
        <v>24</v>
      </c>
      <c r="J146">
        <v>82.8</v>
      </c>
    </row>
    <row r="147" spans="1:10">
      <c r="A147" t="s">
        <v>4173</v>
      </c>
      <c r="B147" s="2">
        <v>45735</v>
      </c>
      <c r="C147">
        <v>2025</v>
      </c>
      <c r="D147">
        <v>3</v>
      </c>
      <c r="E147" t="s">
        <v>60</v>
      </c>
      <c r="F147" t="s">
        <v>67</v>
      </c>
      <c r="G147" t="s">
        <v>4039</v>
      </c>
      <c r="H147">
        <v>20</v>
      </c>
      <c r="I147">
        <v>16</v>
      </c>
      <c r="J147">
        <v>80</v>
      </c>
    </row>
    <row r="148" spans="1:10">
      <c r="A148" t="s">
        <v>4174</v>
      </c>
      <c r="B148" s="2">
        <v>45726</v>
      </c>
      <c r="C148">
        <v>2025</v>
      </c>
      <c r="D148">
        <v>3</v>
      </c>
      <c r="E148" t="s">
        <v>60</v>
      </c>
      <c r="F148" t="s">
        <v>19</v>
      </c>
      <c r="G148" t="s">
        <v>4039</v>
      </c>
      <c r="H148">
        <v>38</v>
      </c>
      <c r="I148">
        <v>36</v>
      </c>
      <c r="J148">
        <v>94.7</v>
      </c>
    </row>
    <row r="149" spans="1:10">
      <c r="A149" t="s">
        <v>4175</v>
      </c>
      <c r="B149" s="2">
        <v>45734</v>
      </c>
      <c r="C149">
        <v>2025</v>
      </c>
      <c r="D149">
        <v>3</v>
      </c>
      <c r="E149" t="s">
        <v>60</v>
      </c>
      <c r="F149" t="s">
        <v>38</v>
      </c>
      <c r="G149" t="s">
        <v>4021</v>
      </c>
      <c r="H149">
        <v>25</v>
      </c>
      <c r="I149">
        <v>22</v>
      </c>
      <c r="J149">
        <v>88</v>
      </c>
    </row>
    <row r="150" spans="1:10">
      <c r="A150" t="s">
        <v>4176</v>
      </c>
      <c r="B150" s="2">
        <v>45739</v>
      </c>
      <c r="C150">
        <v>2025</v>
      </c>
      <c r="D150">
        <v>3</v>
      </c>
      <c r="E150" t="s">
        <v>60</v>
      </c>
      <c r="F150" t="s">
        <v>2</v>
      </c>
      <c r="G150" t="s">
        <v>4041</v>
      </c>
      <c r="H150">
        <v>20</v>
      </c>
      <c r="I150">
        <v>15</v>
      </c>
      <c r="J150">
        <v>75</v>
      </c>
    </row>
    <row r="151" spans="1:10">
      <c r="A151" t="s">
        <v>4177</v>
      </c>
      <c r="B151" s="2">
        <v>45734</v>
      </c>
      <c r="C151">
        <v>2025</v>
      </c>
      <c r="D151">
        <v>3</v>
      </c>
      <c r="E151" t="s">
        <v>60</v>
      </c>
      <c r="F151" t="s">
        <v>78</v>
      </c>
      <c r="G151" t="s">
        <v>4021</v>
      </c>
      <c r="H151">
        <v>21</v>
      </c>
      <c r="I151">
        <v>20</v>
      </c>
      <c r="J151">
        <v>95.2</v>
      </c>
    </row>
    <row r="152" spans="1:10">
      <c r="A152" t="s">
        <v>4178</v>
      </c>
      <c r="B152" s="2">
        <v>45775</v>
      </c>
      <c r="C152">
        <v>2025</v>
      </c>
      <c r="D152">
        <v>4</v>
      </c>
      <c r="E152" t="s">
        <v>73</v>
      </c>
      <c r="F152" t="s">
        <v>26</v>
      </c>
      <c r="G152" t="s">
        <v>4034</v>
      </c>
      <c r="H152">
        <v>22</v>
      </c>
      <c r="I152">
        <v>21</v>
      </c>
      <c r="J152">
        <v>95.5</v>
      </c>
    </row>
    <row r="153" spans="1:10">
      <c r="A153" t="s">
        <v>4179</v>
      </c>
      <c r="B153" s="2">
        <v>45753</v>
      </c>
      <c r="C153">
        <v>2025</v>
      </c>
      <c r="D153">
        <v>4</v>
      </c>
      <c r="E153" t="s">
        <v>73</v>
      </c>
      <c r="F153" t="s">
        <v>31</v>
      </c>
      <c r="G153" t="s">
        <v>3026</v>
      </c>
      <c r="H153">
        <v>18</v>
      </c>
      <c r="I153">
        <v>17</v>
      </c>
      <c r="J153">
        <v>94.40000000000001</v>
      </c>
    </row>
    <row r="154" spans="1:10">
      <c r="A154" t="s">
        <v>4180</v>
      </c>
      <c r="B154" s="2">
        <v>45759</v>
      </c>
      <c r="C154">
        <v>2025</v>
      </c>
      <c r="D154">
        <v>4</v>
      </c>
      <c r="E154" t="s">
        <v>73</v>
      </c>
      <c r="F154" t="s">
        <v>47</v>
      </c>
      <c r="G154" t="s">
        <v>3039</v>
      </c>
      <c r="H154">
        <v>16</v>
      </c>
      <c r="I154">
        <v>14</v>
      </c>
      <c r="J154">
        <v>87.5</v>
      </c>
    </row>
    <row r="155" spans="1:10">
      <c r="A155" t="s">
        <v>4181</v>
      </c>
      <c r="B155" s="2">
        <v>45768</v>
      </c>
      <c r="C155">
        <v>2025</v>
      </c>
      <c r="D155">
        <v>4</v>
      </c>
      <c r="E155" t="s">
        <v>73</v>
      </c>
      <c r="F155" t="s">
        <v>40</v>
      </c>
      <c r="G155" t="s">
        <v>3026</v>
      </c>
      <c r="H155">
        <v>15</v>
      </c>
      <c r="I155">
        <v>14</v>
      </c>
      <c r="J155">
        <v>93.3</v>
      </c>
    </row>
    <row r="156" spans="1:10">
      <c r="A156" t="s">
        <v>4182</v>
      </c>
      <c r="B156" s="2">
        <v>45775</v>
      </c>
      <c r="C156">
        <v>2025</v>
      </c>
      <c r="D156">
        <v>4</v>
      </c>
      <c r="E156" t="s">
        <v>73</v>
      </c>
      <c r="F156" t="s">
        <v>54</v>
      </c>
      <c r="G156" t="s">
        <v>4021</v>
      </c>
      <c r="H156">
        <v>29</v>
      </c>
      <c r="I156">
        <v>27</v>
      </c>
      <c r="J156">
        <v>93.09999999999999</v>
      </c>
    </row>
    <row r="157" spans="1:10">
      <c r="A157" t="s">
        <v>4183</v>
      </c>
      <c r="B157" s="2">
        <v>45769</v>
      </c>
      <c r="C157">
        <v>2025</v>
      </c>
      <c r="D157">
        <v>4</v>
      </c>
      <c r="E157" t="s">
        <v>73</v>
      </c>
      <c r="F157" t="s">
        <v>67</v>
      </c>
      <c r="G157" t="s">
        <v>3039</v>
      </c>
      <c r="H157">
        <v>29</v>
      </c>
      <c r="I157">
        <v>26</v>
      </c>
      <c r="J157">
        <v>89.7</v>
      </c>
    </row>
    <row r="158" spans="1:10">
      <c r="A158" t="s">
        <v>4184</v>
      </c>
      <c r="B158" s="2">
        <v>45763</v>
      </c>
      <c r="C158">
        <v>2025</v>
      </c>
      <c r="D158">
        <v>4</v>
      </c>
      <c r="E158" t="s">
        <v>73</v>
      </c>
      <c r="F158" t="s">
        <v>19</v>
      </c>
      <c r="G158" t="s">
        <v>4032</v>
      </c>
      <c r="H158">
        <v>10</v>
      </c>
      <c r="I158">
        <v>7</v>
      </c>
      <c r="J158">
        <v>70</v>
      </c>
    </row>
    <row r="159" spans="1:10">
      <c r="A159" t="s">
        <v>4185</v>
      </c>
      <c r="B159" s="2">
        <v>45750</v>
      </c>
      <c r="C159">
        <v>2025</v>
      </c>
      <c r="D159">
        <v>4</v>
      </c>
      <c r="E159" t="s">
        <v>73</v>
      </c>
      <c r="F159" t="s">
        <v>38</v>
      </c>
      <c r="G159" t="s">
        <v>4032</v>
      </c>
      <c r="H159">
        <v>39</v>
      </c>
      <c r="I159">
        <v>33</v>
      </c>
      <c r="J159">
        <v>84.59999999999999</v>
      </c>
    </row>
    <row r="160" spans="1:10">
      <c r="A160" t="s">
        <v>4186</v>
      </c>
      <c r="B160" s="2">
        <v>45759</v>
      </c>
      <c r="C160">
        <v>2025</v>
      </c>
      <c r="D160">
        <v>4</v>
      </c>
      <c r="E160" t="s">
        <v>73</v>
      </c>
      <c r="F160" t="s">
        <v>2</v>
      </c>
      <c r="G160" t="s">
        <v>4024</v>
      </c>
      <c r="H160">
        <v>17</v>
      </c>
      <c r="I160">
        <v>12</v>
      </c>
      <c r="J160">
        <v>70.59999999999999</v>
      </c>
    </row>
    <row r="161" spans="1:10">
      <c r="A161" t="s">
        <v>4187</v>
      </c>
      <c r="B161" s="2">
        <v>45772</v>
      </c>
      <c r="C161">
        <v>2025</v>
      </c>
      <c r="D161">
        <v>4</v>
      </c>
      <c r="E161" t="s">
        <v>73</v>
      </c>
      <c r="F161" t="s">
        <v>78</v>
      </c>
      <c r="G161" t="s">
        <v>3039</v>
      </c>
      <c r="H161">
        <v>22</v>
      </c>
      <c r="I161">
        <v>16</v>
      </c>
      <c r="J161">
        <v>72.7</v>
      </c>
    </row>
    <row r="162" spans="1:10">
      <c r="A162" t="s">
        <v>4188</v>
      </c>
      <c r="B162" s="2">
        <v>45804</v>
      </c>
      <c r="C162">
        <v>2025</v>
      </c>
      <c r="D162">
        <v>5</v>
      </c>
      <c r="E162" t="s">
        <v>83</v>
      </c>
      <c r="F162" t="s">
        <v>26</v>
      </c>
      <c r="G162" t="s">
        <v>4044</v>
      </c>
      <c r="H162">
        <v>16</v>
      </c>
      <c r="I162">
        <v>14</v>
      </c>
      <c r="J162">
        <v>87.5</v>
      </c>
    </row>
    <row r="163" spans="1:10">
      <c r="A163" t="s">
        <v>4189</v>
      </c>
      <c r="B163" s="2">
        <v>45796</v>
      </c>
      <c r="C163">
        <v>2025</v>
      </c>
      <c r="D163">
        <v>5</v>
      </c>
      <c r="E163" t="s">
        <v>83</v>
      </c>
      <c r="F163" t="s">
        <v>31</v>
      </c>
      <c r="G163" t="s">
        <v>4039</v>
      </c>
      <c r="H163">
        <v>15</v>
      </c>
      <c r="I163">
        <v>13</v>
      </c>
      <c r="J163">
        <v>86.7</v>
      </c>
    </row>
    <row r="164" spans="1:10">
      <c r="A164" t="s">
        <v>4190</v>
      </c>
      <c r="B164" s="2">
        <v>45779</v>
      </c>
      <c r="C164">
        <v>2025</v>
      </c>
      <c r="D164">
        <v>5</v>
      </c>
      <c r="E164" t="s">
        <v>83</v>
      </c>
      <c r="F164" t="s">
        <v>47</v>
      </c>
      <c r="G164" t="s">
        <v>4024</v>
      </c>
      <c r="H164">
        <v>28</v>
      </c>
      <c r="I164">
        <v>23</v>
      </c>
      <c r="J164">
        <v>82.09999999999999</v>
      </c>
    </row>
    <row r="165" spans="1:10">
      <c r="A165" t="s">
        <v>4191</v>
      </c>
      <c r="B165" s="2">
        <v>45805</v>
      </c>
      <c r="C165">
        <v>2025</v>
      </c>
      <c r="D165">
        <v>5</v>
      </c>
      <c r="E165" t="s">
        <v>83</v>
      </c>
      <c r="F165" t="s">
        <v>40</v>
      </c>
      <c r="G165" t="s">
        <v>4044</v>
      </c>
      <c r="H165">
        <v>28</v>
      </c>
      <c r="I165">
        <v>23</v>
      </c>
      <c r="J165">
        <v>82.09999999999999</v>
      </c>
    </row>
    <row r="166" spans="1:10">
      <c r="A166" t="s">
        <v>4192</v>
      </c>
      <c r="B166" s="2">
        <v>45780</v>
      </c>
      <c r="C166">
        <v>2025</v>
      </c>
      <c r="D166">
        <v>5</v>
      </c>
      <c r="E166" t="s">
        <v>83</v>
      </c>
      <c r="F166" t="s">
        <v>54</v>
      </c>
      <c r="G166" t="s">
        <v>4041</v>
      </c>
      <c r="H166">
        <v>32</v>
      </c>
      <c r="I166">
        <v>29</v>
      </c>
      <c r="J166">
        <v>90.59999999999999</v>
      </c>
    </row>
    <row r="167" spans="1:10">
      <c r="A167" t="s">
        <v>4193</v>
      </c>
      <c r="B167" s="2">
        <v>45794</v>
      </c>
      <c r="C167">
        <v>2025</v>
      </c>
      <c r="D167">
        <v>5</v>
      </c>
      <c r="E167" t="s">
        <v>83</v>
      </c>
      <c r="F167" t="s">
        <v>67</v>
      </c>
      <c r="G167" t="s">
        <v>4032</v>
      </c>
      <c r="H167">
        <v>17</v>
      </c>
      <c r="I167">
        <v>15</v>
      </c>
      <c r="J167">
        <v>88.2</v>
      </c>
    </row>
    <row r="168" spans="1:10">
      <c r="A168" t="s">
        <v>4194</v>
      </c>
      <c r="B168" s="2">
        <v>45805</v>
      </c>
      <c r="C168">
        <v>2025</v>
      </c>
      <c r="D168">
        <v>5</v>
      </c>
      <c r="E168" t="s">
        <v>83</v>
      </c>
      <c r="F168" t="s">
        <v>19</v>
      </c>
      <c r="G168" t="s">
        <v>4024</v>
      </c>
      <c r="H168">
        <v>27</v>
      </c>
      <c r="I168">
        <v>21</v>
      </c>
      <c r="J168">
        <v>77.8</v>
      </c>
    </row>
    <row r="169" spans="1:10">
      <c r="A169" t="s">
        <v>4195</v>
      </c>
      <c r="B169" s="2">
        <v>45796</v>
      </c>
      <c r="C169">
        <v>2025</v>
      </c>
      <c r="D169">
        <v>5</v>
      </c>
      <c r="E169" t="s">
        <v>83</v>
      </c>
      <c r="F169" t="s">
        <v>38</v>
      </c>
      <c r="G169" t="s">
        <v>4021</v>
      </c>
      <c r="H169">
        <v>27</v>
      </c>
      <c r="I169">
        <v>23</v>
      </c>
      <c r="J169">
        <v>85.2</v>
      </c>
    </row>
    <row r="170" spans="1:10">
      <c r="A170" t="s">
        <v>4196</v>
      </c>
      <c r="B170" s="2">
        <v>45796</v>
      </c>
      <c r="C170">
        <v>2025</v>
      </c>
      <c r="D170">
        <v>5</v>
      </c>
      <c r="E170" t="s">
        <v>83</v>
      </c>
      <c r="F170" t="s">
        <v>2</v>
      </c>
      <c r="G170" t="s">
        <v>4032</v>
      </c>
      <c r="H170">
        <v>33</v>
      </c>
      <c r="I170">
        <v>27</v>
      </c>
      <c r="J170">
        <v>81.8</v>
      </c>
    </row>
    <row r="171" spans="1:10">
      <c r="A171" t="s">
        <v>4197</v>
      </c>
      <c r="B171" s="2">
        <v>45795</v>
      </c>
      <c r="C171">
        <v>2025</v>
      </c>
      <c r="D171">
        <v>5</v>
      </c>
      <c r="E171" t="s">
        <v>83</v>
      </c>
      <c r="F171" t="s">
        <v>78</v>
      </c>
      <c r="G171" t="s">
        <v>4021</v>
      </c>
      <c r="H171">
        <v>17</v>
      </c>
      <c r="I171">
        <v>16</v>
      </c>
      <c r="J171">
        <v>94.09999999999999</v>
      </c>
    </row>
    <row r="172" spans="1:10">
      <c r="A172" t="s">
        <v>4198</v>
      </c>
      <c r="B172" s="2">
        <v>45817</v>
      </c>
      <c r="C172">
        <v>2025</v>
      </c>
      <c r="D172">
        <v>6</v>
      </c>
      <c r="E172" t="s">
        <v>87</v>
      </c>
      <c r="F172" t="s">
        <v>26</v>
      </c>
      <c r="G172" t="s">
        <v>4024</v>
      </c>
      <c r="H172">
        <v>13</v>
      </c>
      <c r="I172">
        <v>9</v>
      </c>
      <c r="J172">
        <v>69.2</v>
      </c>
    </row>
    <row r="173" spans="1:10">
      <c r="A173" t="s">
        <v>4199</v>
      </c>
      <c r="B173" s="2">
        <v>45816</v>
      </c>
      <c r="C173">
        <v>2025</v>
      </c>
      <c r="D173">
        <v>6</v>
      </c>
      <c r="E173" t="s">
        <v>87</v>
      </c>
      <c r="F173" t="s">
        <v>31</v>
      </c>
      <c r="G173" t="s">
        <v>4024</v>
      </c>
      <c r="H173">
        <v>15</v>
      </c>
      <c r="I173">
        <v>12</v>
      </c>
      <c r="J173">
        <v>80</v>
      </c>
    </row>
    <row r="174" spans="1:10">
      <c r="A174" t="s">
        <v>4200</v>
      </c>
      <c r="B174" s="2">
        <v>45822</v>
      </c>
      <c r="C174">
        <v>2025</v>
      </c>
      <c r="D174">
        <v>6</v>
      </c>
      <c r="E174" t="s">
        <v>87</v>
      </c>
      <c r="F174" t="s">
        <v>47</v>
      </c>
      <c r="G174" t="s">
        <v>4024</v>
      </c>
      <c r="H174">
        <v>11</v>
      </c>
      <c r="I174">
        <v>10</v>
      </c>
      <c r="J174">
        <v>90.90000000000001</v>
      </c>
    </row>
    <row r="175" spans="1:10">
      <c r="A175" t="s">
        <v>4201</v>
      </c>
      <c r="B175" s="2">
        <v>45819</v>
      </c>
      <c r="C175">
        <v>2025</v>
      </c>
      <c r="D175">
        <v>6</v>
      </c>
      <c r="E175" t="s">
        <v>87</v>
      </c>
      <c r="F175" t="s">
        <v>40</v>
      </c>
      <c r="G175" t="s">
        <v>4032</v>
      </c>
      <c r="H175">
        <v>23</v>
      </c>
      <c r="I175">
        <v>20</v>
      </c>
      <c r="J175">
        <v>87</v>
      </c>
    </row>
    <row r="176" spans="1:10">
      <c r="A176" t="s">
        <v>4202</v>
      </c>
      <c r="B176" s="2">
        <v>45825</v>
      </c>
      <c r="C176">
        <v>2025</v>
      </c>
      <c r="D176">
        <v>6</v>
      </c>
      <c r="E176" t="s">
        <v>87</v>
      </c>
      <c r="F176" t="s">
        <v>54</v>
      </c>
      <c r="G176" t="s">
        <v>4034</v>
      </c>
      <c r="H176">
        <v>28</v>
      </c>
      <c r="I176">
        <v>24</v>
      </c>
      <c r="J176">
        <v>85.7</v>
      </c>
    </row>
    <row r="177" spans="1:10">
      <c r="A177" t="s">
        <v>4203</v>
      </c>
      <c r="B177" s="2">
        <v>45835</v>
      </c>
      <c r="C177">
        <v>2025</v>
      </c>
      <c r="D177">
        <v>6</v>
      </c>
      <c r="E177" t="s">
        <v>87</v>
      </c>
      <c r="F177" t="s">
        <v>67</v>
      </c>
      <c r="G177" t="s">
        <v>4032</v>
      </c>
      <c r="H177">
        <v>38</v>
      </c>
      <c r="I177">
        <v>31</v>
      </c>
      <c r="J177">
        <v>81.59999999999999</v>
      </c>
    </row>
    <row r="178" spans="1:10">
      <c r="A178" t="s">
        <v>4204</v>
      </c>
      <c r="B178" s="2">
        <v>45821</v>
      </c>
      <c r="C178">
        <v>2025</v>
      </c>
      <c r="D178">
        <v>6</v>
      </c>
      <c r="E178" t="s">
        <v>87</v>
      </c>
      <c r="F178" t="s">
        <v>19</v>
      </c>
      <c r="G178" t="s">
        <v>4039</v>
      </c>
      <c r="H178">
        <v>16</v>
      </c>
      <c r="I178">
        <v>14</v>
      </c>
      <c r="J178">
        <v>87.5</v>
      </c>
    </row>
    <row r="179" spans="1:10">
      <c r="A179" t="s">
        <v>4205</v>
      </c>
      <c r="B179" s="2">
        <v>45816</v>
      </c>
      <c r="C179">
        <v>2025</v>
      </c>
      <c r="D179">
        <v>6</v>
      </c>
      <c r="E179" t="s">
        <v>87</v>
      </c>
      <c r="F179" t="s">
        <v>38</v>
      </c>
      <c r="G179" t="s">
        <v>3026</v>
      </c>
      <c r="H179">
        <v>35</v>
      </c>
      <c r="I179">
        <v>33</v>
      </c>
      <c r="J179">
        <v>94.3</v>
      </c>
    </row>
    <row r="180" spans="1:10">
      <c r="A180" t="s">
        <v>4206</v>
      </c>
      <c r="B180" s="2">
        <v>45825</v>
      </c>
      <c r="C180">
        <v>2025</v>
      </c>
      <c r="D180">
        <v>6</v>
      </c>
      <c r="E180" t="s">
        <v>87</v>
      </c>
      <c r="F180" t="s">
        <v>2</v>
      </c>
      <c r="G180" t="s">
        <v>3039</v>
      </c>
      <c r="H180">
        <v>15</v>
      </c>
      <c r="I180">
        <v>12</v>
      </c>
      <c r="J180">
        <v>80</v>
      </c>
    </row>
    <row r="181" spans="1:10">
      <c r="A181" t="s">
        <v>4207</v>
      </c>
      <c r="B181" s="2">
        <v>45815</v>
      </c>
      <c r="C181">
        <v>2025</v>
      </c>
      <c r="D181">
        <v>6</v>
      </c>
      <c r="E181" t="s">
        <v>87</v>
      </c>
      <c r="F181" t="s">
        <v>78</v>
      </c>
      <c r="G181" t="s">
        <v>3026</v>
      </c>
      <c r="H181">
        <v>22</v>
      </c>
      <c r="I181">
        <v>21</v>
      </c>
      <c r="J181">
        <v>95.5</v>
      </c>
    </row>
    <row r="182" spans="1:10">
      <c r="A182" t="s">
        <v>4208</v>
      </c>
      <c r="B182" s="2">
        <v>45848</v>
      </c>
      <c r="C182">
        <v>2025</v>
      </c>
      <c r="D182">
        <v>7</v>
      </c>
      <c r="E182" t="s">
        <v>93</v>
      </c>
      <c r="F182" t="s">
        <v>26</v>
      </c>
      <c r="G182" t="s">
        <v>4021</v>
      </c>
      <c r="H182">
        <v>28</v>
      </c>
      <c r="I182">
        <v>21</v>
      </c>
      <c r="J182">
        <v>75</v>
      </c>
    </row>
    <row r="183" spans="1:10">
      <c r="A183" t="s">
        <v>4209</v>
      </c>
      <c r="B183" s="2">
        <v>45862</v>
      </c>
      <c r="C183">
        <v>2025</v>
      </c>
      <c r="D183">
        <v>7</v>
      </c>
      <c r="E183" t="s">
        <v>93</v>
      </c>
      <c r="F183" t="s">
        <v>31</v>
      </c>
      <c r="G183" t="s">
        <v>4041</v>
      </c>
      <c r="H183">
        <v>31</v>
      </c>
      <c r="I183">
        <v>26</v>
      </c>
      <c r="J183">
        <v>83.90000000000001</v>
      </c>
    </row>
    <row r="184" spans="1:10">
      <c r="A184" t="s">
        <v>4210</v>
      </c>
      <c r="B184" s="2">
        <v>45853</v>
      </c>
      <c r="C184">
        <v>2025</v>
      </c>
      <c r="D184">
        <v>7</v>
      </c>
      <c r="E184" t="s">
        <v>93</v>
      </c>
      <c r="F184" t="s">
        <v>47</v>
      </c>
      <c r="G184" t="s">
        <v>4021</v>
      </c>
      <c r="H184">
        <v>38</v>
      </c>
      <c r="I184">
        <v>37</v>
      </c>
      <c r="J184">
        <v>97.40000000000001</v>
      </c>
    </row>
    <row r="185" spans="1:10">
      <c r="A185" t="s">
        <v>4211</v>
      </c>
      <c r="B185" s="2">
        <v>45848</v>
      </c>
      <c r="C185">
        <v>2025</v>
      </c>
      <c r="D185">
        <v>7</v>
      </c>
      <c r="E185" t="s">
        <v>93</v>
      </c>
      <c r="F185" t="s">
        <v>40</v>
      </c>
      <c r="G185" t="s">
        <v>4034</v>
      </c>
      <c r="H185">
        <v>25</v>
      </c>
      <c r="I185">
        <v>21</v>
      </c>
      <c r="J185">
        <v>84</v>
      </c>
    </row>
    <row r="186" spans="1:10">
      <c r="A186" t="s">
        <v>4212</v>
      </c>
      <c r="B186" s="2">
        <v>45862</v>
      </c>
      <c r="C186">
        <v>2025</v>
      </c>
      <c r="D186">
        <v>7</v>
      </c>
      <c r="E186" t="s">
        <v>93</v>
      </c>
      <c r="F186" t="s">
        <v>54</v>
      </c>
      <c r="G186" t="s">
        <v>4039</v>
      </c>
      <c r="H186">
        <v>40</v>
      </c>
      <c r="I186">
        <v>29</v>
      </c>
      <c r="J186">
        <v>72.5</v>
      </c>
    </row>
    <row r="187" spans="1:10">
      <c r="A187" t="s">
        <v>4213</v>
      </c>
      <c r="B187" s="2">
        <v>45864</v>
      </c>
      <c r="C187">
        <v>2025</v>
      </c>
      <c r="D187">
        <v>7</v>
      </c>
      <c r="E187" t="s">
        <v>93</v>
      </c>
      <c r="F187" t="s">
        <v>67</v>
      </c>
      <c r="G187" t="s">
        <v>4041</v>
      </c>
      <c r="H187">
        <v>21</v>
      </c>
      <c r="I187">
        <v>17</v>
      </c>
      <c r="J187">
        <v>81</v>
      </c>
    </row>
    <row r="188" spans="1:10">
      <c r="A188" t="s">
        <v>4214</v>
      </c>
      <c r="B188" s="2">
        <v>45844</v>
      </c>
      <c r="C188">
        <v>2025</v>
      </c>
      <c r="D188">
        <v>7</v>
      </c>
      <c r="E188" t="s">
        <v>93</v>
      </c>
      <c r="F188" t="s">
        <v>19</v>
      </c>
      <c r="G188" t="s">
        <v>4026</v>
      </c>
      <c r="H188">
        <v>20</v>
      </c>
      <c r="I188">
        <v>18</v>
      </c>
      <c r="J188">
        <v>90</v>
      </c>
    </row>
    <row r="189" spans="1:10">
      <c r="A189" t="s">
        <v>4215</v>
      </c>
      <c r="B189" s="2">
        <v>45850</v>
      </c>
      <c r="C189">
        <v>2025</v>
      </c>
      <c r="D189">
        <v>7</v>
      </c>
      <c r="E189" t="s">
        <v>93</v>
      </c>
      <c r="F189" t="s">
        <v>38</v>
      </c>
      <c r="G189" t="s">
        <v>4021</v>
      </c>
      <c r="H189">
        <v>16</v>
      </c>
      <c r="I189">
        <v>14</v>
      </c>
      <c r="J189">
        <v>87.5</v>
      </c>
    </row>
    <row r="190" spans="1:10">
      <c r="A190" t="s">
        <v>4216</v>
      </c>
      <c r="B190" s="2">
        <v>45852</v>
      </c>
      <c r="C190">
        <v>2025</v>
      </c>
      <c r="D190">
        <v>7</v>
      </c>
      <c r="E190" t="s">
        <v>93</v>
      </c>
      <c r="F190" t="s">
        <v>2</v>
      </c>
      <c r="G190" t="s">
        <v>3026</v>
      </c>
      <c r="H190">
        <v>11</v>
      </c>
      <c r="I190">
        <v>8</v>
      </c>
      <c r="J190">
        <v>72.7</v>
      </c>
    </row>
    <row r="191" spans="1:10">
      <c r="A191" t="s">
        <v>4217</v>
      </c>
      <c r="B191" s="2">
        <v>45861</v>
      </c>
      <c r="C191">
        <v>2025</v>
      </c>
      <c r="D191">
        <v>7</v>
      </c>
      <c r="E191" t="s">
        <v>93</v>
      </c>
      <c r="F191" t="s">
        <v>78</v>
      </c>
      <c r="G191" t="s">
        <v>3026</v>
      </c>
      <c r="H191">
        <v>21</v>
      </c>
      <c r="I191">
        <v>16</v>
      </c>
      <c r="J191">
        <v>76.2</v>
      </c>
    </row>
    <row r="192" spans="1:10">
      <c r="A192" t="s">
        <v>4218</v>
      </c>
      <c r="B192" s="2">
        <v>45882</v>
      </c>
      <c r="C192">
        <v>2025</v>
      </c>
      <c r="D192">
        <v>8</v>
      </c>
      <c r="E192" t="s">
        <v>101</v>
      </c>
      <c r="F192" t="s">
        <v>26</v>
      </c>
      <c r="G192" t="s">
        <v>4039</v>
      </c>
      <c r="H192">
        <v>36</v>
      </c>
      <c r="I192">
        <v>35</v>
      </c>
      <c r="J192">
        <v>97.2</v>
      </c>
    </row>
    <row r="193" spans="1:10">
      <c r="A193" t="s">
        <v>4219</v>
      </c>
      <c r="B193" s="2">
        <v>45870</v>
      </c>
      <c r="C193">
        <v>2025</v>
      </c>
      <c r="D193">
        <v>8</v>
      </c>
      <c r="E193" t="s">
        <v>101</v>
      </c>
      <c r="F193" t="s">
        <v>31</v>
      </c>
      <c r="G193" t="s">
        <v>3039</v>
      </c>
      <c r="H193">
        <v>14</v>
      </c>
      <c r="I193">
        <v>12</v>
      </c>
      <c r="J193">
        <v>85.7</v>
      </c>
    </row>
    <row r="194" spans="1:10">
      <c r="A194" t="s">
        <v>4220</v>
      </c>
      <c r="B194" s="2">
        <v>45878</v>
      </c>
      <c r="C194">
        <v>2025</v>
      </c>
      <c r="D194">
        <v>8</v>
      </c>
      <c r="E194" t="s">
        <v>101</v>
      </c>
      <c r="F194" t="s">
        <v>47</v>
      </c>
      <c r="G194" t="s">
        <v>4024</v>
      </c>
      <c r="H194">
        <v>25</v>
      </c>
      <c r="I194">
        <v>19</v>
      </c>
      <c r="J194">
        <v>76</v>
      </c>
    </row>
    <row r="195" spans="1:10">
      <c r="A195" t="s">
        <v>4221</v>
      </c>
      <c r="B195" s="2">
        <v>45889</v>
      </c>
      <c r="C195">
        <v>2025</v>
      </c>
      <c r="D195">
        <v>8</v>
      </c>
      <c r="E195" t="s">
        <v>101</v>
      </c>
      <c r="F195" t="s">
        <v>40</v>
      </c>
      <c r="G195" t="s">
        <v>4039</v>
      </c>
      <c r="H195">
        <v>14</v>
      </c>
      <c r="I195">
        <v>10</v>
      </c>
      <c r="J195">
        <v>71.40000000000001</v>
      </c>
    </row>
    <row r="196" spans="1:10">
      <c r="A196" t="s">
        <v>4222</v>
      </c>
      <c r="B196" s="2">
        <v>45879</v>
      </c>
      <c r="C196">
        <v>2025</v>
      </c>
      <c r="D196">
        <v>8</v>
      </c>
      <c r="E196" t="s">
        <v>101</v>
      </c>
      <c r="F196" t="s">
        <v>54</v>
      </c>
      <c r="G196" t="s">
        <v>4026</v>
      </c>
      <c r="H196">
        <v>24</v>
      </c>
      <c r="I196">
        <v>18</v>
      </c>
      <c r="J196">
        <v>75</v>
      </c>
    </row>
    <row r="197" spans="1:10">
      <c r="A197" t="s">
        <v>4223</v>
      </c>
      <c r="B197" s="2">
        <v>45892</v>
      </c>
      <c r="C197">
        <v>2025</v>
      </c>
      <c r="D197">
        <v>8</v>
      </c>
      <c r="E197" t="s">
        <v>101</v>
      </c>
      <c r="F197" t="s">
        <v>67</v>
      </c>
      <c r="G197" t="s">
        <v>4021</v>
      </c>
      <c r="H197">
        <v>20</v>
      </c>
      <c r="I197">
        <v>15</v>
      </c>
      <c r="J197">
        <v>75</v>
      </c>
    </row>
    <row r="198" spans="1:10">
      <c r="A198" t="s">
        <v>4224</v>
      </c>
      <c r="B198" s="2">
        <v>45880</v>
      </c>
      <c r="C198">
        <v>2025</v>
      </c>
      <c r="D198">
        <v>8</v>
      </c>
      <c r="E198" t="s">
        <v>101</v>
      </c>
      <c r="F198" t="s">
        <v>19</v>
      </c>
      <c r="G198" t="s">
        <v>3026</v>
      </c>
      <c r="H198">
        <v>18</v>
      </c>
      <c r="I198">
        <v>14</v>
      </c>
      <c r="J198">
        <v>77.8</v>
      </c>
    </row>
    <row r="199" spans="1:10">
      <c r="A199" t="s">
        <v>4225</v>
      </c>
      <c r="B199" s="2">
        <v>45874</v>
      </c>
      <c r="C199">
        <v>2025</v>
      </c>
      <c r="D199">
        <v>8</v>
      </c>
      <c r="E199" t="s">
        <v>101</v>
      </c>
      <c r="F199" t="s">
        <v>38</v>
      </c>
      <c r="G199" t="s">
        <v>4021</v>
      </c>
      <c r="H199">
        <v>27</v>
      </c>
      <c r="I199">
        <v>24</v>
      </c>
      <c r="J199">
        <v>88.90000000000001</v>
      </c>
    </row>
    <row r="200" spans="1:10">
      <c r="A200" t="s">
        <v>4226</v>
      </c>
      <c r="B200" s="2">
        <v>45892</v>
      </c>
      <c r="C200">
        <v>2025</v>
      </c>
      <c r="D200">
        <v>8</v>
      </c>
      <c r="E200" t="s">
        <v>101</v>
      </c>
      <c r="F200" t="s">
        <v>2</v>
      </c>
      <c r="G200" t="s">
        <v>4039</v>
      </c>
      <c r="H200">
        <v>39</v>
      </c>
      <c r="I200">
        <v>31</v>
      </c>
      <c r="J200">
        <v>79.5</v>
      </c>
    </row>
    <row r="201" spans="1:10">
      <c r="A201" t="s">
        <v>4227</v>
      </c>
      <c r="B201" s="2">
        <v>45890</v>
      </c>
      <c r="C201">
        <v>2025</v>
      </c>
      <c r="D201">
        <v>8</v>
      </c>
      <c r="E201" t="s">
        <v>101</v>
      </c>
      <c r="F201" t="s">
        <v>78</v>
      </c>
      <c r="G201" t="s">
        <v>4024</v>
      </c>
      <c r="H201">
        <v>40</v>
      </c>
      <c r="I201">
        <v>33</v>
      </c>
      <c r="J201">
        <v>82.5</v>
      </c>
    </row>
    <row r="202" spans="1:10">
      <c r="A202" t="s">
        <v>4228</v>
      </c>
      <c r="B202" s="2">
        <v>45923</v>
      </c>
      <c r="C202">
        <v>2025</v>
      </c>
      <c r="D202">
        <v>9</v>
      </c>
      <c r="E202" t="s">
        <v>105</v>
      </c>
      <c r="F202" t="s">
        <v>26</v>
      </c>
      <c r="G202" t="s">
        <v>4044</v>
      </c>
      <c r="H202">
        <v>10</v>
      </c>
      <c r="I202">
        <v>8</v>
      </c>
      <c r="J202">
        <v>80</v>
      </c>
    </row>
    <row r="203" spans="1:10">
      <c r="A203" t="s">
        <v>4229</v>
      </c>
      <c r="B203" s="2">
        <v>45913</v>
      </c>
      <c r="C203">
        <v>2025</v>
      </c>
      <c r="D203">
        <v>9</v>
      </c>
      <c r="E203" t="s">
        <v>105</v>
      </c>
      <c r="F203" t="s">
        <v>31</v>
      </c>
      <c r="G203" t="s">
        <v>4039</v>
      </c>
      <c r="H203">
        <v>28</v>
      </c>
      <c r="I203">
        <v>24</v>
      </c>
      <c r="J203">
        <v>85.7</v>
      </c>
    </row>
    <row r="204" spans="1:10">
      <c r="A204" t="s">
        <v>4230</v>
      </c>
      <c r="B204" s="2">
        <v>45925</v>
      </c>
      <c r="C204">
        <v>2025</v>
      </c>
      <c r="D204">
        <v>9</v>
      </c>
      <c r="E204" t="s">
        <v>105</v>
      </c>
      <c r="F204" t="s">
        <v>47</v>
      </c>
      <c r="G204" t="s">
        <v>4034</v>
      </c>
      <c r="H204">
        <v>40</v>
      </c>
      <c r="I204">
        <v>32</v>
      </c>
      <c r="J204">
        <v>80</v>
      </c>
    </row>
    <row r="205" spans="1:10">
      <c r="A205" t="s">
        <v>4231</v>
      </c>
      <c r="B205" s="2">
        <v>45918</v>
      </c>
      <c r="C205">
        <v>2025</v>
      </c>
      <c r="D205">
        <v>9</v>
      </c>
      <c r="E205" t="s">
        <v>105</v>
      </c>
      <c r="F205" t="s">
        <v>40</v>
      </c>
      <c r="G205" t="s">
        <v>4034</v>
      </c>
      <c r="H205">
        <v>28</v>
      </c>
      <c r="I205">
        <v>24</v>
      </c>
      <c r="J205">
        <v>85.7</v>
      </c>
    </row>
    <row r="206" spans="1:10">
      <c r="A206" t="s">
        <v>4232</v>
      </c>
      <c r="B206" s="2">
        <v>45920</v>
      </c>
      <c r="C206">
        <v>2025</v>
      </c>
      <c r="D206">
        <v>9</v>
      </c>
      <c r="E206" t="s">
        <v>105</v>
      </c>
      <c r="F206" t="s">
        <v>54</v>
      </c>
      <c r="G206" t="s">
        <v>3039</v>
      </c>
      <c r="H206">
        <v>37</v>
      </c>
      <c r="I206">
        <v>34</v>
      </c>
      <c r="J206">
        <v>91.90000000000001</v>
      </c>
    </row>
    <row r="207" spans="1:10">
      <c r="A207" t="s">
        <v>4233</v>
      </c>
      <c r="B207" s="2">
        <v>45926</v>
      </c>
      <c r="C207">
        <v>2025</v>
      </c>
      <c r="D207">
        <v>9</v>
      </c>
      <c r="E207" t="s">
        <v>105</v>
      </c>
      <c r="F207" t="s">
        <v>67</v>
      </c>
      <c r="G207" t="s">
        <v>4032</v>
      </c>
      <c r="H207">
        <v>21</v>
      </c>
      <c r="I207">
        <v>16</v>
      </c>
      <c r="J207">
        <v>76.2</v>
      </c>
    </row>
    <row r="208" spans="1:10">
      <c r="A208" t="s">
        <v>4234</v>
      </c>
      <c r="B208" s="2">
        <v>45911</v>
      </c>
      <c r="C208">
        <v>2025</v>
      </c>
      <c r="D208">
        <v>9</v>
      </c>
      <c r="E208" t="s">
        <v>105</v>
      </c>
      <c r="F208" t="s">
        <v>19</v>
      </c>
      <c r="G208" t="s">
        <v>4039</v>
      </c>
      <c r="H208">
        <v>21</v>
      </c>
      <c r="I208">
        <v>19</v>
      </c>
      <c r="J208">
        <v>90.5</v>
      </c>
    </row>
    <row r="209" spans="1:10">
      <c r="A209" t="s">
        <v>4235</v>
      </c>
      <c r="B209" s="2">
        <v>45904</v>
      </c>
      <c r="C209">
        <v>2025</v>
      </c>
      <c r="D209">
        <v>9</v>
      </c>
      <c r="E209" t="s">
        <v>105</v>
      </c>
      <c r="F209" t="s">
        <v>38</v>
      </c>
      <c r="G209" t="s">
        <v>4034</v>
      </c>
      <c r="H209">
        <v>27</v>
      </c>
      <c r="I209">
        <v>21</v>
      </c>
      <c r="J209">
        <v>77.8</v>
      </c>
    </row>
    <row r="210" spans="1:10">
      <c r="A210" t="s">
        <v>4236</v>
      </c>
      <c r="B210" s="2">
        <v>45918</v>
      </c>
      <c r="C210">
        <v>2025</v>
      </c>
      <c r="D210">
        <v>9</v>
      </c>
      <c r="E210" t="s">
        <v>105</v>
      </c>
      <c r="F210" t="s">
        <v>2</v>
      </c>
      <c r="G210" t="s">
        <v>4024</v>
      </c>
      <c r="H210">
        <v>20</v>
      </c>
      <c r="I210">
        <v>16</v>
      </c>
      <c r="J210">
        <v>80</v>
      </c>
    </row>
    <row r="211" spans="1:10">
      <c r="A211" t="s">
        <v>4237</v>
      </c>
      <c r="B211" s="2">
        <v>45901</v>
      </c>
      <c r="C211">
        <v>2025</v>
      </c>
      <c r="D211">
        <v>9</v>
      </c>
      <c r="E211" t="s">
        <v>105</v>
      </c>
      <c r="F211" t="s">
        <v>78</v>
      </c>
      <c r="G211" t="s">
        <v>4024</v>
      </c>
      <c r="H211">
        <v>15</v>
      </c>
      <c r="I211">
        <v>14</v>
      </c>
      <c r="J211">
        <v>93.3</v>
      </c>
    </row>
    <row r="212" spans="1:10">
      <c r="A212" t="s">
        <v>4238</v>
      </c>
      <c r="B212" s="2">
        <v>45947</v>
      </c>
      <c r="C212">
        <v>2025</v>
      </c>
      <c r="D212">
        <v>10</v>
      </c>
      <c r="E212" t="s">
        <v>113</v>
      </c>
      <c r="F212" t="s">
        <v>26</v>
      </c>
      <c r="G212" t="s">
        <v>4039</v>
      </c>
      <c r="H212">
        <v>13</v>
      </c>
      <c r="I212">
        <v>11</v>
      </c>
      <c r="J212">
        <v>84.59999999999999</v>
      </c>
    </row>
    <row r="213" spans="1:10">
      <c r="A213" t="s">
        <v>4239</v>
      </c>
      <c r="B213" s="2">
        <v>45936</v>
      </c>
      <c r="C213">
        <v>2025</v>
      </c>
      <c r="D213">
        <v>10</v>
      </c>
      <c r="E213" t="s">
        <v>113</v>
      </c>
      <c r="F213" t="s">
        <v>31</v>
      </c>
      <c r="G213" t="s">
        <v>4026</v>
      </c>
      <c r="H213">
        <v>39</v>
      </c>
      <c r="I213">
        <v>32</v>
      </c>
      <c r="J213">
        <v>82.09999999999999</v>
      </c>
    </row>
    <row r="214" spans="1:10">
      <c r="A214" t="s">
        <v>4240</v>
      </c>
      <c r="B214" s="2">
        <v>45946</v>
      </c>
      <c r="C214">
        <v>2025</v>
      </c>
      <c r="D214">
        <v>10</v>
      </c>
      <c r="E214" t="s">
        <v>113</v>
      </c>
      <c r="F214" t="s">
        <v>47</v>
      </c>
      <c r="G214" t="s">
        <v>4041</v>
      </c>
      <c r="H214">
        <v>10</v>
      </c>
      <c r="I214">
        <v>8</v>
      </c>
      <c r="J214">
        <v>80</v>
      </c>
    </row>
    <row r="215" spans="1:10">
      <c r="A215" t="s">
        <v>4241</v>
      </c>
      <c r="B215" s="2">
        <v>45939</v>
      </c>
      <c r="C215">
        <v>2025</v>
      </c>
      <c r="D215">
        <v>10</v>
      </c>
      <c r="E215" t="s">
        <v>113</v>
      </c>
      <c r="F215" t="s">
        <v>40</v>
      </c>
      <c r="G215" t="s">
        <v>4039</v>
      </c>
      <c r="H215">
        <v>30</v>
      </c>
      <c r="I215">
        <v>29</v>
      </c>
      <c r="J215">
        <v>96.7</v>
      </c>
    </row>
    <row r="216" spans="1:10">
      <c r="A216" t="s">
        <v>4242</v>
      </c>
      <c r="B216" s="2">
        <v>45932</v>
      </c>
      <c r="C216">
        <v>2025</v>
      </c>
      <c r="D216">
        <v>10</v>
      </c>
      <c r="E216" t="s">
        <v>113</v>
      </c>
      <c r="F216" t="s">
        <v>54</v>
      </c>
      <c r="G216" t="s">
        <v>4024</v>
      </c>
      <c r="H216">
        <v>35</v>
      </c>
      <c r="I216">
        <v>30</v>
      </c>
      <c r="J216">
        <v>85.7</v>
      </c>
    </row>
    <row r="217" spans="1:10">
      <c r="A217" t="s">
        <v>4243</v>
      </c>
      <c r="B217" s="2">
        <v>45951</v>
      </c>
      <c r="C217">
        <v>2025</v>
      </c>
      <c r="D217">
        <v>10</v>
      </c>
      <c r="E217" t="s">
        <v>113</v>
      </c>
      <c r="F217" t="s">
        <v>67</v>
      </c>
      <c r="G217" t="s">
        <v>4024</v>
      </c>
      <c r="H217">
        <v>17</v>
      </c>
      <c r="I217">
        <v>13</v>
      </c>
      <c r="J217">
        <v>76.5</v>
      </c>
    </row>
    <row r="218" spans="1:10">
      <c r="A218" t="s">
        <v>4244</v>
      </c>
      <c r="B218" s="2">
        <v>45944</v>
      </c>
      <c r="C218">
        <v>2025</v>
      </c>
      <c r="D218">
        <v>10</v>
      </c>
      <c r="E218" t="s">
        <v>113</v>
      </c>
      <c r="F218" t="s">
        <v>19</v>
      </c>
      <c r="G218" t="s">
        <v>4044</v>
      </c>
      <c r="H218">
        <v>31</v>
      </c>
      <c r="I218">
        <v>29</v>
      </c>
      <c r="J218">
        <v>93.5</v>
      </c>
    </row>
    <row r="219" spans="1:10">
      <c r="A219" t="s">
        <v>4245</v>
      </c>
      <c r="B219" s="2">
        <v>45946</v>
      </c>
      <c r="C219">
        <v>2025</v>
      </c>
      <c r="D219">
        <v>10</v>
      </c>
      <c r="E219" t="s">
        <v>113</v>
      </c>
      <c r="F219" t="s">
        <v>38</v>
      </c>
      <c r="G219" t="s">
        <v>4044</v>
      </c>
      <c r="H219">
        <v>34</v>
      </c>
      <c r="I219">
        <v>30</v>
      </c>
      <c r="J219">
        <v>88.2</v>
      </c>
    </row>
    <row r="220" spans="1:10">
      <c r="A220" t="s">
        <v>4246</v>
      </c>
      <c r="B220" s="2">
        <v>45938</v>
      </c>
      <c r="C220">
        <v>2025</v>
      </c>
      <c r="D220">
        <v>10</v>
      </c>
      <c r="E220" t="s">
        <v>113</v>
      </c>
      <c r="F220" t="s">
        <v>2</v>
      </c>
      <c r="G220" t="s">
        <v>4039</v>
      </c>
      <c r="H220">
        <v>14</v>
      </c>
      <c r="I220">
        <v>13</v>
      </c>
      <c r="J220">
        <v>92.90000000000001</v>
      </c>
    </row>
    <row r="221" spans="1:10">
      <c r="A221" t="s">
        <v>4247</v>
      </c>
      <c r="B221" s="2">
        <v>45940</v>
      </c>
      <c r="C221">
        <v>2025</v>
      </c>
      <c r="D221">
        <v>10</v>
      </c>
      <c r="E221" t="s">
        <v>113</v>
      </c>
      <c r="F221" t="s">
        <v>78</v>
      </c>
      <c r="G221" t="s">
        <v>4021</v>
      </c>
      <c r="H221">
        <v>38</v>
      </c>
      <c r="I221">
        <v>31</v>
      </c>
      <c r="J221">
        <v>81.59999999999999</v>
      </c>
    </row>
    <row r="222" spans="1:10">
      <c r="A222" t="s">
        <v>4248</v>
      </c>
      <c r="B222" s="2">
        <v>45982</v>
      </c>
      <c r="C222">
        <v>2025</v>
      </c>
      <c r="D222">
        <v>11</v>
      </c>
      <c r="E222" t="s">
        <v>117</v>
      </c>
      <c r="F222" t="s">
        <v>26</v>
      </c>
      <c r="G222" t="s">
        <v>4032</v>
      </c>
      <c r="H222">
        <v>24</v>
      </c>
      <c r="I222">
        <v>20</v>
      </c>
      <c r="J222">
        <v>83.3</v>
      </c>
    </row>
    <row r="223" spans="1:10">
      <c r="A223" t="s">
        <v>4249</v>
      </c>
      <c r="B223" s="2">
        <v>45976</v>
      </c>
      <c r="C223">
        <v>2025</v>
      </c>
      <c r="D223">
        <v>11</v>
      </c>
      <c r="E223" t="s">
        <v>117</v>
      </c>
      <c r="F223" t="s">
        <v>31</v>
      </c>
      <c r="G223" t="s">
        <v>3039</v>
      </c>
      <c r="H223">
        <v>16</v>
      </c>
      <c r="I223">
        <v>11</v>
      </c>
      <c r="J223">
        <v>68.8</v>
      </c>
    </row>
    <row r="224" spans="1:10">
      <c r="A224" t="s">
        <v>4250</v>
      </c>
      <c r="B224" s="2">
        <v>45977</v>
      </c>
      <c r="C224">
        <v>2025</v>
      </c>
      <c r="D224">
        <v>11</v>
      </c>
      <c r="E224" t="s">
        <v>117</v>
      </c>
      <c r="F224" t="s">
        <v>47</v>
      </c>
      <c r="G224" t="s">
        <v>4024</v>
      </c>
      <c r="H224">
        <v>35</v>
      </c>
      <c r="I224">
        <v>34</v>
      </c>
      <c r="J224">
        <v>97.09999999999999</v>
      </c>
    </row>
    <row r="225" spans="1:10">
      <c r="A225" t="s">
        <v>4251</v>
      </c>
      <c r="B225" s="2">
        <v>45973</v>
      </c>
      <c r="C225">
        <v>2025</v>
      </c>
      <c r="D225">
        <v>11</v>
      </c>
      <c r="E225" t="s">
        <v>117</v>
      </c>
      <c r="F225" t="s">
        <v>40</v>
      </c>
      <c r="G225" t="s">
        <v>4039</v>
      </c>
      <c r="H225">
        <v>38</v>
      </c>
      <c r="I225">
        <v>32</v>
      </c>
      <c r="J225">
        <v>84.2</v>
      </c>
    </row>
    <row r="226" spans="1:10">
      <c r="A226" t="s">
        <v>4252</v>
      </c>
      <c r="B226" s="2">
        <v>45985</v>
      </c>
      <c r="C226">
        <v>2025</v>
      </c>
      <c r="D226">
        <v>11</v>
      </c>
      <c r="E226" t="s">
        <v>117</v>
      </c>
      <c r="F226" t="s">
        <v>54</v>
      </c>
      <c r="G226" t="s">
        <v>4021</v>
      </c>
      <c r="H226">
        <v>34</v>
      </c>
      <c r="I226">
        <v>33</v>
      </c>
      <c r="J226">
        <v>97.09999999999999</v>
      </c>
    </row>
    <row r="227" spans="1:10">
      <c r="A227" t="s">
        <v>4253</v>
      </c>
      <c r="B227" s="2">
        <v>45982</v>
      </c>
      <c r="C227">
        <v>2025</v>
      </c>
      <c r="D227">
        <v>11</v>
      </c>
      <c r="E227" t="s">
        <v>117</v>
      </c>
      <c r="F227" t="s">
        <v>67</v>
      </c>
      <c r="G227" t="s">
        <v>3039</v>
      </c>
      <c r="H227">
        <v>13</v>
      </c>
      <c r="I227">
        <v>10</v>
      </c>
      <c r="J227">
        <v>76.90000000000001</v>
      </c>
    </row>
    <row r="228" spans="1:10">
      <c r="A228" t="s">
        <v>4254</v>
      </c>
      <c r="B228" s="2">
        <v>45967</v>
      </c>
      <c r="C228">
        <v>2025</v>
      </c>
      <c r="D228">
        <v>11</v>
      </c>
      <c r="E228" t="s">
        <v>117</v>
      </c>
      <c r="F228" t="s">
        <v>19</v>
      </c>
      <c r="G228" t="s">
        <v>3026</v>
      </c>
      <c r="H228">
        <v>21</v>
      </c>
      <c r="I228">
        <v>19</v>
      </c>
      <c r="J228">
        <v>90.5</v>
      </c>
    </row>
    <row r="229" spans="1:10">
      <c r="A229" t="s">
        <v>4255</v>
      </c>
      <c r="B229" s="2">
        <v>45976</v>
      </c>
      <c r="C229">
        <v>2025</v>
      </c>
      <c r="D229">
        <v>11</v>
      </c>
      <c r="E229" t="s">
        <v>117</v>
      </c>
      <c r="F229" t="s">
        <v>38</v>
      </c>
      <c r="G229" t="s">
        <v>4034</v>
      </c>
      <c r="H229">
        <v>21</v>
      </c>
      <c r="I229">
        <v>19</v>
      </c>
      <c r="J229">
        <v>90.5</v>
      </c>
    </row>
    <row r="230" spans="1:10">
      <c r="A230" t="s">
        <v>4256</v>
      </c>
      <c r="B230" s="2">
        <v>45978</v>
      </c>
      <c r="C230">
        <v>2025</v>
      </c>
      <c r="D230">
        <v>11</v>
      </c>
      <c r="E230" t="s">
        <v>117</v>
      </c>
      <c r="F230" t="s">
        <v>2</v>
      </c>
      <c r="G230" t="s">
        <v>4021</v>
      </c>
      <c r="H230">
        <v>18</v>
      </c>
      <c r="I230">
        <v>13</v>
      </c>
      <c r="J230">
        <v>72.2</v>
      </c>
    </row>
    <row r="231" spans="1:10">
      <c r="A231" t="s">
        <v>4257</v>
      </c>
      <c r="B231" s="2">
        <v>45975</v>
      </c>
      <c r="C231">
        <v>2025</v>
      </c>
      <c r="D231">
        <v>11</v>
      </c>
      <c r="E231" t="s">
        <v>117</v>
      </c>
      <c r="F231" t="s">
        <v>78</v>
      </c>
      <c r="G231" t="s">
        <v>4044</v>
      </c>
      <c r="H231">
        <v>23</v>
      </c>
      <c r="I231">
        <v>21</v>
      </c>
      <c r="J231">
        <v>91.3</v>
      </c>
    </row>
    <row r="232" spans="1:10">
      <c r="A232" t="s">
        <v>4258</v>
      </c>
      <c r="B232" s="2">
        <v>46010</v>
      </c>
      <c r="C232">
        <v>2025</v>
      </c>
      <c r="D232">
        <v>12</v>
      </c>
      <c r="E232" t="s">
        <v>124</v>
      </c>
      <c r="F232" t="s">
        <v>26</v>
      </c>
      <c r="G232" t="s">
        <v>4021</v>
      </c>
      <c r="H232">
        <v>15</v>
      </c>
      <c r="I232">
        <v>11</v>
      </c>
      <c r="J232">
        <v>73.3</v>
      </c>
    </row>
    <row r="233" spans="1:10">
      <c r="A233" t="s">
        <v>4259</v>
      </c>
      <c r="B233" s="2">
        <v>45999</v>
      </c>
      <c r="C233">
        <v>2025</v>
      </c>
      <c r="D233">
        <v>12</v>
      </c>
      <c r="E233" t="s">
        <v>124</v>
      </c>
      <c r="F233" t="s">
        <v>31</v>
      </c>
      <c r="G233" t="s">
        <v>3026</v>
      </c>
      <c r="H233">
        <v>37</v>
      </c>
      <c r="I233">
        <v>29</v>
      </c>
      <c r="J233">
        <v>78.40000000000001</v>
      </c>
    </row>
    <row r="234" spans="1:10">
      <c r="A234" t="s">
        <v>4260</v>
      </c>
      <c r="B234" s="2">
        <v>46003</v>
      </c>
      <c r="C234">
        <v>2025</v>
      </c>
      <c r="D234">
        <v>12</v>
      </c>
      <c r="E234" t="s">
        <v>124</v>
      </c>
      <c r="F234" t="s">
        <v>47</v>
      </c>
      <c r="G234" t="s">
        <v>4041</v>
      </c>
      <c r="H234">
        <v>22</v>
      </c>
      <c r="I234">
        <v>19</v>
      </c>
      <c r="J234">
        <v>86.40000000000001</v>
      </c>
    </row>
    <row r="235" spans="1:10">
      <c r="A235" t="s">
        <v>4261</v>
      </c>
      <c r="B235" s="2">
        <v>46019</v>
      </c>
      <c r="C235">
        <v>2025</v>
      </c>
      <c r="D235">
        <v>12</v>
      </c>
      <c r="E235" t="s">
        <v>124</v>
      </c>
      <c r="F235" t="s">
        <v>40</v>
      </c>
      <c r="G235" t="s">
        <v>4041</v>
      </c>
      <c r="H235">
        <v>31</v>
      </c>
      <c r="I235">
        <v>26</v>
      </c>
      <c r="J235">
        <v>83.90000000000001</v>
      </c>
    </row>
    <row r="236" spans="1:10">
      <c r="A236" t="s">
        <v>4262</v>
      </c>
      <c r="B236" s="2">
        <v>45998</v>
      </c>
      <c r="C236">
        <v>2025</v>
      </c>
      <c r="D236">
        <v>12</v>
      </c>
      <c r="E236" t="s">
        <v>124</v>
      </c>
      <c r="F236" t="s">
        <v>54</v>
      </c>
      <c r="G236" t="s">
        <v>4021</v>
      </c>
      <c r="H236">
        <v>12</v>
      </c>
      <c r="I236">
        <v>11</v>
      </c>
      <c r="J236">
        <v>91.7</v>
      </c>
    </row>
    <row r="237" spans="1:10">
      <c r="A237" t="s">
        <v>4263</v>
      </c>
      <c r="B237" s="2">
        <v>45999</v>
      </c>
      <c r="C237">
        <v>2025</v>
      </c>
      <c r="D237">
        <v>12</v>
      </c>
      <c r="E237" t="s">
        <v>124</v>
      </c>
      <c r="F237" t="s">
        <v>67</v>
      </c>
      <c r="G237" t="s">
        <v>3026</v>
      </c>
      <c r="H237">
        <v>23</v>
      </c>
      <c r="I237">
        <v>17</v>
      </c>
      <c r="J237">
        <v>73.90000000000001</v>
      </c>
    </row>
    <row r="238" spans="1:10">
      <c r="A238" t="s">
        <v>4264</v>
      </c>
      <c r="B238" s="2">
        <v>46012</v>
      </c>
      <c r="C238">
        <v>2025</v>
      </c>
      <c r="D238">
        <v>12</v>
      </c>
      <c r="E238" t="s">
        <v>124</v>
      </c>
      <c r="F238" t="s">
        <v>19</v>
      </c>
      <c r="G238" t="s">
        <v>4021</v>
      </c>
      <c r="H238">
        <v>17</v>
      </c>
      <c r="I238">
        <v>15</v>
      </c>
      <c r="J238">
        <v>88.2</v>
      </c>
    </row>
    <row r="239" spans="1:10">
      <c r="A239" t="s">
        <v>4265</v>
      </c>
      <c r="B239" s="2">
        <v>45992</v>
      </c>
      <c r="C239">
        <v>2025</v>
      </c>
      <c r="D239">
        <v>12</v>
      </c>
      <c r="E239" t="s">
        <v>124</v>
      </c>
      <c r="F239" t="s">
        <v>38</v>
      </c>
      <c r="G239" t="s">
        <v>4021</v>
      </c>
      <c r="H239">
        <v>16</v>
      </c>
      <c r="I239">
        <v>12</v>
      </c>
      <c r="J239">
        <v>75</v>
      </c>
    </row>
    <row r="240" spans="1:10">
      <c r="A240" t="s">
        <v>4266</v>
      </c>
      <c r="B240" s="2">
        <v>46002</v>
      </c>
      <c r="C240">
        <v>2025</v>
      </c>
      <c r="D240">
        <v>12</v>
      </c>
      <c r="E240" t="s">
        <v>124</v>
      </c>
      <c r="F240" t="s">
        <v>2</v>
      </c>
      <c r="G240" t="s">
        <v>3026</v>
      </c>
      <c r="H240">
        <v>20</v>
      </c>
      <c r="I240">
        <v>14</v>
      </c>
      <c r="J240">
        <v>70</v>
      </c>
    </row>
    <row r="241" spans="1:10">
      <c r="A241" t="s">
        <v>4267</v>
      </c>
      <c r="B241" s="2">
        <v>46010</v>
      </c>
      <c r="C241">
        <v>2025</v>
      </c>
      <c r="D241">
        <v>12</v>
      </c>
      <c r="E241" t="s">
        <v>124</v>
      </c>
      <c r="F241" t="s">
        <v>78</v>
      </c>
      <c r="G241" t="s">
        <v>3039</v>
      </c>
      <c r="H241">
        <v>38</v>
      </c>
      <c r="I241">
        <v>30</v>
      </c>
      <c r="J241">
        <v>78.90000000000001</v>
      </c>
    </row>
    <row r="242" spans="1:10">
      <c r="A242" t="s">
        <v>4268</v>
      </c>
      <c r="B242" s="2">
        <v>46036</v>
      </c>
      <c r="C242">
        <v>2026</v>
      </c>
      <c r="D242">
        <v>1</v>
      </c>
      <c r="E242" t="s">
        <v>1</v>
      </c>
      <c r="F242" t="s">
        <v>26</v>
      </c>
      <c r="G242" t="s">
        <v>4044</v>
      </c>
      <c r="H242">
        <v>27</v>
      </c>
      <c r="I242">
        <v>22</v>
      </c>
      <c r="J242">
        <v>81.5</v>
      </c>
    </row>
    <row r="243" spans="1:10">
      <c r="A243" t="s">
        <v>4269</v>
      </c>
      <c r="B243" s="2">
        <v>46023</v>
      </c>
      <c r="C243">
        <v>2026</v>
      </c>
      <c r="D243">
        <v>1</v>
      </c>
      <c r="E243" t="s">
        <v>1</v>
      </c>
      <c r="F243" t="s">
        <v>31</v>
      </c>
      <c r="G243" t="s">
        <v>4032</v>
      </c>
      <c r="H243">
        <v>20</v>
      </c>
      <c r="I243">
        <v>18</v>
      </c>
      <c r="J243">
        <v>90</v>
      </c>
    </row>
    <row r="244" spans="1:10">
      <c r="A244" t="s">
        <v>4270</v>
      </c>
      <c r="B244" s="2">
        <v>46045</v>
      </c>
      <c r="C244">
        <v>2026</v>
      </c>
      <c r="D244">
        <v>1</v>
      </c>
      <c r="E244" t="s">
        <v>1</v>
      </c>
      <c r="F244" t="s">
        <v>47</v>
      </c>
      <c r="G244" t="s">
        <v>4039</v>
      </c>
      <c r="H244">
        <v>21</v>
      </c>
      <c r="I244">
        <v>16</v>
      </c>
      <c r="J244">
        <v>76.2</v>
      </c>
    </row>
    <row r="245" spans="1:10">
      <c r="A245" t="s">
        <v>4271</v>
      </c>
      <c r="B245" s="2">
        <v>46043</v>
      </c>
      <c r="C245">
        <v>2026</v>
      </c>
      <c r="D245">
        <v>1</v>
      </c>
      <c r="E245" t="s">
        <v>1</v>
      </c>
      <c r="F245" t="s">
        <v>40</v>
      </c>
      <c r="G245" t="s">
        <v>4041</v>
      </c>
      <c r="H245">
        <v>38</v>
      </c>
      <c r="I245">
        <v>28</v>
      </c>
      <c r="J245">
        <v>73.7</v>
      </c>
    </row>
    <row r="246" spans="1:10">
      <c r="A246" t="s">
        <v>4272</v>
      </c>
      <c r="B246" s="2">
        <v>46027</v>
      </c>
      <c r="C246">
        <v>2026</v>
      </c>
      <c r="D246">
        <v>1</v>
      </c>
      <c r="E246" t="s">
        <v>1</v>
      </c>
      <c r="F246" t="s">
        <v>54</v>
      </c>
      <c r="G246" t="s">
        <v>4026</v>
      </c>
      <c r="H246">
        <v>22</v>
      </c>
      <c r="I246">
        <v>19</v>
      </c>
      <c r="J246">
        <v>86.40000000000001</v>
      </c>
    </row>
    <row r="247" spans="1:10">
      <c r="A247" t="s">
        <v>4273</v>
      </c>
      <c r="B247" s="2">
        <v>46043</v>
      </c>
      <c r="C247">
        <v>2026</v>
      </c>
      <c r="D247">
        <v>1</v>
      </c>
      <c r="E247" t="s">
        <v>1</v>
      </c>
      <c r="F247" t="s">
        <v>67</v>
      </c>
      <c r="G247" t="s">
        <v>4024</v>
      </c>
      <c r="H247">
        <v>37</v>
      </c>
      <c r="I247">
        <v>27</v>
      </c>
      <c r="J247">
        <v>73</v>
      </c>
    </row>
    <row r="248" spans="1:10">
      <c r="A248" t="s">
        <v>4274</v>
      </c>
      <c r="B248" s="2">
        <v>46033</v>
      </c>
      <c r="C248">
        <v>2026</v>
      </c>
      <c r="D248">
        <v>1</v>
      </c>
      <c r="E248" t="s">
        <v>1</v>
      </c>
      <c r="F248" t="s">
        <v>19</v>
      </c>
      <c r="G248" t="s">
        <v>4026</v>
      </c>
      <c r="H248">
        <v>33</v>
      </c>
      <c r="I248">
        <v>32</v>
      </c>
      <c r="J248">
        <v>97</v>
      </c>
    </row>
    <row r="249" spans="1:10">
      <c r="A249" t="s">
        <v>4275</v>
      </c>
      <c r="B249" s="2">
        <v>46042</v>
      </c>
      <c r="C249">
        <v>2026</v>
      </c>
      <c r="D249">
        <v>1</v>
      </c>
      <c r="E249" t="s">
        <v>1</v>
      </c>
      <c r="F249" t="s">
        <v>38</v>
      </c>
      <c r="G249" t="s">
        <v>4034</v>
      </c>
      <c r="H249">
        <v>17</v>
      </c>
      <c r="I249">
        <v>13</v>
      </c>
      <c r="J249">
        <v>76.5</v>
      </c>
    </row>
    <row r="250" spans="1:10">
      <c r="A250" t="s">
        <v>4276</v>
      </c>
      <c r="B250" s="2">
        <v>46049</v>
      </c>
      <c r="C250">
        <v>2026</v>
      </c>
      <c r="D250">
        <v>1</v>
      </c>
      <c r="E250" t="s">
        <v>1</v>
      </c>
      <c r="F250" t="s">
        <v>2</v>
      </c>
      <c r="G250" t="s">
        <v>4024</v>
      </c>
      <c r="H250">
        <v>21</v>
      </c>
      <c r="I250">
        <v>17</v>
      </c>
      <c r="J250">
        <v>81</v>
      </c>
    </row>
    <row r="251" spans="1:10">
      <c r="A251" t="s">
        <v>4277</v>
      </c>
      <c r="B251" s="2">
        <v>46039</v>
      </c>
      <c r="C251">
        <v>2026</v>
      </c>
      <c r="D251">
        <v>1</v>
      </c>
      <c r="E251" t="s">
        <v>1</v>
      </c>
      <c r="F251" t="s">
        <v>78</v>
      </c>
      <c r="G251" t="s">
        <v>3039</v>
      </c>
      <c r="H251">
        <v>20</v>
      </c>
      <c r="I251">
        <v>15</v>
      </c>
      <c r="J251">
        <v>75</v>
      </c>
    </row>
    <row r="252" spans="1:10">
      <c r="A252" t="s">
        <v>4278</v>
      </c>
      <c r="B252" s="2">
        <v>46064</v>
      </c>
      <c r="C252">
        <v>2026</v>
      </c>
      <c r="D252">
        <v>2</v>
      </c>
      <c r="E252" t="s">
        <v>25</v>
      </c>
      <c r="F252" t="s">
        <v>26</v>
      </c>
      <c r="G252" t="s">
        <v>4026</v>
      </c>
      <c r="H252">
        <v>33</v>
      </c>
      <c r="I252">
        <v>31</v>
      </c>
      <c r="J252">
        <v>93.90000000000001</v>
      </c>
    </row>
    <row r="253" spans="1:10">
      <c r="A253" t="s">
        <v>4279</v>
      </c>
      <c r="B253" s="2">
        <v>46057</v>
      </c>
      <c r="C253">
        <v>2026</v>
      </c>
      <c r="D253">
        <v>2</v>
      </c>
      <c r="E253" t="s">
        <v>25</v>
      </c>
      <c r="F253" t="s">
        <v>31</v>
      </c>
      <c r="G253" t="s">
        <v>4024</v>
      </c>
      <c r="H253">
        <v>19</v>
      </c>
      <c r="I253">
        <v>15</v>
      </c>
      <c r="J253">
        <v>78.90000000000001</v>
      </c>
    </row>
    <row r="254" spans="1:10">
      <c r="A254" t="s">
        <v>4280</v>
      </c>
      <c r="B254" s="2">
        <v>46066</v>
      </c>
      <c r="C254">
        <v>2026</v>
      </c>
      <c r="D254">
        <v>2</v>
      </c>
      <c r="E254" t="s">
        <v>25</v>
      </c>
      <c r="F254" t="s">
        <v>47</v>
      </c>
      <c r="G254" t="s">
        <v>4034</v>
      </c>
      <c r="H254">
        <v>39</v>
      </c>
      <c r="I254">
        <v>31</v>
      </c>
      <c r="J254">
        <v>79.5</v>
      </c>
    </row>
    <row r="255" spans="1:10">
      <c r="A255" t="s">
        <v>4281</v>
      </c>
      <c r="B255" s="2">
        <v>46081</v>
      </c>
      <c r="C255">
        <v>2026</v>
      </c>
      <c r="D255">
        <v>2</v>
      </c>
      <c r="E255" t="s">
        <v>25</v>
      </c>
      <c r="F255" t="s">
        <v>40</v>
      </c>
      <c r="G255" t="s">
        <v>3039</v>
      </c>
      <c r="H255">
        <v>37</v>
      </c>
      <c r="I255">
        <v>36</v>
      </c>
      <c r="J255">
        <v>97.3</v>
      </c>
    </row>
    <row r="256" spans="1:10">
      <c r="A256" t="s">
        <v>4282</v>
      </c>
      <c r="B256" s="2">
        <v>46062</v>
      </c>
      <c r="C256">
        <v>2026</v>
      </c>
      <c r="D256">
        <v>2</v>
      </c>
      <c r="E256" t="s">
        <v>25</v>
      </c>
      <c r="F256" t="s">
        <v>54</v>
      </c>
      <c r="G256" t="s">
        <v>3039</v>
      </c>
      <c r="H256">
        <v>26</v>
      </c>
      <c r="I256">
        <v>23</v>
      </c>
      <c r="J256">
        <v>88.5</v>
      </c>
    </row>
    <row r="257" spans="1:10">
      <c r="A257" t="s">
        <v>4283</v>
      </c>
      <c r="B257" s="2">
        <v>46079</v>
      </c>
      <c r="C257">
        <v>2026</v>
      </c>
      <c r="D257">
        <v>2</v>
      </c>
      <c r="E257" t="s">
        <v>25</v>
      </c>
      <c r="F257" t="s">
        <v>67</v>
      </c>
      <c r="G257" t="s">
        <v>4044</v>
      </c>
      <c r="H257">
        <v>32</v>
      </c>
      <c r="I257">
        <v>31</v>
      </c>
      <c r="J257">
        <v>96.90000000000001</v>
      </c>
    </row>
    <row r="258" spans="1:10">
      <c r="A258" t="s">
        <v>4284</v>
      </c>
      <c r="B258" s="2">
        <v>46074</v>
      </c>
      <c r="C258">
        <v>2026</v>
      </c>
      <c r="D258">
        <v>2</v>
      </c>
      <c r="E258" t="s">
        <v>25</v>
      </c>
      <c r="F258" t="s">
        <v>19</v>
      </c>
      <c r="G258" t="s">
        <v>4039</v>
      </c>
      <c r="H258">
        <v>19</v>
      </c>
      <c r="I258">
        <v>14</v>
      </c>
      <c r="J258">
        <v>73.7</v>
      </c>
    </row>
    <row r="259" spans="1:10">
      <c r="A259" t="s">
        <v>4285</v>
      </c>
      <c r="B259" s="2">
        <v>46055</v>
      </c>
      <c r="C259">
        <v>2026</v>
      </c>
      <c r="D259">
        <v>2</v>
      </c>
      <c r="E259" t="s">
        <v>25</v>
      </c>
      <c r="F259" t="s">
        <v>38</v>
      </c>
      <c r="G259" t="s">
        <v>4039</v>
      </c>
      <c r="H259">
        <v>31</v>
      </c>
      <c r="I259">
        <v>22</v>
      </c>
      <c r="J259">
        <v>71</v>
      </c>
    </row>
    <row r="260" spans="1:10">
      <c r="A260" t="s">
        <v>4286</v>
      </c>
      <c r="B260" s="2">
        <v>46080</v>
      </c>
      <c r="C260">
        <v>2026</v>
      </c>
      <c r="D260">
        <v>2</v>
      </c>
      <c r="E260" t="s">
        <v>25</v>
      </c>
      <c r="F260" t="s">
        <v>2</v>
      </c>
      <c r="G260" t="s">
        <v>3026</v>
      </c>
      <c r="H260">
        <v>40</v>
      </c>
      <c r="I260">
        <v>38</v>
      </c>
      <c r="J260">
        <v>95</v>
      </c>
    </row>
    <row r="261" spans="1:10">
      <c r="A261" t="s">
        <v>4287</v>
      </c>
      <c r="B261" s="2">
        <v>46066</v>
      </c>
      <c r="C261">
        <v>2026</v>
      </c>
      <c r="D261">
        <v>2</v>
      </c>
      <c r="E261" t="s">
        <v>25</v>
      </c>
      <c r="F261" t="s">
        <v>78</v>
      </c>
      <c r="G261" t="s">
        <v>4024</v>
      </c>
      <c r="H261">
        <v>10</v>
      </c>
      <c r="I261">
        <v>7</v>
      </c>
      <c r="J261">
        <v>70</v>
      </c>
    </row>
    <row r="262" spans="1:10">
      <c r="A262" t="s">
        <v>4288</v>
      </c>
      <c r="B262" s="2">
        <v>46089</v>
      </c>
      <c r="C262">
        <v>2026</v>
      </c>
      <c r="D262">
        <v>3</v>
      </c>
      <c r="E262" t="s">
        <v>60</v>
      </c>
      <c r="F262" t="s">
        <v>26</v>
      </c>
      <c r="G262" t="s">
        <v>4026</v>
      </c>
      <c r="H262">
        <v>39</v>
      </c>
      <c r="I262">
        <v>32</v>
      </c>
      <c r="J262">
        <v>82.09999999999999</v>
      </c>
    </row>
    <row r="263" spans="1:10">
      <c r="A263" t="s">
        <v>4289</v>
      </c>
      <c r="B263" s="2">
        <v>46107</v>
      </c>
      <c r="C263">
        <v>2026</v>
      </c>
      <c r="D263">
        <v>3</v>
      </c>
      <c r="E263" t="s">
        <v>60</v>
      </c>
      <c r="F263" t="s">
        <v>31</v>
      </c>
      <c r="G263" t="s">
        <v>4026</v>
      </c>
      <c r="H263">
        <v>24</v>
      </c>
      <c r="I263">
        <v>23</v>
      </c>
      <c r="J263">
        <v>95.8</v>
      </c>
    </row>
    <row r="264" spans="1:10">
      <c r="A264" t="s">
        <v>4290</v>
      </c>
      <c r="B264" s="2">
        <v>46085</v>
      </c>
      <c r="C264">
        <v>2026</v>
      </c>
      <c r="D264">
        <v>3</v>
      </c>
      <c r="E264" t="s">
        <v>60</v>
      </c>
      <c r="F264" t="s">
        <v>47</v>
      </c>
      <c r="G264" t="s">
        <v>3026</v>
      </c>
      <c r="H264">
        <v>36</v>
      </c>
      <c r="I264">
        <v>34</v>
      </c>
      <c r="J264">
        <v>94.40000000000001</v>
      </c>
    </row>
    <row r="265" spans="1:10">
      <c r="A265" t="s">
        <v>4291</v>
      </c>
      <c r="B265" s="2">
        <v>46103</v>
      </c>
      <c r="C265">
        <v>2026</v>
      </c>
      <c r="D265">
        <v>3</v>
      </c>
      <c r="E265" t="s">
        <v>60</v>
      </c>
      <c r="F265" t="s">
        <v>40</v>
      </c>
      <c r="G265" t="s">
        <v>4034</v>
      </c>
      <c r="H265">
        <v>32</v>
      </c>
      <c r="I265">
        <v>28</v>
      </c>
      <c r="J265">
        <v>87.5</v>
      </c>
    </row>
    <row r="266" spans="1:10">
      <c r="A266" t="s">
        <v>4292</v>
      </c>
      <c r="B266" s="2">
        <v>46102</v>
      </c>
      <c r="C266">
        <v>2026</v>
      </c>
      <c r="D266">
        <v>3</v>
      </c>
      <c r="E266" t="s">
        <v>60</v>
      </c>
      <c r="F266" t="s">
        <v>54</v>
      </c>
      <c r="G266" t="s">
        <v>4044</v>
      </c>
      <c r="H266">
        <v>34</v>
      </c>
      <c r="I266">
        <v>31</v>
      </c>
      <c r="J266">
        <v>91.2</v>
      </c>
    </row>
    <row r="267" spans="1:10">
      <c r="A267" t="s">
        <v>4293</v>
      </c>
      <c r="B267" s="2">
        <v>46082</v>
      </c>
      <c r="C267">
        <v>2026</v>
      </c>
      <c r="D267">
        <v>3</v>
      </c>
      <c r="E267" t="s">
        <v>60</v>
      </c>
      <c r="F267" t="s">
        <v>67</v>
      </c>
      <c r="G267" t="s">
        <v>4026</v>
      </c>
      <c r="H267">
        <v>18</v>
      </c>
      <c r="I267">
        <v>14</v>
      </c>
      <c r="J267">
        <v>77.8</v>
      </c>
    </row>
    <row r="268" spans="1:10">
      <c r="A268" t="s">
        <v>4294</v>
      </c>
      <c r="B268" s="2">
        <v>46097</v>
      </c>
      <c r="C268">
        <v>2026</v>
      </c>
      <c r="D268">
        <v>3</v>
      </c>
      <c r="E268" t="s">
        <v>60</v>
      </c>
      <c r="F268" t="s">
        <v>19</v>
      </c>
      <c r="G268" t="s">
        <v>4041</v>
      </c>
      <c r="H268">
        <v>34</v>
      </c>
      <c r="I268">
        <v>31</v>
      </c>
      <c r="J268">
        <v>91.2</v>
      </c>
    </row>
    <row r="269" spans="1:10">
      <c r="A269" t="s">
        <v>4295</v>
      </c>
      <c r="B269" s="2">
        <v>46109</v>
      </c>
      <c r="C269">
        <v>2026</v>
      </c>
      <c r="D269">
        <v>3</v>
      </c>
      <c r="E269" t="s">
        <v>60</v>
      </c>
      <c r="F269" t="s">
        <v>38</v>
      </c>
      <c r="G269" t="s">
        <v>4024</v>
      </c>
      <c r="H269">
        <v>25</v>
      </c>
      <c r="I269">
        <v>21</v>
      </c>
      <c r="J269">
        <v>84</v>
      </c>
    </row>
    <row r="270" spans="1:10">
      <c r="A270" t="s">
        <v>4296</v>
      </c>
      <c r="B270" s="2">
        <v>46093</v>
      </c>
      <c r="C270">
        <v>2026</v>
      </c>
      <c r="D270">
        <v>3</v>
      </c>
      <c r="E270" t="s">
        <v>60</v>
      </c>
      <c r="F270" t="s">
        <v>2</v>
      </c>
      <c r="G270" t="s">
        <v>3026</v>
      </c>
      <c r="H270">
        <v>32</v>
      </c>
      <c r="I270">
        <v>28</v>
      </c>
      <c r="J270">
        <v>87.5</v>
      </c>
    </row>
    <row r="271" spans="1:10">
      <c r="A271" t="s">
        <v>4297</v>
      </c>
      <c r="B271" s="2">
        <v>46091</v>
      </c>
      <c r="C271">
        <v>2026</v>
      </c>
      <c r="D271">
        <v>3</v>
      </c>
      <c r="E271" t="s">
        <v>60</v>
      </c>
      <c r="F271" t="s">
        <v>78</v>
      </c>
      <c r="G271" t="s">
        <v>4044</v>
      </c>
      <c r="H271">
        <v>28</v>
      </c>
      <c r="I271">
        <v>22</v>
      </c>
      <c r="J271">
        <v>78.59999999999999</v>
      </c>
    </row>
    <row r="272" spans="1:10">
      <c r="A272" t="s">
        <v>4298</v>
      </c>
      <c r="B272" s="2">
        <v>46120</v>
      </c>
      <c r="C272">
        <v>2026</v>
      </c>
      <c r="D272">
        <v>4</v>
      </c>
      <c r="E272" t="s">
        <v>73</v>
      </c>
      <c r="F272" t="s">
        <v>26</v>
      </c>
      <c r="G272" t="s">
        <v>4044</v>
      </c>
      <c r="H272">
        <v>31</v>
      </c>
      <c r="I272">
        <v>22</v>
      </c>
      <c r="J272">
        <v>71</v>
      </c>
    </row>
    <row r="273" spans="1:10">
      <c r="A273" t="s">
        <v>4299</v>
      </c>
      <c r="B273" s="2">
        <v>46132</v>
      </c>
      <c r="C273">
        <v>2026</v>
      </c>
      <c r="D273">
        <v>4</v>
      </c>
      <c r="E273" t="s">
        <v>73</v>
      </c>
      <c r="F273" t="s">
        <v>31</v>
      </c>
      <c r="G273" t="s">
        <v>4039</v>
      </c>
      <c r="H273">
        <v>19</v>
      </c>
      <c r="I273">
        <v>14</v>
      </c>
      <c r="J273">
        <v>73.7</v>
      </c>
    </row>
    <row r="274" spans="1:10">
      <c r="A274" t="s">
        <v>4300</v>
      </c>
      <c r="B274" s="2">
        <v>46130</v>
      </c>
      <c r="C274">
        <v>2026</v>
      </c>
      <c r="D274">
        <v>4</v>
      </c>
      <c r="E274" t="s">
        <v>73</v>
      </c>
      <c r="F274" t="s">
        <v>47</v>
      </c>
      <c r="G274" t="s">
        <v>4032</v>
      </c>
      <c r="H274">
        <v>12</v>
      </c>
      <c r="I274">
        <v>11</v>
      </c>
      <c r="J274">
        <v>91.7</v>
      </c>
    </row>
    <row r="275" spans="1:10">
      <c r="A275" t="s">
        <v>4301</v>
      </c>
      <c r="B275" s="2">
        <v>46131</v>
      </c>
      <c r="C275">
        <v>2026</v>
      </c>
      <c r="D275">
        <v>4</v>
      </c>
      <c r="E275" t="s">
        <v>73</v>
      </c>
      <c r="F275" t="s">
        <v>40</v>
      </c>
      <c r="G275" t="s">
        <v>4032</v>
      </c>
      <c r="H275">
        <v>38</v>
      </c>
      <c r="I275">
        <v>32</v>
      </c>
      <c r="J275">
        <v>84.2</v>
      </c>
    </row>
    <row r="276" spans="1:10">
      <c r="A276" t="s">
        <v>4302</v>
      </c>
      <c r="B276" s="2">
        <v>46122</v>
      </c>
      <c r="C276">
        <v>2026</v>
      </c>
      <c r="D276">
        <v>4</v>
      </c>
      <c r="E276" t="s">
        <v>73</v>
      </c>
      <c r="F276" t="s">
        <v>54</v>
      </c>
      <c r="G276" t="s">
        <v>4026</v>
      </c>
      <c r="H276">
        <v>32</v>
      </c>
      <c r="I276">
        <v>30</v>
      </c>
      <c r="J276">
        <v>93.8</v>
      </c>
    </row>
    <row r="277" spans="1:10">
      <c r="A277" t="s">
        <v>4303</v>
      </c>
      <c r="B277" s="2">
        <v>46140</v>
      </c>
      <c r="C277">
        <v>2026</v>
      </c>
      <c r="D277">
        <v>4</v>
      </c>
      <c r="E277" t="s">
        <v>73</v>
      </c>
      <c r="F277" t="s">
        <v>67</v>
      </c>
      <c r="G277" t="s">
        <v>4026</v>
      </c>
      <c r="H277">
        <v>12</v>
      </c>
      <c r="I277">
        <v>9</v>
      </c>
      <c r="J277">
        <v>75</v>
      </c>
    </row>
    <row r="278" spans="1:10">
      <c r="A278" t="s">
        <v>4304</v>
      </c>
      <c r="B278" s="2">
        <v>46113</v>
      </c>
      <c r="C278">
        <v>2026</v>
      </c>
      <c r="D278">
        <v>4</v>
      </c>
      <c r="E278" t="s">
        <v>73</v>
      </c>
      <c r="F278" t="s">
        <v>19</v>
      </c>
      <c r="G278" t="s">
        <v>4026</v>
      </c>
      <c r="H278">
        <v>30</v>
      </c>
      <c r="I278">
        <v>26</v>
      </c>
      <c r="J278">
        <v>86.7</v>
      </c>
    </row>
    <row r="279" spans="1:10">
      <c r="A279" t="s">
        <v>4305</v>
      </c>
      <c r="B279" s="2">
        <v>46139</v>
      </c>
      <c r="C279">
        <v>2026</v>
      </c>
      <c r="D279">
        <v>4</v>
      </c>
      <c r="E279" t="s">
        <v>73</v>
      </c>
      <c r="F279" t="s">
        <v>38</v>
      </c>
      <c r="G279" t="s">
        <v>3039</v>
      </c>
      <c r="H279">
        <v>25</v>
      </c>
      <c r="I279">
        <v>24</v>
      </c>
      <c r="J279">
        <v>96</v>
      </c>
    </row>
    <row r="280" spans="1:10">
      <c r="A280" t="s">
        <v>4306</v>
      </c>
      <c r="B280" s="2">
        <v>46119</v>
      </c>
      <c r="C280">
        <v>2026</v>
      </c>
      <c r="D280">
        <v>4</v>
      </c>
      <c r="E280" t="s">
        <v>73</v>
      </c>
      <c r="F280" t="s">
        <v>2</v>
      </c>
      <c r="G280" t="s">
        <v>4021</v>
      </c>
      <c r="H280">
        <v>27</v>
      </c>
      <c r="I280">
        <v>22</v>
      </c>
      <c r="J280">
        <v>81.5</v>
      </c>
    </row>
    <row r="281" spans="1:10">
      <c r="A281" t="s">
        <v>4307</v>
      </c>
      <c r="B281" s="2">
        <v>46137</v>
      </c>
      <c r="C281">
        <v>2026</v>
      </c>
      <c r="D281">
        <v>4</v>
      </c>
      <c r="E281" t="s">
        <v>73</v>
      </c>
      <c r="F281" t="s">
        <v>78</v>
      </c>
      <c r="G281" t="s">
        <v>4032</v>
      </c>
      <c r="H281">
        <v>23</v>
      </c>
      <c r="I281">
        <v>17</v>
      </c>
      <c r="J281">
        <v>73.90000000000001</v>
      </c>
    </row>
    <row r="282" spans="1:10">
      <c r="A282" t="s">
        <v>4308</v>
      </c>
      <c r="B282" s="2">
        <v>46170</v>
      </c>
      <c r="C282">
        <v>2026</v>
      </c>
      <c r="D282">
        <v>5</v>
      </c>
      <c r="E282" t="s">
        <v>83</v>
      </c>
      <c r="F282" t="s">
        <v>26</v>
      </c>
      <c r="G282" t="s">
        <v>4034</v>
      </c>
      <c r="H282">
        <v>30</v>
      </c>
      <c r="I282">
        <v>22</v>
      </c>
      <c r="J282">
        <v>73.3</v>
      </c>
    </row>
    <row r="283" spans="1:10">
      <c r="A283" t="s">
        <v>4309</v>
      </c>
      <c r="B283" s="2">
        <v>46152</v>
      </c>
      <c r="C283">
        <v>2026</v>
      </c>
      <c r="D283">
        <v>5</v>
      </c>
      <c r="E283" t="s">
        <v>83</v>
      </c>
      <c r="F283" t="s">
        <v>31</v>
      </c>
      <c r="G283" t="s">
        <v>3039</v>
      </c>
      <c r="H283">
        <v>31</v>
      </c>
      <c r="I283">
        <v>24</v>
      </c>
      <c r="J283">
        <v>77.40000000000001</v>
      </c>
    </row>
    <row r="284" spans="1:10">
      <c r="A284" t="s">
        <v>4310</v>
      </c>
      <c r="B284" s="2">
        <v>46151</v>
      </c>
      <c r="C284">
        <v>2026</v>
      </c>
      <c r="D284">
        <v>5</v>
      </c>
      <c r="E284" t="s">
        <v>83</v>
      </c>
      <c r="F284" t="s">
        <v>47</v>
      </c>
      <c r="G284" t="s">
        <v>4041</v>
      </c>
      <c r="H284">
        <v>33</v>
      </c>
      <c r="I284">
        <v>30</v>
      </c>
      <c r="J284">
        <v>90.90000000000001</v>
      </c>
    </row>
    <row r="285" spans="1:10">
      <c r="A285" t="s">
        <v>4311</v>
      </c>
      <c r="B285" s="2">
        <v>46167</v>
      </c>
      <c r="C285">
        <v>2026</v>
      </c>
      <c r="D285">
        <v>5</v>
      </c>
      <c r="E285" t="s">
        <v>83</v>
      </c>
      <c r="F285" t="s">
        <v>40</v>
      </c>
      <c r="G285" t="s">
        <v>4026</v>
      </c>
      <c r="H285">
        <v>22</v>
      </c>
      <c r="I285">
        <v>17</v>
      </c>
      <c r="J285">
        <v>77.3</v>
      </c>
    </row>
    <row r="286" spans="1:10">
      <c r="A286" t="s">
        <v>4312</v>
      </c>
      <c r="B286" s="2">
        <v>46156</v>
      </c>
      <c r="C286">
        <v>2026</v>
      </c>
      <c r="D286">
        <v>5</v>
      </c>
      <c r="E286" t="s">
        <v>83</v>
      </c>
      <c r="F286" t="s">
        <v>54</v>
      </c>
      <c r="G286" t="s">
        <v>4039</v>
      </c>
      <c r="H286">
        <v>22</v>
      </c>
      <c r="I286">
        <v>17</v>
      </c>
      <c r="J286">
        <v>77.3</v>
      </c>
    </row>
    <row r="287" spans="1:10">
      <c r="A287" t="s">
        <v>4313</v>
      </c>
      <c r="B287" s="2">
        <v>46163</v>
      </c>
      <c r="C287">
        <v>2026</v>
      </c>
      <c r="D287">
        <v>5</v>
      </c>
      <c r="E287" t="s">
        <v>83</v>
      </c>
      <c r="F287" t="s">
        <v>67</v>
      </c>
      <c r="G287" t="s">
        <v>4024</v>
      </c>
      <c r="H287">
        <v>39</v>
      </c>
      <c r="I287">
        <v>35</v>
      </c>
      <c r="J287">
        <v>89.7</v>
      </c>
    </row>
    <row r="288" spans="1:10">
      <c r="A288" t="s">
        <v>4314</v>
      </c>
      <c r="B288" s="2">
        <v>46161</v>
      </c>
      <c r="C288">
        <v>2026</v>
      </c>
      <c r="D288">
        <v>5</v>
      </c>
      <c r="E288" t="s">
        <v>83</v>
      </c>
      <c r="F288" t="s">
        <v>19</v>
      </c>
      <c r="G288" t="s">
        <v>4026</v>
      </c>
      <c r="H288">
        <v>30</v>
      </c>
      <c r="I288">
        <v>26</v>
      </c>
      <c r="J288">
        <v>86.7</v>
      </c>
    </row>
    <row r="289" spans="1:10">
      <c r="A289" t="s">
        <v>4315</v>
      </c>
      <c r="B289" s="2">
        <v>46156</v>
      </c>
      <c r="C289">
        <v>2026</v>
      </c>
      <c r="D289">
        <v>5</v>
      </c>
      <c r="E289" t="s">
        <v>83</v>
      </c>
      <c r="F289" t="s">
        <v>38</v>
      </c>
      <c r="G289" t="s">
        <v>4032</v>
      </c>
      <c r="H289">
        <v>30</v>
      </c>
      <c r="I289">
        <v>21</v>
      </c>
      <c r="J289">
        <v>70</v>
      </c>
    </row>
    <row r="290" spans="1:10">
      <c r="A290" t="s">
        <v>4316</v>
      </c>
      <c r="B290" s="2">
        <v>46157</v>
      </c>
      <c r="C290">
        <v>2026</v>
      </c>
      <c r="D290">
        <v>5</v>
      </c>
      <c r="E290" t="s">
        <v>83</v>
      </c>
      <c r="F290" t="s">
        <v>2</v>
      </c>
      <c r="G290" t="s">
        <v>4032</v>
      </c>
      <c r="H290">
        <v>28</v>
      </c>
      <c r="I290">
        <v>22</v>
      </c>
      <c r="J290">
        <v>78.59999999999999</v>
      </c>
    </row>
    <row r="291" spans="1:10">
      <c r="A291" t="s">
        <v>4317</v>
      </c>
      <c r="B291" s="2">
        <v>46153</v>
      </c>
      <c r="C291">
        <v>2026</v>
      </c>
      <c r="D291">
        <v>5</v>
      </c>
      <c r="E291" t="s">
        <v>83</v>
      </c>
      <c r="F291" t="s">
        <v>78</v>
      </c>
      <c r="G291" t="s">
        <v>4039</v>
      </c>
      <c r="H291">
        <v>34</v>
      </c>
      <c r="I291">
        <v>30</v>
      </c>
      <c r="J291">
        <v>88.2</v>
      </c>
    </row>
    <row r="292" spans="1:10">
      <c r="A292" t="s">
        <v>4318</v>
      </c>
      <c r="B292" s="2">
        <v>46184</v>
      </c>
      <c r="C292">
        <v>2026</v>
      </c>
      <c r="D292">
        <v>6</v>
      </c>
      <c r="E292" t="s">
        <v>87</v>
      </c>
      <c r="F292" t="s">
        <v>26</v>
      </c>
      <c r="G292" t="s">
        <v>3039</v>
      </c>
      <c r="H292">
        <v>19</v>
      </c>
      <c r="I292">
        <v>18</v>
      </c>
      <c r="J292">
        <v>94.7</v>
      </c>
    </row>
    <row r="293" spans="1:10">
      <c r="A293" t="s">
        <v>4319</v>
      </c>
      <c r="B293" s="2">
        <v>46177</v>
      </c>
      <c r="C293">
        <v>2026</v>
      </c>
      <c r="D293">
        <v>6</v>
      </c>
      <c r="E293" t="s">
        <v>87</v>
      </c>
      <c r="F293" t="s">
        <v>31</v>
      </c>
      <c r="G293" t="s">
        <v>3039</v>
      </c>
      <c r="H293">
        <v>21</v>
      </c>
      <c r="I293">
        <v>20</v>
      </c>
      <c r="J293">
        <v>95.2</v>
      </c>
    </row>
    <row r="294" spans="1:10">
      <c r="A294" t="s">
        <v>4320</v>
      </c>
      <c r="B294" s="2">
        <v>46185</v>
      </c>
      <c r="C294">
        <v>2026</v>
      </c>
      <c r="D294">
        <v>6</v>
      </c>
      <c r="E294" t="s">
        <v>87</v>
      </c>
      <c r="F294" t="s">
        <v>47</v>
      </c>
      <c r="G294" t="s">
        <v>4024</v>
      </c>
      <c r="H294">
        <v>17</v>
      </c>
      <c r="I294">
        <v>16</v>
      </c>
      <c r="J294">
        <v>94.09999999999999</v>
      </c>
    </row>
    <row r="295" spans="1:10">
      <c r="A295" t="s">
        <v>4321</v>
      </c>
      <c r="B295" s="2">
        <v>46198</v>
      </c>
      <c r="C295">
        <v>2026</v>
      </c>
      <c r="D295">
        <v>6</v>
      </c>
      <c r="E295" t="s">
        <v>87</v>
      </c>
      <c r="F295" t="s">
        <v>40</v>
      </c>
      <c r="G295" t="s">
        <v>3039</v>
      </c>
      <c r="H295">
        <v>14</v>
      </c>
      <c r="I295">
        <v>11</v>
      </c>
      <c r="J295">
        <v>78.59999999999999</v>
      </c>
    </row>
    <row r="296" spans="1:10">
      <c r="A296" t="s">
        <v>4322</v>
      </c>
      <c r="B296" s="2">
        <v>46191</v>
      </c>
      <c r="C296">
        <v>2026</v>
      </c>
      <c r="D296">
        <v>6</v>
      </c>
      <c r="E296" t="s">
        <v>87</v>
      </c>
      <c r="F296" t="s">
        <v>54</v>
      </c>
      <c r="G296" t="s">
        <v>3039</v>
      </c>
      <c r="H296">
        <v>22</v>
      </c>
      <c r="I296">
        <v>18</v>
      </c>
      <c r="J296">
        <v>81.8</v>
      </c>
    </row>
    <row r="297" spans="1:10">
      <c r="A297" t="s">
        <v>4323</v>
      </c>
      <c r="B297" s="2">
        <v>46174</v>
      </c>
      <c r="C297">
        <v>2026</v>
      </c>
      <c r="D297">
        <v>6</v>
      </c>
      <c r="E297" t="s">
        <v>87</v>
      </c>
      <c r="F297" t="s">
        <v>67</v>
      </c>
      <c r="G297" t="s">
        <v>4039</v>
      </c>
      <c r="H297">
        <v>20</v>
      </c>
      <c r="I297">
        <v>19</v>
      </c>
      <c r="J297">
        <v>95</v>
      </c>
    </row>
    <row r="298" spans="1:10">
      <c r="A298" t="s">
        <v>4324</v>
      </c>
      <c r="B298" s="2">
        <v>46186</v>
      </c>
      <c r="C298">
        <v>2026</v>
      </c>
      <c r="D298">
        <v>6</v>
      </c>
      <c r="E298" t="s">
        <v>87</v>
      </c>
      <c r="F298" t="s">
        <v>19</v>
      </c>
      <c r="G298" t="s">
        <v>4026</v>
      </c>
      <c r="H298">
        <v>34</v>
      </c>
      <c r="I298">
        <v>31</v>
      </c>
      <c r="J298">
        <v>91.2</v>
      </c>
    </row>
    <row r="299" spans="1:10">
      <c r="A299" t="s">
        <v>4325</v>
      </c>
      <c r="B299" s="2">
        <v>46176</v>
      </c>
      <c r="C299">
        <v>2026</v>
      </c>
      <c r="D299">
        <v>6</v>
      </c>
      <c r="E299" t="s">
        <v>87</v>
      </c>
      <c r="F299" t="s">
        <v>38</v>
      </c>
      <c r="G299" t="s">
        <v>4034</v>
      </c>
      <c r="H299">
        <v>10</v>
      </c>
      <c r="I299">
        <v>7</v>
      </c>
      <c r="J299">
        <v>70</v>
      </c>
    </row>
    <row r="300" spans="1:10">
      <c r="A300" t="s">
        <v>4326</v>
      </c>
      <c r="B300" s="2">
        <v>46195</v>
      </c>
      <c r="C300">
        <v>2026</v>
      </c>
      <c r="D300">
        <v>6</v>
      </c>
      <c r="E300" t="s">
        <v>87</v>
      </c>
      <c r="F300" t="s">
        <v>2</v>
      </c>
      <c r="G300" t="s">
        <v>4039</v>
      </c>
      <c r="H300">
        <v>24</v>
      </c>
      <c r="I300">
        <v>19</v>
      </c>
      <c r="J300">
        <v>79.2</v>
      </c>
    </row>
    <row r="301" spans="1:10">
      <c r="A301" t="s">
        <v>4327</v>
      </c>
      <c r="B301" s="2">
        <v>46194</v>
      </c>
      <c r="C301">
        <v>2026</v>
      </c>
      <c r="D301">
        <v>6</v>
      </c>
      <c r="E301" t="s">
        <v>87</v>
      </c>
      <c r="F301" t="s">
        <v>78</v>
      </c>
      <c r="G301" t="s">
        <v>4039</v>
      </c>
      <c r="H301">
        <v>29</v>
      </c>
      <c r="I301">
        <v>23</v>
      </c>
      <c r="J301">
        <v>79.3</v>
      </c>
    </row>
  </sheetData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</sheetPr>
  <dimension ref="A1:L30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8" width="11.7109375" customWidth="1"/>
    <col min="9" max="9" width="12.7109375" customWidth="1"/>
    <col min="10" max="10" width="15.7109375" customWidth="1"/>
  </cols>
  <sheetData>
    <row r="1" spans="1:12">
      <c r="A1" t="s">
        <v>4631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4632</v>
      </c>
      <c r="I1" t="s">
        <v>2969</v>
      </c>
      <c r="J1" t="s">
        <v>4633</v>
      </c>
      <c r="L1" s="1" t="s">
        <v>203</v>
      </c>
    </row>
    <row r="2" spans="1:12">
      <c r="A2" t="s">
        <v>4331</v>
      </c>
      <c r="B2" s="2">
        <v>45304</v>
      </c>
      <c r="C2">
        <v>2024</v>
      </c>
      <c r="D2">
        <v>1</v>
      </c>
      <c r="E2" t="s">
        <v>1</v>
      </c>
      <c r="F2" t="s">
        <v>26</v>
      </c>
      <c r="G2" t="s">
        <v>74</v>
      </c>
      <c r="H2">
        <v>34</v>
      </c>
      <c r="I2">
        <v>32</v>
      </c>
      <c r="J2">
        <v>94.09999999999999</v>
      </c>
    </row>
    <row r="3" spans="1:12">
      <c r="A3" t="s">
        <v>4332</v>
      </c>
      <c r="B3" s="2">
        <v>45295</v>
      </c>
      <c r="C3">
        <v>2024</v>
      </c>
      <c r="D3">
        <v>1</v>
      </c>
      <c r="E3" t="s">
        <v>1</v>
      </c>
      <c r="F3" t="s">
        <v>31</v>
      </c>
      <c r="G3" t="s">
        <v>74</v>
      </c>
      <c r="H3">
        <v>50</v>
      </c>
      <c r="I3">
        <v>49</v>
      </c>
      <c r="J3">
        <v>98</v>
      </c>
    </row>
    <row r="4" spans="1:12">
      <c r="A4" t="s">
        <v>4333</v>
      </c>
      <c r="B4" s="2">
        <v>45318</v>
      </c>
      <c r="C4">
        <v>2024</v>
      </c>
      <c r="D4">
        <v>1</v>
      </c>
      <c r="E4" t="s">
        <v>1</v>
      </c>
      <c r="F4" t="s">
        <v>47</v>
      </c>
      <c r="G4" t="s">
        <v>55</v>
      </c>
      <c r="H4">
        <v>41</v>
      </c>
      <c r="I4">
        <v>38</v>
      </c>
      <c r="J4">
        <v>92.7</v>
      </c>
    </row>
    <row r="5" spans="1:12">
      <c r="A5" t="s">
        <v>4334</v>
      </c>
      <c r="B5" s="2">
        <v>45318</v>
      </c>
      <c r="C5">
        <v>2024</v>
      </c>
      <c r="D5">
        <v>1</v>
      </c>
      <c r="E5" t="s">
        <v>1</v>
      </c>
      <c r="F5" t="s">
        <v>40</v>
      </c>
      <c r="G5" t="s">
        <v>69</v>
      </c>
      <c r="H5">
        <v>55</v>
      </c>
      <c r="I5">
        <v>45</v>
      </c>
      <c r="J5">
        <v>81.8</v>
      </c>
    </row>
    <row r="6" spans="1:12">
      <c r="A6" t="s">
        <v>4335</v>
      </c>
      <c r="B6" s="2">
        <v>45319</v>
      </c>
      <c r="C6">
        <v>2024</v>
      </c>
      <c r="D6">
        <v>1</v>
      </c>
      <c r="E6" t="s">
        <v>1</v>
      </c>
      <c r="F6" t="s">
        <v>54</v>
      </c>
      <c r="G6" t="s">
        <v>20</v>
      </c>
      <c r="H6">
        <v>50</v>
      </c>
      <c r="I6">
        <v>44</v>
      </c>
      <c r="J6">
        <v>88</v>
      </c>
    </row>
    <row r="7" spans="1:12">
      <c r="A7" t="s">
        <v>4336</v>
      </c>
      <c r="B7" s="2">
        <v>45304</v>
      </c>
      <c r="C7">
        <v>2024</v>
      </c>
      <c r="D7">
        <v>1</v>
      </c>
      <c r="E7" t="s">
        <v>1</v>
      </c>
      <c r="F7" t="s">
        <v>67</v>
      </c>
      <c r="G7" t="s">
        <v>74</v>
      </c>
      <c r="H7">
        <v>42</v>
      </c>
      <c r="I7">
        <v>40</v>
      </c>
      <c r="J7">
        <v>95.2</v>
      </c>
    </row>
    <row r="8" spans="1:12">
      <c r="A8" t="s">
        <v>4337</v>
      </c>
      <c r="B8" s="2">
        <v>45303</v>
      </c>
      <c r="C8">
        <v>2024</v>
      </c>
      <c r="D8">
        <v>1</v>
      </c>
      <c r="E8" t="s">
        <v>1</v>
      </c>
      <c r="F8" t="s">
        <v>19</v>
      </c>
      <c r="G8" t="s">
        <v>3</v>
      </c>
      <c r="H8">
        <v>45</v>
      </c>
      <c r="I8">
        <v>43</v>
      </c>
      <c r="J8">
        <v>95.59999999999999</v>
      </c>
    </row>
    <row r="9" spans="1:12">
      <c r="A9" t="s">
        <v>4338</v>
      </c>
      <c r="B9" s="2">
        <v>45294</v>
      </c>
      <c r="C9">
        <v>2024</v>
      </c>
      <c r="D9">
        <v>1</v>
      </c>
      <c r="E9" t="s">
        <v>1</v>
      </c>
      <c r="F9" t="s">
        <v>38</v>
      </c>
      <c r="G9" t="s">
        <v>3</v>
      </c>
      <c r="H9">
        <v>36</v>
      </c>
      <c r="I9">
        <v>32</v>
      </c>
      <c r="J9">
        <v>88.90000000000001</v>
      </c>
    </row>
    <row r="10" spans="1:12">
      <c r="A10" t="s">
        <v>4339</v>
      </c>
      <c r="B10" s="2">
        <v>45316</v>
      </c>
      <c r="C10">
        <v>2024</v>
      </c>
      <c r="D10">
        <v>1</v>
      </c>
      <c r="E10" t="s">
        <v>1</v>
      </c>
      <c r="F10" t="s">
        <v>2</v>
      </c>
      <c r="G10" t="s">
        <v>55</v>
      </c>
      <c r="H10">
        <v>23</v>
      </c>
      <c r="I10">
        <v>22</v>
      </c>
      <c r="J10">
        <v>95.7</v>
      </c>
    </row>
    <row r="11" spans="1:12">
      <c r="A11" t="s">
        <v>4340</v>
      </c>
      <c r="B11" s="2">
        <v>45314</v>
      </c>
      <c r="C11">
        <v>2024</v>
      </c>
      <c r="D11">
        <v>1</v>
      </c>
      <c r="E11" t="s">
        <v>1</v>
      </c>
      <c r="F11" t="s">
        <v>78</v>
      </c>
      <c r="G11" t="s">
        <v>74</v>
      </c>
      <c r="H11">
        <v>40</v>
      </c>
      <c r="I11">
        <v>37</v>
      </c>
      <c r="J11">
        <v>92.5</v>
      </c>
    </row>
    <row r="12" spans="1:12">
      <c r="A12" t="s">
        <v>4341</v>
      </c>
      <c r="B12" s="2">
        <v>45339</v>
      </c>
      <c r="C12">
        <v>2024</v>
      </c>
      <c r="D12">
        <v>2</v>
      </c>
      <c r="E12" t="s">
        <v>25</v>
      </c>
      <c r="F12" t="s">
        <v>26</v>
      </c>
      <c r="G12" t="s">
        <v>61</v>
      </c>
      <c r="H12">
        <v>55</v>
      </c>
      <c r="I12">
        <v>45</v>
      </c>
      <c r="J12">
        <v>81.8</v>
      </c>
    </row>
    <row r="13" spans="1:12">
      <c r="A13" t="s">
        <v>4342</v>
      </c>
      <c r="B13" s="2">
        <v>45336</v>
      </c>
      <c r="C13">
        <v>2024</v>
      </c>
      <c r="D13">
        <v>2</v>
      </c>
      <c r="E13" t="s">
        <v>25</v>
      </c>
      <c r="F13" t="s">
        <v>31</v>
      </c>
      <c r="G13" t="s">
        <v>74</v>
      </c>
      <c r="H13">
        <v>38</v>
      </c>
      <c r="I13">
        <v>33</v>
      </c>
      <c r="J13">
        <v>86.8</v>
      </c>
    </row>
    <row r="14" spans="1:12">
      <c r="A14" t="s">
        <v>4343</v>
      </c>
      <c r="B14" s="2">
        <v>45347</v>
      </c>
      <c r="C14">
        <v>2024</v>
      </c>
      <c r="D14">
        <v>2</v>
      </c>
      <c r="E14" t="s">
        <v>25</v>
      </c>
      <c r="F14" t="s">
        <v>47</v>
      </c>
      <c r="G14" t="s">
        <v>94</v>
      </c>
      <c r="H14">
        <v>56</v>
      </c>
      <c r="I14">
        <v>53</v>
      </c>
      <c r="J14">
        <v>94.59999999999999</v>
      </c>
    </row>
    <row r="15" spans="1:12">
      <c r="A15" t="s">
        <v>4344</v>
      </c>
      <c r="B15" s="2">
        <v>45337</v>
      </c>
      <c r="C15">
        <v>2024</v>
      </c>
      <c r="D15">
        <v>2</v>
      </c>
      <c r="E15" t="s">
        <v>25</v>
      </c>
      <c r="F15" t="s">
        <v>40</v>
      </c>
      <c r="G15" t="s">
        <v>61</v>
      </c>
      <c r="H15">
        <v>28</v>
      </c>
      <c r="I15">
        <v>24</v>
      </c>
      <c r="J15">
        <v>85.7</v>
      </c>
    </row>
    <row r="16" spans="1:12">
      <c r="A16" t="s">
        <v>4345</v>
      </c>
      <c r="B16" s="2">
        <v>45323</v>
      </c>
      <c r="C16">
        <v>2024</v>
      </c>
      <c r="D16">
        <v>2</v>
      </c>
      <c r="E16" t="s">
        <v>25</v>
      </c>
      <c r="F16" t="s">
        <v>54</v>
      </c>
      <c r="G16" t="s">
        <v>27</v>
      </c>
      <c r="H16">
        <v>29</v>
      </c>
      <c r="I16">
        <v>24</v>
      </c>
      <c r="J16">
        <v>82.8</v>
      </c>
    </row>
    <row r="17" spans="1:10">
      <c r="A17" t="s">
        <v>4346</v>
      </c>
      <c r="B17" s="2">
        <v>45342</v>
      </c>
      <c r="C17">
        <v>2024</v>
      </c>
      <c r="D17">
        <v>2</v>
      </c>
      <c r="E17" t="s">
        <v>25</v>
      </c>
      <c r="F17" t="s">
        <v>67</v>
      </c>
      <c r="G17" t="s">
        <v>32</v>
      </c>
      <c r="H17">
        <v>52</v>
      </c>
      <c r="I17">
        <v>45</v>
      </c>
      <c r="J17">
        <v>86.5</v>
      </c>
    </row>
    <row r="18" spans="1:10">
      <c r="A18" t="s">
        <v>4347</v>
      </c>
      <c r="B18" s="2">
        <v>45330</v>
      </c>
      <c r="C18">
        <v>2024</v>
      </c>
      <c r="D18">
        <v>2</v>
      </c>
      <c r="E18" t="s">
        <v>25</v>
      </c>
      <c r="F18" t="s">
        <v>19</v>
      </c>
      <c r="G18" t="s">
        <v>64</v>
      </c>
      <c r="H18">
        <v>24</v>
      </c>
      <c r="I18">
        <v>20</v>
      </c>
      <c r="J18">
        <v>83.3</v>
      </c>
    </row>
    <row r="19" spans="1:10">
      <c r="A19" t="s">
        <v>4348</v>
      </c>
      <c r="B19" s="2">
        <v>45326</v>
      </c>
      <c r="C19">
        <v>2024</v>
      </c>
      <c r="D19">
        <v>2</v>
      </c>
      <c r="E19" t="s">
        <v>25</v>
      </c>
      <c r="F19" t="s">
        <v>38</v>
      </c>
      <c r="G19" t="s">
        <v>55</v>
      </c>
      <c r="H19">
        <v>29</v>
      </c>
      <c r="I19">
        <v>28</v>
      </c>
      <c r="J19">
        <v>96.59999999999999</v>
      </c>
    </row>
    <row r="20" spans="1:10">
      <c r="A20" t="s">
        <v>4349</v>
      </c>
      <c r="B20" s="2">
        <v>45339</v>
      </c>
      <c r="C20">
        <v>2024</v>
      </c>
      <c r="D20">
        <v>2</v>
      </c>
      <c r="E20" t="s">
        <v>25</v>
      </c>
      <c r="F20" t="s">
        <v>2</v>
      </c>
      <c r="G20" t="s">
        <v>48</v>
      </c>
      <c r="H20">
        <v>30</v>
      </c>
      <c r="I20">
        <v>25</v>
      </c>
      <c r="J20">
        <v>83.3</v>
      </c>
    </row>
    <row r="21" spans="1:10">
      <c r="A21" t="s">
        <v>4350</v>
      </c>
      <c r="B21" s="2">
        <v>45328</v>
      </c>
      <c r="C21">
        <v>2024</v>
      </c>
      <c r="D21">
        <v>2</v>
      </c>
      <c r="E21" t="s">
        <v>25</v>
      </c>
      <c r="F21" t="s">
        <v>78</v>
      </c>
      <c r="G21" t="s">
        <v>48</v>
      </c>
      <c r="H21">
        <v>25</v>
      </c>
      <c r="I21">
        <v>21</v>
      </c>
      <c r="J21">
        <v>84</v>
      </c>
    </row>
    <row r="22" spans="1:10">
      <c r="A22" t="s">
        <v>4351</v>
      </c>
      <c r="B22" s="2">
        <v>45363</v>
      </c>
      <c r="C22">
        <v>2024</v>
      </c>
      <c r="D22">
        <v>3</v>
      </c>
      <c r="E22" t="s">
        <v>60</v>
      </c>
      <c r="F22" t="s">
        <v>26</v>
      </c>
      <c r="G22" t="s">
        <v>38</v>
      </c>
      <c r="H22">
        <v>44</v>
      </c>
      <c r="I22">
        <v>40</v>
      </c>
      <c r="J22">
        <v>90.90000000000001</v>
      </c>
    </row>
    <row r="23" spans="1:10">
      <c r="A23" t="s">
        <v>4352</v>
      </c>
      <c r="B23" s="2">
        <v>45359</v>
      </c>
      <c r="C23">
        <v>2024</v>
      </c>
      <c r="D23">
        <v>3</v>
      </c>
      <c r="E23" t="s">
        <v>60</v>
      </c>
      <c r="F23" t="s">
        <v>31</v>
      </c>
      <c r="G23" t="s">
        <v>61</v>
      </c>
      <c r="H23">
        <v>31</v>
      </c>
      <c r="I23">
        <v>26</v>
      </c>
      <c r="J23">
        <v>83.90000000000001</v>
      </c>
    </row>
    <row r="24" spans="1:10">
      <c r="A24" t="s">
        <v>4353</v>
      </c>
      <c r="B24" s="2">
        <v>45362</v>
      </c>
      <c r="C24">
        <v>2024</v>
      </c>
      <c r="D24">
        <v>3</v>
      </c>
      <c r="E24" t="s">
        <v>60</v>
      </c>
      <c r="F24" t="s">
        <v>47</v>
      </c>
      <c r="G24" t="s">
        <v>38</v>
      </c>
      <c r="H24">
        <v>22</v>
      </c>
      <c r="I24">
        <v>20</v>
      </c>
      <c r="J24">
        <v>90.90000000000001</v>
      </c>
    </row>
    <row r="25" spans="1:10">
      <c r="A25" t="s">
        <v>4354</v>
      </c>
      <c r="B25" s="2">
        <v>45370</v>
      </c>
      <c r="C25">
        <v>2024</v>
      </c>
      <c r="D25">
        <v>3</v>
      </c>
      <c r="E25" t="s">
        <v>60</v>
      </c>
      <c r="F25" t="s">
        <v>40</v>
      </c>
      <c r="G25" t="s">
        <v>32</v>
      </c>
      <c r="H25">
        <v>22</v>
      </c>
      <c r="I25">
        <v>18</v>
      </c>
      <c r="J25">
        <v>81.8</v>
      </c>
    </row>
    <row r="26" spans="1:10">
      <c r="A26" t="s">
        <v>4355</v>
      </c>
      <c r="B26" s="2">
        <v>45356</v>
      </c>
      <c r="C26">
        <v>2024</v>
      </c>
      <c r="D26">
        <v>3</v>
      </c>
      <c r="E26" t="s">
        <v>60</v>
      </c>
      <c r="F26" t="s">
        <v>54</v>
      </c>
      <c r="G26" t="s">
        <v>64</v>
      </c>
      <c r="H26">
        <v>52</v>
      </c>
      <c r="I26">
        <v>45</v>
      </c>
      <c r="J26">
        <v>86.5</v>
      </c>
    </row>
    <row r="27" spans="1:10">
      <c r="A27" t="s">
        <v>4356</v>
      </c>
      <c r="B27" s="2">
        <v>45372</v>
      </c>
      <c r="C27">
        <v>2024</v>
      </c>
      <c r="D27">
        <v>3</v>
      </c>
      <c r="E27" t="s">
        <v>60</v>
      </c>
      <c r="F27" t="s">
        <v>67</v>
      </c>
      <c r="G27" t="s">
        <v>38</v>
      </c>
      <c r="H27">
        <v>52</v>
      </c>
      <c r="I27">
        <v>45</v>
      </c>
      <c r="J27">
        <v>86.5</v>
      </c>
    </row>
    <row r="28" spans="1:10">
      <c r="A28" t="s">
        <v>4357</v>
      </c>
      <c r="B28" s="2">
        <v>45372</v>
      </c>
      <c r="C28">
        <v>2024</v>
      </c>
      <c r="D28">
        <v>3</v>
      </c>
      <c r="E28" t="s">
        <v>60</v>
      </c>
      <c r="F28" t="s">
        <v>19</v>
      </c>
      <c r="G28" t="s">
        <v>61</v>
      </c>
      <c r="H28">
        <v>40</v>
      </c>
      <c r="I28">
        <v>33</v>
      </c>
      <c r="J28">
        <v>82.5</v>
      </c>
    </row>
    <row r="29" spans="1:10">
      <c r="A29" t="s">
        <v>4358</v>
      </c>
      <c r="B29" s="2">
        <v>45367</v>
      </c>
      <c r="C29">
        <v>2024</v>
      </c>
      <c r="D29">
        <v>3</v>
      </c>
      <c r="E29" t="s">
        <v>60</v>
      </c>
      <c r="F29" t="s">
        <v>38</v>
      </c>
      <c r="G29" t="s">
        <v>32</v>
      </c>
      <c r="H29">
        <v>28</v>
      </c>
      <c r="I29">
        <v>27</v>
      </c>
      <c r="J29">
        <v>96.40000000000001</v>
      </c>
    </row>
    <row r="30" spans="1:10">
      <c r="A30" t="s">
        <v>4359</v>
      </c>
      <c r="B30" s="2">
        <v>45352</v>
      </c>
      <c r="C30">
        <v>2024</v>
      </c>
      <c r="D30">
        <v>3</v>
      </c>
      <c r="E30" t="s">
        <v>60</v>
      </c>
      <c r="F30" t="s">
        <v>2</v>
      </c>
      <c r="G30" t="s">
        <v>69</v>
      </c>
      <c r="H30">
        <v>25</v>
      </c>
      <c r="I30">
        <v>21</v>
      </c>
      <c r="J30">
        <v>84</v>
      </c>
    </row>
    <row r="31" spans="1:10">
      <c r="A31" t="s">
        <v>4360</v>
      </c>
      <c r="B31" s="2">
        <v>45353</v>
      </c>
      <c r="C31">
        <v>2024</v>
      </c>
      <c r="D31">
        <v>3</v>
      </c>
      <c r="E31" t="s">
        <v>60</v>
      </c>
      <c r="F31" t="s">
        <v>78</v>
      </c>
      <c r="G31" t="s">
        <v>32</v>
      </c>
      <c r="H31">
        <v>49</v>
      </c>
      <c r="I31">
        <v>40</v>
      </c>
      <c r="J31">
        <v>81.59999999999999</v>
      </c>
    </row>
    <row r="32" spans="1:10">
      <c r="A32" t="s">
        <v>4361</v>
      </c>
      <c r="B32" s="2">
        <v>45397</v>
      </c>
      <c r="C32">
        <v>2024</v>
      </c>
      <c r="D32">
        <v>4</v>
      </c>
      <c r="E32" t="s">
        <v>73</v>
      </c>
      <c r="F32" t="s">
        <v>26</v>
      </c>
      <c r="G32" t="s">
        <v>27</v>
      </c>
      <c r="H32">
        <v>40</v>
      </c>
      <c r="I32">
        <v>33</v>
      </c>
      <c r="J32">
        <v>82.5</v>
      </c>
    </row>
    <row r="33" spans="1:10">
      <c r="A33" t="s">
        <v>4362</v>
      </c>
      <c r="B33" s="2">
        <v>45385</v>
      </c>
      <c r="C33">
        <v>2024</v>
      </c>
      <c r="D33">
        <v>4</v>
      </c>
      <c r="E33" t="s">
        <v>73</v>
      </c>
      <c r="F33" t="s">
        <v>31</v>
      </c>
      <c r="G33" t="s">
        <v>61</v>
      </c>
      <c r="H33">
        <v>58</v>
      </c>
      <c r="I33">
        <v>57</v>
      </c>
      <c r="J33">
        <v>98.3</v>
      </c>
    </row>
    <row r="34" spans="1:10">
      <c r="A34" t="s">
        <v>4363</v>
      </c>
      <c r="B34" s="2">
        <v>45403</v>
      </c>
      <c r="C34">
        <v>2024</v>
      </c>
      <c r="D34">
        <v>4</v>
      </c>
      <c r="E34" t="s">
        <v>73</v>
      </c>
      <c r="F34" t="s">
        <v>47</v>
      </c>
      <c r="G34" t="s">
        <v>94</v>
      </c>
      <c r="H34">
        <v>48</v>
      </c>
      <c r="I34">
        <v>47</v>
      </c>
      <c r="J34">
        <v>97.90000000000001</v>
      </c>
    </row>
    <row r="35" spans="1:10">
      <c r="A35" t="s">
        <v>4364</v>
      </c>
      <c r="B35" s="2">
        <v>45390</v>
      </c>
      <c r="C35">
        <v>2024</v>
      </c>
      <c r="D35">
        <v>4</v>
      </c>
      <c r="E35" t="s">
        <v>73</v>
      </c>
      <c r="F35" t="s">
        <v>40</v>
      </c>
      <c r="G35" t="s">
        <v>32</v>
      </c>
      <c r="H35">
        <v>47</v>
      </c>
      <c r="I35">
        <v>41</v>
      </c>
      <c r="J35">
        <v>87.2</v>
      </c>
    </row>
    <row r="36" spans="1:10">
      <c r="A36" t="s">
        <v>4365</v>
      </c>
      <c r="B36" s="2">
        <v>45403</v>
      </c>
      <c r="C36">
        <v>2024</v>
      </c>
      <c r="D36">
        <v>4</v>
      </c>
      <c r="E36" t="s">
        <v>73</v>
      </c>
      <c r="F36" t="s">
        <v>54</v>
      </c>
      <c r="G36" t="s">
        <v>48</v>
      </c>
      <c r="H36">
        <v>58</v>
      </c>
      <c r="I36">
        <v>56</v>
      </c>
      <c r="J36">
        <v>96.59999999999999</v>
      </c>
    </row>
    <row r="37" spans="1:10">
      <c r="A37" t="s">
        <v>4366</v>
      </c>
      <c r="B37" s="2">
        <v>45405</v>
      </c>
      <c r="C37">
        <v>2024</v>
      </c>
      <c r="D37">
        <v>4</v>
      </c>
      <c r="E37" t="s">
        <v>73</v>
      </c>
      <c r="F37" t="s">
        <v>67</v>
      </c>
      <c r="G37" t="s">
        <v>61</v>
      </c>
      <c r="H37">
        <v>28</v>
      </c>
      <c r="I37">
        <v>27</v>
      </c>
      <c r="J37">
        <v>96.40000000000001</v>
      </c>
    </row>
    <row r="38" spans="1:10">
      <c r="A38" t="s">
        <v>4367</v>
      </c>
      <c r="B38" s="2">
        <v>45407</v>
      </c>
      <c r="C38">
        <v>2024</v>
      </c>
      <c r="D38">
        <v>4</v>
      </c>
      <c r="E38" t="s">
        <v>73</v>
      </c>
      <c r="F38" t="s">
        <v>19</v>
      </c>
      <c r="G38" t="s">
        <v>69</v>
      </c>
      <c r="H38">
        <v>43</v>
      </c>
      <c r="I38">
        <v>39</v>
      </c>
      <c r="J38">
        <v>90.7</v>
      </c>
    </row>
    <row r="39" spans="1:10">
      <c r="A39" t="s">
        <v>4368</v>
      </c>
      <c r="B39" s="2">
        <v>45400</v>
      </c>
      <c r="C39">
        <v>2024</v>
      </c>
      <c r="D39">
        <v>4</v>
      </c>
      <c r="E39" t="s">
        <v>73</v>
      </c>
      <c r="F39" t="s">
        <v>38</v>
      </c>
      <c r="G39" t="s">
        <v>20</v>
      </c>
      <c r="H39">
        <v>40</v>
      </c>
      <c r="I39">
        <v>33</v>
      </c>
      <c r="J39">
        <v>82.5</v>
      </c>
    </row>
    <row r="40" spans="1:10">
      <c r="A40" t="s">
        <v>4369</v>
      </c>
      <c r="B40" s="2">
        <v>45397</v>
      </c>
      <c r="C40">
        <v>2024</v>
      </c>
      <c r="D40">
        <v>4</v>
      </c>
      <c r="E40" t="s">
        <v>73</v>
      </c>
      <c r="F40" t="s">
        <v>2</v>
      </c>
      <c r="G40" t="s">
        <v>38</v>
      </c>
      <c r="H40">
        <v>24</v>
      </c>
      <c r="I40">
        <v>20</v>
      </c>
      <c r="J40">
        <v>83.3</v>
      </c>
    </row>
    <row r="41" spans="1:10">
      <c r="A41" t="s">
        <v>4370</v>
      </c>
      <c r="B41" s="2">
        <v>45398</v>
      </c>
      <c r="C41">
        <v>2024</v>
      </c>
      <c r="D41">
        <v>4</v>
      </c>
      <c r="E41" t="s">
        <v>73</v>
      </c>
      <c r="F41" t="s">
        <v>78</v>
      </c>
      <c r="G41" t="s">
        <v>27</v>
      </c>
      <c r="H41">
        <v>37</v>
      </c>
      <c r="I41">
        <v>36</v>
      </c>
      <c r="J41">
        <v>97.3</v>
      </c>
    </row>
    <row r="42" spans="1:10">
      <c r="A42" t="s">
        <v>4371</v>
      </c>
      <c r="B42" s="2">
        <v>45413</v>
      </c>
      <c r="C42">
        <v>2024</v>
      </c>
      <c r="D42">
        <v>5</v>
      </c>
      <c r="E42" t="s">
        <v>83</v>
      </c>
      <c r="F42" t="s">
        <v>26</v>
      </c>
      <c r="G42" t="s">
        <v>48</v>
      </c>
      <c r="H42">
        <v>25</v>
      </c>
      <c r="I42">
        <v>23</v>
      </c>
      <c r="J42">
        <v>92</v>
      </c>
    </row>
    <row r="43" spans="1:10">
      <c r="A43" t="s">
        <v>4372</v>
      </c>
      <c r="B43" s="2">
        <v>45418</v>
      </c>
      <c r="C43">
        <v>2024</v>
      </c>
      <c r="D43">
        <v>5</v>
      </c>
      <c r="E43" t="s">
        <v>83</v>
      </c>
      <c r="F43" t="s">
        <v>31</v>
      </c>
      <c r="G43" t="s">
        <v>48</v>
      </c>
      <c r="H43">
        <v>59</v>
      </c>
      <c r="I43">
        <v>50</v>
      </c>
      <c r="J43">
        <v>84.7</v>
      </c>
    </row>
    <row r="44" spans="1:10">
      <c r="A44" t="s">
        <v>4373</v>
      </c>
      <c r="B44" s="2">
        <v>45432</v>
      </c>
      <c r="C44">
        <v>2024</v>
      </c>
      <c r="D44">
        <v>5</v>
      </c>
      <c r="E44" t="s">
        <v>83</v>
      </c>
      <c r="F44" t="s">
        <v>47</v>
      </c>
      <c r="G44" t="s">
        <v>74</v>
      </c>
      <c r="H44">
        <v>59</v>
      </c>
      <c r="I44">
        <v>53</v>
      </c>
      <c r="J44">
        <v>89.8</v>
      </c>
    </row>
    <row r="45" spans="1:10">
      <c r="A45" t="s">
        <v>4374</v>
      </c>
      <c r="B45" s="2">
        <v>45422</v>
      </c>
      <c r="C45">
        <v>2024</v>
      </c>
      <c r="D45">
        <v>5</v>
      </c>
      <c r="E45" t="s">
        <v>83</v>
      </c>
      <c r="F45" t="s">
        <v>40</v>
      </c>
      <c r="G45" t="s">
        <v>3</v>
      </c>
      <c r="H45">
        <v>31</v>
      </c>
      <c r="I45">
        <v>28</v>
      </c>
      <c r="J45">
        <v>90.3</v>
      </c>
    </row>
    <row r="46" spans="1:10">
      <c r="A46" t="s">
        <v>4375</v>
      </c>
      <c r="B46" s="2">
        <v>45425</v>
      </c>
      <c r="C46">
        <v>2024</v>
      </c>
      <c r="D46">
        <v>5</v>
      </c>
      <c r="E46" t="s">
        <v>83</v>
      </c>
      <c r="F46" t="s">
        <v>54</v>
      </c>
      <c r="G46" t="s">
        <v>61</v>
      </c>
      <c r="H46">
        <v>53</v>
      </c>
      <c r="I46">
        <v>52</v>
      </c>
      <c r="J46">
        <v>98.09999999999999</v>
      </c>
    </row>
    <row r="47" spans="1:10">
      <c r="A47" t="s">
        <v>4376</v>
      </c>
      <c r="B47" s="2">
        <v>45413</v>
      </c>
      <c r="C47">
        <v>2024</v>
      </c>
      <c r="D47">
        <v>5</v>
      </c>
      <c r="E47" t="s">
        <v>83</v>
      </c>
      <c r="F47" t="s">
        <v>67</v>
      </c>
      <c r="G47" t="s">
        <v>64</v>
      </c>
      <c r="H47">
        <v>41</v>
      </c>
      <c r="I47">
        <v>37</v>
      </c>
      <c r="J47">
        <v>90.2</v>
      </c>
    </row>
    <row r="48" spans="1:10">
      <c r="A48" t="s">
        <v>4377</v>
      </c>
      <c r="B48" s="2">
        <v>45421</v>
      </c>
      <c r="C48">
        <v>2024</v>
      </c>
      <c r="D48">
        <v>5</v>
      </c>
      <c r="E48" t="s">
        <v>83</v>
      </c>
      <c r="F48" t="s">
        <v>19</v>
      </c>
      <c r="G48" t="s">
        <v>20</v>
      </c>
      <c r="H48">
        <v>45</v>
      </c>
      <c r="I48">
        <v>39</v>
      </c>
      <c r="J48">
        <v>86.7</v>
      </c>
    </row>
    <row r="49" spans="1:10">
      <c r="A49" t="s">
        <v>4378</v>
      </c>
      <c r="B49" s="2">
        <v>45428</v>
      </c>
      <c r="C49">
        <v>2024</v>
      </c>
      <c r="D49">
        <v>5</v>
      </c>
      <c r="E49" t="s">
        <v>83</v>
      </c>
      <c r="F49" t="s">
        <v>38</v>
      </c>
      <c r="G49" t="s">
        <v>48</v>
      </c>
      <c r="H49">
        <v>59</v>
      </c>
      <c r="I49">
        <v>50</v>
      </c>
      <c r="J49">
        <v>84.7</v>
      </c>
    </row>
    <row r="50" spans="1:10">
      <c r="A50" t="s">
        <v>4379</v>
      </c>
      <c r="B50" s="2">
        <v>45426</v>
      </c>
      <c r="C50">
        <v>2024</v>
      </c>
      <c r="D50">
        <v>5</v>
      </c>
      <c r="E50" t="s">
        <v>83</v>
      </c>
      <c r="F50" t="s">
        <v>2</v>
      </c>
      <c r="G50" t="s">
        <v>20</v>
      </c>
      <c r="H50">
        <v>43</v>
      </c>
      <c r="I50">
        <v>39</v>
      </c>
      <c r="J50">
        <v>90.7</v>
      </c>
    </row>
    <row r="51" spans="1:10">
      <c r="A51" t="s">
        <v>4380</v>
      </c>
      <c r="B51" s="2">
        <v>45417</v>
      </c>
      <c r="C51">
        <v>2024</v>
      </c>
      <c r="D51">
        <v>5</v>
      </c>
      <c r="E51" t="s">
        <v>83</v>
      </c>
      <c r="F51" t="s">
        <v>78</v>
      </c>
      <c r="G51" t="s">
        <v>94</v>
      </c>
      <c r="H51">
        <v>31</v>
      </c>
      <c r="I51">
        <v>27</v>
      </c>
      <c r="J51">
        <v>87.09999999999999</v>
      </c>
    </row>
    <row r="52" spans="1:10">
      <c r="A52" t="s">
        <v>4381</v>
      </c>
      <c r="B52" s="2">
        <v>45461</v>
      </c>
      <c r="C52">
        <v>2024</v>
      </c>
      <c r="D52">
        <v>6</v>
      </c>
      <c r="E52" t="s">
        <v>87</v>
      </c>
      <c r="F52" t="s">
        <v>26</v>
      </c>
      <c r="G52" t="s">
        <v>3</v>
      </c>
      <c r="H52">
        <v>54</v>
      </c>
      <c r="I52">
        <v>51</v>
      </c>
      <c r="J52">
        <v>94.40000000000001</v>
      </c>
    </row>
    <row r="53" spans="1:10">
      <c r="A53" t="s">
        <v>4382</v>
      </c>
      <c r="B53" s="2">
        <v>45466</v>
      </c>
      <c r="C53">
        <v>2024</v>
      </c>
      <c r="D53">
        <v>6</v>
      </c>
      <c r="E53" t="s">
        <v>87</v>
      </c>
      <c r="F53" t="s">
        <v>31</v>
      </c>
      <c r="G53" t="s">
        <v>32</v>
      </c>
      <c r="H53">
        <v>30</v>
      </c>
      <c r="I53">
        <v>29</v>
      </c>
      <c r="J53">
        <v>96.7</v>
      </c>
    </row>
    <row r="54" spans="1:10">
      <c r="A54" t="s">
        <v>4383</v>
      </c>
      <c r="B54" s="2">
        <v>45455</v>
      </c>
      <c r="C54">
        <v>2024</v>
      </c>
      <c r="D54">
        <v>6</v>
      </c>
      <c r="E54" t="s">
        <v>87</v>
      </c>
      <c r="F54" t="s">
        <v>47</v>
      </c>
      <c r="G54" t="s">
        <v>48</v>
      </c>
      <c r="H54">
        <v>36</v>
      </c>
      <c r="I54">
        <v>34</v>
      </c>
      <c r="J54">
        <v>94.40000000000001</v>
      </c>
    </row>
    <row r="55" spans="1:10">
      <c r="A55" t="s">
        <v>4384</v>
      </c>
      <c r="B55" s="2">
        <v>45449</v>
      </c>
      <c r="C55">
        <v>2024</v>
      </c>
      <c r="D55">
        <v>6</v>
      </c>
      <c r="E55" t="s">
        <v>87</v>
      </c>
      <c r="F55" t="s">
        <v>40</v>
      </c>
      <c r="G55" t="s">
        <v>61</v>
      </c>
      <c r="H55">
        <v>27</v>
      </c>
      <c r="I55">
        <v>25</v>
      </c>
      <c r="J55">
        <v>92.59999999999999</v>
      </c>
    </row>
    <row r="56" spans="1:10">
      <c r="A56" t="s">
        <v>4385</v>
      </c>
      <c r="B56" s="2">
        <v>45455</v>
      </c>
      <c r="C56">
        <v>2024</v>
      </c>
      <c r="D56">
        <v>6</v>
      </c>
      <c r="E56" t="s">
        <v>87</v>
      </c>
      <c r="F56" t="s">
        <v>54</v>
      </c>
      <c r="G56" t="s">
        <v>61</v>
      </c>
      <c r="H56">
        <v>60</v>
      </c>
      <c r="I56">
        <v>57</v>
      </c>
      <c r="J56">
        <v>95</v>
      </c>
    </row>
    <row r="57" spans="1:10">
      <c r="A57" t="s">
        <v>4386</v>
      </c>
      <c r="B57" s="2">
        <v>45469</v>
      </c>
      <c r="C57">
        <v>2024</v>
      </c>
      <c r="D57">
        <v>6</v>
      </c>
      <c r="E57" t="s">
        <v>87</v>
      </c>
      <c r="F57" t="s">
        <v>67</v>
      </c>
      <c r="G57" t="s">
        <v>61</v>
      </c>
      <c r="H57">
        <v>22</v>
      </c>
      <c r="I57">
        <v>20</v>
      </c>
      <c r="J57">
        <v>90.90000000000001</v>
      </c>
    </row>
    <row r="58" spans="1:10">
      <c r="A58" t="s">
        <v>4387</v>
      </c>
      <c r="B58" s="2">
        <v>45452</v>
      </c>
      <c r="C58">
        <v>2024</v>
      </c>
      <c r="D58">
        <v>6</v>
      </c>
      <c r="E58" t="s">
        <v>87</v>
      </c>
      <c r="F58" t="s">
        <v>19</v>
      </c>
      <c r="G58" t="s">
        <v>48</v>
      </c>
      <c r="H58">
        <v>43</v>
      </c>
      <c r="I58">
        <v>42</v>
      </c>
      <c r="J58">
        <v>97.7</v>
      </c>
    </row>
    <row r="59" spans="1:10">
      <c r="A59" t="s">
        <v>4388</v>
      </c>
      <c r="B59" s="2">
        <v>45465</v>
      </c>
      <c r="C59">
        <v>2024</v>
      </c>
      <c r="D59">
        <v>6</v>
      </c>
      <c r="E59" t="s">
        <v>87</v>
      </c>
      <c r="F59" t="s">
        <v>38</v>
      </c>
      <c r="G59" t="s">
        <v>32</v>
      </c>
      <c r="H59">
        <v>48</v>
      </c>
      <c r="I59">
        <v>40</v>
      </c>
      <c r="J59">
        <v>83.3</v>
      </c>
    </row>
    <row r="60" spans="1:10">
      <c r="A60" t="s">
        <v>4389</v>
      </c>
      <c r="B60" s="2">
        <v>45470</v>
      </c>
      <c r="C60">
        <v>2024</v>
      </c>
      <c r="D60">
        <v>6</v>
      </c>
      <c r="E60" t="s">
        <v>87</v>
      </c>
      <c r="F60" t="s">
        <v>2</v>
      </c>
      <c r="G60" t="s">
        <v>38</v>
      </c>
      <c r="H60">
        <v>46</v>
      </c>
      <c r="I60">
        <v>44</v>
      </c>
      <c r="J60">
        <v>95.7</v>
      </c>
    </row>
    <row r="61" spans="1:10">
      <c r="A61" t="s">
        <v>4390</v>
      </c>
      <c r="B61" s="2">
        <v>45464</v>
      </c>
      <c r="C61">
        <v>2024</v>
      </c>
      <c r="D61">
        <v>6</v>
      </c>
      <c r="E61" t="s">
        <v>87</v>
      </c>
      <c r="F61" t="s">
        <v>78</v>
      </c>
      <c r="G61" t="s">
        <v>74</v>
      </c>
      <c r="H61">
        <v>30</v>
      </c>
      <c r="I61">
        <v>28</v>
      </c>
      <c r="J61">
        <v>93.3</v>
      </c>
    </row>
    <row r="62" spans="1:10">
      <c r="A62" t="s">
        <v>4391</v>
      </c>
      <c r="B62" s="2">
        <v>45488</v>
      </c>
      <c r="C62">
        <v>2024</v>
      </c>
      <c r="D62">
        <v>7</v>
      </c>
      <c r="E62" t="s">
        <v>93</v>
      </c>
      <c r="F62" t="s">
        <v>26</v>
      </c>
      <c r="G62" t="s">
        <v>64</v>
      </c>
      <c r="H62">
        <v>39</v>
      </c>
      <c r="I62">
        <v>37</v>
      </c>
      <c r="J62">
        <v>94.90000000000001</v>
      </c>
    </row>
    <row r="63" spans="1:10">
      <c r="A63" t="s">
        <v>4392</v>
      </c>
      <c r="B63" s="2">
        <v>45487</v>
      </c>
      <c r="C63">
        <v>2024</v>
      </c>
      <c r="D63">
        <v>7</v>
      </c>
      <c r="E63" t="s">
        <v>93</v>
      </c>
      <c r="F63" t="s">
        <v>31</v>
      </c>
      <c r="G63" t="s">
        <v>69</v>
      </c>
      <c r="H63">
        <v>24</v>
      </c>
      <c r="I63">
        <v>20</v>
      </c>
      <c r="J63">
        <v>83.3</v>
      </c>
    </row>
    <row r="64" spans="1:10">
      <c r="A64" t="s">
        <v>4393</v>
      </c>
      <c r="B64" s="2">
        <v>45501</v>
      </c>
      <c r="C64">
        <v>2024</v>
      </c>
      <c r="D64">
        <v>7</v>
      </c>
      <c r="E64" t="s">
        <v>93</v>
      </c>
      <c r="F64" t="s">
        <v>47</v>
      </c>
      <c r="G64" t="s">
        <v>61</v>
      </c>
      <c r="H64">
        <v>38</v>
      </c>
      <c r="I64">
        <v>37</v>
      </c>
      <c r="J64">
        <v>97.40000000000001</v>
      </c>
    </row>
    <row r="65" spans="1:10">
      <c r="A65" t="s">
        <v>4394</v>
      </c>
      <c r="B65" s="2">
        <v>45476</v>
      </c>
      <c r="C65">
        <v>2024</v>
      </c>
      <c r="D65">
        <v>7</v>
      </c>
      <c r="E65" t="s">
        <v>93</v>
      </c>
      <c r="F65" t="s">
        <v>40</v>
      </c>
      <c r="G65" t="s">
        <v>38</v>
      </c>
      <c r="H65">
        <v>29</v>
      </c>
      <c r="I65">
        <v>26</v>
      </c>
      <c r="J65">
        <v>89.7</v>
      </c>
    </row>
    <row r="66" spans="1:10">
      <c r="A66" t="s">
        <v>4395</v>
      </c>
      <c r="B66" s="2">
        <v>45499</v>
      </c>
      <c r="C66">
        <v>2024</v>
      </c>
      <c r="D66">
        <v>7</v>
      </c>
      <c r="E66" t="s">
        <v>93</v>
      </c>
      <c r="F66" t="s">
        <v>54</v>
      </c>
      <c r="G66" t="s">
        <v>64</v>
      </c>
      <c r="H66">
        <v>47</v>
      </c>
      <c r="I66">
        <v>42</v>
      </c>
      <c r="J66">
        <v>89.40000000000001</v>
      </c>
    </row>
    <row r="67" spans="1:10">
      <c r="A67" t="s">
        <v>4396</v>
      </c>
      <c r="B67" s="2">
        <v>45475</v>
      </c>
      <c r="C67">
        <v>2024</v>
      </c>
      <c r="D67">
        <v>7</v>
      </c>
      <c r="E67" t="s">
        <v>93</v>
      </c>
      <c r="F67" t="s">
        <v>67</v>
      </c>
      <c r="G67" t="s">
        <v>61</v>
      </c>
      <c r="H67">
        <v>30</v>
      </c>
      <c r="I67">
        <v>25</v>
      </c>
      <c r="J67">
        <v>83.3</v>
      </c>
    </row>
    <row r="68" spans="1:10">
      <c r="A68" t="s">
        <v>4397</v>
      </c>
      <c r="B68" s="2">
        <v>45500</v>
      </c>
      <c r="C68">
        <v>2024</v>
      </c>
      <c r="D68">
        <v>7</v>
      </c>
      <c r="E68" t="s">
        <v>93</v>
      </c>
      <c r="F68" t="s">
        <v>19</v>
      </c>
      <c r="G68" t="s">
        <v>20</v>
      </c>
      <c r="H68">
        <v>38</v>
      </c>
      <c r="I68">
        <v>31</v>
      </c>
      <c r="J68">
        <v>81.59999999999999</v>
      </c>
    </row>
    <row r="69" spans="1:10">
      <c r="A69" t="s">
        <v>4398</v>
      </c>
      <c r="B69" s="2">
        <v>45475</v>
      </c>
      <c r="C69">
        <v>2024</v>
      </c>
      <c r="D69">
        <v>7</v>
      </c>
      <c r="E69" t="s">
        <v>93</v>
      </c>
      <c r="F69" t="s">
        <v>38</v>
      </c>
      <c r="G69" t="s">
        <v>61</v>
      </c>
      <c r="H69">
        <v>42</v>
      </c>
      <c r="I69">
        <v>36</v>
      </c>
      <c r="J69">
        <v>85.7</v>
      </c>
    </row>
    <row r="70" spans="1:10">
      <c r="A70" t="s">
        <v>4399</v>
      </c>
      <c r="B70" s="2">
        <v>45474</v>
      </c>
      <c r="C70">
        <v>2024</v>
      </c>
      <c r="D70">
        <v>7</v>
      </c>
      <c r="E70" t="s">
        <v>93</v>
      </c>
      <c r="F70" t="s">
        <v>2</v>
      </c>
      <c r="G70" t="s">
        <v>38</v>
      </c>
      <c r="H70">
        <v>60</v>
      </c>
      <c r="I70">
        <v>57</v>
      </c>
      <c r="J70">
        <v>95</v>
      </c>
    </row>
    <row r="71" spans="1:10">
      <c r="A71" t="s">
        <v>4400</v>
      </c>
      <c r="B71" s="2">
        <v>45500</v>
      </c>
      <c r="C71">
        <v>2024</v>
      </c>
      <c r="D71">
        <v>7</v>
      </c>
      <c r="E71" t="s">
        <v>93</v>
      </c>
      <c r="F71" t="s">
        <v>78</v>
      </c>
      <c r="G71" t="s">
        <v>27</v>
      </c>
      <c r="H71">
        <v>48</v>
      </c>
      <c r="I71">
        <v>47</v>
      </c>
      <c r="J71">
        <v>97.90000000000001</v>
      </c>
    </row>
    <row r="72" spans="1:10">
      <c r="A72" t="s">
        <v>4401</v>
      </c>
      <c r="B72" s="2">
        <v>45529</v>
      </c>
      <c r="C72">
        <v>2024</v>
      </c>
      <c r="D72">
        <v>8</v>
      </c>
      <c r="E72" t="s">
        <v>101</v>
      </c>
      <c r="F72" t="s">
        <v>26</v>
      </c>
      <c r="G72" t="s">
        <v>74</v>
      </c>
      <c r="H72">
        <v>27</v>
      </c>
      <c r="I72">
        <v>22</v>
      </c>
      <c r="J72">
        <v>81.5</v>
      </c>
    </row>
    <row r="73" spans="1:10">
      <c r="A73" t="s">
        <v>4402</v>
      </c>
      <c r="B73" s="2">
        <v>45515</v>
      </c>
      <c r="C73">
        <v>2024</v>
      </c>
      <c r="D73">
        <v>8</v>
      </c>
      <c r="E73" t="s">
        <v>101</v>
      </c>
      <c r="F73" t="s">
        <v>31</v>
      </c>
      <c r="G73" t="s">
        <v>55</v>
      </c>
      <c r="H73">
        <v>59</v>
      </c>
      <c r="I73">
        <v>58</v>
      </c>
      <c r="J73">
        <v>98.3</v>
      </c>
    </row>
    <row r="74" spans="1:10">
      <c r="A74" t="s">
        <v>4403</v>
      </c>
      <c r="B74" s="2">
        <v>45529</v>
      </c>
      <c r="C74">
        <v>2024</v>
      </c>
      <c r="D74">
        <v>8</v>
      </c>
      <c r="E74" t="s">
        <v>101</v>
      </c>
      <c r="F74" t="s">
        <v>47</v>
      </c>
      <c r="G74" t="s">
        <v>94</v>
      </c>
      <c r="H74">
        <v>30</v>
      </c>
      <c r="I74">
        <v>25</v>
      </c>
      <c r="J74">
        <v>83.3</v>
      </c>
    </row>
    <row r="75" spans="1:10">
      <c r="A75" t="s">
        <v>4404</v>
      </c>
      <c r="B75" s="2">
        <v>45524</v>
      </c>
      <c r="C75">
        <v>2024</v>
      </c>
      <c r="D75">
        <v>8</v>
      </c>
      <c r="E75" t="s">
        <v>101</v>
      </c>
      <c r="F75" t="s">
        <v>40</v>
      </c>
      <c r="G75" t="s">
        <v>94</v>
      </c>
      <c r="H75">
        <v>54</v>
      </c>
      <c r="I75">
        <v>52</v>
      </c>
      <c r="J75">
        <v>96.3</v>
      </c>
    </row>
    <row r="76" spans="1:10">
      <c r="A76" t="s">
        <v>4405</v>
      </c>
      <c r="B76" s="2">
        <v>45531</v>
      </c>
      <c r="C76">
        <v>2024</v>
      </c>
      <c r="D76">
        <v>8</v>
      </c>
      <c r="E76" t="s">
        <v>101</v>
      </c>
      <c r="F76" t="s">
        <v>54</v>
      </c>
      <c r="G76" t="s">
        <v>61</v>
      </c>
      <c r="H76">
        <v>51</v>
      </c>
      <c r="I76">
        <v>49</v>
      </c>
      <c r="J76">
        <v>96.09999999999999</v>
      </c>
    </row>
    <row r="77" spans="1:10">
      <c r="A77" t="s">
        <v>4406</v>
      </c>
      <c r="B77" s="2">
        <v>45518</v>
      </c>
      <c r="C77">
        <v>2024</v>
      </c>
      <c r="D77">
        <v>8</v>
      </c>
      <c r="E77" t="s">
        <v>101</v>
      </c>
      <c r="F77" t="s">
        <v>67</v>
      </c>
      <c r="G77" t="s">
        <v>48</v>
      </c>
      <c r="H77">
        <v>42</v>
      </c>
      <c r="I77">
        <v>34</v>
      </c>
      <c r="J77">
        <v>81</v>
      </c>
    </row>
    <row r="78" spans="1:10">
      <c r="A78" t="s">
        <v>4407</v>
      </c>
      <c r="B78" s="2">
        <v>45517</v>
      </c>
      <c r="C78">
        <v>2024</v>
      </c>
      <c r="D78">
        <v>8</v>
      </c>
      <c r="E78" t="s">
        <v>101</v>
      </c>
      <c r="F78" t="s">
        <v>19</v>
      </c>
      <c r="G78" t="s">
        <v>61</v>
      </c>
      <c r="H78">
        <v>38</v>
      </c>
      <c r="I78">
        <v>36</v>
      </c>
      <c r="J78">
        <v>94.7</v>
      </c>
    </row>
    <row r="79" spans="1:10">
      <c r="A79" t="s">
        <v>4408</v>
      </c>
      <c r="B79" s="2">
        <v>45520</v>
      </c>
      <c r="C79">
        <v>2024</v>
      </c>
      <c r="D79">
        <v>8</v>
      </c>
      <c r="E79" t="s">
        <v>101</v>
      </c>
      <c r="F79" t="s">
        <v>38</v>
      </c>
      <c r="G79" t="s">
        <v>20</v>
      </c>
      <c r="H79">
        <v>40</v>
      </c>
      <c r="I79">
        <v>36</v>
      </c>
      <c r="J79">
        <v>90</v>
      </c>
    </row>
    <row r="80" spans="1:10">
      <c r="A80" t="s">
        <v>4409</v>
      </c>
      <c r="B80" s="2">
        <v>45517</v>
      </c>
      <c r="C80">
        <v>2024</v>
      </c>
      <c r="D80">
        <v>8</v>
      </c>
      <c r="E80" t="s">
        <v>101</v>
      </c>
      <c r="F80" t="s">
        <v>2</v>
      </c>
      <c r="G80" t="s">
        <v>20</v>
      </c>
      <c r="H80">
        <v>21</v>
      </c>
      <c r="I80">
        <v>17</v>
      </c>
      <c r="J80">
        <v>81</v>
      </c>
    </row>
    <row r="81" spans="1:10">
      <c r="A81" t="s">
        <v>4410</v>
      </c>
      <c r="B81" s="2">
        <v>45521</v>
      </c>
      <c r="C81">
        <v>2024</v>
      </c>
      <c r="D81">
        <v>8</v>
      </c>
      <c r="E81" t="s">
        <v>101</v>
      </c>
      <c r="F81" t="s">
        <v>78</v>
      </c>
      <c r="G81" t="s">
        <v>55</v>
      </c>
      <c r="H81">
        <v>57</v>
      </c>
      <c r="I81">
        <v>51</v>
      </c>
      <c r="J81">
        <v>89.5</v>
      </c>
    </row>
    <row r="82" spans="1:10">
      <c r="A82" t="s">
        <v>4411</v>
      </c>
      <c r="B82" s="2">
        <v>45560</v>
      </c>
      <c r="C82">
        <v>2024</v>
      </c>
      <c r="D82">
        <v>9</v>
      </c>
      <c r="E82" t="s">
        <v>105</v>
      </c>
      <c r="F82" t="s">
        <v>26</v>
      </c>
      <c r="G82" t="s">
        <v>48</v>
      </c>
      <c r="H82">
        <v>24</v>
      </c>
      <c r="I82">
        <v>23</v>
      </c>
      <c r="J82">
        <v>95.8</v>
      </c>
    </row>
    <row r="83" spans="1:10">
      <c r="A83" t="s">
        <v>4412</v>
      </c>
      <c r="B83" s="2">
        <v>45543</v>
      </c>
      <c r="C83">
        <v>2024</v>
      </c>
      <c r="D83">
        <v>9</v>
      </c>
      <c r="E83" t="s">
        <v>105</v>
      </c>
      <c r="F83" t="s">
        <v>31</v>
      </c>
      <c r="G83" t="s">
        <v>48</v>
      </c>
      <c r="H83">
        <v>23</v>
      </c>
      <c r="I83">
        <v>21</v>
      </c>
      <c r="J83">
        <v>91.3</v>
      </c>
    </row>
    <row r="84" spans="1:10">
      <c r="A84" t="s">
        <v>4413</v>
      </c>
      <c r="B84" s="2">
        <v>45550</v>
      </c>
      <c r="C84">
        <v>2024</v>
      </c>
      <c r="D84">
        <v>9</v>
      </c>
      <c r="E84" t="s">
        <v>105</v>
      </c>
      <c r="F84" t="s">
        <v>47</v>
      </c>
      <c r="G84" t="s">
        <v>3</v>
      </c>
      <c r="H84">
        <v>35</v>
      </c>
      <c r="I84">
        <v>29</v>
      </c>
      <c r="J84">
        <v>82.90000000000001</v>
      </c>
    </row>
    <row r="85" spans="1:10">
      <c r="A85" t="s">
        <v>4414</v>
      </c>
      <c r="B85" s="2">
        <v>45539</v>
      </c>
      <c r="C85">
        <v>2024</v>
      </c>
      <c r="D85">
        <v>9</v>
      </c>
      <c r="E85" t="s">
        <v>105</v>
      </c>
      <c r="F85" t="s">
        <v>40</v>
      </c>
      <c r="G85" t="s">
        <v>94</v>
      </c>
      <c r="H85">
        <v>34</v>
      </c>
      <c r="I85">
        <v>31</v>
      </c>
      <c r="J85">
        <v>91.2</v>
      </c>
    </row>
    <row r="86" spans="1:10">
      <c r="A86" t="s">
        <v>4415</v>
      </c>
      <c r="B86" s="2">
        <v>45555</v>
      </c>
      <c r="C86">
        <v>2024</v>
      </c>
      <c r="D86">
        <v>9</v>
      </c>
      <c r="E86" t="s">
        <v>105</v>
      </c>
      <c r="F86" t="s">
        <v>54</v>
      </c>
      <c r="G86" t="s">
        <v>32</v>
      </c>
      <c r="H86">
        <v>58</v>
      </c>
      <c r="I86">
        <v>52</v>
      </c>
      <c r="J86">
        <v>89.7</v>
      </c>
    </row>
    <row r="87" spans="1:10">
      <c r="A87" t="s">
        <v>4416</v>
      </c>
      <c r="B87" s="2">
        <v>45556</v>
      </c>
      <c r="C87">
        <v>2024</v>
      </c>
      <c r="D87">
        <v>9</v>
      </c>
      <c r="E87" t="s">
        <v>105</v>
      </c>
      <c r="F87" t="s">
        <v>67</v>
      </c>
      <c r="G87" t="s">
        <v>38</v>
      </c>
      <c r="H87">
        <v>53</v>
      </c>
      <c r="I87">
        <v>49</v>
      </c>
      <c r="J87">
        <v>92.5</v>
      </c>
    </row>
    <row r="88" spans="1:10">
      <c r="A88" t="s">
        <v>4417</v>
      </c>
      <c r="B88" s="2">
        <v>45551</v>
      </c>
      <c r="C88">
        <v>2024</v>
      </c>
      <c r="D88">
        <v>9</v>
      </c>
      <c r="E88" t="s">
        <v>105</v>
      </c>
      <c r="F88" t="s">
        <v>19</v>
      </c>
      <c r="G88" t="s">
        <v>20</v>
      </c>
      <c r="H88">
        <v>34</v>
      </c>
      <c r="I88">
        <v>30</v>
      </c>
      <c r="J88">
        <v>88.2</v>
      </c>
    </row>
    <row r="89" spans="1:10">
      <c r="A89" t="s">
        <v>4418</v>
      </c>
      <c r="B89" s="2">
        <v>45559</v>
      </c>
      <c r="C89">
        <v>2024</v>
      </c>
      <c r="D89">
        <v>9</v>
      </c>
      <c r="E89" t="s">
        <v>105</v>
      </c>
      <c r="F89" t="s">
        <v>38</v>
      </c>
      <c r="G89" t="s">
        <v>61</v>
      </c>
      <c r="H89">
        <v>29</v>
      </c>
      <c r="I89">
        <v>25</v>
      </c>
      <c r="J89">
        <v>86.2</v>
      </c>
    </row>
    <row r="90" spans="1:10">
      <c r="A90" t="s">
        <v>4419</v>
      </c>
      <c r="B90" s="2">
        <v>45536</v>
      </c>
      <c r="C90">
        <v>2024</v>
      </c>
      <c r="D90">
        <v>9</v>
      </c>
      <c r="E90" t="s">
        <v>105</v>
      </c>
      <c r="F90" t="s">
        <v>2</v>
      </c>
      <c r="G90" t="s">
        <v>61</v>
      </c>
      <c r="H90">
        <v>49</v>
      </c>
      <c r="I90">
        <v>46</v>
      </c>
      <c r="J90">
        <v>93.90000000000001</v>
      </c>
    </row>
    <row r="91" spans="1:10">
      <c r="A91" t="s">
        <v>4420</v>
      </c>
      <c r="B91" s="2">
        <v>45543</v>
      </c>
      <c r="C91">
        <v>2024</v>
      </c>
      <c r="D91">
        <v>9</v>
      </c>
      <c r="E91" t="s">
        <v>105</v>
      </c>
      <c r="F91" t="s">
        <v>78</v>
      </c>
      <c r="G91" t="s">
        <v>32</v>
      </c>
      <c r="H91">
        <v>49</v>
      </c>
      <c r="I91">
        <v>41</v>
      </c>
      <c r="J91">
        <v>83.7</v>
      </c>
    </row>
    <row r="92" spans="1:10">
      <c r="A92" t="s">
        <v>4421</v>
      </c>
      <c r="B92" s="2">
        <v>45571</v>
      </c>
      <c r="C92">
        <v>2024</v>
      </c>
      <c r="D92">
        <v>10</v>
      </c>
      <c r="E92" t="s">
        <v>113</v>
      </c>
      <c r="F92" t="s">
        <v>26</v>
      </c>
      <c r="G92" t="s">
        <v>94</v>
      </c>
      <c r="H92">
        <v>26</v>
      </c>
      <c r="I92">
        <v>23</v>
      </c>
      <c r="J92">
        <v>88.5</v>
      </c>
    </row>
    <row r="93" spans="1:10">
      <c r="A93" t="s">
        <v>4422</v>
      </c>
      <c r="B93" s="2">
        <v>45570</v>
      </c>
      <c r="C93">
        <v>2024</v>
      </c>
      <c r="D93">
        <v>10</v>
      </c>
      <c r="E93" t="s">
        <v>113</v>
      </c>
      <c r="F93" t="s">
        <v>31</v>
      </c>
      <c r="G93" t="s">
        <v>55</v>
      </c>
      <c r="H93">
        <v>41</v>
      </c>
      <c r="I93">
        <v>36</v>
      </c>
      <c r="J93">
        <v>87.8</v>
      </c>
    </row>
    <row r="94" spans="1:10">
      <c r="A94" t="s">
        <v>4423</v>
      </c>
      <c r="B94" s="2">
        <v>45586</v>
      </c>
      <c r="C94">
        <v>2024</v>
      </c>
      <c r="D94">
        <v>10</v>
      </c>
      <c r="E94" t="s">
        <v>113</v>
      </c>
      <c r="F94" t="s">
        <v>47</v>
      </c>
      <c r="G94" t="s">
        <v>20</v>
      </c>
      <c r="H94">
        <v>22</v>
      </c>
      <c r="I94">
        <v>19</v>
      </c>
      <c r="J94">
        <v>86.40000000000001</v>
      </c>
    </row>
    <row r="95" spans="1:10">
      <c r="A95" t="s">
        <v>4424</v>
      </c>
      <c r="B95" s="2">
        <v>45591</v>
      </c>
      <c r="C95">
        <v>2024</v>
      </c>
      <c r="D95">
        <v>10</v>
      </c>
      <c r="E95" t="s">
        <v>113</v>
      </c>
      <c r="F95" t="s">
        <v>40</v>
      </c>
      <c r="G95" t="s">
        <v>3</v>
      </c>
      <c r="H95">
        <v>46</v>
      </c>
      <c r="I95">
        <v>41</v>
      </c>
      <c r="J95">
        <v>89.09999999999999</v>
      </c>
    </row>
    <row r="96" spans="1:10">
      <c r="A96" t="s">
        <v>4425</v>
      </c>
      <c r="B96" s="2">
        <v>45580</v>
      </c>
      <c r="C96">
        <v>2024</v>
      </c>
      <c r="D96">
        <v>10</v>
      </c>
      <c r="E96" t="s">
        <v>113</v>
      </c>
      <c r="F96" t="s">
        <v>54</v>
      </c>
      <c r="G96" t="s">
        <v>61</v>
      </c>
      <c r="H96">
        <v>33</v>
      </c>
      <c r="I96">
        <v>30</v>
      </c>
      <c r="J96">
        <v>90.90000000000001</v>
      </c>
    </row>
    <row r="97" spans="1:10">
      <c r="A97" t="s">
        <v>4426</v>
      </c>
      <c r="B97" s="2">
        <v>45568</v>
      </c>
      <c r="C97">
        <v>2024</v>
      </c>
      <c r="D97">
        <v>10</v>
      </c>
      <c r="E97" t="s">
        <v>113</v>
      </c>
      <c r="F97" t="s">
        <v>67</v>
      </c>
      <c r="G97" t="s">
        <v>55</v>
      </c>
      <c r="H97">
        <v>52</v>
      </c>
      <c r="I97">
        <v>46</v>
      </c>
      <c r="J97">
        <v>88.5</v>
      </c>
    </row>
    <row r="98" spans="1:10">
      <c r="A98" t="s">
        <v>4427</v>
      </c>
      <c r="B98" s="2">
        <v>45584</v>
      </c>
      <c r="C98">
        <v>2024</v>
      </c>
      <c r="D98">
        <v>10</v>
      </c>
      <c r="E98" t="s">
        <v>113</v>
      </c>
      <c r="F98" t="s">
        <v>19</v>
      </c>
      <c r="G98" t="s">
        <v>27</v>
      </c>
      <c r="H98">
        <v>26</v>
      </c>
      <c r="I98">
        <v>24</v>
      </c>
      <c r="J98">
        <v>92.3</v>
      </c>
    </row>
    <row r="99" spans="1:10">
      <c r="A99" t="s">
        <v>4428</v>
      </c>
      <c r="B99" s="2">
        <v>45572</v>
      </c>
      <c r="C99">
        <v>2024</v>
      </c>
      <c r="D99">
        <v>10</v>
      </c>
      <c r="E99" t="s">
        <v>113</v>
      </c>
      <c r="F99" t="s">
        <v>38</v>
      </c>
      <c r="G99" t="s">
        <v>64</v>
      </c>
      <c r="H99">
        <v>34</v>
      </c>
      <c r="I99">
        <v>30</v>
      </c>
      <c r="J99">
        <v>88.2</v>
      </c>
    </row>
    <row r="100" spans="1:10">
      <c r="A100" t="s">
        <v>4429</v>
      </c>
      <c r="B100" s="2">
        <v>45593</v>
      </c>
      <c r="C100">
        <v>2024</v>
      </c>
      <c r="D100">
        <v>10</v>
      </c>
      <c r="E100" t="s">
        <v>113</v>
      </c>
      <c r="F100" t="s">
        <v>2</v>
      </c>
      <c r="G100" t="s">
        <v>3</v>
      </c>
      <c r="H100">
        <v>32</v>
      </c>
      <c r="I100">
        <v>29</v>
      </c>
      <c r="J100">
        <v>90.59999999999999</v>
      </c>
    </row>
    <row r="101" spans="1:10">
      <c r="A101" t="s">
        <v>4430</v>
      </c>
      <c r="B101" s="2">
        <v>45578</v>
      </c>
      <c r="C101">
        <v>2024</v>
      </c>
      <c r="D101">
        <v>10</v>
      </c>
      <c r="E101" t="s">
        <v>113</v>
      </c>
      <c r="F101" t="s">
        <v>78</v>
      </c>
      <c r="G101" t="s">
        <v>48</v>
      </c>
      <c r="H101">
        <v>58</v>
      </c>
      <c r="I101">
        <v>56</v>
      </c>
      <c r="J101">
        <v>96.59999999999999</v>
      </c>
    </row>
    <row r="102" spans="1:10">
      <c r="A102" t="s">
        <v>4431</v>
      </c>
      <c r="B102" s="2">
        <v>45598</v>
      </c>
      <c r="C102">
        <v>2024</v>
      </c>
      <c r="D102">
        <v>11</v>
      </c>
      <c r="E102" t="s">
        <v>117</v>
      </c>
      <c r="F102" t="s">
        <v>26</v>
      </c>
      <c r="G102" t="s">
        <v>32</v>
      </c>
      <c r="H102">
        <v>38</v>
      </c>
      <c r="I102">
        <v>36</v>
      </c>
      <c r="J102">
        <v>94.7</v>
      </c>
    </row>
    <row r="103" spans="1:10">
      <c r="A103" t="s">
        <v>4432</v>
      </c>
      <c r="B103" s="2">
        <v>45608</v>
      </c>
      <c r="C103">
        <v>2024</v>
      </c>
      <c r="D103">
        <v>11</v>
      </c>
      <c r="E103" t="s">
        <v>117</v>
      </c>
      <c r="F103" t="s">
        <v>31</v>
      </c>
      <c r="G103" t="s">
        <v>74</v>
      </c>
      <c r="H103">
        <v>36</v>
      </c>
      <c r="I103">
        <v>32</v>
      </c>
      <c r="J103">
        <v>88.90000000000001</v>
      </c>
    </row>
    <row r="104" spans="1:10">
      <c r="A104" t="s">
        <v>4433</v>
      </c>
      <c r="B104" s="2">
        <v>45617</v>
      </c>
      <c r="C104">
        <v>2024</v>
      </c>
      <c r="D104">
        <v>11</v>
      </c>
      <c r="E104" t="s">
        <v>117</v>
      </c>
      <c r="F104" t="s">
        <v>47</v>
      </c>
      <c r="G104" t="s">
        <v>69</v>
      </c>
      <c r="H104">
        <v>50</v>
      </c>
      <c r="I104">
        <v>44</v>
      </c>
      <c r="J104">
        <v>88</v>
      </c>
    </row>
    <row r="105" spans="1:10">
      <c r="A105" t="s">
        <v>4434</v>
      </c>
      <c r="B105" s="2">
        <v>45606</v>
      </c>
      <c r="C105">
        <v>2024</v>
      </c>
      <c r="D105">
        <v>11</v>
      </c>
      <c r="E105" t="s">
        <v>117</v>
      </c>
      <c r="F105" t="s">
        <v>40</v>
      </c>
      <c r="G105" t="s">
        <v>32</v>
      </c>
      <c r="H105">
        <v>55</v>
      </c>
      <c r="I105">
        <v>46</v>
      </c>
      <c r="J105">
        <v>83.59999999999999</v>
      </c>
    </row>
    <row r="106" spans="1:10">
      <c r="A106" t="s">
        <v>4435</v>
      </c>
      <c r="B106" s="2">
        <v>45598</v>
      </c>
      <c r="C106">
        <v>2024</v>
      </c>
      <c r="D106">
        <v>11</v>
      </c>
      <c r="E106" t="s">
        <v>117</v>
      </c>
      <c r="F106" t="s">
        <v>54</v>
      </c>
      <c r="G106" t="s">
        <v>3</v>
      </c>
      <c r="H106">
        <v>59</v>
      </c>
      <c r="I106">
        <v>53</v>
      </c>
      <c r="J106">
        <v>89.8</v>
      </c>
    </row>
    <row r="107" spans="1:10">
      <c r="A107" t="s">
        <v>4436</v>
      </c>
      <c r="B107" s="2">
        <v>45597</v>
      </c>
      <c r="C107">
        <v>2024</v>
      </c>
      <c r="D107">
        <v>11</v>
      </c>
      <c r="E107" t="s">
        <v>117</v>
      </c>
      <c r="F107" t="s">
        <v>67</v>
      </c>
      <c r="G107" t="s">
        <v>94</v>
      </c>
      <c r="H107">
        <v>32</v>
      </c>
      <c r="I107">
        <v>30</v>
      </c>
      <c r="J107">
        <v>93.8</v>
      </c>
    </row>
    <row r="108" spans="1:10">
      <c r="A108" t="s">
        <v>4437</v>
      </c>
      <c r="B108" s="2">
        <v>45611</v>
      </c>
      <c r="C108">
        <v>2024</v>
      </c>
      <c r="D108">
        <v>11</v>
      </c>
      <c r="E108" t="s">
        <v>117</v>
      </c>
      <c r="F108" t="s">
        <v>19</v>
      </c>
      <c r="G108" t="s">
        <v>64</v>
      </c>
      <c r="H108">
        <v>30</v>
      </c>
      <c r="I108">
        <v>26</v>
      </c>
      <c r="J108">
        <v>86.7</v>
      </c>
    </row>
    <row r="109" spans="1:10">
      <c r="A109" t="s">
        <v>4438</v>
      </c>
      <c r="B109" s="2">
        <v>45598</v>
      </c>
      <c r="C109">
        <v>2024</v>
      </c>
      <c r="D109">
        <v>11</v>
      </c>
      <c r="E109" t="s">
        <v>117</v>
      </c>
      <c r="F109" t="s">
        <v>38</v>
      </c>
      <c r="G109" t="s">
        <v>3</v>
      </c>
      <c r="H109">
        <v>48</v>
      </c>
      <c r="I109">
        <v>39</v>
      </c>
      <c r="J109">
        <v>81.2</v>
      </c>
    </row>
    <row r="110" spans="1:10">
      <c r="A110" t="s">
        <v>4439</v>
      </c>
      <c r="B110" s="2">
        <v>45606</v>
      </c>
      <c r="C110">
        <v>2024</v>
      </c>
      <c r="D110">
        <v>11</v>
      </c>
      <c r="E110" t="s">
        <v>117</v>
      </c>
      <c r="F110" t="s">
        <v>2</v>
      </c>
      <c r="G110" t="s">
        <v>74</v>
      </c>
      <c r="H110">
        <v>20</v>
      </c>
      <c r="I110">
        <v>17</v>
      </c>
      <c r="J110">
        <v>85</v>
      </c>
    </row>
    <row r="111" spans="1:10">
      <c r="A111" t="s">
        <v>4440</v>
      </c>
      <c r="B111" s="2">
        <v>45611</v>
      </c>
      <c r="C111">
        <v>2024</v>
      </c>
      <c r="D111">
        <v>11</v>
      </c>
      <c r="E111" t="s">
        <v>117</v>
      </c>
      <c r="F111" t="s">
        <v>78</v>
      </c>
      <c r="G111" t="s">
        <v>48</v>
      </c>
      <c r="H111">
        <v>22</v>
      </c>
      <c r="I111">
        <v>20</v>
      </c>
      <c r="J111">
        <v>90.90000000000001</v>
      </c>
    </row>
    <row r="112" spans="1:10">
      <c r="A112" t="s">
        <v>4441</v>
      </c>
      <c r="B112" s="2">
        <v>45653</v>
      </c>
      <c r="C112">
        <v>2024</v>
      </c>
      <c r="D112">
        <v>12</v>
      </c>
      <c r="E112" t="s">
        <v>124</v>
      </c>
      <c r="F112" t="s">
        <v>26</v>
      </c>
      <c r="G112" t="s">
        <v>64</v>
      </c>
      <c r="H112">
        <v>36</v>
      </c>
      <c r="I112">
        <v>32</v>
      </c>
      <c r="J112">
        <v>88.90000000000001</v>
      </c>
    </row>
    <row r="113" spans="1:10">
      <c r="A113" t="s">
        <v>4442</v>
      </c>
      <c r="B113" s="2">
        <v>45638</v>
      </c>
      <c r="C113">
        <v>2024</v>
      </c>
      <c r="D113">
        <v>12</v>
      </c>
      <c r="E113" t="s">
        <v>124</v>
      </c>
      <c r="F113" t="s">
        <v>31</v>
      </c>
      <c r="G113" t="s">
        <v>20</v>
      </c>
      <c r="H113">
        <v>27</v>
      </c>
      <c r="I113">
        <v>22</v>
      </c>
      <c r="J113">
        <v>81.5</v>
      </c>
    </row>
    <row r="114" spans="1:10">
      <c r="A114" t="s">
        <v>4443</v>
      </c>
      <c r="B114" s="2">
        <v>45634</v>
      </c>
      <c r="C114">
        <v>2024</v>
      </c>
      <c r="D114">
        <v>12</v>
      </c>
      <c r="E114" t="s">
        <v>124</v>
      </c>
      <c r="F114" t="s">
        <v>47</v>
      </c>
      <c r="G114" t="s">
        <v>94</v>
      </c>
      <c r="H114">
        <v>60</v>
      </c>
      <c r="I114">
        <v>58</v>
      </c>
      <c r="J114">
        <v>96.7</v>
      </c>
    </row>
    <row r="115" spans="1:10">
      <c r="A115" t="s">
        <v>4444</v>
      </c>
      <c r="B115" s="2">
        <v>45634</v>
      </c>
      <c r="C115">
        <v>2024</v>
      </c>
      <c r="D115">
        <v>12</v>
      </c>
      <c r="E115" t="s">
        <v>124</v>
      </c>
      <c r="F115" t="s">
        <v>40</v>
      </c>
      <c r="G115" t="s">
        <v>32</v>
      </c>
      <c r="H115">
        <v>58</v>
      </c>
      <c r="I115">
        <v>51</v>
      </c>
      <c r="J115">
        <v>87.90000000000001</v>
      </c>
    </row>
    <row r="116" spans="1:10">
      <c r="A116" t="s">
        <v>4445</v>
      </c>
      <c r="B116" s="2">
        <v>45635</v>
      </c>
      <c r="C116">
        <v>2024</v>
      </c>
      <c r="D116">
        <v>12</v>
      </c>
      <c r="E116" t="s">
        <v>124</v>
      </c>
      <c r="F116" t="s">
        <v>54</v>
      </c>
      <c r="G116" t="s">
        <v>94</v>
      </c>
      <c r="H116">
        <v>24</v>
      </c>
      <c r="I116">
        <v>22</v>
      </c>
      <c r="J116">
        <v>91.7</v>
      </c>
    </row>
    <row r="117" spans="1:10">
      <c r="A117" t="s">
        <v>4446</v>
      </c>
      <c r="B117" s="2">
        <v>45643</v>
      </c>
      <c r="C117">
        <v>2024</v>
      </c>
      <c r="D117">
        <v>12</v>
      </c>
      <c r="E117" t="s">
        <v>124</v>
      </c>
      <c r="F117" t="s">
        <v>67</v>
      </c>
      <c r="G117" t="s">
        <v>48</v>
      </c>
      <c r="H117">
        <v>59</v>
      </c>
      <c r="I117">
        <v>48</v>
      </c>
      <c r="J117">
        <v>81.40000000000001</v>
      </c>
    </row>
    <row r="118" spans="1:10">
      <c r="A118" t="s">
        <v>4447</v>
      </c>
      <c r="B118" s="2">
        <v>45640</v>
      </c>
      <c r="C118">
        <v>2024</v>
      </c>
      <c r="D118">
        <v>12</v>
      </c>
      <c r="E118" t="s">
        <v>124</v>
      </c>
      <c r="F118" t="s">
        <v>19</v>
      </c>
      <c r="G118" t="s">
        <v>61</v>
      </c>
      <c r="H118">
        <v>42</v>
      </c>
      <c r="I118">
        <v>36</v>
      </c>
      <c r="J118">
        <v>85.7</v>
      </c>
    </row>
    <row r="119" spans="1:10">
      <c r="A119" t="s">
        <v>4448</v>
      </c>
      <c r="B119" s="2">
        <v>45649</v>
      </c>
      <c r="C119">
        <v>2024</v>
      </c>
      <c r="D119">
        <v>12</v>
      </c>
      <c r="E119" t="s">
        <v>124</v>
      </c>
      <c r="F119" t="s">
        <v>38</v>
      </c>
      <c r="G119" t="s">
        <v>69</v>
      </c>
      <c r="H119">
        <v>47</v>
      </c>
      <c r="I119">
        <v>39</v>
      </c>
      <c r="J119">
        <v>83</v>
      </c>
    </row>
    <row r="120" spans="1:10">
      <c r="A120" t="s">
        <v>4449</v>
      </c>
      <c r="B120" s="2">
        <v>45637</v>
      </c>
      <c r="C120">
        <v>2024</v>
      </c>
      <c r="D120">
        <v>12</v>
      </c>
      <c r="E120" t="s">
        <v>124</v>
      </c>
      <c r="F120" t="s">
        <v>2</v>
      </c>
      <c r="G120" t="s">
        <v>69</v>
      </c>
      <c r="H120">
        <v>35</v>
      </c>
      <c r="I120">
        <v>32</v>
      </c>
      <c r="J120">
        <v>91.40000000000001</v>
      </c>
    </row>
    <row r="121" spans="1:10">
      <c r="A121" t="s">
        <v>4450</v>
      </c>
      <c r="B121" s="2">
        <v>45644</v>
      </c>
      <c r="C121">
        <v>2024</v>
      </c>
      <c r="D121">
        <v>12</v>
      </c>
      <c r="E121" t="s">
        <v>124</v>
      </c>
      <c r="F121" t="s">
        <v>78</v>
      </c>
      <c r="G121" t="s">
        <v>48</v>
      </c>
      <c r="H121">
        <v>21</v>
      </c>
      <c r="I121">
        <v>18</v>
      </c>
      <c r="J121">
        <v>85.7</v>
      </c>
    </row>
    <row r="122" spans="1:10">
      <c r="A122" t="s">
        <v>4451</v>
      </c>
      <c r="B122" s="2">
        <v>45675</v>
      </c>
      <c r="C122">
        <v>2025</v>
      </c>
      <c r="D122">
        <v>1</v>
      </c>
      <c r="E122" t="s">
        <v>1</v>
      </c>
      <c r="F122" t="s">
        <v>26</v>
      </c>
      <c r="G122" t="s">
        <v>27</v>
      </c>
      <c r="H122">
        <v>25</v>
      </c>
      <c r="I122">
        <v>21</v>
      </c>
      <c r="J122">
        <v>84</v>
      </c>
    </row>
    <row r="123" spans="1:10">
      <c r="A123" t="s">
        <v>4452</v>
      </c>
      <c r="B123" s="2">
        <v>45685</v>
      </c>
      <c r="C123">
        <v>2025</v>
      </c>
      <c r="D123">
        <v>1</v>
      </c>
      <c r="E123" t="s">
        <v>1</v>
      </c>
      <c r="F123" t="s">
        <v>31</v>
      </c>
      <c r="G123" t="s">
        <v>61</v>
      </c>
      <c r="H123">
        <v>46</v>
      </c>
      <c r="I123">
        <v>45</v>
      </c>
      <c r="J123">
        <v>97.8</v>
      </c>
    </row>
    <row r="124" spans="1:10">
      <c r="A124" t="s">
        <v>4453</v>
      </c>
      <c r="B124" s="2">
        <v>45674</v>
      </c>
      <c r="C124">
        <v>2025</v>
      </c>
      <c r="D124">
        <v>1</v>
      </c>
      <c r="E124" t="s">
        <v>1</v>
      </c>
      <c r="F124" t="s">
        <v>47</v>
      </c>
      <c r="G124" t="s">
        <v>74</v>
      </c>
      <c r="H124">
        <v>24</v>
      </c>
      <c r="I124">
        <v>22</v>
      </c>
      <c r="J124">
        <v>91.7</v>
      </c>
    </row>
    <row r="125" spans="1:10">
      <c r="A125" t="s">
        <v>4454</v>
      </c>
      <c r="B125" s="2">
        <v>45681</v>
      </c>
      <c r="C125">
        <v>2025</v>
      </c>
      <c r="D125">
        <v>1</v>
      </c>
      <c r="E125" t="s">
        <v>1</v>
      </c>
      <c r="F125" t="s">
        <v>40</v>
      </c>
      <c r="G125" t="s">
        <v>3</v>
      </c>
      <c r="H125">
        <v>36</v>
      </c>
      <c r="I125">
        <v>32</v>
      </c>
      <c r="J125">
        <v>88.90000000000001</v>
      </c>
    </row>
    <row r="126" spans="1:10">
      <c r="A126" t="s">
        <v>4455</v>
      </c>
      <c r="B126" s="2">
        <v>45685</v>
      </c>
      <c r="C126">
        <v>2025</v>
      </c>
      <c r="D126">
        <v>1</v>
      </c>
      <c r="E126" t="s">
        <v>1</v>
      </c>
      <c r="F126" t="s">
        <v>54</v>
      </c>
      <c r="G126" t="s">
        <v>3</v>
      </c>
      <c r="H126">
        <v>47</v>
      </c>
      <c r="I126">
        <v>45</v>
      </c>
      <c r="J126">
        <v>95.7</v>
      </c>
    </row>
    <row r="127" spans="1:10">
      <c r="A127" t="s">
        <v>4456</v>
      </c>
      <c r="B127" s="2">
        <v>45673</v>
      </c>
      <c r="C127">
        <v>2025</v>
      </c>
      <c r="D127">
        <v>1</v>
      </c>
      <c r="E127" t="s">
        <v>1</v>
      </c>
      <c r="F127" t="s">
        <v>67</v>
      </c>
      <c r="G127" t="s">
        <v>61</v>
      </c>
      <c r="H127">
        <v>44</v>
      </c>
      <c r="I127">
        <v>43</v>
      </c>
      <c r="J127">
        <v>97.7</v>
      </c>
    </row>
    <row r="128" spans="1:10">
      <c r="A128" t="s">
        <v>4457</v>
      </c>
      <c r="B128" s="2">
        <v>45668</v>
      </c>
      <c r="C128">
        <v>2025</v>
      </c>
      <c r="D128">
        <v>1</v>
      </c>
      <c r="E128" t="s">
        <v>1</v>
      </c>
      <c r="F128" t="s">
        <v>19</v>
      </c>
      <c r="G128" t="s">
        <v>48</v>
      </c>
      <c r="H128">
        <v>48</v>
      </c>
      <c r="I128">
        <v>40</v>
      </c>
      <c r="J128">
        <v>83.3</v>
      </c>
    </row>
    <row r="129" spans="1:10">
      <c r="A129" t="s">
        <v>4458</v>
      </c>
      <c r="B129" s="2">
        <v>45671</v>
      </c>
      <c r="C129">
        <v>2025</v>
      </c>
      <c r="D129">
        <v>1</v>
      </c>
      <c r="E129" t="s">
        <v>1</v>
      </c>
      <c r="F129" t="s">
        <v>38</v>
      </c>
      <c r="G129" t="s">
        <v>74</v>
      </c>
      <c r="H129">
        <v>41</v>
      </c>
      <c r="I129">
        <v>40</v>
      </c>
      <c r="J129">
        <v>97.59999999999999</v>
      </c>
    </row>
    <row r="130" spans="1:10">
      <c r="A130" t="s">
        <v>4459</v>
      </c>
      <c r="B130" s="2">
        <v>45676</v>
      </c>
      <c r="C130">
        <v>2025</v>
      </c>
      <c r="D130">
        <v>1</v>
      </c>
      <c r="E130" t="s">
        <v>1</v>
      </c>
      <c r="F130" t="s">
        <v>2</v>
      </c>
      <c r="G130" t="s">
        <v>32</v>
      </c>
      <c r="H130">
        <v>56</v>
      </c>
      <c r="I130">
        <v>54</v>
      </c>
      <c r="J130">
        <v>96.40000000000001</v>
      </c>
    </row>
    <row r="131" spans="1:10">
      <c r="A131" t="s">
        <v>4460</v>
      </c>
      <c r="B131" s="2">
        <v>45680</v>
      </c>
      <c r="C131">
        <v>2025</v>
      </c>
      <c r="D131">
        <v>1</v>
      </c>
      <c r="E131" t="s">
        <v>1</v>
      </c>
      <c r="F131" t="s">
        <v>78</v>
      </c>
      <c r="G131" t="s">
        <v>38</v>
      </c>
      <c r="H131">
        <v>34</v>
      </c>
      <c r="I131">
        <v>30</v>
      </c>
      <c r="J131">
        <v>88.2</v>
      </c>
    </row>
    <row r="132" spans="1:10">
      <c r="A132" t="s">
        <v>4461</v>
      </c>
      <c r="B132" s="2">
        <v>45701</v>
      </c>
      <c r="C132">
        <v>2025</v>
      </c>
      <c r="D132">
        <v>2</v>
      </c>
      <c r="E132" t="s">
        <v>25</v>
      </c>
      <c r="F132" t="s">
        <v>26</v>
      </c>
      <c r="G132" t="s">
        <v>32</v>
      </c>
      <c r="H132">
        <v>31</v>
      </c>
      <c r="I132">
        <v>28</v>
      </c>
      <c r="J132">
        <v>90.3</v>
      </c>
    </row>
    <row r="133" spans="1:10">
      <c r="A133" t="s">
        <v>4462</v>
      </c>
      <c r="B133" s="2">
        <v>45711</v>
      </c>
      <c r="C133">
        <v>2025</v>
      </c>
      <c r="D133">
        <v>2</v>
      </c>
      <c r="E133" t="s">
        <v>25</v>
      </c>
      <c r="F133" t="s">
        <v>31</v>
      </c>
      <c r="G133" t="s">
        <v>32</v>
      </c>
      <c r="H133">
        <v>31</v>
      </c>
      <c r="I133">
        <v>28</v>
      </c>
      <c r="J133">
        <v>90.3</v>
      </c>
    </row>
    <row r="134" spans="1:10">
      <c r="A134" t="s">
        <v>4463</v>
      </c>
      <c r="B134" s="2">
        <v>45697</v>
      </c>
      <c r="C134">
        <v>2025</v>
      </c>
      <c r="D134">
        <v>2</v>
      </c>
      <c r="E134" t="s">
        <v>25</v>
      </c>
      <c r="F134" t="s">
        <v>47</v>
      </c>
      <c r="G134" t="s">
        <v>48</v>
      </c>
      <c r="H134">
        <v>21</v>
      </c>
      <c r="I134">
        <v>20</v>
      </c>
      <c r="J134">
        <v>95.2</v>
      </c>
    </row>
    <row r="135" spans="1:10">
      <c r="A135" t="s">
        <v>4464</v>
      </c>
      <c r="B135" s="2">
        <v>45700</v>
      </c>
      <c r="C135">
        <v>2025</v>
      </c>
      <c r="D135">
        <v>2</v>
      </c>
      <c r="E135" t="s">
        <v>25</v>
      </c>
      <c r="F135" t="s">
        <v>40</v>
      </c>
      <c r="G135" t="s">
        <v>32</v>
      </c>
      <c r="H135">
        <v>44</v>
      </c>
      <c r="I135">
        <v>42</v>
      </c>
      <c r="J135">
        <v>95.5</v>
      </c>
    </row>
    <row r="136" spans="1:10">
      <c r="A136" t="s">
        <v>4465</v>
      </c>
      <c r="B136" s="2">
        <v>45695</v>
      </c>
      <c r="C136">
        <v>2025</v>
      </c>
      <c r="D136">
        <v>2</v>
      </c>
      <c r="E136" t="s">
        <v>25</v>
      </c>
      <c r="F136" t="s">
        <v>54</v>
      </c>
      <c r="G136" t="s">
        <v>48</v>
      </c>
      <c r="H136">
        <v>56</v>
      </c>
      <c r="I136">
        <v>46</v>
      </c>
      <c r="J136">
        <v>82.09999999999999</v>
      </c>
    </row>
    <row r="137" spans="1:10">
      <c r="A137" t="s">
        <v>4466</v>
      </c>
      <c r="B137" s="2">
        <v>45708</v>
      </c>
      <c r="C137">
        <v>2025</v>
      </c>
      <c r="D137">
        <v>2</v>
      </c>
      <c r="E137" t="s">
        <v>25</v>
      </c>
      <c r="F137" t="s">
        <v>67</v>
      </c>
      <c r="G137" t="s">
        <v>55</v>
      </c>
      <c r="H137">
        <v>53</v>
      </c>
      <c r="I137">
        <v>49</v>
      </c>
      <c r="J137">
        <v>92.5</v>
      </c>
    </row>
    <row r="138" spans="1:10">
      <c r="A138" t="s">
        <v>4467</v>
      </c>
      <c r="B138" s="2">
        <v>45708</v>
      </c>
      <c r="C138">
        <v>2025</v>
      </c>
      <c r="D138">
        <v>2</v>
      </c>
      <c r="E138" t="s">
        <v>25</v>
      </c>
      <c r="F138" t="s">
        <v>19</v>
      </c>
      <c r="G138" t="s">
        <v>38</v>
      </c>
      <c r="H138">
        <v>37</v>
      </c>
      <c r="I138">
        <v>36</v>
      </c>
      <c r="J138">
        <v>97.3</v>
      </c>
    </row>
    <row r="139" spans="1:10">
      <c r="A139" t="s">
        <v>4468</v>
      </c>
      <c r="B139" s="2">
        <v>45697</v>
      </c>
      <c r="C139">
        <v>2025</v>
      </c>
      <c r="D139">
        <v>2</v>
      </c>
      <c r="E139" t="s">
        <v>25</v>
      </c>
      <c r="F139" t="s">
        <v>38</v>
      </c>
      <c r="G139" t="s">
        <v>48</v>
      </c>
      <c r="H139">
        <v>43</v>
      </c>
      <c r="I139">
        <v>41</v>
      </c>
      <c r="J139">
        <v>95.3</v>
      </c>
    </row>
    <row r="140" spans="1:10">
      <c r="A140" t="s">
        <v>4469</v>
      </c>
      <c r="B140" s="2">
        <v>45695</v>
      </c>
      <c r="C140">
        <v>2025</v>
      </c>
      <c r="D140">
        <v>2</v>
      </c>
      <c r="E140" t="s">
        <v>25</v>
      </c>
      <c r="F140" t="s">
        <v>2</v>
      </c>
      <c r="G140" t="s">
        <v>20</v>
      </c>
      <c r="H140">
        <v>44</v>
      </c>
      <c r="I140">
        <v>41</v>
      </c>
      <c r="J140">
        <v>93.2</v>
      </c>
    </row>
    <row r="141" spans="1:10">
      <c r="A141" t="s">
        <v>4470</v>
      </c>
      <c r="B141" s="2">
        <v>45709</v>
      </c>
      <c r="C141">
        <v>2025</v>
      </c>
      <c r="D141">
        <v>2</v>
      </c>
      <c r="E141" t="s">
        <v>25</v>
      </c>
      <c r="F141" t="s">
        <v>78</v>
      </c>
      <c r="G141" t="s">
        <v>74</v>
      </c>
      <c r="H141">
        <v>27</v>
      </c>
      <c r="I141">
        <v>24</v>
      </c>
      <c r="J141">
        <v>88.90000000000001</v>
      </c>
    </row>
    <row r="142" spans="1:10">
      <c r="A142" t="s">
        <v>4471</v>
      </c>
      <c r="B142" s="2">
        <v>45738</v>
      </c>
      <c r="C142">
        <v>2025</v>
      </c>
      <c r="D142">
        <v>3</v>
      </c>
      <c r="E142" t="s">
        <v>60</v>
      </c>
      <c r="F142" t="s">
        <v>26</v>
      </c>
      <c r="G142" t="s">
        <v>20</v>
      </c>
      <c r="H142">
        <v>35</v>
      </c>
      <c r="I142">
        <v>30</v>
      </c>
      <c r="J142">
        <v>85.7</v>
      </c>
    </row>
    <row r="143" spans="1:10">
      <c r="A143" t="s">
        <v>4472</v>
      </c>
      <c r="B143" s="2">
        <v>45730</v>
      </c>
      <c r="C143">
        <v>2025</v>
      </c>
      <c r="D143">
        <v>3</v>
      </c>
      <c r="E143" t="s">
        <v>60</v>
      </c>
      <c r="F143" t="s">
        <v>31</v>
      </c>
      <c r="G143" t="s">
        <v>32</v>
      </c>
      <c r="H143">
        <v>32</v>
      </c>
      <c r="I143">
        <v>31</v>
      </c>
      <c r="J143">
        <v>96.90000000000001</v>
      </c>
    </row>
    <row r="144" spans="1:10">
      <c r="A144" t="s">
        <v>4473</v>
      </c>
      <c r="B144" s="2">
        <v>45721</v>
      </c>
      <c r="C144">
        <v>2025</v>
      </c>
      <c r="D144">
        <v>3</v>
      </c>
      <c r="E144" t="s">
        <v>60</v>
      </c>
      <c r="F144" t="s">
        <v>47</v>
      </c>
      <c r="G144" t="s">
        <v>32</v>
      </c>
      <c r="H144">
        <v>44</v>
      </c>
      <c r="I144">
        <v>40</v>
      </c>
      <c r="J144">
        <v>90.90000000000001</v>
      </c>
    </row>
    <row r="145" spans="1:10">
      <c r="A145" t="s">
        <v>4474</v>
      </c>
      <c r="B145" s="2">
        <v>45734</v>
      </c>
      <c r="C145">
        <v>2025</v>
      </c>
      <c r="D145">
        <v>3</v>
      </c>
      <c r="E145" t="s">
        <v>60</v>
      </c>
      <c r="F145" t="s">
        <v>40</v>
      </c>
      <c r="G145" t="s">
        <v>3</v>
      </c>
      <c r="H145">
        <v>29</v>
      </c>
      <c r="I145">
        <v>25</v>
      </c>
      <c r="J145">
        <v>86.2</v>
      </c>
    </row>
    <row r="146" spans="1:10">
      <c r="A146" t="s">
        <v>4475</v>
      </c>
      <c r="B146" s="2">
        <v>45723</v>
      </c>
      <c r="C146">
        <v>2025</v>
      </c>
      <c r="D146">
        <v>3</v>
      </c>
      <c r="E146" t="s">
        <v>60</v>
      </c>
      <c r="F146" t="s">
        <v>54</v>
      </c>
      <c r="G146" t="s">
        <v>32</v>
      </c>
      <c r="H146">
        <v>48</v>
      </c>
      <c r="I146">
        <v>44</v>
      </c>
      <c r="J146">
        <v>91.7</v>
      </c>
    </row>
    <row r="147" spans="1:10">
      <c r="A147" t="s">
        <v>4476</v>
      </c>
      <c r="B147" s="2">
        <v>45739</v>
      </c>
      <c r="C147">
        <v>2025</v>
      </c>
      <c r="D147">
        <v>3</v>
      </c>
      <c r="E147" t="s">
        <v>60</v>
      </c>
      <c r="F147" t="s">
        <v>67</v>
      </c>
      <c r="G147" t="s">
        <v>48</v>
      </c>
      <c r="H147">
        <v>56</v>
      </c>
      <c r="I147">
        <v>49</v>
      </c>
      <c r="J147">
        <v>87.5</v>
      </c>
    </row>
    <row r="148" spans="1:10">
      <c r="A148" t="s">
        <v>4477</v>
      </c>
      <c r="B148" s="2">
        <v>45728</v>
      </c>
      <c r="C148">
        <v>2025</v>
      </c>
      <c r="D148">
        <v>3</v>
      </c>
      <c r="E148" t="s">
        <v>60</v>
      </c>
      <c r="F148" t="s">
        <v>19</v>
      </c>
      <c r="G148" t="s">
        <v>74</v>
      </c>
      <c r="H148">
        <v>42</v>
      </c>
      <c r="I148">
        <v>41</v>
      </c>
      <c r="J148">
        <v>97.59999999999999</v>
      </c>
    </row>
    <row r="149" spans="1:10">
      <c r="A149" t="s">
        <v>4478</v>
      </c>
      <c r="B149" s="2">
        <v>45727</v>
      </c>
      <c r="C149">
        <v>2025</v>
      </c>
      <c r="D149">
        <v>3</v>
      </c>
      <c r="E149" t="s">
        <v>60</v>
      </c>
      <c r="F149" t="s">
        <v>38</v>
      </c>
      <c r="G149" t="s">
        <v>38</v>
      </c>
      <c r="H149">
        <v>53</v>
      </c>
      <c r="I149">
        <v>44</v>
      </c>
      <c r="J149">
        <v>83</v>
      </c>
    </row>
    <row r="150" spans="1:10">
      <c r="A150" t="s">
        <v>4479</v>
      </c>
      <c r="B150" s="2">
        <v>45736</v>
      </c>
      <c r="C150">
        <v>2025</v>
      </c>
      <c r="D150">
        <v>3</v>
      </c>
      <c r="E150" t="s">
        <v>60</v>
      </c>
      <c r="F150" t="s">
        <v>2</v>
      </c>
      <c r="G150" t="s">
        <v>48</v>
      </c>
      <c r="H150">
        <v>58</v>
      </c>
      <c r="I150">
        <v>51</v>
      </c>
      <c r="J150">
        <v>87.90000000000001</v>
      </c>
    </row>
    <row r="151" spans="1:10">
      <c r="A151" t="s">
        <v>4480</v>
      </c>
      <c r="B151" s="2">
        <v>45737</v>
      </c>
      <c r="C151">
        <v>2025</v>
      </c>
      <c r="D151">
        <v>3</v>
      </c>
      <c r="E151" t="s">
        <v>60</v>
      </c>
      <c r="F151" t="s">
        <v>78</v>
      </c>
      <c r="G151" t="s">
        <v>74</v>
      </c>
      <c r="H151">
        <v>26</v>
      </c>
      <c r="I151">
        <v>25</v>
      </c>
      <c r="J151">
        <v>96.2</v>
      </c>
    </row>
    <row r="152" spans="1:10">
      <c r="A152" t="s">
        <v>4481</v>
      </c>
      <c r="B152" s="2">
        <v>45762</v>
      </c>
      <c r="C152">
        <v>2025</v>
      </c>
      <c r="D152">
        <v>4</v>
      </c>
      <c r="E152" t="s">
        <v>73</v>
      </c>
      <c r="F152" t="s">
        <v>26</v>
      </c>
      <c r="G152" t="s">
        <v>64</v>
      </c>
      <c r="H152">
        <v>46</v>
      </c>
      <c r="I152">
        <v>43</v>
      </c>
      <c r="J152">
        <v>93.5</v>
      </c>
    </row>
    <row r="153" spans="1:10">
      <c r="A153" t="s">
        <v>4482</v>
      </c>
      <c r="B153" s="2">
        <v>45766</v>
      </c>
      <c r="C153">
        <v>2025</v>
      </c>
      <c r="D153">
        <v>4</v>
      </c>
      <c r="E153" t="s">
        <v>73</v>
      </c>
      <c r="F153" t="s">
        <v>31</v>
      </c>
      <c r="G153" t="s">
        <v>74</v>
      </c>
      <c r="H153">
        <v>35</v>
      </c>
      <c r="I153">
        <v>34</v>
      </c>
      <c r="J153">
        <v>97.09999999999999</v>
      </c>
    </row>
    <row r="154" spans="1:10">
      <c r="A154" t="s">
        <v>4483</v>
      </c>
      <c r="B154" s="2">
        <v>45770</v>
      </c>
      <c r="C154">
        <v>2025</v>
      </c>
      <c r="D154">
        <v>4</v>
      </c>
      <c r="E154" t="s">
        <v>73</v>
      </c>
      <c r="F154" t="s">
        <v>47</v>
      </c>
      <c r="G154" t="s">
        <v>74</v>
      </c>
      <c r="H154">
        <v>25</v>
      </c>
      <c r="I154">
        <v>20</v>
      </c>
      <c r="J154">
        <v>80</v>
      </c>
    </row>
    <row r="155" spans="1:10">
      <c r="A155" t="s">
        <v>4484</v>
      </c>
      <c r="B155" s="2">
        <v>45759</v>
      </c>
      <c r="C155">
        <v>2025</v>
      </c>
      <c r="D155">
        <v>4</v>
      </c>
      <c r="E155" t="s">
        <v>73</v>
      </c>
      <c r="F155" t="s">
        <v>40</v>
      </c>
      <c r="G155" t="s">
        <v>55</v>
      </c>
      <c r="H155">
        <v>59</v>
      </c>
      <c r="I155">
        <v>52</v>
      </c>
      <c r="J155">
        <v>88.09999999999999</v>
      </c>
    </row>
    <row r="156" spans="1:10">
      <c r="A156" t="s">
        <v>4485</v>
      </c>
      <c r="B156" s="2">
        <v>45768</v>
      </c>
      <c r="C156">
        <v>2025</v>
      </c>
      <c r="D156">
        <v>4</v>
      </c>
      <c r="E156" t="s">
        <v>73</v>
      </c>
      <c r="F156" t="s">
        <v>54</v>
      </c>
      <c r="G156" t="s">
        <v>55</v>
      </c>
      <c r="H156">
        <v>50</v>
      </c>
      <c r="I156">
        <v>46</v>
      </c>
      <c r="J156">
        <v>92</v>
      </c>
    </row>
    <row r="157" spans="1:10">
      <c r="A157" t="s">
        <v>4486</v>
      </c>
      <c r="B157" s="2">
        <v>45752</v>
      </c>
      <c r="C157">
        <v>2025</v>
      </c>
      <c r="D157">
        <v>4</v>
      </c>
      <c r="E157" t="s">
        <v>73</v>
      </c>
      <c r="F157" t="s">
        <v>67</v>
      </c>
      <c r="G157" t="s">
        <v>20</v>
      </c>
      <c r="H157">
        <v>54</v>
      </c>
      <c r="I157">
        <v>49</v>
      </c>
      <c r="J157">
        <v>90.7</v>
      </c>
    </row>
    <row r="158" spans="1:10">
      <c r="A158" t="s">
        <v>4487</v>
      </c>
      <c r="B158" s="2">
        <v>45769</v>
      </c>
      <c r="C158">
        <v>2025</v>
      </c>
      <c r="D158">
        <v>4</v>
      </c>
      <c r="E158" t="s">
        <v>73</v>
      </c>
      <c r="F158" t="s">
        <v>19</v>
      </c>
      <c r="G158" t="s">
        <v>64</v>
      </c>
      <c r="H158">
        <v>38</v>
      </c>
      <c r="I158">
        <v>31</v>
      </c>
      <c r="J158">
        <v>81.59999999999999</v>
      </c>
    </row>
    <row r="159" spans="1:10">
      <c r="A159" t="s">
        <v>4488</v>
      </c>
      <c r="B159" s="2">
        <v>45753</v>
      </c>
      <c r="C159">
        <v>2025</v>
      </c>
      <c r="D159">
        <v>4</v>
      </c>
      <c r="E159" t="s">
        <v>73</v>
      </c>
      <c r="F159" t="s">
        <v>38</v>
      </c>
      <c r="G159" t="s">
        <v>27</v>
      </c>
      <c r="H159">
        <v>60</v>
      </c>
      <c r="I159">
        <v>56</v>
      </c>
      <c r="J159">
        <v>93.3</v>
      </c>
    </row>
    <row r="160" spans="1:10">
      <c r="A160" t="s">
        <v>4489</v>
      </c>
      <c r="B160" s="2">
        <v>45751</v>
      </c>
      <c r="C160">
        <v>2025</v>
      </c>
      <c r="D160">
        <v>4</v>
      </c>
      <c r="E160" t="s">
        <v>73</v>
      </c>
      <c r="F160" t="s">
        <v>2</v>
      </c>
      <c r="G160" t="s">
        <v>48</v>
      </c>
      <c r="H160">
        <v>25</v>
      </c>
      <c r="I160">
        <v>24</v>
      </c>
      <c r="J160">
        <v>96</v>
      </c>
    </row>
    <row r="161" spans="1:10">
      <c r="A161" t="s">
        <v>4490</v>
      </c>
      <c r="B161" s="2">
        <v>45754</v>
      </c>
      <c r="C161">
        <v>2025</v>
      </c>
      <c r="D161">
        <v>4</v>
      </c>
      <c r="E161" t="s">
        <v>73</v>
      </c>
      <c r="F161" t="s">
        <v>78</v>
      </c>
      <c r="G161" t="s">
        <v>32</v>
      </c>
      <c r="H161">
        <v>33</v>
      </c>
      <c r="I161">
        <v>29</v>
      </c>
      <c r="J161">
        <v>87.90000000000001</v>
      </c>
    </row>
    <row r="162" spans="1:10">
      <c r="A162" t="s">
        <v>4491</v>
      </c>
      <c r="B162" s="2">
        <v>45779</v>
      </c>
      <c r="C162">
        <v>2025</v>
      </c>
      <c r="D162">
        <v>5</v>
      </c>
      <c r="E162" t="s">
        <v>83</v>
      </c>
      <c r="F162" t="s">
        <v>26</v>
      </c>
      <c r="G162" t="s">
        <v>61</v>
      </c>
      <c r="H162">
        <v>36</v>
      </c>
      <c r="I162">
        <v>32</v>
      </c>
      <c r="J162">
        <v>88.90000000000001</v>
      </c>
    </row>
    <row r="163" spans="1:10">
      <c r="A163" t="s">
        <v>4492</v>
      </c>
      <c r="B163" s="2">
        <v>45792</v>
      </c>
      <c r="C163">
        <v>2025</v>
      </c>
      <c r="D163">
        <v>5</v>
      </c>
      <c r="E163" t="s">
        <v>83</v>
      </c>
      <c r="F163" t="s">
        <v>31</v>
      </c>
      <c r="G163" t="s">
        <v>3</v>
      </c>
      <c r="H163">
        <v>25</v>
      </c>
      <c r="I163">
        <v>21</v>
      </c>
      <c r="J163">
        <v>84</v>
      </c>
    </row>
    <row r="164" spans="1:10">
      <c r="A164" t="s">
        <v>4493</v>
      </c>
      <c r="B164" s="2">
        <v>45798</v>
      </c>
      <c r="C164">
        <v>2025</v>
      </c>
      <c r="D164">
        <v>5</v>
      </c>
      <c r="E164" t="s">
        <v>83</v>
      </c>
      <c r="F164" t="s">
        <v>47</v>
      </c>
      <c r="G164" t="s">
        <v>74</v>
      </c>
      <c r="H164">
        <v>57</v>
      </c>
      <c r="I164">
        <v>46</v>
      </c>
      <c r="J164">
        <v>80.7</v>
      </c>
    </row>
    <row r="165" spans="1:10">
      <c r="A165" t="s">
        <v>4494</v>
      </c>
      <c r="B165" s="2">
        <v>45791</v>
      </c>
      <c r="C165">
        <v>2025</v>
      </c>
      <c r="D165">
        <v>5</v>
      </c>
      <c r="E165" t="s">
        <v>83</v>
      </c>
      <c r="F165" t="s">
        <v>40</v>
      </c>
      <c r="G165" t="s">
        <v>69</v>
      </c>
      <c r="H165">
        <v>54</v>
      </c>
      <c r="I165">
        <v>45</v>
      </c>
      <c r="J165">
        <v>83.3</v>
      </c>
    </row>
    <row r="166" spans="1:10">
      <c r="A166" t="s">
        <v>4495</v>
      </c>
      <c r="B166" s="2">
        <v>45786</v>
      </c>
      <c r="C166">
        <v>2025</v>
      </c>
      <c r="D166">
        <v>5</v>
      </c>
      <c r="E166" t="s">
        <v>83</v>
      </c>
      <c r="F166" t="s">
        <v>54</v>
      </c>
      <c r="G166" t="s">
        <v>48</v>
      </c>
      <c r="H166">
        <v>53</v>
      </c>
      <c r="I166">
        <v>48</v>
      </c>
      <c r="J166">
        <v>90.59999999999999</v>
      </c>
    </row>
    <row r="167" spans="1:10">
      <c r="A167" t="s">
        <v>4496</v>
      </c>
      <c r="B167" s="2">
        <v>45792</v>
      </c>
      <c r="C167">
        <v>2025</v>
      </c>
      <c r="D167">
        <v>5</v>
      </c>
      <c r="E167" t="s">
        <v>83</v>
      </c>
      <c r="F167" t="s">
        <v>67</v>
      </c>
      <c r="G167" t="s">
        <v>27</v>
      </c>
      <c r="H167">
        <v>31</v>
      </c>
      <c r="I167">
        <v>28</v>
      </c>
      <c r="J167">
        <v>90.3</v>
      </c>
    </row>
    <row r="168" spans="1:10">
      <c r="A168" t="s">
        <v>4497</v>
      </c>
      <c r="B168" s="2">
        <v>45797</v>
      </c>
      <c r="C168">
        <v>2025</v>
      </c>
      <c r="D168">
        <v>5</v>
      </c>
      <c r="E168" t="s">
        <v>83</v>
      </c>
      <c r="F168" t="s">
        <v>19</v>
      </c>
      <c r="G168" t="s">
        <v>69</v>
      </c>
      <c r="H168">
        <v>32</v>
      </c>
      <c r="I168">
        <v>29</v>
      </c>
      <c r="J168">
        <v>90.59999999999999</v>
      </c>
    </row>
    <row r="169" spans="1:10">
      <c r="A169" t="s">
        <v>4498</v>
      </c>
      <c r="B169" s="2">
        <v>45782</v>
      </c>
      <c r="C169">
        <v>2025</v>
      </c>
      <c r="D169">
        <v>5</v>
      </c>
      <c r="E169" t="s">
        <v>83</v>
      </c>
      <c r="F169" t="s">
        <v>38</v>
      </c>
      <c r="G169" t="s">
        <v>27</v>
      </c>
      <c r="H169">
        <v>46</v>
      </c>
      <c r="I169">
        <v>38</v>
      </c>
      <c r="J169">
        <v>82.59999999999999</v>
      </c>
    </row>
    <row r="170" spans="1:10">
      <c r="A170" t="s">
        <v>4499</v>
      </c>
      <c r="B170" s="2">
        <v>45793</v>
      </c>
      <c r="C170">
        <v>2025</v>
      </c>
      <c r="D170">
        <v>5</v>
      </c>
      <c r="E170" t="s">
        <v>83</v>
      </c>
      <c r="F170" t="s">
        <v>2</v>
      </c>
      <c r="G170" t="s">
        <v>48</v>
      </c>
      <c r="H170">
        <v>49</v>
      </c>
      <c r="I170">
        <v>47</v>
      </c>
      <c r="J170">
        <v>95.90000000000001</v>
      </c>
    </row>
    <row r="171" spans="1:10">
      <c r="A171" t="s">
        <v>4500</v>
      </c>
      <c r="B171" s="2">
        <v>45800</v>
      </c>
      <c r="C171">
        <v>2025</v>
      </c>
      <c r="D171">
        <v>5</v>
      </c>
      <c r="E171" t="s">
        <v>83</v>
      </c>
      <c r="F171" t="s">
        <v>78</v>
      </c>
      <c r="G171" t="s">
        <v>20</v>
      </c>
      <c r="H171">
        <v>25</v>
      </c>
      <c r="I171">
        <v>24</v>
      </c>
      <c r="J171">
        <v>96</v>
      </c>
    </row>
    <row r="172" spans="1:10">
      <c r="A172" t="s">
        <v>4501</v>
      </c>
      <c r="B172" s="2">
        <v>45829</v>
      </c>
      <c r="C172">
        <v>2025</v>
      </c>
      <c r="D172">
        <v>6</v>
      </c>
      <c r="E172" t="s">
        <v>87</v>
      </c>
      <c r="F172" t="s">
        <v>26</v>
      </c>
      <c r="G172" t="s">
        <v>69</v>
      </c>
      <c r="H172">
        <v>21</v>
      </c>
      <c r="I172">
        <v>20</v>
      </c>
      <c r="J172">
        <v>95.2</v>
      </c>
    </row>
    <row r="173" spans="1:10">
      <c r="A173" t="s">
        <v>4502</v>
      </c>
      <c r="B173" s="2">
        <v>45829</v>
      </c>
      <c r="C173">
        <v>2025</v>
      </c>
      <c r="D173">
        <v>6</v>
      </c>
      <c r="E173" t="s">
        <v>87</v>
      </c>
      <c r="F173" t="s">
        <v>31</v>
      </c>
      <c r="G173" t="s">
        <v>74</v>
      </c>
      <c r="H173">
        <v>41</v>
      </c>
      <c r="I173">
        <v>35</v>
      </c>
      <c r="J173">
        <v>85.40000000000001</v>
      </c>
    </row>
    <row r="174" spans="1:10">
      <c r="A174" t="s">
        <v>4503</v>
      </c>
      <c r="B174" s="2">
        <v>45814</v>
      </c>
      <c r="C174">
        <v>2025</v>
      </c>
      <c r="D174">
        <v>6</v>
      </c>
      <c r="E174" t="s">
        <v>87</v>
      </c>
      <c r="F174" t="s">
        <v>47</v>
      </c>
      <c r="G174" t="s">
        <v>32</v>
      </c>
      <c r="H174">
        <v>55</v>
      </c>
      <c r="I174">
        <v>47</v>
      </c>
      <c r="J174">
        <v>85.5</v>
      </c>
    </row>
    <row r="175" spans="1:10">
      <c r="A175" t="s">
        <v>4504</v>
      </c>
      <c r="B175" s="2">
        <v>45823</v>
      </c>
      <c r="C175">
        <v>2025</v>
      </c>
      <c r="D175">
        <v>6</v>
      </c>
      <c r="E175" t="s">
        <v>87</v>
      </c>
      <c r="F175" t="s">
        <v>40</v>
      </c>
      <c r="G175" t="s">
        <v>27</v>
      </c>
      <c r="H175">
        <v>42</v>
      </c>
      <c r="I175">
        <v>37</v>
      </c>
      <c r="J175">
        <v>88.09999999999999</v>
      </c>
    </row>
    <row r="176" spans="1:10">
      <c r="A176" t="s">
        <v>4505</v>
      </c>
      <c r="B176" s="2">
        <v>45830</v>
      </c>
      <c r="C176">
        <v>2025</v>
      </c>
      <c r="D176">
        <v>6</v>
      </c>
      <c r="E176" t="s">
        <v>87</v>
      </c>
      <c r="F176" t="s">
        <v>54</v>
      </c>
      <c r="G176" t="s">
        <v>20</v>
      </c>
      <c r="H176">
        <v>24</v>
      </c>
      <c r="I176">
        <v>23</v>
      </c>
      <c r="J176">
        <v>95.8</v>
      </c>
    </row>
    <row r="177" spans="1:10">
      <c r="A177" t="s">
        <v>4506</v>
      </c>
      <c r="B177" s="2">
        <v>45822</v>
      </c>
      <c r="C177">
        <v>2025</v>
      </c>
      <c r="D177">
        <v>6</v>
      </c>
      <c r="E177" t="s">
        <v>87</v>
      </c>
      <c r="F177" t="s">
        <v>67</v>
      </c>
      <c r="G177" t="s">
        <v>27</v>
      </c>
      <c r="H177">
        <v>48</v>
      </c>
      <c r="I177">
        <v>45</v>
      </c>
      <c r="J177">
        <v>93.8</v>
      </c>
    </row>
    <row r="178" spans="1:10">
      <c r="A178" t="s">
        <v>4507</v>
      </c>
      <c r="B178" s="2">
        <v>45832</v>
      </c>
      <c r="C178">
        <v>2025</v>
      </c>
      <c r="D178">
        <v>6</v>
      </c>
      <c r="E178" t="s">
        <v>87</v>
      </c>
      <c r="F178" t="s">
        <v>19</v>
      </c>
      <c r="G178" t="s">
        <v>38</v>
      </c>
      <c r="H178">
        <v>32</v>
      </c>
      <c r="I178">
        <v>30</v>
      </c>
      <c r="J178">
        <v>93.8</v>
      </c>
    </row>
    <row r="179" spans="1:10">
      <c r="A179" t="s">
        <v>4508</v>
      </c>
      <c r="B179" s="2">
        <v>45818</v>
      </c>
      <c r="C179">
        <v>2025</v>
      </c>
      <c r="D179">
        <v>6</v>
      </c>
      <c r="E179" t="s">
        <v>87</v>
      </c>
      <c r="F179" t="s">
        <v>38</v>
      </c>
      <c r="G179" t="s">
        <v>55</v>
      </c>
      <c r="H179">
        <v>34</v>
      </c>
      <c r="I179">
        <v>33</v>
      </c>
      <c r="J179">
        <v>97.09999999999999</v>
      </c>
    </row>
    <row r="180" spans="1:10">
      <c r="A180" t="s">
        <v>4509</v>
      </c>
      <c r="B180" s="2">
        <v>45830</v>
      </c>
      <c r="C180">
        <v>2025</v>
      </c>
      <c r="D180">
        <v>6</v>
      </c>
      <c r="E180" t="s">
        <v>87</v>
      </c>
      <c r="F180" t="s">
        <v>2</v>
      </c>
      <c r="G180" t="s">
        <v>48</v>
      </c>
      <c r="H180">
        <v>41</v>
      </c>
      <c r="I180">
        <v>36</v>
      </c>
      <c r="J180">
        <v>87.8</v>
      </c>
    </row>
    <row r="181" spans="1:10">
      <c r="A181" t="s">
        <v>4510</v>
      </c>
      <c r="B181" s="2">
        <v>45819</v>
      </c>
      <c r="C181">
        <v>2025</v>
      </c>
      <c r="D181">
        <v>6</v>
      </c>
      <c r="E181" t="s">
        <v>87</v>
      </c>
      <c r="F181" t="s">
        <v>78</v>
      </c>
      <c r="G181" t="s">
        <v>64</v>
      </c>
      <c r="H181">
        <v>23</v>
      </c>
      <c r="I181">
        <v>21</v>
      </c>
      <c r="J181">
        <v>91.3</v>
      </c>
    </row>
    <row r="182" spans="1:10">
      <c r="A182" t="s">
        <v>4511</v>
      </c>
      <c r="B182" s="2">
        <v>45862</v>
      </c>
      <c r="C182">
        <v>2025</v>
      </c>
      <c r="D182">
        <v>7</v>
      </c>
      <c r="E182" t="s">
        <v>93</v>
      </c>
      <c r="F182" t="s">
        <v>26</v>
      </c>
      <c r="G182" t="s">
        <v>55</v>
      </c>
      <c r="H182">
        <v>30</v>
      </c>
      <c r="I182">
        <v>25</v>
      </c>
      <c r="J182">
        <v>83.3</v>
      </c>
    </row>
    <row r="183" spans="1:10">
      <c r="A183" t="s">
        <v>4512</v>
      </c>
      <c r="B183" s="2">
        <v>45856</v>
      </c>
      <c r="C183">
        <v>2025</v>
      </c>
      <c r="D183">
        <v>7</v>
      </c>
      <c r="E183" t="s">
        <v>93</v>
      </c>
      <c r="F183" t="s">
        <v>31</v>
      </c>
      <c r="G183" t="s">
        <v>27</v>
      </c>
      <c r="H183">
        <v>31</v>
      </c>
      <c r="I183">
        <v>29</v>
      </c>
      <c r="J183">
        <v>93.5</v>
      </c>
    </row>
    <row r="184" spans="1:10">
      <c r="A184" t="s">
        <v>4513</v>
      </c>
      <c r="B184" s="2">
        <v>45866</v>
      </c>
      <c r="C184">
        <v>2025</v>
      </c>
      <c r="D184">
        <v>7</v>
      </c>
      <c r="E184" t="s">
        <v>93</v>
      </c>
      <c r="F184" t="s">
        <v>47</v>
      </c>
      <c r="G184" t="s">
        <v>94</v>
      </c>
      <c r="H184">
        <v>47</v>
      </c>
      <c r="I184">
        <v>41</v>
      </c>
      <c r="J184">
        <v>87.2</v>
      </c>
    </row>
    <row r="185" spans="1:10">
      <c r="A185" t="s">
        <v>4514</v>
      </c>
      <c r="B185" s="2">
        <v>45842</v>
      </c>
      <c r="C185">
        <v>2025</v>
      </c>
      <c r="D185">
        <v>7</v>
      </c>
      <c r="E185" t="s">
        <v>93</v>
      </c>
      <c r="F185" t="s">
        <v>40</v>
      </c>
      <c r="G185" t="s">
        <v>3</v>
      </c>
      <c r="H185">
        <v>60</v>
      </c>
      <c r="I185">
        <v>49</v>
      </c>
      <c r="J185">
        <v>81.7</v>
      </c>
    </row>
    <row r="186" spans="1:10">
      <c r="A186" t="s">
        <v>4515</v>
      </c>
      <c r="B186" s="2">
        <v>45858</v>
      </c>
      <c r="C186">
        <v>2025</v>
      </c>
      <c r="D186">
        <v>7</v>
      </c>
      <c r="E186" t="s">
        <v>93</v>
      </c>
      <c r="F186" t="s">
        <v>54</v>
      </c>
      <c r="G186" t="s">
        <v>64</v>
      </c>
      <c r="H186">
        <v>47</v>
      </c>
      <c r="I186">
        <v>41</v>
      </c>
      <c r="J186">
        <v>87.2</v>
      </c>
    </row>
    <row r="187" spans="1:10">
      <c r="A187" t="s">
        <v>4516</v>
      </c>
      <c r="B187" s="2">
        <v>45861</v>
      </c>
      <c r="C187">
        <v>2025</v>
      </c>
      <c r="D187">
        <v>7</v>
      </c>
      <c r="E187" t="s">
        <v>93</v>
      </c>
      <c r="F187" t="s">
        <v>67</v>
      </c>
      <c r="G187" t="s">
        <v>94</v>
      </c>
      <c r="H187">
        <v>35</v>
      </c>
      <c r="I187">
        <v>31</v>
      </c>
      <c r="J187">
        <v>88.59999999999999</v>
      </c>
    </row>
    <row r="188" spans="1:10">
      <c r="A188" t="s">
        <v>4517</v>
      </c>
      <c r="B188" s="2">
        <v>45855</v>
      </c>
      <c r="C188">
        <v>2025</v>
      </c>
      <c r="D188">
        <v>7</v>
      </c>
      <c r="E188" t="s">
        <v>93</v>
      </c>
      <c r="F188" t="s">
        <v>19</v>
      </c>
      <c r="G188" t="s">
        <v>74</v>
      </c>
      <c r="H188">
        <v>28</v>
      </c>
      <c r="I188">
        <v>24</v>
      </c>
      <c r="J188">
        <v>85.7</v>
      </c>
    </row>
    <row r="189" spans="1:10">
      <c r="A189" t="s">
        <v>4518</v>
      </c>
      <c r="B189" s="2">
        <v>45846</v>
      </c>
      <c r="C189">
        <v>2025</v>
      </c>
      <c r="D189">
        <v>7</v>
      </c>
      <c r="E189" t="s">
        <v>93</v>
      </c>
      <c r="F189" t="s">
        <v>38</v>
      </c>
      <c r="G189" t="s">
        <v>20</v>
      </c>
      <c r="H189">
        <v>42</v>
      </c>
      <c r="I189">
        <v>40</v>
      </c>
      <c r="J189">
        <v>95.2</v>
      </c>
    </row>
    <row r="190" spans="1:10">
      <c r="A190" t="s">
        <v>4519</v>
      </c>
      <c r="B190" s="2">
        <v>45860</v>
      </c>
      <c r="C190">
        <v>2025</v>
      </c>
      <c r="D190">
        <v>7</v>
      </c>
      <c r="E190" t="s">
        <v>93</v>
      </c>
      <c r="F190" t="s">
        <v>2</v>
      </c>
      <c r="G190" t="s">
        <v>74</v>
      </c>
      <c r="H190">
        <v>36</v>
      </c>
      <c r="I190">
        <v>29</v>
      </c>
      <c r="J190">
        <v>80.59999999999999</v>
      </c>
    </row>
    <row r="191" spans="1:10">
      <c r="A191" t="s">
        <v>4520</v>
      </c>
      <c r="B191" s="2">
        <v>45848</v>
      </c>
      <c r="C191">
        <v>2025</v>
      </c>
      <c r="D191">
        <v>7</v>
      </c>
      <c r="E191" t="s">
        <v>93</v>
      </c>
      <c r="F191" t="s">
        <v>78</v>
      </c>
      <c r="G191" t="s">
        <v>20</v>
      </c>
      <c r="H191">
        <v>57</v>
      </c>
      <c r="I191">
        <v>51</v>
      </c>
      <c r="J191">
        <v>89.5</v>
      </c>
    </row>
    <row r="192" spans="1:10">
      <c r="A192" t="s">
        <v>4521</v>
      </c>
      <c r="B192" s="2">
        <v>45896</v>
      </c>
      <c r="C192">
        <v>2025</v>
      </c>
      <c r="D192">
        <v>8</v>
      </c>
      <c r="E192" t="s">
        <v>101</v>
      </c>
      <c r="F192" t="s">
        <v>26</v>
      </c>
      <c r="G192" t="s">
        <v>32</v>
      </c>
      <c r="H192">
        <v>42</v>
      </c>
      <c r="I192">
        <v>38</v>
      </c>
      <c r="J192">
        <v>90.5</v>
      </c>
    </row>
    <row r="193" spans="1:10">
      <c r="A193" t="s">
        <v>4522</v>
      </c>
      <c r="B193" s="2">
        <v>45893</v>
      </c>
      <c r="C193">
        <v>2025</v>
      </c>
      <c r="D193">
        <v>8</v>
      </c>
      <c r="E193" t="s">
        <v>101</v>
      </c>
      <c r="F193" t="s">
        <v>31</v>
      </c>
      <c r="G193" t="s">
        <v>3</v>
      </c>
      <c r="H193">
        <v>46</v>
      </c>
      <c r="I193">
        <v>43</v>
      </c>
      <c r="J193">
        <v>93.5</v>
      </c>
    </row>
    <row r="194" spans="1:10">
      <c r="A194" t="s">
        <v>4523</v>
      </c>
      <c r="B194" s="2">
        <v>45894</v>
      </c>
      <c r="C194">
        <v>2025</v>
      </c>
      <c r="D194">
        <v>8</v>
      </c>
      <c r="E194" t="s">
        <v>101</v>
      </c>
      <c r="F194" t="s">
        <v>47</v>
      </c>
      <c r="G194" t="s">
        <v>48</v>
      </c>
      <c r="H194">
        <v>35</v>
      </c>
      <c r="I194">
        <v>33</v>
      </c>
      <c r="J194">
        <v>94.3</v>
      </c>
    </row>
    <row r="195" spans="1:10">
      <c r="A195" t="s">
        <v>4524</v>
      </c>
      <c r="B195" s="2">
        <v>45893</v>
      </c>
      <c r="C195">
        <v>2025</v>
      </c>
      <c r="D195">
        <v>8</v>
      </c>
      <c r="E195" t="s">
        <v>101</v>
      </c>
      <c r="F195" t="s">
        <v>40</v>
      </c>
      <c r="G195" t="s">
        <v>27</v>
      </c>
      <c r="H195">
        <v>34</v>
      </c>
      <c r="I195">
        <v>28</v>
      </c>
      <c r="J195">
        <v>82.40000000000001</v>
      </c>
    </row>
    <row r="196" spans="1:10">
      <c r="A196" t="s">
        <v>4525</v>
      </c>
      <c r="B196" s="2">
        <v>45897</v>
      </c>
      <c r="C196">
        <v>2025</v>
      </c>
      <c r="D196">
        <v>8</v>
      </c>
      <c r="E196" t="s">
        <v>101</v>
      </c>
      <c r="F196" t="s">
        <v>54</v>
      </c>
      <c r="G196" t="s">
        <v>74</v>
      </c>
      <c r="H196">
        <v>43</v>
      </c>
      <c r="I196">
        <v>41</v>
      </c>
      <c r="J196">
        <v>95.3</v>
      </c>
    </row>
    <row r="197" spans="1:10">
      <c r="A197" t="s">
        <v>4526</v>
      </c>
      <c r="B197" s="2">
        <v>45883</v>
      </c>
      <c r="C197">
        <v>2025</v>
      </c>
      <c r="D197">
        <v>8</v>
      </c>
      <c r="E197" t="s">
        <v>101</v>
      </c>
      <c r="F197" t="s">
        <v>67</v>
      </c>
      <c r="G197" t="s">
        <v>3</v>
      </c>
      <c r="H197">
        <v>21</v>
      </c>
      <c r="I197">
        <v>20</v>
      </c>
      <c r="J197">
        <v>95.2</v>
      </c>
    </row>
    <row r="198" spans="1:10">
      <c r="A198" t="s">
        <v>4527</v>
      </c>
      <c r="B198" s="2">
        <v>45880</v>
      </c>
      <c r="C198">
        <v>2025</v>
      </c>
      <c r="D198">
        <v>8</v>
      </c>
      <c r="E198" t="s">
        <v>101</v>
      </c>
      <c r="F198" t="s">
        <v>19</v>
      </c>
      <c r="G198" t="s">
        <v>38</v>
      </c>
      <c r="H198">
        <v>55</v>
      </c>
      <c r="I198">
        <v>50</v>
      </c>
      <c r="J198">
        <v>90.90000000000001</v>
      </c>
    </row>
    <row r="199" spans="1:10">
      <c r="A199" t="s">
        <v>4528</v>
      </c>
      <c r="B199" s="2">
        <v>45894</v>
      </c>
      <c r="C199">
        <v>2025</v>
      </c>
      <c r="D199">
        <v>8</v>
      </c>
      <c r="E199" t="s">
        <v>101</v>
      </c>
      <c r="F199" t="s">
        <v>38</v>
      </c>
      <c r="G199" t="s">
        <v>3</v>
      </c>
      <c r="H199">
        <v>26</v>
      </c>
      <c r="I199">
        <v>21</v>
      </c>
      <c r="J199">
        <v>80.8</v>
      </c>
    </row>
    <row r="200" spans="1:10">
      <c r="A200" t="s">
        <v>4529</v>
      </c>
      <c r="B200" s="2">
        <v>45883</v>
      </c>
      <c r="C200">
        <v>2025</v>
      </c>
      <c r="D200">
        <v>8</v>
      </c>
      <c r="E200" t="s">
        <v>101</v>
      </c>
      <c r="F200" t="s">
        <v>2</v>
      </c>
      <c r="G200" t="s">
        <v>61</v>
      </c>
      <c r="H200">
        <v>33</v>
      </c>
      <c r="I200">
        <v>31</v>
      </c>
      <c r="J200">
        <v>93.90000000000001</v>
      </c>
    </row>
    <row r="201" spans="1:10">
      <c r="A201" t="s">
        <v>4530</v>
      </c>
      <c r="B201" s="2">
        <v>45886</v>
      </c>
      <c r="C201">
        <v>2025</v>
      </c>
      <c r="D201">
        <v>8</v>
      </c>
      <c r="E201" t="s">
        <v>101</v>
      </c>
      <c r="F201" t="s">
        <v>78</v>
      </c>
      <c r="G201" t="s">
        <v>3</v>
      </c>
      <c r="H201">
        <v>40</v>
      </c>
      <c r="I201">
        <v>34</v>
      </c>
      <c r="J201">
        <v>85</v>
      </c>
    </row>
    <row r="202" spans="1:10">
      <c r="A202" t="s">
        <v>4531</v>
      </c>
      <c r="B202" s="2">
        <v>45918</v>
      </c>
      <c r="C202">
        <v>2025</v>
      </c>
      <c r="D202">
        <v>9</v>
      </c>
      <c r="E202" t="s">
        <v>105</v>
      </c>
      <c r="F202" t="s">
        <v>26</v>
      </c>
      <c r="G202" t="s">
        <v>69</v>
      </c>
      <c r="H202">
        <v>42</v>
      </c>
      <c r="I202">
        <v>35</v>
      </c>
      <c r="J202">
        <v>83.3</v>
      </c>
    </row>
    <row r="203" spans="1:10">
      <c r="A203" t="s">
        <v>4532</v>
      </c>
      <c r="B203" s="2">
        <v>45909</v>
      </c>
      <c r="C203">
        <v>2025</v>
      </c>
      <c r="D203">
        <v>9</v>
      </c>
      <c r="E203" t="s">
        <v>105</v>
      </c>
      <c r="F203" t="s">
        <v>31</v>
      </c>
      <c r="G203" t="s">
        <v>20</v>
      </c>
      <c r="H203">
        <v>45</v>
      </c>
      <c r="I203">
        <v>41</v>
      </c>
      <c r="J203">
        <v>91.09999999999999</v>
      </c>
    </row>
    <row r="204" spans="1:10">
      <c r="A204" t="s">
        <v>4533</v>
      </c>
      <c r="B204" s="2">
        <v>45926</v>
      </c>
      <c r="C204">
        <v>2025</v>
      </c>
      <c r="D204">
        <v>9</v>
      </c>
      <c r="E204" t="s">
        <v>105</v>
      </c>
      <c r="F204" t="s">
        <v>47</v>
      </c>
      <c r="G204" t="s">
        <v>74</v>
      </c>
      <c r="H204">
        <v>20</v>
      </c>
      <c r="I204">
        <v>18</v>
      </c>
      <c r="J204">
        <v>90</v>
      </c>
    </row>
    <row r="205" spans="1:10">
      <c r="A205" t="s">
        <v>4534</v>
      </c>
      <c r="B205" s="2">
        <v>45919</v>
      </c>
      <c r="C205">
        <v>2025</v>
      </c>
      <c r="D205">
        <v>9</v>
      </c>
      <c r="E205" t="s">
        <v>105</v>
      </c>
      <c r="F205" t="s">
        <v>40</v>
      </c>
      <c r="G205" t="s">
        <v>74</v>
      </c>
      <c r="H205">
        <v>55</v>
      </c>
      <c r="I205">
        <v>52</v>
      </c>
      <c r="J205">
        <v>94.5</v>
      </c>
    </row>
    <row r="206" spans="1:10">
      <c r="A206" t="s">
        <v>4535</v>
      </c>
      <c r="B206" s="2">
        <v>45901</v>
      </c>
      <c r="C206">
        <v>2025</v>
      </c>
      <c r="D206">
        <v>9</v>
      </c>
      <c r="E206" t="s">
        <v>105</v>
      </c>
      <c r="F206" t="s">
        <v>54</v>
      </c>
      <c r="G206" t="s">
        <v>55</v>
      </c>
      <c r="H206">
        <v>45</v>
      </c>
      <c r="I206">
        <v>43</v>
      </c>
      <c r="J206">
        <v>95.59999999999999</v>
      </c>
    </row>
    <row r="207" spans="1:10">
      <c r="A207" t="s">
        <v>4536</v>
      </c>
      <c r="B207" s="2">
        <v>45928</v>
      </c>
      <c r="C207">
        <v>2025</v>
      </c>
      <c r="D207">
        <v>9</v>
      </c>
      <c r="E207" t="s">
        <v>105</v>
      </c>
      <c r="F207" t="s">
        <v>67</v>
      </c>
      <c r="G207" t="s">
        <v>32</v>
      </c>
      <c r="H207">
        <v>26</v>
      </c>
      <c r="I207">
        <v>22</v>
      </c>
      <c r="J207">
        <v>84.59999999999999</v>
      </c>
    </row>
    <row r="208" spans="1:10">
      <c r="A208" t="s">
        <v>4537</v>
      </c>
      <c r="B208" s="2">
        <v>45912</v>
      </c>
      <c r="C208">
        <v>2025</v>
      </c>
      <c r="D208">
        <v>9</v>
      </c>
      <c r="E208" t="s">
        <v>105</v>
      </c>
      <c r="F208" t="s">
        <v>19</v>
      </c>
      <c r="G208" t="s">
        <v>74</v>
      </c>
      <c r="H208">
        <v>58</v>
      </c>
      <c r="I208">
        <v>53</v>
      </c>
      <c r="J208">
        <v>91.40000000000001</v>
      </c>
    </row>
    <row r="209" spans="1:10">
      <c r="A209" t="s">
        <v>4538</v>
      </c>
      <c r="B209" s="2">
        <v>45903</v>
      </c>
      <c r="C209">
        <v>2025</v>
      </c>
      <c r="D209">
        <v>9</v>
      </c>
      <c r="E209" t="s">
        <v>105</v>
      </c>
      <c r="F209" t="s">
        <v>38</v>
      </c>
      <c r="G209" t="s">
        <v>74</v>
      </c>
      <c r="H209">
        <v>25</v>
      </c>
      <c r="I209">
        <v>24</v>
      </c>
      <c r="J209">
        <v>96</v>
      </c>
    </row>
    <row r="210" spans="1:10">
      <c r="A210" t="s">
        <v>4539</v>
      </c>
      <c r="B210" s="2">
        <v>45926</v>
      </c>
      <c r="C210">
        <v>2025</v>
      </c>
      <c r="D210">
        <v>9</v>
      </c>
      <c r="E210" t="s">
        <v>105</v>
      </c>
      <c r="F210" t="s">
        <v>2</v>
      </c>
      <c r="G210" t="s">
        <v>48</v>
      </c>
      <c r="H210">
        <v>34</v>
      </c>
      <c r="I210">
        <v>28</v>
      </c>
      <c r="J210">
        <v>82.40000000000001</v>
      </c>
    </row>
    <row r="211" spans="1:10">
      <c r="A211" t="s">
        <v>4540</v>
      </c>
      <c r="B211" s="2">
        <v>45913</v>
      </c>
      <c r="C211">
        <v>2025</v>
      </c>
      <c r="D211">
        <v>9</v>
      </c>
      <c r="E211" t="s">
        <v>105</v>
      </c>
      <c r="F211" t="s">
        <v>78</v>
      </c>
      <c r="G211" t="s">
        <v>61</v>
      </c>
      <c r="H211">
        <v>20</v>
      </c>
      <c r="I211">
        <v>16</v>
      </c>
      <c r="J211">
        <v>80</v>
      </c>
    </row>
    <row r="212" spans="1:10">
      <c r="A212" t="s">
        <v>4541</v>
      </c>
      <c r="B212" s="2">
        <v>45954</v>
      </c>
      <c r="C212">
        <v>2025</v>
      </c>
      <c r="D212">
        <v>10</v>
      </c>
      <c r="E212" t="s">
        <v>113</v>
      </c>
      <c r="F212" t="s">
        <v>26</v>
      </c>
      <c r="G212" t="s">
        <v>94</v>
      </c>
      <c r="H212">
        <v>46</v>
      </c>
      <c r="I212">
        <v>41</v>
      </c>
      <c r="J212">
        <v>89.09999999999999</v>
      </c>
    </row>
    <row r="213" spans="1:10">
      <c r="A213" t="s">
        <v>4542</v>
      </c>
      <c r="B213" s="2">
        <v>45945</v>
      </c>
      <c r="C213">
        <v>2025</v>
      </c>
      <c r="D213">
        <v>10</v>
      </c>
      <c r="E213" t="s">
        <v>113</v>
      </c>
      <c r="F213" t="s">
        <v>31</v>
      </c>
      <c r="G213" t="s">
        <v>32</v>
      </c>
      <c r="H213">
        <v>24</v>
      </c>
      <c r="I213">
        <v>23</v>
      </c>
      <c r="J213">
        <v>95.8</v>
      </c>
    </row>
    <row r="214" spans="1:10">
      <c r="A214" t="s">
        <v>4543</v>
      </c>
      <c r="B214" s="2">
        <v>45952</v>
      </c>
      <c r="C214">
        <v>2025</v>
      </c>
      <c r="D214">
        <v>10</v>
      </c>
      <c r="E214" t="s">
        <v>113</v>
      </c>
      <c r="F214" t="s">
        <v>47</v>
      </c>
      <c r="G214" t="s">
        <v>27</v>
      </c>
      <c r="H214">
        <v>53</v>
      </c>
      <c r="I214">
        <v>51</v>
      </c>
      <c r="J214">
        <v>96.2</v>
      </c>
    </row>
    <row r="215" spans="1:10">
      <c r="A215" t="s">
        <v>4544</v>
      </c>
      <c r="B215" s="2">
        <v>45947</v>
      </c>
      <c r="C215">
        <v>2025</v>
      </c>
      <c r="D215">
        <v>10</v>
      </c>
      <c r="E215" t="s">
        <v>113</v>
      </c>
      <c r="F215" t="s">
        <v>40</v>
      </c>
      <c r="G215" t="s">
        <v>38</v>
      </c>
      <c r="H215">
        <v>58</v>
      </c>
      <c r="I215">
        <v>48</v>
      </c>
      <c r="J215">
        <v>82.8</v>
      </c>
    </row>
    <row r="216" spans="1:10">
      <c r="A216" t="s">
        <v>4545</v>
      </c>
      <c r="B216" s="2">
        <v>45941</v>
      </c>
      <c r="C216">
        <v>2025</v>
      </c>
      <c r="D216">
        <v>10</v>
      </c>
      <c r="E216" t="s">
        <v>113</v>
      </c>
      <c r="F216" t="s">
        <v>54</v>
      </c>
      <c r="G216" t="s">
        <v>61</v>
      </c>
      <c r="H216">
        <v>42</v>
      </c>
      <c r="I216">
        <v>34</v>
      </c>
      <c r="J216">
        <v>81</v>
      </c>
    </row>
    <row r="217" spans="1:10">
      <c r="A217" t="s">
        <v>4546</v>
      </c>
      <c r="B217" s="2">
        <v>45952</v>
      </c>
      <c r="C217">
        <v>2025</v>
      </c>
      <c r="D217">
        <v>10</v>
      </c>
      <c r="E217" t="s">
        <v>113</v>
      </c>
      <c r="F217" t="s">
        <v>67</v>
      </c>
      <c r="G217" t="s">
        <v>20</v>
      </c>
      <c r="H217">
        <v>39</v>
      </c>
      <c r="I217">
        <v>33</v>
      </c>
      <c r="J217">
        <v>84.59999999999999</v>
      </c>
    </row>
    <row r="218" spans="1:10">
      <c r="A218" t="s">
        <v>4547</v>
      </c>
      <c r="B218" s="2">
        <v>45945</v>
      </c>
      <c r="C218">
        <v>2025</v>
      </c>
      <c r="D218">
        <v>10</v>
      </c>
      <c r="E218" t="s">
        <v>113</v>
      </c>
      <c r="F218" t="s">
        <v>19</v>
      </c>
      <c r="G218" t="s">
        <v>20</v>
      </c>
      <c r="H218">
        <v>55</v>
      </c>
      <c r="I218">
        <v>48</v>
      </c>
      <c r="J218">
        <v>87.3</v>
      </c>
    </row>
    <row r="219" spans="1:10">
      <c r="A219" t="s">
        <v>4548</v>
      </c>
      <c r="B219" s="2">
        <v>45947</v>
      </c>
      <c r="C219">
        <v>2025</v>
      </c>
      <c r="D219">
        <v>10</v>
      </c>
      <c r="E219" t="s">
        <v>113</v>
      </c>
      <c r="F219" t="s">
        <v>38</v>
      </c>
      <c r="G219" t="s">
        <v>20</v>
      </c>
      <c r="H219">
        <v>31</v>
      </c>
      <c r="I219">
        <v>28</v>
      </c>
      <c r="J219">
        <v>90.3</v>
      </c>
    </row>
    <row r="220" spans="1:10">
      <c r="A220" t="s">
        <v>4549</v>
      </c>
      <c r="B220" s="2">
        <v>45948</v>
      </c>
      <c r="C220">
        <v>2025</v>
      </c>
      <c r="D220">
        <v>10</v>
      </c>
      <c r="E220" t="s">
        <v>113</v>
      </c>
      <c r="F220" t="s">
        <v>2</v>
      </c>
      <c r="G220" t="s">
        <v>27</v>
      </c>
      <c r="H220">
        <v>35</v>
      </c>
      <c r="I220">
        <v>30</v>
      </c>
      <c r="J220">
        <v>85.7</v>
      </c>
    </row>
    <row r="221" spans="1:10">
      <c r="A221" t="s">
        <v>4550</v>
      </c>
      <c r="B221" s="2">
        <v>45945</v>
      </c>
      <c r="C221">
        <v>2025</v>
      </c>
      <c r="D221">
        <v>10</v>
      </c>
      <c r="E221" t="s">
        <v>113</v>
      </c>
      <c r="F221" t="s">
        <v>78</v>
      </c>
      <c r="G221" t="s">
        <v>61</v>
      </c>
      <c r="H221">
        <v>57</v>
      </c>
      <c r="I221">
        <v>49</v>
      </c>
      <c r="J221">
        <v>86</v>
      </c>
    </row>
    <row r="222" spans="1:10">
      <c r="A222" t="s">
        <v>4551</v>
      </c>
      <c r="B222" s="2">
        <v>45972</v>
      </c>
      <c r="C222">
        <v>2025</v>
      </c>
      <c r="D222">
        <v>11</v>
      </c>
      <c r="E222" t="s">
        <v>117</v>
      </c>
      <c r="F222" t="s">
        <v>26</v>
      </c>
      <c r="G222" t="s">
        <v>20</v>
      </c>
      <c r="H222">
        <v>35</v>
      </c>
      <c r="I222">
        <v>31</v>
      </c>
      <c r="J222">
        <v>88.59999999999999</v>
      </c>
    </row>
    <row r="223" spans="1:10">
      <c r="A223" t="s">
        <v>4552</v>
      </c>
      <c r="B223" s="2">
        <v>45970</v>
      </c>
      <c r="C223">
        <v>2025</v>
      </c>
      <c r="D223">
        <v>11</v>
      </c>
      <c r="E223" t="s">
        <v>117</v>
      </c>
      <c r="F223" t="s">
        <v>31</v>
      </c>
      <c r="G223" t="s">
        <v>55</v>
      </c>
      <c r="H223">
        <v>54</v>
      </c>
      <c r="I223">
        <v>45</v>
      </c>
      <c r="J223">
        <v>83.3</v>
      </c>
    </row>
    <row r="224" spans="1:10">
      <c r="A224" t="s">
        <v>4553</v>
      </c>
      <c r="B224" s="2">
        <v>45977</v>
      </c>
      <c r="C224">
        <v>2025</v>
      </c>
      <c r="D224">
        <v>11</v>
      </c>
      <c r="E224" t="s">
        <v>117</v>
      </c>
      <c r="F224" t="s">
        <v>47</v>
      </c>
      <c r="G224" t="s">
        <v>55</v>
      </c>
      <c r="H224">
        <v>54</v>
      </c>
      <c r="I224">
        <v>46</v>
      </c>
      <c r="J224">
        <v>85.2</v>
      </c>
    </row>
    <row r="225" spans="1:10">
      <c r="A225" t="s">
        <v>4554</v>
      </c>
      <c r="B225" s="2">
        <v>45963</v>
      </c>
      <c r="C225">
        <v>2025</v>
      </c>
      <c r="D225">
        <v>11</v>
      </c>
      <c r="E225" t="s">
        <v>117</v>
      </c>
      <c r="F225" t="s">
        <v>40</v>
      </c>
      <c r="G225" t="s">
        <v>20</v>
      </c>
      <c r="H225">
        <v>56</v>
      </c>
      <c r="I225">
        <v>48</v>
      </c>
      <c r="J225">
        <v>85.7</v>
      </c>
    </row>
    <row r="226" spans="1:10">
      <c r="A226" t="s">
        <v>4555</v>
      </c>
      <c r="B226" s="2">
        <v>45978</v>
      </c>
      <c r="C226">
        <v>2025</v>
      </c>
      <c r="D226">
        <v>11</v>
      </c>
      <c r="E226" t="s">
        <v>117</v>
      </c>
      <c r="F226" t="s">
        <v>54</v>
      </c>
      <c r="G226" t="s">
        <v>94</v>
      </c>
      <c r="H226">
        <v>46</v>
      </c>
      <c r="I226">
        <v>41</v>
      </c>
      <c r="J226">
        <v>89.09999999999999</v>
      </c>
    </row>
    <row r="227" spans="1:10">
      <c r="A227" t="s">
        <v>4556</v>
      </c>
      <c r="B227" s="2">
        <v>45973</v>
      </c>
      <c r="C227">
        <v>2025</v>
      </c>
      <c r="D227">
        <v>11</v>
      </c>
      <c r="E227" t="s">
        <v>117</v>
      </c>
      <c r="F227" t="s">
        <v>67</v>
      </c>
      <c r="G227" t="s">
        <v>20</v>
      </c>
      <c r="H227">
        <v>48</v>
      </c>
      <c r="I227">
        <v>42</v>
      </c>
      <c r="J227">
        <v>87.5</v>
      </c>
    </row>
    <row r="228" spans="1:10">
      <c r="A228" t="s">
        <v>4557</v>
      </c>
      <c r="B228" s="2">
        <v>45988</v>
      </c>
      <c r="C228">
        <v>2025</v>
      </c>
      <c r="D228">
        <v>11</v>
      </c>
      <c r="E228" t="s">
        <v>117</v>
      </c>
      <c r="F228" t="s">
        <v>19</v>
      </c>
      <c r="G228" t="s">
        <v>48</v>
      </c>
      <c r="H228">
        <v>20</v>
      </c>
      <c r="I228">
        <v>18</v>
      </c>
      <c r="J228">
        <v>90</v>
      </c>
    </row>
    <row r="229" spans="1:10">
      <c r="A229" t="s">
        <v>4558</v>
      </c>
      <c r="B229" s="2">
        <v>45984</v>
      </c>
      <c r="C229">
        <v>2025</v>
      </c>
      <c r="D229">
        <v>11</v>
      </c>
      <c r="E229" t="s">
        <v>117</v>
      </c>
      <c r="F229" t="s">
        <v>38</v>
      </c>
      <c r="G229" t="s">
        <v>69</v>
      </c>
      <c r="H229">
        <v>40</v>
      </c>
      <c r="I229">
        <v>34</v>
      </c>
      <c r="J229">
        <v>85</v>
      </c>
    </row>
    <row r="230" spans="1:10">
      <c r="A230" t="s">
        <v>4559</v>
      </c>
      <c r="B230" s="2">
        <v>45971</v>
      </c>
      <c r="C230">
        <v>2025</v>
      </c>
      <c r="D230">
        <v>11</v>
      </c>
      <c r="E230" t="s">
        <v>117</v>
      </c>
      <c r="F230" t="s">
        <v>2</v>
      </c>
      <c r="G230" t="s">
        <v>48</v>
      </c>
      <c r="H230">
        <v>44</v>
      </c>
      <c r="I230">
        <v>38</v>
      </c>
      <c r="J230">
        <v>86.40000000000001</v>
      </c>
    </row>
    <row r="231" spans="1:10">
      <c r="A231" t="s">
        <v>4560</v>
      </c>
      <c r="B231" s="2">
        <v>45979</v>
      </c>
      <c r="C231">
        <v>2025</v>
      </c>
      <c r="D231">
        <v>11</v>
      </c>
      <c r="E231" t="s">
        <v>117</v>
      </c>
      <c r="F231" t="s">
        <v>78</v>
      </c>
      <c r="G231" t="s">
        <v>32</v>
      </c>
      <c r="H231">
        <v>36</v>
      </c>
      <c r="I231">
        <v>33</v>
      </c>
      <c r="J231">
        <v>91.7</v>
      </c>
    </row>
    <row r="232" spans="1:10">
      <c r="A232" t="s">
        <v>4561</v>
      </c>
      <c r="B232" s="2">
        <v>46013</v>
      </c>
      <c r="C232">
        <v>2025</v>
      </c>
      <c r="D232">
        <v>12</v>
      </c>
      <c r="E232" t="s">
        <v>124</v>
      </c>
      <c r="F232" t="s">
        <v>26</v>
      </c>
      <c r="G232" t="s">
        <v>20</v>
      </c>
      <c r="H232">
        <v>48</v>
      </c>
      <c r="I232">
        <v>47</v>
      </c>
      <c r="J232">
        <v>97.90000000000001</v>
      </c>
    </row>
    <row r="233" spans="1:10">
      <c r="A233" t="s">
        <v>4562</v>
      </c>
      <c r="B233" s="2">
        <v>45998</v>
      </c>
      <c r="C233">
        <v>2025</v>
      </c>
      <c r="D233">
        <v>12</v>
      </c>
      <c r="E233" t="s">
        <v>124</v>
      </c>
      <c r="F233" t="s">
        <v>31</v>
      </c>
      <c r="G233" t="s">
        <v>64</v>
      </c>
      <c r="H233">
        <v>24</v>
      </c>
      <c r="I233">
        <v>21</v>
      </c>
      <c r="J233">
        <v>87.5</v>
      </c>
    </row>
    <row r="234" spans="1:10">
      <c r="A234" t="s">
        <v>4563</v>
      </c>
      <c r="B234" s="2">
        <v>45999</v>
      </c>
      <c r="C234">
        <v>2025</v>
      </c>
      <c r="D234">
        <v>12</v>
      </c>
      <c r="E234" t="s">
        <v>124</v>
      </c>
      <c r="F234" t="s">
        <v>47</v>
      </c>
      <c r="G234" t="s">
        <v>61</v>
      </c>
      <c r="H234">
        <v>24</v>
      </c>
      <c r="I234">
        <v>19</v>
      </c>
      <c r="J234">
        <v>79.2</v>
      </c>
    </row>
    <row r="235" spans="1:10">
      <c r="A235" t="s">
        <v>4564</v>
      </c>
      <c r="B235" s="2">
        <v>45993</v>
      </c>
      <c r="C235">
        <v>2025</v>
      </c>
      <c r="D235">
        <v>12</v>
      </c>
      <c r="E235" t="s">
        <v>124</v>
      </c>
      <c r="F235" t="s">
        <v>40</v>
      </c>
      <c r="G235" t="s">
        <v>69</v>
      </c>
      <c r="H235">
        <v>53</v>
      </c>
      <c r="I235">
        <v>51</v>
      </c>
      <c r="J235">
        <v>96.2</v>
      </c>
    </row>
    <row r="236" spans="1:10">
      <c r="A236" t="s">
        <v>4565</v>
      </c>
      <c r="B236" s="2">
        <v>46009</v>
      </c>
      <c r="C236">
        <v>2025</v>
      </c>
      <c r="D236">
        <v>12</v>
      </c>
      <c r="E236" t="s">
        <v>124</v>
      </c>
      <c r="F236" t="s">
        <v>54</v>
      </c>
      <c r="G236" t="s">
        <v>32</v>
      </c>
      <c r="H236">
        <v>22</v>
      </c>
      <c r="I236">
        <v>18</v>
      </c>
      <c r="J236">
        <v>81.8</v>
      </c>
    </row>
    <row r="237" spans="1:10">
      <c r="A237" t="s">
        <v>4566</v>
      </c>
      <c r="B237" s="2">
        <v>45995</v>
      </c>
      <c r="C237">
        <v>2025</v>
      </c>
      <c r="D237">
        <v>12</v>
      </c>
      <c r="E237" t="s">
        <v>124</v>
      </c>
      <c r="F237" t="s">
        <v>67</v>
      </c>
      <c r="G237" t="s">
        <v>69</v>
      </c>
      <c r="H237">
        <v>42</v>
      </c>
      <c r="I237">
        <v>34</v>
      </c>
      <c r="J237">
        <v>81</v>
      </c>
    </row>
    <row r="238" spans="1:10">
      <c r="A238" t="s">
        <v>4567</v>
      </c>
      <c r="B238" s="2">
        <v>46012</v>
      </c>
      <c r="C238">
        <v>2025</v>
      </c>
      <c r="D238">
        <v>12</v>
      </c>
      <c r="E238" t="s">
        <v>124</v>
      </c>
      <c r="F238" t="s">
        <v>19</v>
      </c>
      <c r="G238" t="s">
        <v>3</v>
      </c>
      <c r="H238">
        <v>45</v>
      </c>
      <c r="I238">
        <v>40</v>
      </c>
      <c r="J238">
        <v>88.90000000000001</v>
      </c>
    </row>
    <row r="239" spans="1:10">
      <c r="A239" t="s">
        <v>4568</v>
      </c>
      <c r="B239" s="2">
        <v>45999</v>
      </c>
      <c r="C239">
        <v>2025</v>
      </c>
      <c r="D239">
        <v>12</v>
      </c>
      <c r="E239" t="s">
        <v>124</v>
      </c>
      <c r="F239" t="s">
        <v>38</v>
      </c>
      <c r="G239" t="s">
        <v>48</v>
      </c>
      <c r="H239">
        <v>52</v>
      </c>
      <c r="I239">
        <v>51</v>
      </c>
      <c r="J239">
        <v>98.09999999999999</v>
      </c>
    </row>
    <row r="240" spans="1:10">
      <c r="A240" t="s">
        <v>4569</v>
      </c>
      <c r="B240" s="2">
        <v>46016</v>
      </c>
      <c r="C240">
        <v>2025</v>
      </c>
      <c r="D240">
        <v>12</v>
      </c>
      <c r="E240" t="s">
        <v>124</v>
      </c>
      <c r="F240" t="s">
        <v>2</v>
      </c>
      <c r="G240" t="s">
        <v>94</v>
      </c>
      <c r="H240">
        <v>50</v>
      </c>
      <c r="I240">
        <v>47</v>
      </c>
      <c r="J240">
        <v>94</v>
      </c>
    </row>
    <row r="241" spans="1:10">
      <c r="A241" t="s">
        <v>4570</v>
      </c>
      <c r="B241" s="2">
        <v>46018</v>
      </c>
      <c r="C241">
        <v>2025</v>
      </c>
      <c r="D241">
        <v>12</v>
      </c>
      <c r="E241" t="s">
        <v>124</v>
      </c>
      <c r="F241" t="s">
        <v>78</v>
      </c>
      <c r="G241" t="s">
        <v>32</v>
      </c>
      <c r="H241">
        <v>22</v>
      </c>
      <c r="I241">
        <v>20</v>
      </c>
      <c r="J241">
        <v>90.90000000000001</v>
      </c>
    </row>
    <row r="242" spans="1:10">
      <c r="A242" t="s">
        <v>4571</v>
      </c>
      <c r="B242" s="2">
        <v>46040</v>
      </c>
      <c r="C242">
        <v>2026</v>
      </c>
      <c r="D242">
        <v>1</v>
      </c>
      <c r="E242" t="s">
        <v>1</v>
      </c>
      <c r="F242" t="s">
        <v>26</v>
      </c>
      <c r="G242" t="s">
        <v>74</v>
      </c>
      <c r="H242">
        <v>21</v>
      </c>
      <c r="I242">
        <v>17</v>
      </c>
      <c r="J242">
        <v>81</v>
      </c>
    </row>
    <row r="243" spans="1:10">
      <c r="A243" t="s">
        <v>4572</v>
      </c>
      <c r="B243" s="2">
        <v>46048</v>
      </c>
      <c r="C243">
        <v>2026</v>
      </c>
      <c r="D243">
        <v>1</v>
      </c>
      <c r="E243" t="s">
        <v>1</v>
      </c>
      <c r="F243" t="s">
        <v>31</v>
      </c>
      <c r="G243" t="s">
        <v>32</v>
      </c>
      <c r="H243">
        <v>28</v>
      </c>
      <c r="I243">
        <v>27</v>
      </c>
      <c r="J243">
        <v>96.40000000000001</v>
      </c>
    </row>
    <row r="244" spans="1:10">
      <c r="A244" t="s">
        <v>4573</v>
      </c>
      <c r="B244" s="2">
        <v>46024</v>
      </c>
      <c r="C244">
        <v>2026</v>
      </c>
      <c r="D244">
        <v>1</v>
      </c>
      <c r="E244" t="s">
        <v>1</v>
      </c>
      <c r="F244" t="s">
        <v>47</v>
      </c>
      <c r="G244" t="s">
        <v>27</v>
      </c>
      <c r="H244">
        <v>34</v>
      </c>
      <c r="I244">
        <v>29</v>
      </c>
      <c r="J244">
        <v>85.3</v>
      </c>
    </row>
    <row r="245" spans="1:10">
      <c r="A245" t="s">
        <v>4574</v>
      </c>
      <c r="B245" s="2">
        <v>46028</v>
      </c>
      <c r="C245">
        <v>2026</v>
      </c>
      <c r="D245">
        <v>1</v>
      </c>
      <c r="E245" t="s">
        <v>1</v>
      </c>
      <c r="F245" t="s">
        <v>40</v>
      </c>
      <c r="G245" t="s">
        <v>38</v>
      </c>
      <c r="H245">
        <v>54</v>
      </c>
      <c r="I245">
        <v>44</v>
      </c>
      <c r="J245">
        <v>81.5</v>
      </c>
    </row>
    <row r="246" spans="1:10">
      <c r="A246" t="s">
        <v>4575</v>
      </c>
      <c r="B246" s="2">
        <v>46030</v>
      </c>
      <c r="C246">
        <v>2026</v>
      </c>
      <c r="D246">
        <v>1</v>
      </c>
      <c r="E246" t="s">
        <v>1</v>
      </c>
      <c r="F246" t="s">
        <v>54</v>
      </c>
      <c r="G246" t="s">
        <v>38</v>
      </c>
      <c r="H246">
        <v>21</v>
      </c>
      <c r="I246">
        <v>19</v>
      </c>
      <c r="J246">
        <v>90.5</v>
      </c>
    </row>
    <row r="247" spans="1:10">
      <c r="A247" t="s">
        <v>4576</v>
      </c>
      <c r="B247" s="2">
        <v>46036</v>
      </c>
      <c r="C247">
        <v>2026</v>
      </c>
      <c r="D247">
        <v>1</v>
      </c>
      <c r="E247" t="s">
        <v>1</v>
      </c>
      <c r="F247" t="s">
        <v>67</v>
      </c>
      <c r="G247" t="s">
        <v>3</v>
      </c>
      <c r="H247">
        <v>48</v>
      </c>
      <c r="I247">
        <v>43</v>
      </c>
      <c r="J247">
        <v>89.59999999999999</v>
      </c>
    </row>
    <row r="248" spans="1:10">
      <c r="A248" t="s">
        <v>4577</v>
      </c>
      <c r="B248" s="2">
        <v>46047</v>
      </c>
      <c r="C248">
        <v>2026</v>
      </c>
      <c r="D248">
        <v>1</v>
      </c>
      <c r="E248" t="s">
        <v>1</v>
      </c>
      <c r="F248" t="s">
        <v>19</v>
      </c>
      <c r="G248" t="s">
        <v>94</v>
      </c>
      <c r="H248">
        <v>42</v>
      </c>
      <c r="I248">
        <v>37</v>
      </c>
      <c r="J248">
        <v>88.09999999999999</v>
      </c>
    </row>
    <row r="249" spans="1:10">
      <c r="A249" t="s">
        <v>4578</v>
      </c>
      <c r="B249" s="2">
        <v>46043</v>
      </c>
      <c r="C249">
        <v>2026</v>
      </c>
      <c r="D249">
        <v>1</v>
      </c>
      <c r="E249" t="s">
        <v>1</v>
      </c>
      <c r="F249" t="s">
        <v>38</v>
      </c>
      <c r="G249" t="s">
        <v>3</v>
      </c>
      <c r="H249">
        <v>45</v>
      </c>
      <c r="I249">
        <v>40</v>
      </c>
      <c r="J249">
        <v>88.90000000000001</v>
      </c>
    </row>
    <row r="250" spans="1:10">
      <c r="A250" t="s">
        <v>4579</v>
      </c>
      <c r="B250" s="2">
        <v>46044</v>
      </c>
      <c r="C250">
        <v>2026</v>
      </c>
      <c r="D250">
        <v>1</v>
      </c>
      <c r="E250" t="s">
        <v>1</v>
      </c>
      <c r="F250" t="s">
        <v>2</v>
      </c>
      <c r="G250" t="s">
        <v>64</v>
      </c>
      <c r="H250">
        <v>32</v>
      </c>
      <c r="I250">
        <v>31</v>
      </c>
      <c r="J250">
        <v>96.90000000000001</v>
      </c>
    </row>
    <row r="251" spans="1:10">
      <c r="A251" t="s">
        <v>4580</v>
      </c>
      <c r="B251" s="2">
        <v>46025</v>
      </c>
      <c r="C251">
        <v>2026</v>
      </c>
      <c r="D251">
        <v>1</v>
      </c>
      <c r="E251" t="s">
        <v>1</v>
      </c>
      <c r="F251" t="s">
        <v>78</v>
      </c>
      <c r="G251" t="s">
        <v>48</v>
      </c>
      <c r="H251">
        <v>55</v>
      </c>
      <c r="I251">
        <v>47</v>
      </c>
      <c r="J251">
        <v>85.5</v>
      </c>
    </row>
    <row r="252" spans="1:10">
      <c r="A252" t="s">
        <v>4581</v>
      </c>
      <c r="B252" s="2">
        <v>46067</v>
      </c>
      <c r="C252">
        <v>2026</v>
      </c>
      <c r="D252">
        <v>2</v>
      </c>
      <c r="E252" t="s">
        <v>25</v>
      </c>
      <c r="F252" t="s">
        <v>26</v>
      </c>
      <c r="G252" t="s">
        <v>3</v>
      </c>
      <c r="H252">
        <v>25</v>
      </c>
      <c r="I252">
        <v>24</v>
      </c>
      <c r="J252">
        <v>96</v>
      </c>
    </row>
    <row r="253" spans="1:10">
      <c r="A253" t="s">
        <v>4582</v>
      </c>
      <c r="B253" s="2">
        <v>46070</v>
      </c>
      <c r="C253">
        <v>2026</v>
      </c>
      <c r="D253">
        <v>2</v>
      </c>
      <c r="E253" t="s">
        <v>25</v>
      </c>
      <c r="F253" t="s">
        <v>31</v>
      </c>
      <c r="G253" t="s">
        <v>55</v>
      </c>
      <c r="H253">
        <v>29</v>
      </c>
      <c r="I253">
        <v>25</v>
      </c>
      <c r="J253">
        <v>86.2</v>
      </c>
    </row>
    <row r="254" spans="1:10">
      <c r="A254" t="s">
        <v>4583</v>
      </c>
      <c r="B254" s="2">
        <v>46065</v>
      </c>
      <c r="C254">
        <v>2026</v>
      </c>
      <c r="D254">
        <v>2</v>
      </c>
      <c r="E254" t="s">
        <v>25</v>
      </c>
      <c r="F254" t="s">
        <v>47</v>
      </c>
      <c r="G254" t="s">
        <v>32</v>
      </c>
      <c r="H254">
        <v>29</v>
      </c>
      <c r="I254">
        <v>26</v>
      </c>
      <c r="J254">
        <v>89.7</v>
      </c>
    </row>
    <row r="255" spans="1:10">
      <c r="A255" t="s">
        <v>4584</v>
      </c>
      <c r="B255" s="2">
        <v>46055</v>
      </c>
      <c r="C255">
        <v>2026</v>
      </c>
      <c r="D255">
        <v>2</v>
      </c>
      <c r="E255" t="s">
        <v>25</v>
      </c>
      <c r="F255" t="s">
        <v>40</v>
      </c>
      <c r="G255" t="s">
        <v>3</v>
      </c>
      <c r="H255">
        <v>37</v>
      </c>
      <c r="I255">
        <v>36</v>
      </c>
      <c r="J255">
        <v>97.3</v>
      </c>
    </row>
    <row r="256" spans="1:10">
      <c r="A256" t="s">
        <v>4585</v>
      </c>
      <c r="B256" s="2">
        <v>46081</v>
      </c>
      <c r="C256">
        <v>2026</v>
      </c>
      <c r="D256">
        <v>2</v>
      </c>
      <c r="E256" t="s">
        <v>25</v>
      </c>
      <c r="F256" t="s">
        <v>54</v>
      </c>
      <c r="G256" t="s">
        <v>3</v>
      </c>
      <c r="H256">
        <v>40</v>
      </c>
      <c r="I256">
        <v>35</v>
      </c>
      <c r="J256">
        <v>87.5</v>
      </c>
    </row>
    <row r="257" spans="1:10">
      <c r="A257" t="s">
        <v>4586</v>
      </c>
      <c r="B257" s="2">
        <v>46078</v>
      </c>
      <c r="C257">
        <v>2026</v>
      </c>
      <c r="D257">
        <v>2</v>
      </c>
      <c r="E257" t="s">
        <v>25</v>
      </c>
      <c r="F257" t="s">
        <v>67</v>
      </c>
      <c r="G257" t="s">
        <v>69</v>
      </c>
      <c r="H257">
        <v>41</v>
      </c>
      <c r="I257">
        <v>35</v>
      </c>
      <c r="J257">
        <v>85.40000000000001</v>
      </c>
    </row>
    <row r="258" spans="1:10">
      <c r="A258" t="s">
        <v>4587</v>
      </c>
      <c r="B258" s="2">
        <v>46078</v>
      </c>
      <c r="C258">
        <v>2026</v>
      </c>
      <c r="D258">
        <v>2</v>
      </c>
      <c r="E258" t="s">
        <v>25</v>
      </c>
      <c r="F258" t="s">
        <v>19</v>
      </c>
      <c r="G258" t="s">
        <v>69</v>
      </c>
      <c r="H258">
        <v>38</v>
      </c>
      <c r="I258">
        <v>32</v>
      </c>
      <c r="J258">
        <v>84.2</v>
      </c>
    </row>
    <row r="259" spans="1:10">
      <c r="A259" t="s">
        <v>4588</v>
      </c>
      <c r="B259" s="2">
        <v>46075</v>
      </c>
      <c r="C259">
        <v>2026</v>
      </c>
      <c r="D259">
        <v>2</v>
      </c>
      <c r="E259" t="s">
        <v>25</v>
      </c>
      <c r="F259" t="s">
        <v>38</v>
      </c>
      <c r="G259" t="s">
        <v>69</v>
      </c>
      <c r="H259">
        <v>27</v>
      </c>
      <c r="I259">
        <v>23</v>
      </c>
      <c r="J259">
        <v>85.2</v>
      </c>
    </row>
    <row r="260" spans="1:10">
      <c r="A260" t="s">
        <v>4589</v>
      </c>
      <c r="B260" s="2">
        <v>46061</v>
      </c>
      <c r="C260">
        <v>2026</v>
      </c>
      <c r="D260">
        <v>2</v>
      </c>
      <c r="E260" t="s">
        <v>25</v>
      </c>
      <c r="F260" t="s">
        <v>2</v>
      </c>
      <c r="G260" t="s">
        <v>61</v>
      </c>
      <c r="H260">
        <v>25</v>
      </c>
      <c r="I260">
        <v>24</v>
      </c>
      <c r="J260">
        <v>96</v>
      </c>
    </row>
    <row r="261" spans="1:10">
      <c r="A261" t="s">
        <v>4590</v>
      </c>
      <c r="B261" s="2">
        <v>46076</v>
      </c>
      <c r="C261">
        <v>2026</v>
      </c>
      <c r="D261">
        <v>2</v>
      </c>
      <c r="E261" t="s">
        <v>25</v>
      </c>
      <c r="F261" t="s">
        <v>78</v>
      </c>
      <c r="G261" t="s">
        <v>74</v>
      </c>
      <c r="H261">
        <v>33</v>
      </c>
      <c r="I261">
        <v>31</v>
      </c>
      <c r="J261">
        <v>93.90000000000001</v>
      </c>
    </row>
    <row r="262" spans="1:10">
      <c r="A262" t="s">
        <v>4591</v>
      </c>
      <c r="B262" s="2">
        <v>46089</v>
      </c>
      <c r="C262">
        <v>2026</v>
      </c>
      <c r="D262">
        <v>3</v>
      </c>
      <c r="E262" t="s">
        <v>60</v>
      </c>
      <c r="F262" t="s">
        <v>26</v>
      </c>
      <c r="G262" t="s">
        <v>27</v>
      </c>
      <c r="H262">
        <v>27</v>
      </c>
      <c r="I262">
        <v>24</v>
      </c>
      <c r="J262">
        <v>88.90000000000001</v>
      </c>
    </row>
    <row r="263" spans="1:10">
      <c r="A263" t="s">
        <v>4592</v>
      </c>
      <c r="B263" s="2">
        <v>46093</v>
      </c>
      <c r="C263">
        <v>2026</v>
      </c>
      <c r="D263">
        <v>3</v>
      </c>
      <c r="E263" t="s">
        <v>60</v>
      </c>
      <c r="F263" t="s">
        <v>31</v>
      </c>
      <c r="G263" t="s">
        <v>69</v>
      </c>
      <c r="H263">
        <v>39</v>
      </c>
      <c r="I263">
        <v>37</v>
      </c>
      <c r="J263">
        <v>94.90000000000001</v>
      </c>
    </row>
    <row r="264" spans="1:10">
      <c r="A264" t="s">
        <v>4593</v>
      </c>
      <c r="B264" s="2">
        <v>46087</v>
      </c>
      <c r="C264">
        <v>2026</v>
      </c>
      <c r="D264">
        <v>3</v>
      </c>
      <c r="E264" t="s">
        <v>60</v>
      </c>
      <c r="F264" t="s">
        <v>47</v>
      </c>
      <c r="G264" t="s">
        <v>3</v>
      </c>
      <c r="H264">
        <v>20</v>
      </c>
      <c r="I264">
        <v>17</v>
      </c>
      <c r="J264">
        <v>85</v>
      </c>
    </row>
    <row r="265" spans="1:10">
      <c r="A265" t="s">
        <v>4594</v>
      </c>
      <c r="B265" s="2">
        <v>46093</v>
      </c>
      <c r="C265">
        <v>2026</v>
      </c>
      <c r="D265">
        <v>3</v>
      </c>
      <c r="E265" t="s">
        <v>60</v>
      </c>
      <c r="F265" t="s">
        <v>40</v>
      </c>
      <c r="G265" t="s">
        <v>74</v>
      </c>
      <c r="H265">
        <v>46</v>
      </c>
      <c r="I265">
        <v>42</v>
      </c>
      <c r="J265">
        <v>91.3</v>
      </c>
    </row>
    <row r="266" spans="1:10">
      <c r="A266" t="s">
        <v>4595</v>
      </c>
      <c r="B266" s="2">
        <v>46090</v>
      </c>
      <c r="C266">
        <v>2026</v>
      </c>
      <c r="D266">
        <v>3</v>
      </c>
      <c r="E266" t="s">
        <v>60</v>
      </c>
      <c r="F266" t="s">
        <v>54</v>
      </c>
      <c r="G266" t="s">
        <v>64</v>
      </c>
      <c r="H266">
        <v>40</v>
      </c>
      <c r="I266">
        <v>38</v>
      </c>
      <c r="J266">
        <v>95</v>
      </c>
    </row>
    <row r="267" spans="1:10">
      <c r="A267" t="s">
        <v>4596</v>
      </c>
      <c r="B267" s="2">
        <v>46091</v>
      </c>
      <c r="C267">
        <v>2026</v>
      </c>
      <c r="D267">
        <v>3</v>
      </c>
      <c r="E267" t="s">
        <v>60</v>
      </c>
      <c r="F267" t="s">
        <v>67</v>
      </c>
      <c r="G267" t="s">
        <v>20</v>
      </c>
      <c r="H267">
        <v>30</v>
      </c>
      <c r="I267">
        <v>28</v>
      </c>
      <c r="J267">
        <v>93.3</v>
      </c>
    </row>
    <row r="268" spans="1:10">
      <c r="A268" t="s">
        <v>4597</v>
      </c>
      <c r="B268" s="2">
        <v>46084</v>
      </c>
      <c r="C268">
        <v>2026</v>
      </c>
      <c r="D268">
        <v>3</v>
      </c>
      <c r="E268" t="s">
        <v>60</v>
      </c>
      <c r="F268" t="s">
        <v>19</v>
      </c>
      <c r="G268" t="s">
        <v>55</v>
      </c>
      <c r="H268">
        <v>39</v>
      </c>
      <c r="I268">
        <v>33</v>
      </c>
      <c r="J268">
        <v>84.59999999999999</v>
      </c>
    </row>
    <row r="269" spans="1:10">
      <c r="A269" t="s">
        <v>4598</v>
      </c>
      <c r="B269" s="2">
        <v>46097</v>
      </c>
      <c r="C269">
        <v>2026</v>
      </c>
      <c r="D269">
        <v>3</v>
      </c>
      <c r="E269" t="s">
        <v>60</v>
      </c>
      <c r="F269" t="s">
        <v>38</v>
      </c>
      <c r="G269" t="s">
        <v>27</v>
      </c>
      <c r="H269">
        <v>27</v>
      </c>
      <c r="I269">
        <v>23</v>
      </c>
      <c r="J269">
        <v>85.2</v>
      </c>
    </row>
    <row r="270" spans="1:10">
      <c r="A270" t="s">
        <v>4599</v>
      </c>
      <c r="B270" s="2">
        <v>46097</v>
      </c>
      <c r="C270">
        <v>2026</v>
      </c>
      <c r="D270">
        <v>3</v>
      </c>
      <c r="E270" t="s">
        <v>60</v>
      </c>
      <c r="F270" t="s">
        <v>2</v>
      </c>
      <c r="G270" t="s">
        <v>61</v>
      </c>
      <c r="H270">
        <v>21</v>
      </c>
      <c r="I270">
        <v>17</v>
      </c>
      <c r="J270">
        <v>81</v>
      </c>
    </row>
    <row r="271" spans="1:10">
      <c r="A271" t="s">
        <v>4600</v>
      </c>
      <c r="B271" s="2">
        <v>46102</v>
      </c>
      <c r="C271">
        <v>2026</v>
      </c>
      <c r="D271">
        <v>3</v>
      </c>
      <c r="E271" t="s">
        <v>60</v>
      </c>
      <c r="F271" t="s">
        <v>78</v>
      </c>
      <c r="G271" t="s">
        <v>3</v>
      </c>
      <c r="H271">
        <v>35</v>
      </c>
      <c r="I271">
        <v>34</v>
      </c>
      <c r="J271">
        <v>97.09999999999999</v>
      </c>
    </row>
    <row r="272" spans="1:10">
      <c r="A272" t="s">
        <v>4601</v>
      </c>
      <c r="B272" s="2">
        <v>46117</v>
      </c>
      <c r="C272">
        <v>2026</v>
      </c>
      <c r="D272">
        <v>4</v>
      </c>
      <c r="E272" t="s">
        <v>73</v>
      </c>
      <c r="F272" t="s">
        <v>26</v>
      </c>
      <c r="G272" t="s">
        <v>74</v>
      </c>
      <c r="H272">
        <v>55</v>
      </c>
      <c r="I272">
        <v>54</v>
      </c>
      <c r="J272">
        <v>98.2</v>
      </c>
    </row>
    <row r="273" spans="1:10">
      <c r="A273" t="s">
        <v>4602</v>
      </c>
      <c r="B273" s="2">
        <v>46135</v>
      </c>
      <c r="C273">
        <v>2026</v>
      </c>
      <c r="D273">
        <v>4</v>
      </c>
      <c r="E273" t="s">
        <v>73</v>
      </c>
      <c r="F273" t="s">
        <v>31</v>
      </c>
      <c r="G273" t="s">
        <v>32</v>
      </c>
      <c r="H273">
        <v>52</v>
      </c>
      <c r="I273">
        <v>48</v>
      </c>
      <c r="J273">
        <v>92.3</v>
      </c>
    </row>
    <row r="274" spans="1:10">
      <c r="A274" t="s">
        <v>4603</v>
      </c>
      <c r="B274" s="2">
        <v>46138</v>
      </c>
      <c r="C274">
        <v>2026</v>
      </c>
      <c r="D274">
        <v>4</v>
      </c>
      <c r="E274" t="s">
        <v>73</v>
      </c>
      <c r="F274" t="s">
        <v>47</v>
      </c>
      <c r="G274" t="s">
        <v>38</v>
      </c>
      <c r="H274">
        <v>58</v>
      </c>
      <c r="I274">
        <v>52</v>
      </c>
      <c r="J274">
        <v>89.7</v>
      </c>
    </row>
    <row r="275" spans="1:10">
      <c r="A275" t="s">
        <v>4604</v>
      </c>
      <c r="B275" s="2">
        <v>46129</v>
      </c>
      <c r="C275">
        <v>2026</v>
      </c>
      <c r="D275">
        <v>4</v>
      </c>
      <c r="E275" t="s">
        <v>73</v>
      </c>
      <c r="F275" t="s">
        <v>40</v>
      </c>
      <c r="G275" t="s">
        <v>27</v>
      </c>
      <c r="H275">
        <v>44</v>
      </c>
      <c r="I275">
        <v>42</v>
      </c>
      <c r="J275">
        <v>95.5</v>
      </c>
    </row>
    <row r="276" spans="1:10">
      <c r="A276" t="s">
        <v>4605</v>
      </c>
      <c r="B276" s="2">
        <v>46126</v>
      </c>
      <c r="C276">
        <v>2026</v>
      </c>
      <c r="D276">
        <v>4</v>
      </c>
      <c r="E276" t="s">
        <v>73</v>
      </c>
      <c r="F276" t="s">
        <v>54</v>
      </c>
      <c r="G276" t="s">
        <v>55</v>
      </c>
      <c r="H276">
        <v>58</v>
      </c>
      <c r="I276">
        <v>56</v>
      </c>
      <c r="J276">
        <v>96.59999999999999</v>
      </c>
    </row>
    <row r="277" spans="1:10">
      <c r="A277" t="s">
        <v>4606</v>
      </c>
      <c r="B277" s="2">
        <v>46136</v>
      </c>
      <c r="C277">
        <v>2026</v>
      </c>
      <c r="D277">
        <v>4</v>
      </c>
      <c r="E277" t="s">
        <v>73</v>
      </c>
      <c r="F277" t="s">
        <v>67</v>
      </c>
      <c r="G277" t="s">
        <v>74</v>
      </c>
      <c r="H277">
        <v>49</v>
      </c>
      <c r="I277">
        <v>45</v>
      </c>
      <c r="J277">
        <v>91.8</v>
      </c>
    </row>
    <row r="278" spans="1:10">
      <c r="A278" t="s">
        <v>4607</v>
      </c>
      <c r="B278" s="2">
        <v>46138</v>
      </c>
      <c r="C278">
        <v>2026</v>
      </c>
      <c r="D278">
        <v>4</v>
      </c>
      <c r="E278" t="s">
        <v>73</v>
      </c>
      <c r="F278" t="s">
        <v>19</v>
      </c>
      <c r="G278" t="s">
        <v>32</v>
      </c>
      <c r="H278">
        <v>51</v>
      </c>
      <c r="I278">
        <v>47</v>
      </c>
      <c r="J278">
        <v>92.2</v>
      </c>
    </row>
    <row r="279" spans="1:10">
      <c r="A279" t="s">
        <v>4608</v>
      </c>
      <c r="B279" s="2">
        <v>46138</v>
      </c>
      <c r="C279">
        <v>2026</v>
      </c>
      <c r="D279">
        <v>4</v>
      </c>
      <c r="E279" t="s">
        <v>73</v>
      </c>
      <c r="F279" t="s">
        <v>38</v>
      </c>
      <c r="G279" t="s">
        <v>27</v>
      </c>
      <c r="H279">
        <v>26</v>
      </c>
      <c r="I279">
        <v>22</v>
      </c>
      <c r="J279">
        <v>84.59999999999999</v>
      </c>
    </row>
    <row r="280" spans="1:10">
      <c r="A280" t="s">
        <v>4609</v>
      </c>
      <c r="B280" s="2">
        <v>46119</v>
      </c>
      <c r="C280">
        <v>2026</v>
      </c>
      <c r="D280">
        <v>4</v>
      </c>
      <c r="E280" t="s">
        <v>73</v>
      </c>
      <c r="F280" t="s">
        <v>2</v>
      </c>
      <c r="G280" t="s">
        <v>55</v>
      </c>
      <c r="H280">
        <v>52</v>
      </c>
      <c r="I280">
        <v>49</v>
      </c>
      <c r="J280">
        <v>94.2</v>
      </c>
    </row>
    <row r="281" spans="1:10">
      <c r="A281" t="s">
        <v>4610</v>
      </c>
      <c r="B281" s="2">
        <v>46122</v>
      </c>
      <c r="C281">
        <v>2026</v>
      </c>
      <c r="D281">
        <v>4</v>
      </c>
      <c r="E281" t="s">
        <v>73</v>
      </c>
      <c r="F281" t="s">
        <v>78</v>
      </c>
      <c r="G281" t="s">
        <v>94</v>
      </c>
      <c r="H281">
        <v>35</v>
      </c>
      <c r="I281">
        <v>29</v>
      </c>
      <c r="J281">
        <v>82.90000000000001</v>
      </c>
    </row>
    <row r="282" spans="1:10">
      <c r="A282" t="s">
        <v>4611</v>
      </c>
      <c r="B282" s="2">
        <v>46159</v>
      </c>
      <c r="C282">
        <v>2026</v>
      </c>
      <c r="D282">
        <v>5</v>
      </c>
      <c r="E282" t="s">
        <v>83</v>
      </c>
      <c r="F282" t="s">
        <v>26</v>
      </c>
      <c r="G282" t="s">
        <v>61</v>
      </c>
      <c r="H282">
        <v>48</v>
      </c>
      <c r="I282">
        <v>40</v>
      </c>
      <c r="J282">
        <v>83.3</v>
      </c>
    </row>
    <row r="283" spans="1:10">
      <c r="A283" t="s">
        <v>4612</v>
      </c>
      <c r="B283" s="2">
        <v>46160</v>
      </c>
      <c r="C283">
        <v>2026</v>
      </c>
      <c r="D283">
        <v>5</v>
      </c>
      <c r="E283" t="s">
        <v>83</v>
      </c>
      <c r="F283" t="s">
        <v>31</v>
      </c>
      <c r="G283" t="s">
        <v>69</v>
      </c>
      <c r="H283">
        <v>46</v>
      </c>
      <c r="I283">
        <v>37</v>
      </c>
      <c r="J283">
        <v>80.40000000000001</v>
      </c>
    </row>
    <row r="284" spans="1:10">
      <c r="A284" t="s">
        <v>4613</v>
      </c>
      <c r="B284" s="2">
        <v>46152</v>
      </c>
      <c r="C284">
        <v>2026</v>
      </c>
      <c r="D284">
        <v>5</v>
      </c>
      <c r="E284" t="s">
        <v>83</v>
      </c>
      <c r="F284" t="s">
        <v>47</v>
      </c>
      <c r="G284" t="s">
        <v>94</v>
      </c>
      <c r="H284">
        <v>31</v>
      </c>
      <c r="I284">
        <v>27</v>
      </c>
      <c r="J284">
        <v>87.09999999999999</v>
      </c>
    </row>
    <row r="285" spans="1:10">
      <c r="A285" t="s">
        <v>4614</v>
      </c>
      <c r="B285" s="2">
        <v>46170</v>
      </c>
      <c r="C285">
        <v>2026</v>
      </c>
      <c r="D285">
        <v>5</v>
      </c>
      <c r="E285" t="s">
        <v>83</v>
      </c>
      <c r="F285" t="s">
        <v>40</v>
      </c>
      <c r="G285" t="s">
        <v>69</v>
      </c>
      <c r="H285">
        <v>20</v>
      </c>
      <c r="I285">
        <v>17</v>
      </c>
      <c r="J285">
        <v>85</v>
      </c>
    </row>
    <row r="286" spans="1:10">
      <c r="A286" t="s">
        <v>4615</v>
      </c>
      <c r="B286" s="2">
        <v>46161</v>
      </c>
      <c r="C286">
        <v>2026</v>
      </c>
      <c r="D286">
        <v>5</v>
      </c>
      <c r="E286" t="s">
        <v>83</v>
      </c>
      <c r="F286" t="s">
        <v>54</v>
      </c>
      <c r="G286" t="s">
        <v>74</v>
      </c>
      <c r="H286">
        <v>24</v>
      </c>
      <c r="I286">
        <v>22</v>
      </c>
      <c r="J286">
        <v>91.7</v>
      </c>
    </row>
    <row r="287" spans="1:10">
      <c r="A287" t="s">
        <v>4616</v>
      </c>
      <c r="B287" s="2">
        <v>46156</v>
      </c>
      <c r="C287">
        <v>2026</v>
      </c>
      <c r="D287">
        <v>5</v>
      </c>
      <c r="E287" t="s">
        <v>83</v>
      </c>
      <c r="F287" t="s">
        <v>67</v>
      </c>
      <c r="G287" t="s">
        <v>20</v>
      </c>
      <c r="H287">
        <v>57</v>
      </c>
      <c r="I287">
        <v>56</v>
      </c>
      <c r="J287">
        <v>98.2</v>
      </c>
    </row>
    <row r="288" spans="1:10">
      <c r="A288" t="s">
        <v>4617</v>
      </c>
      <c r="B288" s="2">
        <v>46165</v>
      </c>
      <c r="C288">
        <v>2026</v>
      </c>
      <c r="D288">
        <v>5</v>
      </c>
      <c r="E288" t="s">
        <v>83</v>
      </c>
      <c r="F288" t="s">
        <v>19</v>
      </c>
      <c r="G288" t="s">
        <v>64</v>
      </c>
      <c r="H288">
        <v>32</v>
      </c>
      <c r="I288">
        <v>27</v>
      </c>
      <c r="J288">
        <v>84.40000000000001</v>
      </c>
    </row>
    <row r="289" spans="1:10">
      <c r="A289" t="s">
        <v>4618</v>
      </c>
      <c r="B289" s="2">
        <v>46150</v>
      </c>
      <c r="C289">
        <v>2026</v>
      </c>
      <c r="D289">
        <v>5</v>
      </c>
      <c r="E289" t="s">
        <v>83</v>
      </c>
      <c r="F289" t="s">
        <v>38</v>
      </c>
      <c r="G289" t="s">
        <v>55</v>
      </c>
      <c r="H289">
        <v>28</v>
      </c>
      <c r="I289">
        <v>23</v>
      </c>
      <c r="J289">
        <v>82.09999999999999</v>
      </c>
    </row>
    <row r="290" spans="1:10">
      <c r="A290" t="s">
        <v>4619</v>
      </c>
      <c r="B290" s="2">
        <v>46148</v>
      </c>
      <c r="C290">
        <v>2026</v>
      </c>
      <c r="D290">
        <v>5</v>
      </c>
      <c r="E290" t="s">
        <v>83</v>
      </c>
      <c r="F290" t="s">
        <v>2</v>
      </c>
      <c r="G290" t="s">
        <v>64</v>
      </c>
      <c r="H290">
        <v>57</v>
      </c>
      <c r="I290">
        <v>48</v>
      </c>
      <c r="J290">
        <v>84.2</v>
      </c>
    </row>
    <row r="291" spans="1:10">
      <c r="A291" t="s">
        <v>4620</v>
      </c>
      <c r="B291" s="2">
        <v>46165</v>
      </c>
      <c r="C291">
        <v>2026</v>
      </c>
      <c r="D291">
        <v>5</v>
      </c>
      <c r="E291" t="s">
        <v>83</v>
      </c>
      <c r="F291" t="s">
        <v>78</v>
      </c>
      <c r="G291" t="s">
        <v>69</v>
      </c>
      <c r="H291">
        <v>50</v>
      </c>
      <c r="I291">
        <v>43</v>
      </c>
      <c r="J291">
        <v>86</v>
      </c>
    </row>
    <row r="292" spans="1:10">
      <c r="A292" t="s">
        <v>4621</v>
      </c>
      <c r="B292" s="2">
        <v>46198</v>
      </c>
      <c r="C292">
        <v>2026</v>
      </c>
      <c r="D292">
        <v>6</v>
      </c>
      <c r="E292" t="s">
        <v>87</v>
      </c>
      <c r="F292" t="s">
        <v>26</v>
      </c>
      <c r="G292" t="s">
        <v>69</v>
      </c>
      <c r="H292">
        <v>46</v>
      </c>
      <c r="I292">
        <v>45</v>
      </c>
      <c r="J292">
        <v>97.8</v>
      </c>
    </row>
    <row r="293" spans="1:10">
      <c r="A293" t="s">
        <v>4622</v>
      </c>
      <c r="B293" s="2">
        <v>46190</v>
      </c>
      <c r="C293">
        <v>2026</v>
      </c>
      <c r="D293">
        <v>6</v>
      </c>
      <c r="E293" t="s">
        <v>87</v>
      </c>
      <c r="F293" t="s">
        <v>31</v>
      </c>
      <c r="G293" t="s">
        <v>61</v>
      </c>
      <c r="H293">
        <v>55</v>
      </c>
      <c r="I293">
        <v>53</v>
      </c>
      <c r="J293">
        <v>96.40000000000001</v>
      </c>
    </row>
    <row r="294" spans="1:10">
      <c r="A294" t="s">
        <v>4623</v>
      </c>
      <c r="B294" s="2">
        <v>46192</v>
      </c>
      <c r="C294">
        <v>2026</v>
      </c>
      <c r="D294">
        <v>6</v>
      </c>
      <c r="E294" t="s">
        <v>87</v>
      </c>
      <c r="F294" t="s">
        <v>47</v>
      </c>
      <c r="G294" t="s">
        <v>55</v>
      </c>
      <c r="H294">
        <v>23</v>
      </c>
      <c r="I294">
        <v>22</v>
      </c>
      <c r="J294">
        <v>95.7</v>
      </c>
    </row>
    <row r="295" spans="1:10">
      <c r="A295" t="s">
        <v>4624</v>
      </c>
      <c r="B295" s="2">
        <v>46196</v>
      </c>
      <c r="C295">
        <v>2026</v>
      </c>
      <c r="D295">
        <v>6</v>
      </c>
      <c r="E295" t="s">
        <v>87</v>
      </c>
      <c r="F295" t="s">
        <v>40</v>
      </c>
      <c r="G295" t="s">
        <v>38</v>
      </c>
      <c r="H295">
        <v>36</v>
      </c>
      <c r="I295">
        <v>29</v>
      </c>
      <c r="J295">
        <v>80.59999999999999</v>
      </c>
    </row>
    <row r="296" spans="1:10">
      <c r="A296" t="s">
        <v>4625</v>
      </c>
      <c r="B296" s="2">
        <v>46183</v>
      </c>
      <c r="C296">
        <v>2026</v>
      </c>
      <c r="D296">
        <v>6</v>
      </c>
      <c r="E296" t="s">
        <v>87</v>
      </c>
      <c r="F296" t="s">
        <v>54</v>
      </c>
      <c r="G296" t="s">
        <v>38</v>
      </c>
      <c r="H296">
        <v>24</v>
      </c>
      <c r="I296">
        <v>21</v>
      </c>
      <c r="J296">
        <v>87.5</v>
      </c>
    </row>
    <row r="297" spans="1:10">
      <c r="A297" t="s">
        <v>4626</v>
      </c>
      <c r="B297" s="2">
        <v>46190</v>
      </c>
      <c r="C297">
        <v>2026</v>
      </c>
      <c r="D297">
        <v>6</v>
      </c>
      <c r="E297" t="s">
        <v>87</v>
      </c>
      <c r="F297" t="s">
        <v>67</v>
      </c>
      <c r="G297" t="s">
        <v>27</v>
      </c>
      <c r="H297">
        <v>40</v>
      </c>
      <c r="I297">
        <v>33</v>
      </c>
      <c r="J297">
        <v>82.5</v>
      </c>
    </row>
    <row r="298" spans="1:10">
      <c r="A298" t="s">
        <v>4627</v>
      </c>
      <c r="B298" s="2">
        <v>46176</v>
      </c>
      <c r="C298">
        <v>2026</v>
      </c>
      <c r="D298">
        <v>6</v>
      </c>
      <c r="E298" t="s">
        <v>87</v>
      </c>
      <c r="F298" t="s">
        <v>19</v>
      </c>
      <c r="G298" t="s">
        <v>69</v>
      </c>
      <c r="H298">
        <v>56</v>
      </c>
      <c r="I298">
        <v>52</v>
      </c>
      <c r="J298">
        <v>92.90000000000001</v>
      </c>
    </row>
    <row r="299" spans="1:10">
      <c r="A299" t="s">
        <v>4628</v>
      </c>
      <c r="B299" s="2">
        <v>46182</v>
      </c>
      <c r="C299">
        <v>2026</v>
      </c>
      <c r="D299">
        <v>6</v>
      </c>
      <c r="E299" t="s">
        <v>87</v>
      </c>
      <c r="F299" t="s">
        <v>38</v>
      </c>
      <c r="G299" t="s">
        <v>74</v>
      </c>
      <c r="H299">
        <v>33</v>
      </c>
      <c r="I299">
        <v>30</v>
      </c>
      <c r="J299">
        <v>90.90000000000001</v>
      </c>
    </row>
    <row r="300" spans="1:10">
      <c r="A300" t="s">
        <v>4629</v>
      </c>
      <c r="B300" s="2">
        <v>46177</v>
      </c>
      <c r="C300">
        <v>2026</v>
      </c>
      <c r="D300">
        <v>6</v>
      </c>
      <c r="E300" t="s">
        <v>87</v>
      </c>
      <c r="F300" t="s">
        <v>2</v>
      </c>
      <c r="G300" t="s">
        <v>69</v>
      </c>
      <c r="H300">
        <v>58</v>
      </c>
      <c r="I300">
        <v>57</v>
      </c>
      <c r="J300">
        <v>98.3</v>
      </c>
    </row>
    <row r="301" spans="1:10">
      <c r="A301" t="s">
        <v>4630</v>
      </c>
      <c r="B301" s="2">
        <v>46175</v>
      </c>
      <c r="C301">
        <v>2026</v>
      </c>
      <c r="D301">
        <v>6</v>
      </c>
      <c r="E301" t="s">
        <v>87</v>
      </c>
      <c r="F301" t="s">
        <v>78</v>
      </c>
      <c r="G301" t="s">
        <v>64</v>
      </c>
      <c r="H301">
        <v>42</v>
      </c>
      <c r="I301">
        <v>41</v>
      </c>
      <c r="J301">
        <v>97.59999999999999</v>
      </c>
    </row>
  </sheetData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</sheetPr>
  <dimension ref="A1:J19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13.7109375" customWidth="1"/>
    <col min="3" max="5" width="11.7109375" customWidth="1"/>
    <col min="6" max="7" width="12.7109375" customWidth="1"/>
    <col min="8" max="8" width="15.7109375" customWidth="1"/>
  </cols>
  <sheetData>
    <row r="1" spans="1:10">
      <c r="A1" t="s">
        <v>3013</v>
      </c>
      <c r="B1" t="s">
        <v>198</v>
      </c>
      <c r="C1" t="s">
        <v>188</v>
      </c>
      <c r="D1" t="s">
        <v>4652</v>
      </c>
      <c r="E1" t="s">
        <v>4653</v>
      </c>
      <c r="F1" t="s">
        <v>4654</v>
      </c>
      <c r="G1" t="s">
        <v>4655</v>
      </c>
      <c r="H1" t="s">
        <v>4656</v>
      </c>
      <c r="J1" s="1" t="s">
        <v>203</v>
      </c>
    </row>
    <row r="2" spans="1:10">
      <c r="A2" t="s">
        <v>4634</v>
      </c>
      <c r="B2" t="s">
        <v>8</v>
      </c>
      <c r="C2">
        <v>2024</v>
      </c>
      <c r="D2">
        <v>15</v>
      </c>
      <c r="E2">
        <v>12</v>
      </c>
      <c r="F2">
        <v>80</v>
      </c>
      <c r="G2">
        <v>6</v>
      </c>
      <c r="H2">
        <v>80.40000000000001</v>
      </c>
    </row>
    <row r="3" spans="1:10">
      <c r="A3" t="s">
        <v>4635</v>
      </c>
      <c r="B3" t="s">
        <v>8</v>
      </c>
      <c r="C3">
        <v>2025</v>
      </c>
      <c r="D3">
        <v>28</v>
      </c>
      <c r="E3">
        <v>25</v>
      </c>
      <c r="F3">
        <v>89.3</v>
      </c>
      <c r="G3">
        <v>5</v>
      </c>
      <c r="H3">
        <v>95.5</v>
      </c>
    </row>
    <row r="4" spans="1:10">
      <c r="A4" t="s">
        <v>4636</v>
      </c>
      <c r="B4" t="s">
        <v>8</v>
      </c>
      <c r="C4">
        <v>2026</v>
      </c>
      <c r="D4">
        <v>32</v>
      </c>
      <c r="E4">
        <v>27</v>
      </c>
      <c r="F4">
        <v>84.40000000000001</v>
      </c>
      <c r="G4">
        <v>3</v>
      </c>
      <c r="H4">
        <v>88.2</v>
      </c>
    </row>
    <row r="5" spans="1:10">
      <c r="A5" t="s">
        <v>4637</v>
      </c>
      <c r="B5" t="s">
        <v>22</v>
      </c>
      <c r="C5">
        <v>2024</v>
      </c>
      <c r="D5">
        <v>70</v>
      </c>
      <c r="E5">
        <v>57</v>
      </c>
      <c r="F5">
        <v>81.40000000000001</v>
      </c>
      <c r="G5">
        <v>5</v>
      </c>
      <c r="H5">
        <v>88.5</v>
      </c>
    </row>
    <row r="6" spans="1:10">
      <c r="A6" t="s">
        <v>4638</v>
      </c>
      <c r="B6" t="s">
        <v>22</v>
      </c>
      <c r="C6">
        <v>2025</v>
      </c>
      <c r="D6">
        <v>43</v>
      </c>
      <c r="E6">
        <v>38</v>
      </c>
      <c r="F6">
        <v>88.40000000000001</v>
      </c>
      <c r="G6">
        <v>1</v>
      </c>
      <c r="H6">
        <v>91.3</v>
      </c>
    </row>
    <row r="7" spans="1:10">
      <c r="A7" t="s">
        <v>4639</v>
      </c>
      <c r="B7" t="s">
        <v>22</v>
      </c>
      <c r="C7">
        <v>2026</v>
      </c>
      <c r="D7">
        <v>31</v>
      </c>
      <c r="E7">
        <v>27</v>
      </c>
      <c r="F7">
        <v>87.09999999999999</v>
      </c>
      <c r="G7">
        <v>0</v>
      </c>
      <c r="H7">
        <v>78.8</v>
      </c>
    </row>
    <row r="8" spans="1:10">
      <c r="A8" t="s">
        <v>4640</v>
      </c>
      <c r="B8" t="s">
        <v>35</v>
      </c>
      <c r="C8">
        <v>2024</v>
      </c>
      <c r="D8">
        <v>107</v>
      </c>
      <c r="E8">
        <v>97</v>
      </c>
      <c r="F8">
        <v>90.7</v>
      </c>
      <c r="G8">
        <v>0</v>
      </c>
      <c r="H8">
        <v>89.59999999999999</v>
      </c>
    </row>
    <row r="9" spans="1:10">
      <c r="A9" t="s">
        <v>4641</v>
      </c>
      <c r="B9" t="s">
        <v>35</v>
      </c>
      <c r="C9">
        <v>2025</v>
      </c>
      <c r="D9">
        <v>112</v>
      </c>
      <c r="E9">
        <v>96</v>
      </c>
      <c r="F9">
        <v>85.7</v>
      </c>
      <c r="G9">
        <v>1</v>
      </c>
      <c r="H9">
        <v>75.09999999999999</v>
      </c>
    </row>
    <row r="10" spans="1:10">
      <c r="A10" t="s">
        <v>4642</v>
      </c>
      <c r="B10" t="s">
        <v>35</v>
      </c>
      <c r="C10">
        <v>2026</v>
      </c>
      <c r="D10">
        <v>29</v>
      </c>
      <c r="E10">
        <v>26</v>
      </c>
      <c r="F10">
        <v>89.7</v>
      </c>
      <c r="G10">
        <v>2</v>
      </c>
      <c r="H10">
        <v>79.40000000000001</v>
      </c>
    </row>
    <row r="11" spans="1:10">
      <c r="A11" t="s">
        <v>4643</v>
      </c>
      <c r="B11" t="s">
        <v>15</v>
      </c>
      <c r="C11">
        <v>2024</v>
      </c>
      <c r="D11">
        <v>93</v>
      </c>
      <c r="E11">
        <v>83</v>
      </c>
      <c r="F11">
        <v>89.2</v>
      </c>
      <c r="G11">
        <v>4</v>
      </c>
      <c r="H11">
        <v>94.3</v>
      </c>
    </row>
    <row r="12" spans="1:10">
      <c r="A12" t="s">
        <v>4644</v>
      </c>
      <c r="B12" t="s">
        <v>15</v>
      </c>
      <c r="C12">
        <v>2025</v>
      </c>
      <c r="D12">
        <v>47</v>
      </c>
      <c r="E12">
        <v>42</v>
      </c>
      <c r="F12">
        <v>89.40000000000001</v>
      </c>
      <c r="G12">
        <v>6</v>
      </c>
      <c r="H12">
        <v>79.2</v>
      </c>
    </row>
    <row r="13" spans="1:10">
      <c r="A13" t="s">
        <v>4645</v>
      </c>
      <c r="B13" t="s">
        <v>15</v>
      </c>
      <c r="C13">
        <v>2026</v>
      </c>
      <c r="D13">
        <v>101</v>
      </c>
      <c r="E13">
        <v>96</v>
      </c>
      <c r="F13">
        <v>95</v>
      </c>
      <c r="G13">
        <v>3</v>
      </c>
      <c r="H13">
        <v>97.7</v>
      </c>
    </row>
    <row r="14" spans="1:10">
      <c r="A14" t="s">
        <v>4646</v>
      </c>
      <c r="B14" t="s">
        <v>52</v>
      </c>
      <c r="C14">
        <v>2024</v>
      </c>
      <c r="D14">
        <v>56</v>
      </c>
      <c r="E14">
        <v>52</v>
      </c>
      <c r="F14">
        <v>92.90000000000001</v>
      </c>
      <c r="G14">
        <v>5</v>
      </c>
      <c r="H14">
        <v>91.3</v>
      </c>
    </row>
    <row r="15" spans="1:10">
      <c r="A15" t="s">
        <v>4647</v>
      </c>
      <c r="B15" t="s">
        <v>52</v>
      </c>
      <c r="C15">
        <v>2025</v>
      </c>
      <c r="D15">
        <v>17</v>
      </c>
      <c r="E15">
        <v>15</v>
      </c>
      <c r="F15">
        <v>88.2</v>
      </c>
      <c r="G15">
        <v>5</v>
      </c>
      <c r="H15">
        <v>78</v>
      </c>
    </row>
    <row r="16" spans="1:10">
      <c r="A16" t="s">
        <v>4648</v>
      </c>
      <c r="B16" t="s">
        <v>52</v>
      </c>
      <c r="C16">
        <v>2026</v>
      </c>
      <c r="D16">
        <v>27</v>
      </c>
      <c r="E16">
        <v>23</v>
      </c>
      <c r="F16">
        <v>85.2</v>
      </c>
      <c r="G16">
        <v>2</v>
      </c>
      <c r="H16">
        <v>87.90000000000001</v>
      </c>
    </row>
    <row r="17" spans="1:8">
      <c r="A17" t="s">
        <v>4649</v>
      </c>
      <c r="B17" t="s">
        <v>42</v>
      </c>
      <c r="C17">
        <v>2024</v>
      </c>
      <c r="D17">
        <v>41</v>
      </c>
      <c r="E17">
        <v>39</v>
      </c>
      <c r="F17">
        <v>95.09999999999999</v>
      </c>
      <c r="G17">
        <v>1</v>
      </c>
      <c r="H17">
        <v>88.90000000000001</v>
      </c>
    </row>
    <row r="18" spans="1:8">
      <c r="A18" t="s">
        <v>4650</v>
      </c>
      <c r="B18" t="s">
        <v>42</v>
      </c>
      <c r="C18">
        <v>2025</v>
      </c>
      <c r="D18">
        <v>94</v>
      </c>
      <c r="E18">
        <v>84</v>
      </c>
      <c r="F18">
        <v>89.40000000000001</v>
      </c>
      <c r="G18">
        <v>1</v>
      </c>
      <c r="H18">
        <v>94.8</v>
      </c>
    </row>
    <row r="19" spans="1:8">
      <c r="A19" t="s">
        <v>4651</v>
      </c>
      <c r="B19" t="s">
        <v>42</v>
      </c>
      <c r="C19">
        <v>2026</v>
      </c>
      <c r="D19">
        <v>30</v>
      </c>
      <c r="E19">
        <v>27</v>
      </c>
      <c r="F19">
        <v>90</v>
      </c>
      <c r="G19">
        <v>2</v>
      </c>
      <c r="H19">
        <v>97.5</v>
      </c>
    </row>
  </sheetData>
  <hyperlinks>
    <hyperlink ref="J1" location="'Home'!A1" display="Home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</sheetPr>
  <dimension ref="A1:K30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11.7109375" customWidth="1"/>
    <col min="8" max="8" width="13.7109375" customWidth="1"/>
    <col min="9" max="9" width="11.7109375" customWidth="1"/>
  </cols>
  <sheetData>
    <row r="1" spans="1:11">
      <c r="A1" t="s">
        <v>4957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4329</v>
      </c>
      <c r="H1" t="s">
        <v>4958</v>
      </c>
      <c r="I1" t="s">
        <v>193</v>
      </c>
      <c r="K1" s="1" t="s">
        <v>203</v>
      </c>
    </row>
    <row r="2" spans="1:11">
      <c r="A2" t="s">
        <v>4657</v>
      </c>
      <c r="B2" s="2">
        <v>45297</v>
      </c>
      <c r="C2">
        <v>2024</v>
      </c>
      <c r="D2">
        <v>1</v>
      </c>
      <c r="E2" t="s">
        <v>1</v>
      </c>
      <c r="F2" t="s">
        <v>26</v>
      </c>
      <c r="G2" t="s">
        <v>4032</v>
      </c>
      <c r="H2">
        <v>34</v>
      </c>
      <c r="I2" t="s">
        <v>33</v>
      </c>
    </row>
    <row r="3" spans="1:11">
      <c r="A3" t="s">
        <v>4658</v>
      </c>
      <c r="B3" s="2">
        <v>45297</v>
      </c>
      <c r="C3">
        <v>2024</v>
      </c>
      <c r="D3">
        <v>1</v>
      </c>
      <c r="E3" t="s">
        <v>1</v>
      </c>
      <c r="F3" t="s">
        <v>31</v>
      </c>
      <c r="G3" t="s">
        <v>3026</v>
      </c>
      <c r="H3">
        <v>27</v>
      </c>
      <c r="I3" t="s">
        <v>12</v>
      </c>
    </row>
    <row r="4" spans="1:11">
      <c r="A4" t="s">
        <v>4659</v>
      </c>
      <c r="B4" s="2">
        <v>45293</v>
      </c>
      <c r="C4">
        <v>2024</v>
      </c>
      <c r="D4">
        <v>1</v>
      </c>
      <c r="E4" t="s">
        <v>1</v>
      </c>
      <c r="F4" t="s">
        <v>47</v>
      </c>
      <c r="G4" t="s">
        <v>4041</v>
      </c>
      <c r="H4">
        <v>30</v>
      </c>
      <c r="I4" t="s">
        <v>12</v>
      </c>
    </row>
    <row r="5" spans="1:11">
      <c r="A5" t="s">
        <v>4660</v>
      </c>
      <c r="B5" s="2">
        <v>45293</v>
      </c>
      <c r="C5">
        <v>2024</v>
      </c>
      <c r="D5">
        <v>1</v>
      </c>
      <c r="E5" t="s">
        <v>1</v>
      </c>
      <c r="F5" t="s">
        <v>40</v>
      </c>
      <c r="G5" t="s">
        <v>4039</v>
      </c>
      <c r="H5">
        <v>20</v>
      </c>
      <c r="I5" t="s">
        <v>33</v>
      </c>
    </row>
    <row r="6" spans="1:11">
      <c r="A6" t="s">
        <v>4661</v>
      </c>
      <c r="B6" s="2">
        <v>45298</v>
      </c>
      <c r="C6">
        <v>2024</v>
      </c>
      <c r="D6">
        <v>1</v>
      </c>
      <c r="E6" t="s">
        <v>1</v>
      </c>
      <c r="F6" t="s">
        <v>54</v>
      </c>
      <c r="G6" t="s">
        <v>3039</v>
      </c>
      <c r="H6">
        <v>16</v>
      </c>
      <c r="I6" t="s">
        <v>4</v>
      </c>
    </row>
    <row r="7" spans="1:11">
      <c r="A7" t="s">
        <v>4662</v>
      </c>
      <c r="B7" s="2">
        <v>45296</v>
      </c>
      <c r="C7">
        <v>2024</v>
      </c>
      <c r="D7">
        <v>1</v>
      </c>
      <c r="E7" t="s">
        <v>1</v>
      </c>
      <c r="F7" t="s">
        <v>67</v>
      </c>
      <c r="G7" t="s">
        <v>4034</v>
      </c>
      <c r="H7">
        <v>31</v>
      </c>
      <c r="I7" t="s">
        <v>4</v>
      </c>
    </row>
    <row r="8" spans="1:11">
      <c r="A8" t="s">
        <v>4663</v>
      </c>
      <c r="B8" s="2">
        <v>45302</v>
      </c>
      <c r="C8">
        <v>2024</v>
      </c>
      <c r="D8">
        <v>1</v>
      </c>
      <c r="E8" t="s">
        <v>1</v>
      </c>
      <c r="F8" t="s">
        <v>19</v>
      </c>
      <c r="G8" t="s">
        <v>4039</v>
      </c>
      <c r="H8">
        <v>28</v>
      </c>
      <c r="I8" t="s">
        <v>12</v>
      </c>
    </row>
    <row r="9" spans="1:11">
      <c r="A9" t="s">
        <v>4664</v>
      </c>
      <c r="B9" s="2">
        <v>45303</v>
      </c>
      <c r="C9">
        <v>2024</v>
      </c>
      <c r="D9">
        <v>1</v>
      </c>
      <c r="E9" t="s">
        <v>1</v>
      </c>
      <c r="F9" t="s">
        <v>38</v>
      </c>
      <c r="G9" t="s">
        <v>3026</v>
      </c>
      <c r="H9">
        <v>10</v>
      </c>
      <c r="I9" t="s">
        <v>33</v>
      </c>
    </row>
    <row r="10" spans="1:11">
      <c r="A10" t="s">
        <v>4665</v>
      </c>
      <c r="B10" s="2">
        <v>45319</v>
      </c>
      <c r="C10">
        <v>2024</v>
      </c>
      <c r="D10">
        <v>1</v>
      </c>
      <c r="E10" t="s">
        <v>1</v>
      </c>
      <c r="F10" t="s">
        <v>2</v>
      </c>
      <c r="G10" t="s">
        <v>4039</v>
      </c>
      <c r="H10">
        <v>15</v>
      </c>
      <c r="I10" t="s">
        <v>33</v>
      </c>
    </row>
    <row r="11" spans="1:11">
      <c r="A11" t="s">
        <v>4666</v>
      </c>
      <c r="B11" s="2">
        <v>45300</v>
      </c>
      <c r="C11">
        <v>2024</v>
      </c>
      <c r="D11">
        <v>1</v>
      </c>
      <c r="E11" t="s">
        <v>1</v>
      </c>
      <c r="F11" t="s">
        <v>78</v>
      </c>
      <c r="G11" t="s">
        <v>4032</v>
      </c>
      <c r="H11">
        <v>22</v>
      </c>
      <c r="I11" t="s">
        <v>33</v>
      </c>
    </row>
    <row r="12" spans="1:11">
      <c r="A12" t="s">
        <v>4667</v>
      </c>
      <c r="B12" s="2">
        <v>45326</v>
      </c>
      <c r="C12">
        <v>2024</v>
      </c>
      <c r="D12">
        <v>2</v>
      </c>
      <c r="E12" t="s">
        <v>25</v>
      </c>
      <c r="F12" t="s">
        <v>26</v>
      </c>
      <c r="G12" t="s">
        <v>4032</v>
      </c>
      <c r="H12">
        <v>24</v>
      </c>
      <c r="I12" t="s">
        <v>4</v>
      </c>
    </row>
    <row r="13" spans="1:11">
      <c r="A13" t="s">
        <v>4668</v>
      </c>
      <c r="B13" s="2">
        <v>45335</v>
      </c>
      <c r="C13">
        <v>2024</v>
      </c>
      <c r="D13">
        <v>2</v>
      </c>
      <c r="E13" t="s">
        <v>25</v>
      </c>
      <c r="F13" t="s">
        <v>31</v>
      </c>
      <c r="G13" t="s">
        <v>4032</v>
      </c>
      <c r="H13">
        <v>27</v>
      </c>
      <c r="I13" t="s">
        <v>44</v>
      </c>
    </row>
    <row r="14" spans="1:11">
      <c r="A14" t="s">
        <v>4669</v>
      </c>
      <c r="B14" s="2">
        <v>45334</v>
      </c>
      <c r="C14">
        <v>2024</v>
      </c>
      <c r="D14">
        <v>2</v>
      </c>
      <c r="E14" t="s">
        <v>25</v>
      </c>
      <c r="F14" t="s">
        <v>47</v>
      </c>
      <c r="G14" t="s">
        <v>4041</v>
      </c>
      <c r="H14">
        <v>12</v>
      </c>
      <c r="I14" t="s">
        <v>33</v>
      </c>
    </row>
    <row r="15" spans="1:11">
      <c r="A15" t="s">
        <v>4670</v>
      </c>
      <c r="B15" s="2">
        <v>45326</v>
      </c>
      <c r="C15">
        <v>2024</v>
      </c>
      <c r="D15">
        <v>2</v>
      </c>
      <c r="E15" t="s">
        <v>25</v>
      </c>
      <c r="F15" t="s">
        <v>40</v>
      </c>
      <c r="G15" t="s">
        <v>3026</v>
      </c>
      <c r="H15">
        <v>34</v>
      </c>
      <c r="I15" t="s">
        <v>4</v>
      </c>
    </row>
    <row r="16" spans="1:11">
      <c r="A16" t="s">
        <v>4671</v>
      </c>
      <c r="B16" s="2">
        <v>45341</v>
      </c>
      <c r="C16">
        <v>2024</v>
      </c>
      <c r="D16">
        <v>2</v>
      </c>
      <c r="E16" t="s">
        <v>25</v>
      </c>
      <c r="F16" t="s">
        <v>54</v>
      </c>
      <c r="G16" t="s">
        <v>4041</v>
      </c>
      <c r="H16">
        <v>12</v>
      </c>
      <c r="I16" t="s">
        <v>4</v>
      </c>
    </row>
    <row r="17" spans="1:9">
      <c r="A17" t="s">
        <v>4672</v>
      </c>
      <c r="B17" s="2">
        <v>45332</v>
      </c>
      <c r="C17">
        <v>2024</v>
      </c>
      <c r="D17">
        <v>2</v>
      </c>
      <c r="E17" t="s">
        <v>25</v>
      </c>
      <c r="F17" t="s">
        <v>67</v>
      </c>
      <c r="G17" t="s">
        <v>4041</v>
      </c>
      <c r="H17">
        <v>16</v>
      </c>
      <c r="I17" t="s">
        <v>33</v>
      </c>
    </row>
    <row r="18" spans="1:9">
      <c r="A18" t="s">
        <v>4673</v>
      </c>
      <c r="B18" s="2">
        <v>45347</v>
      </c>
      <c r="C18">
        <v>2024</v>
      </c>
      <c r="D18">
        <v>2</v>
      </c>
      <c r="E18" t="s">
        <v>25</v>
      </c>
      <c r="F18" t="s">
        <v>19</v>
      </c>
      <c r="G18" t="s">
        <v>4021</v>
      </c>
      <c r="H18">
        <v>18</v>
      </c>
      <c r="I18" t="s">
        <v>44</v>
      </c>
    </row>
    <row r="19" spans="1:9">
      <c r="A19" t="s">
        <v>4674</v>
      </c>
      <c r="B19" s="2">
        <v>45339</v>
      </c>
      <c r="C19">
        <v>2024</v>
      </c>
      <c r="D19">
        <v>2</v>
      </c>
      <c r="E19" t="s">
        <v>25</v>
      </c>
      <c r="F19" t="s">
        <v>38</v>
      </c>
      <c r="G19" t="s">
        <v>3026</v>
      </c>
      <c r="H19">
        <v>15</v>
      </c>
      <c r="I19" t="s">
        <v>33</v>
      </c>
    </row>
    <row r="20" spans="1:9">
      <c r="A20" t="s">
        <v>4675</v>
      </c>
      <c r="B20" s="2">
        <v>45347</v>
      </c>
      <c r="C20">
        <v>2024</v>
      </c>
      <c r="D20">
        <v>2</v>
      </c>
      <c r="E20" t="s">
        <v>25</v>
      </c>
      <c r="F20" t="s">
        <v>2</v>
      </c>
      <c r="G20" t="s">
        <v>4044</v>
      </c>
      <c r="H20">
        <v>27</v>
      </c>
      <c r="I20" t="s">
        <v>33</v>
      </c>
    </row>
    <row r="21" spans="1:9">
      <c r="A21" t="s">
        <v>4676</v>
      </c>
      <c r="B21" s="2">
        <v>45333</v>
      </c>
      <c r="C21">
        <v>2024</v>
      </c>
      <c r="D21">
        <v>2</v>
      </c>
      <c r="E21" t="s">
        <v>25</v>
      </c>
      <c r="F21" t="s">
        <v>78</v>
      </c>
      <c r="G21" t="s">
        <v>4026</v>
      </c>
      <c r="H21">
        <v>9</v>
      </c>
      <c r="I21" t="s">
        <v>12</v>
      </c>
    </row>
    <row r="22" spans="1:9">
      <c r="A22" t="s">
        <v>4677</v>
      </c>
      <c r="B22" s="2">
        <v>45362</v>
      </c>
      <c r="C22">
        <v>2024</v>
      </c>
      <c r="D22">
        <v>3</v>
      </c>
      <c r="E22" t="s">
        <v>60</v>
      </c>
      <c r="F22" t="s">
        <v>26</v>
      </c>
      <c r="G22" t="s">
        <v>4034</v>
      </c>
      <c r="H22">
        <v>10</v>
      </c>
      <c r="I22" t="s">
        <v>44</v>
      </c>
    </row>
    <row r="23" spans="1:9">
      <c r="A23" t="s">
        <v>4678</v>
      </c>
      <c r="B23" s="2">
        <v>45377</v>
      </c>
      <c r="C23">
        <v>2024</v>
      </c>
      <c r="D23">
        <v>3</v>
      </c>
      <c r="E23" t="s">
        <v>60</v>
      </c>
      <c r="F23" t="s">
        <v>31</v>
      </c>
      <c r="G23" t="s">
        <v>4034</v>
      </c>
      <c r="H23">
        <v>22</v>
      </c>
      <c r="I23" t="s">
        <v>12</v>
      </c>
    </row>
    <row r="24" spans="1:9">
      <c r="A24" t="s">
        <v>4679</v>
      </c>
      <c r="B24" s="2">
        <v>45370</v>
      </c>
      <c r="C24">
        <v>2024</v>
      </c>
      <c r="D24">
        <v>3</v>
      </c>
      <c r="E24" t="s">
        <v>60</v>
      </c>
      <c r="F24" t="s">
        <v>47</v>
      </c>
      <c r="G24" t="s">
        <v>4032</v>
      </c>
      <c r="H24">
        <v>11</v>
      </c>
      <c r="I24" t="s">
        <v>33</v>
      </c>
    </row>
    <row r="25" spans="1:9">
      <c r="A25" t="s">
        <v>4680</v>
      </c>
      <c r="B25" s="2">
        <v>45376</v>
      </c>
      <c r="C25">
        <v>2024</v>
      </c>
      <c r="D25">
        <v>3</v>
      </c>
      <c r="E25" t="s">
        <v>60</v>
      </c>
      <c r="F25" t="s">
        <v>40</v>
      </c>
      <c r="G25" t="s">
        <v>4044</v>
      </c>
      <c r="H25">
        <v>20</v>
      </c>
      <c r="I25" t="s">
        <v>44</v>
      </c>
    </row>
    <row r="26" spans="1:9">
      <c r="A26" t="s">
        <v>4681</v>
      </c>
      <c r="B26" s="2">
        <v>45370</v>
      </c>
      <c r="C26">
        <v>2024</v>
      </c>
      <c r="D26">
        <v>3</v>
      </c>
      <c r="E26" t="s">
        <v>60</v>
      </c>
      <c r="F26" t="s">
        <v>54</v>
      </c>
      <c r="G26" t="s">
        <v>4039</v>
      </c>
      <c r="H26">
        <v>32</v>
      </c>
      <c r="I26" t="s">
        <v>4</v>
      </c>
    </row>
    <row r="27" spans="1:9">
      <c r="A27" t="s">
        <v>4682</v>
      </c>
      <c r="B27" s="2">
        <v>45365</v>
      </c>
      <c r="C27">
        <v>2024</v>
      </c>
      <c r="D27">
        <v>3</v>
      </c>
      <c r="E27" t="s">
        <v>60</v>
      </c>
      <c r="F27" t="s">
        <v>67</v>
      </c>
      <c r="G27" t="s">
        <v>4021</v>
      </c>
      <c r="H27">
        <v>15</v>
      </c>
      <c r="I27" t="s">
        <v>33</v>
      </c>
    </row>
    <row r="28" spans="1:9">
      <c r="A28" t="s">
        <v>4683</v>
      </c>
      <c r="B28" s="2">
        <v>45365</v>
      </c>
      <c r="C28">
        <v>2024</v>
      </c>
      <c r="D28">
        <v>3</v>
      </c>
      <c r="E28" t="s">
        <v>60</v>
      </c>
      <c r="F28" t="s">
        <v>19</v>
      </c>
      <c r="G28" t="s">
        <v>4024</v>
      </c>
      <c r="H28">
        <v>27</v>
      </c>
      <c r="I28" t="s">
        <v>33</v>
      </c>
    </row>
    <row r="29" spans="1:9">
      <c r="A29" t="s">
        <v>4684</v>
      </c>
      <c r="B29" s="2">
        <v>45366</v>
      </c>
      <c r="C29">
        <v>2024</v>
      </c>
      <c r="D29">
        <v>3</v>
      </c>
      <c r="E29" t="s">
        <v>60</v>
      </c>
      <c r="F29" t="s">
        <v>38</v>
      </c>
      <c r="G29" t="s">
        <v>4024</v>
      </c>
      <c r="H29">
        <v>30</v>
      </c>
      <c r="I29" t="s">
        <v>44</v>
      </c>
    </row>
    <row r="30" spans="1:9">
      <c r="A30" t="s">
        <v>4685</v>
      </c>
      <c r="B30" s="2">
        <v>45374</v>
      </c>
      <c r="C30">
        <v>2024</v>
      </c>
      <c r="D30">
        <v>3</v>
      </c>
      <c r="E30" t="s">
        <v>60</v>
      </c>
      <c r="F30" t="s">
        <v>2</v>
      </c>
      <c r="G30" t="s">
        <v>4021</v>
      </c>
      <c r="H30">
        <v>27</v>
      </c>
      <c r="I30" t="s">
        <v>12</v>
      </c>
    </row>
    <row r="31" spans="1:9">
      <c r="A31" t="s">
        <v>4686</v>
      </c>
      <c r="B31" s="2">
        <v>45352</v>
      </c>
      <c r="C31">
        <v>2024</v>
      </c>
      <c r="D31">
        <v>3</v>
      </c>
      <c r="E31" t="s">
        <v>60</v>
      </c>
      <c r="F31" t="s">
        <v>78</v>
      </c>
      <c r="G31" t="s">
        <v>4034</v>
      </c>
      <c r="H31">
        <v>19</v>
      </c>
      <c r="I31" t="s">
        <v>44</v>
      </c>
    </row>
    <row r="32" spans="1:9">
      <c r="A32" t="s">
        <v>4687</v>
      </c>
      <c r="B32" s="2">
        <v>45385</v>
      </c>
      <c r="C32">
        <v>2024</v>
      </c>
      <c r="D32">
        <v>4</v>
      </c>
      <c r="E32" t="s">
        <v>73</v>
      </c>
      <c r="F32" t="s">
        <v>26</v>
      </c>
      <c r="G32" t="s">
        <v>3039</v>
      </c>
      <c r="H32">
        <v>24</v>
      </c>
      <c r="I32" t="s">
        <v>12</v>
      </c>
    </row>
    <row r="33" spans="1:9">
      <c r="A33" t="s">
        <v>4688</v>
      </c>
      <c r="B33" s="2">
        <v>45393</v>
      </c>
      <c r="C33">
        <v>2024</v>
      </c>
      <c r="D33">
        <v>4</v>
      </c>
      <c r="E33" t="s">
        <v>73</v>
      </c>
      <c r="F33" t="s">
        <v>31</v>
      </c>
      <c r="G33" t="s">
        <v>4021</v>
      </c>
      <c r="H33">
        <v>31</v>
      </c>
      <c r="I33" t="s">
        <v>33</v>
      </c>
    </row>
    <row r="34" spans="1:9">
      <c r="A34" t="s">
        <v>4689</v>
      </c>
      <c r="B34" s="2">
        <v>45407</v>
      </c>
      <c r="C34">
        <v>2024</v>
      </c>
      <c r="D34">
        <v>4</v>
      </c>
      <c r="E34" t="s">
        <v>73</v>
      </c>
      <c r="F34" t="s">
        <v>47</v>
      </c>
      <c r="G34" t="s">
        <v>3026</v>
      </c>
      <c r="H34">
        <v>35</v>
      </c>
      <c r="I34" t="s">
        <v>12</v>
      </c>
    </row>
    <row r="35" spans="1:9">
      <c r="A35" t="s">
        <v>4690</v>
      </c>
      <c r="B35" s="2">
        <v>45389</v>
      </c>
      <c r="C35">
        <v>2024</v>
      </c>
      <c r="D35">
        <v>4</v>
      </c>
      <c r="E35" t="s">
        <v>73</v>
      </c>
      <c r="F35" t="s">
        <v>40</v>
      </c>
      <c r="G35" t="s">
        <v>4021</v>
      </c>
      <c r="H35">
        <v>34</v>
      </c>
      <c r="I35" t="s">
        <v>4</v>
      </c>
    </row>
    <row r="36" spans="1:9">
      <c r="A36" t="s">
        <v>4691</v>
      </c>
      <c r="B36" s="2">
        <v>45392</v>
      </c>
      <c r="C36">
        <v>2024</v>
      </c>
      <c r="D36">
        <v>4</v>
      </c>
      <c r="E36" t="s">
        <v>73</v>
      </c>
      <c r="F36" t="s">
        <v>54</v>
      </c>
      <c r="G36" t="s">
        <v>4041</v>
      </c>
      <c r="H36">
        <v>17</v>
      </c>
      <c r="I36" t="s">
        <v>4</v>
      </c>
    </row>
    <row r="37" spans="1:9">
      <c r="A37" t="s">
        <v>4692</v>
      </c>
      <c r="B37" s="2">
        <v>45403</v>
      </c>
      <c r="C37">
        <v>2024</v>
      </c>
      <c r="D37">
        <v>4</v>
      </c>
      <c r="E37" t="s">
        <v>73</v>
      </c>
      <c r="F37" t="s">
        <v>67</v>
      </c>
      <c r="G37" t="s">
        <v>4021</v>
      </c>
      <c r="H37">
        <v>19</v>
      </c>
      <c r="I37" t="s">
        <v>4</v>
      </c>
    </row>
    <row r="38" spans="1:9">
      <c r="A38" t="s">
        <v>4693</v>
      </c>
      <c r="B38" s="2">
        <v>45408</v>
      </c>
      <c r="C38">
        <v>2024</v>
      </c>
      <c r="D38">
        <v>4</v>
      </c>
      <c r="E38" t="s">
        <v>73</v>
      </c>
      <c r="F38" t="s">
        <v>19</v>
      </c>
      <c r="G38" t="s">
        <v>3039</v>
      </c>
      <c r="H38">
        <v>26</v>
      </c>
      <c r="I38" t="s">
        <v>44</v>
      </c>
    </row>
    <row r="39" spans="1:9">
      <c r="A39" t="s">
        <v>4694</v>
      </c>
      <c r="B39" s="2">
        <v>45407</v>
      </c>
      <c r="C39">
        <v>2024</v>
      </c>
      <c r="D39">
        <v>4</v>
      </c>
      <c r="E39" t="s">
        <v>73</v>
      </c>
      <c r="F39" t="s">
        <v>38</v>
      </c>
      <c r="G39" t="s">
        <v>4032</v>
      </c>
      <c r="H39">
        <v>29</v>
      </c>
      <c r="I39" t="s">
        <v>4</v>
      </c>
    </row>
    <row r="40" spans="1:9">
      <c r="A40" t="s">
        <v>4695</v>
      </c>
      <c r="B40" s="2">
        <v>45386</v>
      </c>
      <c r="C40">
        <v>2024</v>
      </c>
      <c r="D40">
        <v>4</v>
      </c>
      <c r="E40" t="s">
        <v>73</v>
      </c>
      <c r="F40" t="s">
        <v>2</v>
      </c>
      <c r="G40" t="s">
        <v>4021</v>
      </c>
      <c r="H40">
        <v>26</v>
      </c>
      <c r="I40" t="s">
        <v>12</v>
      </c>
    </row>
    <row r="41" spans="1:9">
      <c r="A41" t="s">
        <v>4696</v>
      </c>
      <c r="B41" s="2">
        <v>45396</v>
      </c>
      <c r="C41">
        <v>2024</v>
      </c>
      <c r="D41">
        <v>4</v>
      </c>
      <c r="E41" t="s">
        <v>73</v>
      </c>
      <c r="F41" t="s">
        <v>78</v>
      </c>
      <c r="G41" t="s">
        <v>4034</v>
      </c>
      <c r="H41">
        <v>12</v>
      </c>
      <c r="I41" t="s">
        <v>4</v>
      </c>
    </row>
    <row r="42" spans="1:9">
      <c r="A42" t="s">
        <v>4697</v>
      </c>
      <c r="B42" s="2">
        <v>45436</v>
      </c>
      <c r="C42">
        <v>2024</v>
      </c>
      <c r="D42">
        <v>5</v>
      </c>
      <c r="E42" t="s">
        <v>83</v>
      </c>
      <c r="F42" t="s">
        <v>26</v>
      </c>
      <c r="G42" t="s">
        <v>4041</v>
      </c>
      <c r="H42">
        <v>31</v>
      </c>
      <c r="I42" t="s">
        <v>12</v>
      </c>
    </row>
    <row r="43" spans="1:9">
      <c r="A43" t="s">
        <v>4698</v>
      </c>
      <c r="B43" s="2">
        <v>45413</v>
      </c>
      <c r="C43">
        <v>2024</v>
      </c>
      <c r="D43">
        <v>5</v>
      </c>
      <c r="E43" t="s">
        <v>83</v>
      </c>
      <c r="F43" t="s">
        <v>31</v>
      </c>
      <c r="G43" t="s">
        <v>3039</v>
      </c>
      <c r="H43">
        <v>27</v>
      </c>
      <c r="I43" t="s">
        <v>4</v>
      </c>
    </row>
    <row r="44" spans="1:9">
      <c r="A44" t="s">
        <v>4699</v>
      </c>
      <c r="B44" s="2">
        <v>45414</v>
      </c>
      <c r="C44">
        <v>2024</v>
      </c>
      <c r="D44">
        <v>5</v>
      </c>
      <c r="E44" t="s">
        <v>83</v>
      </c>
      <c r="F44" t="s">
        <v>47</v>
      </c>
      <c r="G44" t="s">
        <v>4039</v>
      </c>
      <c r="H44">
        <v>34</v>
      </c>
      <c r="I44" t="s">
        <v>12</v>
      </c>
    </row>
    <row r="45" spans="1:9">
      <c r="A45" t="s">
        <v>4700</v>
      </c>
      <c r="B45" s="2">
        <v>45437</v>
      </c>
      <c r="C45">
        <v>2024</v>
      </c>
      <c r="D45">
        <v>5</v>
      </c>
      <c r="E45" t="s">
        <v>83</v>
      </c>
      <c r="F45" t="s">
        <v>40</v>
      </c>
      <c r="G45" t="s">
        <v>4021</v>
      </c>
      <c r="H45">
        <v>14</v>
      </c>
      <c r="I45" t="s">
        <v>44</v>
      </c>
    </row>
    <row r="46" spans="1:9">
      <c r="A46" t="s">
        <v>4701</v>
      </c>
      <c r="B46" s="2">
        <v>45428</v>
      </c>
      <c r="C46">
        <v>2024</v>
      </c>
      <c r="D46">
        <v>5</v>
      </c>
      <c r="E46" t="s">
        <v>83</v>
      </c>
      <c r="F46" t="s">
        <v>54</v>
      </c>
      <c r="G46" t="s">
        <v>4044</v>
      </c>
      <c r="H46">
        <v>31</v>
      </c>
      <c r="I46" t="s">
        <v>4</v>
      </c>
    </row>
    <row r="47" spans="1:9">
      <c r="A47" t="s">
        <v>4702</v>
      </c>
      <c r="B47" s="2">
        <v>45417</v>
      </c>
      <c r="C47">
        <v>2024</v>
      </c>
      <c r="D47">
        <v>5</v>
      </c>
      <c r="E47" t="s">
        <v>83</v>
      </c>
      <c r="F47" t="s">
        <v>67</v>
      </c>
      <c r="G47" t="s">
        <v>4021</v>
      </c>
      <c r="H47">
        <v>16</v>
      </c>
      <c r="I47" t="s">
        <v>33</v>
      </c>
    </row>
    <row r="48" spans="1:9">
      <c r="A48" t="s">
        <v>4703</v>
      </c>
      <c r="B48" s="2">
        <v>45416</v>
      </c>
      <c r="C48">
        <v>2024</v>
      </c>
      <c r="D48">
        <v>5</v>
      </c>
      <c r="E48" t="s">
        <v>83</v>
      </c>
      <c r="F48" t="s">
        <v>19</v>
      </c>
      <c r="G48" t="s">
        <v>4034</v>
      </c>
      <c r="H48">
        <v>12</v>
      </c>
      <c r="I48" t="s">
        <v>33</v>
      </c>
    </row>
    <row r="49" spans="1:9">
      <c r="A49" t="s">
        <v>4704</v>
      </c>
      <c r="B49" s="2">
        <v>45417</v>
      </c>
      <c r="C49">
        <v>2024</v>
      </c>
      <c r="D49">
        <v>5</v>
      </c>
      <c r="E49" t="s">
        <v>83</v>
      </c>
      <c r="F49" t="s">
        <v>38</v>
      </c>
      <c r="G49" t="s">
        <v>4044</v>
      </c>
      <c r="H49">
        <v>21</v>
      </c>
      <c r="I49" t="s">
        <v>44</v>
      </c>
    </row>
    <row r="50" spans="1:9">
      <c r="A50" t="s">
        <v>4705</v>
      </c>
      <c r="B50" s="2">
        <v>45427</v>
      </c>
      <c r="C50">
        <v>2024</v>
      </c>
      <c r="D50">
        <v>5</v>
      </c>
      <c r="E50" t="s">
        <v>83</v>
      </c>
      <c r="F50" t="s">
        <v>2</v>
      </c>
      <c r="G50" t="s">
        <v>4041</v>
      </c>
      <c r="H50">
        <v>30</v>
      </c>
      <c r="I50" t="s">
        <v>33</v>
      </c>
    </row>
    <row r="51" spans="1:9">
      <c r="A51" t="s">
        <v>4706</v>
      </c>
      <c r="B51" s="2">
        <v>45423</v>
      </c>
      <c r="C51">
        <v>2024</v>
      </c>
      <c r="D51">
        <v>5</v>
      </c>
      <c r="E51" t="s">
        <v>83</v>
      </c>
      <c r="F51" t="s">
        <v>78</v>
      </c>
      <c r="G51" t="s">
        <v>4041</v>
      </c>
      <c r="H51">
        <v>20</v>
      </c>
      <c r="I51" t="s">
        <v>44</v>
      </c>
    </row>
    <row r="52" spans="1:9">
      <c r="A52" t="s">
        <v>4707</v>
      </c>
      <c r="B52" s="2">
        <v>45470</v>
      </c>
      <c r="C52">
        <v>2024</v>
      </c>
      <c r="D52">
        <v>6</v>
      </c>
      <c r="E52" t="s">
        <v>87</v>
      </c>
      <c r="F52" t="s">
        <v>26</v>
      </c>
      <c r="G52" t="s">
        <v>3026</v>
      </c>
      <c r="H52">
        <v>35</v>
      </c>
      <c r="I52" t="s">
        <v>12</v>
      </c>
    </row>
    <row r="53" spans="1:9">
      <c r="A53" t="s">
        <v>4708</v>
      </c>
      <c r="B53" s="2">
        <v>45464</v>
      </c>
      <c r="C53">
        <v>2024</v>
      </c>
      <c r="D53">
        <v>6</v>
      </c>
      <c r="E53" t="s">
        <v>87</v>
      </c>
      <c r="F53" t="s">
        <v>31</v>
      </c>
      <c r="G53" t="s">
        <v>4021</v>
      </c>
      <c r="H53">
        <v>27</v>
      </c>
      <c r="I53" t="s">
        <v>33</v>
      </c>
    </row>
    <row r="54" spans="1:9">
      <c r="A54" t="s">
        <v>4709</v>
      </c>
      <c r="B54" s="2">
        <v>45444</v>
      </c>
      <c r="C54">
        <v>2024</v>
      </c>
      <c r="D54">
        <v>6</v>
      </c>
      <c r="E54" t="s">
        <v>87</v>
      </c>
      <c r="F54" t="s">
        <v>47</v>
      </c>
      <c r="G54" t="s">
        <v>4044</v>
      </c>
      <c r="H54">
        <v>24</v>
      </c>
      <c r="I54" t="s">
        <v>12</v>
      </c>
    </row>
    <row r="55" spans="1:9">
      <c r="A55" t="s">
        <v>4710</v>
      </c>
      <c r="B55" s="2">
        <v>45463</v>
      </c>
      <c r="C55">
        <v>2024</v>
      </c>
      <c r="D55">
        <v>6</v>
      </c>
      <c r="E55" t="s">
        <v>87</v>
      </c>
      <c r="F55" t="s">
        <v>40</v>
      </c>
      <c r="G55" t="s">
        <v>4024</v>
      </c>
      <c r="H55">
        <v>21</v>
      </c>
      <c r="I55" t="s">
        <v>4</v>
      </c>
    </row>
    <row r="56" spans="1:9">
      <c r="A56" t="s">
        <v>4711</v>
      </c>
      <c r="B56" s="2">
        <v>45466</v>
      </c>
      <c r="C56">
        <v>2024</v>
      </c>
      <c r="D56">
        <v>6</v>
      </c>
      <c r="E56" t="s">
        <v>87</v>
      </c>
      <c r="F56" t="s">
        <v>54</v>
      </c>
      <c r="G56" t="s">
        <v>3039</v>
      </c>
      <c r="H56">
        <v>14</v>
      </c>
      <c r="I56" t="s">
        <v>33</v>
      </c>
    </row>
    <row r="57" spans="1:9">
      <c r="A57" t="s">
        <v>4712</v>
      </c>
      <c r="B57" s="2">
        <v>45465</v>
      </c>
      <c r="C57">
        <v>2024</v>
      </c>
      <c r="D57">
        <v>6</v>
      </c>
      <c r="E57" t="s">
        <v>87</v>
      </c>
      <c r="F57" t="s">
        <v>67</v>
      </c>
      <c r="G57" t="s">
        <v>4024</v>
      </c>
      <c r="H57">
        <v>34</v>
      </c>
      <c r="I57" t="s">
        <v>12</v>
      </c>
    </row>
    <row r="58" spans="1:9">
      <c r="A58" t="s">
        <v>4713</v>
      </c>
      <c r="B58" s="2">
        <v>45453</v>
      </c>
      <c r="C58">
        <v>2024</v>
      </c>
      <c r="D58">
        <v>6</v>
      </c>
      <c r="E58" t="s">
        <v>87</v>
      </c>
      <c r="F58" t="s">
        <v>19</v>
      </c>
      <c r="G58" t="s">
        <v>4024</v>
      </c>
      <c r="H58">
        <v>11</v>
      </c>
      <c r="I58" t="s">
        <v>4</v>
      </c>
    </row>
    <row r="59" spans="1:9">
      <c r="A59" t="s">
        <v>4714</v>
      </c>
      <c r="B59" s="2">
        <v>45460</v>
      </c>
      <c r="C59">
        <v>2024</v>
      </c>
      <c r="D59">
        <v>6</v>
      </c>
      <c r="E59" t="s">
        <v>87</v>
      </c>
      <c r="F59" t="s">
        <v>38</v>
      </c>
      <c r="G59" t="s">
        <v>4021</v>
      </c>
      <c r="H59">
        <v>25</v>
      </c>
      <c r="I59" t="s">
        <v>4</v>
      </c>
    </row>
    <row r="60" spans="1:9">
      <c r="A60" t="s">
        <v>4715</v>
      </c>
      <c r="B60" s="2">
        <v>45463</v>
      </c>
      <c r="C60">
        <v>2024</v>
      </c>
      <c r="D60">
        <v>6</v>
      </c>
      <c r="E60" t="s">
        <v>87</v>
      </c>
      <c r="F60" t="s">
        <v>2</v>
      </c>
      <c r="G60" t="s">
        <v>3039</v>
      </c>
      <c r="H60">
        <v>13</v>
      </c>
      <c r="I60" t="s">
        <v>33</v>
      </c>
    </row>
    <row r="61" spans="1:9">
      <c r="A61" t="s">
        <v>4716</v>
      </c>
      <c r="B61" s="2">
        <v>45464</v>
      </c>
      <c r="C61">
        <v>2024</v>
      </c>
      <c r="D61">
        <v>6</v>
      </c>
      <c r="E61" t="s">
        <v>87</v>
      </c>
      <c r="F61" t="s">
        <v>78</v>
      </c>
      <c r="G61" t="s">
        <v>4032</v>
      </c>
      <c r="H61">
        <v>29</v>
      </c>
      <c r="I61" t="s">
        <v>12</v>
      </c>
    </row>
    <row r="62" spans="1:9">
      <c r="A62" t="s">
        <v>4717</v>
      </c>
      <c r="B62" s="2">
        <v>45500</v>
      </c>
      <c r="C62">
        <v>2024</v>
      </c>
      <c r="D62">
        <v>7</v>
      </c>
      <c r="E62" t="s">
        <v>93</v>
      </c>
      <c r="F62" t="s">
        <v>26</v>
      </c>
      <c r="G62" t="s">
        <v>4021</v>
      </c>
      <c r="H62">
        <v>18</v>
      </c>
      <c r="I62" t="s">
        <v>12</v>
      </c>
    </row>
    <row r="63" spans="1:9">
      <c r="A63" t="s">
        <v>4718</v>
      </c>
      <c r="B63" s="2">
        <v>45485</v>
      </c>
      <c r="C63">
        <v>2024</v>
      </c>
      <c r="D63">
        <v>7</v>
      </c>
      <c r="E63" t="s">
        <v>93</v>
      </c>
      <c r="F63" t="s">
        <v>31</v>
      </c>
      <c r="G63" t="s">
        <v>4041</v>
      </c>
      <c r="H63">
        <v>27</v>
      </c>
      <c r="I63" t="s">
        <v>4</v>
      </c>
    </row>
    <row r="64" spans="1:9">
      <c r="A64" t="s">
        <v>4719</v>
      </c>
      <c r="B64" s="2">
        <v>45501</v>
      </c>
      <c r="C64">
        <v>2024</v>
      </c>
      <c r="D64">
        <v>7</v>
      </c>
      <c r="E64" t="s">
        <v>93</v>
      </c>
      <c r="F64" t="s">
        <v>47</v>
      </c>
      <c r="G64" t="s">
        <v>3026</v>
      </c>
      <c r="H64">
        <v>26</v>
      </c>
      <c r="I64" t="s">
        <v>4</v>
      </c>
    </row>
    <row r="65" spans="1:9">
      <c r="A65" t="s">
        <v>4720</v>
      </c>
      <c r="B65" s="2">
        <v>45501</v>
      </c>
      <c r="C65">
        <v>2024</v>
      </c>
      <c r="D65">
        <v>7</v>
      </c>
      <c r="E65" t="s">
        <v>93</v>
      </c>
      <c r="F65" t="s">
        <v>40</v>
      </c>
      <c r="G65" t="s">
        <v>4026</v>
      </c>
      <c r="H65">
        <v>11</v>
      </c>
      <c r="I65" t="s">
        <v>12</v>
      </c>
    </row>
    <row r="66" spans="1:9">
      <c r="A66" t="s">
        <v>4721</v>
      </c>
      <c r="B66" s="2">
        <v>45477</v>
      </c>
      <c r="C66">
        <v>2024</v>
      </c>
      <c r="D66">
        <v>7</v>
      </c>
      <c r="E66" t="s">
        <v>93</v>
      </c>
      <c r="F66" t="s">
        <v>54</v>
      </c>
      <c r="G66" t="s">
        <v>3039</v>
      </c>
      <c r="H66">
        <v>11</v>
      </c>
      <c r="I66" t="s">
        <v>12</v>
      </c>
    </row>
    <row r="67" spans="1:9">
      <c r="A67" t="s">
        <v>4722</v>
      </c>
      <c r="B67" s="2">
        <v>45474</v>
      </c>
      <c r="C67">
        <v>2024</v>
      </c>
      <c r="D67">
        <v>7</v>
      </c>
      <c r="E67" t="s">
        <v>93</v>
      </c>
      <c r="F67" t="s">
        <v>67</v>
      </c>
      <c r="G67" t="s">
        <v>3039</v>
      </c>
      <c r="H67">
        <v>28</v>
      </c>
      <c r="I67" t="s">
        <v>12</v>
      </c>
    </row>
    <row r="68" spans="1:9">
      <c r="A68" t="s">
        <v>4723</v>
      </c>
      <c r="B68" s="2">
        <v>45499</v>
      </c>
      <c r="C68">
        <v>2024</v>
      </c>
      <c r="D68">
        <v>7</v>
      </c>
      <c r="E68" t="s">
        <v>93</v>
      </c>
      <c r="F68" t="s">
        <v>19</v>
      </c>
      <c r="G68" t="s">
        <v>4034</v>
      </c>
      <c r="H68">
        <v>25</v>
      </c>
      <c r="I68" t="s">
        <v>12</v>
      </c>
    </row>
    <row r="69" spans="1:9">
      <c r="A69" t="s">
        <v>4724</v>
      </c>
      <c r="B69" s="2">
        <v>45485</v>
      </c>
      <c r="C69">
        <v>2024</v>
      </c>
      <c r="D69">
        <v>7</v>
      </c>
      <c r="E69" t="s">
        <v>93</v>
      </c>
      <c r="F69" t="s">
        <v>38</v>
      </c>
      <c r="G69" t="s">
        <v>4039</v>
      </c>
      <c r="H69">
        <v>16</v>
      </c>
      <c r="I69" t="s">
        <v>44</v>
      </c>
    </row>
    <row r="70" spans="1:9">
      <c r="A70" t="s">
        <v>4725</v>
      </c>
      <c r="B70" s="2">
        <v>45482</v>
      </c>
      <c r="C70">
        <v>2024</v>
      </c>
      <c r="D70">
        <v>7</v>
      </c>
      <c r="E70" t="s">
        <v>93</v>
      </c>
      <c r="F70" t="s">
        <v>2</v>
      </c>
      <c r="G70" t="s">
        <v>4026</v>
      </c>
      <c r="H70">
        <v>20</v>
      </c>
      <c r="I70" t="s">
        <v>33</v>
      </c>
    </row>
    <row r="71" spans="1:9">
      <c r="A71" t="s">
        <v>4726</v>
      </c>
      <c r="B71" s="2">
        <v>45474</v>
      </c>
      <c r="C71">
        <v>2024</v>
      </c>
      <c r="D71">
        <v>7</v>
      </c>
      <c r="E71" t="s">
        <v>93</v>
      </c>
      <c r="F71" t="s">
        <v>78</v>
      </c>
      <c r="G71" t="s">
        <v>4034</v>
      </c>
      <c r="H71">
        <v>22</v>
      </c>
      <c r="I71" t="s">
        <v>33</v>
      </c>
    </row>
    <row r="72" spans="1:9">
      <c r="A72" t="s">
        <v>4727</v>
      </c>
      <c r="B72" s="2">
        <v>45515</v>
      </c>
      <c r="C72">
        <v>2024</v>
      </c>
      <c r="D72">
        <v>8</v>
      </c>
      <c r="E72" t="s">
        <v>101</v>
      </c>
      <c r="F72" t="s">
        <v>26</v>
      </c>
      <c r="G72" t="s">
        <v>4026</v>
      </c>
      <c r="H72">
        <v>20</v>
      </c>
      <c r="I72" t="s">
        <v>12</v>
      </c>
    </row>
    <row r="73" spans="1:9">
      <c r="A73" t="s">
        <v>4728</v>
      </c>
      <c r="B73" s="2">
        <v>45531</v>
      </c>
      <c r="C73">
        <v>2024</v>
      </c>
      <c r="D73">
        <v>8</v>
      </c>
      <c r="E73" t="s">
        <v>101</v>
      </c>
      <c r="F73" t="s">
        <v>31</v>
      </c>
      <c r="G73" t="s">
        <v>4039</v>
      </c>
      <c r="H73">
        <v>23</v>
      </c>
      <c r="I73" t="s">
        <v>4</v>
      </c>
    </row>
    <row r="74" spans="1:9">
      <c r="A74" t="s">
        <v>4729</v>
      </c>
      <c r="B74" s="2">
        <v>45528</v>
      </c>
      <c r="C74">
        <v>2024</v>
      </c>
      <c r="D74">
        <v>8</v>
      </c>
      <c r="E74" t="s">
        <v>101</v>
      </c>
      <c r="F74" t="s">
        <v>47</v>
      </c>
      <c r="G74" t="s">
        <v>4021</v>
      </c>
      <c r="H74">
        <v>23</v>
      </c>
      <c r="I74" t="s">
        <v>12</v>
      </c>
    </row>
    <row r="75" spans="1:9">
      <c r="A75" t="s">
        <v>4730</v>
      </c>
      <c r="B75" s="2">
        <v>45532</v>
      </c>
      <c r="C75">
        <v>2024</v>
      </c>
      <c r="D75">
        <v>8</v>
      </c>
      <c r="E75" t="s">
        <v>101</v>
      </c>
      <c r="F75" t="s">
        <v>40</v>
      </c>
      <c r="G75" t="s">
        <v>3039</v>
      </c>
      <c r="H75">
        <v>25</v>
      </c>
      <c r="I75" t="s">
        <v>12</v>
      </c>
    </row>
    <row r="76" spans="1:9">
      <c r="A76" t="s">
        <v>4731</v>
      </c>
      <c r="B76" s="2">
        <v>45532</v>
      </c>
      <c r="C76">
        <v>2024</v>
      </c>
      <c r="D76">
        <v>8</v>
      </c>
      <c r="E76" t="s">
        <v>101</v>
      </c>
      <c r="F76" t="s">
        <v>54</v>
      </c>
      <c r="G76" t="s">
        <v>3039</v>
      </c>
      <c r="H76">
        <v>20</v>
      </c>
      <c r="I76" t="s">
        <v>33</v>
      </c>
    </row>
    <row r="77" spans="1:9">
      <c r="A77" t="s">
        <v>4732</v>
      </c>
      <c r="B77" s="2">
        <v>45532</v>
      </c>
      <c r="C77">
        <v>2024</v>
      </c>
      <c r="D77">
        <v>8</v>
      </c>
      <c r="E77" t="s">
        <v>101</v>
      </c>
      <c r="F77" t="s">
        <v>67</v>
      </c>
      <c r="G77" t="s">
        <v>3026</v>
      </c>
      <c r="H77">
        <v>23</v>
      </c>
      <c r="I77" t="s">
        <v>12</v>
      </c>
    </row>
    <row r="78" spans="1:9">
      <c r="A78" t="s">
        <v>4733</v>
      </c>
      <c r="B78" s="2">
        <v>45516</v>
      </c>
      <c r="C78">
        <v>2024</v>
      </c>
      <c r="D78">
        <v>8</v>
      </c>
      <c r="E78" t="s">
        <v>101</v>
      </c>
      <c r="F78" t="s">
        <v>19</v>
      </c>
      <c r="G78" t="s">
        <v>4026</v>
      </c>
      <c r="H78">
        <v>27</v>
      </c>
      <c r="I78" t="s">
        <v>4</v>
      </c>
    </row>
    <row r="79" spans="1:9">
      <c r="A79" t="s">
        <v>4734</v>
      </c>
      <c r="B79" s="2">
        <v>45505</v>
      </c>
      <c r="C79">
        <v>2024</v>
      </c>
      <c r="D79">
        <v>8</v>
      </c>
      <c r="E79" t="s">
        <v>101</v>
      </c>
      <c r="F79" t="s">
        <v>38</v>
      </c>
      <c r="G79" t="s">
        <v>4024</v>
      </c>
      <c r="H79">
        <v>27</v>
      </c>
      <c r="I79" t="s">
        <v>4</v>
      </c>
    </row>
    <row r="80" spans="1:9">
      <c r="A80" t="s">
        <v>4735</v>
      </c>
      <c r="B80" s="2">
        <v>45530</v>
      </c>
      <c r="C80">
        <v>2024</v>
      </c>
      <c r="D80">
        <v>8</v>
      </c>
      <c r="E80" t="s">
        <v>101</v>
      </c>
      <c r="F80" t="s">
        <v>2</v>
      </c>
      <c r="G80" t="s">
        <v>4024</v>
      </c>
      <c r="H80">
        <v>27</v>
      </c>
      <c r="I80" t="s">
        <v>44</v>
      </c>
    </row>
    <row r="81" spans="1:9">
      <c r="A81" t="s">
        <v>4736</v>
      </c>
      <c r="B81" s="2">
        <v>45518</v>
      </c>
      <c r="C81">
        <v>2024</v>
      </c>
      <c r="D81">
        <v>8</v>
      </c>
      <c r="E81" t="s">
        <v>101</v>
      </c>
      <c r="F81" t="s">
        <v>78</v>
      </c>
      <c r="G81" t="s">
        <v>4044</v>
      </c>
      <c r="H81">
        <v>32</v>
      </c>
      <c r="I81" t="s">
        <v>33</v>
      </c>
    </row>
    <row r="82" spans="1:9">
      <c r="A82" t="s">
        <v>4737</v>
      </c>
      <c r="B82" s="2">
        <v>45549</v>
      </c>
      <c r="C82">
        <v>2024</v>
      </c>
      <c r="D82">
        <v>9</v>
      </c>
      <c r="E82" t="s">
        <v>105</v>
      </c>
      <c r="F82" t="s">
        <v>26</v>
      </c>
      <c r="G82" t="s">
        <v>4026</v>
      </c>
      <c r="H82">
        <v>34</v>
      </c>
      <c r="I82" t="s">
        <v>44</v>
      </c>
    </row>
    <row r="83" spans="1:9">
      <c r="A83" t="s">
        <v>4738</v>
      </c>
      <c r="B83" s="2">
        <v>45552</v>
      </c>
      <c r="C83">
        <v>2024</v>
      </c>
      <c r="D83">
        <v>9</v>
      </c>
      <c r="E83" t="s">
        <v>105</v>
      </c>
      <c r="F83" t="s">
        <v>31</v>
      </c>
      <c r="G83" t="s">
        <v>4024</v>
      </c>
      <c r="H83">
        <v>20</v>
      </c>
      <c r="I83" t="s">
        <v>44</v>
      </c>
    </row>
    <row r="84" spans="1:9">
      <c r="A84" t="s">
        <v>4739</v>
      </c>
      <c r="B84" s="2">
        <v>45555</v>
      </c>
      <c r="C84">
        <v>2024</v>
      </c>
      <c r="D84">
        <v>9</v>
      </c>
      <c r="E84" t="s">
        <v>105</v>
      </c>
      <c r="F84" t="s">
        <v>47</v>
      </c>
      <c r="G84" t="s">
        <v>4039</v>
      </c>
      <c r="H84">
        <v>8</v>
      </c>
      <c r="I84" t="s">
        <v>33</v>
      </c>
    </row>
    <row r="85" spans="1:9">
      <c r="A85" t="s">
        <v>4740</v>
      </c>
      <c r="B85" s="2">
        <v>45547</v>
      </c>
      <c r="C85">
        <v>2024</v>
      </c>
      <c r="D85">
        <v>9</v>
      </c>
      <c r="E85" t="s">
        <v>105</v>
      </c>
      <c r="F85" t="s">
        <v>40</v>
      </c>
      <c r="G85" t="s">
        <v>4024</v>
      </c>
      <c r="H85">
        <v>25</v>
      </c>
      <c r="I85" t="s">
        <v>44</v>
      </c>
    </row>
    <row r="86" spans="1:9">
      <c r="A86" t="s">
        <v>4741</v>
      </c>
      <c r="B86" s="2">
        <v>45538</v>
      </c>
      <c r="C86">
        <v>2024</v>
      </c>
      <c r="D86">
        <v>9</v>
      </c>
      <c r="E86" t="s">
        <v>105</v>
      </c>
      <c r="F86" t="s">
        <v>54</v>
      </c>
      <c r="G86" t="s">
        <v>3026</v>
      </c>
      <c r="H86">
        <v>17</v>
      </c>
      <c r="I86" t="s">
        <v>4</v>
      </c>
    </row>
    <row r="87" spans="1:9">
      <c r="A87" t="s">
        <v>4742</v>
      </c>
      <c r="B87" s="2">
        <v>45554</v>
      </c>
      <c r="C87">
        <v>2024</v>
      </c>
      <c r="D87">
        <v>9</v>
      </c>
      <c r="E87" t="s">
        <v>105</v>
      </c>
      <c r="F87" t="s">
        <v>67</v>
      </c>
      <c r="G87" t="s">
        <v>4034</v>
      </c>
      <c r="H87">
        <v>12</v>
      </c>
      <c r="I87" t="s">
        <v>12</v>
      </c>
    </row>
    <row r="88" spans="1:9">
      <c r="A88" t="s">
        <v>4743</v>
      </c>
      <c r="B88" s="2">
        <v>45548</v>
      </c>
      <c r="C88">
        <v>2024</v>
      </c>
      <c r="D88">
        <v>9</v>
      </c>
      <c r="E88" t="s">
        <v>105</v>
      </c>
      <c r="F88" t="s">
        <v>19</v>
      </c>
      <c r="G88" t="s">
        <v>4034</v>
      </c>
      <c r="H88">
        <v>8</v>
      </c>
      <c r="I88" t="s">
        <v>4</v>
      </c>
    </row>
    <row r="89" spans="1:9">
      <c r="A89" t="s">
        <v>4744</v>
      </c>
      <c r="B89" s="2">
        <v>45544</v>
      </c>
      <c r="C89">
        <v>2024</v>
      </c>
      <c r="D89">
        <v>9</v>
      </c>
      <c r="E89" t="s">
        <v>105</v>
      </c>
      <c r="F89" t="s">
        <v>38</v>
      </c>
      <c r="G89" t="s">
        <v>4021</v>
      </c>
      <c r="H89">
        <v>22</v>
      </c>
      <c r="I89" t="s">
        <v>44</v>
      </c>
    </row>
    <row r="90" spans="1:9">
      <c r="A90" t="s">
        <v>4745</v>
      </c>
      <c r="B90" s="2">
        <v>45539</v>
      </c>
      <c r="C90">
        <v>2024</v>
      </c>
      <c r="D90">
        <v>9</v>
      </c>
      <c r="E90" t="s">
        <v>105</v>
      </c>
      <c r="F90" t="s">
        <v>2</v>
      </c>
      <c r="G90" t="s">
        <v>3039</v>
      </c>
      <c r="H90">
        <v>10</v>
      </c>
      <c r="I90" t="s">
        <v>44</v>
      </c>
    </row>
    <row r="91" spans="1:9">
      <c r="A91" t="s">
        <v>4746</v>
      </c>
      <c r="B91" s="2">
        <v>45556</v>
      </c>
      <c r="C91">
        <v>2024</v>
      </c>
      <c r="D91">
        <v>9</v>
      </c>
      <c r="E91" t="s">
        <v>105</v>
      </c>
      <c r="F91" t="s">
        <v>78</v>
      </c>
      <c r="G91" t="s">
        <v>4024</v>
      </c>
      <c r="H91">
        <v>34</v>
      </c>
      <c r="I91" t="s">
        <v>33</v>
      </c>
    </row>
    <row r="92" spans="1:9">
      <c r="A92" t="s">
        <v>4747</v>
      </c>
      <c r="B92" s="2">
        <v>45573</v>
      </c>
      <c r="C92">
        <v>2024</v>
      </c>
      <c r="D92">
        <v>10</v>
      </c>
      <c r="E92" t="s">
        <v>113</v>
      </c>
      <c r="F92" t="s">
        <v>26</v>
      </c>
      <c r="G92" t="s">
        <v>4044</v>
      </c>
      <c r="H92">
        <v>21</v>
      </c>
      <c r="I92" t="s">
        <v>12</v>
      </c>
    </row>
    <row r="93" spans="1:9">
      <c r="A93" t="s">
        <v>4748</v>
      </c>
      <c r="B93" s="2">
        <v>45573</v>
      </c>
      <c r="C93">
        <v>2024</v>
      </c>
      <c r="D93">
        <v>10</v>
      </c>
      <c r="E93" t="s">
        <v>113</v>
      </c>
      <c r="F93" t="s">
        <v>31</v>
      </c>
      <c r="G93" t="s">
        <v>3039</v>
      </c>
      <c r="H93">
        <v>21</v>
      </c>
      <c r="I93" t="s">
        <v>44</v>
      </c>
    </row>
    <row r="94" spans="1:9">
      <c r="A94" t="s">
        <v>4749</v>
      </c>
      <c r="B94" s="2">
        <v>45567</v>
      </c>
      <c r="C94">
        <v>2024</v>
      </c>
      <c r="D94">
        <v>10</v>
      </c>
      <c r="E94" t="s">
        <v>113</v>
      </c>
      <c r="F94" t="s">
        <v>47</v>
      </c>
      <c r="G94" t="s">
        <v>3026</v>
      </c>
      <c r="H94">
        <v>32</v>
      </c>
      <c r="I94" t="s">
        <v>4</v>
      </c>
    </row>
    <row r="95" spans="1:9">
      <c r="A95" t="s">
        <v>4750</v>
      </c>
      <c r="B95" s="2">
        <v>45593</v>
      </c>
      <c r="C95">
        <v>2024</v>
      </c>
      <c r="D95">
        <v>10</v>
      </c>
      <c r="E95" t="s">
        <v>113</v>
      </c>
      <c r="F95" t="s">
        <v>40</v>
      </c>
      <c r="G95" t="s">
        <v>4021</v>
      </c>
      <c r="H95">
        <v>29</v>
      </c>
      <c r="I95" t="s">
        <v>44</v>
      </c>
    </row>
    <row r="96" spans="1:9">
      <c r="A96" t="s">
        <v>4751</v>
      </c>
      <c r="B96" s="2">
        <v>45575</v>
      </c>
      <c r="C96">
        <v>2024</v>
      </c>
      <c r="D96">
        <v>10</v>
      </c>
      <c r="E96" t="s">
        <v>113</v>
      </c>
      <c r="F96" t="s">
        <v>54</v>
      </c>
      <c r="G96" t="s">
        <v>4041</v>
      </c>
      <c r="H96">
        <v>8</v>
      </c>
      <c r="I96" t="s">
        <v>4</v>
      </c>
    </row>
    <row r="97" spans="1:9">
      <c r="A97" t="s">
        <v>4752</v>
      </c>
      <c r="B97" s="2">
        <v>45576</v>
      </c>
      <c r="C97">
        <v>2024</v>
      </c>
      <c r="D97">
        <v>10</v>
      </c>
      <c r="E97" t="s">
        <v>113</v>
      </c>
      <c r="F97" t="s">
        <v>67</v>
      </c>
      <c r="G97" t="s">
        <v>3039</v>
      </c>
      <c r="H97">
        <v>20</v>
      </c>
      <c r="I97" t="s">
        <v>12</v>
      </c>
    </row>
    <row r="98" spans="1:9">
      <c r="A98" t="s">
        <v>4753</v>
      </c>
      <c r="B98" s="2">
        <v>45580</v>
      </c>
      <c r="C98">
        <v>2024</v>
      </c>
      <c r="D98">
        <v>10</v>
      </c>
      <c r="E98" t="s">
        <v>113</v>
      </c>
      <c r="F98" t="s">
        <v>19</v>
      </c>
      <c r="G98" t="s">
        <v>4024</v>
      </c>
      <c r="H98">
        <v>21</v>
      </c>
      <c r="I98" t="s">
        <v>33</v>
      </c>
    </row>
    <row r="99" spans="1:9">
      <c r="A99" t="s">
        <v>4754</v>
      </c>
      <c r="B99" s="2">
        <v>45592</v>
      </c>
      <c r="C99">
        <v>2024</v>
      </c>
      <c r="D99">
        <v>10</v>
      </c>
      <c r="E99" t="s">
        <v>113</v>
      </c>
      <c r="F99" t="s">
        <v>38</v>
      </c>
      <c r="G99" t="s">
        <v>4034</v>
      </c>
      <c r="H99">
        <v>11</v>
      </c>
      <c r="I99" t="s">
        <v>4</v>
      </c>
    </row>
    <row r="100" spans="1:9">
      <c r="A100" t="s">
        <v>4755</v>
      </c>
      <c r="B100" s="2">
        <v>45573</v>
      </c>
      <c r="C100">
        <v>2024</v>
      </c>
      <c r="D100">
        <v>10</v>
      </c>
      <c r="E100" t="s">
        <v>113</v>
      </c>
      <c r="F100" t="s">
        <v>2</v>
      </c>
      <c r="G100" t="s">
        <v>4026</v>
      </c>
      <c r="H100">
        <v>23</v>
      </c>
      <c r="I100" t="s">
        <v>44</v>
      </c>
    </row>
    <row r="101" spans="1:9">
      <c r="A101" t="s">
        <v>4756</v>
      </c>
      <c r="B101" s="2">
        <v>45586</v>
      </c>
      <c r="C101">
        <v>2024</v>
      </c>
      <c r="D101">
        <v>10</v>
      </c>
      <c r="E101" t="s">
        <v>113</v>
      </c>
      <c r="F101" t="s">
        <v>78</v>
      </c>
      <c r="G101" t="s">
        <v>3026</v>
      </c>
      <c r="H101">
        <v>29</v>
      </c>
      <c r="I101" t="s">
        <v>12</v>
      </c>
    </row>
    <row r="102" spans="1:9">
      <c r="A102" t="s">
        <v>4757</v>
      </c>
      <c r="B102" s="2">
        <v>45605</v>
      </c>
      <c r="C102">
        <v>2024</v>
      </c>
      <c r="D102">
        <v>11</v>
      </c>
      <c r="E102" t="s">
        <v>117</v>
      </c>
      <c r="F102" t="s">
        <v>26</v>
      </c>
      <c r="G102" t="s">
        <v>4024</v>
      </c>
      <c r="H102">
        <v>15</v>
      </c>
      <c r="I102" t="s">
        <v>4</v>
      </c>
    </row>
    <row r="103" spans="1:9">
      <c r="A103" t="s">
        <v>4758</v>
      </c>
      <c r="B103" s="2">
        <v>45611</v>
      </c>
      <c r="C103">
        <v>2024</v>
      </c>
      <c r="D103">
        <v>11</v>
      </c>
      <c r="E103" t="s">
        <v>117</v>
      </c>
      <c r="F103" t="s">
        <v>31</v>
      </c>
      <c r="G103" t="s">
        <v>4044</v>
      </c>
      <c r="H103">
        <v>35</v>
      </c>
      <c r="I103" t="s">
        <v>44</v>
      </c>
    </row>
    <row r="104" spans="1:9">
      <c r="A104" t="s">
        <v>4759</v>
      </c>
      <c r="B104" s="2">
        <v>45608</v>
      </c>
      <c r="C104">
        <v>2024</v>
      </c>
      <c r="D104">
        <v>11</v>
      </c>
      <c r="E104" t="s">
        <v>117</v>
      </c>
      <c r="F104" t="s">
        <v>47</v>
      </c>
      <c r="G104" t="s">
        <v>4034</v>
      </c>
      <c r="H104">
        <v>31</v>
      </c>
      <c r="I104" t="s">
        <v>44</v>
      </c>
    </row>
    <row r="105" spans="1:9">
      <c r="A105" t="s">
        <v>4760</v>
      </c>
      <c r="B105" s="2">
        <v>45623</v>
      </c>
      <c r="C105">
        <v>2024</v>
      </c>
      <c r="D105">
        <v>11</v>
      </c>
      <c r="E105" t="s">
        <v>117</v>
      </c>
      <c r="F105" t="s">
        <v>40</v>
      </c>
      <c r="G105" t="s">
        <v>4021</v>
      </c>
      <c r="H105">
        <v>32</v>
      </c>
      <c r="I105" t="s">
        <v>4</v>
      </c>
    </row>
    <row r="106" spans="1:9">
      <c r="A106" t="s">
        <v>4761</v>
      </c>
      <c r="B106" s="2">
        <v>45623</v>
      </c>
      <c r="C106">
        <v>2024</v>
      </c>
      <c r="D106">
        <v>11</v>
      </c>
      <c r="E106" t="s">
        <v>117</v>
      </c>
      <c r="F106" t="s">
        <v>54</v>
      </c>
      <c r="G106" t="s">
        <v>4026</v>
      </c>
      <c r="H106">
        <v>31</v>
      </c>
      <c r="I106" t="s">
        <v>44</v>
      </c>
    </row>
    <row r="107" spans="1:9">
      <c r="A107" t="s">
        <v>4762</v>
      </c>
      <c r="B107" s="2">
        <v>45615</v>
      </c>
      <c r="C107">
        <v>2024</v>
      </c>
      <c r="D107">
        <v>11</v>
      </c>
      <c r="E107" t="s">
        <v>117</v>
      </c>
      <c r="F107" t="s">
        <v>67</v>
      </c>
      <c r="G107" t="s">
        <v>4034</v>
      </c>
      <c r="H107">
        <v>25</v>
      </c>
      <c r="I107" t="s">
        <v>12</v>
      </c>
    </row>
    <row r="108" spans="1:9">
      <c r="A108" t="s">
        <v>4763</v>
      </c>
      <c r="B108" s="2">
        <v>45615</v>
      </c>
      <c r="C108">
        <v>2024</v>
      </c>
      <c r="D108">
        <v>11</v>
      </c>
      <c r="E108" t="s">
        <v>117</v>
      </c>
      <c r="F108" t="s">
        <v>19</v>
      </c>
      <c r="G108" t="s">
        <v>3039</v>
      </c>
      <c r="H108">
        <v>13</v>
      </c>
      <c r="I108" t="s">
        <v>33</v>
      </c>
    </row>
    <row r="109" spans="1:9">
      <c r="A109" t="s">
        <v>4764</v>
      </c>
      <c r="B109" s="2">
        <v>45604</v>
      </c>
      <c r="C109">
        <v>2024</v>
      </c>
      <c r="D109">
        <v>11</v>
      </c>
      <c r="E109" t="s">
        <v>117</v>
      </c>
      <c r="F109" t="s">
        <v>38</v>
      </c>
      <c r="G109" t="s">
        <v>4026</v>
      </c>
      <c r="H109">
        <v>32</v>
      </c>
      <c r="I109" t="s">
        <v>4</v>
      </c>
    </row>
    <row r="110" spans="1:9">
      <c r="A110" t="s">
        <v>4765</v>
      </c>
      <c r="B110" s="2">
        <v>45608</v>
      </c>
      <c r="C110">
        <v>2024</v>
      </c>
      <c r="D110">
        <v>11</v>
      </c>
      <c r="E110" t="s">
        <v>117</v>
      </c>
      <c r="F110" t="s">
        <v>2</v>
      </c>
      <c r="G110" t="s">
        <v>4024</v>
      </c>
      <c r="H110">
        <v>16</v>
      </c>
      <c r="I110" t="s">
        <v>44</v>
      </c>
    </row>
    <row r="111" spans="1:9">
      <c r="A111" t="s">
        <v>4766</v>
      </c>
      <c r="B111" s="2">
        <v>45602</v>
      </c>
      <c r="C111">
        <v>2024</v>
      </c>
      <c r="D111">
        <v>11</v>
      </c>
      <c r="E111" t="s">
        <v>117</v>
      </c>
      <c r="F111" t="s">
        <v>78</v>
      </c>
      <c r="G111" t="s">
        <v>4044</v>
      </c>
      <c r="H111">
        <v>27</v>
      </c>
      <c r="I111" t="s">
        <v>4</v>
      </c>
    </row>
    <row r="112" spans="1:9">
      <c r="A112" t="s">
        <v>4767</v>
      </c>
      <c r="B112" s="2">
        <v>45644</v>
      </c>
      <c r="C112">
        <v>2024</v>
      </c>
      <c r="D112">
        <v>12</v>
      </c>
      <c r="E112" t="s">
        <v>124</v>
      </c>
      <c r="F112" t="s">
        <v>26</v>
      </c>
      <c r="G112" t="s">
        <v>4034</v>
      </c>
      <c r="H112">
        <v>14</v>
      </c>
      <c r="I112" t="s">
        <v>12</v>
      </c>
    </row>
    <row r="113" spans="1:9">
      <c r="A113" t="s">
        <v>4768</v>
      </c>
      <c r="B113" s="2">
        <v>45636</v>
      </c>
      <c r="C113">
        <v>2024</v>
      </c>
      <c r="D113">
        <v>12</v>
      </c>
      <c r="E113" t="s">
        <v>124</v>
      </c>
      <c r="F113" t="s">
        <v>31</v>
      </c>
      <c r="G113" t="s">
        <v>4024</v>
      </c>
      <c r="H113">
        <v>29</v>
      </c>
      <c r="I113" t="s">
        <v>12</v>
      </c>
    </row>
    <row r="114" spans="1:9">
      <c r="A114" t="s">
        <v>4769</v>
      </c>
      <c r="B114" s="2">
        <v>45638</v>
      </c>
      <c r="C114">
        <v>2024</v>
      </c>
      <c r="D114">
        <v>12</v>
      </c>
      <c r="E114" t="s">
        <v>124</v>
      </c>
      <c r="F114" t="s">
        <v>47</v>
      </c>
      <c r="G114" t="s">
        <v>4026</v>
      </c>
      <c r="H114">
        <v>35</v>
      </c>
      <c r="I114" t="s">
        <v>4</v>
      </c>
    </row>
    <row r="115" spans="1:9">
      <c r="A115" t="s">
        <v>4770</v>
      </c>
      <c r="B115" s="2">
        <v>45629</v>
      </c>
      <c r="C115">
        <v>2024</v>
      </c>
      <c r="D115">
        <v>12</v>
      </c>
      <c r="E115" t="s">
        <v>124</v>
      </c>
      <c r="F115" t="s">
        <v>40</v>
      </c>
      <c r="G115" t="s">
        <v>4032</v>
      </c>
      <c r="H115">
        <v>29</v>
      </c>
      <c r="I115" t="s">
        <v>44</v>
      </c>
    </row>
    <row r="116" spans="1:9">
      <c r="A116" t="s">
        <v>4771</v>
      </c>
      <c r="B116" s="2">
        <v>45631</v>
      </c>
      <c r="C116">
        <v>2024</v>
      </c>
      <c r="D116">
        <v>12</v>
      </c>
      <c r="E116" t="s">
        <v>124</v>
      </c>
      <c r="F116" t="s">
        <v>54</v>
      </c>
      <c r="G116" t="s">
        <v>4044</v>
      </c>
      <c r="H116">
        <v>14</v>
      </c>
      <c r="I116" t="s">
        <v>12</v>
      </c>
    </row>
    <row r="117" spans="1:9">
      <c r="A117" t="s">
        <v>4772</v>
      </c>
      <c r="B117" s="2">
        <v>45629</v>
      </c>
      <c r="C117">
        <v>2024</v>
      </c>
      <c r="D117">
        <v>12</v>
      </c>
      <c r="E117" t="s">
        <v>124</v>
      </c>
      <c r="F117" t="s">
        <v>67</v>
      </c>
      <c r="G117" t="s">
        <v>3039</v>
      </c>
      <c r="H117">
        <v>25</v>
      </c>
      <c r="I117" t="s">
        <v>33</v>
      </c>
    </row>
    <row r="118" spans="1:9">
      <c r="A118" t="s">
        <v>4773</v>
      </c>
      <c r="B118" s="2">
        <v>45631</v>
      </c>
      <c r="C118">
        <v>2024</v>
      </c>
      <c r="D118">
        <v>12</v>
      </c>
      <c r="E118" t="s">
        <v>124</v>
      </c>
      <c r="F118" t="s">
        <v>19</v>
      </c>
      <c r="G118" t="s">
        <v>4041</v>
      </c>
      <c r="H118">
        <v>17</v>
      </c>
      <c r="I118" t="s">
        <v>44</v>
      </c>
    </row>
    <row r="119" spans="1:9">
      <c r="A119" t="s">
        <v>4774</v>
      </c>
      <c r="B119" s="2">
        <v>45632</v>
      </c>
      <c r="C119">
        <v>2024</v>
      </c>
      <c r="D119">
        <v>12</v>
      </c>
      <c r="E119" t="s">
        <v>124</v>
      </c>
      <c r="F119" t="s">
        <v>38</v>
      </c>
      <c r="G119" t="s">
        <v>4044</v>
      </c>
      <c r="H119">
        <v>30</v>
      </c>
      <c r="I119" t="s">
        <v>12</v>
      </c>
    </row>
    <row r="120" spans="1:9">
      <c r="A120" t="s">
        <v>4775</v>
      </c>
      <c r="B120" s="2">
        <v>45642</v>
      </c>
      <c r="C120">
        <v>2024</v>
      </c>
      <c r="D120">
        <v>12</v>
      </c>
      <c r="E120" t="s">
        <v>124</v>
      </c>
      <c r="F120" t="s">
        <v>2</v>
      </c>
      <c r="G120" t="s">
        <v>4034</v>
      </c>
      <c r="H120">
        <v>17</v>
      </c>
      <c r="I120" t="s">
        <v>44</v>
      </c>
    </row>
    <row r="121" spans="1:9">
      <c r="A121" t="s">
        <v>4776</v>
      </c>
      <c r="B121" s="2">
        <v>45642</v>
      </c>
      <c r="C121">
        <v>2024</v>
      </c>
      <c r="D121">
        <v>12</v>
      </c>
      <c r="E121" t="s">
        <v>124</v>
      </c>
      <c r="F121" t="s">
        <v>78</v>
      </c>
      <c r="G121" t="s">
        <v>4026</v>
      </c>
      <c r="H121">
        <v>11</v>
      </c>
      <c r="I121" t="s">
        <v>44</v>
      </c>
    </row>
    <row r="122" spans="1:9">
      <c r="A122" t="s">
        <v>4777</v>
      </c>
      <c r="B122" s="2">
        <v>45673</v>
      </c>
      <c r="C122">
        <v>2025</v>
      </c>
      <c r="D122">
        <v>1</v>
      </c>
      <c r="E122" t="s">
        <v>1</v>
      </c>
      <c r="F122" t="s">
        <v>26</v>
      </c>
      <c r="G122" t="s">
        <v>4039</v>
      </c>
      <c r="H122">
        <v>30</v>
      </c>
      <c r="I122" t="s">
        <v>12</v>
      </c>
    </row>
    <row r="123" spans="1:9">
      <c r="A123" t="s">
        <v>4778</v>
      </c>
      <c r="B123" s="2">
        <v>45672</v>
      </c>
      <c r="C123">
        <v>2025</v>
      </c>
      <c r="D123">
        <v>1</v>
      </c>
      <c r="E123" t="s">
        <v>1</v>
      </c>
      <c r="F123" t="s">
        <v>31</v>
      </c>
      <c r="G123" t="s">
        <v>4034</v>
      </c>
      <c r="H123">
        <v>31</v>
      </c>
      <c r="I123" t="s">
        <v>4</v>
      </c>
    </row>
    <row r="124" spans="1:9">
      <c r="A124" t="s">
        <v>4779</v>
      </c>
      <c r="B124" s="2">
        <v>45679</v>
      </c>
      <c r="C124">
        <v>2025</v>
      </c>
      <c r="D124">
        <v>1</v>
      </c>
      <c r="E124" t="s">
        <v>1</v>
      </c>
      <c r="F124" t="s">
        <v>47</v>
      </c>
      <c r="G124" t="s">
        <v>4024</v>
      </c>
      <c r="H124">
        <v>16</v>
      </c>
      <c r="I124" t="s">
        <v>12</v>
      </c>
    </row>
    <row r="125" spans="1:9">
      <c r="A125" t="s">
        <v>4780</v>
      </c>
      <c r="B125" s="2">
        <v>45668</v>
      </c>
      <c r="C125">
        <v>2025</v>
      </c>
      <c r="D125">
        <v>1</v>
      </c>
      <c r="E125" t="s">
        <v>1</v>
      </c>
      <c r="F125" t="s">
        <v>40</v>
      </c>
      <c r="G125" t="s">
        <v>4024</v>
      </c>
      <c r="H125">
        <v>16</v>
      </c>
      <c r="I125" t="s">
        <v>12</v>
      </c>
    </row>
    <row r="126" spans="1:9">
      <c r="A126" t="s">
        <v>4781</v>
      </c>
      <c r="B126" s="2">
        <v>45662</v>
      </c>
      <c r="C126">
        <v>2025</v>
      </c>
      <c r="D126">
        <v>1</v>
      </c>
      <c r="E126" t="s">
        <v>1</v>
      </c>
      <c r="F126" t="s">
        <v>54</v>
      </c>
      <c r="G126" t="s">
        <v>4026</v>
      </c>
      <c r="H126">
        <v>25</v>
      </c>
      <c r="I126" t="s">
        <v>12</v>
      </c>
    </row>
    <row r="127" spans="1:9">
      <c r="A127" t="s">
        <v>4782</v>
      </c>
      <c r="B127" s="2">
        <v>45658</v>
      </c>
      <c r="C127">
        <v>2025</v>
      </c>
      <c r="D127">
        <v>1</v>
      </c>
      <c r="E127" t="s">
        <v>1</v>
      </c>
      <c r="F127" t="s">
        <v>67</v>
      </c>
      <c r="G127" t="s">
        <v>4026</v>
      </c>
      <c r="H127">
        <v>9</v>
      </c>
      <c r="I127" t="s">
        <v>4</v>
      </c>
    </row>
    <row r="128" spans="1:9">
      <c r="A128" t="s">
        <v>4783</v>
      </c>
      <c r="B128" s="2">
        <v>45659</v>
      </c>
      <c r="C128">
        <v>2025</v>
      </c>
      <c r="D128">
        <v>1</v>
      </c>
      <c r="E128" t="s">
        <v>1</v>
      </c>
      <c r="F128" t="s">
        <v>19</v>
      </c>
      <c r="G128" t="s">
        <v>4034</v>
      </c>
      <c r="H128">
        <v>21</v>
      </c>
      <c r="I128" t="s">
        <v>33</v>
      </c>
    </row>
    <row r="129" spans="1:9">
      <c r="A129" t="s">
        <v>4784</v>
      </c>
      <c r="B129" s="2">
        <v>45663</v>
      </c>
      <c r="C129">
        <v>2025</v>
      </c>
      <c r="D129">
        <v>1</v>
      </c>
      <c r="E129" t="s">
        <v>1</v>
      </c>
      <c r="F129" t="s">
        <v>38</v>
      </c>
      <c r="G129" t="s">
        <v>4041</v>
      </c>
      <c r="H129">
        <v>23</v>
      </c>
      <c r="I129" t="s">
        <v>44</v>
      </c>
    </row>
    <row r="130" spans="1:9">
      <c r="A130" t="s">
        <v>4785</v>
      </c>
      <c r="B130" s="2">
        <v>45661</v>
      </c>
      <c r="C130">
        <v>2025</v>
      </c>
      <c r="D130">
        <v>1</v>
      </c>
      <c r="E130" t="s">
        <v>1</v>
      </c>
      <c r="F130" t="s">
        <v>2</v>
      </c>
      <c r="G130" t="s">
        <v>4032</v>
      </c>
      <c r="H130">
        <v>24</v>
      </c>
      <c r="I130" t="s">
        <v>4</v>
      </c>
    </row>
    <row r="131" spans="1:9">
      <c r="A131" t="s">
        <v>4786</v>
      </c>
      <c r="B131" s="2">
        <v>45675</v>
      </c>
      <c r="C131">
        <v>2025</v>
      </c>
      <c r="D131">
        <v>1</v>
      </c>
      <c r="E131" t="s">
        <v>1</v>
      </c>
      <c r="F131" t="s">
        <v>78</v>
      </c>
      <c r="G131" t="s">
        <v>4044</v>
      </c>
      <c r="H131">
        <v>8</v>
      </c>
      <c r="I131" t="s">
        <v>33</v>
      </c>
    </row>
    <row r="132" spans="1:9">
      <c r="A132" t="s">
        <v>4787</v>
      </c>
      <c r="B132" s="2">
        <v>45693</v>
      </c>
      <c r="C132">
        <v>2025</v>
      </c>
      <c r="D132">
        <v>2</v>
      </c>
      <c r="E132" t="s">
        <v>25</v>
      </c>
      <c r="F132" t="s">
        <v>26</v>
      </c>
      <c r="G132" t="s">
        <v>3039</v>
      </c>
      <c r="H132">
        <v>13</v>
      </c>
      <c r="I132" t="s">
        <v>44</v>
      </c>
    </row>
    <row r="133" spans="1:9">
      <c r="A133" t="s">
        <v>4788</v>
      </c>
      <c r="B133" s="2">
        <v>45697</v>
      </c>
      <c r="C133">
        <v>2025</v>
      </c>
      <c r="D133">
        <v>2</v>
      </c>
      <c r="E133" t="s">
        <v>25</v>
      </c>
      <c r="F133" t="s">
        <v>31</v>
      </c>
      <c r="G133" t="s">
        <v>4039</v>
      </c>
      <c r="H133">
        <v>23</v>
      </c>
      <c r="I133" t="s">
        <v>33</v>
      </c>
    </row>
    <row r="134" spans="1:9">
      <c r="A134" t="s">
        <v>4789</v>
      </c>
      <c r="B134" s="2">
        <v>45700</v>
      </c>
      <c r="C134">
        <v>2025</v>
      </c>
      <c r="D134">
        <v>2</v>
      </c>
      <c r="E134" t="s">
        <v>25</v>
      </c>
      <c r="F134" t="s">
        <v>47</v>
      </c>
      <c r="G134" t="s">
        <v>3039</v>
      </c>
      <c r="H134">
        <v>20</v>
      </c>
      <c r="I134" t="s">
        <v>4</v>
      </c>
    </row>
    <row r="135" spans="1:9">
      <c r="A135" t="s">
        <v>4790</v>
      </c>
      <c r="B135" s="2">
        <v>45704</v>
      </c>
      <c r="C135">
        <v>2025</v>
      </c>
      <c r="D135">
        <v>2</v>
      </c>
      <c r="E135" t="s">
        <v>25</v>
      </c>
      <c r="F135" t="s">
        <v>40</v>
      </c>
      <c r="G135" t="s">
        <v>4041</v>
      </c>
      <c r="H135">
        <v>34</v>
      </c>
      <c r="I135" t="s">
        <v>33</v>
      </c>
    </row>
    <row r="136" spans="1:9">
      <c r="A136" t="s">
        <v>4791</v>
      </c>
      <c r="B136" s="2">
        <v>45704</v>
      </c>
      <c r="C136">
        <v>2025</v>
      </c>
      <c r="D136">
        <v>2</v>
      </c>
      <c r="E136" t="s">
        <v>25</v>
      </c>
      <c r="F136" t="s">
        <v>54</v>
      </c>
      <c r="G136" t="s">
        <v>4026</v>
      </c>
      <c r="H136">
        <v>32</v>
      </c>
      <c r="I136" t="s">
        <v>33</v>
      </c>
    </row>
    <row r="137" spans="1:9">
      <c r="A137" t="s">
        <v>4792</v>
      </c>
      <c r="B137" s="2">
        <v>45706</v>
      </c>
      <c r="C137">
        <v>2025</v>
      </c>
      <c r="D137">
        <v>2</v>
      </c>
      <c r="E137" t="s">
        <v>25</v>
      </c>
      <c r="F137" t="s">
        <v>67</v>
      </c>
      <c r="G137" t="s">
        <v>4024</v>
      </c>
      <c r="H137">
        <v>33</v>
      </c>
      <c r="I137" t="s">
        <v>4</v>
      </c>
    </row>
    <row r="138" spans="1:9">
      <c r="A138" t="s">
        <v>4793</v>
      </c>
      <c r="B138" s="2">
        <v>45709</v>
      </c>
      <c r="C138">
        <v>2025</v>
      </c>
      <c r="D138">
        <v>2</v>
      </c>
      <c r="E138" t="s">
        <v>25</v>
      </c>
      <c r="F138" t="s">
        <v>19</v>
      </c>
      <c r="G138" t="s">
        <v>3026</v>
      </c>
      <c r="H138">
        <v>22</v>
      </c>
      <c r="I138" t="s">
        <v>12</v>
      </c>
    </row>
    <row r="139" spans="1:9">
      <c r="A139" t="s">
        <v>4794</v>
      </c>
      <c r="B139" s="2">
        <v>45695</v>
      </c>
      <c r="C139">
        <v>2025</v>
      </c>
      <c r="D139">
        <v>2</v>
      </c>
      <c r="E139" t="s">
        <v>25</v>
      </c>
      <c r="F139" t="s">
        <v>38</v>
      </c>
      <c r="G139" t="s">
        <v>4026</v>
      </c>
      <c r="H139">
        <v>31</v>
      </c>
      <c r="I139" t="s">
        <v>44</v>
      </c>
    </row>
    <row r="140" spans="1:9">
      <c r="A140" t="s">
        <v>4795</v>
      </c>
      <c r="B140" s="2">
        <v>45707</v>
      </c>
      <c r="C140">
        <v>2025</v>
      </c>
      <c r="D140">
        <v>2</v>
      </c>
      <c r="E140" t="s">
        <v>25</v>
      </c>
      <c r="F140" t="s">
        <v>2</v>
      </c>
      <c r="G140" t="s">
        <v>4024</v>
      </c>
      <c r="H140">
        <v>14</v>
      </c>
      <c r="I140" t="s">
        <v>12</v>
      </c>
    </row>
    <row r="141" spans="1:9">
      <c r="A141" t="s">
        <v>4796</v>
      </c>
      <c r="B141" s="2">
        <v>45691</v>
      </c>
      <c r="C141">
        <v>2025</v>
      </c>
      <c r="D141">
        <v>2</v>
      </c>
      <c r="E141" t="s">
        <v>25</v>
      </c>
      <c r="F141" t="s">
        <v>78</v>
      </c>
      <c r="G141" t="s">
        <v>4024</v>
      </c>
      <c r="H141">
        <v>32</v>
      </c>
      <c r="I141" t="s">
        <v>4</v>
      </c>
    </row>
    <row r="142" spans="1:9">
      <c r="A142" t="s">
        <v>4797</v>
      </c>
      <c r="B142" s="2">
        <v>45732</v>
      </c>
      <c r="C142">
        <v>2025</v>
      </c>
      <c r="D142">
        <v>3</v>
      </c>
      <c r="E142" t="s">
        <v>60</v>
      </c>
      <c r="F142" t="s">
        <v>26</v>
      </c>
      <c r="G142" t="s">
        <v>4039</v>
      </c>
      <c r="H142">
        <v>19</v>
      </c>
      <c r="I142" t="s">
        <v>12</v>
      </c>
    </row>
    <row r="143" spans="1:9">
      <c r="A143" t="s">
        <v>4798</v>
      </c>
      <c r="B143" s="2">
        <v>45720</v>
      </c>
      <c r="C143">
        <v>2025</v>
      </c>
      <c r="D143">
        <v>3</v>
      </c>
      <c r="E143" t="s">
        <v>60</v>
      </c>
      <c r="F143" t="s">
        <v>31</v>
      </c>
      <c r="G143" t="s">
        <v>4041</v>
      </c>
      <c r="H143">
        <v>8</v>
      </c>
      <c r="I143" t="s">
        <v>4</v>
      </c>
    </row>
    <row r="144" spans="1:9">
      <c r="A144" t="s">
        <v>4799</v>
      </c>
      <c r="B144" s="2">
        <v>45726</v>
      </c>
      <c r="C144">
        <v>2025</v>
      </c>
      <c r="D144">
        <v>3</v>
      </c>
      <c r="E144" t="s">
        <v>60</v>
      </c>
      <c r="F144" t="s">
        <v>47</v>
      </c>
      <c r="G144" t="s">
        <v>4024</v>
      </c>
      <c r="H144">
        <v>24</v>
      </c>
      <c r="I144" t="s">
        <v>4</v>
      </c>
    </row>
    <row r="145" spans="1:9">
      <c r="A145" t="s">
        <v>4800</v>
      </c>
      <c r="B145" s="2">
        <v>45724</v>
      </c>
      <c r="C145">
        <v>2025</v>
      </c>
      <c r="D145">
        <v>3</v>
      </c>
      <c r="E145" t="s">
        <v>60</v>
      </c>
      <c r="F145" t="s">
        <v>40</v>
      </c>
      <c r="G145" t="s">
        <v>4032</v>
      </c>
      <c r="H145">
        <v>9</v>
      </c>
      <c r="I145" t="s">
        <v>12</v>
      </c>
    </row>
    <row r="146" spans="1:9">
      <c r="A146" t="s">
        <v>4801</v>
      </c>
      <c r="B146" s="2">
        <v>45729</v>
      </c>
      <c r="C146">
        <v>2025</v>
      </c>
      <c r="D146">
        <v>3</v>
      </c>
      <c r="E146" t="s">
        <v>60</v>
      </c>
      <c r="F146" t="s">
        <v>54</v>
      </c>
      <c r="G146" t="s">
        <v>4041</v>
      </c>
      <c r="H146">
        <v>32</v>
      </c>
      <c r="I146" t="s">
        <v>33</v>
      </c>
    </row>
    <row r="147" spans="1:9">
      <c r="A147" t="s">
        <v>4802</v>
      </c>
      <c r="B147" s="2">
        <v>45731</v>
      </c>
      <c r="C147">
        <v>2025</v>
      </c>
      <c r="D147">
        <v>3</v>
      </c>
      <c r="E147" t="s">
        <v>60</v>
      </c>
      <c r="F147" t="s">
        <v>67</v>
      </c>
      <c r="G147" t="s">
        <v>4039</v>
      </c>
      <c r="H147">
        <v>15</v>
      </c>
      <c r="I147" t="s">
        <v>12</v>
      </c>
    </row>
    <row r="148" spans="1:9">
      <c r="A148" t="s">
        <v>4803</v>
      </c>
      <c r="B148" s="2">
        <v>45734</v>
      </c>
      <c r="C148">
        <v>2025</v>
      </c>
      <c r="D148">
        <v>3</v>
      </c>
      <c r="E148" t="s">
        <v>60</v>
      </c>
      <c r="F148" t="s">
        <v>19</v>
      </c>
      <c r="G148" t="s">
        <v>4026</v>
      </c>
      <c r="H148">
        <v>31</v>
      </c>
      <c r="I148" t="s">
        <v>33</v>
      </c>
    </row>
    <row r="149" spans="1:9">
      <c r="A149" t="s">
        <v>4804</v>
      </c>
      <c r="B149" s="2">
        <v>45741</v>
      </c>
      <c r="C149">
        <v>2025</v>
      </c>
      <c r="D149">
        <v>3</v>
      </c>
      <c r="E149" t="s">
        <v>60</v>
      </c>
      <c r="F149" t="s">
        <v>38</v>
      </c>
      <c r="G149" t="s">
        <v>4041</v>
      </c>
      <c r="H149">
        <v>31</v>
      </c>
      <c r="I149" t="s">
        <v>33</v>
      </c>
    </row>
    <row r="150" spans="1:9">
      <c r="A150" t="s">
        <v>4805</v>
      </c>
      <c r="B150" s="2">
        <v>45730</v>
      </c>
      <c r="C150">
        <v>2025</v>
      </c>
      <c r="D150">
        <v>3</v>
      </c>
      <c r="E150" t="s">
        <v>60</v>
      </c>
      <c r="F150" t="s">
        <v>2</v>
      </c>
      <c r="G150" t="s">
        <v>4024</v>
      </c>
      <c r="H150">
        <v>28</v>
      </c>
      <c r="I150" t="s">
        <v>4</v>
      </c>
    </row>
    <row r="151" spans="1:9">
      <c r="A151" t="s">
        <v>4806</v>
      </c>
      <c r="B151" s="2">
        <v>45738</v>
      </c>
      <c r="C151">
        <v>2025</v>
      </c>
      <c r="D151">
        <v>3</v>
      </c>
      <c r="E151" t="s">
        <v>60</v>
      </c>
      <c r="F151" t="s">
        <v>78</v>
      </c>
      <c r="G151" t="s">
        <v>4039</v>
      </c>
      <c r="H151">
        <v>14</v>
      </c>
      <c r="I151" t="s">
        <v>4</v>
      </c>
    </row>
    <row r="152" spans="1:9">
      <c r="A152" t="s">
        <v>4807</v>
      </c>
      <c r="B152" s="2">
        <v>45774</v>
      </c>
      <c r="C152">
        <v>2025</v>
      </c>
      <c r="D152">
        <v>4</v>
      </c>
      <c r="E152" t="s">
        <v>73</v>
      </c>
      <c r="F152" t="s">
        <v>26</v>
      </c>
      <c r="G152" t="s">
        <v>4024</v>
      </c>
      <c r="H152">
        <v>22</v>
      </c>
      <c r="I152" t="s">
        <v>4</v>
      </c>
    </row>
    <row r="153" spans="1:9">
      <c r="A153" t="s">
        <v>4808</v>
      </c>
      <c r="B153" s="2">
        <v>45752</v>
      </c>
      <c r="C153">
        <v>2025</v>
      </c>
      <c r="D153">
        <v>4</v>
      </c>
      <c r="E153" t="s">
        <v>73</v>
      </c>
      <c r="F153" t="s">
        <v>31</v>
      </c>
      <c r="G153" t="s">
        <v>4034</v>
      </c>
      <c r="H153">
        <v>8</v>
      </c>
      <c r="I153" t="s">
        <v>12</v>
      </c>
    </row>
    <row r="154" spans="1:9">
      <c r="A154" t="s">
        <v>4809</v>
      </c>
      <c r="B154" s="2">
        <v>45753</v>
      </c>
      <c r="C154">
        <v>2025</v>
      </c>
      <c r="D154">
        <v>4</v>
      </c>
      <c r="E154" t="s">
        <v>73</v>
      </c>
      <c r="F154" t="s">
        <v>47</v>
      </c>
      <c r="G154" t="s">
        <v>4024</v>
      </c>
      <c r="H154">
        <v>24</v>
      </c>
      <c r="I154" t="s">
        <v>4</v>
      </c>
    </row>
    <row r="155" spans="1:9">
      <c r="A155" t="s">
        <v>4810</v>
      </c>
      <c r="B155" s="2">
        <v>45771</v>
      </c>
      <c r="C155">
        <v>2025</v>
      </c>
      <c r="D155">
        <v>4</v>
      </c>
      <c r="E155" t="s">
        <v>73</v>
      </c>
      <c r="F155" t="s">
        <v>40</v>
      </c>
      <c r="G155" t="s">
        <v>4044</v>
      </c>
      <c r="H155">
        <v>26</v>
      </c>
      <c r="I155" t="s">
        <v>44</v>
      </c>
    </row>
    <row r="156" spans="1:9">
      <c r="A156" t="s">
        <v>4811</v>
      </c>
      <c r="B156" s="2">
        <v>45775</v>
      </c>
      <c r="C156">
        <v>2025</v>
      </c>
      <c r="D156">
        <v>4</v>
      </c>
      <c r="E156" t="s">
        <v>73</v>
      </c>
      <c r="F156" t="s">
        <v>54</v>
      </c>
      <c r="G156" t="s">
        <v>4041</v>
      </c>
      <c r="H156">
        <v>8</v>
      </c>
      <c r="I156" t="s">
        <v>4</v>
      </c>
    </row>
    <row r="157" spans="1:9">
      <c r="A157" t="s">
        <v>4812</v>
      </c>
      <c r="B157" s="2">
        <v>45763</v>
      </c>
      <c r="C157">
        <v>2025</v>
      </c>
      <c r="D157">
        <v>4</v>
      </c>
      <c r="E157" t="s">
        <v>73</v>
      </c>
      <c r="F157" t="s">
        <v>67</v>
      </c>
      <c r="G157" t="s">
        <v>4044</v>
      </c>
      <c r="H157">
        <v>20</v>
      </c>
      <c r="I157" t="s">
        <v>4</v>
      </c>
    </row>
    <row r="158" spans="1:9">
      <c r="A158" t="s">
        <v>4813</v>
      </c>
      <c r="B158" s="2">
        <v>45758</v>
      </c>
      <c r="C158">
        <v>2025</v>
      </c>
      <c r="D158">
        <v>4</v>
      </c>
      <c r="E158" t="s">
        <v>73</v>
      </c>
      <c r="F158" t="s">
        <v>19</v>
      </c>
      <c r="G158" t="s">
        <v>4034</v>
      </c>
      <c r="H158">
        <v>31</v>
      </c>
      <c r="I158" t="s">
        <v>33</v>
      </c>
    </row>
    <row r="159" spans="1:9">
      <c r="A159" t="s">
        <v>4814</v>
      </c>
      <c r="B159" s="2">
        <v>45772</v>
      </c>
      <c r="C159">
        <v>2025</v>
      </c>
      <c r="D159">
        <v>4</v>
      </c>
      <c r="E159" t="s">
        <v>73</v>
      </c>
      <c r="F159" t="s">
        <v>38</v>
      </c>
      <c r="G159" t="s">
        <v>4021</v>
      </c>
      <c r="H159">
        <v>25</v>
      </c>
      <c r="I159" t="s">
        <v>33</v>
      </c>
    </row>
    <row r="160" spans="1:9">
      <c r="A160" t="s">
        <v>4815</v>
      </c>
      <c r="B160" s="2">
        <v>45759</v>
      </c>
      <c r="C160">
        <v>2025</v>
      </c>
      <c r="D160">
        <v>4</v>
      </c>
      <c r="E160" t="s">
        <v>73</v>
      </c>
      <c r="F160" t="s">
        <v>2</v>
      </c>
      <c r="G160" t="s">
        <v>4032</v>
      </c>
      <c r="H160">
        <v>34</v>
      </c>
      <c r="I160" t="s">
        <v>4</v>
      </c>
    </row>
    <row r="161" spans="1:9">
      <c r="A161" t="s">
        <v>4816</v>
      </c>
      <c r="B161" s="2">
        <v>45767</v>
      </c>
      <c r="C161">
        <v>2025</v>
      </c>
      <c r="D161">
        <v>4</v>
      </c>
      <c r="E161" t="s">
        <v>73</v>
      </c>
      <c r="F161" t="s">
        <v>78</v>
      </c>
      <c r="G161" t="s">
        <v>4041</v>
      </c>
      <c r="H161">
        <v>8</v>
      </c>
      <c r="I161" t="s">
        <v>12</v>
      </c>
    </row>
    <row r="162" spans="1:9">
      <c r="A162" t="s">
        <v>4817</v>
      </c>
      <c r="B162" s="2">
        <v>45789</v>
      </c>
      <c r="C162">
        <v>2025</v>
      </c>
      <c r="D162">
        <v>5</v>
      </c>
      <c r="E162" t="s">
        <v>83</v>
      </c>
      <c r="F162" t="s">
        <v>26</v>
      </c>
      <c r="G162" t="s">
        <v>3039</v>
      </c>
      <c r="H162">
        <v>23</v>
      </c>
      <c r="I162" t="s">
        <v>4</v>
      </c>
    </row>
    <row r="163" spans="1:9">
      <c r="A163" t="s">
        <v>4818</v>
      </c>
      <c r="B163" s="2">
        <v>45795</v>
      </c>
      <c r="C163">
        <v>2025</v>
      </c>
      <c r="D163">
        <v>5</v>
      </c>
      <c r="E163" t="s">
        <v>83</v>
      </c>
      <c r="F163" t="s">
        <v>31</v>
      </c>
      <c r="G163" t="s">
        <v>3039</v>
      </c>
      <c r="H163">
        <v>12</v>
      </c>
      <c r="I163" t="s">
        <v>33</v>
      </c>
    </row>
    <row r="164" spans="1:9">
      <c r="A164" t="s">
        <v>4819</v>
      </c>
      <c r="B164" s="2">
        <v>45780</v>
      </c>
      <c r="C164">
        <v>2025</v>
      </c>
      <c r="D164">
        <v>5</v>
      </c>
      <c r="E164" t="s">
        <v>83</v>
      </c>
      <c r="F164" t="s">
        <v>47</v>
      </c>
      <c r="G164" t="s">
        <v>4034</v>
      </c>
      <c r="H164">
        <v>17</v>
      </c>
      <c r="I164" t="s">
        <v>12</v>
      </c>
    </row>
    <row r="165" spans="1:9">
      <c r="A165" t="s">
        <v>4820</v>
      </c>
      <c r="B165" s="2">
        <v>45788</v>
      </c>
      <c r="C165">
        <v>2025</v>
      </c>
      <c r="D165">
        <v>5</v>
      </c>
      <c r="E165" t="s">
        <v>83</v>
      </c>
      <c r="F165" t="s">
        <v>40</v>
      </c>
      <c r="G165" t="s">
        <v>4041</v>
      </c>
      <c r="H165">
        <v>24</v>
      </c>
      <c r="I165" t="s">
        <v>12</v>
      </c>
    </row>
    <row r="166" spans="1:9">
      <c r="A166" t="s">
        <v>4821</v>
      </c>
      <c r="B166" s="2">
        <v>45787</v>
      </c>
      <c r="C166">
        <v>2025</v>
      </c>
      <c r="D166">
        <v>5</v>
      </c>
      <c r="E166" t="s">
        <v>83</v>
      </c>
      <c r="F166" t="s">
        <v>54</v>
      </c>
      <c r="G166" t="s">
        <v>4041</v>
      </c>
      <c r="H166">
        <v>11</v>
      </c>
      <c r="I166" t="s">
        <v>33</v>
      </c>
    </row>
    <row r="167" spans="1:9">
      <c r="A167" t="s">
        <v>4822</v>
      </c>
      <c r="B167" s="2">
        <v>45794</v>
      </c>
      <c r="C167">
        <v>2025</v>
      </c>
      <c r="D167">
        <v>5</v>
      </c>
      <c r="E167" t="s">
        <v>83</v>
      </c>
      <c r="F167" t="s">
        <v>67</v>
      </c>
      <c r="G167" t="s">
        <v>4034</v>
      </c>
      <c r="H167">
        <v>23</v>
      </c>
      <c r="I167" t="s">
        <v>44</v>
      </c>
    </row>
    <row r="168" spans="1:9">
      <c r="A168" t="s">
        <v>4823</v>
      </c>
      <c r="B168" s="2">
        <v>45793</v>
      </c>
      <c r="C168">
        <v>2025</v>
      </c>
      <c r="D168">
        <v>5</v>
      </c>
      <c r="E168" t="s">
        <v>83</v>
      </c>
      <c r="F168" t="s">
        <v>19</v>
      </c>
      <c r="G168" t="s">
        <v>4034</v>
      </c>
      <c r="H168">
        <v>34</v>
      </c>
      <c r="I168" t="s">
        <v>12</v>
      </c>
    </row>
    <row r="169" spans="1:9">
      <c r="A169" t="s">
        <v>4824</v>
      </c>
      <c r="B169" s="2">
        <v>45783</v>
      </c>
      <c r="C169">
        <v>2025</v>
      </c>
      <c r="D169">
        <v>5</v>
      </c>
      <c r="E169" t="s">
        <v>83</v>
      </c>
      <c r="F169" t="s">
        <v>38</v>
      </c>
      <c r="G169" t="s">
        <v>4044</v>
      </c>
      <c r="H169">
        <v>24</v>
      </c>
      <c r="I169" t="s">
        <v>4</v>
      </c>
    </row>
    <row r="170" spans="1:9">
      <c r="A170" t="s">
        <v>4825</v>
      </c>
      <c r="B170" s="2">
        <v>45780</v>
      </c>
      <c r="C170">
        <v>2025</v>
      </c>
      <c r="D170">
        <v>5</v>
      </c>
      <c r="E170" t="s">
        <v>83</v>
      </c>
      <c r="F170" t="s">
        <v>2</v>
      </c>
      <c r="G170" t="s">
        <v>4041</v>
      </c>
      <c r="H170">
        <v>15</v>
      </c>
      <c r="I170" t="s">
        <v>12</v>
      </c>
    </row>
    <row r="171" spans="1:9">
      <c r="A171" t="s">
        <v>4826</v>
      </c>
      <c r="B171" s="2">
        <v>45801</v>
      </c>
      <c r="C171">
        <v>2025</v>
      </c>
      <c r="D171">
        <v>5</v>
      </c>
      <c r="E171" t="s">
        <v>83</v>
      </c>
      <c r="F171" t="s">
        <v>78</v>
      </c>
      <c r="G171" t="s">
        <v>4034</v>
      </c>
      <c r="H171">
        <v>35</v>
      </c>
      <c r="I171" t="s">
        <v>44</v>
      </c>
    </row>
    <row r="172" spans="1:9">
      <c r="A172" t="s">
        <v>4827</v>
      </c>
      <c r="B172" s="2">
        <v>45812</v>
      </c>
      <c r="C172">
        <v>2025</v>
      </c>
      <c r="D172">
        <v>6</v>
      </c>
      <c r="E172" t="s">
        <v>87</v>
      </c>
      <c r="F172" t="s">
        <v>26</v>
      </c>
      <c r="G172" t="s">
        <v>3026</v>
      </c>
      <c r="H172">
        <v>28</v>
      </c>
      <c r="I172" t="s">
        <v>4</v>
      </c>
    </row>
    <row r="173" spans="1:9">
      <c r="A173" t="s">
        <v>4828</v>
      </c>
      <c r="B173" s="2">
        <v>45832</v>
      </c>
      <c r="C173">
        <v>2025</v>
      </c>
      <c r="D173">
        <v>6</v>
      </c>
      <c r="E173" t="s">
        <v>87</v>
      </c>
      <c r="F173" t="s">
        <v>31</v>
      </c>
      <c r="G173" t="s">
        <v>4024</v>
      </c>
      <c r="H173">
        <v>11</v>
      </c>
      <c r="I173" t="s">
        <v>12</v>
      </c>
    </row>
    <row r="174" spans="1:9">
      <c r="A174" t="s">
        <v>4829</v>
      </c>
      <c r="B174" s="2">
        <v>45817</v>
      </c>
      <c r="C174">
        <v>2025</v>
      </c>
      <c r="D174">
        <v>6</v>
      </c>
      <c r="E174" t="s">
        <v>87</v>
      </c>
      <c r="F174" t="s">
        <v>47</v>
      </c>
      <c r="G174" t="s">
        <v>4044</v>
      </c>
      <c r="H174">
        <v>16</v>
      </c>
      <c r="I174" t="s">
        <v>12</v>
      </c>
    </row>
    <row r="175" spans="1:9">
      <c r="A175" t="s">
        <v>4830</v>
      </c>
      <c r="B175" s="2">
        <v>45817</v>
      </c>
      <c r="C175">
        <v>2025</v>
      </c>
      <c r="D175">
        <v>6</v>
      </c>
      <c r="E175" t="s">
        <v>87</v>
      </c>
      <c r="F175" t="s">
        <v>40</v>
      </c>
      <c r="G175" t="s">
        <v>4034</v>
      </c>
      <c r="H175">
        <v>15</v>
      </c>
      <c r="I175" t="s">
        <v>4</v>
      </c>
    </row>
    <row r="176" spans="1:9">
      <c r="A176" t="s">
        <v>4831</v>
      </c>
      <c r="B176" s="2">
        <v>45834</v>
      </c>
      <c r="C176">
        <v>2025</v>
      </c>
      <c r="D176">
        <v>6</v>
      </c>
      <c r="E176" t="s">
        <v>87</v>
      </c>
      <c r="F176" t="s">
        <v>54</v>
      </c>
      <c r="G176" t="s">
        <v>4041</v>
      </c>
      <c r="H176">
        <v>19</v>
      </c>
      <c r="I176" t="s">
        <v>33</v>
      </c>
    </row>
    <row r="177" spans="1:9">
      <c r="A177" t="s">
        <v>4832</v>
      </c>
      <c r="B177" s="2">
        <v>45818</v>
      </c>
      <c r="C177">
        <v>2025</v>
      </c>
      <c r="D177">
        <v>6</v>
      </c>
      <c r="E177" t="s">
        <v>87</v>
      </c>
      <c r="F177" t="s">
        <v>67</v>
      </c>
      <c r="G177" t="s">
        <v>4034</v>
      </c>
      <c r="H177">
        <v>24</v>
      </c>
      <c r="I177" t="s">
        <v>4</v>
      </c>
    </row>
    <row r="178" spans="1:9">
      <c r="A178" t="s">
        <v>4833</v>
      </c>
      <c r="B178" s="2">
        <v>45827</v>
      </c>
      <c r="C178">
        <v>2025</v>
      </c>
      <c r="D178">
        <v>6</v>
      </c>
      <c r="E178" t="s">
        <v>87</v>
      </c>
      <c r="F178" t="s">
        <v>19</v>
      </c>
      <c r="G178" t="s">
        <v>4044</v>
      </c>
      <c r="H178">
        <v>13</v>
      </c>
      <c r="I178" t="s">
        <v>12</v>
      </c>
    </row>
    <row r="179" spans="1:9">
      <c r="A179" t="s">
        <v>4834</v>
      </c>
      <c r="B179" s="2">
        <v>45816</v>
      </c>
      <c r="C179">
        <v>2025</v>
      </c>
      <c r="D179">
        <v>6</v>
      </c>
      <c r="E179" t="s">
        <v>87</v>
      </c>
      <c r="F179" t="s">
        <v>38</v>
      </c>
      <c r="G179" t="s">
        <v>4024</v>
      </c>
      <c r="H179">
        <v>11</v>
      </c>
      <c r="I179" t="s">
        <v>12</v>
      </c>
    </row>
    <row r="180" spans="1:9">
      <c r="A180" t="s">
        <v>4835</v>
      </c>
      <c r="B180" s="2">
        <v>45815</v>
      </c>
      <c r="C180">
        <v>2025</v>
      </c>
      <c r="D180">
        <v>6</v>
      </c>
      <c r="E180" t="s">
        <v>87</v>
      </c>
      <c r="F180" t="s">
        <v>2</v>
      </c>
      <c r="G180" t="s">
        <v>3039</v>
      </c>
      <c r="H180">
        <v>13</v>
      </c>
      <c r="I180" t="s">
        <v>12</v>
      </c>
    </row>
    <row r="181" spans="1:9">
      <c r="A181" t="s">
        <v>4836</v>
      </c>
      <c r="B181" s="2">
        <v>45814</v>
      </c>
      <c r="C181">
        <v>2025</v>
      </c>
      <c r="D181">
        <v>6</v>
      </c>
      <c r="E181" t="s">
        <v>87</v>
      </c>
      <c r="F181" t="s">
        <v>78</v>
      </c>
      <c r="G181" t="s">
        <v>4041</v>
      </c>
      <c r="H181">
        <v>10</v>
      </c>
      <c r="I181" t="s">
        <v>12</v>
      </c>
    </row>
    <row r="182" spans="1:9">
      <c r="A182" t="s">
        <v>4837</v>
      </c>
      <c r="B182" s="2">
        <v>45853</v>
      </c>
      <c r="C182">
        <v>2025</v>
      </c>
      <c r="D182">
        <v>7</v>
      </c>
      <c r="E182" t="s">
        <v>93</v>
      </c>
      <c r="F182" t="s">
        <v>26</v>
      </c>
      <c r="G182" t="s">
        <v>4041</v>
      </c>
      <c r="H182">
        <v>28</v>
      </c>
      <c r="I182" t="s">
        <v>33</v>
      </c>
    </row>
    <row r="183" spans="1:9">
      <c r="A183" t="s">
        <v>4838</v>
      </c>
      <c r="B183" s="2">
        <v>45858</v>
      </c>
      <c r="C183">
        <v>2025</v>
      </c>
      <c r="D183">
        <v>7</v>
      </c>
      <c r="E183" t="s">
        <v>93</v>
      </c>
      <c r="F183" t="s">
        <v>31</v>
      </c>
      <c r="G183" t="s">
        <v>4026</v>
      </c>
      <c r="H183">
        <v>33</v>
      </c>
      <c r="I183" t="s">
        <v>44</v>
      </c>
    </row>
    <row r="184" spans="1:9">
      <c r="A184" t="s">
        <v>4839</v>
      </c>
      <c r="B184" s="2">
        <v>45847</v>
      </c>
      <c r="C184">
        <v>2025</v>
      </c>
      <c r="D184">
        <v>7</v>
      </c>
      <c r="E184" t="s">
        <v>93</v>
      </c>
      <c r="F184" t="s">
        <v>47</v>
      </c>
      <c r="G184" t="s">
        <v>4032</v>
      </c>
      <c r="H184">
        <v>26</v>
      </c>
      <c r="I184" t="s">
        <v>44</v>
      </c>
    </row>
    <row r="185" spans="1:9">
      <c r="A185" t="s">
        <v>4840</v>
      </c>
      <c r="B185" s="2">
        <v>45849</v>
      </c>
      <c r="C185">
        <v>2025</v>
      </c>
      <c r="D185">
        <v>7</v>
      </c>
      <c r="E185" t="s">
        <v>93</v>
      </c>
      <c r="F185" t="s">
        <v>40</v>
      </c>
      <c r="G185" t="s">
        <v>4024</v>
      </c>
      <c r="H185">
        <v>25</v>
      </c>
      <c r="I185" t="s">
        <v>44</v>
      </c>
    </row>
    <row r="186" spans="1:9">
      <c r="A186" t="s">
        <v>4841</v>
      </c>
      <c r="B186" s="2">
        <v>45845</v>
      </c>
      <c r="C186">
        <v>2025</v>
      </c>
      <c r="D186">
        <v>7</v>
      </c>
      <c r="E186" t="s">
        <v>93</v>
      </c>
      <c r="F186" t="s">
        <v>54</v>
      </c>
      <c r="G186" t="s">
        <v>3026</v>
      </c>
      <c r="H186">
        <v>27</v>
      </c>
      <c r="I186" t="s">
        <v>12</v>
      </c>
    </row>
    <row r="187" spans="1:9">
      <c r="A187" t="s">
        <v>4842</v>
      </c>
      <c r="B187" s="2">
        <v>45853</v>
      </c>
      <c r="C187">
        <v>2025</v>
      </c>
      <c r="D187">
        <v>7</v>
      </c>
      <c r="E187" t="s">
        <v>93</v>
      </c>
      <c r="F187" t="s">
        <v>67</v>
      </c>
      <c r="G187" t="s">
        <v>3026</v>
      </c>
      <c r="H187">
        <v>21</v>
      </c>
      <c r="I187" t="s">
        <v>44</v>
      </c>
    </row>
    <row r="188" spans="1:9">
      <c r="A188" t="s">
        <v>4843</v>
      </c>
      <c r="B188" s="2">
        <v>45845</v>
      </c>
      <c r="C188">
        <v>2025</v>
      </c>
      <c r="D188">
        <v>7</v>
      </c>
      <c r="E188" t="s">
        <v>93</v>
      </c>
      <c r="F188" t="s">
        <v>19</v>
      </c>
      <c r="G188" t="s">
        <v>4021</v>
      </c>
      <c r="H188">
        <v>25</v>
      </c>
      <c r="I188" t="s">
        <v>33</v>
      </c>
    </row>
    <row r="189" spans="1:9">
      <c r="A189" t="s">
        <v>4844</v>
      </c>
      <c r="B189" s="2">
        <v>45852</v>
      </c>
      <c r="C189">
        <v>2025</v>
      </c>
      <c r="D189">
        <v>7</v>
      </c>
      <c r="E189" t="s">
        <v>93</v>
      </c>
      <c r="F189" t="s">
        <v>38</v>
      </c>
      <c r="G189" t="s">
        <v>3026</v>
      </c>
      <c r="H189">
        <v>10</v>
      </c>
      <c r="I189" t="s">
        <v>33</v>
      </c>
    </row>
    <row r="190" spans="1:9">
      <c r="A190" t="s">
        <v>4845</v>
      </c>
      <c r="B190" s="2">
        <v>45843</v>
      </c>
      <c r="C190">
        <v>2025</v>
      </c>
      <c r="D190">
        <v>7</v>
      </c>
      <c r="E190" t="s">
        <v>93</v>
      </c>
      <c r="F190" t="s">
        <v>2</v>
      </c>
      <c r="G190" t="s">
        <v>4044</v>
      </c>
      <c r="H190">
        <v>26</v>
      </c>
      <c r="I190" t="s">
        <v>4</v>
      </c>
    </row>
    <row r="191" spans="1:9">
      <c r="A191" t="s">
        <v>4846</v>
      </c>
      <c r="B191" s="2">
        <v>45852</v>
      </c>
      <c r="C191">
        <v>2025</v>
      </c>
      <c r="D191">
        <v>7</v>
      </c>
      <c r="E191" t="s">
        <v>93</v>
      </c>
      <c r="F191" t="s">
        <v>78</v>
      </c>
      <c r="G191" t="s">
        <v>4032</v>
      </c>
      <c r="H191">
        <v>26</v>
      </c>
      <c r="I191" t="s">
        <v>44</v>
      </c>
    </row>
    <row r="192" spans="1:9">
      <c r="A192" t="s">
        <v>4847</v>
      </c>
      <c r="B192" s="2">
        <v>45891</v>
      </c>
      <c r="C192">
        <v>2025</v>
      </c>
      <c r="D192">
        <v>8</v>
      </c>
      <c r="E192" t="s">
        <v>101</v>
      </c>
      <c r="F192" t="s">
        <v>26</v>
      </c>
      <c r="G192" t="s">
        <v>4026</v>
      </c>
      <c r="H192">
        <v>19</v>
      </c>
      <c r="I192" t="s">
        <v>12</v>
      </c>
    </row>
    <row r="193" spans="1:9">
      <c r="A193" t="s">
        <v>4848</v>
      </c>
      <c r="B193" s="2">
        <v>45873</v>
      </c>
      <c r="C193">
        <v>2025</v>
      </c>
      <c r="D193">
        <v>8</v>
      </c>
      <c r="E193" t="s">
        <v>101</v>
      </c>
      <c r="F193" t="s">
        <v>31</v>
      </c>
      <c r="G193" t="s">
        <v>4032</v>
      </c>
      <c r="H193">
        <v>18</v>
      </c>
      <c r="I193" t="s">
        <v>33</v>
      </c>
    </row>
    <row r="194" spans="1:9">
      <c r="A194" t="s">
        <v>4849</v>
      </c>
      <c r="B194" s="2">
        <v>45888</v>
      </c>
      <c r="C194">
        <v>2025</v>
      </c>
      <c r="D194">
        <v>8</v>
      </c>
      <c r="E194" t="s">
        <v>101</v>
      </c>
      <c r="F194" t="s">
        <v>47</v>
      </c>
      <c r="G194" t="s">
        <v>4044</v>
      </c>
      <c r="H194">
        <v>21</v>
      </c>
      <c r="I194" t="s">
        <v>12</v>
      </c>
    </row>
    <row r="195" spans="1:9">
      <c r="A195" t="s">
        <v>4850</v>
      </c>
      <c r="B195" s="2">
        <v>45875</v>
      </c>
      <c r="C195">
        <v>2025</v>
      </c>
      <c r="D195">
        <v>8</v>
      </c>
      <c r="E195" t="s">
        <v>101</v>
      </c>
      <c r="F195" t="s">
        <v>40</v>
      </c>
      <c r="G195" t="s">
        <v>4026</v>
      </c>
      <c r="H195">
        <v>21</v>
      </c>
      <c r="I195" t="s">
        <v>33</v>
      </c>
    </row>
    <row r="196" spans="1:9">
      <c r="A196" t="s">
        <v>4851</v>
      </c>
      <c r="B196" s="2">
        <v>45892</v>
      </c>
      <c r="C196">
        <v>2025</v>
      </c>
      <c r="D196">
        <v>8</v>
      </c>
      <c r="E196" t="s">
        <v>101</v>
      </c>
      <c r="F196" t="s">
        <v>54</v>
      </c>
      <c r="G196" t="s">
        <v>4021</v>
      </c>
      <c r="H196">
        <v>18</v>
      </c>
      <c r="I196" t="s">
        <v>44</v>
      </c>
    </row>
    <row r="197" spans="1:9">
      <c r="A197" t="s">
        <v>4852</v>
      </c>
      <c r="B197" s="2">
        <v>45897</v>
      </c>
      <c r="C197">
        <v>2025</v>
      </c>
      <c r="D197">
        <v>8</v>
      </c>
      <c r="E197" t="s">
        <v>101</v>
      </c>
      <c r="F197" t="s">
        <v>67</v>
      </c>
      <c r="G197" t="s">
        <v>4021</v>
      </c>
      <c r="H197">
        <v>18</v>
      </c>
      <c r="I197" t="s">
        <v>33</v>
      </c>
    </row>
    <row r="198" spans="1:9">
      <c r="A198" t="s">
        <v>4853</v>
      </c>
      <c r="B198" s="2">
        <v>45884</v>
      </c>
      <c r="C198">
        <v>2025</v>
      </c>
      <c r="D198">
        <v>8</v>
      </c>
      <c r="E198" t="s">
        <v>101</v>
      </c>
      <c r="F198" t="s">
        <v>19</v>
      </c>
      <c r="G198" t="s">
        <v>4044</v>
      </c>
      <c r="H198">
        <v>12</v>
      </c>
      <c r="I198" t="s">
        <v>4</v>
      </c>
    </row>
    <row r="199" spans="1:9">
      <c r="A199" t="s">
        <v>4854</v>
      </c>
      <c r="B199" s="2">
        <v>45873</v>
      </c>
      <c r="C199">
        <v>2025</v>
      </c>
      <c r="D199">
        <v>8</v>
      </c>
      <c r="E199" t="s">
        <v>101</v>
      </c>
      <c r="F199" t="s">
        <v>38</v>
      </c>
      <c r="G199" t="s">
        <v>3039</v>
      </c>
      <c r="H199">
        <v>34</v>
      </c>
      <c r="I199" t="s">
        <v>4</v>
      </c>
    </row>
    <row r="200" spans="1:9">
      <c r="A200" t="s">
        <v>4855</v>
      </c>
      <c r="B200" s="2">
        <v>45896</v>
      </c>
      <c r="C200">
        <v>2025</v>
      </c>
      <c r="D200">
        <v>8</v>
      </c>
      <c r="E200" t="s">
        <v>101</v>
      </c>
      <c r="F200" t="s">
        <v>2</v>
      </c>
      <c r="G200" t="s">
        <v>4026</v>
      </c>
      <c r="H200">
        <v>16</v>
      </c>
      <c r="I200" t="s">
        <v>44</v>
      </c>
    </row>
    <row r="201" spans="1:9">
      <c r="A201" t="s">
        <v>4856</v>
      </c>
      <c r="B201" s="2">
        <v>45880</v>
      </c>
      <c r="C201">
        <v>2025</v>
      </c>
      <c r="D201">
        <v>8</v>
      </c>
      <c r="E201" t="s">
        <v>101</v>
      </c>
      <c r="F201" t="s">
        <v>78</v>
      </c>
      <c r="G201" t="s">
        <v>3026</v>
      </c>
      <c r="H201">
        <v>9</v>
      </c>
      <c r="I201" t="s">
        <v>4</v>
      </c>
    </row>
    <row r="202" spans="1:9">
      <c r="A202" t="s">
        <v>4857</v>
      </c>
      <c r="B202" s="2">
        <v>45903</v>
      </c>
      <c r="C202">
        <v>2025</v>
      </c>
      <c r="D202">
        <v>9</v>
      </c>
      <c r="E202" t="s">
        <v>105</v>
      </c>
      <c r="F202" t="s">
        <v>26</v>
      </c>
      <c r="G202" t="s">
        <v>4021</v>
      </c>
      <c r="H202">
        <v>8</v>
      </c>
      <c r="I202" t="s">
        <v>33</v>
      </c>
    </row>
    <row r="203" spans="1:9">
      <c r="A203" t="s">
        <v>4858</v>
      </c>
      <c r="B203" s="2">
        <v>45908</v>
      </c>
      <c r="C203">
        <v>2025</v>
      </c>
      <c r="D203">
        <v>9</v>
      </c>
      <c r="E203" t="s">
        <v>105</v>
      </c>
      <c r="F203" t="s">
        <v>31</v>
      </c>
      <c r="G203" t="s">
        <v>4024</v>
      </c>
      <c r="H203">
        <v>32</v>
      </c>
      <c r="I203" t="s">
        <v>44</v>
      </c>
    </row>
    <row r="204" spans="1:9">
      <c r="A204" t="s">
        <v>4859</v>
      </c>
      <c r="B204" s="2">
        <v>45913</v>
      </c>
      <c r="C204">
        <v>2025</v>
      </c>
      <c r="D204">
        <v>9</v>
      </c>
      <c r="E204" t="s">
        <v>105</v>
      </c>
      <c r="F204" t="s">
        <v>47</v>
      </c>
      <c r="G204" t="s">
        <v>4021</v>
      </c>
      <c r="H204">
        <v>12</v>
      </c>
      <c r="I204" t="s">
        <v>12</v>
      </c>
    </row>
    <row r="205" spans="1:9">
      <c r="A205" t="s">
        <v>4860</v>
      </c>
      <c r="B205" s="2">
        <v>45914</v>
      </c>
      <c r="C205">
        <v>2025</v>
      </c>
      <c r="D205">
        <v>9</v>
      </c>
      <c r="E205" t="s">
        <v>105</v>
      </c>
      <c r="F205" t="s">
        <v>40</v>
      </c>
      <c r="G205" t="s">
        <v>4026</v>
      </c>
      <c r="H205">
        <v>29</v>
      </c>
      <c r="I205" t="s">
        <v>12</v>
      </c>
    </row>
    <row r="206" spans="1:9">
      <c r="A206" t="s">
        <v>4861</v>
      </c>
      <c r="B206" s="2">
        <v>45921</v>
      </c>
      <c r="C206">
        <v>2025</v>
      </c>
      <c r="D206">
        <v>9</v>
      </c>
      <c r="E206" t="s">
        <v>105</v>
      </c>
      <c r="F206" t="s">
        <v>54</v>
      </c>
      <c r="G206" t="s">
        <v>4039</v>
      </c>
      <c r="H206">
        <v>33</v>
      </c>
      <c r="I206" t="s">
        <v>12</v>
      </c>
    </row>
    <row r="207" spans="1:9">
      <c r="A207" t="s">
        <v>4862</v>
      </c>
      <c r="B207" s="2">
        <v>45917</v>
      </c>
      <c r="C207">
        <v>2025</v>
      </c>
      <c r="D207">
        <v>9</v>
      </c>
      <c r="E207" t="s">
        <v>105</v>
      </c>
      <c r="F207" t="s">
        <v>67</v>
      </c>
      <c r="G207" t="s">
        <v>4041</v>
      </c>
      <c r="H207">
        <v>16</v>
      </c>
      <c r="I207" t="s">
        <v>33</v>
      </c>
    </row>
    <row r="208" spans="1:9">
      <c r="A208" t="s">
        <v>4863</v>
      </c>
      <c r="B208" s="2">
        <v>45901</v>
      </c>
      <c r="C208">
        <v>2025</v>
      </c>
      <c r="D208">
        <v>9</v>
      </c>
      <c r="E208" t="s">
        <v>105</v>
      </c>
      <c r="F208" t="s">
        <v>19</v>
      </c>
      <c r="G208" t="s">
        <v>4021</v>
      </c>
      <c r="H208">
        <v>21</v>
      </c>
      <c r="I208" t="s">
        <v>12</v>
      </c>
    </row>
    <row r="209" spans="1:9">
      <c r="A209" t="s">
        <v>4864</v>
      </c>
      <c r="B209" s="2">
        <v>45916</v>
      </c>
      <c r="C209">
        <v>2025</v>
      </c>
      <c r="D209">
        <v>9</v>
      </c>
      <c r="E209" t="s">
        <v>105</v>
      </c>
      <c r="F209" t="s">
        <v>38</v>
      </c>
      <c r="G209" t="s">
        <v>4024</v>
      </c>
      <c r="H209">
        <v>27</v>
      </c>
      <c r="I209" t="s">
        <v>44</v>
      </c>
    </row>
    <row r="210" spans="1:9">
      <c r="A210" t="s">
        <v>4865</v>
      </c>
      <c r="B210" s="2">
        <v>45908</v>
      </c>
      <c r="C210">
        <v>2025</v>
      </c>
      <c r="D210">
        <v>9</v>
      </c>
      <c r="E210" t="s">
        <v>105</v>
      </c>
      <c r="F210" t="s">
        <v>2</v>
      </c>
      <c r="G210" t="s">
        <v>4024</v>
      </c>
      <c r="H210">
        <v>21</v>
      </c>
      <c r="I210" t="s">
        <v>44</v>
      </c>
    </row>
    <row r="211" spans="1:9">
      <c r="A211" t="s">
        <v>4866</v>
      </c>
      <c r="B211" s="2">
        <v>45928</v>
      </c>
      <c r="C211">
        <v>2025</v>
      </c>
      <c r="D211">
        <v>9</v>
      </c>
      <c r="E211" t="s">
        <v>105</v>
      </c>
      <c r="F211" t="s">
        <v>78</v>
      </c>
      <c r="G211" t="s">
        <v>3026</v>
      </c>
      <c r="H211">
        <v>31</v>
      </c>
      <c r="I211" t="s">
        <v>12</v>
      </c>
    </row>
    <row r="212" spans="1:9">
      <c r="A212" t="s">
        <v>4867</v>
      </c>
      <c r="B212" s="2">
        <v>45946</v>
      </c>
      <c r="C212">
        <v>2025</v>
      </c>
      <c r="D212">
        <v>10</v>
      </c>
      <c r="E212" t="s">
        <v>113</v>
      </c>
      <c r="F212" t="s">
        <v>26</v>
      </c>
      <c r="G212" t="s">
        <v>4041</v>
      </c>
      <c r="H212">
        <v>11</v>
      </c>
      <c r="I212" t="s">
        <v>4</v>
      </c>
    </row>
    <row r="213" spans="1:9">
      <c r="A213" t="s">
        <v>4868</v>
      </c>
      <c r="B213" s="2">
        <v>45953</v>
      </c>
      <c r="C213">
        <v>2025</v>
      </c>
      <c r="D213">
        <v>10</v>
      </c>
      <c r="E213" t="s">
        <v>113</v>
      </c>
      <c r="F213" t="s">
        <v>31</v>
      </c>
      <c r="G213" t="s">
        <v>4034</v>
      </c>
      <c r="H213">
        <v>26</v>
      </c>
      <c r="I213" t="s">
        <v>12</v>
      </c>
    </row>
    <row r="214" spans="1:9">
      <c r="A214" t="s">
        <v>4869</v>
      </c>
      <c r="B214" s="2">
        <v>45944</v>
      </c>
      <c r="C214">
        <v>2025</v>
      </c>
      <c r="D214">
        <v>10</v>
      </c>
      <c r="E214" t="s">
        <v>113</v>
      </c>
      <c r="F214" t="s">
        <v>47</v>
      </c>
      <c r="G214" t="s">
        <v>3026</v>
      </c>
      <c r="H214">
        <v>28</v>
      </c>
      <c r="I214" t="s">
        <v>33</v>
      </c>
    </row>
    <row r="215" spans="1:9">
      <c r="A215" t="s">
        <v>4870</v>
      </c>
      <c r="B215" s="2">
        <v>45931</v>
      </c>
      <c r="C215">
        <v>2025</v>
      </c>
      <c r="D215">
        <v>10</v>
      </c>
      <c r="E215" t="s">
        <v>113</v>
      </c>
      <c r="F215" t="s">
        <v>40</v>
      </c>
      <c r="G215" t="s">
        <v>4041</v>
      </c>
      <c r="H215">
        <v>14</v>
      </c>
      <c r="I215" t="s">
        <v>44</v>
      </c>
    </row>
    <row r="216" spans="1:9">
      <c r="A216" t="s">
        <v>4871</v>
      </c>
      <c r="B216" s="2">
        <v>45939</v>
      </c>
      <c r="C216">
        <v>2025</v>
      </c>
      <c r="D216">
        <v>10</v>
      </c>
      <c r="E216" t="s">
        <v>113</v>
      </c>
      <c r="F216" t="s">
        <v>54</v>
      </c>
      <c r="G216" t="s">
        <v>4039</v>
      </c>
      <c r="H216">
        <v>17</v>
      </c>
      <c r="I216" t="s">
        <v>12</v>
      </c>
    </row>
    <row r="217" spans="1:9">
      <c r="A217" t="s">
        <v>4872</v>
      </c>
      <c r="B217" s="2">
        <v>45933</v>
      </c>
      <c r="C217">
        <v>2025</v>
      </c>
      <c r="D217">
        <v>10</v>
      </c>
      <c r="E217" t="s">
        <v>113</v>
      </c>
      <c r="F217" t="s">
        <v>67</v>
      </c>
      <c r="G217" t="s">
        <v>4044</v>
      </c>
      <c r="H217">
        <v>34</v>
      </c>
      <c r="I217" t="s">
        <v>4</v>
      </c>
    </row>
    <row r="218" spans="1:9">
      <c r="A218" t="s">
        <v>4873</v>
      </c>
      <c r="B218" s="2">
        <v>45953</v>
      </c>
      <c r="C218">
        <v>2025</v>
      </c>
      <c r="D218">
        <v>10</v>
      </c>
      <c r="E218" t="s">
        <v>113</v>
      </c>
      <c r="F218" t="s">
        <v>19</v>
      </c>
      <c r="G218" t="s">
        <v>4026</v>
      </c>
      <c r="H218">
        <v>35</v>
      </c>
      <c r="I218" t="s">
        <v>44</v>
      </c>
    </row>
    <row r="219" spans="1:9">
      <c r="A219" t="s">
        <v>4874</v>
      </c>
      <c r="B219" s="2">
        <v>45934</v>
      </c>
      <c r="C219">
        <v>2025</v>
      </c>
      <c r="D219">
        <v>10</v>
      </c>
      <c r="E219" t="s">
        <v>113</v>
      </c>
      <c r="F219" t="s">
        <v>38</v>
      </c>
      <c r="G219" t="s">
        <v>4024</v>
      </c>
      <c r="H219">
        <v>23</v>
      </c>
      <c r="I219" t="s">
        <v>44</v>
      </c>
    </row>
    <row r="220" spans="1:9">
      <c r="A220" t="s">
        <v>4875</v>
      </c>
      <c r="B220" s="2">
        <v>45944</v>
      </c>
      <c r="C220">
        <v>2025</v>
      </c>
      <c r="D220">
        <v>10</v>
      </c>
      <c r="E220" t="s">
        <v>113</v>
      </c>
      <c r="F220" t="s">
        <v>2</v>
      </c>
      <c r="G220" t="s">
        <v>4044</v>
      </c>
      <c r="H220">
        <v>17</v>
      </c>
      <c r="I220" t="s">
        <v>12</v>
      </c>
    </row>
    <row r="221" spans="1:9">
      <c r="A221" t="s">
        <v>4876</v>
      </c>
      <c r="B221" s="2">
        <v>45945</v>
      </c>
      <c r="C221">
        <v>2025</v>
      </c>
      <c r="D221">
        <v>10</v>
      </c>
      <c r="E221" t="s">
        <v>113</v>
      </c>
      <c r="F221" t="s">
        <v>78</v>
      </c>
      <c r="G221" t="s">
        <v>4039</v>
      </c>
      <c r="H221">
        <v>8</v>
      </c>
      <c r="I221" t="s">
        <v>33</v>
      </c>
    </row>
    <row r="222" spans="1:9">
      <c r="A222" t="s">
        <v>4877</v>
      </c>
      <c r="B222" s="2">
        <v>45978</v>
      </c>
      <c r="C222">
        <v>2025</v>
      </c>
      <c r="D222">
        <v>11</v>
      </c>
      <c r="E222" t="s">
        <v>117</v>
      </c>
      <c r="F222" t="s">
        <v>26</v>
      </c>
      <c r="G222" t="s">
        <v>3039</v>
      </c>
      <c r="H222">
        <v>24</v>
      </c>
      <c r="I222" t="s">
        <v>4</v>
      </c>
    </row>
    <row r="223" spans="1:9">
      <c r="A223" t="s">
        <v>4878</v>
      </c>
      <c r="B223" s="2">
        <v>45965</v>
      </c>
      <c r="C223">
        <v>2025</v>
      </c>
      <c r="D223">
        <v>11</v>
      </c>
      <c r="E223" t="s">
        <v>117</v>
      </c>
      <c r="F223" t="s">
        <v>31</v>
      </c>
      <c r="G223" t="s">
        <v>4032</v>
      </c>
      <c r="H223">
        <v>9</v>
      </c>
      <c r="I223" t="s">
        <v>4</v>
      </c>
    </row>
    <row r="224" spans="1:9">
      <c r="A224" t="s">
        <v>4879</v>
      </c>
      <c r="B224" s="2">
        <v>45975</v>
      </c>
      <c r="C224">
        <v>2025</v>
      </c>
      <c r="D224">
        <v>11</v>
      </c>
      <c r="E224" t="s">
        <v>117</v>
      </c>
      <c r="F224" t="s">
        <v>47</v>
      </c>
      <c r="G224" t="s">
        <v>4024</v>
      </c>
      <c r="H224">
        <v>8</v>
      </c>
      <c r="I224" t="s">
        <v>12</v>
      </c>
    </row>
    <row r="225" spans="1:9">
      <c r="A225" t="s">
        <v>4880</v>
      </c>
      <c r="B225" s="2">
        <v>45968</v>
      </c>
      <c r="C225">
        <v>2025</v>
      </c>
      <c r="D225">
        <v>11</v>
      </c>
      <c r="E225" t="s">
        <v>117</v>
      </c>
      <c r="F225" t="s">
        <v>40</v>
      </c>
      <c r="G225" t="s">
        <v>4021</v>
      </c>
      <c r="H225">
        <v>24</v>
      </c>
      <c r="I225" t="s">
        <v>33</v>
      </c>
    </row>
    <row r="226" spans="1:9">
      <c r="A226" t="s">
        <v>4881</v>
      </c>
      <c r="B226" s="2">
        <v>45969</v>
      </c>
      <c r="C226">
        <v>2025</v>
      </c>
      <c r="D226">
        <v>11</v>
      </c>
      <c r="E226" t="s">
        <v>117</v>
      </c>
      <c r="F226" t="s">
        <v>54</v>
      </c>
      <c r="G226" t="s">
        <v>4039</v>
      </c>
      <c r="H226">
        <v>27</v>
      </c>
      <c r="I226" t="s">
        <v>4</v>
      </c>
    </row>
    <row r="227" spans="1:9">
      <c r="A227" t="s">
        <v>4882</v>
      </c>
      <c r="B227" s="2">
        <v>45970</v>
      </c>
      <c r="C227">
        <v>2025</v>
      </c>
      <c r="D227">
        <v>11</v>
      </c>
      <c r="E227" t="s">
        <v>117</v>
      </c>
      <c r="F227" t="s">
        <v>67</v>
      </c>
      <c r="G227" t="s">
        <v>4039</v>
      </c>
      <c r="H227">
        <v>25</v>
      </c>
      <c r="I227" t="s">
        <v>33</v>
      </c>
    </row>
    <row r="228" spans="1:9">
      <c r="A228" t="s">
        <v>4883</v>
      </c>
      <c r="B228" s="2">
        <v>45981</v>
      </c>
      <c r="C228">
        <v>2025</v>
      </c>
      <c r="D228">
        <v>11</v>
      </c>
      <c r="E228" t="s">
        <v>117</v>
      </c>
      <c r="F228" t="s">
        <v>19</v>
      </c>
      <c r="G228" t="s">
        <v>3026</v>
      </c>
      <c r="H228">
        <v>10</v>
      </c>
      <c r="I228" t="s">
        <v>44</v>
      </c>
    </row>
    <row r="229" spans="1:9">
      <c r="A229" t="s">
        <v>4884</v>
      </c>
      <c r="B229" s="2">
        <v>45980</v>
      </c>
      <c r="C229">
        <v>2025</v>
      </c>
      <c r="D229">
        <v>11</v>
      </c>
      <c r="E229" t="s">
        <v>117</v>
      </c>
      <c r="F229" t="s">
        <v>38</v>
      </c>
      <c r="G229" t="s">
        <v>4034</v>
      </c>
      <c r="H229">
        <v>31</v>
      </c>
      <c r="I229" t="s">
        <v>44</v>
      </c>
    </row>
    <row r="230" spans="1:9">
      <c r="A230" t="s">
        <v>4885</v>
      </c>
      <c r="B230" s="2">
        <v>45966</v>
      </c>
      <c r="C230">
        <v>2025</v>
      </c>
      <c r="D230">
        <v>11</v>
      </c>
      <c r="E230" t="s">
        <v>117</v>
      </c>
      <c r="F230" t="s">
        <v>2</v>
      </c>
      <c r="G230" t="s">
        <v>4024</v>
      </c>
      <c r="H230">
        <v>10</v>
      </c>
      <c r="I230" t="s">
        <v>4</v>
      </c>
    </row>
    <row r="231" spans="1:9">
      <c r="A231" t="s">
        <v>4886</v>
      </c>
      <c r="B231" s="2">
        <v>45973</v>
      </c>
      <c r="C231">
        <v>2025</v>
      </c>
      <c r="D231">
        <v>11</v>
      </c>
      <c r="E231" t="s">
        <v>117</v>
      </c>
      <c r="F231" t="s">
        <v>78</v>
      </c>
      <c r="G231" t="s">
        <v>4041</v>
      </c>
      <c r="H231">
        <v>15</v>
      </c>
      <c r="I231" t="s">
        <v>12</v>
      </c>
    </row>
    <row r="232" spans="1:9">
      <c r="A232" t="s">
        <v>4887</v>
      </c>
      <c r="B232" s="2">
        <v>46001</v>
      </c>
      <c r="C232">
        <v>2025</v>
      </c>
      <c r="D232">
        <v>12</v>
      </c>
      <c r="E232" t="s">
        <v>124</v>
      </c>
      <c r="F232" t="s">
        <v>26</v>
      </c>
      <c r="G232" t="s">
        <v>4032</v>
      </c>
      <c r="H232">
        <v>13</v>
      </c>
      <c r="I232" t="s">
        <v>4</v>
      </c>
    </row>
    <row r="233" spans="1:9">
      <c r="A233" t="s">
        <v>4888</v>
      </c>
      <c r="B233" s="2">
        <v>46006</v>
      </c>
      <c r="C233">
        <v>2025</v>
      </c>
      <c r="D233">
        <v>12</v>
      </c>
      <c r="E233" t="s">
        <v>124</v>
      </c>
      <c r="F233" t="s">
        <v>31</v>
      </c>
      <c r="G233" t="s">
        <v>4024</v>
      </c>
      <c r="H233">
        <v>11</v>
      </c>
      <c r="I233" t="s">
        <v>4</v>
      </c>
    </row>
    <row r="234" spans="1:9">
      <c r="A234" t="s">
        <v>4889</v>
      </c>
      <c r="B234" s="2">
        <v>46010</v>
      </c>
      <c r="C234">
        <v>2025</v>
      </c>
      <c r="D234">
        <v>12</v>
      </c>
      <c r="E234" t="s">
        <v>124</v>
      </c>
      <c r="F234" t="s">
        <v>47</v>
      </c>
      <c r="G234" t="s">
        <v>4024</v>
      </c>
      <c r="H234">
        <v>21</v>
      </c>
      <c r="I234" t="s">
        <v>33</v>
      </c>
    </row>
    <row r="235" spans="1:9">
      <c r="A235" t="s">
        <v>4890</v>
      </c>
      <c r="B235" s="2">
        <v>46011</v>
      </c>
      <c r="C235">
        <v>2025</v>
      </c>
      <c r="D235">
        <v>12</v>
      </c>
      <c r="E235" t="s">
        <v>124</v>
      </c>
      <c r="F235" t="s">
        <v>40</v>
      </c>
      <c r="G235" t="s">
        <v>4021</v>
      </c>
      <c r="H235">
        <v>29</v>
      </c>
      <c r="I235" t="s">
        <v>12</v>
      </c>
    </row>
    <row r="236" spans="1:9">
      <c r="A236" t="s">
        <v>4891</v>
      </c>
      <c r="B236" s="2">
        <v>45992</v>
      </c>
      <c r="C236">
        <v>2025</v>
      </c>
      <c r="D236">
        <v>12</v>
      </c>
      <c r="E236" t="s">
        <v>124</v>
      </c>
      <c r="F236" t="s">
        <v>54</v>
      </c>
      <c r="G236" t="s">
        <v>4044</v>
      </c>
      <c r="H236">
        <v>20</v>
      </c>
      <c r="I236" t="s">
        <v>44</v>
      </c>
    </row>
    <row r="237" spans="1:9">
      <c r="A237" t="s">
        <v>4892</v>
      </c>
      <c r="B237" s="2">
        <v>46000</v>
      </c>
      <c r="C237">
        <v>2025</v>
      </c>
      <c r="D237">
        <v>12</v>
      </c>
      <c r="E237" t="s">
        <v>124</v>
      </c>
      <c r="F237" t="s">
        <v>67</v>
      </c>
      <c r="G237" t="s">
        <v>4021</v>
      </c>
      <c r="H237">
        <v>28</v>
      </c>
      <c r="I237" t="s">
        <v>12</v>
      </c>
    </row>
    <row r="238" spans="1:9">
      <c r="A238" t="s">
        <v>4893</v>
      </c>
      <c r="B238" s="2">
        <v>46001</v>
      </c>
      <c r="C238">
        <v>2025</v>
      </c>
      <c r="D238">
        <v>12</v>
      </c>
      <c r="E238" t="s">
        <v>124</v>
      </c>
      <c r="F238" t="s">
        <v>19</v>
      </c>
      <c r="G238" t="s">
        <v>4032</v>
      </c>
      <c r="H238">
        <v>27</v>
      </c>
      <c r="I238" t="s">
        <v>12</v>
      </c>
    </row>
    <row r="239" spans="1:9">
      <c r="A239" t="s">
        <v>4894</v>
      </c>
      <c r="B239" s="2">
        <v>45995</v>
      </c>
      <c r="C239">
        <v>2025</v>
      </c>
      <c r="D239">
        <v>12</v>
      </c>
      <c r="E239" t="s">
        <v>124</v>
      </c>
      <c r="F239" t="s">
        <v>38</v>
      </c>
      <c r="G239" t="s">
        <v>4044</v>
      </c>
      <c r="H239">
        <v>33</v>
      </c>
      <c r="I239" t="s">
        <v>12</v>
      </c>
    </row>
    <row r="240" spans="1:9">
      <c r="A240" t="s">
        <v>4895</v>
      </c>
      <c r="B240" s="2">
        <v>46017</v>
      </c>
      <c r="C240">
        <v>2025</v>
      </c>
      <c r="D240">
        <v>12</v>
      </c>
      <c r="E240" t="s">
        <v>124</v>
      </c>
      <c r="F240" t="s">
        <v>2</v>
      </c>
      <c r="G240" t="s">
        <v>4044</v>
      </c>
      <c r="H240">
        <v>16</v>
      </c>
      <c r="I240" t="s">
        <v>12</v>
      </c>
    </row>
    <row r="241" spans="1:9">
      <c r="A241" t="s">
        <v>4896</v>
      </c>
      <c r="B241" s="2">
        <v>46015</v>
      </c>
      <c r="C241">
        <v>2025</v>
      </c>
      <c r="D241">
        <v>12</v>
      </c>
      <c r="E241" t="s">
        <v>124</v>
      </c>
      <c r="F241" t="s">
        <v>78</v>
      </c>
      <c r="G241" t="s">
        <v>3039</v>
      </c>
      <c r="H241">
        <v>20</v>
      </c>
      <c r="I241" t="s">
        <v>33</v>
      </c>
    </row>
    <row r="242" spans="1:9">
      <c r="A242" t="s">
        <v>4897</v>
      </c>
      <c r="B242" s="2">
        <v>46039</v>
      </c>
      <c r="C242">
        <v>2026</v>
      </c>
      <c r="D242">
        <v>1</v>
      </c>
      <c r="E242" t="s">
        <v>1</v>
      </c>
      <c r="F242" t="s">
        <v>26</v>
      </c>
      <c r="G242" t="s">
        <v>4026</v>
      </c>
      <c r="H242">
        <v>27</v>
      </c>
      <c r="I242" t="s">
        <v>12</v>
      </c>
    </row>
    <row r="243" spans="1:9">
      <c r="A243" t="s">
        <v>4898</v>
      </c>
      <c r="B243" s="2">
        <v>46042</v>
      </c>
      <c r="C243">
        <v>2026</v>
      </c>
      <c r="D243">
        <v>1</v>
      </c>
      <c r="E243" t="s">
        <v>1</v>
      </c>
      <c r="F243" t="s">
        <v>31</v>
      </c>
      <c r="G243" t="s">
        <v>3026</v>
      </c>
      <c r="H243">
        <v>24</v>
      </c>
      <c r="I243" t="s">
        <v>33</v>
      </c>
    </row>
    <row r="244" spans="1:9">
      <c r="A244" t="s">
        <v>4899</v>
      </c>
      <c r="B244" s="2">
        <v>46040</v>
      </c>
      <c r="C244">
        <v>2026</v>
      </c>
      <c r="D244">
        <v>1</v>
      </c>
      <c r="E244" t="s">
        <v>1</v>
      </c>
      <c r="F244" t="s">
        <v>47</v>
      </c>
      <c r="G244" t="s">
        <v>3039</v>
      </c>
      <c r="H244">
        <v>8</v>
      </c>
      <c r="I244" t="s">
        <v>44</v>
      </c>
    </row>
    <row r="245" spans="1:9">
      <c r="A245" t="s">
        <v>4900</v>
      </c>
      <c r="B245" s="2">
        <v>46041</v>
      </c>
      <c r="C245">
        <v>2026</v>
      </c>
      <c r="D245">
        <v>1</v>
      </c>
      <c r="E245" t="s">
        <v>1</v>
      </c>
      <c r="F245" t="s">
        <v>40</v>
      </c>
      <c r="G245" t="s">
        <v>4041</v>
      </c>
      <c r="H245">
        <v>29</v>
      </c>
      <c r="I245" t="s">
        <v>44</v>
      </c>
    </row>
    <row r="246" spans="1:9">
      <c r="A246" t="s">
        <v>4901</v>
      </c>
      <c r="B246" s="2">
        <v>46026</v>
      </c>
      <c r="C246">
        <v>2026</v>
      </c>
      <c r="D246">
        <v>1</v>
      </c>
      <c r="E246" t="s">
        <v>1</v>
      </c>
      <c r="F246" t="s">
        <v>54</v>
      </c>
      <c r="G246" t="s">
        <v>4041</v>
      </c>
      <c r="H246">
        <v>24</v>
      </c>
      <c r="I246" t="s">
        <v>12</v>
      </c>
    </row>
    <row r="247" spans="1:9">
      <c r="A247" t="s">
        <v>4902</v>
      </c>
      <c r="B247" s="2">
        <v>46049</v>
      </c>
      <c r="C247">
        <v>2026</v>
      </c>
      <c r="D247">
        <v>1</v>
      </c>
      <c r="E247" t="s">
        <v>1</v>
      </c>
      <c r="F247" t="s">
        <v>67</v>
      </c>
      <c r="G247" t="s">
        <v>4034</v>
      </c>
      <c r="H247">
        <v>34</v>
      </c>
      <c r="I247" t="s">
        <v>4</v>
      </c>
    </row>
    <row r="248" spans="1:9">
      <c r="A248" t="s">
        <v>4903</v>
      </c>
      <c r="B248" s="2">
        <v>46041</v>
      </c>
      <c r="C248">
        <v>2026</v>
      </c>
      <c r="D248">
        <v>1</v>
      </c>
      <c r="E248" t="s">
        <v>1</v>
      </c>
      <c r="F248" t="s">
        <v>19</v>
      </c>
      <c r="G248" t="s">
        <v>3026</v>
      </c>
      <c r="H248">
        <v>14</v>
      </c>
      <c r="I248" t="s">
        <v>44</v>
      </c>
    </row>
    <row r="249" spans="1:9">
      <c r="A249" t="s">
        <v>4904</v>
      </c>
      <c r="B249" s="2">
        <v>46029</v>
      </c>
      <c r="C249">
        <v>2026</v>
      </c>
      <c r="D249">
        <v>1</v>
      </c>
      <c r="E249" t="s">
        <v>1</v>
      </c>
      <c r="F249" t="s">
        <v>38</v>
      </c>
      <c r="G249" t="s">
        <v>4032</v>
      </c>
      <c r="H249">
        <v>24</v>
      </c>
      <c r="I249" t="s">
        <v>4</v>
      </c>
    </row>
    <row r="250" spans="1:9">
      <c r="A250" t="s">
        <v>4905</v>
      </c>
      <c r="B250" s="2">
        <v>46046</v>
      </c>
      <c r="C250">
        <v>2026</v>
      </c>
      <c r="D250">
        <v>1</v>
      </c>
      <c r="E250" t="s">
        <v>1</v>
      </c>
      <c r="F250" t="s">
        <v>2</v>
      </c>
      <c r="G250" t="s">
        <v>3039</v>
      </c>
      <c r="H250">
        <v>20</v>
      </c>
      <c r="I250" t="s">
        <v>33</v>
      </c>
    </row>
    <row r="251" spans="1:9">
      <c r="A251" t="s">
        <v>4906</v>
      </c>
      <c r="B251" s="2">
        <v>46028</v>
      </c>
      <c r="C251">
        <v>2026</v>
      </c>
      <c r="D251">
        <v>1</v>
      </c>
      <c r="E251" t="s">
        <v>1</v>
      </c>
      <c r="F251" t="s">
        <v>78</v>
      </c>
      <c r="G251" t="s">
        <v>4034</v>
      </c>
      <c r="H251">
        <v>34</v>
      </c>
      <c r="I251" t="s">
        <v>33</v>
      </c>
    </row>
    <row r="252" spans="1:9">
      <c r="A252" t="s">
        <v>4907</v>
      </c>
      <c r="B252" s="2">
        <v>46074</v>
      </c>
      <c r="C252">
        <v>2026</v>
      </c>
      <c r="D252">
        <v>2</v>
      </c>
      <c r="E252" t="s">
        <v>25</v>
      </c>
      <c r="F252" t="s">
        <v>26</v>
      </c>
      <c r="G252" t="s">
        <v>4034</v>
      </c>
      <c r="H252">
        <v>25</v>
      </c>
      <c r="I252" t="s">
        <v>4</v>
      </c>
    </row>
    <row r="253" spans="1:9">
      <c r="A253" t="s">
        <v>4908</v>
      </c>
      <c r="B253" s="2">
        <v>46056</v>
      </c>
      <c r="C253">
        <v>2026</v>
      </c>
      <c r="D253">
        <v>2</v>
      </c>
      <c r="E253" t="s">
        <v>25</v>
      </c>
      <c r="F253" t="s">
        <v>31</v>
      </c>
      <c r="G253" t="s">
        <v>4034</v>
      </c>
      <c r="H253">
        <v>19</v>
      </c>
      <c r="I253" t="s">
        <v>44</v>
      </c>
    </row>
    <row r="254" spans="1:9">
      <c r="A254" t="s">
        <v>4909</v>
      </c>
      <c r="B254" s="2">
        <v>46058</v>
      </c>
      <c r="C254">
        <v>2026</v>
      </c>
      <c r="D254">
        <v>2</v>
      </c>
      <c r="E254" t="s">
        <v>25</v>
      </c>
      <c r="F254" t="s">
        <v>47</v>
      </c>
      <c r="G254" t="s">
        <v>4041</v>
      </c>
      <c r="H254">
        <v>35</v>
      </c>
      <c r="I254" t="s">
        <v>4</v>
      </c>
    </row>
    <row r="255" spans="1:9">
      <c r="A255" t="s">
        <v>4910</v>
      </c>
      <c r="B255" s="2">
        <v>46062</v>
      </c>
      <c r="C255">
        <v>2026</v>
      </c>
      <c r="D255">
        <v>2</v>
      </c>
      <c r="E255" t="s">
        <v>25</v>
      </c>
      <c r="F255" t="s">
        <v>40</v>
      </c>
      <c r="G255" t="s">
        <v>3026</v>
      </c>
      <c r="H255">
        <v>13</v>
      </c>
      <c r="I255" t="s">
        <v>12</v>
      </c>
    </row>
    <row r="256" spans="1:9">
      <c r="A256" t="s">
        <v>4911</v>
      </c>
      <c r="B256" s="2">
        <v>46079</v>
      </c>
      <c r="C256">
        <v>2026</v>
      </c>
      <c r="D256">
        <v>2</v>
      </c>
      <c r="E256" t="s">
        <v>25</v>
      </c>
      <c r="F256" t="s">
        <v>54</v>
      </c>
      <c r="G256" t="s">
        <v>3026</v>
      </c>
      <c r="H256">
        <v>16</v>
      </c>
      <c r="I256" t="s">
        <v>4</v>
      </c>
    </row>
    <row r="257" spans="1:9">
      <c r="A257" t="s">
        <v>4912</v>
      </c>
      <c r="B257" s="2">
        <v>46078</v>
      </c>
      <c r="C257">
        <v>2026</v>
      </c>
      <c r="D257">
        <v>2</v>
      </c>
      <c r="E257" t="s">
        <v>25</v>
      </c>
      <c r="F257" t="s">
        <v>67</v>
      </c>
      <c r="G257" t="s">
        <v>4041</v>
      </c>
      <c r="H257">
        <v>31</v>
      </c>
      <c r="I257" t="s">
        <v>44</v>
      </c>
    </row>
    <row r="258" spans="1:9">
      <c r="A258" t="s">
        <v>4913</v>
      </c>
      <c r="B258" s="2">
        <v>46067</v>
      </c>
      <c r="C258">
        <v>2026</v>
      </c>
      <c r="D258">
        <v>2</v>
      </c>
      <c r="E258" t="s">
        <v>25</v>
      </c>
      <c r="F258" t="s">
        <v>19</v>
      </c>
      <c r="G258" t="s">
        <v>4021</v>
      </c>
      <c r="H258">
        <v>31</v>
      </c>
      <c r="I258" t="s">
        <v>33</v>
      </c>
    </row>
    <row r="259" spans="1:9">
      <c r="A259" t="s">
        <v>4914</v>
      </c>
      <c r="B259" s="2">
        <v>46073</v>
      </c>
      <c r="C259">
        <v>2026</v>
      </c>
      <c r="D259">
        <v>2</v>
      </c>
      <c r="E259" t="s">
        <v>25</v>
      </c>
      <c r="F259" t="s">
        <v>38</v>
      </c>
      <c r="G259" t="s">
        <v>4034</v>
      </c>
      <c r="H259">
        <v>19</v>
      </c>
      <c r="I259" t="s">
        <v>4</v>
      </c>
    </row>
    <row r="260" spans="1:9">
      <c r="A260" t="s">
        <v>4915</v>
      </c>
      <c r="B260" s="2">
        <v>46059</v>
      </c>
      <c r="C260">
        <v>2026</v>
      </c>
      <c r="D260">
        <v>2</v>
      </c>
      <c r="E260" t="s">
        <v>25</v>
      </c>
      <c r="F260" t="s">
        <v>2</v>
      </c>
      <c r="G260" t="s">
        <v>4039</v>
      </c>
      <c r="H260">
        <v>21</v>
      </c>
      <c r="I260" t="s">
        <v>12</v>
      </c>
    </row>
    <row r="261" spans="1:9">
      <c r="A261" t="s">
        <v>4916</v>
      </c>
      <c r="B261" s="2">
        <v>46055</v>
      </c>
      <c r="C261">
        <v>2026</v>
      </c>
      <c r="D261">
        <v>2</v>
      </c>
      <c r="E261" t="s">
        <v>25</v>
      </c>
      <c r="F261" t="s">
        <v>78</v>
      </c>
      <c r="G261" t="s">
        <v>4044</v>
      </c>
      <c r="H261">
        <v>21</v>
      </c>
      <c r="I261" t="s">
        <v>33</v>
      </c>
    </row>
    <row r="262" spans="1:9">
      <c r="A262" t="s">
        <v>4917</v>
      </c>
      <c r="B262" s="2">
        <v>46104</v>
      </c>
      <c r="C262">
        <v>2026</v>
      </c>
      <c r="D262">
        <v>3</v>
      </c>
      <c r="E262" t="s">
        <v>60</v>
      </c>
      <c r="F262" t="s">
        <v>26</v>
      </c>
      <c r="G262" t="s">
        <v>3039</v>
      </c>
      <c r="H262">
        <v>11</v>
      </c>
      <c r="I262" t="s">
        <v>12</v>
      </c>
    </row>
    <row r="263" spans="1:9">
      <c r="A263" t="s">
        <v>4918</v>
      </c>
      <c r="B263" s="2">
        <v>46084</v>
      </c>
      <c r="C263">
        <v>2026</v>
      </c>
      <c r="D263">
        <v>3</v>
      </c>
      <c r="E263" t="s">
        <v>60</v>
      </c>
      <c r="F263" t="s">
        <v>31</v>
      </c>
      <c r="G263" t="s">
        <v>4044</v>
      </c>
      <c r="H263">
        <v>22</v>
      </c>
      <c r="I263" t="s">
        <v>44</v>
      </c>
    </row>
    <row r="264" spans="1:9">
      <c r="A264" t="s">
        <v>4919</v>
      </c>
      <c r="B264" s="2">
        <v>46086</v>
      </c>
      <c r="C264">
        <v>2026</v>
      </c>
      <c r="D264">
        <v>3</v>
      </c>
      <c r="E264" t="s">
        <v>60</v>
      </c>
      <c r="F264" t="s">
        <v>47</v>
      </c>
      <c r="G264" t="s">
        <v>4024</v>
      </c>
      <c r="H264">
        <v>31</v>
      </c>
      <c r="I264" t="s">
        <v>12</v>
      </c>
    </row>
    <row r="265" spans="1:9">
      <c r="A265" t="s">
        <v>4920</v>
      </c>
      <c r="B265" s="2">
        <v>46100</v>
      </c>
      <c r="C265">
        <v>2026</v>
      </c>
      <c r="D265">
        <v>3</v>
      </c>
      <c r="E265" t="s">
        <v>60</v>
      </c>
      <c r="F265" t="s">
        <v>40</v>
      </c>
      <c r="G265" t="s">
        <v>4032</v>
      </c>
      <c r="H265">
        <v>22</v>
      </c>
      <c r="I265" t="s">
        <v>4</v>
      </c>
    </row>
    <row r="266" spans="1:9">
      <c r="A266" t="s">
        <v>4921</v>
      </c>
      <c r="B266" s="2">
        <v>46094</v>
      </c>
      <c r="C266">
        <v>2026</v>
      </c>
      <c r="D266">
        <v>3</v>
      </c>
      <c r="E266" t="s">
        <v>60</v>
      </c>
      <c r="F266" t="s">
        <v>54</v>
      </c>
      <c r="G266" t="s">
        <v>4039</v>
      </c>
      <c r="H266">
        <v>14</v>
      </c>
      <c r="I266" t="s">
        <v>33</v>
      </c>
    </row>
    <row r="267" spans="1:9">
      <c r="A267" t="s">
        <v>4922</v>
      </c>
      <c r="B267" s="2">
        <v>46098</v>
      </c>
      <c r="C267">
        <v>2026</v>
      </c>
      <c r="D267">
        <v>3</v>
      </c>
      <c r="E267" t="s">
        <v>60</v>
      </c>
      <c r="F267" t="s">
        <v>67</v>
      </c>
      <c r="G267" t="s">
        <v>4041</v>
      </c>
      <c r="H267">
        <v>8</v>
      </c>
      <c r="I267" t="s">
        <v>44</v>
      </c>
    </row>
    <row r="268" spans="1:9">
      <c r="A268" t="s">
        <v>4923</v>
      </c>
      <c r="B268" s="2">
        <v>46088</v>
      </c>
      <c r="C268">
        <v>2026</v>
      </c>
      <c r="D268">
        <v>3</v>
      </c>
      <c r="E268" t="s">
        <v>60</v>
      </c>
      <c r="F268" t="s">
        <v>19</v>
      </c>
      <c r="G268" t="s">
        <v>3026</v>
      </c>
      <c r="H268">
        <v>35</v>
      </c>
      <c r="I268" t="s">
        <v>12</v>
      </c>
    </row>
    <row r="269" spans="1:9">
      <c r="A269" t="s">
        <v>4924</v>
      </c>
      <c r="B269" s="2">
        <v>46093</v>
      </c>
      <c r="C269">
        <v>2026</v>
      </c>
      <c r="D269">
        <v>3</v>
      </c>
      <c r="E269" t="s">
        <v>60</v>
      </c>
      <c r="F269" t="s">
        <v>38</v>
      </c>
      <c r="G269" t="s">
        <v>4039</v>
      </c>
      <c r="H269">
        <v>24</v>
      </c>
      <c r="I269" t="s">
        <v>33</v>
      </c>
    </row>
    <row r="270" spans="1:9">
      <c r="A270" t="s">
        <v>4925</v>
      </c>
      <c r="B270" s="2">
        <v>46086</v>
      </c>
      <c r="C270">
        <v>2026</v>
      </c>
      <c r="D270">
        <v>3</v>
      </c>
      <c r="E270" t="s">
        <v>60</v>
      </c>
      <c r="F270" t="s">
        <v>2</v>
      </c>
      <c r="G270" t="s">
        <v>4021</v>
      </c>
      <c r="H270">
        <v>29</v>
      </c>
      <c r="I270" t="s">
        <v>12</v>
      </c>
    </row>
    <row r="271" spans="1:9">
      <c r="A271" t="s">
        <v>4926</v>
      </c>
      <c r="B271" s="2">
        <v>46104</v>
      </c>
      <c r="C271">
        <v>2026</v>
      </c>
      <c r="D271">
        <v>3</v>
      </c>
      <c r="E271" t="s">
        <v>60</v>
      </c>
      <c r="F271" t="s">
        <v>78</v>
      </c>
      <c r="G271" t="s">
        <v>4039</v>
      </c>
      <c r="H271">
        <v>23</v>
      </c>
      <c r="I271" t="s">
        <v>12</v>
      </c>
    </row>
    <row r="272" spans="1:9">
      <c r="A272" t="s">
        <v>4927</v>
      </c>
      <c r="B272" s="2">
        <v>46126</v>
      </c>
      <c r="C272">
        <v>2026</v>
      </c>
      <c r="D272">
        <v>4</v>
      </c>
      <c r="E272" t="s">
        <v>73</v>
      </c>
      <c r="F272" t="s">
        <v>26</v>
      </c>
      <c r="G272" t="s">
        <v>4032</v>
      </c>
      <c r="H272">
        <v>32</v>
      </c>
      <c r="I272" t="s">
        <v>33</v>
      </c>
    </row>
    <row r="273" spans="1:9">
      <c r="A273" t="s">
        <v>4928</v>
      </c>
      <c r="B273" s="2">
        <v>46125</v>
      </c>
      <c r="C273">
        <v>2026</v>
      </c>
      <c r="D273">
        <v>4</v>
      </c>
      <c r="E273" t="s">
        <v>73</v>
      </c>
      <c r="F273" t="s">
        <v>31</v>
      </c>
      <c r="G273" t="s">
        <v>4024</v>
      </c>
      <c r="H273">
        <v>12</v>
      </c>
      <c r="I273" t="s">
        <v>4</v>
      </c>
    </row>
    <row r="274" spans="1:9">
      <c r="A274" t="s">
        <v>4929</v>
      </c>
      <c r="B274" s="2">
        <v>46114</v>
      </c>
      <c r="C274">
        <v>2026</v>
      </c>
      <c r="D274">
        <v>4</v>
      </c>
      <c r="E274" t="s">
        <v>73</v>
      </c>
      <c r="F274" t="s">
        <v>47</v>
      </c>
      <c r="G274" t="s">
        <v>3026</v>
      </c>
      <c r="H274">
        <v>28</v>
      </c>
      <c r="I274" t="s">
        <v>33</v>
      </c>
    </row>
    <row r="275" spans="1:9">
      <c r="A275" t="s">
        <v>4930</v>
      </c>
      <c r="B275" s="2">
        <v>46136</v>
      </c>
      <c r="C275">
        <v>2026</v>
      </c>
      <c r="D275">
        <v>4</v>
      </c>
      <c r="E275" t="s">
        <v>73</v>
      </c>
      <c r="F275" t="s">
        <v>40</v>
      </c>
      <c r="G275" t="s">
        <v>4041</v>
      </c>
      <c r="H275">
        <v>19</v>
      </c>
      <c r="I275" t="s">
        <v>4</v>
      </c>
    </row>
    <row r="276" spans="1:9">
      <c r="A276" t="s">
        <v>4931</v>
      </c>
      <c r="B276" s="2">
        <v>46121</v>
      </c>
      <c r="C276">
        <v>2026</v>
      </c>
      <c r="D276">
        <v>4</v>
      </c>
      <c r="E276" t="s">
        <v>73</v>
      </c>
      <c r="F276" t="s">
        <v>54</v>
      </c>
      <c r="G276" t="s">
        <v>4044</v>
      </c>
      <c r="H276">
        <v>24</v>
      </c>
      <c r="I276" t="s">
        <v>12</v>
      </c>
    </row>
    <row r="277" spans="1:9">
      <c r="A277" t="s">
        <v>4932</v>
      </c>
      <c r="B277" s="2">
        <v>46131</v>
      </c>
      <c r="C277">
        <v>2026</v>
      </c>
      <c r="D277">
        <v>4</v>
      </c>
      <c r="E277" t="s">
        <v>73</v>
      </c>
      <c r="F277" t="s">
        <v>67</v>
      </c>
      <c r="G277" t="s">
        <v>4024</v>
      </c>
      <c r="H277">
        <v>32</v>
      </c>
      <c r="I277" t="s">
        <v>12</v>
      </c>
    </row>
    <row r="278" spans="1:9">
      <c r="A278" t="s">
        <v>4933</v>
      </c>
      <c r="B278" s="2">
        <v>46128</v>
      </c>
      <c r="C278">
        <v>2026</v>
      </c>
      <c r="D278">
        <v>4</v>
      </c>
      <c r="E278" t="s">
        <v>73</v>
      </c>
      <c r="F278" t="s">
        <v>19</v>
      </c>
      <c r="G278" t="s">
        <v>4024</v>
      </c>
      <c r="H278">
        <v>31</v>
      </c>
      <c r="I278" t="s">
        <v>33</v>
      </c>
    </row>
    <row r="279" spans="1:9">
      <c r="A279" t="s">
        <v>4934</v>
      </c>
      <c r="B279" s="2">
        <v>46134</v>
      </c>
      <c r="C279">
        <v>2026</v>
      </c>
      <c r="D279">
        <v>4</v>
      </c>
      <c r="E279" t="s">
        <v>73</v>
      </c>
      <c r="F279" t="s">
        <v>38</v>
      </c>
      <c r="G279" t="s">
        <v>4039</v>
      </c>
      <c r="H279">
        <v>29</v>
      </c>
      <c r="I279" t="s">
        <v>12</v>
      </c>
    </row>
    <row r="280" spans="1:9">
      <c r="A280" t="s">
        <v>4935</v>
      </c>
      <c r="B280" s="2">
        <v>46119</v>
      </c>
      <c r="C280">
        <v>2026</v>
      </c>
      <c r="D280">
        <v>4</v>
      </c>
      <c r="E280" t="s">
        <v>73</v>
      </c>
      <c r="F280" t="s">
        <v>2</v>
      </c>
      <c r="G280" t="s">
        <v>4021</v>
      </c>
      <c r="H280">
        <v>23</v>
      </c>
      <c r="I280" t="s">
        <v>12</v>
      </c>
    </row>
    <row r="281" spans="1:9">
      <c r="A281" t="s">
        <v>4936</v>
      </c>
      <c r="B281" s="2">
        <v>46116</v>
      </c>
      <c r="C281">
        <v>2026</v>
      </c>
      <c r="D281">
        <v>4</v>
      </c>
      <c r="E281" t="s">
        <v>73</v>
      </c>
      <c r="F281" t="s">
        <v>78</v>
      </c>
      <c r="G281" t="s">
        <v>3039</v>
      </c>
      <c r="H281">
        <v>19</v>
      </c>
      <c r="I281" t="s">
        <v>44</v>
      </c>
    </row>
    <row r="282" spans="1:9">
      <c r="A282" t="s">
        <v>4937</v>
      </c>
      <c r="B282" s="2">
        <v>46153</v>
      </c>
      <c r="C282">
        <v>2026</v>
      </c>
      <c r="D282">
        <v>5</v>
      </c>
      <c r="E282" t="s">
        <v>83</v>
      </c>
      <c r="F282" t="s">
        <v>26</v>
      </c>
      <c r="G282" t="s">
        <v>4032</v>
      </c>
      <c r="H282">
        <v>9</v>
      </c>
      <c r="I282" t="s">
        <v>12</v>
      </c>
    </row>
    <row r="283" spans="1:9">
      <c r="A283" t="s">
        <v>4938</v>
      </c>
      <c r="B283" s="2">
        <v>46156</v>
      </c>
      <c r="C283">
        <v>2026</v>
      </c>
      <c r="D283">
        <v>5</v>
      </c>
      <c r="E283" t="s">
        <v>83</v>
      </c>
      <c r="F283" t="s">
        <v>31</v>
      </c>
      <c r="G283" t="s">
        <v>3026</v>
      </c>
      <c r="H283">
        <v>19</v>
      </c>
      <c r="I283" t="s">
        <v>12</v>
      </c>
    </row>
    <row r="284" spans="1:9">
      <c r="A284" t="s">
        <v>4939</v>
      </c>
      <c r="B284" s="2">
        <v>46166</v>
      </c>
      <c r="C284">
        <v>2026</v>
      </c>
      <c r="D284">
        <v>5</v>
      </c>
      <c r="E284" t="s">
        <v>83</v>
      </c>
      <c r="F284" t="s">
        <v>47</v>
      </c>
      <c r="G284" t="s">
        <v>4034</v>
      </c>
      <c r="H284">
        <v>8</v>
      </c>
      <c r="I284" t="s">
        <v>4</v>
      </c>
    </row>
    <row r="285" spans="1:9">
      <c r="A285" t="s">
        <v>4940</v>
      </c>
      <c r="B285" s="2">
        <v>46164</v>
      </c>
      <c r="C285">
        <v>2026</v>
      </c>
      <c r="D285">
        <v>5</v>
      </c>
      <c r="E285" t="s">
        <v>83</v>
      </c>
      <c r="F285" t="s">
        <v>40</v>
      </c>
      <c r="G285" t="s">
        <v>4026</v>
      </c>
      <c r="H285">
        <v>11</v>
      </c>
      <c r="I285" t="s">
        <v>4</v>
      </c>
    </row>
    <row r="286" spans="1:9">
      <c r="A286" t="s">
        <v>4941</v>
      </c>
      <c r="B286" s="2">
        <v>46161</v>
      </c>
      <c r="C286">
        <v>2026</v>
      </c>
      <c r="D286">
        <v>5</v>
      </c>
      <c r="E286" t="s">
        <v>83</v>
      </c>
      <c r="F286" t="s">
        <v>54</v>
      </c>
      <c r="G286" t="s">
        <v>4041</v>
      </c>
      <c r="H286">
        <v>27</v>
      </c>
      <c r="I286" t="s">
        <v>4</v>
      </c>
    </row>
    <row r="287" spans="1:9">
      <c r="A287" t="s">
        <v>4942</v>
      </c>
      <c r="B287" s="2">
        <v>46167</v>
      </c>
      <c r="C287">
        <v>2026</v>
      </c>
      <c r="D287">
        <v>5</v>
      </c>
      <c r="E287" t="s">
        <v>83</v>
      </c>
      <c r="F287" t="s">
        <v>67</v>
      </c>
      <c r="G287" t="s">
        <v>4032</v>
      </c>
      <c r="H287">
        <v>34</v>
      </c>
      <c r="I287" t="s">
        <v>44</v>
      </c>
    </row>
    <row r="288" spans="1:9">
      <c r="A288" t="s">
        <v>4943</v>
      </c>
      <c r="B288" s="2">
        <v>46151</v>
      </c>
      <c r="C288">
        <v>2026</v>
      </c>
      <c r="D288">
        <v>5</v>
      </c>
      <c r="E288" t="s">
        <v>83</v>
      </c>
      <c r="F288" t="s">
        <v>19</v>
      </c>
      <c r="G288" t="s">
        <v>3026</v>
      </c>
      <c r="H288">
        <v>12</v>
      </c>
      <c r="I288" t="s">
        <v>44</v>
      </c>
    </row>
    <row r="289" spans="1:9">
      <c r="A289" t="s">
        <v>4944</v>
      </c>
      <c r="B289" s="2">
        <v>46155</v>
      </c>
      <c r="C289">
        <v>2026</v>
      </c>
      <c r="D289">
        <v>5</v>
      </c>
      <c r="E289" t="s">
        <v>83</v>
      </c>
      <c r="F289" t="s">
        <v>38</v>
      </c>
      <c r="G289" t="s">
        <v>3039</v>
      </c>
      <c r="H289">
        <v>22</v>
      </c>
      <c r="I289" t="s">
        <v>44</v>
      </c>
    </row>
    <row r="290" spans="1:9">
      <c r="A290" t="s">
        <v>4945</v>
      </c>
      <c r="B290" s="2">
        <v>46151</v>
      </c>
      <c r="C290">
        <v>2026</v>
      </c>
      <c r="D290">
        <v>5</v>
      </c>
      <c r="E290" t="s">
        <v>83</v>
      </c>
      <c r="F290" t="s">
        <v>2</v>
      </c>
      <c r="G290" t="s">
        <v>4026</v>
      </c>
      <c r="H290">
        <v>30</v>
      </c>
      <c r="I290" t="s">
        <v>33</v>
      </c>
    </row>
    <row r="291" spans="1:9">
      <c r="A291" t="s">
        <v>4946</v>
      </c>
      <c r="B291" s="2">
        <v>46153</v>
      </c>
      <c r="C291">
        <v>2026</v>
      </c>
      <c r="D291">
        <v>5</v>
      </c>
      <c r="E291" t="s">
        <v>83</v>
      </c>
      <c r="F291" t="s">
        <v>78</v>
      </c>
      <c r="G291" t="s">
        <v>4026</v>
      </c>
      <c r="H291">
        <v>9</v>
      </c>
      <c r="I291" t="s">
        <v>12</v>
      </c>
    </row>
    <row r="292" spans="1:9">
      <c r="A292" t="s">
        <v>4947</v>
      </c>
      <c r="B292" s="2">
        <v>46182</v>
      </c>
      <c r="C292">
        <v>2026</v>
      </c>
      <c r="D292">
        <v>6</v>
      </c>
      <c r="E292" t="s">
        <v>87</v>
      </c>
      <c r="F292" t="s">
        <v>26</v>
      </c>
      <c r="G292" t="s">
        <v>4032</v>
      </c>
      <c r="H292">
        <v>19</v>
      </c>
      <c r="I292" t="s">
        <v>33</v>
      </c>
    </row>
    <row r="293" spans="1:9">
      <c r="A293" t="s">
        <v>4948</v>
      </c>
      <c r="B293" s="2">
        <v>46186</v>
      </c>
      <c r="C293">
        <v>2026</v>
      </c>
      <c r="D293">
        <v>6</v>
      </c>
      <c r="E293" t="s">
        <v>87</v>
      </c>
      <c r="F293" t="s">
        <v>31</v>
      </c>
      <c r="G293" t="s">
        <v>4034</v>
      </c>
      <c r="H293">
        <v>24</v>
      </c>
      <c r="I293" t="s">
        <v>33</v>
      </c>
    </row>
    <row r="294" spans="1:9">
      <c r="A294" t="s">
        <v>4949</v>
      </c>
      <c r="B294" s="2">
        <v>46183</v>
      </c>
      <c r="C294">
        <v>2026</v>
      </c>
      <c r="D294">
        <v>6</v>
      </c>
      <c r="E294" t="s">
        <v>87</v>
      </c>
      <c r="F294" t="s">
        <v>47</v>
      </c>
      <c r="G294" t="s">
        <v>3026</v>
      </c>
      <c r="H294">
        <v>9</v>
      </c>
      <c r="I294" t="s">
        <v>33</v>
      </c>
    </row>
    <row r="295" spans="1:9">
      <c r="A295" t="s">
        <v>4950</v>
      </c>
      <c r="B295" s="2">
        <v>46199</v>
      </c>
      <c r="C295">
        <v>2026</v>
      </c>
      <c r="D295">
        <v>6</v>
      </c>
      <c r="E295" t="s">
        <v>87</v>
      </c>
      <c r="F295" t="s">
        <v>40</v>
      </c>
      <c r="G295" t="s">
        <v>4039</v>
      </c>
      <c r="H295">
        <v>13</v>
      </c>
      <c r="I295" t="s">
        <v>33</v>
      </c>
    </row>
    <row r="296" spans="1:9">
      <c r="A296" t="s">
        <v>4951</v>
      </c>
      <c r="B296" s="2">
        <v>46179</v>
      </c>
      <c r="C296">
        <v>2026</v>
      </c>
      <c r="D296">
        <v>6</v>
      </c>
      <c r="E296" t="s">
        <v>87</v>
      </c>
      <c r="F296" t="s">
        <v>54</v>
      </c>
      <c r="G296" t="s">
        <v>4044</v>
      </c>
      <c r="H296">
        <v>9</v>
      </c>
      <c r="I296" t="s">
        <v>44</v>
      </c>
    </row>
    <row r="297" spans="1:9">
      <c r="A297" t="s">
        <v>4952</v>
      </c>
      <c r="B297" s="2">
        <v>46180</v>
      </c>
      <c r="C297">
        <v>2026</v>
      </c>
      <c r="D297">
        <v>6</v>
      </c>
      <c r="E297" t="s">
        <v>87</v>
      </c>
      <c r="F297" t="s">
        <v>67</v>
      </c>
      <c r="G297" t="s">
        <v>4021</v>
      </c>
      <c r="H297">
        <v>30</v>
      </c>
      <c r="I297" t="s">
        <v>33</v>
      </c>
    </row>
    <row r="298" spans="1:9">
      <c r="A298" t="s">
        <v>4953</v>
      </c>
      <c r="B298" s="2">
        <v>46199</v>
      </c>
      <c r="C298">
        <v>2026</v>
      </c>
      <c r="D298">
        <v>6</v>
      </c>
      <c r="E298" t="s">
        <v>87</v>
      </c>
      <c r="F298" t="s">
        <v>19</v>
      </c>
      <c r="G298" t="s">
        <v>4039</v>
      </c>
      <c r="H298">
        <v>33</v>
      </c>
      <c r="I298" t="s">
        <v>33</v>
      </c>
    </row>
    <row r="299" spans="1:9">
      <c r="A299" t="s">
        <v>4954</v>
      </c>
      <c r="B299" s="2">
        <v>46178</v>
      </c>
      <c r="C299">
        <v>2026</v>
      </c>
      <c r="D299">
        <v>6</v>
      </c>
      <c r="E299" t="s">
        <v>87</v>
      </c>
      <c r="F299" t="s">
        <v>38</v>
      </c>
      <c r="G299" t="s">
        <v>4034</v>
      </c>
      <c r="H299">
        <v>8</v>
      </c>
      <c r="I299" t="s">
        <v>4</v>
      </c>
    </row>
    <row r="300" spans="1:9">
      <c r="A300" t="s">
        <v>4955</v>
      </c>
      <c r="B300" s="2">
        <v>46198</v>
      </c>
      <c r="C300">
        <v>2026</v>
      </c>
      <c r="D300">
        <v>6</v>
      </c>
      <c r="E300" t="s">
        <v>87</v>
      </c>
      <c r="F300" t="s">
        <v>2</v>
      </c>
      <c r="G300" t="s">
        <v>3039</v>
      </c>
      <c r="H300">
        <v>8</v>
      </c>
      <c r="I300" t="s">
        <v>12</v>
      </c>
    </row>
    <row r="301" spans="1:9">
      <c r="A301" t="s">
        <v>4956</v>
      </c>
      <c r="B301" s="2">
        <v>46188</v>
      </c>
      <c r="C301">
        <v>2026</v>
      </c>
      <c r="D301">
        <v>6</v>
      </c>
      <c r="E301" t="s">
        <v>87</v>
      </c>
      <c r="F301" t="s">
        <v>78</v>
      </c>
      <c r="G301" t="s">
        <v>4044</v>
      </c>
      <c r="H301">
        <v>34</v>
      </c>
      <c r="I301" t="s">
        <v>12</v>
      </c>
    </row>
  </sheetData>
  <hyperlinks>
    <hyperlink ref="K1" location="'Home'!A1" display="Home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</sheetPr>
  <dimension ref="A1:L559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11.7109375" customWidth="1"/>
    <col min="8" max="8" width="12.7109375" customWidth="1"/>
    <col min="9" max="9" width="15.7109375" customWidth="1"/>
    <col min="10" max="10" width="20.7109375" customWidth="1"/>
  </cols>
  <sheetData>
    <row r="1" spans="1:12">
      <c r="A1" t="s">
        <v>5519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5520</v>
      </c>
      <c r="I1" t="s">
        <v>5521</v>
      </c>
      <c r="J1" t="s">
        <v>199</v>
      </c>
      <c r="L1" s="1" t="s">
        <v>203</v>
      </c>
    </row>
    <row r="2" spans="1:12">
      <c r="A2" t="s">
        <v>4959</v>
      </c>
      <c r="B2" s="2">
        <v>45311</v>
      </c>
      <c r="C2">
        <v>2024</v>
      </c>
      <c r="D2">
        <v>1</v>
      </c>
      <c r="E2" t="s">
        <v>1</v>
      </c>
      <c r="F2" t="s">
        <v>26</v>
      </c>
      <c r="G2" t="s">
        <v>55</v>
      </c>
      <c r="H2" t="s">
        <v>4960</v>
      </c>
      <c r="I2" t="s">
        <v>519</v>
      </c>
      <c r="J2" t="s">
        <v>16</v>
      </c>
    </row>
    <row r="3" spans="1:12">
      <c r="A3" t="s">
        <v>4961</v>
      </c>
      <c r="B3" s="2">
        <v>45316</v>
      </c>
      <c r="C3">
        <v>2024</v>
      </c>
      <c r="D3">
        <v>1</v>
      </c>
      <c r="E3" t="s">
        <v>1</v>
      </c>
      <c r="F3" t="s">
        <v>67</v>
      </c>
      <c r="G3" t="s">
        <v>55</v>
      </c>
      <c r="H3" t="s">
        <v>4960</v>
      </c>
      <c r="I3" t="s">
        <v>470</v>
      </c>
      <c r="J3" t="s">
        <v>9</v>
      </c>
    </row>
    <row r="4" spans="1:12">
      <c r="A4" t="s">
        <v>4962</v>
      </c>
      <c r="B4" s="2">
        <v>45297</v>
      </c>
      <c r="C4">
        <v>2024</v>
      </c>
      <c r="D4">
        <v>1</v>
      </c>
      <c r="E4" t="s">
        <v>1</v>
      </c>
      <c r="F4" t="s">
        <v>67</v>
      </c>
      <c r="G4" t="s">
        <v>55</v>
      </c>
      <c r="H4" t="s">
        <v>4963</v>
      </c>
      <c r="I4" t="s">
        <v>494</v>
      </c>
      <c r="J4" t="s">
        <v>9</v>
      </c>
    </row>
    <row r="5" spans="1:12">
      <c r="A5" t="s">
        <v>4964</v>
      </c>
      <c r="B5" s="2">
        <v>45315</v>
      </c>
      <c r="C5">
        <v>2024</v>
      </c>
      <c r="D5">
        <v>1</v>
      </c>
      <c r="E5" t="s">
        <v>1</v>
      </c>
      <c r="F5" t="s">
        <v>78</v>
      </c>
      <c r="G5" t="s">
        <v>94</v>
      </c>
      <c r="H5" t="s">
        <v>4960</v>
      </c>
      <c r="I5" t="s">
        <v>457</v>
      </c>
      <c r="J5" t="s">
        <v>36</v>
      </c>
    </row>
    <row r="6" spans="1:12">
      <c r="A6" t="s">
        <v>4965</v>
      </c>
      <c r="B6" s="2">
        <v>45298</v>
      </c>
      <c r="C6">
        <v>2024</v>
      </c>
      <c r="D6">
        <v>1</v>
      </c>
      <c r="E6" t="s">
        <v>1</v>
      </c>
      <c r="F6" t="s">
        <v>78</v>
      </c>
      <c r="G6" t="s">
        <v>38</v>
      </c>
      <c r="H6" t="s">
        <v>4960</v>
      </c>
      <c r="I6" t="s">
        <v>446</v>
      </c>
      <c r="J6" t="s">
        <v>36</v>
      </c>
    </row>
    <row r="7" spans="1:12">
      <c r="A7" t="s">
        <v>4966</v>
      </c>
      <c r="B7" s="2">
        <v>45312</v>
      </c>
      <c r="C7">
        <v>2024</v>
      </c>
      <c r="D7">
        <v>1</v>
      </c>
      <c r="E7" t="s">
        <v>1</v>
      </c>
      <c r="F7" t="s">
        <v>54</v>
      </c>
      <c r="G7" t="s">
        <v>20</v>
      </c>
      <c r="H7" t="s">
        <v>4960</v>
      </c>
      <c r="I7" t="s">
        <v>457</v>
      </c>
      <c r="J7" t="s">
        <v>36</v>
      </c>
    </row>
    <row r="8" spans="1:12">
      <c r="A8" t="s">
        <v>4967</v>
      </c>
      <c r="B8" s="2">
        <v>45311</v>
      </c>
      <c r="C8">
        <v>2024</v>
      </c>
      <c r="D8">
        <v>1</v>
      </c>
      <c r="E8" t="s">
        <v>1</v>
      </c>
      <c r="F8" t="s">
        <v>54</v>
      </c>
      <c r="G8" t="s">
        <v>94</v>
      </c>
      <c r="H8" t="s">
        <v>4960</v>
      </c>
      <c r="I8" t="s">
        <v>457</v>
      </c>
      <c r="J8" t="s">
        <v>36</v>
      </c>
    </row>
    <row r="9" spans="1:12">
      <c r="A9" t="s">
        <v>4968</v>
      </c>
      <c r="B9" s="2">
        <v>45296</v>
      </c>
      <c r="C9">
        <v>2024</v>
      </c>
      <c r="D9">
        <v>1</v>
      </c>
      <c r="E9" t="s">
        <v>1</v>
      </c>
      <c r="F9" t="s">
        <v>26</v>
      </c>
      <c r="G9" t="s">
        <v>27</v>
      </c>
      <c r="H9" t="s">
        <v>4960</v>
      </c>
      <c r="I9" t="s">
        <v>428</v>
      </c>
      <c r="J9" t="s">
        <v>29</v>
      </c>
    </row>
    <row r="10" spans="1:12">
      <c r="A10" t="s">
        <v>4969</v>
      </c>
      <c r="B10" s="2">
        <v>45300</v>
      </c>
      <c r="C10">
        <v>2024</v>
      </c>
      <c r="D10">
        <v>1</v>
      </c>
      <c r="E10" t="s">
        <v>1</v>
      </c>
      <c r="F10" t="s">
        <v>54</v>
      </c>
      <c r="G10" t="s">
        <v>48</v>
      </c>
      <c r="H10" t="s">
        <v>4963</v>
      </c>
      <c r="I10" t="s">
        <v>466</v>
      </c>
      <c r="J10" t="s">
        <v>9</v>
      </c>
    </row>
    <row r="11" spans="1:12">
      <c r="A11" t="s">
        <v>4970</v>
      </c>
      <c r="B11" s="2">
        <v>45293</v>
      </c>
      <c r="C11">
        <v>2024</v>
      </c>
      <c r="D11">
        <v>1</v>
      </c>
      <c r="E11" t="s">
        <v>1</v>
      </c>
      <c r="F11" t="s">
        <v>2</v>
      </c>
      <c r="G11" t="s">
        <v>61</v>
      </c>
      <c r="H11" t="s">
        <v>4960</v>
      </c>
      <c r="I11" t="s">
        <v>466</v>
      </c>
      <c r="J11" t="s">
        <v>36</v>
      </c>
    </row>
    <row r="12" spans="1:12">
      <c r="A12" t="s">
        <v>4971</v>
      </c>
      <c r="B12" s="2">
        <v>45318</v>
      </c>
      <c r="C12">
        <v>2024</v>
      </c>
      <c r="D12">
        <v>1</v>
      </c>
      <c r="E12" t="s">
        <v>1</v>
      </c>
      <c r="F12" t="s">
        <v>38</v>
      </c>
      <c r="G12" t="s">
        <v>64</v>
      </c>
      <c r="H12" t="s">
        <v>4960</v>
      </c>
      <c r="I12" t="s">
        <v>444</v>
      </c>
      <c r="J12" t="s">
        <v>16</v>
      </c>
    </row>
    <row r="13" spans="1:12">
      <c r="A13" t="s">
        <v>4972</v>
      </c>
      <c r="B13" s="2">
        <v>45296</v>
      </c>
      <c r="C13">
        <v>2024</v>
      </c>
      <c r="D13">
        <v>1</v>
      </c>
      <c r="E13" t="s">
        <v>1</v>
      </c>
      <c r="F13" t="s">
        <v>40</v>
      </c>
      <c r="G13" t="s">
        <v>55</v>
      </c>
      <c r="H13" t="s">
        <v>4960</v>
      </c>
      <c r="I13" t="s">
        <v>494</v>
      </c>
      <c r="J13" t="s">
        <v>29</v>
      </c>
    </row>
    <row r="14" spans="1:12">
      <c r="A14" t="s">
        <v>4973</v>
      </c>
      <c r="B14" s="2">
        <v>45314</v>
      </c>
      <c r="C14">
        <v>2024</v>
      </c>
      <c r="D14">
        <v>1</v>
      </c>
      <c r="E14" t="s">
        <v>1</v>
      </c>
      <c r="F14" t="s">
        <v>47</v>
      </c>
      <c r="G14" t="s">
        <v>94</v>
      </c>
      <c r="H14" t="s">
        <v>4963</v>
      </c>
      <c r="I14" t="s">
        <v>519</v>
      </c>
      <c r="J14" t="s">
        <v>16</v>
      </c>
    </row>
    <row r="15" spans="1:12">
      <c r="A15" t="s">
        <v>4974</v>
      </c>
      <c r="B15" s="2">
        <v>45334</v>
      </c>
      <c r="C15">
        <v>2024</v>
      </c>
      <c r="D15">
        <v>2</v>
      </c>
      <c r="E15" t="s">
        <v>25</v>
      </c>
      <c r="F15" t="s">
        <v>40</v>
      </c>
      <c r="G15" t="s">
        <v>55</v>
      </c>
      <c r="H15" t="s">
        <v>4960</v>
      </c>
      <c r="I15" t="s">
        <v>428</v>
      </c>
      <c r="J15" t="s">
        <v>29</v>
      </c>
    </row>
    <row r="16" spans="1:12">
      <c r="A16" t="s">
        <v>4975</v>
      </c>
      <c r="B16" s="2">
        <v>45349</v>
      </c>
      <c r="C16">
        <v>2024</v>
      </c>
      <c r="D16">
        <v>2</v>
      </c>
      <c r="E16" t="s">
        <v>25</v>
      </c>
      <c r="F16" t="s">
        <v>47</v>
      </c>
      <c r="G16" t="s">
        <v>64</v>
      </c>
      <c r="H16" t="s">
        <v>4963</v>
      </c>
      <c r="I16" t="s">
        <v>494</v>
      </c>
      <c r="J16" t="s">
        <v>36</v>
      </c>
    </row>
    <row r="17" spans="1:10">
      <c r="A17" t="s">
        <v>4976</v>
      </c>
      <c r="B17" s="2">
        <v>45346</v>
      </c>
      <c r="C17">
        <v>2024</v>
      </c>
      <c r="D17">
        <v>2</v>
      </c>
      <c r="E17" t="s">
        <v>25</v>
      </c>
      <c r="F17" t="s">
        <v>47</v>
      </c>
      <c r="G17" t="s">
        <v>94</v>
      </c>
      <c r="H17" t="s">
        <v>4963</v>
      </c>
      <c r="I17" t="s">
        <v>519</v>
      </c>
      <c r="J17" t="s">
        <v>9</v>
      </c>
    </row>
    <row r="18" spans="1:10">
      <c r="A18" t="s">
        <v>4977</v>
      </c>
      <c r="B18" s="2">
        <v>45345</v>
      </c>
      <c r="C18">
        <v>2024</v>
      </c>
      <c r="D18">
        <v>2</v>
      </c>
      <c r="E18" t="s">
        <v>25</v>
      </c>
      <c r="F18" t="s">
        <v>31</v>
      </c>
      <c r="G18" t="s">
        <v>55</v>
      </c>
      <c r="H18" t="s">
        <v>4963</v>
      </c>
      <c r="I18" t="s">
        <v>446</v>
      </c>
      <c r="J18" t="s">
        <v>16</v>
      </c>
    </row>
    <row r="19" spans="1:10">
      <c r="A19" t="s">
        <v>4978</v>
      </c>
      <c r="B19" s="2">
        <v>45343</v>
      </c>
      <c r="C19">
        <v>2024</v>
      </c>
      <c r="D19">
        <v>2</v>
      </c>
      <c r="E19" t="s">
        <v>25</v>
      </c>
      <c r="F19" t="s">
        <v>78</v>
      </c>
      <c r="G19" t="s">
        <v>94</v>
      </c>
      <c r="H19" t="s">
        <v>4960</v>
      </c>
      <c r="I19" t="s">
        <v>444</v>
      </c>
      <c r="J19" t="s">
        <v>36</v>
      </c>
    </row>
    <row r="20" spans="1:10">
      <c r="A20" t="s">
        <v>4979</v>
      </c>
      <c r="B20" s="2">
        <v>45326</v>
      </c>
      <c r="C20">
        <v>2024</v>
      </c>
      <c r="D20">
        <v>2</v>
      </c>
      <c r="E20" t="s">
        <v>25</v>
      </c>
      <c r="F20" t="s">
        <v>78</v>
      </c>
      <c r="G20" t="s">
        <v>32</v>
      </c>
      <c r="H20" t="s">
        <v>4963</v>
      </c>
      <c r="I20" t="s">
        <v>446</v>
      </c>
      <c r="J20" t="s">
        <v>16</v>
      </c>
    </row>
    <row r="21" spans="1:10">
      <c r="A21" t="s">
        <v>4980</v>
      </c>
      <c r="B21" s="2">
        <v>45339</v>
      </c>
      <c r="C21">
        <v>2024</v>
      </c>
      <c r="D21">
        <v>2</v>
      </c>
      <c r="E21" t="s">
        <v>25</v>
      </c>
      <c r="F21" t="s">
        <v>2</v>
      </c>
      <c r="G21" t="s">
        <v>32</v>
      </c>
      <c r="H21" t="s">
        <v>4960</v>
      </c>
      <c r="I21" t="s">
        <v>460</v>
      </c>
      <c r="J21" t="s">
        <v>16</v>
      </c>
    </row>
    <row r="22" spans="1:10">
      <c r="A22" t="s">
        <v>4981</v>
      </c>
      <c r="B22" s="2">
        <v>45323</v>
      </c>
      <c r="C22">
        <v>2024</v>
      </c>
      <c r="D22">
        <v>2</v>
      </c>
      <c r="E22" t="s">
        <v>25</v>
      </c>
      <c r="F22" t="s">
        <v>40</v>
      </c>
      <c r="G22" t="s">
        <v>55</v>
      </c>
      <c r="H22" t="s">
        <v>4960</v>
      </c>
      <c r="I22" t="s">
        <v>460</v>
      </c>
      <c r="J22" t="s">
        <v>29</v>
      </c>
    </row>
    <row r="23" spans="1:10">
      <c r="A23" t="s">
        <v>4982</v>
      </c>
      <c r="B23" s="2">
        <v>45323</v>
      </c>
      <c r="C23">
        <v>2024</v>
      </c>
      <c r="D23">
        <v>2</v>
      </c>
      <c r="E23" t="s">
        <v>25</v>
      </c>
      <c r="F23" t="s">
        <v>31</v>
      </c>
      <c r="G23" t="s">
        <v>69</v>
      </c>
      <c r="H23" t="s">
        <v>4963</v>
      </c>
      <c r="I23" t="s">
        <v>466</v>
      </c>
      <c r="J23" t="s">
        <v>9</v>
      </c>
    </row>
    <row r="24" spans="1:10">
      <c r="A24" t="s">
        <v>4983</v>
      </c>
      <c r="B24" s="2">
        <v>45325</v>
      </c>
      <c r="C24">
        <v>2024</v>
      </c>
      <c r="D24">
        <v>2</v>
      </c>
      <c r="E24" t="s">
        <v>25</v>
      </c>
      <c r="F24" t="s">
        <v>2</v>
      </c>
      <c r="G24" t="s">
        <v>64</v>
      </c>
      <c r="H24" t="s">
        <v>4960</v>
      </c>
      <c r="I24" t="s">
        <v>494</v>
      </c>
      <c r="J24" t="s">
        <v>16</v>
      </c>
    </row>
    <row r="25" spans="1:10">
      <c r="A25" t="s">
        <v>4984</v>
      </c>
      <c r="B25" s="2">
        <v>45331</v>
      </c>
      <c r="C25">
        <v>2024</v>
      </c>
      <c r="D25">
        <v>2</v>
      </c>
      <c r="E25" t="s">
        <v>25</v>
      </c>
      <c r="F25" t="s">
        <v>19</v>
      </c>
      <c r="G25" t="s">
        <v>69</v>
      </c>
      <c r="H25" t="s">
        <v>4960</v>
      </c>
      <c r="I25" t="s">
        <v>460</v>
      </c>
      <c r="J25" t="s">
        <v>9</v>
      </c>
    </row>
    <row r="26" spans="1:10">
      <c r="A26" t="s">
        <v>4985</v>
      </c>
      <c r="B26" s="2">
        <v>45337</v>
      </c>
      <c r="C26">
        <v>2024</v>
      </c>
      <c r="D26">
        <v>2</v>
      </c>
      <c r="E26" t="s">
        <v>25</v>
      </c>
      <c r="F26" t="s">
        <v>19</v>
      </c>
      <c r="G26" t="s">
        <v>69</v>
      </c>
      <c r="H26" t="s">
        <v>4960</v>
      </c>
      <c r="I26" t="s">
        <v>519</v>
      </c>
      <c r="J26" t="s">
        <v>36</v>
      </c>
    </row>
    <row r="27" spans="1:10">
      <c r="A27" t="s">
        <v>4986</v>
      </c>
      <c r="B27" s="2">
        <v>45335</v>
      </c>
      <c r="C27">
        <v>2024</v>
      </c>
      <c r="D27">
        <v>2</v>
      </c>
      <c r="E27" t="s">
        <v>25</v>
      </c>
      <c r="F27" t="s">
        <v>26</v>
      </c>
      <c r="G27" t="s">
        <v>94</v>
      </c>
      <c r="H27" t="s">
        <v>4963</v>
      </c>
      <c r="I27" t="s">
        <v>466</v>
      </c>
      <c r="J27" t="s">
        <v>29</v>
      </c>
    </row>
    <row r="28" spans="1:10">
      <c r="A28" t="s">
        <v>4987</v>
      </c>
      <c r="B28" s="2">
        <v>45333</v>
      </c>
      <c r="C28">
        <v>2024</v>
      </c>
      <c r="D28">
        <v>2</v>
      </c>
      <c r="E28" t="s">
        <v>25</v>
      </c>
      <c r="F28" t="s">
        <v>78</v>
      </c>
      <c r="G28" t="s">
        <v>69</v>
      </c>
      <c r="H28" t="s">
        <v>4960</v>
      </c>
      <c r="I28" t="s">
        <v>444</v>
      </c>
      <c r="J28" t="s">
        <v>16</v>
      </c>
    </row>
    <row r="29" spans="1:10">
      <c r="A29" t="s">
        <v>4988</v>
      </c>
      <c r="B29" s="2">
        <v>45342</v>
      </c>
      <c r="C29">
        <v>2024</v>
      </c>
      <c r="D29">
        <v>2</v>
      </c>
      <c r="E29" t="s">
        <v>25</v>
      </c>
      <c r="F29" t="s">
        <v>2</v>
      </c>
      <c r="G29" t="s">
        <v>64</v>
      </c>
      <c r="H29" t="s">
        <v>4960</v>
      </c>
      <c r="I29" t="s">
        <v>470</v>
      </c>
      <c r="J29" t="s">
        <v>29</v>
      </c>
    </row>
    <row r="30" spans="1:10">
      <c r="A30" t="s">
        <v>4989</v>
      </c>
      <c r="B30" s="2">
        <v>45349</v>
      </c>
      <c r="C30">
        <v>2024</v>
      </c>
      <c r="D30">
        <v>2</v>
      </c>
      <c r="E30" t="s">
        <v>25</v>
      </c>
      <c r="F30" t="s">
        <v>54</v>
      </c>
      <c r="G30" t="s">
        <v>94</v>
      </c>
      <c r="H30" t="s">
        <v>4960</v>
      </c>
      <c r="I30" t="s">
        <v>428</v>
      </c>
      <c r="J30" t="s">
        <v>9</v>
      </c>
    </row>
    <row r="31" spans="1:10">
      <c r="A31" t="s">
        <v>4990</v>
      </c>
      <c r="B31" s="2">
        <v>45333</v>
      </c>
      <c r="C31">
        <v>2024</v>
      </c>
      <c r="D31">
        <v>2</v>
      </c>
      <c r="E31" t="s">
        <v>25</v>
      </c>
      <c r="F31" t="s">
        <v>54</v>
      </c>
      <c r="G31" t="s">
        <v>27</v>
      </c>
      <c r="H31" t="s">
        <v>4960</v>
      </c>
      <c r="I31" t="s">
        <v>428</v>
      </c>
      <c r="J31" t="s">
        <v>16</v>
      </c>
    </row>
    <row r="32" spans="1:10">
      <c r="A32" t="s">
        <v>4991</v>
      </c>
      <c r="B32" s="2">
        <v>45326</v>
      </c>
      <c r="C32">
        <v>2024</v>
      </c>
      <c r="D32">
        <v>2</v>
      </c>
      <c r="E32" t="s">
        <v>25</v>
      </c>
      <c r="F32" t="s">
        <v>47</v>
      </c>
      <c r="G32" t="s">
        <v>64</v>
      </c>
      <c r="H32" t="s">
        <v>4963</v>
      </c>
      <c r="I32" t="s">
        <v>466</v>
      </c>
      <c r="J32" t="s">
        <v>36</v>
      </c>
    </row>
    <row r="33" spans="1:10">
      <c r="A33" t="s">
        <v>4992</v>
      </c>
      <c r="B33" s="2">
        <v>45345</v>
      </c>
      <c r="C33">
        <v>2024</v>
      </c>
      <c r="D33">
        <v>2</v>
      </c>
      <c r="E33" t="s">
        <v>25</v>
      </c>
      <c r="F33" t="s">
        <v>54</v>
      </c>
      <c r="G33" t="s">
        <v>69</v>
      </c>
      <c r="H33" t="s">
        <v>4960</v>
      </c>
      <c r="I33" t="s">
        <v>444</v>
      </c>
      <c r="J33" t="s">
        <v>16</v>
      </c>
    </row>
    <row r="34" spans="1:10">
      <c r="A34" t="s">
        <v>4993</v>
      </c>
      <c r="B34" s="2">
        <v>45347</v>
      </c>
      <c r="C34">
        <v>2024</v>
      </c>
      <c r="D34">
        <v>2</v>
      </c>
      <c r="E34" t="s">
        <v>25</v>
      </c>
      <c r="F34" t="s">
        <v>67</v>
      </c>
      <c r="G34" t="s">
        <v>55</v>
      </c>
      <c r="H34" t="s">
        <v>4960</v>
      </c>
      <c r="I34" t="s">
        <v>494</v>
      </c>
      <c r="J34" t="s">
        <v>9</v>
      </c>
    </row>
    <row r="35" spans="1:10">
      <c r="A35" t="s">
        <v>4994</v>
      </c>
      <c r="B35" s="2">
        <v>45345</v>
      </c>
      <c r="C35">
        <v>2024</v>
      </c>
      <c r="D35">
        <v>2</v>
      </c>
      <c r="E35" t="s">
        <v>25</v>
      </c>
      <c r="F35" t="s">
        <v>40</v>
      </c>
      <c r="G35" t="s">
        <v>55</v>
      </c>
      <c r="H35" t="s">
        <v>4963</v>
      </c>
      <c r="I35" t="s">
        <v>428</v>
      </c>
      <c r="J35" t="s">
        <v>29</v>
      </c>
    </row>
    <row r="36" spans="1:10">
      <c r="A36" t="s">
        <v>4995</v>
      </c>
      <c r="B36" s="2">
        <v>45350</v>
      </c>
      <c r="C36">
        <v>2024</v>
      </c>
      <c r="D36">
        <v>2</v>
      </c>
      <c r="E36" t="s">
        <v>25</v>
      </c>
      <c r="F36" t="s">
        <v>26</v>
      </c>
      <c r="G36" t="s">
        <v>32</v>
      </c>
      <c r="H36" t="s">
        <v>4960</v>
      </c>
      <c r="I36" t="s">
        <v>428</v>
      </c>
      <c r="J36" t="s">
        <v>29</v>
      </c>
    </row>
    <row r="37" spans="1:10">
      <c r="A37" t="s">
        <v>4996</v>
      </c>
      <c r="B37" s="2">
        <v>45334</v>
      </c>
      <c r="C37">
        <v>2024</v>
      </c>
      <c r="D37">
        <v>2</v>
      </c>
      <c r="E37" t="s">
        <v>25</v>
      </c>
      <c r="F37" t="s">
        <v>40</v>
      </c>
      <c r="G37" t="s">
        <v>61</v>
      </c>
      <c r="H37" t="s">
        <v>4960</v>
      </c>
      <c r="I37" t="s">
        <v>444</v>
      </c>
      <c r="J37" t="s">
        <v>29</v>
      </c>
    </row>
    <row r="38" spans="1:10">
      <c r="A38" t="s">
        <v>4997</v>
      </c>
      <c r="B38" s="2">
        <v>45361</v>
      </c>
      <c r="C38">
        <v>2024</v>
      </c>
      <c r="D38">
        <v>3</v>
      </c>
      <c r="E38" t="s">
        <v>60</v>
      </c>
      <c r="F38" t="s">
        <v>19</v>
      </c>
      <c r="G38" t="s">
        <v>61</v>
      </c>
      <c r="H38" t="s">
        <v>4963</v>
      </c>
      <c r="I38" t="s">
        <v>494</v>
      </c>
      <c r="J38" t="s">
        <v>29</v>
      </c>
    </row>
    <row r="39" spans="1:10">
      <c r="A39" t="s">
        <v>4998</v>
      </c>
      <c r="B39" s="2">
        <v>45375</v>
      </c>
      <c r="C39">
        <v>2024</v>
      </c>
      <c r="D39">
        <v>3</v>
      </c>
      <c r="E39" t="s">
        <v>60</v>
      </c>
      <c r="F39" t="s">
        <v>54</v>
      </c>
      <c r="G39" t="s">
        <v>94</v>
      </c>
      <c r="H39" t="s">
        <v>4960</v>
      </c>
      <c r="I39" t="s">
        <v>460</v>
      </c>
      <c r="J39" t="s">
        <v>29</v>
      </c>
    </row>
    <row r="40" spans="1:10">
      <c r="A40" t="s">
        <v>4999</v>
      </c>
      <c r="B40" s="2">
        <v>45367</v>
      </c>
      <c r="C40">
        <v>2024</v>
      </c>
      <c r="D40">
        <v>3</v>
      </c>
      <c r="E40" t="s">
        <v>60</v>
      </c>
      <c r="F40" t="s">
        <v>54</v>
      </c>
      <c r="G40" t="s">
        <v>64</v>
      </c>
      <c r="H40" t="s">
        <v>4960</v>
      </c>
      <c r="I40" t="s">
        <v>454</v>
      </c>
      <c r="J40" t="s">
        <v>16</v>
      </c>
    </row>
    <row r="41" spans="1:10">
      <c r="A41" t="s">
        <v>5000</v>
      </c>
      <c r="B41" s="2">
        <v>45375</v>
      </c>
      <c r="C41">
        <v>2024</v>
      </c>
      <c r="D41">
        <v>3</v>
      </c>
      <c r="E41" t="s">
        <v>60</v>
      </c>
      <c r="F41" t="s">
        <v>78</v>
      </c>
      <c r="G41" t="s">
        <v>64</v>
      </c>
      <c r="H41" t="s">
        <v>4960</v>
      </c>
      <c r="I41" t="s">
        <v>444</v>
      </c>
      <c r="J41" t="s">
        <v>9</v>
      </c>
    </row>
    <row r="42" spans="1:10">
      <c r="A42" t="s">
        <v>5001</v>
      </c>
      <c r="B42" s="2">
        <v>45377</v>
      </c>
      <c r="C42">
        <v>2024</v>
      </c>
      <c r="D42">
        <v>3</v>
      </c>
      <c r="E42" t="s">
        <v>60</v>
      </c>
      <c r="F42" t="s">
        <v>47</v>
      </c>
      <c r="G42" t="s">
        <v>27</v>
      </c>
      <c r="H42" t="s">
        <v>4963</v>
      </c>
      <c r="I42" t="s">
        <v>428</v>
      </c>
      <c r="J42" t="s">
        <v>9</v>
      </c>
    </row>
    <row r="43" spans="1:10">
      <c r="A43" t="s">
        <v>5002</v>
      </c>
      <c r="B43" s="2">
        <v>45356</v>
      </c>
      <c r="C43">
        <v>2024</v>
      </c>
      <c r="D43">
        <v>3</v>
      </c>
      <c r="E43" t="s">
        <v>60</v>
      </c>
      <c r="F43" t="s">
        <v>54</v>
      </c>
      <c r="G43" t="s">
        <v>94</v>
      </c>
      <c r="H43" t="s">
        <v>4960</v>
      </c>
      <c r="I43" t="s">
        <v>466</v>
      </c>
      <c r="J43" t="s">
        <v>16</v>
      </c>
    </row>
    <row r="44" spans="1:10">
      <c r="A44" t="s">
        <v>5003</v>
      </c>
      <c r="B44" s="2">
        <v>45372</v>
      </c>
      <c r="C44">
        <v>2024</v>
      </c>
      <c r="D44">
        <v>3</v>
      </c>
      <c r="E44" t="s">
        <v>60</v>
      </c>
      <c r="F44" t="s">
        <v>78</v>
      </c>
      <c r="G44" t="s">
        <v>64</v>
      </c>
      <c r="H44" t="s">
        <v>4960</v>
      </c>
      <c r="I44" t="s">
        <v>457</v>
      </c>
      <c r="J44" t="s">
        <v>29</v>
      </c>
    </row>
    <row r="45" spans="1:10">
      <c r="A45" t="s">
        <v>5004</v>
      </c>
      <c r="B45" s="2">
        <v>45369</v>
      </c>
      <c r="C45">
        <v>2024</v>
      </c>
      <c r="D45">
        <v>3</v>
      </c>
      <c r="E45" t="s">
        <v>60</v>
      </c>
      <c r="F45" t="s">
        <v>47</v>
      </c>
      <c r="G45" t="s">
        <v>20</v>
      </c>
      <c r="H45" t="s">
        <v>4960</v>
      </c>
      <c r="I45" t="s">
        <v>460</v>
      </c>
      <c r="J45" t="s">
        <v>29</v>
      </c>
    </row>
    <row r="46" spans="1:10">
      <c r="A46" t="s">
        <v>5005</v>
      </c>
      <c r="B46" s="2">
        <v>45371</v>
      </c>
      <c r="C46">
        <v>2024</v>
      </c>
      <c r="D46">
        <v>3</v>
      </c>
      <c r="E46" t="s">
        <v>60</v>
      </c>
      <c r="F46" t="s">
        <v>78</v>
      </c>
      <c r="G46" t="s">
        <v>20</v>
      </c>
      <c r="H46" t="s">
        <v>4963</v>
      </c>
      <c r="I46" t="s">
        <v>428</v>
      </c>
      <c r="J46" t="s">
        <v>9</v>
      </c>
    </row>
    <row r="47" spans="1:10">
      <c r="A47" t="s">
        <v>5006</v>
      </c>
      <c r="B47" s="2">
        <v>45370</v>
      </c>
      <c r="C47">
        <v>2024</v>
      </c>
      <c r="D47">
        <v>3</v>
      </c>
      <c r="E47" t="s">
        <v>60</v>
      </c>
      <c r="F47" t="s">
        <v>2</v>
      </c>
      <c r="G47" t="s">
        <v>3</v>
      </c>
      <c r="H47" t="s">
        <v>4960</v>
      </c>
      <c r="I47" t="s">
        <v>446</v>
      </c>
      <c r="J47" t="s">
        <v>16</v>
      </c>
    </row>
    <row r="48" spans="1:10">
      <c r="A48" t="s">
        <v>5007</v>
      </c>
      <c r="B48" s="2">
        <v>45373</v>
      </c>
      <c r="C48">
        <v>2024</v>
      </c>
      <c r="D48">
        <v>3</v>
      </c>
      <c r="E48" t="s">
        <v>60</v>
      </c>
      <c r="F48" t="s">
        <v>67</v>
      </c>
      <c r="G48" t="s">
        <v>64</v>
      </c>
      <c r="H48" t="s">
        <v>4960</v>
      </c>
      <c r="I48" t="s">
        <v>466</v>
      </c>
      <c r="J48" t="s">
        <v>9</v>
      </c>
    </row>
    <row r="49" spans="1:10">
      <c r="A49" t="s">
        <v>5008</v>
      </c>
      <c r="B49" s="2">
        <v>45410</v>
      </c>
      <c r="C49">
        <v>2024</v>
      </c>
      <c r="D49">
        <v>4</v>
      </c>
      <c r="E49" t="s">
        <v>73</v>
      </c>
      <c r="F49" t="s">
        <v>31</v>
      </c>
      <c r="G49" t="s">
        <v>27</v>
      </c>
      <c r="H49" t="s">
        <v>4963</v>
      </c>
      <c r="I49" t="s">
        <v>444</v>
      </c>
      <c r="J49" t="s">
        <v>36</v>
      </c>
    </row>
    <row r="50" spans="1:10">
      <c r="A50" t="s">
        <v>5009</v>
      </c>
      <c r="B50" s="2">
        <v>45402</v>
      </c>
      <c r="C50">
        <v>2024</v>
      </c>
      <c r="D50">
        <v>4</v>
      </c>
      <c r="E50" t="s">
        <v>73</v>
      </c>
      <c r="F50" t="s">
        <v>31</v>
      </c>
      <c r="G50" t="s">
        <v>48</v>
      </c>
      <c r="H50" t="s">
        <v>4960</v>
      </c>
      <c r="I50" t="s">
        <v>494</v>
      </c>
      <c r="J50" t="s">
        <v>9</v>
      </c>
    </row>
    <row r="51" spans="1:10">
      <c r="A51" t="s">
        <v>5010</v>
      </c>
      <c r="B51" s="2">
        <v>45402</v>
      </c>
      <c r="C51">
        <v>2024</v>
      </c>
      <c r="D51">
        <v>4</v>
      </c>
      <c r="E51" t="s">
        <v>73</v>
      </c>
      <c r="F51" t="s">
        <v>38</v>
      </c>
      <c r="G51" t="s">
        <v>74</v>
      </c>
      <c r="H51" t="s">
        <v>4960</v>
      </c>
      <c r="I51" t="s">
        <v>454</v>
      </c>
      <c r="J51" t="s">
        <v>16</v>
      </c>
    </row>
    <row r="52" spans="1:10">
      <c r="A52" t="s">
        <v>5011</v>
      </c>
      <c r="B52" s="2">
        <v>45391</v>
      </c>
      <c r="C52">
        <v>2024</v>
      </c>
      <c r="D52">
        <v>4</v>
      </c>
      <c r="E52" t="s">
        <v>73</v>
      </c>
      <c r="F52" t="s">
        <v>31</v>
      </c>
      <c r="G52" t="s">
        <v>69</v>
      </c>
      <c r="H52" t="s">
        <v>4960</v>
      </c>
      <c r="I52" t="s">
        <v>519</v>
      </c>
      <c r="J52" t="s">
        <v>29</v>
      </c>
    </row>
    <row r="53" spans="1:10">
      <c r="A53" t="s">
        <v>5012</v>
      </c>
      <c r="B53" s="2">
        <v>45407</v>
      </c>
      <c r="C53">
        <v>2024</v>
      </c>
      <c r="D53">
        <v>4</v>
      </c>
      <c r="E53" t="s">
        <v>73</v>
      </c>
      <c r="F53" t="s">
        <v>47</v>
      </c>
      <c r="G53" t="s">
        <v>3</v>
      </c>
      <c r="H53" t="s">
        <v>4960</v>
      </c>
      <c r="I53" t="s">
        <v>470</v>
      </c>
      <c r="J53" t="s">
        <v>36</v>
      </c>
    </row>
    <row r="54" spans="1:10">
      <c r="A54" t="s">
        <v>5013</v>
      </c>
      <c r="B54" s="2">
        <v>45396</v>
      </c>
      <c r="C54">
        <v>2024</v>
      </c>
      <c r="D54">
        <v>4</v>
      </c>
      <c r="E54" t="s">
        <v>73</v>
      </c>
      <c r="F54" t="s">
        <v>47</v>
      </c>
      <c r="G54" t="s">
        <v>64</v>
      </c>
      <c r="H54" t="s">
        <v>4963</v>
      </c>
      <c r="I54" t="s">
        <v>460</v>
      </c>
      <c r="J54" t="s">
        <v>36</v>
      </c>
    </row>
    <row r="55" spans="1:10">
      <c r="A55" t="s">
        <v>5014</v>
      </c>
      <c r="B55" s="2">
        <v>45403</v>
      </c>
      <c r="C55">
        <v>2024</v>
      </c>
      <c r="D55">
        <v>4</v>
      </c>
      <c r="E55" t="s">
        <v>73</v>
      </c>
      <c r="F55" t="s">
        <v>38</v>
      </c>
      <c r="G55" t="s">
        <v>74</v>
      </c>
      <c r="H55" t="s">
        <v>4960</v>
      </c>
      <c r="I55" t="s">
        <v>470</v>
      </c>
      <c r="J55" t="s">
        <v>36</v>
      </c>
    </row>
    <row r="56" spans="1:10">
      <c r="A56" t="s">
        <v>5015</v>
      </c>
      <c r="B56" s="2">
        <v>45390</v>
      </c>
      <c r="C56">
        <v>2024</v>
      </c>
      <c r="D56">
        <v>4</v>
      </c>
      <c r="E56" t="s">
        <v>73</v>
      </c>
      <c r="F56" t="s">
        <v>38</v>
      </c>
      <c r="G56" t="s">
        <v>3</v>
      </c>
      <c r="H56" t="s">
        <v>4960</v>
      </c>
      <c r="I56" t="s">
        <v>460</v>
      </c>
      <c r="J56" t="s">
        <v>36</v>
      </c>
    </row>
    <row r="57" spans="1:10">
      <c r="A57" t="s">
        <v>5016</v>
      </c>
      <c r="B57" s="2">
        <v>45396</v>
      </c>
      <c r="C57">
        <v>2024</v>
      </c>
      <c r="D57">
        <v>4</v>
      </c>
      <c r="E57" t="s">
        <v>73</v>
      </c>
      <c r="F57" t="s">
        <v>67</v>
      </c>
      <c r="G57" t="s">
        <v>32</v>
      </c>
      <c r="H57" t="s">
        <v>4960</v>
      </c>
      <c r="I57" t="s">
        <v>494</v>
      </c>
      <c r="J57" t="s">
        <v>29</v>
      </c>
    </row>
    <row r="58" spans="1:10">
      <c r="A58" t="s">
        <v>5017</v>
      </c>
      <c r="B58" s="2">
        <v>45407</v>
      </c>
      <c r="C58">
        <v>2024</v>
      </c>
      <c r="D58">
        <v>4</v>
      </c>
      <c r="E58" t="s">
        <v>73</v>
      </c>
      <c r="F58" t="s">
        <v>26</v>
      </c>
      <c r="G58" t="s">
        <v>48</v>
      </c>
      <c r="H58" t="s">
        <v>4963</v>
      </c>
      <c r="I58" t="s">
        <v>428</v>
      </c>
      <c r="J58" t="s">
        <v>16</v>
      </c>
    </row>
    <row r="59" spans="1:10">
      <c r="A59" t="s">
        <v>5018</v>
      </c>
      <c r="B59" s="2">
        <v>45391</v>
      </c>
      <c r="C59">
        <v>2024</v>
      </c>
      <c r="D59">
        <v>4</v>
      </c>
      <c r="E59" t="s">
        <v>73</v>
      </c>
      <c r="F59" t="s">
        <v>54</v>
      </c>
      <c r="G59" t="s">
        <v>61</v>
      </c>
      <c r="H59" t="s">
        <v>4960</v>
      </c>
      <c r="I59" t="s">
        <v>460</v>
      </c>
      <c r="J59" t="s">
        <v>29</v>
      </c>
    </row>
    <row r="60" spans="1:10">
      <c r="A60" t="s">
        <v>5019</v>
      </c>
      <c r="B60" s="2">
        <v>45394</v>
      </c>
      <c r="C60">
        <v>2024</v>
      </c>
      <c r="D60">
        <v>4</v>
      </c>
      <c r="E60" t="s">
        <v>73</v>
      </c>
      <c r="F60" t="s">
        <v>54</v>
      </c>
      <c r="G60" t="s">
        <v>74</v>
      </c>
      <c r="H60" t="s">
        <v>4960</v>
      </c>
      <c r="I60" t="s">
        <v>428</v>
      </c>
      <c r="J60" t="s">
        <v>29</v>
      </c>
    </row>
    <row r="61" spans="1:10">
      <c r="A61" t="s">
        <v>5020</v>
      </c>
      <c r="B61" s="2">
        <v>45410</v>
      </c>
      <c r="C61">
        <v>2024</v>
      </c>
      <c r="D61">
        <v>4</v>
      </c>
      <c r="E61" t="s">
        <v>73</v>
      </c>
      <c r="F61" t="s">
        <v>40</v>
      </c>
      <c r="G61" t="s">
        <v>74</v>
      </c>
      <c r="H61" t="s">
        <v>4960</v>
      </c>
      <c r="I61" t="s">
        <v>446</v>
      </c>
      <c r="J61" t="s">
        <v>16</v>
      </c>
    </row>
    <row r="62" spans="1:10">
      <c r="A62" t="s">
        <v>5021</v>
      </c>
      <c r="B62" s="2">
        <v>45401</v>
      </c>
      <c r="C62">
        <v>2024</v>
      </c>
      <c r="D62">
        <v>4</v>
      </c>
      <c r="E62" t="s">
        <v>73</v>
      </c>
      <c r="F62" t="s">
        <v>19</v>
      </c>
      <c r="G62" t="s">
        <v>3</v>
      </c>
      <c r="H62" t="s">
        <v>4963</v>
      </c>
      <c r="I62" t="s">
        <v>460</v>
      </c>
      <c r="J62" t="s">
        <v>9</v>
      </c>
    </row>
    <row r="63" spans="1:10">
      <c r="A63" t="s">
        <v>5022</v>
      </c>
      <c r="B63" s="2">
        <v>45407</v>
      </c>
      <c r="C63">
        <v>2024</v>
      </c>
      <c r="D63">
        <v>4</v>
      </c>
      <c r="E63" t="s">
        <v>73</v>
      </c>
      <c r="F63" t="s">
        <v>26</v>
      </c>
      <c r="G63" t="s">
        <v>94</v>
      </c>
      <c r="H63" t="s">
        <v>4960</v>
      </c>
      <c r="I63" t="s">
        <v>454</v>
      </c>
      <c r="J63" t="s">
        <v>9</v>
      </c>
    </row>
    <row r="64" spans="1:10">
      <c r="A64" t="s">
        <v>5023</v>
      </c>
      <c r="B64" s="2">
        <v>45386</v>
      </c>
      <c r="C64">
        <v>2024</v>
      </c>
      <c r="D64">
        <v>4</v>
      </c>
      <c r="E64" t="s">
        <v>73</v>
      </c>
      <c r="F64" t="s">
        <v>54</v>
      </c>
      <c r="G64" t="s">
        <v>20</v>
      </c>
      <c r="H64" t="s">
        <v>4960</v>
      </c>
      <c r="I64" t="s">
        <v>454</v>
      </c>
      <c r="J64" t="s">
        <v>36</v>
      </c>
    </row>
    <row r="65" spans="1:10">
      <c r="A65" t="s">
        <v>5024</v>
      </c>
      <c r="B65" s="2">
        <v>45408</v>
      </c>
      <c r="C65">
        <v>2024</v>
      </c>
      <c r="D65">
        <v>4</v>
      </c>
      <c r="E65" t="s">
        <v>73</v>
      </c>
      <c r="F65" t="s">
        <v>2</v>
      </c>
      <c r="G65" t="s">
        <v>27</v>
      </c>
      <c r="H65" t="s">
        <v>4960</v>
      </c>
      <c r="I65" t="s">
        <v>444</v>
      </c>
      <c r="J65" t="s">
        <v>29</v>
      </c>
    </row>
    <row r="66" spans="1:10">
      <c r="A66" t="s">
        <v>5025</v>
      </c>
      <c r="B66" s="2">
        <v>45387</v>
      </c>
      <c r="C66">
        <v>2024</v>
      </c>
      <c r="D66">
        <v>4</v>
      </c>
      <c r="E66" t="s">
        <v>73</v>
      </c>
      <c r="F66" t="s">
        <v>19</v>
      </c>
      <c r="G66" t="s">
        <v>27</v>
      </c>
      <c r="H66" t="s">
        <v>4960</v>
      </c>
      <c r="I66" t="s">
        <v>470</v>
      </c>
      <c r="J66" t="s">
        <v>29</v>
      </c>
    </row>
    <row r="67" spans="1:10">
      <c r="A67" t="s">
        <v>5026</v>
      </c>
      <c r="B67" s="2">
        <v>45420</v>
      </c>
      <c r="C67">
        <v>2024</v>
      </c>
      <c r="D67">
        <v>5</v>
      </c>
      <c r="E67" t="s">
        <v>83</v>
      </c>
      <c r="F67" t="s">
        <v>54</v>
      </c>
      <c r="G67" t="s">
        <v>69</v>
      </c>
      <c r="H67" t="s">
        <v>4960</v>
      </c>
      <c r="I67" t="s">
        <v>494</v>
      </c>
      <c r="J67" t="s">
        <v>16</v>
      </c>
    </row>
    <row r="68" spans="1:10">
      <c r="A68" t="s">
        <v>5027</v>
      </c>
      <c r="B68" s="2">
        <v>45423</v>
      </c>
      <c r="C68">
        <v>2024</v>
      </c>
      <c r="D68">
        <v>5</v>
      </c>
      <c r="E68" t="s">
        <v>83</v>
      </c>
      <c r="F68" t="s">
        <v>19</v>
      </c>
      <c r="G68" t="s">
        <v>32</v>
      </c>
      <c r="H68" t="s">
        <v>4963</v>
      </c>
      <c r="I68" t="s">
        <v>454</v>
      </c>
      <c r="J68" t="s">
        <v>16</v>
      </c>
    </row>
    <row r="69" spans="1:10">
      <c r="A69" t="s">
        <v>5028</v>
      </c>
      <c r="B69" s="2">
        <v>45417</v>
      </c>
      <c r="C69">
        <v>2024</v>
      </c>
      <c r="D69">
        <v>5</v>
      </c>
      <c r="E69" t="s">
        <v>83</v>
      </c>
      <c r="F69" t="s">
        <v>54</v>
      </c>
      <c r="G69" t="s">
        <v>55</v>
      </c>
      <c r="H69" t="s">
        <v>4960</v>
      </c>
      <c r="I69" t="s">
        <v>446</v>
      </c>
      <c r="J69" t="s">
        <v>29</v>
      </c>
    </row>
    <row r="70" spans="1:10">
      <c r="A70" t="s">
        <v>5029</v>
      </c>
      <c r="B70" s="2">
        <v>45435</v>
      </c>
      <c r="C70">
        <v>2024</v>
      </c>
      <c r="D70">
        <v>5</v>
      </c>
      <c r="E70" t="s">
        <v>83</v>
      </c>
      <c r="F70" t="s">
        <v>67</v>
      </c>
      <c r="G70" t="s">
        <v>64</v>
      </c>
      <c r="H70" t="s">
        <v>4960</v>
      </c>
      <c r="I70" t="s">
        <v>444</v>
      </c>
      <c r="J70" t="s">
        <v>9</v>
      </c>
    </row>
    <row r="71" spans="1:10">
      <c r="A71" t="s">
        <v>5030</v>
      </c>
      <c r="B71" s="2">
        <v>45413</v>
      </c>
      <c r="C71">
        <v>2024</v>
      </c>
      <c r="D71">
        <v>5</v>
      </c>
      <c r="E71" t="s">
        <v>83</v>
      </c>
      <c r="F71" t="s">
        <v>26</v>
      </c>
      <c r="G71" t="s">
        <v>3</v>
      </c>
      <c r="H71" t="s">
        <v>4960</v>
      </c>
      <c r="I71" t="s">
        <v>444</v>
      </c>
      <c r="J71" t="s">
        <v>9</v>
      </c>
    </row>
    <row r="72" spans="1:10">
      <c r="A72" t="s">
        <v>5031</v>
      </c>
      <c r="B72" s="2">
        <v>45436</v>
      </c>
      <c r="C72">
        <v>2024</v>
      </c>
      <c r="D72">
        <v>5</v>
      </c>
      <c r="E72" t="s">
        <v>83</v>
      </c>
      <c r="F72" t="s">
        <v>2</v>
      </c>
      <c r="G72" t="s">
        <v>3</v>
      </c>
      <c r="H72" t="s">
        <v>4963</v>
      </c>
      <c r="I72" t="s">
        <v>460</v>
      </c>
      <c r="J72" t="s">
        <v>16</v>
      </c>
    </row>
    <row r="73" spans="1:10">
      <c r="A73" t="s">
        <v>5032</v>
      </c>
      <c r="B73" s="2">
        <v>45421</v>
      </c>
      <c r="C73">
        <v>2024</v>
      </c>
      <c r="D73">
        <v>5</v>
      </c>
      <c r="E73" t="s">
        <v>83</v>
      </c>
      <c r="F73" t="s">
        <v>38</v>
      </c>
      <c r="G73" t="s">
        <v>38</v>
      </c>
      <c r="H73" t="s">
        <v>4960</v>
      </c>
      <c r="I73" t="s">
        <v>454</v>
      </c>
      <c r="J73" t="s">
        <v>9</v>
      </c>
    </row>
    <row r="74" spans="1:10">
      <c r="A74" t="s">
        <v>5033</v>
      </c>
      <c r="B74" s="2">
        <v>45425</v>
      </c>
      <c r="C74">
        <v>2024</v>
      </c>
      <c r="D74">
        <v>5</v>
      </c>
      <c r="E74" t="s">
        <v>83</v>
      </c>
      <c r="F74" t="s">
        <v>78</v>
      </c>
      <c r="G74" t="s">
        <v>61</v>
      </c>
      <c r="H74" t="s">
        <v>4963</v>
      </c>
      <c r="I74" t="s">
        <v>494</v>
      </c>
      <c r="J74" t="s">
        <v>29</v>
      </c>
    </row>
    <row r="75" spans="1:10">
      <c r="A75" t="s">
        <v>5034</v>
      </c>
      <c r="B75" s="2">
        <v>45425</v>
      </c>
      <c r="C75">
        <v>2024</v>
      </c>
      <c r="D75">
        <v>5</v>
      </c>
      <c r="E75" t="s">
        <v>83</v>
      </c>
      <c r="F75" t="s">
        <v>40</v>
      </c>
      <c r="G75" t="s">
        <v>32</v>
      </c>
      <c r="H75" t="s">
        <v>4960</v>
      </c>
      <c r="I75" t="s">
        <v>454</v>
      </c>
      <c r="J75" t="s">
        <v>29</v>
      </c>
    </row>
    <row r="76" spans="1:10">
      <c r="A76" t="s">
        <v>5035</v>
      </c>
      <c r="B76" s="2">
        <v>45427</v>
      </c>
      <c r="C76">
        <v>2024</v>
      </c>
      <c r="D76">
        <v>5</v>
      </c>
      <c r="E76" t="s">
        <v>83</v>
      </c>
      <c r="F76" t="s">
        <v>67</v>
      </c>
      <c r="G76" t="s">
        <v>27</v>
      </c>
      <c r="H76" t="s">
        <v>4960</v>
      </c>
      <c r="I76" t="s">
        <v>466</v>
      </c>
      <c r="J76" t="s">
        <v>9</v>
      </c>
    </row>
    <row r="77" spans="1:10">
      <c r="A77" t="s">
        <v>5036</v>
      </c>
      <c r="B77" s="2">
        <v>45430</v>
      </c>
      <c r="C77">
        <v>2024</v>
      </c>
      <c r="D77">
        <v>5</v>
      </c>
      <c r="E77" t="s">
        <v>83</v>
      </c>
      <c r="F77" t="s">
        <v>19</v>
      </c>
      <c r="G77" t="s">
        <v>27</v>
      </c>
      <c r="H77" t="s">
        <v>4963</v>
      </c>
      <c r="I77" t="s">
        <v>494</v>
      </c>
      <c r="J77" t="s">
        <v>29</v>
      </c>
    </row>
    <row r="78" spans="1:10">
      <c r="A78" t="s">
        <v>5037</v>
      </c>
      <c r="B78" s="2">
        <v>45425</v>
      </c>
      <c r="C78">
        <v>2024</v>
      </c>
      <c r="D78">
        <v>5</v>
      </c>
      <c r="E78" t="s">
        <v>83</v>
      </c>
      <c r="F78" t="s">
        <v>54</v>
      </c>
      <c r="G78" t="s">
        <v>69</v>
      </c>
      <c r="H78" t="s">
        <v>4963</v>
      </c>
      <c r="I78" t="s">
        <v>428</v>
      </c>
      <c r="J78" t="s">
        <v>29</v>
      </c>
    </row>
    <row r="79" spans="1:10">
      <c r="A79" t="s">
        <v>5038</v>
      </c>
      <c r="B79" s="2">
        <v>45416</v>
      </c>
      <c r="C79">
        <v>2024</v>
      </c>
      <c r="D79">
        <v>5</v>
      </c>
      <c r="E79" t="s">
        <v>83</v>
      </c>
      <c r="F79" t="s">
        <v>67</v>
      </c>
      <c r="G79" t="s">
        <v>55</v>
      </c>
      <c r="H79" t="s">
        <v>4963</v>
      </c>
      <c r="I79" t="s">
        <v>457</v>
      </c>
      <c r="J79" t="s">
        <v>16</v>
      </c>
    </row>
    <row r="80" spans="1:10">
      <c r="A80" t="s">
        <v>5039</v>
      </c>
      <c r="B80" s="2">
        <v>45420</v>
      </c>
      <c r="C80">
        <v>2024</v>
      </c>
      <c r="D80">
        <v>5</v>
      </c>
      <c r="E80" t="s">
        <v>83</v>
      </c>
      <c r="F80" t="s">
        <v>67</v>
      </c>
      <c r="G80" t="s">
        <v>27</v>
      </c>
      <c r="H80" t="s">
        <v>4960</v>
      </c>
      <c r="I80" t="s">
        <v>428</v>
      </c>
      <c r="J80" t="s">
        <v>29</v>
      </c>
    </row>
    <row r="81" spans="1:10">
      <c r="A81" t="s">
        <v>5040</v>
      </c>
      <c r="B81" s="2">
        <v>45435</v>
      </c>
      <c r="C81">
        <v>2024</v>
      </c>
      <c r="D81">
        <v>5</v>
      </c>
      <c r="E81" t="s">
        <v>83</v>
      </c>
      <c r="F81" t="s">
        <v>38</v>
      </c>
      <c r="G81" t="s">
        <v>20</v>
      </c>
      <c r="H81" t="s">
        <v>4960</v>
      </c>
      <c r="I81" t="s">
        <v>446</v>
      </c>
      <c r="J81" t="s">
        <v>36</v>
      </c>
    </row>
    <row r="82" spans="1:10">
      <c r="A82" t="s">
        <v>5041</v>
      </c>
      <c r="B82" s="2">
        <v>45422</v>
      </c>
      <c r="C82">
        <v>2024</v>
      </c>
      <c r="D82">
        <v>5</v>
      </c>
      <c r="E82" t="s">
        <v>83</v>
      </c>
      <c r="F82" t="s">
        <v>67</v>
      </c>
      <c r="G82" t="s">
        <v>32</v>
      </c>
      <c r="H82" t="s">
        <v>4960</v>
      </c>
      <c r="I82" t="s">
        <v>444</v>
      </c>
      <c r="J82" t="s">
        <v>9</v>
      </c>
    </row>
    <row r="83" spans="1:10">
      <c r="A83" t="s">
        <v>5042</v>
      </c>
      <c r="B83" s="2">
        <v>45417</v>
      </c>
      <c r="C83">
        <v>2024</v>
      </c>
      <c r="D83">
        <v>5</v>
      </c>
      <c r="E83" t="s">
        <v>83</v>
      </c>
      <c r="F83" t="s">
        <v>26</v>
      </c>
      <c r="G83" t="s">
        <v>61</v>
      </c>
      <c r="H83" t="s">
        <v>4960</v>
      </c>
      <c r="I83" t="s">
        <v>466</v>
      </c>
      <c r="J83" t="s">
        <v>16</v>
      </c>
    </row>
    <row r="84" spans="1:10">
      <c r="A84" t="s">
        <v>5043</v>
      </c>
      <c r="B84" s="2">
        <v>45419</v>
      </c>
      <c r="C84">
        <v>2024</v>
      </c>
      <c r="D84">
        <v>5</v>
      </c>
      <c r="E84" t="s">
        <v>83</v>
      </c>
      <c r="F84" t="s">
        <v>47</v>
      </c>
      <c r="G84" t="s">
        <v>94</v>
      </c>
      <c r="H84" t="s">
        <v>4960</v>
      </c>
      <c r="I84" t="s">
        <v>460</v>
      </c>
      <c r="J84" t="s">
        <v>36</v>
      </c>
    </row>
    <row r="85" spans="1:10">
      <c r="A85" t="s">
        <v>5044</v>
      </c>
      <c r="B85" s="2">
        <v>45425</v>
      </c>
      <c r="C85">
        <v>2024</v>
      </c>
      <c r="D85">
        <v>5</v>
      </c>
      <c r="E85" t="s">
        <v>83</v>
      </c>
      <c r="F85" t="s">
        <v>40</v>
      </c>
      <c r="G85" t="s">
        <v>94</v>
      </c>
      <c r="H85" t="s">
        <v>4960</v>
      </c>
      <c r="I85" t="s">
        <v>444</v>
      </c>
      <c r="J85" t="s">
        <v>9</v>
      </c>
    </row>
    <row r="86" spans="1:10">
      <c r="A86" t="s">
        <v>5045</v>
      </c>
      <c r="B86" s="2">
        <v>45427</v>
      </c>
      <c r="C86">
        <v>2024</v>
      </c>
      <c r="D86">
        <v>5</v>
      </c>
      <c r="E86" t="s">
        <v>83</v>
      </c>
      <c r="F86" t="s">
        <v>38</v>
      </c>
      <c r="G86" t="s">
        <v>3</v>
      </c>
      <c r="H86" t="s">
        <v>4960</v>
      </c>
      <c r="I86" t="s">
        <v>466</v>
      </c>
      <c r="J86" t="s">
        <v>29</v>
      </c>
    </row>
    <row r="87" spans="1:10">
      <c r="A87" t="s">
        <v>5046</v>
      </c>
      <c r="B87" s="2">
        <v>45434</v>
      </c>
      <c r="C87">
        <v>2024</v>
      </c>
      <c r="D87">
        <v>5</v>
      </c>
      <c r="E87" t="s">
        <v>83</v>
      </c>
      <c r="F87" t="s">
        <v>78</v>
      </c>
      <c r="G87" t="s">
        <v>74</v>
      </c>
      <c r="H87" t="s">
        <v>4960</v>
      </c>
      <c r="I87" t="s">
        <v>444</v>
      </c>
      <c r="J87" t="s">
        <v>29</v>
      </c>
    </row>
    <row r="88" spans="1:10">
      <c r="A88" t="s">
        <v>5047</v>
      </c>
      <c r="B88" s="2">
        <v>45436</v>
      </c>
      <c r="C88">
        <v>2024</v>
      </c>
      <c r="D88">
        <v>5</v>
      </c>
      <c r="E88" t="s">
        <v>83</v>
      </c>
      <c r="F88" t="s">
        <v>47</v>
      </c>
      <c r="G88" t="s">
        <v>27</v>
      </c>
      <c r="H88" t="s">
        <v>4960</v>
      </c>
      <c r="I88" t="s">
        <v>457</v>
      </c>
      <c r="J88" t="s">
        <v>16</v>
      </c>
    </row>
    <row r="89" spans="1:10">
      <c r="A89" t="s">
        <v>5048</v>
      </c>
      <c r="B89" s="2">
        <v>45438</v>
      </c>
      <c r="C89">
        <v>2024</v>
      </c>
      <c r="D89">
        <v>5</v>
      </c>
      <c r="E89" t="s">
        <v>83</v>
      </c>
      <c r="F89" t="s">
        <v>19</v>
      </c>
      <c r="G89" t="s">
        <v>27</v>
      </c>
      <c r="H89" t="s">
        <v>4960</v>
      </c>
      <c r="I89" t="s">
        <v>460</v>
      </c>
      <c r="J89" t="s">
        <v>9</v>
      </c>
    </row>
    <row r="90" spans="1:10">
      <c r="A90" t="s">
        <v>5049</v>
      </c>
      <c r="B90" s="2">
        <v>45435</v>
      </c>
      <c r="C90">
        <v>2024</v>
      </c>
      <c r="D90">
        <v>5</v>
      </c>
      <c r="E90" t="s">
        <v>83</v>
      </c>
      <c r="F90" t="s">
        <v>47</v>
      </c>
      <c r="G90" t="s">
        <v>64</v>
      </c>
      <c r="H90" t="s">
        <v>4960</v>
      </c>
      <c r="I90" t="s">
        <v>444</v>
      </c>
      <c r="J90" t="s">
        <v>16</v>
      </c>
    </row>
    <row r="91" spans="1:10">
      <c r="A91" t="s">
        <v>5050</v>
      </c>
      <c r="B91" s="2">
        <v>45427</v>
      </c>
      <c r="C91">
        <v>2024</v>
      </c>
      <c r="D91">
        <v>5</v>
      </c>
      <c r="E91" t="s">
        <v>83</v>
      </c>
      <c r="F91" t="s">
        <v>31</v>
      </c>
      <c r="G91" t="s">
        <v>3</v>
      </c>
      <c r="H91" t="s">
        <v>4960</v>
      </c>
      <c r="I91" t="s">
        <v>466</v>
      </c>
      <c r="J91" t="s">
        <v>9</v>
      </c>
    </row>
    <row r="92" spans="1:10">
      <c r="A92" t="s">
        <v>5051</v>
      </c>
      <c r="B92" s="2">
        <v>45427</v>
      </c>
      <c r="C92">
        <v>2024</v>
      </c>
      <c r="D92">
        <v>5</v>
      </c>
      <c r="E92" t="s">
        <v>83</v>
      </c>
      <c r="F92" t="s">
        <v>31</v>
      </c>
      <c r="G92" t="s">
        <v>48</v>
      </c>
      <c r="H92" t="s">
        <v>4960</v>
      </c>
      <c r="I92" t="s">
        <v>466</v>
      </c>
      <c r="J92" t="s">
        <v>16</v>
      </c>
    </row>
    <row r="93" spans="1:10">
      <c r="A93" t="s">
        <v>5052</v>
      </c>
      <c r="B93" s="2">
        <v>45428</v>
      </c>
      <c r="C93">
        <v>2024</v>
      </c>
      <c r="D93">
        <v>5</v>
      </c>
      <c r="E93" t="s">
        <v>83</v>
      </c>
      <c r="F93" t="s">
        <v>67</v>
      </c>
      <c r="G93" t="s">
        <v>48</v>
      </c>
      <c r="H93" t="s">
        <v>4963</v>
      </c>
      <c r="I93" t="s">
        <v>460</v>
      </c>
      <c r="J93" t="s">
        <v>9</v>
      </c>
    </row>
    <row r="94" spans="1:10">
      <c r="A94" t="s">
        <v>5053</v>
      </c>
      <c r="B94" s="2">
        <v>45437</v>
      </c>
      <c r="C94">
        <v>2024</v>
      </c>
      <c r="D94">
        <v>5</v>
      </c>
      <c r="E94" t="s">
        <v>83</v>
      </c>
      <c r="F94" t="s">
        <v>54</v>
      </c>
      <c r="G94" t="s">
        <v>38</v>
      </c>
      <c r="H94" t="s">
        <v>4960</v>
      </c>
      <c r="I94" t="s">
        <v>446</v>
      </c>
      <c r="J94" t="s">
        <v>16</v>
      </c>
    </row>
    <row r="95" spans="1:10">
      <c r="A95" t="s">
        <v>5054</v>
      </c>
      <c r="B95" s="2">
        <v>45414</v>
      </c>
      <c r="C95">
        <v>2024</v>
      </c>
      <c r="D95">
        <v>5</v>
      </c>
      <c r="E95" t="s">
        <v>83</v>
      </c>
      <c r="F95" t="s">
        <v>40</v>
      </c>
      <c r="G95" t="s">
        <v>74</v>
      </c>
      <c r="H95" t="s">
        <v>4963</v>
      </c>
      <c r="I95" t="s">
        <v>460</v>
      </c>
      <c r="J95" t="s">
        <v>36</v>
      </c>
    </row>
    <row r="96" spans="1:10">
      <c r="A96" t="s">
        <v>5055</v>
      </c>
      <c r="B96" s="2">
        <v>45468</v>
      </c>
      <c r="C96">
        <v>2024</v>
      </c>
      <c r="D96">
        <v>6</v>
      </c>
      <c r="E96" t="s">
        <v>87</v>
      </c>
      <c r="F96" t="s">
        <v>26</v>
      </c>
      <c r="G96" t="s">
        <v>55</v>
      </c>
      <c r="H96" t="s">
        <v>4960</v>
      </c>
      <c r="I96" t="s">
        <v>470</v>
      </c>
      <c r="J96" t="s">
        <v>16</v>
      </c>
    </row>
    <row r="97" spans="1:10">
      <c r="A97" t="s">
        <v>5056</v>
      </c>
      <c r="B97" s="2">
        <v>45462</v>
      </c>
      <c r="C97">
        <v>2024</v>
      </c>
      <c r="D97">
        <v>6</v>
      </c>
      <c r="E97" t="s">
        <v>87</v>
      </c>
      <c r="F97" t="s">
        <v>26</v>
      </c>
      <c r="G97" t="s">
        <v>55</v>
      </c>
      <c r="H97" t="s">
        <v>4960</v>
      </c>
      <c r="I97" t="s">
        <v>428</v>
      </c>
      <c r="J97" t="s">
        <v>29</v>
      </c>
    </row>
    <row r="98" spans="1:10">
      <c r="A98" t="s">
        <v>5057</v>
      </c>
      <c r="B98" s="2">
        <v>45459</v>
      </c>
      <c r="C98">
        <v>2024</v>
      </c>
      <c r="D98">
        <v>6</v>
      </c>
      <c r="E98" t="s">
        <v>87</v>
      </c>
      <c r="F98" t="s">
        <v>26</v>
      </c>
      <c r="G98" t="s">
        <v>32</v>
      </c>
      <c r="H98" t="s">
        <v>4963</v>
      </c>
      <c r="I98" t="s">
        <v>519</v>
      </c>
      <c r="J98" t="s">
        <v>36</v>
      </c>
    </row>
    <row r="99" spans="1:10">
      <c r="A99" t="s">
        <v>5058</v>
      </c>
      <c r="B99" s="2">
        <v>45444</v>
      </c>
      <c r="C99">
        <v>2024</v>
      </c>
      <c r="D99">
        <v>6</v>
      </c>
      <c r="E99" t="s">
        <v>87</v>
      </c>
      <c r="F99" t="s">
        <v>26</v>
      </c>
      <c r="G99" t="s">
        <v>48</v>
      </c>
      <c r="H99" t="s">
        <v>4960</v>
      </c>
      <c r="I99" t="s">
        <v>457</v>
      </c>
      <c r="J99" t="s">
        <v>36</v>
      </c>
    </row>
    <row r="100" spans="1:10">
      <c r="A100" t="s">
        <v>5059</v>
      </c>
      <c r="B100" s="2">
        <v>45451</v>
      </c>
      <c r="C100">
        <v>2024</v>
      </c>
      <c r="D100">
        <v>6</v>
      </c>
      <c r="E100" t="s">
        <v>87</v>
      </c>
      <c r="F100" t="s">
        <v>38</v>
      </c>
      <c r="G100" t="s">
        <v>32</v>
      </c>
      <c r="H100" t="s">
        <v>4960</v>
      </c>
      <c r="I100" t="s">
        <v>460</v>
      </c>
      <c r="J100" t="s">
        <v>9</v>
      </c>
    </row>
    <row r="101" spans="1:10">
      <c r="A101" t="s">
        <v>5060</v>
      </c>
      <c r="B101" s="2">
        <v>45454</v>
      </c>
      <c r="C101">
        <v>2024</v>
      </c>
      <c r="D101">
        <v>6</v>
      </c>
      <c r="E101" t="s">
        <v>87</v>
      </c>
      <c r="F101" t="s">
        <v>26</v>
      </c>
      <c r="G101" t="s">
        <v>74</v>
      </c>
      <c r="H101" t="s">
        <v>4960</v>
      </c>
      <c r="I101" t="s">
        <v>470</v>
      </c>
      <c r="J101" t="s">
        <v>9</v>
      </c>
    </row>
    <row r="102" spans="1:10">
      <c r="A102" t="s">
        <v>5061</v>
      </c>
      <c r="B102" s="2">
        <v>45449</v>
      </c>
      <c r="C102">
        <v>2024</v>
      </c>
      <c r="D102">
        <v>6</v>
      </c>
      <c r="E102" t="s">
        <v>87</v>
      </c>
      <c r="F102" t="s">
        <v>54</v>
      </c>
      <c r="G102" t="s">
        <v>55</v>
      </c>
      <c r="H102" t="s">
        <v>4963</v>
      </c>
      <c r="I102" t="s">
        <v>470</v>
      </c>
      <c r="J102" t="s">
        <v>16</v>
      </c>
    </row>
    <row r="103" spans="1:10">
      <c r="A103" t="s">
        <v>5062</v>
      </c>
      <c r="B103" s="2">
        <v>45467</v>
      </c>
      <c r="C103">
        <v>2024</v>
      </c>
      <c r="D103">
        <v>6</v>
      </c>
      <c r="E103" t="s">
        <v>87</v>
      </c>
      <c r="F103" t="s">
        <v>47</v>
      </c>
      <c r="G103" t="s">
        <v>61</v>
      </c>
      <c r="H103" t="s">
        <v>4960</v>
      </c>
      <c r="I103" t="s">
        <v>454</v>
      </c>
      <c r="J103" t="s">
        <v>16</v>
      </c>
    </row>
    <row r="104" spans="1:10">
      <c r="A104" t="s">
        <v>5063</v>
      </c>
      <c r="B104" s="2">
        <v>45454</v>
      </c>
      <c r="C104">
        <v>2024</v>
      </c>
      <c r="D104">
        <v>6</v>
      </c>
      <c r="E104" t="s">
        <v>87</v>
      </c>
      <c r="F104" t="s">
        <v>47</v>
      </c>
      <c r="G104" t="s">
        <v>74</v>
      </c>
      <c r="H104" t="s">
        <v>4960</v>
      </c>
      <c r="I104" t="s">
        <v>444</v>
      </c>
      <c r="J104" t="s">
        <v>36</v>
      </c>
    </row>
    <row r="105" spans="1:10">
      <c r="A105" t="s">
        <v>5064</v>
      </c>
      <c r="B105" s="2">
        <v>45466</v>
      </c>
      <c r="C105">
        <v>2024</v>
      </c>
      <c r="D105">
        <v>6</v>
      </c>
      <c r="E105" t="s">
        <v>87</v>
      </c>
      <c r="F105" t="s">
        <v>54</v>
      </c>
      <c r="G105" t="s">
        <v>69</v>
      </c>
      <c r="H105" t="s">
        <v>4963</v>
      </c>
      <c r="I105" t="s">
        <v>446</v>
      </c>
      <c r="J105" t="s">
        <v>29</v>
      </c>
    </row>
    <row r="106" spans="1:10">
      <c r="A106" t="s">
        <v>5065</v>
      </c>
      <c r="B106" s="2">
        <v>45450</v>
      </c>
      <c r="C106">
        <v>2024</v>
      </c>
      <c r="D106">
        <v>6</v>
      </c>
      <c r="E106" t="s">
        <v>87</v>
      </c>
      <c r="F106" t="s">
        <v>78</v>
      </c>
      <c r="G106" t="s">
        <v>74</v>
      </c>
      <c r="H106" t="s">
        <v>4963</v>
      </c>
      <c r="I106" t="s">
        <v>428</v>
      </c>
      <c r="J106" t="s">
        <v>36</v>
      </c>
    </row>
    <row r="107" spans="1:10">
      <c r="A107" t="s">
        <v>5066</v>
      </c>
      <c r="B107" s="2">
        <v>45464</v>
      </c>
      <c r="C107">
        <v>2024</v>
      </c>
      <c r="D107">
        <v>6</v>
      </c>
      <c r="E107" t="s">
        <v>87</v>
      </c>
      <c r="F107" t="s">
        <v>26</v>
      </c>
      <c r="G107" t="s">
        <v>20</v>
      </c>
      <c r="H107" t="s">
        <v>4960</v>
      </c>
      <c r="I107" t="s">
        <v>519</v>
      </c>
      <c r="J107" t="s">
        <v>36</v>
      </c>
    </row>
    <row r="108" spans="1:10">
      <c r="A108" t="s">
        <v>5067</v>
      </c>
      <c r="B108" s="2">
        <v>45462</v>
      </c>
      <c r="C108">
        <v>2024</v>
      </c>
      <c r="D108">
        <v>6</v>
      </c>
      <c r="E108" t="s">
        <v>87</v>
      </c>
      <c r="F108" t="s">
        <v>31</v>
      </c>
      <c r="G108" t="s">
        <v>27</v>
      </c>
      <c r="H108" t="s">
        <v>4960</v>
      </c>
      <c r="I108" t="s">
        <v>444</v>
      </c>
      <c r="J108" t="s">
        <v>36</v>
      </c>
    </row>
    <row r="109" spans="1:10">
      <c r="A109" t="s">
        <v>5068</v>
      </c>
      <c r="B109" s="2">
        <v>45470</v>
      </c>
      <c r="C109">
        <v>2024</v>
      </c>
      <c r="D109">
        <v>6</v>
      </c>
      <c r="E109" t="s">
        <v>87</v>
      </c>
      <c r="F109" t="s">
        <v>19</v>
      </c>
      <c r="G109" t="s">
        <v>74</v>
      </c>
      <c r="H109" t="s">
        <v>4960</v>
      </c>
      <c r="I109" t="s">
        <v>457</v>
      </c>
      <c r="J109" t="s">
        <v>36</v>
      </c>
    </row>
    <row r="110" spans="1:10">
      <c r="A110" t="s">
        <v>5069</v>
      </c>
      <c r="B110" s="2">
        <v>45451</v>
      </c>
      <c r="C110">
        <v>2024</v>
      </c>
      <c r="D110">
        <v>6</v>
      </c>
      <c r="E110" t="s">
        <v>87</v>
      </c>
      <c r="F110" t="s">
        <v>47</v>
      </c>
      <c r="G110" t="s">
        <v>48</v>
      </c>
      <c r="H110" t="s">
        <v>4960</v>
      </c>
      <c r="I110" t="s">
        <v>466</v>
      </c>
      <c r="J110" t="s">
        <v>16</v>
      </c>
    </row>
    <row r="111" spans="1:10">
      <c r="A111" t="s">
        <v>5070</v>
      </c>
      <c r="B111" s="2">
        <v>45453</v>
      </c>
      <c r="C111">
        <v>2024</v>
      </c>
      <c r="D111">
        <v>6</v>
      </c>
      <c r="E111" t="s">
        <v>87</v>
      </c>
      <c r="F111" t="s">
        <v>54</v>
      </c>
      <c r="G111" t="s">
        <v>61</v>
      </c>
      <c r="H111" t="s">
        <v>4960</v>
      </c>
      <c r="I111" t="s">
        <v>494</v>
      </c>
      <c r="J111" t="s">
        <v>36</v>
      </c>
    </row>
    <row r="112" spans="1:10">
      <c r="A112" t="s">
        <v>5071</v>
      </c>
      <c r="B112" s="2">
        <v>45462</v>
      </c>
      <c r="C112">
        <v>2024</v>
      </c>
      <c r="D112">
        <v>6</v>
      </c>
      <c r="E112" t="s">
        <v>87</v>
      </c>
      <c r="F112" t="s">
        <v>67</v>
      </c>
      <c r="G112" t="s">
        <v>38</v>
      </c>
      <c r="H112" t="s">
        <v>4960</v>
      </c>
      <c r="I112" t="s">
        <v>494</v>
      </c>
      <c r="J112" t="s">
        <v>16</v>
      </c>
    </row>
    <row r="113" spans="1:10">
      <c r="A113" t="s">
        <v>5072</v>
      </c>
      <c r="B113" s="2">
        <v>45447</v>
      </c>
      <c r="C113">
        <v>2024</v>
      </c>
      <c r="D113">
        <v>6</v>
      </c>
      <c r="E113" t="s">
        <v>87</v>
      </c>
      <c r="F113" t="s">
        <v>2</v>
      </c>
      <c r="G113" t="s">
        <v>20</v>
      </c>
      <c r="H113" t="s">
        <v>4960</v>
      </c>
      <c r="I113" t="s">
        <v>460</v>
      </c>
      <c r="J113" t="s">
        <v>36</v>
      </c>
    </row>
    <row r="114" spans="1:10">
      <c r="A114" t="s">
        <v>5073</v>
      </c>
      <c r="B114" s="2">
        <v>45477</v>
      </c>
      <c r="C114">
        <v>2024</v>
      </c>
      <c r="D114">
        <v>7</v>
      </c>
      <c r="E114" t="s">
        <v>93</v>
      </c>
      <c r="F114" t="s">
        <v>54</v>
      </c>
      <c r="G114" t="s">
        <v>94</v>
      </c>
      <c r="H114" t="s">
        <v>4960</v>
      </c>
      <c r="I114" t="s">
        <v>466</v>
      </c>
      <c r="J114" t="s">
        <v>16</v>
      </c>
    </row>
    <row r="115" spans="1:10">
      <c r="A115" t="s">
        <v>5074</v>
      </c>
      <c r="B115" s="2">
        <v>45491</v>
      </c>
      <c r="C115">
        <v>2024</v>
      </c>
      <c r="D115">
        <v>7</v>
      </c>
      <c r="E115" t="s">
        <v>93</v>
      </c>
      <c r="F115" t="s">
        <v>31</v>
      </c>
      <c r="G115" t="s">
        <v>74</v>
      </c>
      <c r="H115" t="s">
        <v>4960</v>
      </c>
      <c r="I115" t="s">
        <v>519</v>
      </c>
      <c r="J115" t="s">
        <v>9</v>
      </c>
    </row>
    <row r="116" spans="1:10">
      <c r="A116" t="s">
        <v>5075</v>
      </c>
      <c r="B116" s="2">
        <v>45477</v>
      </c>
      <c r="C116">
        <v>2024</v>
      </c>
      <c r="D116">
        <v>7</v>
      </c>
      <c r="E116" t="s">
        <v>93</v>
      </c>
      <c r="F116" t="s">
        <v>38</v>
      </c>
      <c r="G116" t="s">
        <v>69</v>
      </c>
      <c r="H116" t="s">
        <v>4960</v>
      </c>
      <c r="I116" t="s">
        <v>454</v>
      </c>
      <c r="J116" t="s">
        <v>36</v>
      </c>
    </row>
    <row r="117" spans="1:10">
      <c r="A117" t="s">
        <v>5076</v>
      </c>
      <c r="B117" s="2">
        <v>45496</v>
      </c>
      <c r="C117">
        <v>2024</v>
      </c>
      <c r="D117">
        <v>7</v>
      </c>
      <c r="E117" t="s">
        <v>93</v>
      </c>
      <c r="F117" t="s">
        <v>38</v>
      </c>
      <c r="G117" t="s">
        <v>27</v>
      </c>
      <c r="H117" t="s">
        <v>4960</v>
      </c>
      <c r="I117" t="s">
        <v>446</v>
      </c>
      <c r="J117" t="s">
        <v>36</v>
      </c>
    </row>
    <row r="118" spans="1:10">
      <c r="A118" t="s">
        <v>5077</v>
      </c>
      <c r="B118" s="2">
        <v>45499</v>
      </c>
      <c r="C118">
        <v>2024</v>
      </c>
      <c r="D118">
        <v>7</v>
      </c>
      <c r="E118" t="s">
        <v>93</v>
      </c>
      <c r="F118" t="s">
        <v>54</v>
      </c>
      <c r="G118" t="s">
        <v>32</v>
      </c>
      <c r="H118" t="s">
        <v>4960</v>
      </c>
      <c r="I118" t="s">
        <v>454</v>
      </c>
      <c r="J118" t="s">
        <v>9</v>
      </c>
    </row>
    <row r="119" spans="1:10">
      <c r="A119" t="s">
        <v>5078</v>
      </c>
      <c r="B119" s="2">
        <v>45497</v>
      </c>
      <c r="C119">
        <v>2024</v>
      </c>
      <c r="D119">
        <v>7</v>
      </c>
      <c r="E119" t="s">
        <v>93</v>
      </c>
      <c r="F119" t="s">
        <v>19</v>
      </c>
      <c r="G119" t="s">
        <v>27</v>
      </c>
      <c r="H119" t="s">
        <v>4963</v>
      </c>
      <c r="I119" t="s">
        <v>454</v>
      </c>
      <c r="J119" t="s">
        <v>9</v>
      </c>
    </row>
    <row r="120" spans="1:10">
      <c r="A120" t="s">
        <v>5079</v>
      </c>
      <c r="B120" s="2">
        <v>45478</v>
      </c>
      <c r="C120">
        <v>2024</v>
      </c>
      <c r="D120">
        <v>7</v>
      </c>
      <c r="E120" t="s">
        <v>93</v>
      </c>
      <c r="F120" t="s">
        <v>47</v>
      </c>
      <c r="G120" t="s">
        <v>27</v>
      </c>
      <c r="H120" t="s">
        <v>4960</v>
      </c>
      <c r="I120" t="s">
        <v>460</v>
      </c>
      <c r="J120" t="s">
        <v>9</v>
      </c>
    </row>
    <row r="121" spans="1:10">
      <c r="A121" t="s">
        <v>5080</v>
      </c>
      <c r="B121" s="2">
        <v>45477</v>
      </c>
      <c r="C121">
        <v>2024</v>
      </c>
      <c r="D121">
        <v>7</v>
      </c>
      <c r="E121" t="s">
        <v>93</v>
      </c>
      <c r="F121" t="s">
        <v>19</v>
      </c>
      <c r="G121" t="s">
        <v>27</v>
      </c>
      <c r="H121" t="s">
        <v>4963</v>
      </c>
      <c r="I121" t="s">
        <v>466</v>
      </c>
      <c r="J121" t="s">
        <v>16</v>
      </c>
    </row>
    <row r="122" spans="1:10">
      <c r="A122" t="s">
        <v>5081</v>
      </c>
      <c r="B122" s="2">
        <v>45498</v>
      </c>
      <c r="C122">
        <v>2024</v>
      </c>
      <c r="D122">
        <v>7</v>
      </c>
      <c r="E122" t="s">
        <v>93</v>
      </c>
      <c r="F122" t="s">
        <v>31</v>
      </c>
      <c r="G122" t="s">
        <v>20</v>
      </c>
      <c r="H122" t="s">
        <v>4963</v>
      </c>
      <c r="I122" t="s">
        <v>446</v>
      </c>
      <c r="J122" t="s">
        <v>9</v>
      </c>
    </row>
    <row r="123" spans="1:10">
      <c r="A123" t="s">
        <v>5082</v>
      </c>
      <c r="B123" s="2">
        <v>45485</v>
      </c>
      <c r="C123">
        <v>2024</v>
      </c>
      <c r="D123">
        <v>7</v>
      </c>
      <c r="E123" t="s">
        <v>93</v>
      </c>
      <c r="F123" t="s">
        <v>2</v>
      </c>
      <c r="G123" t="s">
        <v>55</v>
      </c>
      <c r="H123" t="s">
        <v>4960</v>
      </c>
      <c r="I123" t="s">
        <v>519</v>
      </c>
      <c r="J123" t="s">
        <v>36</v>
      </c>
    </row>
    <row r="124" spans="1:10">
      <c r="A124" t="s">
        <v>5083</v>
      </c>
      <c r="B124" s="2">
        <v>45476</v>
      </c>
      <c r="C124">
        <v>2024</v>
      </c>
      <c r="D124">
        <v>7</v>
      </c>
      <c r="E124" t="s">
        <v>93</v>
      </c>
      <c r="F124" t="s">
        <v>54</v>
      </c>
      <c r="G124" t="s">
        <v>38</v>
      </c>
      <c r="H124" t="s">
        <v>4960</v>
      </c>
      <c r="I124" t="s">
        <v>444</v>
      </c>
      <c r="J124" t="s">
        <v>36</v>
      </c>
    </row>
    <row r="125" spans="1:10">
      <c r="A125" t="s">
        <v>5084</v>
      </c>
      <c r="B125" s="2">
        <v>45474</v>
      </c>
      <c r="C125">
        <v>2024</v>
      </c>
      <c r="D125">
        <v>7</v>
      </c>
      <c r="E125" t="s">
        <v>93</v>
      </c>
      <c r="F125" t="s">
        <v>47</v>
      </c>
      <c r="G125" t="s">
        <v>61</v>
      </c>
      <c r="H125" t="s">
        <v>4960</v>
      </c>
      <c r="I125" t="s">
        <v>466</v>
      </c>
      <c r="J125" t="s">
        <v>16</v>
      </c>
    </row>
    <row r="126" spans="1:10">
      <c r="A126" t="s">
        <v>5085</v>
      </c>
      <c r="B126" s="2">
        <v>45481</v>
      </c>
      <c r="C126">
        <v>2024</v>
      </c>
      <c r="D126">
        <v>7</v>
      </c>
      <c r="E126" t="s">
        <v>93</v>
      </c>
      <c r="F126" t="s">
        <v>78</v>
      </c>
      <c r="G126" t="s">
        <v>61</v>
      </c>
      <c r="H126" t="s">
        <v>4960</v>
      </c>
      <c r="I126" t="s">
        <v>446</v>
      </c>
      <c r="J126" t="s">
        <v>16</v>
      </c>
    </row>
    <row r="127" spans="1:10">
      <c r="A127" t="s">
        <v>5086</v>
      </c>
      <c r="B127" s="2">
        <v>45484</v>
      </c>
      <c r="C127">
        <v>2024</v>
      </c>
      <c r="D127">
        <v>7</v>
      </c>
      <c r="E127" t="s">
        <v>93</v>
      </c>
      <c r="F127" t="s">
        <v>26</v>
      </c>
      <c r="G127" t="s">
        <v>38</v>
      </c>
      <c r="H127" t="s">
        <v>4960</v>
      </c>
      <c r="I127" t="s">
        <v>519</v>
      </c>
      <c r="J127" t="s">
        <v>29</v>
      </c>
    </row>
    <row r="128" spans="1:10">
      <c r="A128" t="s">
        <v>5087</v>
      </c>
      <c r="B128" s="2">
        <v>45491</v>
      </c>
      <c r="C128">
        <v>2024</v>
      </c>
      <c r="D128">
        <v>7</v>
      </c>
      <c r="E128" t="s">
        <v>93</v>
      </c>
      <c r="F128" t="s">
        <v>40</v>
      </c>
      <c r="G128" t="s">
        <v>32</v>
      </c>
      <c r="H128" t="s">
        <v>4963</v>
      </c>
      <c r="I128" t="s">
        <v>428</v>
      </c>
      <c r="J128" t="s">
        <v>9</v>
      </c>
    </row>
    <row r="129" spans="1:10">
      <c r="A129" t="s">
        <v>5088</v>
      </c>
      <c r="B129" s="2">
        <v>45497</v>
      </c>
      <c r="C129">
        <v>2024</v>
      </c>
      <c r="D129">
        <v>7</v>
      </c>
      <c r="E129" t="s">
        <v>93</v>
      </c>
      <c r="F129" t="s">
        <v>67</v>
      </c>
      <c r="G129" t="s">
        <v>32</v>
      </c>
      <c r="H129" t="s">
        <v>4960</v>
      </c>
      <c r="I129" t="s">
        <v>494</v>
      </c>
      <c r="J129" t="s">
        <v>16</v>
      </c>
    </row>
    <row r="130" spans="1:10">
      <c r="A130" t="s">
        <v>5089</v>
      </c>
      <c r="B130" s="2">
        <v>45486</v>
      </c>
      <c r="C130">
        <v>2024</v>
      </c>
      <c r="D130">
        <v>7</v>
      </c>
      <c r="E130" t="s">
        <v>93</v>
      </c>
      <c r="F130" t="s">
        <v>2</v>
      </c>
      <c r="G130" t="s">
        <v>48</v>
      </c>
      <c r="H130" t="s">
        <v>4963</v>
      </c>
      <c r="I130" t="s">
        <v>457</v>
      </c>
      <c r="J130" t="s">
        <v>9</v>
      </c>
    </row>
    <row r="131" spans="1:10">
      <c r="A131" t="s">
        <v>5090</v>
      </c>
      <c r="B131" s="2">
        <v>45491</v>
      </c>
      <c r="C131">
        <v>2024</v>
      </c>
      <c r="D131">
        <v>7</v>
      </c>
      <c r="E131" t="s">
        <v>93</v>
      </c>
      <c r="F131" t="s">
        <v>67</v>
      </c>
      <c r="G131" t="s">
        <v>64</v>
      </c>
      <c r="H131" t="s">
        <v>4960</v>
      </c>
      <c r="I131" t="s">
        <v>446</v>
      </c>
      <c r="J131" t="s">
        <v>9</v>
      </c>
    </row>
    <row r="132" spans="1:10">
      <c r="A132" t="s">
        <v>5091</v>
      </c>
      <c r="B132" s="2">
        <v>45492</v>
      </c>
      <c r="C132">
        <v>2024</v>
      </c>
      <c r="D132">
        <v>7</v>
      </c>
      <c r="E132" t="s">
        <v>93</v>
      </c>
      <c r="F132" t="s">
        <v>78</v>
      </c>
      <c r="G132" t="s">
        <v>48</v>
      </c>
      <c r="H132" t="s">
        <v>4963</v>
      </c>
      <c r="I132" t="s">
        <v>466</v>
      </c>
      <c r="J132" t="s">
        <v>29</v>
      </c>
    </row>
    <row r="133" spans="1:10">
      <c r="A133" t="s">
        <v>5092</v>
      </c>
      <c r="B133" s="2">
        <v>45480</v>
      </c>
      <c r="C133">
        <v>2024</v>
      </c>
      <c r="D133">
        <v>7</v>
      </c>
      <c r="E133" t="s">
        <v>93</v>
      </c>
      <c r="F133" t="s">
        <v>2</v>
      </c>
      <c r="G133" t="s">
        <v>69</v>
      </c>
      <c r="H133" t="s">
        <v>4963</v>
      </c>
      <c r="I133" t="s">
        <v>460</v>
      </c>
      <c r="J133" t="s">
        <v>36</v>
      </c>
    </row>
    <row r="134" spans="1:10">
      <c r="A134" t="s">
        <v>5093</v>
      </c>
      <c r="B134" s="2">
        <v>45490</v>
      </c>
      <c r="C134">
        <v>2024</v>
      </c>
      <c r="D134">
        <v>7</v>
      </c>
      <c r="E134" t="s">
        <v>93</v>
      </c>
      <c r="F134" t="s">
        <v>26</v>
      </c>
      <c r="G134" t="s">
        <v>27</v>
      </c>
      <c r="H134" t="s">
        <v>4960</v>
      </c>
      <c r="I134" t="s">
        <v>444</v>
      </c>
      <c r="J134" t="s">
        <v>9</v>
      </c>
    </row>
    <row r="135" spans="1:10">
      <c r="A135" t="s">
        <v>5094</v>
      </c>
      <c r="B135" s="2">
        <v>45498</v>
      </c>
      <c r="C135">
        <v>2024</v>
      </c>
      <c r="D135">
        <v>7</v>
      </c>
      <c r="E135" t="s">
        <v>93</v>
      </c>
      <c r="F135" t="s">
        <v>67</v>
      </c>
      <c r="G135" t="s">
        <v>94</v>
      </c>
      <c r="H135" t="s">
        <v>4963</v>
      </c>
      <c r="I135" t="s">
        <v>519</v>
      </c>
      <c r="J135" t="s">
        <v>16</v>
      </c>
    </row>
    <row r="136" spans="1:10">
      <c r="A136" t="s">
        <v>5095</v>
      </c>
      <c r="B136" s="2">
        <v>45482</v>
      </c>
      <c r="C136">
        <v>2024</v>
      </c>
      <c r="D136">
        <v>7</v>
      </c>
      <c r="E136" t="s">
        <v>93</v>
      </c>
      <c r="F136" t="s">
        <v>78</v>
      </c>
      <c r="G136" t="s">
        <v>27</v>
      </c>
      <c r="H136" t="s">
        <v>4963</v>
      </c>
      <c r="I136" t="s">
        <v>494</v>
      </c>
      <c r="J136" t="s">
        <v>29</v>
      </c>
    </row>
    <row r="137" spans="1:10">
      <c r="A137" t="s">
        <v>5096</v>
      </c>
      <c r="B137" s="2">
        <v>45494</v>
      </c>
      <c r="C137">
        <v>2024</v>
      </c>
      <c r="D137">
        <v>7</v>
      </c>
      <c r="E137" t="s">
        <v>93</v>
      </c>
      <c r="F137" t="s">
        <v>31</v>
      </c>
      <c r="G137" t="s">
        <v>61</v>
      </c>
      <c r="H137" t="s">
        <v>4960</v>
      </c>
      <c r="I137" t="s">
        <v>470</v>
      </c>
      <c r="J137" t="s">
        <v>36</v>
      </c>
    </row>
    <row r="138" spans="1:10">
      <c r="A138" t="s">
        <v>5097</v>
      </c>
      <c r="B138" s="2">
        <v>45491</v>
      </c>
      <c r="C138">
        <v>2024</v>
      </c>
      <c r="D138">
        <v>7</v>
      </c>
      <c r="E138" t="s">
        <v>93</v>
      </c>
      <c r="F138" t="s">
        <v>54</v>
      </c>
      <c r="G138" t="s">
        <v>3</v>
      </c>
      <c r="H138" t="s">
        <v>4960</v>
      </c>
      <c r="I138" t="s">
        <v>494</v>
      </c>
      <c r="J138" t="s">
        <v>29</v>
      </c>
    </row>
    <row r="139" spans="1:10">
      <c r="A139" t="s">
        <v>5098</v>
      </c>
      <c r="B139" s="2">
        <v>45493</v>
      </c>
      <c r="C139">
        <v>2024</v>
      </c>
      <c r="D139">
        <v>7</v>
      </c>
      <c r="E139" t="s">
        <v>93</v>
      </c>
      <c r="F139" t="s">
        <v>19</v>
      </c>
      <c r="G139" t="s">
        <v>3</v>
      </c>
      <c r="H139" t="s">
        <v>4960</v>
      </c>
      <c r="I139" t="s">
        <v>494</v>
      </c>
      <c r="J139" t="s">
        <v>36</v>
      </c>
    </row>
    <row r="140" spans="1:10">
      <c r="A140" t="s">
        <v>5099</v>
      </c>
      <c r="B140" s="2">
        <v>45511</v>
      </c>
      <c r="C140">
        <v>2024</v>
      </c>
      <c r="D140">
        <v>8</v>
      </c>
      <c r="E140" t="s">
        <v>101</v>
      </c>
      <c r="F140" t="s">
        <v>19</v>
      </c>
      <c r="G140" t="s">
        <v>61</v>
      </c>
      <c r="H140" t="s">
        <v>4963</v>
      </c>
      <c r="I140" t="s">
        <v>454</v>
      </c>
      <c r="J140" t="s">
        <v>29</v>
      </c>
    </row>
    <row r="141" spans="1:10">
      <c r="A141" t="s">
        <v>5100</v>
      </c>
      <c r="B141" s="2">
        <v>45526</v>
      </c>
      <c r="C141">
        <v>2024</v>
      </c>
      <c r="D141">
        <v>8</v>
      </c>
      <c r="E141" t="s">
        <v>101</v>
      </c>
      <c r="F141" t="s">
        <v>26</v>
      </c>
      <c r="G141" t="s">
        <v>48</v>
      </c>
      <c r="H141" t="s">
        <v>4960</v>
      </c>
      <c r="I141" t="s">
        <v>466</v>
      </c>
      <c r="J141" t="s">
        <v>16</v>
      </c>
    </row>
    <row r="142" spans="1:10">
      <c r="A142" t="s">
        <v>5101</v>
      </c>
      <c r="B142" s="2">
        <v>45513</v>
      </c>
      <c r="C142">
        <v>2024</v>
      </c>
      <c r="D142">
        <v>8</v>
      </c>
      <c r="E142" t="s">
        <v>101</v>
      </c>
      <c r="F142" t="s">
        <v>31</v>
      </c>
      <c r="G142" t="s">
        <v>27</v>
      </c>
      <c r="H142" t="s">
        <v>4963</v>
      </c>
      <c r="I142" t="s">
        <v>457</v>
      </c>
      <c r="J142" t="s">
        <v>9</v>
      </c>
    </row>
    <row r="143" spans="1:10">
      <c r="A143" t="s">
        <v>5102</v>
      </c>
      <c r="B143" s="2">
        <v>45508</v>
      </c>
      <c r="C143">
        <v>2024</v>
      </c>
      <c r="D143">
        <v>8</v>
      </c>
      <c r="E143" t="s">
        <v>101</v>
      </c>
      <c r="F143" t="s">
        <v>40</v>
      </c>
      <c r="G143" t="s">
        <v>48</v>
      </c>
      <c r="H143" t="s">
        <v>4963</v>
      </c>
      <c r="I143" t="s">
        <v>457</v>
      </c>
      <c r="J143" t="s">
        <v>29</v>
      </c>
    </row>
    <row r="144" spans="1:10">
      <c r="A144" t="s">
        <v>5103</v>
      </c>
      <c r="B144" s="2">
        <v>45518</v>
      </c>
      <c r="C144">
        <v>2024</v>
      </c>
      <c r="D144">
        <v>8</v>
      </c>
      <c r="E144" t="s">
        <v>101</v>
      </c>
      <c r="F144" t="s">
        <v>78</v>
      </c>
      <c r="G144" t="s">
        <v>69</v>
      </c>
      <c r="H144" t="s">
        <v>4960</v>
      </c>
      <c r="I144" t="s">
        <v>470</v>
      </c>
      <c r="J144" t="s">
        <v>9</v>
      </c>
    </row>
    <row r="145" spans="1:10">
      <c r="A145" t="s">
        <v>5104</v>
      </c>
      <c r="B145" s="2">
        <v>45517</v>
      </c>
      <c r="C145">
        <v>2024</v>
      </c>
      <c r="D145">
        <v>8</v>
      </c>
      <c r="E145" t="s">
        <v>101</v>
      </c>
      <c r="F145" t="s">
        <v>26</v>
      </c>
      <c r="G145" t="s">
        <v>94</v>
      </c>
      <c r="H145" t="s">
        <v>4960</v>
      </c>
      <c r="I145" t="s">
        <v>428</v>
      </c>
      <c r="J145" t="s">
        <v>29</v>
      </c>
    </row>
    <row r="146" spans="1:10">
      <c r="A146" t="s">
        <v>5105</v>
      </c>
      <c r="B146" s="2">
        <v>45516</v>
      </c>
      <c r="C146">
        <v>2024</v>
      </c>
      <c r="D146">
        <v>8</v>
      </c>
      <c r="E146" t="s">
        <v>101</v>
      </c>
      <c r="F146" t="s">
        <v>54</v>
      </c>
      <c r="G146" t="s">
        <v>64</v>
      </c>
      <c r="H146" t="s">
        <v>4960</v>
      </c>
      <c r="I146" t="s">
        <v>470</v>
      </c>
      <c r="J146" t="s">
        <v>36</v>
      </c>
    </row>
    <row r="147" spans="1:10">
      <c r="A147" t="s">
        <v>5106</v>
      </c>
      <c r="B147" s="2">
        <v>45530</v>
      </c>
      <c r="C147">
        <v>2024</v>
      </c>
      <c r="D147">
        <v>8</v>
      </c>
      <c r="E147" t="s">
        <v>101</v>
      </c>
      <c r="F147" t="s">
        <v>54</v>
      </c>
      <c r="G147" t="s">
        <v>55</v>
      </c>
      <c r="H147" t="s">
        <v>4960</v>
      </c>
      <c r="I147" t="s">
        <v>494</v>
      </c>
      <c r="J147" t="s">
        <v>29</v>
      </c>
    </row>
    <row r="148" spans="1:10">
      <c r="A148" t="s">
        <v>5107</v>
      </c>
      <c r="B148" s="2">
        <v>45527</v>
      </c>
      <c r="C148">
        <v>2024</v>
      </c>
      <c r="D148">
        <v>8</v>
      </c>
      <c r="E148" t="s">
        <v>101</v>
      </c>
      <c r="F148" t="s">
        <v>67</v>
      </c>
      <c r="G148" t="s">
        <v>32</v>
      </c>
      <c r="H148" t="s">
        <v>4960</v>
      </c>
      <c r="I148" t="s">
        <v>454</v>
      </c>
      <c r="J148" t="s">
        <v>29</v>
      </c>
    </row>
    <row r="149" spans="1:10">
      <c r="A149" t="s">
        <v>5108</v>
      </c>
      <c r="B149" s="2">
        <v>45510</v>
      </c>
      <c r="C149">
        <v>2024</v>
      </c>
      <c r="D149">
        <v>8</v>
      </c>
      <c r="E149" t="s">
        <v>101</v>
      </c>
      <c r="F149" t="s">
        <v>2</v>
      </c>
      <c r="G149" t="s">
        <v>69</v>
      </c>
      <c r="H149" t="s">
        <v>4960</v>
      </c>
      <c r="I149" t="s">
        <v>428</v>
      </c>
      <c r="J149" t="s">
        <v>29</v>
      </c>
    </row>
    <row r="150" spans="1:10">
      <c r="A150" t="s">
        <v>5109</v>
      </c>
      <c r="B150" s="2">
        <v>45547</v>
      </c>
      <c r="C150">
        <v>2024</v>
      </c>
      <c r="D150">
        <v>9</v>
      </c>
      <c r="E150" t="s">
        <v>105</v>
      </c>
      <c r="F150" t="s">
        <v>40</v>
      </c>
      <c r="G150" t="s">
        <v>55</v>
      </c>
      <c r="H150" t="s">
        <v>4963</v>
      </c>
      <c r="I150" t="s">
        <v>470</v>
      </c>
      <c r="J150" t="s">
        <v>16</v>
      </c>
    </row>
    <row r="151" spans="1:10">
      <c r="A151" t="s">
        <v>5110</v>
      </c>
      <c r="B151" s="2">
        <v>45557</v>
      </c>
      <c r="C151">
        <v>2024</v>
      </c>
      <c r="D151">
        <v>9</v>
      </c>
      <c r="E151" t="s">
        <v>105</v>
      </c>
      <c r="F151" t="s">
        <v>78</v>
      </c>
      <c r="G151" t="s">
        <v>3</v>
      </c>
      <c r="H151" t="s">
        <v>4963</v>
      </c>
      <c r="I151" t="s">
        <v>457</v>
      </c>
      <c r="J151" t="s">
        <v>9</v>
      </c>
    </row>
    <row r="152" spans="1:10">
      <c r="A152" t="s">
        <v>5111</v>
      </c>
      <c r="B152" s="2">
        <v>45545</v>
      </c>
      <c r="C152">
        <v>2024</v>
      </c>
      <c r="D152">
        <v>9</v>
      </c>
      <c r="E152" t="s">
        <v>105</v>
      </c>
      <c r="F152" t="s">
        <v>40</v>
      </c>
      <c r="G152" t="s">
        <v>94</v>
      </c>
      <c r="H152" t="s">
        <v>4960</v>
      </c>
      <c r="I152" t="s">
        <v>466</v>
      </c>
      <c r="J152" t="s">
        <v>29</v>
      </c>
    </row>
    <row r="153" spans="1:10">
      <c r="A153" t="s">
        <v>5112</v>
      </c>
      <c r="B153" s="2">
        <v>45561</v>
      </c>
      <c r="C153">
        <v>2024</v>
      </c>
      <c r="D153">
        <v>9</v>
      </c>
      <c r="E153" t="s">
        <v>105</v>
      </c>
      <c r="F153" t="s">
        <v>38</v>
      </c>
      <c r="G153" t="s">
        <v>69</v>
      </c>
      <c r="H153" t="s">
        <v>4960</v>
      </c>
      <c r="I153" t="s">
        <v>460</v>
      </c>
      <c r="J153" t="s">
        <v>36</v>
      </c>
    </row>
    <row r="154" spans="1:10">
      <c r="A154" t="s">
        <v>5113</v>
      </c>
      <c r="B154" s="2">
        <v>45559</v>
      </c>
      <c r="C154">
        <v>2024</v>
      </c>
      <c r="D154">
        <v>9</v>
      </c>
      <c r="E154" t="s">
        <v>105</v>
      </c>
      <c r="F154" t="s">
        <v>40</v>
      </c>
      <c r="G154" t="s">
        <v>61</v>
      </c>
      <c r="H154" t="s">
        <v>4960</v>
      </c>
      <c r="I154" t="s">
        <v>460</v>
      </c>
      <c r="J154" t="s">
        <v>29</v>
      </c>
    </row>
    <row r="155" spans="1:10">
      <c r="A155" t="s">
        <v>5114</v>
      </c>
      <c r="B155" s="2">
        <v>45558</v>
      </c>
      <c r="C155">
        <v>2024</v>
      </c>
      <c r="D155">
        <v>9</v>
      </c>
      <c r="E155" t="s">
        <v>105</v>
      </c>
      <c r="F155" t="s">
        <v>38</v>
      </c>
      <c r="G155" t="s">
        <v>74</v>
      </c>
      <c r="H155" t="s">
        <v>4960</v>
      </c>
      <c r="I155" t="s">
        <v>457</v>
      </c>
      <c r="J155" t="s">
        <v>16</v>
      </c>
    </row>
    <row r="156" spans="1:10">
      <c r="A156" t="s">
        <v>5115</v>
      </c>
      <c r="B156" s="2">
        <v>45547</v>
      </c>
      <c r="C156">
        <v>2024</v>
      </c>
      <c r="D156">
        <v>9</v>
      </c>
      <c r="E156" t="s">
        <v>105</v>
      </c>
      <c r="F156" t="s">
        <v>40</v>
      </c>
      <c r="G156" t="s">
        <v>20</v>
      </c>
      <c r="H156" t="s">
        <v>4960</v>
      </c>
      <c r="I156" t="s">
        <v>470</v>
      </c>
      <c r="J156" t="s">
        <v>16</v>
      </c>
    </row>
    <row r="157" spans="1:10">
      <c r="A157" t="s">
        <v>5116</v>
      </c>
      <c r="B157" s="2">
        <v>45553</v>
      </c>
      <c r="C157">
        <v>2024</v>
      </c>
      <c r="D157">
        <v>9</v>
      </c>
      <c r="E157" t="s">
        <v>105</v>
      </c>
      <c r="F157" t="s">
        <v>47</v>
      </c>
      <c r="G157" t="s">
        <v>27</v>
      </c>
      <c r="H157" t="s">
        <v>4960</v>
      </c>
      <c r="I157" t="s">
        <v>457</v>
      </c>
      <c r="J157" t="s">
        <v>29</v>
      </c>
    </row>
    <row r="158" spans="1:10">
      <c r="A158" t="s">
        <v>5117</v>
      </c>
      <c r="B158" s="2">
        <v>45563</v>
      </c>
      <c r="C158">
        <v>2024</v>
      </c>
      <c r="D158">
        <v>9</v>
      </c>
      <c r="E158" t="s">
        <v>105</v>
      </c>
      <c r="F158" t="s">
        <v>47</v>
      </c>
      <c r="G158" t="s">
        <v>38</v>
      </c>
      <c r="H158" t="s">
        <v>4960</v>
      </c>
      <c r="I158" t="s">
        <v>428</v>
      </c>
      <c r="J158" t="s">
        <v>29</v>
      </c>
    </row>
    <row r="159" spans="1:10">
      <c r="A159" t="s">
        <v>5118</v>
      </c>
      <c r="B159" s="2">
        <v>45550</v>
      </c>
      <c r="C159">
        <v>2024</v>
      </c>
      <c r="D159">
        <v>9</v>
      </c>
      <c r="E159" t="s">
        <v>105</v>
      </c>
      <c r="F159" t="s">
        <v>38</v>
      </c>
      <c r="G159" t="s">
        <v>61</v>
      </c>
      <c r="H159" t="s">
        <v>4960</v>
      </c>
      <c r="I159" t="s">
        <v>466</v>
      </c>
      <c r="J159" t="s">
        <v>16</v>
      </c>
    </row>
    <row r="160" spans="1:10">
      <c r="A160" t="s">
        <v>5119</v>
      </c>
      <c r="B160" s="2">
        <v>45549</v>
      </c>
      <c r="C160">
        <v>2024</v>
      </c>
      <c r="D160">
        <v>9</v>
      </c>
      <c r="E160" t="s">
        <v>105</v>
      </c>
      <c r="F160" t="s">
        <v>26</v>
      </c>
      <c r="G160" t="s">
        <v>94</v>
      </c>
      <c r="H160" t="s">
        <v>4960</v>
      </c>
      <c r="I160" t="s">
        <v>446</v>
      </c>
      <c r="J160" t="s">
        <v>16</v>
      </c>
    </row>
    <row r="161" spans="1:10">
      <c r="A161" t="s">
        <v>5120</v>
      </c>
      <c r="B161" s="2">
        <v>45562</v>
      </c>
      <c r="C161">
        <v>2024</v>
      </c>
      <c r="D161">
        <v>9</v>
      </c>
      <c r="E161" t="s">
        <v>105</v>
      </c>
      <c r="F161" t="s">
        <v>54</v>
      </c>
      <c r="G161" t="s">
        <v>27</v>
      </c>
      <c r="H161" t="s">
        <v>4960</v>
      </c>
      <c r="I161" t="s">
        <v>446</v>
      </c>
      <c r="J161" t="s">
        <v>29</v>
      </c>
    </row>
    <row r="162" spans="1:10">
      <c r="A162" t="s">
        <v>5121</v>
      </c>
      <c r="B162" s="2">
        <v>45536</v>
      </c>
      <c r="C162">
        <v>2024</v>
      </c>
      <c r="D162">
        <v>9</v>
      </c>
      <c r="E162" t="s">
        <v>105</v>
      </c>
      <c r="F162" t="s">
        <v>40</v>
      </c>
      <c r="G162" t="s">
        <v>74</v>
      </c>
      <c r="H162" t="s">
        <v>4960</v>
      </c>
      <c r="I162" t="s">
        <v>444</v>
      </c>
      <c r="J162" t="s">
        <v>16</v>
      </c>
    </row>
    <row r="163" spans="1:10">
      <c r="A163" t="s">
        <v>5122</v>
      </c>
      <c r="B163" s="2">
        <v>45561</v>
      </c>
      <c r="C163">
        <v>2024</v>
      </c>
      <c r="D163">
        <v>9</v>
      </c>
      <c r="E163" t="s">
        <v>105</v>
      </c>
      <c r="F163" t="s">
        <v>40</v>
      </c>
      <c r="G163" t="s">
        <v>74</v>
      </c>
      <c r="H163" t="s">
        <v>4960</v>
      </c>
      <c r="I163" t="s">
        <v>454</v>
      </c>
      <c r="J163" t="s">
        <v>9</v>
      </c>
    </row>
    <row r="164" spans="1:10">
      <c r="A164" t="s">
        <v>5123</v>
      </c>
      <c r="B164" s="2">
        <v>45550</v>
      </c>
      <c r="C164">
        <v>2024</v>
      </c>
      <c r="D164">
        <v>9</v>
      </c>
      <c r="E164" t="s">
        <v>105</v>
      </c>
      <c r="F164" t="s">
        <v>38</v>
      </c>
      <c r="G164" t="s">
        <v>61</v>
      </c>
      <c r="H164" t="s">
        <v>4963</v>
      </c>
      <c r="I164" t="s">
        <v>454</v>
      </c>
      <c r="J164" t="s">
        <v>36</v>
      </c>
    </row>
    <row r="165" spans="1:10">
      <c r="A165" t="s">
        <v>5124</v>
      </c>
      <c r="B165" s="2">
        <v>45539</v>
      </c>
      <c r="C165">
        <v>2024</v>
      </c>
      <c r="D165">
        <v>9</v>
      </c>
      <c r="E165" t="s">
        <v>105</v>
      </c>
      <c r="F165" t="s">
        <v>19</v>
      </c>
      <c r="G165" t="s">
        <v>27</v>
      </c>
      <c r="H165" t="s">
        <v>4960</v>
      </c>
      <c r="I165" t="s">
        <v>444</v>
      </c>
      <c r="J165" t="s">
        <v>29</v>
      </c>
    </row>
    <row r="166" spans="1:10">
      <c r="A166" t="s">
        <v>5125</v>
      </c>
      <c r="B166" s="2">
        <v>45561</v>
      </c>
      <c r="C166">
        <v>2024</v>
      </c>
      <c r="D166">
        <v>9</v>
      </c>
      <c r="E166" t="s">
        <v>105</v>
      </c>
      <c r="F166" t="s">
        <v>38</v>
      </c>
      <c r="G166" t="s">
        <v>69</v>
      </c>
      <c r="H166" t="s">
        <v>4960</v>
      </c>
      <c r="I166" t="s">
        <v>446</v>
      </c>
      <c r="J166" t="s">
        <v>29</v>
      </c>
    </row>
    <row r="167" spans="1:10">
      <c r="A167" t="s">
        <v>5126</v>
      </c>
      <c r="B167" s="2">
        <v>45558</v>
      </c>
      <c r="C167">
        <v>2024</v>
      </c>
      <c r="D167">
        <v>9</v>
      </c>
      <c r="E167" t="s">
        <v>105</v>
      </c>
      <c r="F167" t="s">
        <v>67</v>
      </c>
      <c r="G167" t="s">
        <v>69</v>
      </c>
      <c r="H167" t="s">
        <v>4960</v>
      </c>
      <c r="I167" t="s">
        <v>519</v>
      </c>
      <c r="J167" t="s">
        <v>9</v>
      </c>
    </row>
    <row r="168" spans="1:10">
      <c r="A168" t="s">
        <v>5127</v>
      </c>
      <c r="B168" s="2">
        <v>45543</v>
      </c>
      <c r="C168">
        <v>2024</v>
      </c>
      <c r="D168">
        <v>9</v>
      </c>
      <c r="E168" t="s">
        <v>105</v>
      </c>
      <c r="F168" t="s">
        <v>40</v>
      </c>
      <c r="G168" t="s">
        <v>48</v>
      </c>
      <c r="H168" t="s">
        <v>4963</v>
      </c>
      <c r="I168" t="s">
        <v>519</v>
      </c>
      <c r="J168" t="s">
        <v>9</v>
      </c>
    </row>
    <row r="169" spans="1:10">
      <c r="A169" t="s">
        <v>5128</v>
      </c>
      <c r="B169" s="2">
        <v>45541</v>
      </c>
      <c r="C169">
        <v>2024</v>
      </c>
      <c r="D169">
        <v>9</v>
      </c>
      <c r="E169" t="s">
        <v>105</v>
      </c>
      <c r="F169" t="s">
        <v>19</v>
      </c>
      <c r="G169" t="s">
        <v>48</v>
      </c>
      <c r="H169" t="s">
        <v>4960</v>
      </c>
      <c r="I169" t="s">
        <v>454</v>
      </c>
      <c r="J169" t="s">
        <v>36</v>
      </c>
    </row>
    <row r="170" spans="1:10">
      <c r="A170" t="s">
        <v>5129</v>
      </c>
      <c r="B170" s="2">
        <v>45541</v>
      </c>
      <c r="C170">
        <v>2024</v>
      </c>
      <c r="D170">
        <v>9</v>
      </c>
      <c r="E170" t="s">
        <v>105</v>
      </c>
      <c r="F170" t="s">
        <v>31</v>
      </c>
      <c r="G170" t="s">
        <v>20</v>
      </c>
      <c r="H170" t="s">
        <v>4960</v>
      </c>
      <c r="I170" t="s">
        <v>460</v>
      </c>
      <c r="J170" t="s">
        <v>9</v>
      </c>
    </row>
    <row r="171" spans="1:10">
      <c r="A171" t="s">
        <v>5130</v>
      </c>
      <c r="B171" s="2">
        <v>45561</v>
      </c>
      <c r="C171">
        <v>2024</v>
      </c>
      <c r="D171">
        <v>9</v>
      </c>
      <c r="E171" t="s">
        <v>105</v>
      </c>
      <c r="F171" t="s">
        <v>38</v>
      </c>
      <c r="G171" t="s">
        <v>27</v>
      </c>
      <c r="H171" t="s">
        <v>4960</v>
      </c>
      <c r="I171" t="s">
        <v>494</v>
      </c>
      <c r="J171" t="s">
        <v>9</v>
      </c>
    </row>
    <row r="172" spans="1:10">
      <c r="A172" t="s">
        <v>5131</v>
      </c>
      <c r="B172" s="2">
        <v>45572</v>
      </c>
      <c r="C172">
        <v>2024</v>
      </c>
      <c r="D172">
        <v>10</v>
      </c>
      <c r="E172" t="s">
        <v>113</v>
      </c>
      <c r="F172" t="s">
        <v>31</v>
      </c>
      <c r="G172" t="s">
        <v>74</v>
      </c>
      <c r="H172" t="s">
        <v>4960</v>
      </c>
      <c r="I172" t="s">
        <v>470</v>
      </c>
      <c r="J172" t="s">
        <v>36</v>
      </c>
    </row>
    <row r="173" spans="1:10">
      <c r="A173" t="s">
        <v>5132</v>
      </c>
      <c r="B173" s="2">
        <v>45577</v>
      </c>
      <c r="C173">
        <v>2024</v>
      </c>
      <c r="D173">
        <v>10</v>
      </c>
      <c r="E173" t="s">
        <v>113</v>
      </c>
      <c r="F173" t="s">
        <v>31</v>
      </c>
      <c r="G173" t="s">
        <v>32</v>
      </c>
      <c r="H173" t="s">
        <v>4963</v>
      </c>
      <c r="I173" t="s">
        <v>444</v>
      </c>
      <c r="J173" t="s">
        <v>29</v>
      </c>
    </row>
    <row r="174" spans="1:10">
      <c r="A174" t="s">
        <v>5133</v>
      </c>
      <c r="B174" s="2">
        <v>45575</v>
      </c>
      <c r="C174">
        <v>2024</v>
      </c>
      <c r="D174">
        <v>10</v>
      </c>
      <c r="E174" t="s">
        <v>113</v>
      </c>
      <c r="F174" t="s">
        <v>31</v>
      </c>
      <c r="G174" t="s">
        <v>27</v>
      </c>
      <c r="H174" t="s">
        <v>4963</v>
      </c>
      <c r="I174" t="s">
        <v>460</v>
      </c>
      <c r="J174" t="s">
        <v>16</v>
      </c>
    </row>
    <row r="175" spans="1:10">
      <c r="A175" t="s">
        <v>5134</v>
      </c>
      <c r="B175" s="2">
        <v>45581</v>
      </c>
      <c r="C175">
        <v>2024</v>
      </c>
      <c r="D175">
        <v>10</v>
      </c>
      <c r="E175" t="s">
        <v>113</v>
      </c>
      <c r="F175" t="s">
        <v>38</v>
      </c>
      <c r="G175" t="s">
        <v>20</v>
      </c>
      <c r="H175" t="s">
        <v>4960</v>
      </c>
      <c r="I175" t="s">
        <v>494</v>
      </c>
      <c r="J175" t="s">
        <v>16</v>
      </c>
    </row>
    <row r="176" spans="1:10">
      <c r="A176" t="s">
        <v>5135</v>
      </c>
      <c r="B176" s="2">
        <v>45590</v>
      </c>
      <c r="C176">
        <v>2024</v>
      </c>
      <c r="D176">
        <v>10</v>
      </c>
      <c r="E176" t="s">
        <v>113</v>
      </c>
      <c r="F176" t="s">
        <v>78</v>
      </c>
      <c r="G176" t="s">
        <v>32</v>
      </c>
      <c r="H176" t="s">
        <v>4960</v>
      </c>
      <c r="I176" t="s">
        <v>519</v>
      </c>
      <c r="J176" t="s">
        <v>29</v>
      </c>
    </row>
    <row r="177" spans="1:10">
      <c r="A177" t="s">
        <v>5136</v>
      </c>
      <c r="B177" s="2">
        <v>45568</v>
      </c>
      <c r="C177">
        <v>2024</v>
      </c>
      <c r="D177">
        <v>10</v>
      </c>
      <c r="E177" t="s">
        <v>113</v>
      </c>
      <c r="F177" t="s">
        <v>78</v>
      </c>
      <c r="G177" t="s">
        <v>69</v>
      </c>
      <c r="H177" t="s">
        <v>4963</v>
      </c>
      <c r="I177" t="s">
        <v>446</v>
      </c>
      <c r="J177" t="s">
        <v>29</v>
      </c>
    </row>
    <row r="178" spans="1:10">
      <c r="A178" t="s">
        <v>5137</v>
      </c>
      <c r="B178" s="2">
        <v>45581</v>
      </c>
      <c r="C178">
        <v>2024</v>
      </c>
      <c r="D178">
        <v>10</v>
      </c>
      <c r="E178" t="s">
        <v>113</v>
      </c>
      <c r="F178" t="s">
        <v>19</v>
      </c>
      <c r="G178" t="s">
        <v>27</v>
      </c>
      <c r="H178" t="s">
        <v>4960</v>
      </c>
      <c r="I178" t="s">
        <v>519</v>
      </c>
      <c r="J178" t="s">
        <v>36</v>
      </c>
    </row>
    <row r="179" spans="1:10">
      <c r="A179" t="s">
        <v>5138</v>
      </c>
      <c r="B179" s="2">
        <v>45593</v>
      </c>
      <c r="C179">
        <v>2024</v>
      </c>
      <c r="D179">
        <v>10</v>
      </c>
      <c r="E179" t="s">
        <v>113</v>
      </c>
      <c r="F179" t="s">
        <v>26</v>
      </c>
      <c r="G179" t="s">
        <v>20</v>
      </c>
      <c r="H179" t="s">
        <v>4960</v>
      </c>
      <c r="I179" t="s">
        <v>444</v>
      </c>
      <c r="J179" t="s">
        <v>9</v>
      </c>
    </row>
    <row r="180" spans="1:10">
      <c r="A180" t="s">
        <v>5139</v>
      </c>
      <c r="B180" s="2">
        <v>45576</v>
      </c>
      <c r="C180">
        <v>2024</v>
      </c>
      <c r="D180">
        <v>10</v>
      </c>
      <c r="E180" t="s">
        <v>113</v>
      </c>
      <c r="F180" t="s">
        <v>67</v>
      </c>
      <c r="G180" t="s">
        <v>69</v>
      </c>
      <c r="H180" t="s">
        <v>4963</v>
      </c>
      <c r="I180" t="s">
        <v>519</v>
      </c>
      <c r="J180" t="s">
        <v>29</v>
      </c>
    </row>
    <row r="181" spans="1:10">
      <c r="A181" t="s">
        <v>5140</v>
      </c>
      <c r="B181" s="2">
        <v>45580</v>
      </c>
      <c r="C181">
        <v>2024</v>
      </c>
      <c r="D181">
        <v>10</v>
      </c>
      <c r="E181" t="s">
        <v>113</v>
      </c>
      <c r="F181" t="s">
        <v>54</v>
      </c>
      <c r="G181" t="s">
        <v>48</v>
      </c>
      <c r="H181" t="s">
        <v>4960</v>
      </c>
      <c r="I181" t="s">
        <v>457</v>
      </c>
      <c r="J181" t="s">
        <v>36</v>
      </c>
    </row>
    <row r="182" spans="1:10">
      <c r="A182" t="s">
        <v>5141</v>
      </c>
      <c r="B182" s="2">
        <v>45591</v>
      </c>
      <c r="C182">
        <v>2024</v>
      </c>
      <c r="D182">
        <v>10</v>
      </c>
      <c r="E182" t="s">
        <v>113</v>
      </c>
      <c r="F182" t="s">
        <v>47</v>
      </c>
      <c r="G182" t="s">
        <v>38</v>
      </c>
      <c r="H182" t="s">
        <v>4960</v>
      </c>
      <c r="I182" t="s">
        <v>466</v>
      </c>
      <c r="J182" t="s">
        <v>9</v>
      </c>
    </row>
    <row r="183" spans="1:10">
      <c r="A183" t="s">
        <v>5142</v>
      </c>
      <c r="B183" s="2">
        <v>45576</v>
      </c>
      <c r="C183">
        <v>2024</v>
      </c>
      <c r="D183">
        <v>10</v>
      </c>
      <c r="E183" t="s">
        <v>113</v>
      </c>
      <c r="F183" t="s">
        <v>54</v>
      </c>
      <c r="G183" t="s">
        <v>20</v>
      </c>
      <c r="H183" t="s">
        <v>4963</v>
      </c>
      <c r="I183" t="s">
        <v>466</v>
      </c>
      <c r="J183" t="s">
        <v>9</v>
      </c>
    </row>
    <row r="184" spans="1:10">
      <c r="A184" t="s">
        <v>5143</v>
      </c>
      <c r="B184" s="2">
        <v>45589</v>
      </c>
      <c r="C184">
        <v>2024</v>
      </c>
      <c r="D184">
        <v>10</v>
      </c>
      <c r="E184" t="s">
        <v>113</v>
      </c>
      <c r="F184" t="s">
        <v>78</v>
      </c>
      <c r="G184" t="s">
        <v>64</v>
      </c>
      <c r="H184" t="s">
        <v>4963</v>
      </c>
      <c r="I184" t="s">
        <v>466</v>
      </c>
      <c r="J184" t="s">
        <v>9</v>
      </c>
    </row>
    <row r="185" spans="1:10">
      <c r="A185" t="s">
        <v>5144</v>
      </c>
      <c r="B185" s="2">
        <v>45571</v>
      </c>
      <c r="C185">
        <v>2024</v>
      </c>
      <c r="D185">
        <v>10</v>
      </c>
      <c r="E185" t="s">
        <v>113</v>
      </c>
      <c r="F185" t="s">
        <v>31</v>
      </c>
      <c r="G185" t="s">
        <v>48</v>
      </c>
      <c r="H185" t="s">
        <v>4960</v>
      </c>
      <c r="I185" t="s">
        <v>519</v>
      </c>
      <c r="J185" t="s">
        <v>16</v>
      </c>
    </row>
    <row r="186" spans="1:10">
      <c r="A186" t="s">
        <v>5145</v>
      </c>
      <c r="B186" s="2">
        <v>45583</v>
      </c>
      <c r="C186">
        <v>2024</v>
      </c>
      <c r="D186">
        <v>10</v>
      </c>
      <c r="E186" t="s">
        <v>113</v>
      </c>
      <c r="F186" t="s">
        <v>78</v>
      </c>
      <c r="G186" t="s">
        <v>27</v>
      </c>
      <c r="H186" t="s">
        <v>4960</v>
      </c>
      <c r="I186" t="s">
        <v>444</v>
      </c>
      <c r="J186" t="s">
        <v>36</v>
      </c>
    </row>
    <row r="187" spans="1:10">
      <c r="A187" t="s">
        <v>5146</v>
      </c>
      <c r="B187" s="2">
        <v>45573</v>
      </c>
      <c r="C187">
        <v>2024</v>
      </c>
      <c r="D187">
        <v>10</v>
      </c>
      <c r="E187" t="s">
        <v>113</v>
      </c>
      <c r="F187" t="s">
        <v>78</v>
      </c>
      <c r="G187" t="s">
        <v>38</v>
      </c>
      <c r="H187" t="s">
        <v>4960</v>
      </c>
      <c r="I187" t="s">
        <v>454</v>
      </c>
      <c r="J187" t="s">
        <v>16</v>
      </c>
    </row>
    <row r="188" spans="1:10">
      <c r="A188" t="s">
        <v>5147</v>
      </c>
      <c r="B188" s="2">
        <v>45569</v>
      </c>
      <c r="C188">
        <v>2024</v>
      </c>
      <c r="D188">
        <v>10</v>
      </c>
      <c r="E188" t="s">
        <v>113</v>
      </c>
      <c r="F188" t="s">
        <v>54</v>
      </c>
      <c r="G188" t="s">
        <v>48</v>
      </c>
      <c r="H188" t="s">
        <v>4960</v>
      </c>
      <c r="I188" t="s">
        <v>446</v>
      </c>
      <c r="J188" t="s">
        <v>29</v>
      </c>
    </row>
    <row r="189" spans="1:10">
      <c r="A189" t="s">
        <v>5148</v>
      </c>
      <c r="B189" s="2">
        <v>45587</v>
      </c>
      <c r="C189">
        <v>2024</v>
      </c>
      <c r="D189">
        <v>10</v>
      </c>
      <c r="E189" t="s">
        <v>113</v>
      </c>
      <c r="F189" t="s">
        <v>19</v>
      </c>
      <c r="G189" t="s">
        <v>94</v>
      </c>
      <c r="H189" t="s">
        <v>4963</v>
      </c>
      <c r="I189" t="s">
        <v>470</v>
      </c>
      <c r="J189" t="s">
        <v>9</v>
      </c>
    </row>
    <row r="190" spans="1:10">
      <c r="A190" t="s">
        <v>5149</v>
      </c>
      <c r="B190" s="2">
        <v>45576</v>
      </c>
      <c r="C190">
        <v>2024</v>
      </c>
      <c r="D190">
        <v>10</v>
      </c>
      <c r="E190" t="s">
        <v>113</v>
      </c>
      <c r="F190" t="s">
        <v>78</v>
      </c>
      <c r="G190" t="s">
        <v>32</v>
      </c>
      <c r="H190" t="s">
        <v>4960</v>
      </c>
      <c r="I190" t="s">
        <v>444</v>
      </c>
      <c r="J190" t="s">
        <v>29</v>
      </c>
    </row>
    <row r="191" spans="1:10">
      <c r="A191" t="s">
        <v>5150</v>
      </c>
      <c r="B191" s="2">
        <v>45570</v>
      </c>
      <c r="C191">
        <v>2024</v>
      </c>
      <c r="D191">
        <v>10</v>
      </c>
      <c r="E191" t="s">
        <v>113</v>
      </c>
      <c r="F191" t="s">
        <v>31</v>
      </c>
      <c r="G191" t="s">
        <v>38</v>
      </c>
      <c r="H191" t="s">
        <v>4960</v>
      </c>
      <c r="I191" t="s">
        <v>460</v>
      </c>
      <c r="J191" t="s">
        <v>29</v>
      </c>
    </row>
    <row r="192" spans="1:10">
      <c r="A192" t="s">
        <v>5151</v>
      </c>
      <c r="B192" s="2">
        <v>45566</v>
      </c>
      <c r="C192">
        <v>2024</v>
      </c>
      <c r="D192">
        <v>10</v>
      </c>
      <c r="E192" t="s">
        <v>113</v>
      </c>
      <c r="F192" t="s">
        <v>38</v>
      </c>
      <c r="G192" t="s">
        <v>20</v>
      </c>
      <c r="H192" t="s">
        <v>4963</v>
      </c>
      <c r="I192" t="s">
        <v>519</v>
      </c>
      <c r="J192" t="s">
        <v>36</v>
      </c>
    </row>
    <row r="193" spans="1:10">
      <c r="A193" t="s">
        <v>5152</v>
      </c>
      <c r="B193" s="2">
        <v>45588</v>
      </c>
      <c r="C193">
        <v>2024</v>
      </c>
      <c r="D193">
        <v>10</v>
      </c>
      <c r="E193" t="s">
        <v>113</v>
      </c>
      <c r="F193" t="s">
        <v>40</v>
      </c>
      <c r="G193" t="s">
        <v>69</v>
      </c>
      <c r="H193" t="s">
        <v>4960</v>
      </c>
      <c r="I193" t="s">
        <v>470</v>
      </c>
      <c r="J193" t="s">
        <v>9</v>
      </c>
    </row>
    <row r="194" spans="1:10">
      <c r="A194" t="s">
        <v>5153</v>
      </c>
      <c r="B194" s="2">
        <v>45604</v>
      </c>
      <c r="C194">
        <v>2024</v>
      </c>
      <c r="D194">
        <v>11</v>
      </c>
      <c r="E194" t="s">
        <v>117</v>
      </c>
      <c r="F194" t="s">
        <v>31</v>
      </c>
      <c r="G194" t="s">
        <v>55</v>
      </c>
      <c r="H194" t="s">
        <v>4960</v>
      </c>
      <c r="I194" t="s">
        <v>454</v>
      </c>
      <c r="J194" t="s">
        <v>16</v>
      </c>
    </row>
    <row r="195" spans="1:10">
      <c r="A195" t="s">
        <v>5154</v>
      </c>
      <c r="B195" s="2">
        <v>45605</v>
      </c>
      <c r="C195">
        <v>2024</v>
      </c>
      <c r="D195">
        <v>11</v>
      </c>
      <c r="E195" t="s">
        <v>117</v>
      </c>
      <c r="F195" t="s">
        <v>47</v>
      </c>
      <c r="G195" t="s">
        <v>32</v>
      </c>
      <c r="H195" t="s">
        <v>4960</v>
      </c>
      <c r="I195" t="s">
        <v>470</v>
      </c>
      <c r="J195" t="s">
        <v>36</v>
      </c>
    </row>
    <row r="196" spans="1:10">
      <c r="A196" t="s">
        <v>5155</v>
      </c>
      <c r="B196" s="2">
        <v>45616</v>
      </c>
      <c r="C196">
        <v>2024</v>
      </c>
      <c r="D196">
        <v>11</v>
      </c>
      <c r="E196" t="s">
        <v>117</v>
      </c>
      <c r="F196" t="s">
        <v>67</v>
      </c>
      <c r="G196" t="s">
        <v>20</v>
      </c>
      <c r="H196" t="s">
        <v>4960</v>
      </c>
      <c r="I196" t="s">
        <v>460</v>
      </c>
      <c r="J196" t="s">
        <v>29</v>
      </c>
    </row>
    <row r="197" spans="1:10">
      <c r="A197" t="s">
        <v>5156</v>
      </c>
      <c r="B197" s="2">
        <v>45621</v>
      </c>
      <c r="C197">
        <v>2024</v>
      </c>
      <c r="D197">
        <v>11</v>
      </c>
      <c r="E197" t="s">
        <v>117</v>
      </c>
      <c r="F197" t="s">
        <v>47</v>
      </c>
      <c r="G197" t="s">
        <v>27</v>
      </c>
      <c r="H197" t="s">
        <v>4963</v>
      </c>
      <c r="I197" t="s">
        <v>446</v>
      </c>
      <c r="J197" t="s">
        <v>9</v>
      </c>
    </row>
    <row r="198" spans="1:10">
      <c r="A198" t="s">
        <v>5157</v>
      </c>
      <c r="B198" s="2">
        <v>45598</v>
      </c>
      <c r="C198">
        <v>2024</v>
      </c>
      <c r="D198">
        <v>11</v>
      </c>
      <c r="E198" t="s">
        <v>117</v>
      </c>
      <c r="F198" t="s">
        <v>38</v>
      </c>
      <c r="G198" t="s">
        <v>55</v>
      </c>
      <c r="H198" t="s">
        <v>4960</v>
      </c>
      <c r="I198" t="s">
        <v>444</v>
      </c>
      <c r="J198" t="s">
        <v>29</v>
      </c>
    </row>
    <row r="199" spans="1:10">
      <c r="A199" t="s">
        <v>5158</v>
      </c>
      <c r="B199" s="2">
        <v>45597</v>
      </c>
      <c r="C199">
        <v>2024</v>
      </c>
      <c r="D199">
        <v>11</v>
      </c>
      <c r="E199" t="s">
        <v>117</v>
      </c>
      <c r="F199" t="s">
        <v>19</v>
      </c>
      <c r="G199" t="s">
        <v>64</v>
      </c>
      <c r="H199" t="s">
        <v>4960</v>
      </c>
      <c r="I199" t="s">
        <v>446</v>
      </c>
      <c r="J199" t="s">
        <v>9</v>
      </c>
    </row>
    <row r="200" spans="1:10">
      <c r="A200" t="s">
        <v>5159</v>
      </c>
      <c r="B200" s="2">
        <v>45618</v>
      </c>
      <c r="C200">
        <v>2024</v>
      </c>
      <c r="D200">
        <v>11</v>
      </c>
      <c r="E200" t="s">
        <v>117</v>
      </c>
      <c r="F200" t="s">
        <v>19</v>
      </c>
      <c r="G200" t="s">
        <v>3</v>
      </c>
      <c r="H200" t="s">
        <v>4960</v>
      </c>
      <c r="I200" t="s">
        <v>446</v>
      </c>
      <c r="J200" t="s">
        <v>9</v>
      </c>
    </row>
    <row r="201" spans="1:10">
      <c r="A201" t="s">
        <v>5160</v>
      </c>
      <c r="B201" s="2">
        <v>45606</v>
      </c>
      <c r="C201">
        <v>2024</v>
      </c>
      <c r="D201">
        <v>11</v>
      </c>
      <c r="E201" t="s">
        <v>117</v>
      </c>
      <c r="F201" t="s">
        <v>26</v>
      </c>
      <c r="G201" t="s">
        <v>20</v>
      </c>
      <c r="H201" t="s">
        <v>4960</v>
      </c>
      <c r="I201" t="s">
        <v>457</v>
      </c>
      <c r="J201" t="s">
        <v>36</v>
      </c>
    </row>
    <row r="202" spans="1:10">
      <c r="A202" t="s">
        <v>5161</v>
      </c>
      <c r="B202" s="2">
        <v>45611</v>
      </c>
      <c r="C202">
        <v>2024</v>
      </c>
      <c r="D202">
        <v>11</v>
      </c>
      <c r="E202" t="s">
        <v>117</v>
      </c>
      <c r="F202" t="s">
        <v>31</v>
      </c>
      <c r="G202" t="s">
        <v>64</v>
      </c>
      <c r="H202" t="s">
        <v>4963</v>
      </c>
      <c r="I202" t="s">
        <v>470</v>
      </c>
      <c r="J202" t="s">
        <v>9</v>
      </c>
    </row>
    <row r="203" spans="1:10">
      <c r="A203" t="s">
        <v>5162</v>
      </c>
      <c r="B203" s="2">
        <v>45615</v>
      </c>
      <c r="C203">
        <v>2024</v>
      </c>
      <c r="D203">
        <v>11</v>
      </c>
      <c r="E203" t="s">
        <v>117</v>
      </c>
      <c r="F203" t="s">
        <v>38</v>
      </c>
      <c r="G203" t="s">
        <v>48</v>
      </c>
      <c r="H203" t="s">
        <v>4963</v>
      </c>
      <c r="I203" t="s">
        <v>470</v>
      </c>
      <c r="J203" t="s">
        <v>36</v>
      </c>
    </row>
    <row r="204" spans="1:10">
      <c r="A204" t="s">
        <v>5163</v>
      </c>
      <c r="B204" s="2">
        <v>45599</v>
      </c>
      <c r="C204">
        <v>2024</v>
      </c>
      <c r="D204">
        <v>11</v>
      </c>
      <c r="E204" t="s">
        <v>117</v>
      </c>
      <c r="F204" t="s">
        <v>2</v>
      </c>
      <c r="G204" t="s">
        <v>64</v>
      </c>
      <c r="H204" t="s">
        <v>4960</v>
      </c>
      <c r="I204" t="s">
        <v>428</v>
      </c>
      <c r="J204" t="s">
        <v>36</v>
      </c>
    </row>
    <row r="205" spans="1:10">
      <c r="A205" t="s">
        <v>5164</v>
      </c>
      <c r="B205" s="2">
        <v>45619</v>
      </c>
      <c r="C205">
        <v>2024</v>
      </c>
      <c r="D205">
        <v>11</v>
      </c>
      <c r="E205" t="s">
        <v>117</v>
      </c>
      <c r="F205" t="s">
        <v>2</v>
      </c>
      <c r="G205" t="s">
        <v>55</v>
      </c>
      <c r="H205" t="s">
        <v>4963</v>
      </c>
      <c r="I205" t="s">
        <v>446</v>
      </c>
      <c r="J205" t="s">
        <v>36</v>
      </c>
    </row>
    <row r="206" spans="1:10">
      <c r="A206" t="s">
        <v>5165</v>
      </c>
      <c r="B206" s="2">
        <v>45618</v>
      </c>
      <c r="C206">
        <v>2024</v>
      </c>
      <c r="D206">
        <v>11</v>
      </c>
      <c r="E206" t="s">
        <v>117</v>
      </c>
      <c r="F206" t="s">
        <v>2</v>
      </c>
      <c r="G206" t="s">
        <v>64</v>
      </c>
      <c r="H206" t="s">
        <v>4963</v>
      </c>
      <c r="I206" t="s">
        <v>454</v>
      </c>
      <c r="J206" t="s">
        <v>16</v>
      </c>
    </row>
    <row r="207" spans="1:10">
      <c r="A207" t="s">
        <v>5166</v>
      </c>
      <c r="B207" s="2">
        <v>45620</v>
      </c>
      <c r="C207">
        <v>2024</v>
      </c>
      <c r="D207">
        <v>11</v>
      </c>
      <c r="E207" t="s">
        <v>117</v>
      </c>
      <c r="F207" t="s">
        <v>2</v>
      </c>
      <c r="G207" t="s">
        <v>32</v>
      </c>
      <c r="H207" t="s">
        <v>4963</v>
      </c>
      <c r="I207" t="s">
        <v>466</v>
      </c>
      <c r="J207" t="s">
        <v>9</v>
      </c>
    </row>
    <row r="208" spans="1:10">
      <c r="A208" t="s">
        <v>5167</v>
      </c>
      <c r="B208" s="2">
        <v>45622</v>
      </c>
      <c r="C208">
        <v>2024</v>
      </c>
      <c r="D208">
        <v>11</v>
      </c>
      <c r="E208" t="s">
        <v>117</v>
      </c>
      <c r="F208" t="s">
        <v>38</v>
      </c>
      <c r="G208" t="s">
        <v>94</v>
      </c>
      <c r="H208" t="s">
        <v>4960</v>
      </c>
      <c r="I208" t="s">
        <v>466</v>
      </c>
      <c r="J208" t="s">
        <v>16</v>
      </c>
    </row>
    <row r="209" spans="1:10">
      <c r="A209" t="s">
        <v>5168</v>
      </c>
      <c r="B209" s="2">
        <v>45602</v>
      </c>
      <c r="C209">
        <v>2024</v>
      </c>
      <c r="D209">
        <v>11</v>
      </c>
      <c r="E209" t="s">
        <v>117</v>
      </c>
      <c r="F209" t="s">
        <v>67</v>
      </c>
      <c r="G209" t="s">
        <v>3</v>
      </c>
      <c r="H209" t="s">
        <v>4960</v>
      </c>
      <c r="I209" t="s">
        <v>457</v>
      </c>
      <c r="J209" t="s">
        <v>36</v>
      </c>
    </row>
    <row r="210" spans="1:10">
      <c r="A210" t="s">
        <v>5169</v>
      </c>
      <c r="B210" s="2">
        <v>45601</v>
      </c>
      <c r="C210">
        <v>2024</v>
      </c>
      <c r="D210">
        <v>11</v>
      </c>
      <c r="E210" t="s">
        <v>117</v>
      </c>
      <c r="F210" t="s">
        <v>19</v>
      </c>
      <c r="G210" t="s">
        <v>3</v>
      </c>
      <c r="H210" t="s">
        <v>4960</v>
      </c>
      <c r="I210" t="s">
        <v>444</v>
      </c>
      <c r="J210" t="s">
        <v>9</v>
      </c>
    </row>
    <row r="211" spans="1:10">
      <c r="A211" t="s">
        <v>5170</v>
      </c>
      <c r="B211" s="2">
        <v>45649</v>
      </c>
      <c r="C211">
        <v>2024</v>
      </c>
      <c r="D211">
        <v>12</v>
      </c>
      <c r="E211" t="s">
        <v>124</v>
      </c>
      <c r="F211" t="s">
        <v>67</v>
      </c>
      <c r="G211" t="s">
        <v>38</v>
      </c>
      <c r="H211" t="s">
        <v>4963</v>
      </c>
      <c r="I211" t="s">
        <v>444</v>
      </c>
      <c r="J211" t="s">
        <v>29</v>
      </c>
    </row>
    <row r="212" spans="1:10">
      <c r="A212" t="s">
        <v>5171</v>
      </c>
      <c r="B212" s="2">
        <v>45628</v>
      </c>
      <c r="C212">
        <v>2024</v>
      </c>
      <c r="D212">
        <v>12</v>
      </c>
      <c r="E212" t="s">
        <v>124</v>
      </c>
      <c r="F212" t="s">
        <v>2</v>
      </c>
      <c r="G212" t="s">
        <v>61</v>
      </c>
      <c r="H212" t="s">
        <v>4960</v>
      </c>
      <c r="I212" t="s">
        <v>460</v>
      </c>
      <c r="J212" t="s">
        <v>29</v>
      </c>
    </row>
    <row r="213" spans="1:10">
      <c r="A213" t="s">
        <v>5172</v>
      </c>
      <c r="B213" s="2">
        <v>45634</v>
      </c>
      <c r="C213">
        <v>2024</v>
      </c>
      <c r="D213">
        <v>12</v>
      </c>
      <c r="E213" t="s">
        <v>124</v>
      </c>
      <c r="F213" t="s">
        <v>19</v>
      </c>
      <c r="G213" t="s">
        <v>32</v>
      </c>
      <c r="H213" t="s">
        <v>4960</v>
      </c>
      <c r="I213" t="s">
        <v>446</v>
      </c>
      <c r="J213" t="s">
        <v>36</v>
      </c>
    </row>
    <row r="214" spans="1:10">
      <c r="A214" t="s">
        <v>5173</v>
      </c>
      <c r="B214" s="2">
        <v>45637</v>
      </c>
      <c r="C214">
        <v>2024</v>
      </c>
      <c r="D214">
        <v>12</v>
      </c>
      <c r="E214" t="s">
        <v>124</v>
      </c>
      <c r="F214" t="s">
        <v>38</v>
      </c>
      <c r="G214" t="s">
        <v>61</v>
      </c>
      <c r="H214" t="s">
        <v>4960</v>
      </c>
      <c r="I214" t="s">
        <v>494</v>
      </c>
      <c r="J214" t="s">
        <v>36</v>
      </c>
    </row>
    <row r="215" spans="1:10">
      <c r="A215" t="s">
        <v>5174</v>
      </c>
      <c r="B215" s="2">
        <v>45653</v>
      </c>
      <c r="C215">
        <v>2024</v>
      </c>
      <c r="D215">
        <v>12</v>
      </c>
      <c r="E215" t="s">
        <v>124</v>
      </c>
      <c r="F215" t="s">
        <v>54</v>
      </c>
      <c r="G215" t="s">
        <v>94</v>
      </c>
      <c r="H215" t="s">
        <v>4963</v>
      </c>
      <c r="I215" t="s">
        <v>454</v>
      </c>
      <c r="J215" t="s">
        <v>16</v>
      </c>
    </row>
    <row r="216" spans="1:10">
      <c r="A216" t="s">
        <v>5175</v>
      </c>
      <c r="B216" s="2">
        <v>45643</v>
      </c>
      <c r="C216">
        <v>2024</v>
      </c>
      <c r="D216">
        <v>12</v>
      </c>
      <c r="E216" t="s">
        <v>124</v>
      </c>
      <c r="F216" t="s">
        <v>19</v>
      </c>
      <c r="G216" t="s">
        <v>69</v>
      </c>
      <c r="H216" t="s">
        <v>4960</v>
      </c>
      <c r="I216" t="s">
        <v>460</v>
      </c>
      <c r="J216" t="s">
        <v>29</v>
      </c>
    </row>
    <row r="217" spans="1:10">
      <c r="A217" t="s">
        <v>5176</v>
      </c>
      <c r="B217" s="2">
        <v>45649</v>
      </c>
      <c r="C217">
        <v>2024</v>
      </c>
      <c r="D217">
        <v>12</v>
      </c>
      <c r="E217" t="s">
        <v>124</v>
      </c>
      <c r="F217" t="s">
        <v>31</v>
      </c>
      <c r="G217" t="s">
        <v>64</v>
      </c>
      <c r="H217" t="s">
        <v>4960</v>
      </c>
      <c r="I217" t="s">
        <v>454</v>
      </c>
      <c r="J217" t="s">
        <v>16</v>
      </c>
    </row>
    <row r="218" spans="1:10">
      <c r="A218" t="s">
        <v>5177</v>
      </c>
      <c r="B218" s="2">
        <v>45642</v>
      </c>
      <c r="C218">
        <v>2024</v>
      </c>
      <c r="D218">
        <v>12</v>
      </c>
      <c r="E218" t="s">
        <v>124</v>
      </c>
      <c r="F218" t="s">
        <v>78</v>
      </c>
      <c r="G218" t="s">
        <v>20</v>
      </c>
      <c r="H218" t="s">
        <v>4963</v>
      </c>
      <c r="I218" t="s">
        <v>460</v>
      </c>
      <c r="J218" t="s">
        <v>36</v>
      </c>
    </row>
    <row r="219" spans="1:10">
      <c r="A219" t="s">
        <v>5178</v>
      </c>
      <c r="B219" s="2">
        <v>45650</v>
      </c>
      <c r="C219">
        <v>2024</v>
      </c>
      <c r="D219">
        <v>12</v>
      </c>
      <c r="E219" t="s">
        <v>124</v>
      </c>
      <c r="F219" t="s">
        <v>67</v>
      </c>
      <c r="G219" t="s">
        <v>64</v>
      </c>
      <c r="H219" t="s">
        <v>4960</v>
      </c>
      <c r="I219" t="s">
        <v>460</v>
      </c>
      <c r="J219" t="s">
        <v>36</v>
      </c>
    </row>
    <row r="220" spans="1:10">
      <c r="A220" t="s">
        <v>5179</v>
      </c>
      <c r="B220" s="2">
        <v>45635</v>
      </c>
      <c r="C220">
        <v>2024</v>
      </c>
      <c r="D220">
        <v>12</v>
      </c>
      <c r="E220" t="s">
        <v>124</v>
      </c>
      <c r="F220" t="s">
        <v>19</v>
      </c>
      <c r="G220" t="s">
        <v>74</v>
      </c>
      <c r="H220" t="s">
        <v>4960</v>
      </c>
      <c r="I220" t="s">
        <v>466</v>
      </c>
      <c r="J220" t="s">
        <v>29</v>
      </c>
    </row>
    <row r="221" spans="1:10">
      <c r="A221" t="s">
        <v>5180</v>
      </c>
      <c r="B221" s="2">
        <v>45631</v>
      </c>
      <c r="C221">
        <v>2024</v>
      </c>
      <c r="D221">
        <v>12</v>
      </c>
      <c r="E221" t="s">
        <v>124</v>
      </c>
      <c r="F221" t="s">
        <v>2</v>
      </c>
      <c r="G221" t="s">
        <v>20</v>
      </c>
      <c r="H221" t="s">
        <v>4960</v>
      </c>
      <c r="I221" t="s">
        <v>428</v>
      </c>
      <c r="J221" t="s">
        <v>9</v>
      </c>
    </row>
    <row r="222" spans="1:10">
      <c r="A222" t="s">
        <v>5181</v>
      </c>
      <c r="B222" s="2">
        <v>45675</v>
      </c>
      <c r="C222">
        <v>2025</v>
      </c>
      <c r="D222">
        <v>1</v>
      </c>
      <c r="E222" t="s">
        <v>1</v>
      </c>
      <c r="F222" t="s">
        <v>2</v>
      </c>
      <c r="G222" t="s">
        <v>20</v>
      </c>
      <c r="H222" t="s">
        <v>4960</v>
      </c>
      <c r="I222" t="s">
        <v>519</v>
      </c>
      <c r="J222" t="s">
        <v>9</v>
      </c>
    </row>
    <row r="223" spans="1:10">
      <c r="A223" t="s">
        <v>5182</v>
      </c>
      <c r="B223" s="2">
        <v>45681</v>
      </c>
      <c r="C223">
        <v>2025</v>
      </c>
      <c r="D223">
        <v>1</v>
      </c>
      <c r="E223" t="s">
        <v>1</v>
      </c>
      <c r="F223" t="s">
        <v>31</v>
      </c>
      <c r="G223" t="s">
        <v>61</v>
      </c>
      <c r="H223" t="s">
        <v>4960</v>
      </c>
      <c r="I223" t="s">
        <v>470</v>
      </c>
      <c r="J223" t="s">
        <v>36</v>
      </c>
    </row>
    <row r="224" spans="1:10">
      <c r="A224" t="s">
        <v>5183</v>
      </c>
      <c r="B224" s="2">
        <v>45666</v>
      </c>
      <c r="C224">
        <v>2025</v>
      </c>
      <c r="D224">
        <v>1</v>
      </c>
      <c r="E224" t="s">
        <v>1</v>
      </c>
      <c r="F224" t="s">
        <v>78</v>
      </c>
      <c r="G224" t="s">
        <v>74</v>
      </c>
      <c r="H224" t="s">
        <v>4960</v>
      </c>
      <c r="I224" t="s">
        <v>470</v>
      </c>
      <c r="J224" t="s">
        <v>36</v>
      </c>
    </row>
    <row r="225" spans="1:10">
      <c r="A225" t="s">
        <v>5184</v>
      </c>
      <c r="B225" s="2">
        <v>45672</v>
      </c>
      <c r="C225">
        <v>2025</v>
      </c>
      <c r="D225">
        <v>1</v>
      </c>
      <c r="E225" t="s">
        <v>1</v>
      </c>
      <c r="F225" t="s">
        <v>47</v>
      </c>
      <c r="G225" t="s">
        <v>38</v>
      </c>
      <c r="H225" t="s">
        <v>4960</v>
      </c>
      <c r="I225" t="s">
        <v>460</v>
      </c>
      <c r="J225" t="s">
        <v>29</v>
      </c>
    </row>
    <row r="226" spans="1:10">
      <c r="A226" t="s">
        <v>5185</v>
      </c>
      <c r="B226" s="2">
        <v>45682</v>
      </c>
      <c r="C226">
        <v>2025</v>
      </c>
      <c r="D226">
        <v>1</v>
      </c>
      <c r="E226" t="s">
        <v>1</v>
      </c>
      <c r="F226" t="s">
        <v>2</v>
      </c>
      <c r="G226" t="s">
        <v>74</v>
      </c>
      <c r="H226" t="s">
        <v>4960</v>
      </c>
      <c r="I226" t="s">
        <v>466</v>
      </c>
      <c r="J226" t="s">
        <v>36</v>
      </c>
    </row>
    <row r="227" spans="1:10">
      <c r="A227" t="s">
        <v>5186</v>
      </c>
      <c r="B227" s="2">
        <v>45678</v>
      </c>
      <c r="C227">
        <v>2025</v>
      </c>
      <c r="D227">
        <v>1</v>
      </c>
      <c r="E227" t="s">
        <v>1</v>
      </c>
      <c r="F227" t="s">
        <v>38</v>
      </c>
      <c r="G227" t="s">
        <v>38</v>
      </c>
      <c r="H227" t="s">
        <v>4960</v>
      </c>
      <c r="I227" t="s">
        <v>519</v>
      </c>
      <c r="J227" t="s">
        <v>16</v>
      </c>
    </row>
    <row r="228" spans="1:10">
      <c r="A228" t="s">
        <v>5187</v>
      </c>
      <c r="B228" s="2">
        <v>45665</v>
      </c>
      <c r="C228">
        <v>2025</v>
      </c>
      <c r="D228">
        <v>1</v>
      </c>
      <c r="E228" t="s">
        <v>1</v>
      </c>
      <c r="F228" t="s">
        <v>2</v>
      </c>
      <c r="G228" t="s">
        <v>38</v>
      </c>
      <c r="H228" t="s">
        <v>4960</v>
      </c>
      <c r="I228" t="s">
        <v>460</v>
      </c>
      <c r="J228" t="s">
        <v>29</v>
      </c>
    </row>
    <row r="229" spans="1:10">
      <c r="A229" t="s">
        <v>5188</v>
      </c>
      <c r="B229" s="2">
        <v>45678</v>
      </c>
      <c r="C229">
        <v>2025</v>
      </c>
      <c r="D229">
        <v>1</v>
      </c>
      <c r="E229" t="s">
        <v>1</v>
      </c>
      <c r="F229" t="s">
        <v>78</v>
      </c>
      <c r="G229" t="s">
        <v>55</v>
      </c>
      <c r="H229" t="s">
        <v>4960</v>
      </c>
      <c r="I229" t="s">
        <v>457</v>
      </c>
      <c r="J229" t="s">
        <v>16</v>
      </c>
    </row>
    <row r="230" spans="1:10">
      <c r="A230" t="s">
        <v>5189</v>
      </c>
      <c r="B230" s="2">
        <v>45683</v>
      </c>
      <c r="C230">
        <v>2025</v>
      </c>
      <c r="D230">
        <v>1</v>
      </c>
      <c r="E230" t="s">
        <v>1</v>
      </c>
      <c r="F230" t="s">
        <v>78</v>
      </c>
      <c r="G230" t="s">
        <v>69</v>
      </c>
      <c r="H230" t="s">
        <v>4960</v>
      </c>
      <c r="I230" t="s">
        <v>446</v>
      </c>
      <c r="J230" t="s">
        <v>16</v>
      </c>
    </row>
    <row r="231" spans="1:10">
      <c r="A231" t="s">
        <v>5190</v>
      </c>
      <c r="B231" s="2">
        <v>45664</v>
      </c>
      <c r="C231">
        <v>2025</v>
      </c>
      <c r="D231">
        <v>1</v>
      </c>
      <c r="E231" t="s">
        <v>1</v>
      </c>
      <c r="F231" t="s">
        <v>19</v>
      </c>
      <c r="G231" t="s">
        <v>32</v>
      </c>
      <c r="H231" t="s">
        <v>4960</v>
      </c>
      <c r="I231" t="s">
        <v>519</v>
      </c>
      <c r="J231" t="s">
        <v>16</v>
      </c>
    </row>
    <row r="232" spans="1:10">
      <c r="A232" t="s">
        <v>5191</v>
      </c>
      <c r="B232" s="2">
        <v>45664</v>
      </c>
      <c r="C232">
        <v>2025</v>
      </c>
      <c r="D232">
        <v>1</v>
      </c>
      <c r="E232" t="s">
        <v>1</v>
      </c>
      <c r="F232" t="s">
        <v>47</v>
      </c>
      <c r="G232" t="s">
        <v>38</v>
      </c>
      <c r="H232" t="s">
        <v>4960</v>
      </c>
      <c r="I232" t="s">
        <v>454</v>
      </c>
      <c r="J232" t="s">
        <v>36</v>
      </c>
    </row>
    <row r="233" spans="1:10">
      <c r="A233" t="s">
        <v>5192</v>
      </c>
      <c r="B233" s="2">
        <v>45667</v>
      </c>
      <c r="C233">
        <v>2025</v>
      </c>
      <c r="D233">
        <v>1</v>
      </c>
      <c r="E233" t="s">
        <v>1</v>
      </c>
      <c r="F233" t="s">
        <v>54</v>
      </c>
      <c r="G233" t="s">
        <v>61</v>
      </c>
      <c r="H233" t="s">
        <v>4960</v>
      </c>
      <c r="I233" t="s">
        <v>457</v>
      </c>
      <c r="J233" t="s">
        <v>9</v>
      </c>
    </row>
    <row r="234" spans="1:10">
      <c r="A234" t="s">
        <v>5193</v>
      </c>
      <c r="B234" s="2">
        <v>45679</v>
      </c>
      <c r="C234">
        <v>2025</v>
      </c>
      <c r="D234">
        <v>1</v>
      </c>
      <c r="E234" t="s">
        <v>1</v>
      </c>
      <c r="F234" t="s">
        <v>78</v>
      </c>
      <c r="G234" t="s">
        <v>64</v>
      </c>
      <c r="H234" t="s">
        <v>4963</v>
      </c>
      <c r="I234" t="s">
        <v>457</v>
      </c>
      <c r="J234" t="s">
        <v>16</v>
      </c>
    </row>
    <row r="235" spans="1:10">
      <c r="A235" t="s">
        <v>5194</v>
      </c>
      <c r="B235" s="2">
        <v>45676</v>
      </c>
      <c r="C235">
        <v>2025</v>
      </c>
      <c r="D235">
        <v>1</v>
      </c>
      <c r="E235" t="s">
        <v>1</v>
      </c>
      <c r="F235" t="s">
        <v>54</v>
      </c>
      <c r="G235" t="s">
        <v>94</v>
      </c>
      <c r="H235" t="s">
        <v>4960</v>
      </c>
      <c r="I235" t="s">
        <v>454</v>
      </c>
      <c r="J235" t="s">
        <v>16</v>
      </c>
    </row>
    <row r="236" spans="1:10">
      <c r="A236" t="s">
        <v>5195</v>
      </c>
      <c r="B236" s="2">
        <v>45685</v>
      </c>
      <c r="C236">
        <v>2025</v>
      </c>
      <c r="D236">
        <v>1</v>
      </c>
      <c r="E236" t="s">
        <v>1</v>
      </c>
      <c r="F236" t="s">
        <v>2</v>
      </c>
      <c r="G236" t="s">
        <v>74</v>
      </c>
      <c r="H236" t="s">
        <v>4960</v>
      </c>
      <c r="I236" t="s">
        <v>466</v>
      </c>
      <c r="J236" t="s">
        <v>16</v>
      </c>
    </row>
    <row r="237" spans="1:10">
      <c r="A237" t="s">
        <v>5196</v>
      </c>
      <c r="B237" s="2">
        <v>45668</v>
      </c>
      <c r="C237">
        <v>2025</v>
      </c>
      <c r="D237">
        <v>1</v>
      </c>
      <c r="E237" t="s">
        <v>1</v>
      </c>
      <c r="F237" t="s">
        <v>26</v>
      </c>
      <c r="G237" t="s">
        <v>94</v>
      </c>
      <c r="H237" t="s">
        <v>4960</v>
      </c>
      <c r="I237" t="s">
        <v>460</v>
      </c>
      <c r="J237" t="s">
        <v>36</v>
      </c>
    </row>
    <row r="238" spans="1:10">
      <c r="A238" t="s">
        <v>5197</v>
      </c>
      <c r="B238" s="2">
        <v>45674</v>
      </c>
      <c r="C238">
        <v>2025</v>
      </c>
      <c r="D238">
        <v>1</v>
      </c>
      <c r="E238" t="s">
        <v>1</v>
      </c>
      <c r="F238" t="s">
        <v>40</v>
      </c>
      <c r="G238" t="s">
        <v>64</v>
      </c>
      <c r="H238" t="s">
        <v>4960</v>
      </c>
      <c r="I238" t="s">
        <v>457</v>
      </c>
      <c r="J238" t="s">
        <v>29</v>
      </c>
    </row>
    <row r="239" spans="1:10">
      <c r="A239" t="s">
        <v>5198</v>
      </c>
      <c r="B239" s="2">
        <v>45663</v>
      </c>
      <c r="C239">
        <v>2025</v>
      </c>
      <c r="D239">
        <v>1</v>
      </c>
      <c r="E239" t="s">
        <v>1</v>
      </c>
      <c r="F239" t="s">
        <v>19</v>
      </c>
      <c r="G239" t="s">
        <v>3</v>
      </c>
      <c r="H239" t="s">
        <v>4963</v>
      </c>
      <c r="I239" t="s">
        <v>470</v>
      </c>
      <c r="J239" t="s">
        <v>16</v>
      </c>
    </row>
    <row r="240" spans="1:10">
      <c r="A240" t="s">
        <v>5199</v>
      </c>
      <c r="B240" s="2">
        <v>45669</v>
      </c>
      <c r="C240">
        <v>2025</v>
      </c>
      <c r="D240">
        <v>1</v>
      </c>
      <c r="E240" t="s">
        <v>1</v>
      </c>
      <c r="F240" t="s">
        <v>19</v>
      </c>
      <c r="G240" t="s">
        <v>3</v>
      </c>
      <c r="H240" t="s">
        <v>4960</v>
      </c>
      <c r="I240" t="s">
        <v>519</v>
      </c>
      <c r="J240" t="s">
        <v>16</v>
      </c>
    </row>
    <row r="241" spans="1:10">
      <c r="A241" t="s">
        <v>5200</v>
      </c>
      <c r="B241" s="2">
        <v>45690</v>
      </c>
      <c r="C241">
        <v>2025</v>
      </c>
      <c r="D241">
        <v>2</v>
      </c>
      <c r="E241" t="s">
        <v>25</v>
      </c>
      <c r="F241" t="s">
        <v>78</v>
      </c>
      <c r="G241" t="s">
        <v>48</v>
      </c>
      <c r="H241" t="s">
        <v>4960</v>
      </c>
      <c r="I241" t="s">
        <v>466</v>
      </c>
      <c r="J241" t="s">
        <v>16</v>
      </c>
    </row>
    <row r="242" spans="1:10">
      <c r="A242" t="s">
        <v>5201</v>
      </c>
      <c r="B242" s="2">
        <v>45711</v>
      </c>
      <c r="C242">
        <v>2025</v>
      </c>
      <c r="D242">
        <v>2</v>
      </c>
      <c r="E242" t="s">
        <v>25</v>
      </c>
      <c r="F242" t="s">
        <v>19</v>
      </c>
      <c r="G242" t="s">
        <v>74</v>
      </c>
      <c r="H242" t="s">
        <v>4963</v>
      </c>
      <c r="I242" t="s">
        <v>460</v>
      </c>
      <c r="J242" t="s">
        <v>9</v>
      </c>
    </row>
    <row r="243" spans="1:10">
      <c r="A243" t="s">
        <v>5202</v>
      </c>
      <c r="B243" s="2">
        <v>45707</v>
      </c>
      <c r="C243">
        <v>2025</v>
      </c>
      <c r="D243">
        <v>2</v>
      </c>
      <c r="E243" t="s">
        <v>25</v>
      </c>
      <c r="F243" t="s">
        <v>19</v>
      </c>
      <c r="G243" t="s">
        <v>94</v>
      </c>
      <c r="H243" t="s">
        <v>4960</v>
      </c>
      <c r="I243" t="s">
        <v>460</v>
      </c>
      <c r="J243" t="s">
        <v>9</v>
      </c>
    </row>
    <row r="244" spans="1:10">
      <c r="A244" t="s">
        <v>5203</v>
      </c>
      <c r="B244" s="2">
        <v>45689</v>
      </c>
      <c r="C244">
        <v>2025</v>
      </c>
      <c r="D244">
        <v>2</v>
      </c>
      <c r="E244" t="s">
        <v>25</v>
      </c>
      <c r="F244" t="s">
        <v>19</v>
      </c>
      <c r="G244" t="s">
        <v>74</v>
      </c>
      <c r="H244" t="s">
        <v>4963</v>
      </c>
      <c r="I244" t="s">
        <v>444</v>
      </c>
      <c r="J244" t="s">
        <v>9</v>
      </c>
    </row>
    <row r="245" spans="1:10">
      <c r="A245" t="s">
        <v>5204</v>
      </c>
      <c r="B245" s="2">
        <v>45689</v>
      </c>
      <c r="C245">
        <v>2025</v>
      </c>
      <c r="D245">
        <v>2</v>
      </c>
      <c r="E245" t="s">
        <v>25</v>
      </c>
      <c r="F245" t="s">
        <v>2</v>
      </c>
      <c r="G245" t="s">
        <v>55</v>
      </c>
      <c r="H245" t="s">
        <v>4960</v>
      </c>
      <c r="I245" t="s">
        <v>446</v>
      </c>
      <c r="J245" t="s">
        <v>36</v>
      </c>
    </row>
    <row r="246" spans="1:10">
      <c r="A246" t="s">
        <v>5205</v>
      </c>
      <c r="B246" s="2">
        <v>45704</v>
      </c>
      <c r="C246">
        <v>2025</v>
      </c>
      <c r="D246">
        <v>2</v>
      </c>
      <c r="E246" t="s">
        <v>25</v>
      </c>
      <c r="F246" t="s">
        <v>67</v>
      </c>
      <c r="G246" t="s">
        <v>32</v>
      </c>
      <c r="H246" t="s">
        <v>4963</v>
      </c>
      <c r="I246" t="s">
        <v>446</v>
      </c>
      <c r="J246" t="s">
        <v>36</v>
      </c>
    </row>
    <row r="247" spans="1:10">
      <c r="A247" t="s">
        <v>5206</v>
      </c>
      <c r="B247" s="2">
        <v>45694</v>
      </c>
      <c r="C247">
        <v>2025</v>
      </c>
      <c r="D247">
        <v>2</v>
      </c>
      <c r="E247" t="s">
        <v>25</v>
      </c>
      <c r="F247" t="s">
        <v>26</v>
      </c>
      <c r="G247" t="s">
        <v>64</v>
      </c>
      <c r="H247" t="s">
        <v>4963</v>
      </c>
      <c r="I247" t="s">
        <v>457</v>
      </c>
      <c r="J247" t="s">
        <v>36</v>
      </c>
    </row>
    <row r="248" spans="1:10">
      <c r="A248" t="s">
        <v>5207</v>
      </c>
      <c r="B248" s="2">
        <v>45699</v>
      </c>
      <c r="C248">
        <v>2025</v>
      </c>
      <c r="D248">
        <v>2</v>
      </c>
      <c r="E248" t="s">
        <v>25</v>
      </c>
      <c r="F248" t="s">
        <v>67</v>
      </c>
      <c r="G248" t="s">
        <v>38</v>
      </c>
      <c r="H248" t="s">
        <v>4963</v>
      </c>
      <c r="I248" t="s">
        <v>428</v>
      </c>
      <c r="J248" t="s">
        <v>29</v>
      </c>
    </row>
    <row r="249" spans="1:10">
      <c r="A249" t="s">
        <v>5208</v>
      </c>
      <c r="B249" s="2">
        <v>45704</v>
      </c>
      <c r="C249">
        <v>2025</v>
      </c>
      <c r="D249">
        <v>2</v>
      </c>
      <c r="E249" t="s">
        <v>25</v>
      </c>
      <c r="F249" t="s">
        <v>47</v>
      </c>
      <c r="G249" t="s">
        <v>61</v>
      </c>
      <c r="H249" t="s">
        <v>4960</v>
      </c>
      <c r="I249" t="s">
        <v>470</v>
      </c>
      <c r="J249" t="s">
        <v>9</v>
      </c>
    </row>
    <row r="250" spans="1:10">
      <c r="A250" t="s">
        <v>5209</v>
      </c>
      <c r="B250" s="2">
        <v>45700</v>
      </c>
      <c r="C250">
        <v>2025</v>
      </c>
      <c r="D250">
        <v>2</v>
      </c>
      <c r="E250" t="s">
        <v>25</v>
      </c>
      <c r="F250" t="s">
        <v>54</v>
      </c>
      <c r="G250" t="s">
        <v>64</v>
      </c>
      <c r="H250" t="s">
        <v>4960</v>
      </c>
      <c r="I250" t="s">
        <v>460</v>
      </c>
      <c r="J250" t="s">
        <v>36</v>
      </c>
    </row>
    <row r="251" spans="1:10">
      <c r="A251" t="s">
        <v>5210</v>
      </c>
      <c r="B251" s="2">
        <v>45699</v>
      </c>
      <c r="C251">
        <v>2025</v>
      </c>
      <c r="D251">
        <v>2</v>
      </c>
      <c r="E251" t="s">
        <v>25</v>
      </c>
      <c r="F251" t="s">
        <v>54</v>
      </c>
      <c r="G251" t="s">
        <v>48</v>
      </c>
      <c r="H251" t="s">
        <v>4963</v>
      </c>
      <c r="I251" t="s">
        <v>519</v>
      </c>
      <c r="J251" t="s">
        <v>36</v>
      </c>
    </row>
    <row r="252" spans="1:10">
      <c r="A252" t="s">
        <v>5211</v>
      </c>
      <c r="B252" s="2">
        <v>45720</v>
      </c>
      <c r="C252">
        <v>2025</v>
      </c>
      <c r="D252">
        <v>3</v>
      </c>
      <c r="E252" t="s">
        <v>60</v>
      </c>
      <c r="F252" t="s">
        <v>78</v>
      </c>
      <c r="G252" t="s">
        <v>64</v>
      </c>
      <c r="H252" t="s">
        <v>4960</v>
      </c>
      <c r="I252" t="s">
        <v>466</v>
      </c>
      <c r="J252" t="s">
        <v>9</v>
      </c>
    </row>
    <row r="253" spans="1:10">
      <c r="A253" t="s">
        <v>5212</v>
      </c>
      <c r="B253" s="2">
        <v>45724</v>
      </c>
      <c r="C253">
        <v>2025</v>
      </c>
      <c r="D253">
        <v>3</v>
      </c>
      <c r="E253" t="s">
        <v>60</v>
      </c>
      <c r="F253" t="s">
        <v>31</v>
      </c>
      <c r="G253" t="s">
        <v>27</v>
      </c>
      <c r="H253" t="s">
        <v>4960</v>
      </c>
      <c r="I253" t="s">
        <v>444</v>
      </c>
      <c r="J253" t="s">
        <v>9</v>
      </c>
    </row>
    <row r="254" spans="1:10">
      <c r="A254" t="s">
        <v>5213</v>
      </c>
      <c r="B254" s="2">
        <v>45739</v>
      </c>
      <c r="C254">
        <v>2025</v>
      </c>
      <c r="D254">
        <v>3</v>
      </c>
      <c r="E254" t="s">
        <v>60</v>
      </c>
      <c r="F254" t="s">
        <v>78</v>
      </c>
      <c r="G254" t="s">
        <v>64</v>
      </c>
      <c r="H254" t="s">
        <v>4960</v>
      </c>
      <c r="I254" t="s">
        <v>454</v>
      </c>
      <c r="J254" t="s">
        <v>29</v>
      </c>
    </row>
    <row r="255" spans="1:10">
      <c r="A255" t="s">
        <v>5214</v>
      </c>
      <c r="B255" s="2">
        <v>45744</v>
      </c>
      <c r="C255">
        <v>2025</v>
      </c>
      <c r="D255">
        <v>3</v>
      </c>
      <c r="E255" t="s">
        <v>60</v>
      </c>
      <c r="F255" t="s">
        <v>26</v>
      </c>
      <c r="G255" t="s">
        <v>69</v>
      </c>
      <c r="H255" t="s">
        <v>4960</v>
      </c>
      <c r="I255" t="s">
        <v>457</v>
      </c>
      <c r="J255" t="s">
        <v>36</v>
      </c>
    </row>
    <row r="256" spans="1:10">
      <c r="A256" t="s">
        <v>5215</v>
      </c>
      <c r="B256" s="2">
        <v>45744</v>
      </c>
      <c r="C256">
        <v>2025</v>
      </c>
      <c r="D256">
        <v>3</v>
      </c>
      <c r="E256" t="s">
        <v>60</v>
      </c>
      <c r="F256" t="s">
        <v>40</v>
      </c>
      <c r="G256" t="s">
        <v>32</v>
      </c>
      <c r="H256" t="s">
        <v>4963</v>
      </c>
      <c r="I256" t="s">
        <v>460</v>
      </c>
      <c r="J256" t="s">
        <v>29</v>
      </c>
    </row>
    <row r="257" spans="1:10">
      <c r="A257" t="s">
        <v>5216</v>
      </c>
      <c r="B257" s="2">
        <v>45728</v>
      </c>
      <c r="C257">
        <v>2025</v>
      </c>
      <c r="D257">
        <v>3</v>
      </c>
      <c r="E257" t="s">
        <v>60</v>
      </c>
      <c r="F257" t="s">
        <v>38</v>
      </c>
      <c r="G257" t="s">
        <v>38</v>
      </c>
      <c r="H257" t="s">
        <v>4960</v>
      </c>
      <c r="I257" t="s">
        <v>466</v>
      </c>
      <c r="J257" t="s">
        <v>29</v>
      </c>
    </row>
    <row r="258" spans="1:10">
      <c r="A258" t="s">
        <v>5217</v>
      </c>
      <c r="B258" s="2">
        <v>45743</v>
      </c>
      <c r="C258">
        <v>2025</v>
      </c>
      <c r="D258">
        <v>3</v>
      </c>
      <c r="E258" t="s">
        <v>60</v>
      </c>
      <c r="F258" t="s">
        <v>31</v>
      </c>
      <c r="G258" t="s">
        <v>38</v>
      </c>
      <c r="H258" t="s">
        <v>4963</v>
      </c>
      <c r="I258" t="s">
        <v>460</v>
      </c>
      <c r="J258" t="s">
        <v>36</v>
      </c>
    </row>
    <row r="259" spans="1:10">
      <c r="A259" t="s">
        <v>5218</v>
      </c>
      <c r="B259" s="2">
        <v>45725</v>
      </c>
      <c r="C259">
        <v>2025</v>
      </c>
      <c r="D259">
        <v>3</v>
      </c>
      <c r="E259" t="s">
        <v>60</v>
      </c>
      <c r="F259" t="s">
        <v>26</v>
      </c>
      <c r="G259" t="s">
        <v>69</v>
      </c>
      <c r="H259" t="s">
        <v>4960</v>
      </c>
      <c r="I259" t="s">
        <v>457</v>
      </c>
      <c r="J259" t="s">
        <v>9</v>
      </c>
    </row>
    <row r="260" spans="1:10">
      <c r="A260" t="s">
        <v>5219</v>
      </c>
      <c r="B260" s="2">
        <v>45726</v>
      </c>
      <c r="C260">
        <v>2025</v>
      </c>
      <c r="D260">
        <v>3</v>
      </c>
      <c r="E260" t="s">
        <v>60</v>
      </c>
      <c r="F260" t="s">
        <v>31</v>
      </c>
      <c r="G260" t="s">
        <v>32</v>
      </c>
      <c r="H260" t="s">
        <v>4960</v>
      </c>
      <c r="I260" t="s">
        <v>444</v>
      </c>
      <c r="J260" t="s">
        <v>29</v>
      </c>
    </row>
    <row r="261" spans="1:10">
      <c r="A261" t="s">
        <v>5220</v>
      </c>
      <c r="B261" s="2">
        <v>45735</v>
      </c>
      <c r="C261">
        <v>2025</v>
      </c>
      <c r="D261">
        <v>3</v>
      </c>
      <c r="E261" t="s">
        <v>60</v>
      </c>
      <c r="F261" t="s">
        <v>47</v>
      </c>
      <c r="G261" t="s">
        <v>32</v>
      </c>
      <c r="H261" t="s">
        <v>4960</v>
      </c>
      <c r="I261" t="s">
        <v>444</v>
      </c>
      <c r="J261" t="s">
        <v>36</v>
      </c>
    </row>
    <row r="262" spans="1:10">
      <c r="A262" t="s">
        <v>5221</v>
      </c>
      <c r="B262" s="2">
        <v>45742</v>
      </c>
      <c r="C262">
        <v>2025</v>
      </c>
      <c r="D262">
        <v>3</v>
      </c>
      <c r="E262" t="s">
        <v>60</v>
      </c>
      <c r="F262" t="s">
        <v>38</v>
      </c>
      <c r="G262" t="s">
        <v>20</v>
      </c>
      <c r="H262" t="s">
        <v>4960</v>
      </c>
      <c r="I262" t="s">
        <v>494</v>
      </c>
      <c r="J262" t="s">
        <v>36</v>
      </c>
    </row>
    <row r="263" spans="1:10">
      <c r="A263" t="s">
        <v>5222</v>
      </c>
      <c r="B263" s="2">
        <v>45739</v>
      </c>
      <c r="C263">
        <v>2025</v>
      </c>
      <c r="D263">
        <v>3</v>
      </c>
      <c r="E263" t="s">
        <v>60</v>
      </c>
      <c r="F263" t="s">
        <v>26</v>
      </c>
      <c r="G263" t="s">
        <v>38</v>
      </c>
      <c r="H263" t="s">
        <v>4963</v>
      </c>
      <c r="I263" t="s">
        <v>428</v>
      </c>
      <c r="J263" t="s">
        <v>9</v>
      </c>
    </row>
    <row r="264" spans="1:10">
      <c r="A264" t="s">
        <v>5223</v>
      </c>
      <c r="B264" s="2">
        <v>45742</v>
      </c>
      <c r="C264">
        <v>2025</v>
      </c>
      <c r="D264">
        <v>3</v>
      </c>
      <c r="E264" t="s">
        <v>60</v>
      </c>
      <c r="F264" t="s">
        <v>78</v>
      </c>
      <c r="G264" t="s">
        <v>48</v>
      </c>
      <c r="H264" t="s">
        <v>4960</v>
      </c>
      <c r="I264" t="s">
        <v>444</v>
      </c>
      <c r="J264" t="s">
        <v>9</v>
      </c>
    </row>
    <row r="265" spans="1:10">
      <c r="A265" t="s">
        <v>5224</v>
      </c>
      <c r="B265" s="2">
        <v>45725</v>
      </c>
      <c r="C265">
        <v>2025</v>
      </c>
      <c r="D265">
        <v>3</v>
      </c>
      <c r="E265" t="s">
        <v>60</v>
      </c>
      <c r="F265" t="s">
        <v>78</v>
      </c>
      <c r="G265" t="s">
        <v>61</v>
      </c>
      <c r="H265" t="s">
        <v>4960</v>
      </c>
      <c r="I265" t="s">
        <v>428</v>
      </c>
      <c r="J265" t="s">
        <v>29</v>
      </c>
    </row>
    <row r="266" spans="1:10">
      <c r="A266" t="s">
        <v>5225</v>
      </c>
      <c r="B266" s="2">
        <v>45724</v>
      </c>
      <c r="C266">
        <v>2025</v>
      </c>
      <c r="D266">
        <v>3</v>
      </c>
      <c r="E266" t="s">
        <v>60</v>
      </c>
      <c r="F266" t="s">
        <v>40</v>
      </c>
      <c r="G266" t="s">
        <v>20</v>
      </c>
      <c r="H266" t="s">
        <v>4960</v>
      </c>
      <c r="I266" t="s">
        <v>454</v>
      </c>
      <c r="J266" t="s">
        <v>29</v>
      </c>
    </row>
    <row r="267" spans="1:10">
      <c r="A267" t="s">
        <v>5226</v>
      </c>
      <c r="B267" s="2">
        <v>45729</v>
      </c>
      <c r="C267">
        <v>2025</v>
      </c>
      <c r="D267">
        <v>3</v>
      </c>
      <c r="E267" t="s">
        <v>60</v>
      </c>
      <c r="F267" t="s">
        <v>78</v>
      </c>
      <c r="G267" t="s">
        <v>32</v>
      </c>
      <c r="H267" t="s">
        <v>4960</v>
      </c>
      <c r="I267" t="s">
        <v>444</v>
      </c>
      <c r="J267" t="s">
        <v>9</v>
      </c>
    </row>
    <row r="268" spans="1:10">
      <c r="A268" t="s">
        <v>5227</v>
      </c>
      <c r="B268" s="2">
        <v>45728</v>
      </c>
      <c r="C268">
        <v>2025</v>
      </c>
      <c r="D268">
        <v>3</v>
      </c>
      <c r="E268" t="s">
        <v>60</v>
      </c>
      <c r="F268" t="s">
        <v>2</v>
      </c>
      <c r="G268" t="s">
        <v>38</v>
      </c>
      <c r="H268" t="s">
        <v>4960</v>
      </c>
      <c r="I268" t="s">
        <v>457</v>
      </c>
      <c r="J268" t="s">
        <v>36</v>
      </c>
    </row>
    <row r="269" spans="1:10">
      <c r="A269" t="s">
        <v>5228</v>
      </c>
      <c r="B269" s="2">
        <v>45732</v>
      </c>
      <c r="C269">
        <v>2025</v>
      </c>
      <c r="D269">
        <v>3</v>
      </c>
      <c r="E269" t="s">
        <v>60</v>
      </c>
      <c r="F269" t="s">
        <v>47</v>
      </c>
      <c r="G269" t="s">
        <v>27</v>
      </c>
      <c r="H269" t="s">
        <v>4960</v>
      </c>
      <c r="I269" t="s">
        <v>444</v>
      </c>
      <c r="J269" t="s">
        <v>9</v>
      </c>
    </row>
    <row r="270" spans="1:10">
      <c r="A270" t="s">
        <v>5229</v>
      </c>
      <c r="B270" s="2">
        <v>45733</v>
      </c>
      <c r="C270">
        <v>2025</v>
      </c>
      <c r="D270">
        <v>3</v>
      </c>
      <c r="E270" t="s">
        <v>60</v>
      </c>
      <c r="F270" t="s">
        <v>26</v>
      </c>
      <c r="G270" t="s">
        <v>61</v>
      </c>
      <c r="H270" t="s">
        <v>4960</v>
      </c>
      <c r="I270" t="s">
        <v>444</v>
      </c>
      <c r="J270" t="s">
        <v>9</v>
      </c>
    </row>
    <row r="271" spans="1:10">
      <c r="A271" t="s">
        <v>5230</v>
      </c>
      <c r="B271" s="2">
        <v>45732</v>
      </c>
      <c r="C271">
        <v>2025</v>
      </c>
      <c r="D271">
        <v>3</v>
      </c>
      <c r="E271" t="s">
        <v>60</v>
      </c>
      <c r="F271" t="s">
        <v>78</v>
      </c>
      <c r="G271" t="s">
        <v>48</v>
      </c>
      <c r="H271" t="s">
        <v>4963</v>
      </c>
      <c r="I271" t="s">
        <v>466</v>
      </c>
      <c r="J271" t="s">
        <v>9</v>
      </c>
    </row>
    <row r="272" spans="1:10">
      <c r="A272" t="s">
        <v>5231</v>
      </c>
      <c r="B272" s="2">
        <v>45720</v>
      </c>
      <c r="C272">
        <v>2025</v>
      </c>
      <c r="D272">
        <v>3</v>
      </c>
      <c r="E272" t="s">
        <v>60</v>
      </c>
      <c r="F272" t="s">
        <v>40</v>
      </c>
      <c r="G272" t="s">
        <v>55</v>
      </c>
      <c r="H272" t="s">
        <v>4963</v>
      </c>
      <c r="I272" t="s">
        <v>457</v>
      </c>
      <c r="J272" t="s">
        <v>29</v>
      </c>
    </row>
    <row r="273" spans="1:10">
      <c r="A273" t="s">
        <v>5232</v>
      </c>
      <c r="B273" s="2">
        <v>45721</v>
      </c>
      <c r="C273">
        <v>2025</v>
      </c>
      <c r="D273">
        <v>3</v>
      </c>
      <c r="E273" t="s">
        <v>60</v>
      </c>
      <c r="F273" t="s">
        <v>2</v>
      </c>
      <c r="G273" t="s">
        <v>94</v>
      </c>
      <c r="H273" t="s">
        <v>4960</v>
      </c>
      <c r="I273" t="s">
        <v>466</v>
      </c>
      <c r="J273" t="s">
        <v>36</v>
      </c>
    </row>
    <row r="274" spans="1:10">
      <c r="A274" t="s">
        <v>5233</v>
      </c>
      <c r="B274" s="2">
        <v>45740</v>
      </c>
      <c r="C274">
        <v>2025</v>
      </c>
      <c r="D274">
        <v>3</v>
      </c>
      <c r="E274" t="s">
        <v>60</v>
      </c>
      <c r="F274" t="s">
        <v>2</v>
      </c>
      <c r="G274" t="s">
        <v>27</v>
      </c>
      <c r="H274" t="s">
        <v>4960</v>
      </c>
      <c r="I274" t="s">
        <v>428</v>
      </c>
      <c r="J274" t="s">
        <v>9</v>
      </c>
    </row>
    <row r="275" spans="1:10">
      <c r="A275" t="s">
        <v>5234</v>
      </c>
      <c r="B275" s="2">
        <v>45719</v>
      </c>
      <c r="C275">
        <v>2025</v>
      </c>
      <c r="D275">
        <v>3</v>
      </c>
      <c r="E275" t="s">
        <v>60</v>
      </c>
      <c r="F275" t="s">
        <v>67</v>
      </c>
      <c r="G275" t="s">
        <v>94</v>
      </c>
      <c r="H275" t="s">
        <v>4960</v>
      </c>
      <c r="I275" t="s">
        <v>454</v>
      </c>
      <c r="J275" t="s">
        <v>29</v>
      </c>
    </row>
    <row r="276" spans="1:10">
      <c r="A276" t="s">
        <v>5235</v>
      </c>
      <c r="B276" s="2">
        <v>45743</v>
      </c>
      <c r="C276">
        <v>2025</v>
      </c>
      <c r="D276">
        <v>3</v>
      </c>
      <c r="E276" t="s">
        <v>60</v>
      </c>
      <c r="F276" t="s">
        <v>40</v>
      </c>
      <c r="G276" t="s">
        <v>69</v>
      </c>
      <c r="H276" t="s">
        <v>4960</v>
      </c>
      <c r="I276" t="s">
        <v>519</v>
      </c>
      <c r="J276" t="s">
        <v>16</v>
      </c>
    </row>
    <row r="277" spans="1:10">
      <c r="A277" t="s">
        <v>5236</v>
      </c>
      <c r="B277" s="2">
        <v>45726</v>
      </c>
      <c r="C277">
        <v>2025</v>
      </c>
      <c r="D277">
        <v>3</v>
      </c>
      <c r="E277" t="s">
        <v>60</v>
      </c>
      <c r="F277" t="s">
        <v>38</v>
      </c>
      <c r="G277" t="s">
        <v>32</v>
      </c>
      <c r="H277" t="s">
        <v>4963</v>
      </c>
      <c r="I277" t="s">
        <v>466</v>
      </c>
      <c r="J277" t="s">
        <v>16</v>
      </c>
    </row>
    <row r="278" spans="1:10">
      <c r="A278" t="s">
        <v>5237</v>
      </c>
      <c r="B278" s="2">
        <v>45721</v>
      </c>
      <c r="C278">
        <v>2025</v>
      </c>
      <c r="D278">
        <v>3</v>
      </c>
      <c r="E278" t="s">
        <v>60</v>
      </c>
      <c r="F278" t="s">
        <v>40</v>
      </c>
      <c r="G278" t="s">
        <v>32</v>
      </c>
      <c r="H278" t="s">
        <v>4963</v>
      </c>
      <c r="I278" t="s">
        <v>519</v>
      </c>
      <c r="J278" t="s">
        <v>36</v>
      </c>
    </row>
    <row r="279" spans="1:10">
      <c r="A279" t="s">
        <v>5238</v>
      </c>
      <c r="B279" s="2">
        <v>45735</v>
      </c>
      <c r="C279">
        <v>2025</v>
      </c>
      <c r="D279">
        <v>3</v>
      </c>
      <c r="E279" t="s">
        <v>60</v>
      </c>
      <c r="F279" t="s">
        <v>26</v>
      </c>
      <c r="G279" t="s">
        <v>61</v>
      </c>
      <c r="H279" t="s">
        <v>4963</v>
      </c>
      <c r="I279" t="s">
        <v>460</v>
      </c>
      <c r="J279" t="s">
        <v>36</v>
      </c>
    </row>
    <row r="280" spans="1:10">
      <c r="A280" t="s">
        <v>5239</v>
      </c>
      <c r="B280" s="2">
        <v>45741</v>
      </c>
      <c r="C280">
        <v>2025</v>
      </c>
      <c r="D280">
        <v>3</v>
      </c>
      <c r="E280" t="s">
        <v>60</v>
      </c>
      <c r="F280" t="s">
        <v>38</v>
      </c>
      <c r="G280" t="s">
        <v>94</v>
      </c>
      <c r="H280" t="s">
        <v>4960</v>
      </c>
      <c r="I280" t="s">
        <v>466</v>
      </c>
      <c r="J280" t="s">
        <v>16</v>
      </c>
    </row>
    <row r="281" spans="1:10">
      <c r="A281" t="s">
        <v>5240</v>
      </c>
      <c r="B281" s="2">
        <v>45735</v>
      </c>
      <c r="C281">
        <v>2025</v>
      </c>
      <c r="D281">
        <v>3</v>
      </c>
      <c r="E281" t="s">
        <v>60</v>
      </c>
      <c r="F281" t="s">
        <v>31</v>
      </c>
      <c r="G281" t="s">
        <v>74</v>
      </c>
      <c r="H281" t="s">
        <v>4960</v>
      </c>
      <c r="I281" t="s">
        <v>457</v>
      </c>
      <c r="J281" t="s">
        <v>36</v>
      </c>
    </row>
    <row r="282" spans="1:10">
      <c r="A282" t="s">
        <v>5241</v>
      </c>
      <c r="B282" s="2">
        <v>45773</v>
      </c>
      <c r="C282">
        <v>2025</v>
      </c>
      <c r="D282">
        <v>4</v>
      </c>
      <c r="E282" t="s">
        <v>73</v>
      </c>
      <c r="F282" t="s">
        <v>31</v>
      </c>
      <c r="G282" t="s">
        <v>48</v>
      </c>
      <c r="H282" t="s">
        <v>4960</v>
      </c>
      <c r="I282" t="s">
        <v>444</v>
      </c>
      <c r="J282" t="s">
        <v>16</v>
      </c>
    </row>
    <row r="283" spans="1:10">
      <c r="A283" t="s">
        <v>5242</v>
      </c>
      <c r="B283" s="2">
        <v>45774</v>
      </c>
      <c r="C283">
        <v>2025</v>
      </c>
      <c r="D283">
        <v>4</v>
      </c>
      <c r="E283" t="s">
        <v>73</v>
      </c>
      <c r="F283" t="s">
        <v>19</v>
      </c>
      <c r="G283" t="s">
        <v>74</v>
      </c>
      <c r="H283" t="s">
        <v>4960</v>
      </c>
      <c r="I283" t="s">
        <v>494</v>
      </c>
      <c r="J283" t="s">
        <v>36</v>
      </c>
    </row>
    <row r="284" spans="1:10">
      <c r="A284" t="s">
        <v>5243</v>
      </c>
      <c r="B284" s="2">
        <v>45775</v>
      </c>
      <c r="C284">
        <v>2025</v>
      </c>
      <c r="D284">
        <v>4</v>
      </c>
      <c r="E284" t="s">
        <v>73</v>
      </c>
      <c r="F284" t="s">
        <v>40</v>
      </c>
      <c r="G284" t="s">
        <v>69</v>
      </c>
      <c r="H284" t="s">
        <v>4960</v>
      </c>
      <c r="I284" t="s">
        <v>470</v>
      </c>
      <c r="J284" t="s">
        <v>29</v>
      </c>
    </row>
    <row r="285" spans="1:10">
      <c r="A285" t="s">
        <v>5244</v>
      </c>
      <c r="B285" s="2">
        <v>45753</v>
      </c>
      <c r="C285">
        <v>2025</v>
      </c>
      <c r="D285">
        <v>4</v>
      </c>
      <c r="E285" t="s">
        <v>73</v>
      </c>
      <c r="F285" t="s">
        <v>47</v>
      </c>
      <c r="G285" t="s">
        <v>94</v>
      </c>
      <c r="H285" t="s">
        <v>4960</v>
      </c>
      <c r="I285" t="s">
        <v>446</v>
      </c>
      <c r="J285" t="s">
        <v>36</v>
      </c>
    </row>
    <row r="286" spans="1:10">
      <c r="A286" t="s">
        <v>5245</v>
      </c>
      <c r="B286" s="2">
        <v>45749</v>
      </c>
      <c r="C286">
        <v>2025</v>
      </c>
      <c r="D286">
        <v>4</v>
      </c>
      <c r="E286" t="s">
        <v>73</v>
      </c>
      <c r="F286" t="s">
        <v>67</v>
      </c>
      <c r="G286" t="s">
        <v>69</v>
      </c>
      <c r="H286" t="s">
        <v>4960</v>
      </c>
      <c r="I286" t="s">
        <v>444</v>
      </c>
      <c r="J286" t="s">
        <v>36</v>
      </c>
    </row>
    <row r="287" spans="1:10">
      <c r="A287" t="s">
        <v>5246</v>
      </c>
      <c r="B287" s="2">
        <v>45748</v>
      </c>
      <c r="C287">
        <v>2025</v>
      </c>
      <c r="D287">
        <v>4</v>
      </c>
      <c r="E287" t="s">
        <v>73</v>
      </c>
      <c r="F287" t="s">
        <v>47</v>
      </c>
      <c r="G287" t="s">
        <v>74</v>
      </c>
      <c r="H287" t="s">
        <v>4963</v>
      </c>
      <c r="I287" t="s">
        <v>466</v>
      </c>
      <c r="J287" t="s">
        <v>9</v>
      </c>
    </row>
    <row r="288" spans="1:10">
      <c r="A288" t="s">
        <v>5247</v>
      </c>
      <c r="B288" s="2">
        <v>45775</v>
      </c>
      <c r="C288">
        <v>2025</v>
      </c>
      <c r="D288">
        <v>4</v>
      </c>
      <c r="E288" t="s">
        <v>73</v>
      </c>
      <c r="F288" t="s">
        <v>31</v>
      </c>
      <c r="G288" t="s">
        <v>74</v>
      </c>
      <c r="H288" t="s">
        <v>4960</v>
      </c>
      <c r="I288" t="s">
        <v>457</v>
      </c>
      <c r="J288" t="s">
        <v>16</v>
      </c>
    </row>
    <row r="289" spans="1:10">
      <c r="A289" t="s">
        <v>5248</v>
      </c>
      <c r="B289" s="2">
        <v>45748</v>
      </c>
      <c r="C289">
        <v>2025</v>
      </c>
      <c r="D289">
        <v>4</v>
      </c>
      <c r="E289" t="s">
        <v>73</v>
      </c>
      <c r="F289" t="s">
        <v>31</v>
      </c>
      <c r="G289" t="s">
        <v>48</v>
      </c>
      <c r="H289" t="s">
        <v>4963</v>
      </c>
      <c r="I289" t="s">
        <v>494</v>
      </c>
      <c r="J289" t="s">
        <v>16</v>
      </c>
    </row>
    <row r="290" spans="1:10">
      <c r="A290" t="s">
        <v>5249</v>
      </c>
      <c r="B290" s="2">
        <v>45748</v>
      </c>
      <c r="C290">
        <v>2025</v>
      </c>
      <c r="D290">
        <v>4</v>
      </c>
      <c r="E290" t="s">
        <v>73</v>
      </c>
      <c r="F290" t="s">
        <v>47</v>
      </c>
      <c r="G290" t="s">
        <v>32</v>
      </c>
      <c r="H290" t="s">
        <v>4960</v>
      </c>
      <c r="I290" t="s">
        <v>428</v>
      </c>
      <c r="J290" t="s">
        <v>29</v>
      </c>
    </row>
    <row r="291" spans="1:10">
      <c r="A291" t="s">
        <v>5250</v>
      </c>
      <c r="B291" s="2">
        <v>45766</v>
      </c>
      <c r="C291">
        <v>2025</v>
      </c>
      <c r="D291">
        <v>4</v>
      </c>
      <c r="E291" t="s">
        <v>73</v>
      </c>
      <c r="F291" t="s">
        <v>47</v>
      </c>
      <c r="G291" t="s">
        <v>55</v>
      </c>
      <c r="H291" t="s">
        <v>4960</v>
      </c>
      <c r="I291" t="s">
        <v>454</v>
      </c>
      <c r="J291" t="s">
        <v>9</v>
      </c>
    </row>
    <row r="292" spans="1:10">
      <c r="A292" t="s">
        <v>5251</v>
      </c>
      <c r="B292" s="2">
        <v>45772</v>
      </c>
      <c r="C292">
        <v>2025</v>
      </c>
      <c r="D292">
        <v>4</v>
      </c>
      <c r="E292" t="s">
        <v>73</v>
      </c>
      <c r="F292" t="s">
        <v>78</v>
      </c>
      <c r="G292" t="s">
        <v>32</v>
      </c>
      <c r="H292" t="s">
        <v>4960</v>
      </c>
      <c r="I292" t="s">
        <v>470</v>
      </c>
      <c r="J292" t="s">
        <v>9</v>
      </c>
    </row>
    <row r="293" spans="1:10">
      <c r="A293" t="s">
        <v>5252</v>
      </c>
      <c r="B293" s="2">
        <v>45753</v>
      </c>
      <c r="C293">
        <v>2025</v>
      </c>
      <c r="D293">
        <v>4</v>
      </c>
      <c r="E293" t="s">
        <v>73</v>
      </c>
      <c r="F293" t="s">
        <v>67</v>
      </c>
      <c r="G293" t="s">
        <v>74</v>
      </c>
      <c r="H293" t="s">
        <v>4960</v>
      </c>
      <c r="I293" t="s">
        <v>446</v>
      </c>
      <c r="J293" t="s">
        <v>16</v>
      </c>
    </row>
    <row r="294" spans="1:10">
      <c r="A294" t="s">
        <v>5253</v>
      </c>
      <c r="B294" s="2">
        <v>45772</v>
      </c>
      <c r="C294">
        <v>2025</v>
      </c>
      <c r="D294">
        <v>4</v>
      </c>
      <c r="E294" t="s">
        <v>73</v>
      </c>
      <c r="F294" t="s">
        <v>40</v>
      </c>
      <c r="G294" t="s">
        <v>61</v>
      </c>
      <c r="H294" t="s">
        <v>4963</v>
      </c>
      <c r="I294" t="s">
        <v>466</v>
      </c>
      <c r="J294" t="s">
        <v>36</v>
      </c>
    </row>
    <row r="295" spans="1:10">
      <c r="A295" t="s">
        <v>5254</v>
      </c>
      <c r="B295" s="2">
        <v>45799</v>
      </c>
      <c r="C295">
        <v>2025</v>
      </c>
      <c r="D295">
        <v>5</v>
      </c>
      <c r="E295" t="s">
        <v>83</v>
      </c>
      <c r="F295" t="s">
        <v>54</v>
      </c>
      <c r="G295" t="s">
        <v>94</v>
      </c>
      <c r="H295" t="s">
        <v>4960</v>
      </c>
      <c r="I295" t="s">
        <v>470</v>
      </c>
      <c r="J295" t="s">
        <v>36</v>
      </c>
    </row>
    <row r="296" spans="1:10">
      <c r="A296" t="s">
        <v>5255</v>
      </c>
      <c r="B296" s="2">
        <v>45783</v>
      </c>
      <c r="C296">
        <v>2025</v>
      </c>
      <c r="D296">
        <v>5</v>
      </c>
      <c r="E296" t="s">
        <v>83</v>
      </c>
      <c r="F296" t="s">
        <v>47</v>
      </c>
      <c r="G296" t="s">
        <v>3</v>
      </c>
      <c r="H296" t="s">
        <v>4960</v>
      </c>
      <c r="I296" t="s">
        <v>444</v>
      </c>
      <c r="J296" t="s">
        <v>9</v>
      </c>
    </row>
    <row r="297" spans="1:10">
      <c r="A297" t="s">
        <v>5256</v>
      </c>
      <c r="B297" s="2">
        <v>45779</v>
      </c>
      <c r="C297">
        <v>2025</v>
      </c>
      <c r="D297">
        <v>5</v>
      </c>
      <c r="E297" t="s">
        <v>83</v>
      </c>
      <c r="F297" t="s">
        <v>19</v>
      </c>
      <c r="G297" t="s">
        <v>38</v>
      </c>
      <c r="H297" t="s">
        <v>4963</v>
      </c>
      <c r="I297" t="s">
        <v>470</v>
      </c>
      <c r="J297" t="s">
        <v>9</v>
      </c>
    </row>
    <row r="298" spans="1:10">
      <c r="A298" t="s">
        <v>5257</v>
      </c>
      <c r="B298" s="2">
        <v>45786</v>
      </c>
      <c r="C298">
        <v>2025</v>
      </c>
      <c r="D298">
        <v>5</v>
      </c>
      <c r="E298" t="s">
        <v>83</v>
      </c>
      <c r="F298" t="s">
        <v>54</v>
      </c>
      <c r="G298" t="s">
        <v>32</v>
      </c>
      <c r="H298" t="s">
        <v>4960</v>
      </c>
      <c r="I298" t="s">
        <v>466</v>
      </c>
      <c r="J298" t="s">
        <v>29</v>
      </c>
    </row>
    <row r="299" spans="1:10">
      <c r="A299" t="s">
        <v>5258</v>
      </c>
      <c r="B299" s="2">
        <v>45778</v>
      </c>
      <c r="C299">
        <v>2025</v>
      </c>
      <c r="D299">
        <v>5</v>
      </c>
      <c r="E299" t="s">
        <v>83</v>
      </c>
      <c r="F299" t="s">
        <v>19</v>
      </c>
      <c r="G299" t="s">
        <v>69</v>
      </c>
      <c r="H299" t="s">
        <v>4960</v>
      </c>
      <c r="I299" t="s">
        <v>454</v>
      </c>
      <c r="J299" t="s">
        <v>9</v>
      </c>
    </row>
    <row r="300" spans="1:10">
      <c r="A300" t="s">
        <v>5259</v>
      </c>
      <c r="B300" s="2">
        <v>45805</v>
      </c>
      <c r="C300">
        <v>2025</v>
      </c>
      <c r="D300">
        <v>5</v>
      </c>
      <c r="E300" t="s">
        <v>83</v>
      </c>
      <c r="F300" t="s">
        <v>2</v>
      </c>
      <c r="G300" t="s">
        <v>94</v>
      </c>
      <c r="H300" t="s">
        <v>4960</v>
      </c>
      <c r="I300" t="s">
        <v>446</v>
      </c>
      <c r="J300" t="s">
        <v>9</v>
      </c>
    </row>
    <row r="301" spans="1:10">
      <c r="A301" t="s">
        <v>5260</v>
      </c>
      <c r="B301" s="2">
        <v>45789</v>
      </c>
      <c r="C301">
        <v>2025</v>
      </c>
      <c r="D301">
        <v>5</v>
      </c>
      <c r="E301" t="s">
        <v>83</v>
      </c>
      <c r="F301" t="s">
        <v>2</v>
      </c>
      <c r="G301" t="s">
        <v>61</v>
      </c>
      <c r="H301" t="s">
        <v>4960</v>
      </c>
      <c r="I301" t="s">
        <v>466</v>
      </c>
      <c r="J301" t="s">
        <v>16</v>
      </c>
    </row>
    <row r="302" spans="1:10">
      <c r="A302" t="s">
        <v>5261</v>
      </c>
      <c r="B302" s="2">
        <v>45797</v>
      </c>
      <c r="C302">
        <v>2025</v>
      </c>
      <c r="D302">
        <v>5</v>
      </c>
      <c r="E302" t="s">
        <v>83</v>
      </c>
      <c r="F302" t="s">
        <v>2</v>
      </c>
      <c r="G302" t="s">
        <v>3</v>
      </c>
      <c r="H302" t="s">
        <v>4960</v>
      </c>
      <c r="I302" t="s">
        <v>454</v>
      </c>
      <c r="J302" t="s">
        <v>16</v>
      </c>
    </row>
    <row r="303" spans="1:10">
      <c r="A303" t="s">
        <v>5262</v>
      </c>
      <c r="B303" s="2">
        <v>45792</v>
      </c>
      <c r="C303">
        <v>2025</v>
      </c>
      <c r="D303">
        <v>5</v>
      </c>
      <c r="E303" t="s">
        <v>83</v>
      </c>
      <c r="F303" t="s">
        <v>54</v>
      </c>
      <c r="G303" t="s">
        <v>69</v>
      </c>
      <c r="H303" t="s">
        <v>4963</v>
      </c>
      <c r="I303" t="s">
        <v>470</v>
      </c>
      <c r="J303" t="s">
        <v>29</v>
      </c>
    </row>
    <row r="304" spans="1:10">
      <c r="A304" t="s">
        <v>5263</v>
      </c>
      <c r="B304" s="2">
        <v>45801</v>
      </c>
      <c r="C304">
        <v>2025</v>
      </c>
      <c r="D304">
        <v>5</v>
      </c>
      <c r="E304" t="s">
        <v>83</v>
      </c>
      <c r="F304" t="s">
        <v>19</v>
      </c>
      <c r="G304" t="s">
        <v>94</v>
      </c>
      <c r="H304" t="s">
        <v>4960</v>
      </c>
      <c r="I304" t="s">
        <v>444</v>
      </c>
      <c r="J304" t="s">
        <v>36</v>
      </c>
    </row>
    <row r="305" spans="1:10">
      <c r="A305" t="s">
        <v>5264</v>
      </c>
      <c r="B305" s="2">
        <v>45791</v>
      </c>
      <c r="C305">
        <v>2025</v>
      </c>
      <c r="D305">
        <v>5</v>
      </c>
      <c r="E305" t="s">
        <v>83</v>
      </c>
      <c r="F305" t="s">
        <v>78</v>
      </c>
      <c r="G305" t="s">
        <v>3</v>
      </c>
      <c r="H305" t="s">
        <v>4963</v>
      </c>
      <c r="I305" t="s">
        <v>466</v>
      </c>
      <c r="J305" t="s">
        <v>29</v>
      </c>
    </row>
    <row r="306" spans="1:10">
      <c r="A306" t="s">
        <v>5265</v>
      </c>
      <c r="B306" s="2">
        <v>45781</v>
      </c>
      <c r="C306">
        <v>2025</v>
      </c>
      <c r="D306">
        <v>5</v>
      </c>
      <c r="E306" t="s">
        <v>83</v>
      </c>
      <c r="F306" t="s">
        <v>47</v>
      </c>
      <c r="G306" t="s">
        <v>3</v>
      </c>
      <c r="H306" t="s">
        <v>4960</v>
      </c>
      <c r="I306" t="s">
        <v>519</v>
      </c>
      <c r="J306" t="s">
        <v>9</v>
      </c>
    </row>
    <row r="307" spans="1:10">
      <c r="A307" t="s">
        <v>5266</v>
      </c>
      <c r="B307" s="2">
        <v>45784</v>
      </c>
      <c r="C307">
        <v>2025</v>
      </c>
      <c r="D307">
        <v>5</v>
      </c>
      <c r="E307" t="s">
        <v>83</v>
      </c>
      <c r="F307" t="s">
        <v>38</v>
      </c>
      <c r="G307" t="s">
        <v>3</v>
      </c>
      <c r="H307" t="s">
        <v>4960</v>
      </c>
      <c r="I307" t="s">
        <v>428</v>
      </c>
      <c r="J307" t="s">
        <v>36</v>
      </c>
    </row>
    <row r="308" spans="1:10">
      <c r="A308" t="s">
        <v>5267</v>
      </c>
      <c r="B308" s="2">
        <v>45783</v>
      </c>
      <c r="C308">
        <v>2025</v>
      </c>
      <c r="D308">
        <v>5</v>
      </c>
      <c r="E308" t="s">
        <v>83</v>
      </c>
      <c r="F308" t="s">
        <v>47</v>
      </c>
      <c r="G308" t="s">
        <v>74</v>
      </c>
      <c r="H308" t="s">
        <v>4963</v>
      </c>
      <c r="I308" t="s">
        <v>470</v>
      </c>
      <c r="J308" t="s">
        <v>9</v>
      </c>
    </row>
    <row r="309" spans="1:10">
      <c r="A309" t="s">
        <v>5268</v>
      </c>
      <c r="B309" s="2">
        <v>45787</v>
      </c>
      <c r="C309">
        <v>2025</v>
      </c>
      <c r="D309">
        <v>5</v>
      </c>
      <c r="E309" t="s">
        <v>83</v>
      </c>
      <c r="F309" t="s">
        <v>38</v>
      </c>
      <c r="G309" t="s">
        <v>27</v>
      </c>
      <c r="H309" t="s">
        <v>4960</v>
      </c>
      <c r="I309" t="s">
        <v>428</v>
      </c>
      <c r="J309" t="s">
        <v>36</v>
      </c>
    </row>
    <row r="310" spans="1:10">
      <c r="A310" t="s">
        <v>5269</v>
      </c>
      <c r="B310" s="2">
        <v>45785</v>
      </c>
      <c r="C310">
        <v>2025</v>
      </c>
      <c r="D310">
        <v>5</v>
      </c>
      <c r="E310" t="s">
        <v>83</v>
      </c>
      <c r="F310" t="s">
        <v>40</v>
      </c>
      <c r="G310" t="s">
        <v>32</v>
      </c>
      <c r="H310" t="s">
        <v>4960</v>
      </c>
      <c r="I310" t="s">
        <v>446</v>
      </c>
      <c r="J310" t="s">
        <v>16</v>
      </c>
    </row>
    <row r="311" spans="1:10">
      <c r="A311" t="s">
        <v>5270</v>
      </c>
      <c r="B311" s="2">
        <v>45805</v>
      </c>
      <c r="C311">
        <v>2025</v>
      </c>
      <c r="D311">
        <v>5</v>
      </c>
      <c r="E311" t="s">
        <v>83</v>
      </c>
      <c r="F311" t="s">
        <v>31</v>
      </c>
      <c r="G311" t="s">
        <v>64</v>
      </c>
      <c r="H311" t="s">
        <v>4960</v>
      </c>
      <c r="I311" t="s">
        <v>519</v>
      </c>
      <c r="J311" t="s">
        <v>36</v>
      </c>
    </row>
    <row r="312" spans="1:10">
      <c r="A312" t="s">
        <v>5271</v>
      </c>
      <c r="B312" s="2">
        <v>45794</v>
      </c>
      <c r="C312">
        <v>2025</v>
      </c>
      <c r="D312">
        <v>5</v>
      </c>
      <c r="E312" t="s">
        <v>83</v>
      </c>
      <c r="F312" t="s">
        <v>54</v>
      </c>
      <c r="G312" t="s">
        <v>55</v>
      </c>
      <c r="H312" t="s">
        <v>4960</v>
      </c>
      <c r="I312" t="s">
        <v>466</v>
      </c>
      <c r="J312" t="s">
        <v>16</v>
      </c>
    </row>
    <row r="313" spans="1:10">
      <c r="A313" t="s">
        <v>5272</v>
      </c>
      <c r="B313" s="2">
        <v>45799</v>
      </c>
      <c r="C313">
        <v>2025</v>
      </c>
      <c r="D313">
        <v>5</v>
      </c>
      <c r="E313" t="s">
        <v>83</v>
      </c>
      <c r="F313" t="s">
        <v>38</v>
      </c>
      <c r="G313" t="s">
        <v>55</v>
      </c>
      <c r="H313" t="s">
        <v>4963</v>
      </c>
      <c r="I313" t="s">
        <v>444</v>
      </c>
      <c r="J313" t="s">
        <v>16</v>
      </c>
    </row>
    <row r="314" spans="1:10">
      <c r="A314" t="s">
        <v>5273</v>
      </c>
      <c r="B314" s="2">
        <v>45786</v>
      </c>
      <c r="C314">
        <v>2025</v>
      </c>
      <c r="D314">
        <v>5</v>
      </c>
      <c r="E314" t="s">
        <v>83</v>
      </c>
      <c r="F314" t="s">
        <v>26</v>
      </c>
      <c r="G314" t="s">
        <v>94</v>
      </c>
      <c r="H314" t="s">
        <v>4960</v>
      </c>
      <c r="I314" t="s">
        <v>446</v>
      </c>
      <c r="J314" t="s">
        <v>16</v>
      </c>
    </row>
    <row r="315" spans="1:10">
      <c r="A315" t="s">
        <v>5274</v>
      </c>
      <c r="B315" s="2">
        <v>45804</v>
      </c>
      <c r="C315">
        <v>2025</v>
      </c>
      <c r="D315">
        <v>5</v>
      </c>
      <c r="E315" t="s">
        <v>83</v>
      </c>
      <c r="F315" t="s">
        <v>31</v>
      </c>
      <c r="G315" t="s">
        <v>32</v>
      </c>
      <c r="H315" t="s">
        <v>4960</v>
      </c>
      <c r="I315" t="s">
        <v>466</v>
      </c>
      <c r="J315" t="s">
        <v>36</v>
      </c>
    </row>
    <row r="316" spans="1:10">
      <c r="A316" t="s">
        <v>5275</v>
      </c>
      <c r="B316" s="2">
        <v>45823</v>
      </c>
      <c r="C316">
        <v>2025</v>
      </c>
      <c r="D316">
        <v>6</v>
      </c>
      <c r="E316" t="s">
        <v>87</v>
      </c>
      <c r="F316" t="s">
        <v>47</v>
      </c>
      <c r="G316" t="s">
        <v>38</v>
      </c>
      <c r="H316" t="s">
        <v>4960</v>
      </c>
      <c r="I316" t="s">
        <v>470</v>
      </c>
      <c r="J316" t="s">
        <v>36</v>
      </c>
    </row>
    <row r="317" spans="1:10">
      <c r="A317" t="s">
        <v>5276</v>
      </c>
      <c r="B317" s="2">
        <v>45823</v>
      </c>
      <c r="C317">
        <v>2025</v>
      </c>
      <c r="D317">
        <v>6</v>
      </c>
      <c r="E317" t="s">
        <v>87</v>
      </c>
      <c r="F317" t="s">
        <v>54</v>
      </c>
      <c r="G317" t="s">
        <v>48</v>
      </c>
      <c r="H317" t="s">
        <v>4960</v>
      </c>
      <c r="I317" t="s">
        <v>428</v>
      </c>
      <c r="J317" t="s">
        <v>36</v>
      </c>
    </row>
    <row r="318" spans="1:10">
      <c r="A318" t="s">
        <v>5277</v>
      </c>
      <c r="B318" s="2">
        <v>45813</v>
      </c>
      <c r="C318">
        <v>2025</v>
      </c>
      <c r="D318">
        <v>6</v>
      </c>
      <c r="E318" t="s">
        <v>87</v>
      </c>
      <c r="F318" t="s">
        <v>40</v>
      </c>
      <c r="G318" t="s">
        <v>61</v>
      </c>
      <c r="H318" t="s">
        <v>4960</v>
      </c>
      <c r="I318" t="s">
        <v>457</v>
      </c>
      <c r="J318" t="s">
        <v>36</v>
      </c>
    </row>
    <row r="319" spans="1:10">
      <c r="A319" t="s">
        <v>5278</v>
      </c>
      <c r="B319" s="2">
        <v>45830</v>
      </c>
      <c r="C319">
        <v>2025</v>
      </c>
      <c r="D319">
        <v>6</v>
      </c>
      <c r="E319" t="s">
        <v>87</v>
      </c>
      <c r="F319" t="s">
        <v>19</v>
      </c>
      <c r="G319" t="s">
        <v>61</v>
      </c>
      <c r="H319" t="s">
        <v>4960</v>
      </c>
      <c r="I319" t="s">
        <v>444</v>
      </c>
      <c r="J319" t="s">
        <v>16</v>
      </c>
    </row>
    <row r="320" spans="1:10">
      <c r="A320" t="s">
        <v>5279</v>
      </c>
      <c r="B320" s="2">
        <v>45821</v>
      </c>
      <c r="C320">
        <v>2025</v>
      </c>
      <c r="D320">
        <v>6</v>
      </c>
      <c r="E320" t="s">
        <v>87</v>
      </c>
      <c r="F320" t="s">
        <v>78</v>
      </c>
      <c r="G320" t="s">
        <v>64</v>
      </c>
      <c r="H320" t="s">
        <v>4963</v>
      </c>
      <c r="I320" t="s">
        <v>466</v>
      </c>
      <c r="J320" t="s">
        <v>36</v>
      </c>
    </row>
    <row r="321" spans="1:10">
      <c r="A321" t="s">
        <v>5280</v>
      </c>
      <c r="B321" s="2">
        <v>45809</v>
      </c>
      <c r="C321">
        <v>2025</v>
      </c>
      <c r="D321">
        <v>6</v>
      </c>
      <c r="E321" t="s">
        <v>87</v>
      </c>
      <c r="F321" t="s">
        <v>31</v>
      </c>
      <c r="G321" t="s">
        <v>61</v>
      </c>
      <c r="H321" t="s">
        <v>4960</v>
      </c>
      <c r="I321" t="s">
        <v>428</v>
      </c>
      <c r="J321" t="s">
        <v>29</v>
      </c>
    </row>
    <row r="322" spans="1:10">
      <c r="A322" t="s">
        <v>5281</v>
      </c>
      <c r="B322" s="2">
        <v>45835</v>
      </c>
      <c r="C322">
        <v>2025</v>
      </c>
      <c r="D322">
        <v>6</v>
      </c>
      <c r="E322" t="s">
        <v>87</v>
      </c>
      <c r="F322" t="s">
        <v>54</v>
      </c>
      <c r="G322" t="s">
        <v>3</v>
      </c>
      <c r="H322" t="s">
        <v>4960</v>
      </c>
      <c r="I322" t="s">
        <v>446</v>
      </c>
      <c r="J322" t="s">
        <v>36</v>
      </c>
    </row>
    <row r="323" spans="1:10">
      <c r="A323" t="s">
        <v>5282</v>
      </c>
      <c r="B323" s="2">
        <v>45809</v>
      </c>
      <c r="C323">
        <v>2025</v>
      </c>
      <c r="D323">
        <v>6</v>
      </c>
      <c r="E323" t="s">
        <v>87</v>
      </c>
      <c r="F323" t="s">
        <v>40</v>
      </c>
      <c r="G323" t="s">
        <v>94</v>
      </c>
      <c r="H323" t="s">
        <v>4960</v>
      </c>
      <c r="I323" t="s">
        <v>457</v>
      </c>
      <c r="J323" t="s">
        <v>9</v>
      </c>
    </row>
    <row r="324" spans="1:10">
      <c r="A324" t="s">
        <v>5283</v>
      </c>
      <c r="B324" s="2">
        <v>45827</v>
      </c>
      <c r="C324">
        <v>2025</v>
      </c>
      <c r="D324">
        <v>6</v>
      </c>
      <c r="E324" t="s">
        <v>87</v>
      </c>
      <c r="F324" t="s">
        <v>26</v>
      </c>
      <c r="G324" t="s">
        <v>48</v>
      </c>
      <c r="H324" t="s">
        <v>4960</v>
      </c>
      <c r="I324" t="s">
        <v>428</v>
      </c>
      <c r="J324" t="s">
        <v>9</v>
      </c>
    </row>
    <row r="325" spans="1:10">
      <c r="A325" t="s">
        <v>5284</v>
      </c>
      <c r="B325" s="2">
        <v>45830</v>
      </c>
      <c r="C325">
        <v>2025</v>
      </c>
      <c r="D325">
        <v>6</v>
      </c>
      <c r="E325" t="s">
        <v>87</v>
      </c>
      <c r="F325" t="s">
        <v>26</v>
      </c>
      <c r="G325" t="s">
        <v>74</v>
      </c>
      <c r="H325" t="s">
        <v>4960</v>
      </c>
      <c r="I325" t="s">
        <v>466</v>
      </c>
      <c r="J325" t="s">
        <v>29</v>
      </c>
    </row>
    <row r="326" spans="1:10">
      <c r="A326" t="s">
        <v>5285</v>
      </c>
      <c r="B326" s="2">
        <v>45835</v>
      </c>
      <c r="C326">
        <v>2025</v>
      </c>
      <c r="D326">
        <v>6</v>
      </c>
      <c r="E326" t="s">
        <v>87</v>
      </c>
      <c r="F326" t="s">
        <v>26</v>
      </c>
      <c r="G326" t="s">
        <v>48</v>
      </c>
      <c r="H326" t="s">
        <v>4960</v>
      </c>
      <c r="I326" t="s">
        <v>460</v>
      </c>
      <c r="J326" t="s">
        <v>36</v>
      </c>
    </row>
    <row r="327" spans="1:10">
      <c r="A327" t="s">
        <v>5286</v>
      </c>
      <c r="B327" s="2">
        <v>45809</v>
      </c>
      <c r="C327">
        <v>2025</v>
      </c>
      <c r="D327">
        <v>6</v>
      </c>
      <c r="E327" t="s">
        <v>87</v>
      </c>
      <c r="F327" t="s">
        <v>38</v>
      </c>
      <c r="G327" t="s">
        <v>64</v>
      </c>
      <c r="H327" t="s">
        <v>4960</v>
      </c>
      <c r="I327" t="s">
        <v>428</v>
      </c>
      <c r="J327" t="s">
        <v>29</v>
      </c>
    </row>
    <row r="328" spans="1:10">
      <c r="A328" t="s">
        <v>5287</v>
      </c>
      <c r="B328" s="2">
        <v>45833</v>
      </c>
      <c r="C328">
        <v>2025</v>
      </c>
      <c r="D328">
        <v>6</v>
      </c>
      <c r="E328" t="s">
        <v>87</v>
      </c>
      <c r="F328" t="s">
        <v>2</v>
      </c>
      <c r="G328" t="s">
        <v>32</v>
      </c>
      <c r="H328" t="s">
        <v>4960</v>
      </c>
      <c r="I328" t="s">
        <v>519</v>
      </c>
      <c r="J328" t="s">
        <v>16</v>
      </c>
    </row>
    <row r="329" spans="1:10">
      <c r="A329" t="s">
        <v>5288</v>
      </c>
      <c r="B329" s="2">
        <v>45822</v>
      </c>
      <c r="C329">
        <v>2025</v>
      </c>
      <c r="D329">
        <v>6</v>
      </c>
      <c r="E329" t="s">
        <v>87</v>
      </c>
      <c r="F329" t="s">
        <v>26</v>
      </c>
      <c r="G329" t="s">
        <v>61</v>
      </c>
      <c r="H329" t="s">
        <v>4960</v>
      </c>
      <c r="I329" t="s">
        <v>470</v>
      </c>
      <c r="J329" t="s">
        <v>9</v>
      </c>
    </row>
    <row r="330" spans="1:10">
      <c r="A330" t="s">
        <v>5289</v>
      </c>
      <c r="B330" s="2">
        <v>45825</v>
      </c>
      <c r="C330">
        <v>2025</v>
      </c>
      <c r="D330">
        <v>6</v>
      </c>
      <c r="E330" t="s">
        <v>87</v>
      </c>
      <c r="F330" t="s">
        <v>67</v>
      </c>
      <c r="G330" t="s">
        <v>48</v>
      </c>
      <c r="H330" t="s">
        <v>4960</v>
      </c>
      <c r="I330" t="s">
        <v>457</v>
      </c>
      <c r="J330" t="s">
        <v>29</v>
      </c>
    </row>
    <row r="331" spans="1:10">
      <c r="A331" t="s">
        <v>5290</v>
      </c>
      <c r="B331" s="2">
        <v>45814</v>
      </c>
      <c r="C331">
        <v>2025</v>
      </c>
      <c r="D331">
        <v>6</v>
      </c>
      <c r="E331" t="s">
        <v>87</v>
      </c>
      <c r="F331" t="s">
        <v>2</v>
      </c>
      <c r="G331" t="s">
        <v>55</v>
      </c>
      <c r="H331" t="s">
        <v>4960</v>
      </c>
      <c r="I331" t="s">
        <v>466</v>
      </c>
      <c r="J331" t="s">
        <v>29</v>
      </c>
    </row>
    <row r="332" spans="1:10">
      <c r="A332" t="s">
        <v>5291</v>
      </c>
      <c r="B332" s="2">
        <v>45816</v>
      </c>
      <c r="C332">
        <v>2025</v>
      </c>
      <c r="D332">
        <v>6</v>
      </c>
      <c r="E332" t="s">
        <v>87</v>
      </c>
      <c r="F332" t="s">
        <v>54</v>
      </c>
      <c r="G332" t="s">
        <v>61</v>
      </c>
      <c r="H332" t="s">
        <v>4960</v>
      </c>
      <c r="I332" t="s">
        <v>519</v>
      </c>
      <c r="J332" t="s">
        <v>36</v>
      </c>
    </row>
    <row r="333" spans="1:10">
      <c r="A333" t="s">
        <v>5292</v>
      </c>
      <c r="B333" s="2">
        <v>45816</v>
      </c>
      <c r="C333">
        <v>2025</v>
      </c>
      <c r="D333">
        <v>6</v>
      </c>
      <c r="E333" t="s">
        <v>87</v>
      </c>
      <c r="F333" t="s">
        <v>31</v>
      </c>
      <c r="G333" t="s">
        <v>27</v>
      </c>
      <c r="H333" t="s">
        <v>4960</v>
      </c>
      <c r="I333" t="s">
        <v>454</v>
      </c>
      <c r="J333" t="s">
        <v>29</v>
      </c>
    </row>
    <row r="334" spans="1:10">
      <c r="A334" t="s">
        <v>5293</v>
      </c>
      <c r="B334" s="2">
        <v>45818</v>
      </c>
      <c r="C334">
        <v>2025</v>
      </c>
      <c r="D334">
        <v>6</v>
      </c>
      <c r="E334" t="s">
        <v>87</v>
      </c>
      <c r="F334" t="s">
        <v>31</v>
      </c>
      <c r="G334" t="s">
        <v>3</v>
      </c>
      <c r="H334" t="s">
        <v>4960</v>
      </c>
      <c r="I334" t="s">
        <v>494</v>
      </c>
      <c r="J334" t="s">
        <v>29</v>
      </c>
    </row>
    <row r="335" spans="1:10">
      <c r="A335" t="s">
        <v>5294</v>
      </c>
      <c r="B335" s="2">
        <v>45825</v>
      </c>
      <c r="C335">
        <v>2025</v>
      </c>
      <c r="D335">
        <v>6</v>
      </c>
      <c r="E335" t="s">
        <v>87</v>
      </c>
      <c r="F335" t="s">
        <v>67</v>
      </c>
      <c r="G335" t="s">
        <v>74</v>
      </c>
      <c r="H335" t="s">
        <v>4960</v>
      </c>
      <c r="I335" t="s">
        <v>460</v>
      </c>
      <c r="J335" t="s">
        <v>29</v>
      </c>
    </row>
    <row r="336" spans="1:10">
      <c r="A336" t="s">
        <v>5295</v>
      </c>
      <c r="B336" s="2">
        <v>45811</v>
      </c>
      <c r="C336">
        <v>2025</v>
      </c>
      <c r="D336">
        <v>6</v>
      </c>
      <c r="E336" t="s">
        <v>87</v>
      </c>
      <c r="F336" t="s">
        <v>19</v>
      </c>
      <c r="G336" t="s">
        <v>74</v>
      </c>
      <c r="H336" t="s">
        <v>4960</v>
      </c>
      <c r="I336" t="s">
        <v>446</v>
      </c>
      <c r="J336" t="s">
        <v>16</v>
      </c>
    </row>
    <row r="337" spans="1:10">
      <c r="A337" t="s">
        <v>5296</v>
      </c>
      <c r="B337" s="2">
        <v>45822</v>
      </c>
      <c r="C337">
        <v>2025</v>
      </c>
      <c r="D337">
        <v>6</v>
      </c>
      <c r="E337" t="s">
        <v>87</v>
      </c>
      <c r="F337" t="s">
        <v>38</v>
      </c>
      <c r="G337" t="s">
        <v>61</v>
      </c>
      <c r="H337" t="s">
        <v>4960</v>
      </c>
      <c r="I337" t="s">
        <v>466</v>
      </c>
      <c r="J337" t="s">
        <v>16</v>
      </c>
    </row>
    <row r="338" spans="1:10">
      <c r="A338" t="s">
        <v>5297</v>
      </c>
      <c r="B338" s="2">
        <v>45836</v>
      </c>
      <c r="C338">
        <v>2025</v>
      </c>
      <c r="D338">
        <v>6</v>
      </c>
      <c r="E338" t="s">
        <v>87</v>
      </c>
      <c r="F338" t="s">
        <v>54</v>
      </c>
      <c r="G338" t="s">
        <v>32</v>
      </c>
      <c r="H338" t="s">
        <v>4960</v>
      </c>
      <c r="I338" t="s">
        <v>470</v>
      </c>
      <c r="J338" t="s">
        <v>16</v>
      </c>
    </row>
    <row r="339" spans="1:10">
      <c r="A339" t="s">
        <v>5298</v>
      </c>
      <c r="B339" s="2">
        <v>45864</v>
      </c>
      <c r="C339">
        <v>2025</v>
      </c>
      <c r="D339">
        <v>7</v>
      </c>
      <c r="E339" t="s">
        <v>93</v>
      </c>
      <c r="F339" t="s">
        <v>2</v>
      </c>
      <c r="G339" t="s">
        <v>27</v>
      </c>
      <c r="H339" t="s">
        <v>4960</v>
      </c>
      <c r="I339" t="s">
        <v>444</v>
      </c>
      <c r="J339" t="s">
        <v>36</v>
      </c>
    </row>
    <row r="340" spans="1:10">
      <c r="A340" t="s">
        <v>5299</v>
      </c>
      <c r="B340" s="2">
        <v>45858</v>
      </c>
      <c r="C340">
        <v>2025</v>
      </c>
      <c r="D340">
        <v>7</v>
      </c>
      <c r="E340" t="s">
        <v>93</v>
      </c>
      <c r="F340" t="s">
        <v>78</v>
      </c>
      <c r="G340" t="s">
        <v>20</v>
      </c>
      <c r="H340" t="s">
        <v>4960</v>
      </c>
      <c r="I340" t="s">
        <v>466</v>
      </c>
      <c r="J340" t="s">
        <v>29</v>
      </c>
    </row>
    <row r="341" spans="1:10">
      <c r="A341" t="s">
        <v>5300</v>
      </c>
      <c r="B341" s="2">
        <v>45848</v>
      </c>
      <c r="C341">
        <v>2025</v>
      </c>
      <c r="D341">
        <v>7</v>
      </c>
      <c r="E341" t="s">
        <v>93</v>
      </c>
      <c r="F341" t="s">
        <v>47</v>
      </c>
      <c r="G341" t="s">
        <v>32</v>
      </c>
      <c r="H341" t="s">
        <v>4960</v>
      </c>
      <c r="I341" t="s">
        <v>466</v>
      </c>
      <c r="J341" t="s">
        <v>36</v>
      </c>
    </row>
    <row r="342" spans="1:10">
      <c r="A342" t="s">
        <v>5301</v>
      </c>
      <c r="B342" s="2">
        <v>45847</v>
      </c>
      <c r="C342">
        <v>2025</v>
      </c>
      <c r="D342">
        <v>7</v>
      </c>
      <c r="E342" t="s">
        <v>93</v>
      </c>
      <c r="F342" t="s">
        <v>54</v>
      </c>
      <c r="G342" t="s">
        <v>69</v>
      </c>
      <c r="H342" t="s">
        <v>4960</v>
      </c>
      <c r="I342" t="s">
        <v>466</v>
      </c>
      <c r="J342" t="s">
        <v>29</v>
      </c>
    </row>
    <row r="343" spans="1:10">
      <c r="A343" t="s">
        <v>5302</v>
      </c>
      <c r="B343" s="2">
        <v>45866</v>
      </c>
      <c r="C343">
        <v>2025</v>
      </c>
      <c r="D343">
        <v>7</v>
      </c>
      <c r="E343" t="s">
        <v>93</v>
      </c>
      <c r="F343" t="s">
        <v>67</v>
      </c>
      <c r="G343" t="s">
        <v>94</v>
      </c>
      <c r="H343" t="s">
        <v>4963</v>
      </c>
      <c r="I343" t="s">
        <v>460</v>
      </c>
      <c r="J343" t="s">
        <v>36</v>
      </c>
    </row>
    <row r="344" spans="1:10">
      <c r="A344" t="s">
        <v>5303</v>
      </c>
      <c r="B344" s="2">
        <v>45864</v>
      </c>
      <c r="C344">
        <v>2025</v>
      </c>
      <c r="D344">
        <v>7</v>
      </c>
      <c r="E344" t="s">
        <v>93</v>
      </c>
      <c r="F344" t="s">
        <v>78</v>
      </c>
      <c r="G344" t="s">
        <v>32</v>
      </c>
      <c r="H344" t="s">
        <v>4960</v>
      </c>
      <c r="I344" t="s">
        <v>444</v>
      </c>
      <c r="J344" t="s">
        <v>9</v>
      </c>
    </row>
    <row r="345" spans="1:10">
      <c r="A345" t="s">
        <v>5304</v>
      </c>
      <c r="B345" s="2">
        <v>45849</v>
      </c>
      <c r="C345">
        <v>2025</v>
      </c>
      <c r="D345">
        <v>7</v>
      </c>
      <c r="E345" t="s">
        <v>93</v>
      </c>
      <c r="F345" t="s">
        <v>40</v>
      </c>
      <c r="G345" t="s">
        <v>74</v>
      </c>
      <c r="H345" t="s">
        <v>4963</v>
      </c>
      <c r="I345" t="s">
        <v>460</v>
      </c>
      <c r="J345" t="s">
        <v>36</v>
      </c>
    </row>
    <row r="346" spans="1:10">
      <c r="A346" t="s">
        <v>5305</v>
      </c>
      <c r="B346" s="2">
        <v>45857</v>
      </c>
      <c r="C346">
        <v>2025</v>
      </c>
      <c r="D346">
        <v>7</v>
      </c>
      <c r="E346" t="s">
        <v>93</v>
      </c>
      <c r="F346" t="s">
        <v>67</v>
      </c>
      <c r="G346" t="s">
        <v>27</v>
      </c>
      <c r="H346" t="s">
        <v>4960</v>
      </c>
      <c r="I346" t="s">
        <v>494</v>
      </c>
      <c r="J346" t="s">
        <v>36</v>
      </c>
    </row>
    <row r="347" spans="1:10">
      <c r="A347" t="s">
        <v>5306</v>
      </c>
      <c r="B347" s="2">
        <v>45842</v>
      </c>
      <c r="C347">
        <v>2025</v>
      </c>
      <c r="D347">
        <v>7</v>
      </c>
      <c r="E347" t="s">
        <v>93</v>
      </c>
      <c r="F347" t="s">
        <v>2</v>
      </c>
      <c r="G347" t="s">
        <v>64</v>
      </c>
      <c r="H347" t="s">
        <v>4960</v>
      </c>
      <c r="I347" t="s">
        <v>460</v>
      </c>
      <c r="J347" t="s">
        <v>29</v>
      </c>
    </row>
    <row r="348" spans="1:10">
      <c r="A348" t="s">
        <v>5307</v>
      </c>
      <c r="B348" s="2">
        <v>45853</v>
      </c>
      <c r="C348">
        <v>2025</v>
      </c>
      <c r="D348">
        <v>7</v>
      </c>
      <c r="E348" t="s">
        <v>93</v>
      </c>
      <c r="F348" t="s">
        <v>78</v>
      </c>
      <c r="G348" t="s">
        <v>74</v>
      </c>
      <c r="H348" t="s">
        <v>4960</v>
      </c>
      <c r="I348" t="s">
        <v>466</v>
      </c>
      <c r="J348" t="s">
        <v>29</v>
      </c>
    </row>
    <row r="349" spans="1:10">
      <c r="A349" t="s">
        <v>5308</v>
      </c>
      <c r="B349" s="2">
        <v>45863</v>
      </c>
      <c r="C349">
        <v>2025</v>
      </c>
      <c r="D349">
        <v>7</v>
      </c>
      <c r="E349" t="s">
        <v>93</v>
      </c>
      <c r="F349" t="s">
        <v>31</v>
      </c>
      <c r="G349" t="s">
        <v>94</v>
      </c>
      <c r="H349" t="s">
        <v>4963</v>
      </c>
      <c r="I349" t="s">
        <v>466</v>
      </c>
      <c r="J349" t="s">
        <v>29</v>
      </c>
    </row>
    <row r="350" spans="1:10">
      <c r="A350" t="s">
        <v>5309</v>
      </c>
      <c r="B350" s="2">
        <v>45844</v>
      </c>
      <c r="C350">
        <v>2025</v>
      </c>
      <c r="D350">
        <v>7</v>
      </c>
      <c r="E350" t="s">
        <v>93</v>
      </c>
      <c r="F350" t="s">
        <v>40</v>
      </c>
      <c r="G350" t="s">
        <v>61</v>
      </c>
      <c r="H350" t="s">
        <v>4963</v>
      </c>
      <c r="I350" t="s">
        <v>446</v>
      </c>
      <c r="J350" t="s">
        <v>29</v>
      </c>
    </row>
    <row r="351" spans="1:10">
      <c r="A351" t="s">
        <v>5310</v>
      </c>
      <c r="B351" s="2">
        <v>45870</v>
      </c>
      <c r="C351">
        <v>2025</v>
      </c>
      <c r="D351">
        <v>8</v>
      </c>
      <c r="E351" t="s">
        <v>101</v>
      </c>
      <c r="F351" t="s">
        <v>47</v>
      </c>
      <c r="G351" t="s">
        <v>94</v>
      </c>
      <c r="H351" t="s">
        <v>4963</v>
      </c>
      <c r="I351" t="s">
        <v>454</v>
      </c>
      <c r="J351" t="s">
        <v>29</v>
      </c>
    </row>
    <row r="352" spans="1:10">
      <c r="A352" t="s">
        <v>5311</v>
      </c>
      <c r="B352" s="2">
        <v>45871</v>
      </c>
      <c r="C352">
        <v>2025</v>
      </c>
      <c r="D352">
        <v>8</v>
      </c>
      <c r="E352" t="s">
        <v>101</v>
      </c>
      <c r="F352" t="s">
        <v>40</v>
      </c>
      <c r="G352" t="s">
        <v>69</v>
      </c>
      <c r="H352" t="s">
        <v>4960</v>
      </c>
      <c r="I352" t="s">
        <v>519</v>
      </c>
      <c r="J352" t="s">
        <v>9</v>
      </c>
    </row>
    <row r="353" spans="1:10">
      <c r="A353" t="s">
        <v>5312</v>
      </c>
      <c r="B353" s="2">
        <v>45884</v>
      </c>
      <c r="C353">
        <v>2025</v>
      </c>
      <c r="D353">
        <v>8</v>
      </c>
      <c r="E353" t="s">
        <v>101</v>
      </c>
      <c r="F353" t="s">
        <v>31</v>
      </c>
      <c r="G353" t="s">
        <v>38</v>
      </c>
      <c r="H353" t="s">
        <v>4960</v>
      </c>
      <c r="I353" t="s">
        <v>457</v>
      </c>
      <c r="J353" t="s">
        <v>16</v>
      </c>
    </row>
    <row r="354" spans="1:10">
      <c r="A354" t="s">
        <v>5313</v>
      </c>
      <c r="B354" s="2">
        <v>45897</v>
      </c>
      <c r="C354">
        <v>2025</v>
      </c>
      <c r="D354">
        <v>8</v>
      </c>
      <c r="E354" t="s">
        <v>101</v>
      </c>
      <c r="F354" t="s">
        <v>2</v>
      </c>
      <c r="G354" t="s">
        <v>64</v>
      </c>
      <c r="H354" t="s">
        <v>4963</v>
      </c>
      <c r="I354" t="s">
        <v>460</v>
      </c>
      <c r="J354" t="s">
        <v>9</v>
      </c>
    </row>
    <row r="355" spans="1:10">
      <c r="A355" t="s">
        <v>5314</v>
      </c>
      <c r="B355" s="2">
        <v>45875</v>
      </c>
      <c r="C355">
        <v>2025</v>
      </c>
      <c r="D355">
        <v>8</v>
      </c>
      <c r="E355" t="s">
        <v>101</v>
      </c>
      <c r="F355" t="s">
        <v>26</v>
      </c>
      <c r="G355" t="s">
        <v>27</v>
      </c>
      <c r="H355" t="s">
        <v>4963</v>
      </c>
      <c r="I355" t="s">
        <v>428</v>
      </c>
      <c r="J355" t="s">
        <v>16</v>
      </c>
    </row>
    <row r="356" spans="1:10">
      <c r="A356" t="s">
        <v>5315</v>
      </c>
      <c r="B356" s="2">
        <v>45892</v>
      </c>
      <c r="C356">
        <v>2025</v>
      </c>
      <c r="D356">
        <v>8</v>
      </c>
      <c r="E356" t="s">
        <v>101</v>
      </c>
      <c r="F356" t="s">
        <v>26</v>
      </c>
      <c r="G356" t="s">
        <v>69</v>
      </c>
      <c r="H356" t="s">
        <v>4960</v>
      </c>
      <c r="I356" t="s">
        <v>454</v>
      </c>
      <c r="J356" t="s">
        <v>36</v>
      </c>
    </row>
    <row r="357" spans="1:10">
      <c r="A357" t="s">
        <v>5316</v>
      </c>
      <c r="B357" s="2">
        <v>45874</v>
      </c>
      <c r="C357">
        <v>2025</v>
      </c>
      <c r="D357">
        <v>8</v>
      </c>
      <c r="E357" t="s">
        <v>101</v>
      </c>
      <c r="F357" t="s">
        <v>67</v>
      </c>
      <c r="G357" t="s">
        <v>3</v>
      </c>
      <c r="H357" t="s">
        <v>4963</v>
      </c>
      <c r="I357" t="s">
        <v>466</v>
      </c>
      <c r="J357" t="s">
        <v>36</v>
      </c>
    </row>
    <row r="358" spans="1:10">
      <c r="A358" t="s">
        <v>5317</v>
      </c>
      <c r="B358" s="2">
        <v>45885</v>
      </c>
      <c r="C358">
        <v>2025</v>
      </c>
      <c r="D358">
        <v>8</v>
      </c>
      <c r="E358" t="s">
        <v>101</v>
      </c>
      <c r="F358" t="s">
        <v>2</v>
      </c>
      <c r="G358" t="s">
        <v>69</v>
      </c>
      <c r="H358" t="s">
        <v>4960</v>
      </c>
      <c r="I358" t="s">
        <v>446</v>
      </c>
      <c r="J358" t="s">
        <v>16</v>
      </c>
    </row>
    <row r="359" spans="1:10">
      <c r="A359" t="s">
        <v>5318</v>
      </c>
      <c r="B359" s="2">
        <v>45889</v>
      </c>
      <c r="C359">
        <v>2025</v>
      </c>
      <c r="D359">
        <v>8</v>
      </c>
      <c r="E359" t="s">
        <v>101</v>
      </c>
      <c r="F359" t="s">
        <v>78</v>
      </c>
      <c r="G359" t="s">
        <v>20</v>
      </c>
      <c r="H359" t="s">
        <v>4960</v>
      </c>
      <c r="I359" t="s">
        <v>494</v>
      </c>
      <c r="J359" t="s">
        <v>29</v>
      </c>
    </row>
    <row r="360" spans="1:10">
      <c r="A360" t="s">
        <v>5319</v>
      </c>
      <c r="B360" s="2">
        <v>45890</v>
      </c>
      <c r="C360">
        <v>2025</v>
      </c>
      <c r="D360">
        <v>8</v>
      </c>
      <c r="E360" t="s">
        <v>101</v>
      </c>
      <c r="F360" t="s">
        <v>31</v>
      </c>
      <c r="G360" t="s">
        <v>64</v>
      </c>
      <c r="H360" t="s">
        <v>4960</v>
      </c>
      <c r="I360" t="s">
        <v>428</v>
      </c>
      <c r="J360" t="s">
        <v>36</v>
      </c>
    </row>
    <row r="361" spans="1:10">
      <c r="A361" t="s">
        <v>5320</v>
      </c>
      <c r="B361" s="2">
        <v>45872</v>
      </c>
      <c r="C361">
        <v>2025</v>
      </c>
      <c r="D361">
        <v>8</v>
      </c>
      <c r="E361" t="s">
        <v>101</v>
      </c>
      <c r="F361" t="s">
        <v>78</v>
      </c>
      <c r="G361" t="s">
        <v>48</v>
      </c>
      <c r="H361" t="s">
        <v>4960</v>
      </c>
      <c r="I361" t="s">
        <v>454</v>
      </c>
      <c r="J361" t="s">
        <v>36</v>
      </c>
    </row>
    <row r="362" spans="1:10">
      <c r="A362" t="s">
        <v>5321</v>
      </c>
      <c r="B362" s="2">
        <v>45878</v>
      </c>
      <c r="C362">
        <v>2025</v>
      </c>
      <c r="D362">
        <v>8</v>
      </c>
      <c r="E362" t="s">
        <v>101</v>
      </c>
      <c r="F362" t="s">
        <v>40</v>
      </c>
      <c r="G362" t="s">
        <v>27</v>
      </c>
      <c r="H362" t="s">
        <v>4960</v>
      </c>
      <c r="I362" t="s">
        <v>466</v>
      </c>
      <c r="J362" t="s">
        <v>29</v>
      </c>
    </row>
    <row r="363" spans="1:10">
      <c r="A363" t="s">
        <v>5322</v>
      </c>
      <c r="B363" s="2">
        <v>45880</v>
      </c>
      <c r="C363">
        <v>2025</v>
      </c>
      <c r="D363">
        <v>8</v>
      </c>
      <c r="E363" t="s">
        <v>101</v>
      </c>
      <c r="F363" t="s">
        <v>19</v>
      </c>
      <c r="G363" t="s">
        <v>55</v>
      </c>
      <c r="H363" t="s">
        <v>4960</v>
      </c>
      <c r="I363" t="s">
        <v>494</v>
      </c>
      <c r="J363" t="s">
        <v>29</v>
      </c>
    </row>
    <row r="364" spans="1:10">
      <c r="A364" t="s">
        <v>5323</v>
      </c>
      <c r="B364" s="2">
        <v>45891</v>
      </c>
      <c r="C364">
        <v>2025</v>
      </c>
      <c r="D364">
        <v>8</v>
      </c>
      <c r="E364" t="s">
        <v>101</v>
      </c>
      <c r="F364" t="s">
        <v>31</v>
      </c>
      <c r="G364" t="s">
        <v>20</v>
      </c>
      <c r="H364" t="s">
        <v>4960</v>
      </c>
      <c r="I364" t="s">
        <v>470</v>
      </c>
      <c r="J364" t="s">
        <v>9</v>
      </c>
    </row>
    <row r="365" spans="1:10">
      <c r="A365" t="s">
        <v>5324</v>
      </c>
      <c r="B365" s="2">
        <v>45884</v>
      </c>
      <c r="C365">
        <v>2025</v>
      </c>
      <c r="D365">
        <v>8</v>
      </c>
      <c r="E365" t="s">
        <v>101</v>
      </c>
      <c r="F365" t="s">
        <v>40</v>
      </c>
      <c r="G365" t="s">
        <v>74</v>
      </c>
      <c r="H365" t="s">
        <v>4963</v>
      </c>
      <c r="I365" t="s">
        <v>494</v>
      </c>
      <c r="J365" t="s">
        <v>36</v>
      </c>
    </row>
    <row r="366" spans="1:10">
      <c r="A366" t="s">
        <v>5325</v>
      </c>
      <c r="B366" s="2">
        <v>45895</v>
      </c>
      <c r="C366">
        <v>2025</v>
      </c>
      <c r="D366">
        <v>8</v>
      </c>
      <c r="E366" t="s">
        <v>101</v>
      </c>
      <c r="F366" t="s">
        <v>38</v>
      </c>
      <c r="G366" t="s">
        <v>32</v>
      </c>
      <c r="H366" t="s">
        <v>4960</v>
      </c>
      <c r="I366" t="s">
        <v>470</v>
      </c>
      <c r="J366" t="s">
        <v>16</v>
      </c>
    </row>
    <row r="367" spans="1:10">
      <c r="A367" t="s">
        <v>5326</v>
      </c>
      <c r="B367" s="2">
        <v>45889</v>
      </c>
      <c r="C367">
        <v>2025</v>
      </c>
      <c r="D367">
        <v>8</v>
      </c>
      <c r="E367" t="s">
        <v>101</v>
      </c>
      <c r="F367" t="s">
        <v>2</v>
      </c>
      <c r="G367" t="s">
        <v>55</v>
      </c>
      <c r="H367" t="s">
        <v>4963</v>
      </c>
      <c r="I367" t="s">
        <v>470</v>
      </c>
      <c r="J367" t="s">
        <v>16</v>
      </c>
    </row>
    <row r="368" spans="1:10">
      <c r="A368" t="s">
        <v>5327</v>
      </c>
      <c r="B368" s="2">
        <v>45876</v>
      </c>
      <c r="C368">
        <v>2025</v>
      </c>
      <c r="D368">
        <v>8</v>
      </c>
      <c r="E368" t="s">
        <v>101</v>
      </c>
      <c r="F368" t="s">
        <v>26</v>
      </c>
      <c r="G368" t="s">
        <v>32</v>
      </c>
      <c r="H368" t="s">
        <v>4963</v>
      </c>
      <c r="I368" t="s">
        <v>494</v>
      </c>
      <c r="J368" t="s">
        <v>9</v>
      </c>
    </row>
    <row r="369" spans="1:10">
      <c r="A369" t="s">
        <v>5328</v>
      </c>
      <c r="B369" s="2">
        <v>45876</v>
      </c>
      <c r="C369">
        <v>2025</v>
      </c>
      <c r="D369">
        <v>8</v>
      </c>
      <c r="E369" t="s">
        <v>101</v>
      </c>
      <c r="F369" t="s">
        <v>26</v>
      </c>
      <c r="G369" t="s">
        <v>3</v>
      </c>
      <c r="H369" t="s">
        <v>4963</v>
      </c>
      <c r="I369" t="s">
        <v>494</v>
      </c>
      <c r="J369" t="s">
        <v>36</v>
      </c>
    </row>
    <row r="370" spans="1:10">
      <c r="A370" t="s">
        <v>5329</v>
      </c>
      <c r="B370" s="2">
        <v>45877</v>
      </c>
      <c r="C370">
        <v>2025</v>
      </c>
      <c r="D370">
        <v>8</v>
      </c>
      <c r="E370" t="s">
        <v>101</v>
      </c>
      <c r="F370" t="s">
        <v>19</v>
      </c>
      <c r="G370" t="s">
        <v>61</v>
      </c>
      <c r="H370" t="s">
        <v>4963</v>
      </c>
      <c r="I370" t="s">
        <v>466</v>
      </c>
      <c r="J370" t="s">
        <v>16</v>
      </c>
    </row>
    <row r="371" spans="1:10">
      <c r="A371" t="s">
        <v>5330</v>
      </c>
      <c r="B371" s="2">
        <v>45883</v>
      </c>
      <c r="C371">
        <v>2025</v>
      </c>
      <c r="D371">
        <v>8</v>
      </c>
      <c r="E371" t="s">
        <v>101</v>
      </c>
      <c r="F371" t="s">
        <v>26</v>
      </c>
      <c r="G371" t="s">
        <v>55</v>
      </c>
      <c r="H371" t="s">
        <v>4960</v>
      </c>
      <c r="I371" t="s">
        <v>466</v>
      </c>
      <c r="J371" t="s">
        <v>29</v>
      </c>
    </row>
    <row r="372" spans="1:10">
      <c r="A372" t="s">
        <v>5331</v>
      </c>
      <c r="B372" s="2">
        <v>45872</v>
      </c>
      <c r="C372">
        <v>2025</v>
      </c>
      <c r="D372">
        <v>8</v>
      </c>
      <c r="E372" t="s">
        <v>101</v>
      </c>
      <c r="F372" t="s">
        <v>67</v>
      </c>
      <c r="G372" t="s">
        <v>20</v>
      </c>
      <c r="H372" t="s">
        <v>4963</v>
      </c>
      <c r="I372" t="s">
        <v>428</v>
      </c>
      <c r="J372" t="s">
        <v>9</v>
      </c>
    </row>
    <row r="373" spans="1:10">
      <c r="A373" t="s">
        <v>5332</v>
      </c>
      <c r="B373" s="2">
        <v>45878</v>
      </c>
      <c r="C373">
        <v>2025</v>
      </c>
      <c r="D373">
        <v>8</v>
      </c>
      <c r="E373" t="s">
        <v>101</v>
      </c>
      <c r="F373" t="s">
        <v>78</v>
      </c>
      <c r="G373" t="s">
        <v>64</v>
      </c>
      <c r="H373" t="s">
        <v>4960</v>
      </c>
      <c r="I373" t="s">
        <v>428</v>
      </c>
      <c r="J373" t="s">
        <v>9</v>
      </c>
    </row>
    <row r="374" spans="1:10">
      <c r="A374" t="s">
        <v>5333</v>
      </c>
      <c r="B374" s="2">
        <v>45880</v>
      </c>
      <c r="C374">
        <v>2025</v>
      </c>
      <c r="D374">
        <v>8</v>
      </c>
      <c r="E374" t="s">
        <v>101</v>
      </c>
      <c r="F374" t="s">
        <v>38</v>
      </c>
      <c r="G374" t="s">
        <v>48</v>
      </c>
      <c r="H374" t="s">
        <v>4960</v>
      </c>
      <c r="I374" t="s">
        <v>466</v>
      </c>
      <c r="J374" t="s">
        <v>29</v>
      </c>
    </row>
    <row r="375" spans="1:10">
      <c r="A375" t="s">
        <v>5334</v>
      </c>
      <c r="B375" s="2">
        <v>45891</v>
      </c>
      <c r="C375">
        <v>2025</v>
      </c>
      <c r="D375">
        <v>8</v>
      </c>
      <c r="E375" t="s">
        <v>101</v>
      </c>
      <c r="F375" t="s">
        <v>54</v>
      </c>
      <c r="G375" t="s">
        <v>61</v>
      </c>
      <c r="H375" t="s">
        <v>4963</v>
      </c>
      <c r="I375" t="s">
        <v>466</v>
      </c>
      <c r="J375" t="s">
        <v>29</v>
      </c>
    </row>
    <row r="376" spans="1:10">
      <c r="A376" t="s">
        <v>5335</v>
      </c>
      <c r="B376" s="2">
        <v>45916</v>
      </c>
      <c r="C376">
        <v>2025</v>
      </c>
      <c r="D376">
        <v>9</v>
      </c>
      <c r="E376" t="s">
        <v>105</v>
      </c>
      <c r="F376" t="s">
        <v>47</v>
      </c>
      <c r="G376" t="s">
        <v>94</v>
      </c>
      <c r="H376" t="s">
        <v>4960</v>
      </c>
      <c r="I376" t="s">
        <v>428</v>
      </c>
      <c r="J376" t="s">
        <v>36</v>
      </c>
    </row>
    <row r="377" spans="1:10">
      <c r="A377" t="s">
        <v>5336</v>
      </c>
      <c r="B377" s="2">
        <v>45919</v>
      </c>
      <c r="C377">
        <v>2025</v>
      </c>
      <c r="D377">
        <v>9</v>
      </c>
      <c r="E377" t="s">
        <v>105</v>
      </c>
      <c r="F377" t="s">
        <v>19</v>
      </c>
      <c r="G377" t="s">
        <v>27</v>
      </c>
      <c r="H377" t="s">
        <v>4963</v>
      </c>
      <c r="I377" t="s">
        <v>460</v>
      </c>
      <c r="J377" t="s">
        <v>29</v>
      </c>
    </row>
    <row r="378" spans="1:10">
      <c r="A378" t="s">
        <v>5337</v>
      </c>
      <c r="B378" s="2">
        <v>45923</v>
      </c>
      <c r="C378">
        <v>2025</v>
      </c>
      <c r="D378">
        <v>9</v>
      </c>
      <c r="E378" t="s">
        <v>105</v>
      </c>
      <c r="F378" t="s">
        <v>26</v>
      </c>
      <c r="G378" t="s">
        <v>55</v>
      </c>
      <c r="H378" t="s">
        <v>4963</v>
      </c>
      <c r="I378" t="s">
        <v>457</v>
      </c>
      <c r="J378" t="s">
        <v>9</v>
      </c>
    </row>
    <row r="379" spans="1:10">
      <c r="A379" t="s">
        <v>5338</v>
      </c>
      <c r="B379" s="2">
        <v>45903</v>
      </c>
      <c r="C379">
        <v>2025</v>
      </c>
      <c r="D379">
        <v>9</v>
      </c>
      <c r="E379" t="s">
        <v>105</v>
      </c>
      <c r="F379" t="s">
        <v>47</v>
      </c>
      <c r="G379" t="s">
        <v>64</v>
      </c>
      <c r="H379" t="s">
        <v>4960</v>
      </c>
      <c r="I379" t="s">
        <v>460</v>
      </c>
      <c r="J379" t="s">
        <v>9</v>
      </c>
    </row>
    <row r="380" spans="1:10">
      <c r="A380" t="s">
        <v>5339</v>
      </c>
      <c r="B380" s="2">
        <v>45922</v>
      </c>
      <c r="C380">
        <v>2025</v>
      </c>
      <c r="D380">
        <v>9</v>
      </c>
      <c r="E380" t="s">
        <v>105</v>
      </c>
      <c r="F380" t="s">
        <v>47</v>
      </c>
      <c r="G380" t="s">
        <v>3</v>
      </c>
      <c r="H380" t="s">
        <v>4960</v>
      </c>
      <c r="I380" t="s">
        <v>444</v>
      </c>
      <c r="J380" t="s">
        <v>36</v>
      </c>
    </row>
    <row r="381" spans="1:10">
      <c r="A381" t="s">
        <v>5340</v>
      </c>
      <c r="B381" s="2">
        <v>45913</v>
      </c>
      <c r="C381">
        <v>2025</v>
      </c>
      <c r="D381">
        <v>9</v>
      </c>
      <c r="E381" t="s">
        <v>105</v>
      </c>
      <c r="F381" t="s">
        <v>2</v>
      </c>
      <c r="G381" t="s">
        <v>38</v>
      </c>
      <c r="H381" t="s">
        <v>4963</v>
      </c>
      <c r="I381" t="s">
        <v>460</v>
      </c>
      <c r="J381" t="s">
        <v>16</v>
      </c>
    </row>
    <row r="382" spans="1:10">
      <c r="A382" t="s">
        <v>5341</v>
      </c>
      <c r="B382" s="2">
        <v>45927</v>
      </c>
      <c r="C382">
        <v>2025</v>
      </c>
      <c r="D382">
        <v>9</v>
      </c>
      <c r="E382" t="s">
        <v>105</v>
      </c>
      <c r="F382" t="s">
        <v>78</v>
      </c>
      <c r="G382" t="s">
        <v>74</v>
      </c>
      <c r="H382" t="s">
        <v>4963</v>
      </c>
      <c r="I382" t="s">
        <v>457</v>
      </c>
      <c r="J382" t="s">
        <v>36</v>
      </c>
    </row>
    <row r="383" spans="1:10">
      <c r="A383" t="s">
        <v>5342</v>
      </c>
      <c r="B383" s="2">
        <v>45904</v>
      </c>
      <c r="C383">
        <v>2025</v>
      </c>
      <c r="D383">
        <v>9</v>
      </c>
      <c r="E383" t="s">
        <v>105</v>
      </c>
      <c r="F383" t="s">
        <v>38</v>
      </c>
      <c r="G383" t="s">
        <v>32</v>
      </c>
      <c r="H383" t="s">
        <v>4960</v>
      </c>
      <c r="I383" t="s">
        <v>466</v>
      </c>
      <c r="J383" t="s">
        <v>16</v>
      </c>
    </row>
    <row r="384" spans="1:10">
      <c r="A384" t="s">
        <v>5343</v>
      </c>
      <c r="B384" s="2">
        <v>45925</v>
      </c>
      <c r="C384">
        <v>2025</v>
      </c>
      <c r="D384">
        <v>9</v>
      </c>
      <c r="E384" t="s">
        <v>105</v>
      </c>
      <c r="F384" t="s">
        <v>47</v>
      </c>
      <c r="G384" t="s">
        <v>74</v>
      </c>
      <c r="H384" t="s">
        <v>4963</v>
      </c>
      <c r="I384" t="s">
        <v>446</v>
      </c>
      <c r="J384" t="s">
        <v>29</v>
      </c>
    </row>
    <row r="385" spans="1:10">
      <c r="A385" t="s">
        <v>5344</v>
      </c>
      <c r="B385" s="2">
        <v>45919</v>
      </c>
      <c r="C385">
        <v>2025</v>
      </c>
      <c r="D385">
        <v>9</v>
      </c>
      <c r="E385" t="s">
        <v>105</v>
      </c>
      <c r="F385" t="s">
        <v>31</v>
      </c>
      <c r="G385" t="s">
        <v>20</v>
      </c>
      <c r="H385" t="s">
        <v>4960</v>
      </c>
      <c r="I385" t="s">
        <v>460</v>
      </c>
      <c r="J385" t="s">
        <v>29</v>
      </c>
    </row>
    <row r="386" spans="1:10">
      <c r="A386" t="s">
        <v>5345</v>
      </c>
      <c r="B386" s="2">
        <v>45925</v>
      </c>
      <c r="C386">
        <v>2025</v>
      </c>
      <c r="D386">
        <v>9</v>
      </c>
      <c r="E386" t="s">
        <v>105</v>
      </c>
      <c r="F386" t="s">
        <v>31</v>
      </c>
      <c r="G386" t="s">
        <v>69</v>
      </c>
      <c r="H386" t="s">
        <v>4960</v>
      </c>
      <c r="I386" t="s">
        <v>494</v>
      </c>
      <c r="J386" t="s">
        <v>9</v>
      </c>
    </row>
    <row r="387" spans="1:10">
      <c r="A387" t="s">
        <v>5346</v>
      </c>
      <c r="B387" s="2">
        <v>45903</v>
      </c>
      <c r="C387">
        <v>2025</v>
      </c>
      <c r="D387">
        <v>9</v>
      </c>
      <c r="E387" t="s">
        <v>105</v>
      </c>
      <c r="F387" t="s">
        <v>40</v>
      </c>
      <c r="G387" t="s">
        <v>32</v>
      </c>
      <c r="H387" t="s">
        <v>4963</v>
      </c>
      <c r="I387" t="s">
        <v>428</v>
      </c>
      <c r="J387" t="s">
        <v>9</v>
      </c>
    </row>
    <row r="388" spans="1:10">
      <c r="A388" t="s">
        <v>5347</v>
      </c>
      <c r="B388" s="2">
        <v>45915</v>
      </c>
      <c r="C388">
        <v>2025</v>
      </c>
      <c r="D388">
        <v>9</v>
      </c>
      <c r="E388" t="s">
        <v>105</v>
      </c>
      <c r="F388" t="s">
        <v>67</v>
      </c>
      <c r="G388" t="s">
        <v>74</v>
      </c>
      <c r="H388" t="s">
        <v>4960</v>
      </c>
      <c r="I388" t="s">
        <v>494</v>
      </c>
      <c r="J388" t="s">
        <v>36</v>
      </c>
    </row>
    <row r="389" spans="1:10">
      <c r="A389" t="s">
        <v>5348</v>
      </c>
      <c r="B389" s="2">
        <v>45904</v>
      </c>
      <c r="C389">
        <v>2025</v>
      </c>
      <c r="D389">
        <v>9</v>
      </c>
      <c r="E389" t="s">
        <v>105</v>
      </c>
      <c r="F389" t="s">
        <v>26</v>
      </c>
      <c r="G389" t="s">
        <v>3</v>
      </c>
      <c r="H389" t="s">
        <v>4963</v>
      </c>
      <c r="I389" t="s">
        <v>466</v>
      </c>
      <c r="J389" t="s">
        <v>9</v>
      </c>
    </row>
    <row r="390" spans="1:10">
      <c r="A390" t="s">
        <v>5349</v>
      </c>
      <c r="B390" s="2">
        <v>45937</v>
      </c>
      <c r="C390">
        <v>2025</v>
      </c>
      <c r="D390">
        <v>10</v>
      </c>
      <c r="E390" t="s">
        <v>113</v>
      </c>
      <c r="F390" t="s">
        <v>19</v>
      </c>
      <c r="G390" t="s">
        <v>55</v>
      </c>
      <c r="H390" t="s">
        <v>4960</v>
      </c>
      <c r="I390" t="s">
        <v>457</v>
      </c>
      <c r="J390" t="s">
        <v>29</v>
      </c>
    </row>
    <row r="391" spans="1:10">
      <c r="A391" t="s">
        <v>5350</v>
      </c>
      <c r="B391" s="2">
        <v>45956</v>
      </c>
      <c r="C391">
        <v>2025</v>
      </c>
      <c r="D391">
        <v>10</v>
      </c>
      <c r="E391" t="s">
        <v>113</v>
      </c>
      <c r="F391" t="s">
        <v>47</v>
      </c>
      <c r="G391" t="s">
        <v>48</v>
      </c>
      <c r="H391" t="s">
        <v>4960</v>
      </c>
      <c r="I391" t="s">
        <v>428</v>
      </c>
      <c r="J391" t="s">
        <v>16</v>
      </c>
    </row>
    <row r="392" spans="1:10">
      <c r="A392" t="s">
        <v>5351</v>
      </c>
      <c r="B392" s="2">
        <v>45939</v>
      </c>
      <c r="C392">
        <v>2025</v>
      </c>
      <c r="D392">
        <v>10</v>
      </c>
      <c r="E392" t="s">
        <v>113</v>
      </c>
      <c r="F392" t="s">
        <v>38</v>
      </c>
      <c r="G392" t="s">
        <v>32</v>
      </c>
      <c r="H392" t="s">
        <v>4960</v>
      </c>
      <c r="I392" t="s">
        <v>470</v>
      </c>
      <c r="J392" t="s">
        <v>36</v>
      </c>
    </row>
    <row r="393" spans="1:10">
      <c r="A393" t="s">
        <v>5352</v>
      </c>
      <c r="B393" s="2">
        <v>45931</v>
      </c>
      <c r="C393">
        <v>2025</v>
      </c>
      <c r="D393">
        <v>10</v>
      </c>
      <c r="E393" t="s">
        <v>113</v>
      </c>
      <c r="F393" t="s">
        <v>19</v>
      </c>
      <c r="G393" t="s">
        <v>55</v>
      </c>
      <c r="H393" t="s">
        <v>4960</v>
      </c>
      <c r="I393" t="s">
        <v>519</v>
      </c>
      <c r="J393" t="s">
        <v>29</v>
      </c>
    </row>
    <row r="394" spans="1:10">
      <c r="A394" t="s">
        <v>5353</v>
      </c>
      <c r="B394" s="2">
        <v>45943</v>
      </c>
      <c r="C394">
        <v>2025</v>
      </c>
      <c r="D394">
        <v>10</v>
      </c>
      <c r="E394" t="s">
        <v>113</v>
      </c>
      <c r="F394" t="s">
        <v>67</v>
      </c>
      <c r="G394" t="s">
        <v>27</v>
      </c>
      <c r="H394" t="s">
        <v>4963</v>
      </c>
      <c r="I394" t="s">
        <v>470</v>
      </c>
      <c r="J394" t="s">
        <v>29</v>
      </c>
    </row>
    <row r="395" spans="1:10">
      <c r="A395" t="s">
        <v>5354</v>
      </c>
      <c r="B395" s="2">
        <v>45936</v>
      </c>
      <c r="C395">
        <v>2025</v>
      </c>
      <c r="D395">
        <v>10</v>
      </c>
      <c r="E395" t="s">
        <v>113</v>
      </c>
      <c r="F395" t="s">
        <v>67</v>
      </c>
      <c r="G395" t="s">
        <v>69</v>
      </c>
      <c r="H395" t="s">
        <v>4960</v>
      </c>
      <c r="I395" t="s">
        <v>494</v>
      </c>
      <c r="J395" t="s">
        <v>36</v>
      </c>
    </row>
    <row r="396" spans="1:10">
      <c r="A396" t="s">
        <v>5355</v>
      </c>
      <c r="B396" s="2">
        <v>45947</v>
      </c>
      <c r="C396">
        <v>2025</v>
      </c>
      <c r="D396">
        <v>10</v>
      </c>
      <c r="E396" t="s">
        <v>113</v>
      </c>
      <c r="F396" t="s">
        <v>38</v>
      </c>
      <c r="G396" t="s">
        <v>69</v>
      </c>
      <c r="H396" t="s">
        <v>4963</v>
      </c>
      <c r="I396" t="s">
        <v>454</v>
      </c>
      <c r="J396" t="s">
        <v>29</v>
      </c>
    </row>
    <row r="397" spans="1:10">
      <c r="A397" t="s">
        <v>5356</v>
      </c>
      <c r="B397" s="2">
        <v>45945</v>
      </c>
      <c r="C397">
        <v>2025</v>
      </c>
      <c r="D397">
        <v>10</v>
      </c>
      <c r="E397" t="s">
        <v>113</v>
      </c>
      <c r="F397" t="s">
        <v>2</v>
      </c>
      <c r="G397" t="s">
        <v>74</v>
      </c>
      <c r="H397" t="s">
        <v>4960</v>
      </c>
      <c r="I397" t="s">
        <v>446</v>
      </c>
      <c r="J397" t="s">
        <v>16</v>
      </c>
    </row>
    <row r="398" spans="1:10">
      <c r="A398" t="s">
        <v>5357</v>
      </c>
      <c r="B398" s="2">
        <v>45933</v>
      </c>
      <c r="C398">
        <v>2025</v>
      </c>
      <c r="D398">
        <v>10</v>
      </c>
      <c r="E398" t="s">
        <v>113</v>
      </c>
      <c r="F398" t="s">
        <v>19</v>
      </c>
      <c r="G398" t="s">
        <v>48</v>
      </c>
      <c r="H398" t="s">
        <v>4963</v>
      </c>
      <c r="I398" t="s">
        <v>454</v>
      </c>
      <c r="J398" t="s">
        <v>36</v>
      </c>
    </row>
    <row r="399" spans="1:10">
      <c r="A399" t="s">
        <v>5358</v>
      </c>
      <c r="B399" s="2">
        <v>45944</v>
      </c>
      <c r="C399">
        <v>2025</v>
      </c>
      <c r="D399">
        <v>10</v>
      </c>
      <c r="E399" t="s">
        <v>113</v>
      </c>
      <c r="F399" t="s">
        <v>26</v>
      </c>
      <c r="G399" t="s">
        <v>74</v>
      </c>
      <c r="H399" t="s">
        <v>4963</v>
      </c>
      <c r="I399" t="s">
        <v>446</v>
      </c>
      <c r="J399" t="s">
        <v>9</v>
      </c>
    </row>
    <row r="400" spans="1:10">
      <c r="A400" t="s">
        <v>5359</v>
      </c>
      <c r="B400" s="2">
        <v>45956</v>
      </c>
      <c r="C400">
        <v>2025</v>
      </c>
      <c r="D400">
        <v>10</v>
      </c>
      <c r="E400" t="s">
        <v>113</v>
      </c>
      <c r="F400" t="s">
        <v>54</v>
      </c>
      <c r="G400" t="s">
        <v>3</v>
      </c>
      <c r="H400" t="s">
        <v>4960</v>
      </c>
      <c r="I400" t="s">
        <v>460</v>
      </c>
      <c r="J400" t="s">
        <v>29</v>
      </c>
    </row>
    <row r="401" spans="1:10">
      <c r="A401" t="s">
        <v>5360</v>
      </c>
      <c r="B401" s="2">
        <v>45949</v>
      </c>
      <c r="C401">
        <v>2025</v>
      </c>
      <c r="D401">
        <v>10</v>
      </c>
      <c r="E401" t="s">
        <v>113</v>
      </c>
      <c r="F401" t="s">
        <v>26</v>
      </c>
      <c r="G401" t="s">
        <v>20</v>
      </c>
      <c r="H401" t="s">
        <v>4960</v>
      </c>
      <c r="I401" t="s">
        <v>466</v>
      </c>
      <c r="J401" t="s">
        <v>9</v>
      </c>
    </row>
    <row r="402" spans="1:10">
      <c r="A402" t="s">
        <v>5361</v>
      </c>
      <c r="B402" s="2">
        <v>45947</v>
      </c>
      <c r="C402">
        <v>2025</v>
      </c>
      <c r="D402">
        <v>10</v>
      </c>
      <c r="E402" t="s">
        <v>113</v>
      </c>
      <c r="F402" t="s">
        <v>2</v>
      </c>
      <c r="G402" t="s">
        <v>69</v>
      </c>
      <c r="H402" t="s">
        <v>4960</v>
      </c>
      <c r="I402" t="s">
        <v>446</v>
      </c>
      <c r="J402" t="s">
        <v>9</v>
      </c>
    </row>
    <row r="403" spans="1:10">
      <c r="A403" t="s">
        <v>5362</v>
      </c>
      <c r="B403" s="2">
        <v>45934</v>
      </c>
      <c r="C403">
        <v>2025</v>
      </c>
      <c r="D403">
        <v>10</v>
      </c>
      <c r="E403" t="s">
        <v>113</v>
      </c>
      <c r="F403" t="s">
        <v>31</v>
      </c>
      <c r="G403" t="s">
        <v>32</v>
      </c>
      <c r="H403" t="s">
        <v>4960</v>
      </c>
      <c r="I403" t="s">
        <v>444</v>
      </c>
      <c r="J403" t="s">
        <v>29</v>
      </c>
    </row>
    <row r="404" spans="1:10">
      <c r="A404" t="s">
        <v>5363</v>
      </c>
      <c r="B404" s="2">
        <v>45952</v>
      </c>
      <c r="C404">
        <v>2025</v>
      </c>
      <c r="D404">
        <v>10</v>
      </c>
      <c r="E404" t="s">
        <v>113</v>
      </c>
      <c r="F404" t="s">
        <v>78</v>
      </c>
      <c r="G404" t="s">
        <v>20</v>
      </c>
      <c r="H404" t="s">
        <v>4960</v>
      </c>
      <c r="I404" t="s">
        <v>519</v>
      </c>
      <c r="J404" t="s">
        <v>29</v>
      </c>
    </row>
    <row r="405" spans="1:10">
      <c r="A405" t="s">
        <v>5364</v>
      </c>
      <c r="B405" s="2">
        <v>45953</v>
      </c>
      <c r="C405">
        <v>2025</v>
      </c>
      <c r="D405">
        <v>10</v>
      </c>
      <c r="E405" t="s">
        <v>113</v>
      </c>
      <c r="F405" t="s">
        <v>38</v>
      </c>
      <c r="G405" t="s">
        <v>74</v>
      </c>
      <c r="H405" t="s">
        <v>4960</v>
      </c>
      <c r="I405" t="s">
        <v>428</v>
      </c>
      <c r="J405" t="s">
        <v>36</v>
      </c>
    </row>
    <row r="406" spans="1:10">
      <c r="A406" t="s">
        <v>5365</v>
      </c>
      <c r="B406" s="2">
        <v>45937</v>
      </c>
      <c r="C406">
        <v>2025</v>
      </c>
      <c r="D406">
        <v>10</v>
      </c>
      <c r="E406" t="s">
        <v>113</v>
      </c>
      <c r="F406" t="s">
        <v>54</v>
      </c>
      <c r="G406" t="s">
        <v>61</v>
      </c>
      <c r="H406" t="s">
        <v>4960</v>
      </c>
      <c r="I406" t="s">
        <v>446</v>
      </c>
      <c r="J406" t="s">
        <v>9</v>
      </c>
    </row>
    <row r="407" spans="1:10">
      <c r="A407" t="s">
        <v>5366</v>
      </c>
      <c r="B407" s="2">
        <v>45938</v>
      </c>
      <c r="C407">
        <v>2025</v>
      </c>
      <c r="D407">
        <v>10</v>
      </c>
      <c r="E407" t="s">
        <v>113</v>
      </c>
      <c r="F407" t="s">
        <v>38</v>
      </c>
      <c r="G407" t="s">
        <v>94</v>
      </c>
      <c r="H407" t="s">
        <v>4960</v>
      </c>
      <c r="I407" t="s">
        <v>460</v>
      </c>
      <c r="J407" t="s">
        <v>9</v>
      </c>
    </row>
    <row r="408" spans="1:10">
      <c r="A408" t="s">
        <v>5367</v>
      </c>
      <c r="B408" s="2">
        <v>45940</v>
      </c>
      <c r="C408">
        <v>2025</v>
      </c>
      <c r="D408">
        <v>10</v>
      </c>
      <c r="E408" t="s">
        <v>113</v>
      </c>
      <c r="F408" t="s">
        <v>26</v>
      </c>
      <c r="G408" t="s">
        <v>32</v>
      </c>
      <c r="H408" t="s">
        <v>4963</v>
      </c>
      <c r="I408" t="s">
        <v>519</v>
      </c>
      <c r="J408" t="s">
        <v>36</v>
      </c>
    </row>
    <row r="409" spans="1:10">
      <c r="A409" t="s">
        <v>5368</v>
      </c>
      <c r="B409" s="2">
        <v>45946</v>
      </c>
      <c r="C409">
        <v>2025</v>
      </c>
      <c r="D409">
        <v>10</v>
      </c>
      <c r="E409" t="s">
        <v>113</v>
      </c>
      <c r="F409" t="s">
        <v>19</v>
      </c>
      <c r="G409" t="s">
        <v>3</v>
      </c>
      <c r="H409" t="s">
        <v>4960</v>
      </c>
      <c r="I409" t="s">
        <v>446</v>
      </c>
      <c r="J409" t="s">
        <v>9</v>
      </c>
    </row>
    <row r="410" spans="1:10">
      <c r="A410" t="s">
        <v>5369</v>
      </c>
      <c r="B410" s="2">
        <v>45938</v>
      </c>
      <c r="C410">
        <v>2025</v>
      </c>
      <c r="D410">
        <v>10</v>
      </c>
      <c r="E410" t="s">
        <v>113</v>
      </c>
      <c r="F410" t="s">
        <v>19</v>
      </c>
      <c r="G410" t="s">
        <v>94</v>
      </c>
      <c r="H410" t="s">
        <v>4960</v>
      </c>
      <c r="I410" t="s">
        <v>444</v>
      </c>
      <c r="J410" t="s">
        <v>29</v>
      </c>
    </row>
    <row r="411" spans="1:10">
      <c r="A411" t="s">
        <v>5370</v>
      </c>
      <c r="B411" s="2">
        <v>45941</v>
      </c>
      <c r="C411">
        <v>2025</v>
      </c>
      <c r="D411">
        <v>10</v>
      </c>
      <c r="E411" t="s">
        <v>113</v>
      </c>
      <c r="F411" t="s">
        <v>47</v>
      </c>
      <c r="G411" t="s">
        <v>27</v>
      </c>
      <c r="H411" t="s">
        <v>4963</v>
      </c>
      <c r="I411" t="s">
        <v>457</v>
      </c>
      <c r="J411" t="s">
        <v>36</v>
      </c>
    </row>
    <row r="412" spans="1:10">
      <c r="A412" t="s">
        <v>5371</v>
      </c>
      <c r="B412" s="2">
        <v>45938</v>
      </c>
      <c r="C412">
        <v>2025</v>
      </c>
      <c r="D412">
        <v>10</v>
      </c>
      <c r="E412" t="s">
        <v>113</v>
      </c>
      <c r="F412" t="s">
        <v>38</v>
      </c>
      <c r="G412" t="s">
        <v>3</v>
      </c>
      <c r="H412" t="s">
        <v>4963</v>
      </c>
      <c r="I412" t="s">
        <v>428</v>
      </c>
      <c r="J412" t="s">
        <v>9</v>
      </c>
    </row>
    <row r="413" spans="1:10">
      <c r="A413" t="s">
        <v>5372</v>
      </c>
      <c r="B413" s="2">
        <v>45948</v>
      </c>
      <c r="C413">
        <v>2025</v>
      </c>
      <c r="D413">
        <v>10</v>
      </c>
      <c r="E413" t="s">
        <v>113</v>
      </c>
      <c r="F413" t="s">
        <v>38</v>
      </c>
      <c r="G413" t="s">
        <v>94</v>
      </c>
      <c r="H413" t="s">
        <v>4963</v>
      </c>
      <c r="I413" t="s">
        <v>444</v>
      </c>
      <c r="J413" t="s">
        <v>9</v>
      </c>
    </row>
    <row r="414" spans="1:10">
      <c r="A414" t="s">
        <v>5373</v>
      </c>
      <c r="B414" s="2">
        <v>45941</v>
      </c>
      <c r="C414">
        <v>2025</v>
      </c>
      <c r="D414">
        <v>10</v>
      </c>
      <c r="E414" t="s">
        <v>113</v>
      </c>
      <c r="F414" t="s">
        <v>38</v>
      </c>
      <c r="G414" t="s">
        <v>55</v>
      </c>
      <c r="H414" t="s">
        <v>4960</v>
      </c>
      <c r="I414" t="s">
        <v>466</v>
      </c>
      <c r="J414" t="s">
        <v>36</v>
      </c>
    </row>
    <row r="415" spans="1:10">
      <c r="A415" t="s">
        <v>5374</v>
      </c>
      <c r="B415" s="2">
        <v>45948</v>
      </c>
      <c r="C415">
        <v>2025</v>
      </c>
      <c r="D415">
        <v>10</v>
      </c>
      <c r="E415" t="s">
        <v>113</v>
      </c>
      <c r="F415" t="s">
        <v>2</v>
      </c>
      <c r="G415" t="s">
        <v>74</v>
      </c>
      <c r="H415" t="s">
        <v>4960</v>
      </c>
      <c r="I415" t="s">
        <v>460</v>
      </c>
      <c r="J415" t="s">
        <v>36</v>
      </c>
    </row>
    <row r="416" spans="1:10">
      <c r="A416" t="s">
        <v>5375</v>
      </c>
      <c r="B416" s="2">
        <v>45944</v>
      </c>
      <c r="C416">
        <v>2025</v>
      </c>
      <c r="D416">
        <v>10</v>
      </c>
      <c r="E416" t="s">
        <v>113</v>
      </c>
      <c r="F416" t="s">
        <v>67</v>
      </c>
      <c r="G416" t="s">
        <v>20</v>
      </c>
      <c r="H416" t="s">
        <v>4960</v>
      </c>
      <c r="I416" t="s">
        <v>460</v>
      </c>
      <c r="J416" t="s">
        <v>9</v>
      </c>
    </row>
    <row r="417" spans="1:10">
      <c r="A417" t="s">
        <v>5376</v>
      </c>
      <c r="B417" s="2">
        <v>45931</v>
      </c>
      <c r="C417">
        <v>2025</v>
      </c>
      <c r="D417">
        <v>10</v>
      </c>
      <c r="E417" t="s">
        <v>113</v>
      </c>
      <c r="F417" t="s">
        <v>47</v>
      </c>
      <c r="G417" t="s">
        <v>94</v>
      </c>
      <c r="H417" t="s">
        <v>4960</v>
      </c>
      <c r="I417" t="s">
        <v>494</v>
      </c>
      <c r="J417" t="s">
        <v>29</v>
      </c>
    </row>
    <row r="418" spans="1:10">
      <c r="A418" t="s">
        <v>5377</v>
      </c>
      <c r="B418" s="2">
        <v>45950</v>
      </c>
      <c r="C418">
        <v>2025</v>
      </c>
      <c r="D418">
        <v>10</v>
      </c>
      <c r="E418" t="s">
        <v>113</v>
      </c>
      <c r="F418" t="s">
        <v>31</v>
      </c>
      <c r="G418" t="s">
        <v>94</v>
      </c>
      <c r="H418" t="s">
        <v>4963</v>
      </c>
      <c r="I418" t="s">
        <v>466</v>
      </c>
      <c r="J418" t="s">
        <v>29</v>
      </c>
    </row>
    <row r="419" spans="1:10">
      <c r="A419" t="s">
        <v>5378</v>
      </c>
      <c r="B419" s="2">
        <v>45963</v>
      </c>
      <c r="C419">
        <v>2025</v>
      </c>
      <c r="D419">
        <v>11</v>
      </c>
      <c r="E419" t="s">
        <v>117</v>
      </c>
      <c r="F419" t="s">
        <v>26</v>
      </c>
      <c r="G419" t="s">
        <v>61</v>
      </c>
      <c r="H419" t="s">
        <v>4960</v>
      </c>
      <c r="I419" t="s">
        <v>454</v>
      </c>
      <c r="J419" t="s">
        <v>29</v>
      </c>
    </row>
    <row r="420" spans="1:10">
      <c r="A420" t="s">
        <v>5379</v>
      </c>
      <c r="B420" s="2">
        <v>45975</v>
      </c>
      <c r="C420">
        <v>2025</v>
      </c>
      <c r="D420">
        <v>11</v>
      </c>
      <c r="E420" t="s">
        <v>117</v>
      </c>
      <c r="F420" t="s">
        <v>2</v>
      </c>
      <c r="G420" t="s">
        <v>38</v>
      </c>
      <c r="H420" t="s">
        <v>4960</v>
      </c>
      <c r="I420" t="s">
        <v>428</v>
      </c>
      <c r="J420" t="s">
        <v>9</v>
      </c>
    </row>
    <row r="421" spans="1:10">
      <c r="A421" t="s">
        <v>5380</v>
      </c>
      <c r="B421" s="2">
        <v>45974</v>
      </c>
      <c r="C421">
        <v>2025</v>
      </c>
      <c r="D421">
        <v>11</v>
      </c>
      <c r="E421" t="s">
        <v>117</v>
      </c>
      <c r="F421" t="s">
        <v>26</v>
      </c>
      <c r="G421" t="s">
        <v>32</v>
      </c>
      <c r="H421" t="s">
        <v>4963</v>
      </c>
      <c r="I421" t="s">
        <v>428</v>
      </c>
      <c r="J421" t="s">
        <v>9</v>
      </c>
    </row>
    <row r="422" spans="1:10">
      <c r="A422" t="s">
        <v>5381</v>
      </c>
      <c r="B422" s="2">
        <v>45984</v>
      </c>
      <c r="C422">
        <v>2025</v>
      </c>
      <c r="D422">
        <v>11</v>
      </c>
      <c r="E422" t="s">
        <v>117</v>
      </c>
      <c r="F422" t="s">
        <v>54</v>
      </c>
      <c r="G422" t="s">
        <v>3</v>
      </c>
      <c r="H422" t="s">
        <v>4963</v>
      </c>
      <c r="I422" t="s">
        <v>470</v>
      </c>
      <c r="J422" t="s">
        <v>9</v>
      </c>
    </row>
    <row r="423" spans="1:10">
      <c r="A423" t="s">
        <v>5382</v>
      </c>
      <c r="B423" s="2">
        <v>45985</v>
      </c>
      <c r="C423">
        <v>2025</v>
      </c>
      <c r="D423">
        <v>11</v>
      </c>
      <c r="E423" t="s">
        <v>117</v>
      </c>
      <c r="F423" t="s">
        <v>47</v>
      </c>
      <c r="G423" t="s">
        <v>20</v>
      </c>
      <c r="H423" t="s">
        <v>4960</v>
      </c>
      <c r="I423" t="s">
        <v>454</v>
      </c>
      <c r="J423" t="s">
        <v>16</v>
      </c>
    </row>
    <row r="424" spans="1:10">
      <c r="A424" t="s">
        <v>5383</v>
      </c>
      <c r="B424" s="2">
        <v>45985</v>
      </c>
      <c r="C424">
        <v>2025</v>
      </c>
      <c r="D424">
        <v>11</v>
      </c>
      <c r="E424" t="s">
        <v>117</v>
      </c>
      <c r="F424" t="s">
        <v>38</v>
      </c>
      <c r="G424" t="s">
        <v>20</v>
      </c>
      <c r="H424" t="s">
        <v>4960</v>
      </c>
      <c r="I424" t="s">
        <v>454</v>
      </c>
      <c r="J424" t="s">
        <v>16</v>
      </c>
    </row>
    <row r="425" spans="1:10">
      <c r="A425" t="s">
        <v>5384</v>
      </c>
      <c r="B425" s="2">
        <v>45971</v>
      </c>
      <c r="C425">
        <v>2025</v>
      </c>
      <c r="D425">
        <v>11</v>
      </c>
      <c r="E425" t="s">
        <v>117</v>
      </c>
      <c r="F425" t="s">
        <v>2</v>
      </c>
      <c r="G425" t="s">
        <v>69</v>
      </c>
      <c r="H425" t="s">
        <v>4960</v>
      </c>
      <c r="I425" t="s">
        <v>446</v>
      </c>
      <c r="J425" t="s">
        <v>29</v>
      </c>
    </row>
    <row r="426" spans="1:10">
      <c r="A426" t="s">
        <v>5385</v>
      </c>
      <c r="B426" s="2">
        <v>45979</v>
      </c>
      <c r="C426">
        <v>2025</v>
      </c>
      <c r="D426">
        <v>11</v>
      </c>
      <c r="E426" t="s">
        <v>117</v>
      </c>
      <c r="F426" t="s">
        <v>54</v>
      </c>
      <c r="G426" t="s">
        <v>20</v>
      </c>
      <c r="H426" t="s">
        <v>4960</v>
      </c>
      <c r="I426" t="s">
        <v>519</v>
      </c>
      <c r="J426" t="s">
        <v>36</v>
      </c>
    </row>
    <row r="427" spans="1:10">
      <c r="A427" t="s">
        <v>5386</v>
      </c>
      <c r="B427" s="2">
        <v>45987</v>
      </c>
      <c r="C427">
        <v>2025</v>
      </c>
      <c r="D427">
        <v>11</v>
      </c>
      <c r="E427" t="s">
        <v>117</v>
      </c>
      <c r="F427" t="s">
        <v>78</v>
      </c>
      <c r="G427" t="s">
        <v>32</v>
      </c>
      <c r="H427" t="s">
        <v>4960</v>
      </c>
      <c r="I427" t="s">
        <v>444</v>
      </c>
      <c r="J427" t="s">
        <v>36</v>
      </c>
    </row>
    <row r="428" spans="1:10">
      <c r="A428" t="s">
        <v>5387</v>
      </c>
      <c r="B428" s="2">
        <v>45965</v>
      </c>
      <c r="C428">
        <v>2025</v>
      </c>
      <c r="D428">
        <v>11</v>
      </c>
      <c r="E428" t="s">
        <v>117</v>
      </c>
      <c r="F428" t="s">
        <v>31</v>
      </c>
      <c r="G428" t="s">
        <v>74</v>
      </c>
      <c r="H428" t="s">
        <v>4963</v>
      </c>
      <c r="I428" t="s">
        <v>519</v>
      </c>
      <c r="J428" t="s">
        <v>9</v>
      </c>
    </row>
    <row r="429" spans="1:10">
      <c r="A429" t="s">
        <v>5388</v>
      </c>
      <c r="B429" s="2">
        <v>45981</v>
      </c>
      <c r="C429">
        <v>2025</v>
      </c>
      <c r="D429">
        <v>11</v>
      </c>
      <c r="E429" t="s">
        <v>117</v>
      </c>
      <c r="F429" t="s">
        <v>2</v>
      </c>
      <c r="G429" t="s">
        <v>20</v>
      </c>
      <c r="H429" t="s">
        <v>4963</v>
      </c>
      <c r="I429" t="s">
        <v>466</v>
      </c>
      <c r="J429" t="s">
        <v>29</v>
      </c>
    </row>
    <row r="430" spans="1:10">
      <c r="A430" t="s">
        <v>5389</v>
      </c>
      <c r="B430" s="2">
        <v>45972</v>
      </c>
      <c r="C430">
        <v>2025</v>
      </c>
      <c r="D430">
        <v>11</v>
      </c>
      <c r="E430" t="s">
        <v>117</v>
      </c>
      <c r="F430" t="s">
        <v>19</v>
      </c>
      <c r="G430" t="s">
        <v>48</v>
      </c>
      <c r="H430" t="s">
        <v>4960</v>
      </c>
      <c r="I430" t="s">
        <v>428</v>
      </c>
      <c r="J430" t="s">
        <v>29</v>
      </c>
    </row>
    <row r="431" spans="1:10">
      <c r="A431" t="s">
        <v>5390</v>
      </c>
      <c r="B431" s="2">
        <v>45985</v>
      </c>
      <c r="C431">
        <v>2025</v>
      </c>
      <c r="D431">
        <v>11</v>
      </c>
      <c r="E431" t="s">
        <v>117</v>
      </c>
      <c r="F431" t="s">
        <v>2</v>
      </c>
      <c r="G431" t="s">
        <v>3</v>
      </c>
      <c r="H431" t="s">
        <v>4963</v>
      </c>
      <c r="I431" t="s">
        <v>519</v>
      </c>
      <c r="J431" t="s">
        <v>9</v>
      </c>
    </row>
    <row r="432" spans="1:10">
      <c r="A432" t="s">
        <v>5391</v>
      </c>
      <c r="B432" s="2">
        <v>45988</v>
      </c>
      <c r="C432">
        <v>2025</v>
      </c>
      <c r="D432">
        <v>11</v>
      </c>
      <c r="E432" t="s">
        <v>117</v>
      </c>
      <c r="F432" t="s">
        <v>67</v>
      </c>
      <c r="G432" t="s">
        <v>27</v>
      </c>
      <c r="H432" t="s">
        <v>4963</v>
      </c>
      <c r="I432" t="s">
        <v>470</v>
      </c>
      <c r="J432" t="s">
        <v>29</v>
      </c>
    </row>
    <row r="433" spans="1:10">
      <c r="A433" t="s">
        <v>5392</v>
      </c>
      <c r="B433" s="2">
        <v>45980</v>
      </c>
      <c r="C433">
        <v>2025</v>
      </c>
      <c r="D433">
        <v>11</v>
      </c>
      <c r="E433" t="s">
        <v>117</v>
      </c>
      <c r="F433" t="s">
        <v>19</v>
      </c>
      <c r="G433" t="s">
        <v>32</v>
      </c>
      <c r="H433" t="s">
        <v>4963</v>
      </c>
      <c r="I433" t="s">
        <v>454</v>
      </c>
      <c r="J433" t="s">
        <v>9</v>
      </c>
    </row>
    <row r="434" spans="1:10">
      <c r="A434" t="s">
        <v>5393</v>
      </c>
      <c r="B434" s="2">
        <v>45975</v>
      </c>
      <c r="C434">
        <v>2025</v>
      </c>
      <c r="D434">
        <v>11</v>
      </c>
      <c r="E434" t="s">
        <v>117</v>
      </c>
      <c r="F434" t="s">
        <v>38</v>
      </c>
      <c r="G434" t="s">
        <v>64</v>
      </c>
      <c r="H434" t="s">
        <v>4960</v>
      </c>
      <c r="I434" t="s">
        <v>446</v>
      </c>
      <c r="J434" t="s">
        <v>36</v>
      </c>
    </row>
    <row r="435" spans="1:10">
      <c r="A435" t="s">
        <v>5394</v>
      </c>
      <c r="B435" s="2">
        <v>45976</v>
      </c>
      <c r="C435">
        <v>2025</v>
      </c>
      <c r="D435">
        <v>11</v>
      </c>
      <c r="E435" t="s">
        <v>117</v>
      </c>
      <c r="F435" t="s">
        <v>47</v>
      </c>
      <c r="G435" t="s">
        <v>64</v>
      </c>
      <c r="H435" t="s">
        <v>4963</v>
      </c>
      <c r="I435" t="s">
        <v>494</v>
      </c>
      <c r="J435" t="s">
        <v>9</v>
      </c>
    </row>
    <row r="436" spans="1:10">
      <c r="A436" t="s">
        <v>5395</v>
      </c>
      <c r="B436" s="2">
        <v>45975</v>
      </c>
      <c r="C436">
        <v>2025</v>
      </c>
      <c r="D436">
        <v>11</v>
      </c>
      <c r="E436" t="s">
        <v>117</v>
      </c>
      <c r="F436" t="s">
        <v>26</v>
      </c>
      <c r="G436" t="s">
        <v>32</v>
      </c>
      <c r="H436" t="s">
        <v>4960</v>
      </c>
      <c r="I436" t="s">
        <v>494</v>
      </c>
      <c r="J436" t="s">
        <v>16</v>
      </c>
    </row>
    <row r="437" spans="1:10">
      <c r="A437" t="s">
        <v>5396</v>
      </c>
      <c r="B437" s="2">
        <v>45973</v>
      </c>
      <c r="C437">
        <v>2025</v>
      </c>
      <c r="D437">
        <v>11</v>
      </c>
      <c r="E437" t="s">
        <v>117</v>
      </c>
      <c r="F437" t="s">
        <v>26</v>
      </c>
      <c r="G437" t="s">
        <v>48</v>
      </c>
      <c r="H437" t="s">
        <v>4960</v>
      </c>
      <c r="I437" t="s">
        <v>454</v>
      </c>
      <c r="J437" t="s">
        <v>36</v>
      </c>
    </row>
    <row r="438" spans="1:10">
      <c r="A438" t="s">
        <v>5397</v>
      </c>
      <c r="B438" s="2">
        <v>45973</v>
      </c>
      <c r="C438">
        <v>2025</v>
      </c>
      <c r="D438">
        <v>11</v>
      </c>
      <c r="E438" t="s">
        <v>117</v>
      </c>
      <c r="F438" t="s">
        <v>40</v>
      </c>
      <c r="G438" t="s">
        <v>55</v>
      </c>
      <c r="H438" t="s">
        <v>4960</v>
      </c>
      <c r="I438" t="s">
        <v>470</v>
      </c>
      <c r="J438" t="s">
        <v>9</v>
      </c>
    </row>
    <row r="439" spans="1:10">
      <c r="A439" t="s">
        <v>5398</v>
      </c>
      <c r="B439" s="2">
        <v>45984</v>
      </c>
      <c r="C439">
        <v>2025</v>
      </c>
      <c r="D439">
        <v>11</v>
      </c>
      <c r="E439" t="s">
        <v>117</v>
      </c>
      <c r="F439" t="s">
        <v>26</v>
      </c>
      <c r="G439" t="s">
        <v>38</v>
      </c>
      <c r="H439" t="s">
        <v>4960</v>
      </c>
      <c r="I439" t="s">
        <v>519</v>
      </c>
      <c r="J439" t="s">
        <v>29</v>
      </c>
    </row>
    <row r="440" spans="1:10">
      <c r="A440" t="s">
        <v>5399</v>
      </c>
      <c r="B440" s="2">
        <v>46017</v>
      </c>
      <c r="C440">
        <v>2025</v>
      </c>
      <c r="D440">
        <v>12</v>
      </c>
      <c r="E440" t="s">
        <v>124</v>
      </c>
      <c r="F440" t="s">
        <v>54</v>
      </c>
      <c r="G440" t="s">
        <v>61</v>
      </c>
      <c r="H440" t="s">
        <v>4963</v>
      </c>
      <c r="I440" t="s">
        <v>446</v>
      </c>
      <c r="J440" t="s">
        <v>36</v>
      </c>
    </row>
    <row r="441" spans="1:10">
      <c r="A441" t="s">
        <v>5400</v>
      </c>
      <c r="B441" s="2">
        <v>45999</v>
      </c>
      <c r="C441">
        <v>2025</v>
      </c>
      <c r="D441">
        <v>12</v>
      </c>
      <c r="E441" t="s">
        <v>124</v>
      </c>
      <c r="F441" t="s">
        <v>54</v>
      </c>
      <c r="G441" t="s">
        <v>20</v>
      </c>
      <c r="H441" t="s">
        <v>4960</v>
      </c>
      <c r="I441" t="s">
        <v>466</v>
      </c>
      <c r="J441" t="s">
        <v>29</v>
      </c>
    </row>
    <row r="442" spans="1:10">
      <c r="A442" t="s">
        <v>5401</v>
      </c>
      <c r="B442" s="2">
        <v>45993</v>
      </c>
      <c r="C442">
        <v>2025</v>
      </c>
      <c r="D442">
        <v>12</v>
      </c>
      <c r="E442" t="s">
        <v>124</v>
      </c>
      <c r="F442" t="s">
        <v>54</v>
      </c>
      <c r="G442" t="s">
        <v>55</v>
      </c>
      <c r="H442" t="s">
        <v>4960</v>
      </c>
      <c r="I442" t="s">
        <v>494</v>
      </c>
      <c r="J442" t="s">
        <v>29</v>
      </c>
    </row>
    <row r="443" spans="1:10">
      <c r="A443" t="s">
        <v>5402</v>
      </c>
      <c r="B443" s="2">
        <v>46009</v>
      </c>
      <c r="C443">
        <v>2025</v>
      </c>
      <c r="D443">
        <v>12</v>
      </c>
      <c r="E443" t="s">
        <v>124</v>
      </c>
      <c r="F443" t="s">
        <v>47</v>
      </c>
      <c r="G443" t="s">
        <v>69</v>
      </c>
      <c r="H443" t="s">
        <v>4960</v>
      </c>
      <c r="I443" t="s">
        <v>428</v>
      </c>
      <c r="J443" t="s">
        <v>36</v>
      </c>
    </row>
    <row r="444" spans="1:10">
      <c r="A444" t="s">
        <v>5403</v>
      </c>
      <c r="B444" s="2">
        <v>46016</v>
      </c>
      <c r="C444">
        <v>2025</v>
      </c>
      <c r="D444">
        <v>12</v>
      </c>
      <c r="E444" t="s">
        <v>124</v>
      </c>
      <c r="F444" t="s">
        <v>19</v>
      </c>
      <c r="G444" t="s">
        <v>20</v>
      </c>
      <c r="H444" t="s">
        <v>4963</v>
      </c>
      <c r="I444" t="s">
        <v>444</v>
      </c>
      <c r="J444" t="s">
        <v>29</v>
      </c>
    </row>
    <row r="445" spans="1:10">
      <c r="A445" t="s">
        <v>5404</v>
      </c>
      <c r="B445" s="2">
        <v>46014</v>
      </c>
      <c r="C445">
        <v>2025</v>
      </c>
      <c r="D445">
        <v>12</v>
      </c>
      <c r="E445" t="s">
        <v>124</v>
      </c>
      <c r="F445" t="s">
        <v>2</v>
      </c>
      <c r="G445" t="s">
        <v>32</v>
      </c>
      <c r="H445" t="s">
        <v>4960</v>
      </c>
      <c r="I445" t="s">
        <v>519</v>
      </c>
      <c r="J445" t="s">
        <v>9</v>
      </c>
    </row>
    <row r="446" spans="1:10">
      <c r="A446" t="s">
        <v>5405</v>
      </c>
      <c r="B446" s="2">
        <v>46014</v>
      </c>
      <c r="C446">
        <v>2025</v>
      </c>
      <c r="D446">
        <v>12</v>
      </c>
      <c r="E446" t="s">
        <v>124</v>
      </c>
      <c r="F446" t="s">
        <v>47</v>
      </c>
      <c r="G446" t="s">
        <v>74</v>
      </c>
      <c r="H446" t="s">
        <v>4960</v>
      </c>
      <c r="I446" t="s">
        <v>446</v>
      </c>
      <c r="J446" t="s">
        <v>36</v>
      </c>
    </row>
    <row r="447" spans="1:10">
      <c r="A447" t="s">
        <v>5406</v>
      </c>
      <c r="B447" s="2">
        <v>46017</v>
      </c>
      <c r="C447">
        <v>2025</v>
      </c>
      <c r="D447">
        <v>12</v>
      </c>
      <c r="E447" t="s">
        <v>124</v>
      </c>
      <c r="F447" t="s">
        <v>38</v>
      </c>
      <c r="G447" t="s">
        <v>64</v>
      </c>
      <c r="H447" t="s">
        <v>4960</v>
      </c>
      <c r="I447" t="s">
        <v>470</v>
      </c>
      <c r="J447" t="s">
        <v>16</v>
      </c>
    </row>
    <row r="448" spans="1:10">
      <c r="A448" t="s">
        <v>5407</v>
      </c>
      <c r="B448" s="2">
        <v>46005</v>
      </c>
      <c r="C448">
        <v>2025</v>
      </c>
      <c r="D448">
        <v>12</v>
      </c>
      <c r="E448" t="s">
        <v>124</v>
      </c>
      <c r="F448" t="s">
        <v>31</v>
      </c>
      <c r="G448" t="s">
        <v>61</v>
      </c>
      <c r="H448" t="s">
        <v>4963</v>
      </c>
      <c r="I448" t="s">
        <v>457</v>
      </c>
      <c r="J448" t="s">
        <v>9</v>
      </c>
    </row>
    <row r="449" spans="1:10">
      <c r="A449" t="s">
        <v>5408</v>
      </c>
      <c r="B449" s="2">
        <v>46016</v>
      </c>
      <c r="C449">
        <v>2025</v>
      </c>
      <c r="D449">
        <v>12</v>
      </c>
      <c r="E449" t="s">
        <v>124</v>
      </c>
      <c r="F449" t="s">
        <v>40</v>
      </c>
      <c r="G449" t="s">
        <v>64</v>
      </c>
      <c r="H449" t="s">
        <v>4960</v>
      </c>
      <c r="I449" t="s">
        <v>460</v>
      </c>
      <c r="J449" t="s">
        <v>9</v>
      </c>
    </row>
    <row r="450" spans="1:10">
      <c r="A450" t="s">
        <v>5409</v>
      </c>
      <c r="B450" s="2">
        <v>46019</v>
      </c>
      <c r="C450">
        <v>2025</v>
      </c>
      <c r="D450">
        <v>12</v>
      </c>
      <c r="E450" t="s">
        <v>124</v>
      </c>
      <c r="F450" t="s">
        <v>78</v>
      </c>
      <c r="G450" t="s">
        <v>48</v>
      </c>
      <c r="H450" t="s">
        <v>4960</v>
      </c>
      <c r="I450" t="s">
        <v>428</v>
      </c>
      <c r="J450" t="s">
        <v>16</v>
      </c>
    </row>
    <row r="451" spans="1:10">
      <c r="A451" t="s">
        <v>5410</v>
      </c>
      <c r="B451" s="2">
        <v>46003</v>
      </c>
      <c r="C451">
        <v>2025</v>
      </c>
      <c r="D451">
        <v>12</v>
      </c>
      <c r="E451" t="s">
        <v>124</v>
      </c>
      <c r="F451" t="s">
        <v>78</v>
      </c>
      <c r="G451" t="s">
        <v>55</v>
      </c>
      <c r="H451" t="s">
        <v>4963</v>
      </c>
      <c r="I451" t="s">
        <v>460</v>
      </c>
      <c r="J451" t="s">
        <v>9</v>
      </c>
    </row>
    <row r="452" spans="1:10">
      <c r="A452" t="s">
        <v>5411</v>
      </c>
      <c r="B452" s="2">
        <v>46013</v>
      </c>
      <c r="C452">
        <v>2025</v>
      </c>
      <c r="D452">
        <v>12</v>
      </c>
      <c r="E452" t="s">
        <v>124</v>
      </c>
      <c r="F452" t="s">
        <v>31</v>
      </c>
      <c r="G452" t="s">
        <v>27</v>
      </c>
      <c r="H452" t="s">
        <v>4960</v>
      </c>
      <c r="I452" t="s">
        <v>519</v>
      </c>
      <c r="J452" t="s">
        <v>9</v>
      </c>
    </row>
    <row r="453" spans="1:10">
      <c r="A453" t="s">
        <v>5412</v>
      </c>
      <c r="B453" s="2">
        <v>46004</v>
      </c>
      <c r="C453">
        <v>2025</v>
      </c>
      <c r="D453">
        <v>12</v>
      </c>
      <c r="E453" t="s">
        <v>124</v>
      </c>
      <c r="F453" t="s">
        <v>47</v>
      </c>
      <c r="G453" t="s">
        <v>38</v>
      </c>
      <c r="H453" t="s">
        <v>4960</v>
      </c>
      <c r="I453" t="s">
        <v>457</v>
      </c>
      <c r="J453" t="s">
        <v>36</v>
      </c>
    </row>
    <row r="454" spans="1:10">
      <c r="A454" t="s">
        <v>5413</v>
      </c>
      <c r="B454" s="2">
        <v>45997</v>
      </c>
      <c r="C454">
        <v>2025</v>
      </c>
      <c r="D454">
        <v>12</v>
      </c>
      <c r="E454" t="s">
        <v>124</v>
      </c>
      <c r="F454" t="s">
        <v>78</v>
      </c>
      <c r="G454" t="s">
        <v>55</v>
      </c>
      <c r="H454" t="s">
        <v>4963</v>
      </c>
      <c r="I454" t="s">
        <v>454</v>
      </c>
      <c r="J454" t="s">
        <v>9</v>
      </c>
    </row>
    <row r="455" spans="1:10">
      <c r="A455" t="s">
        <v>5414</v>
      </c>
      <c r="B455" s="2">
        <v>45994</v>
      </c>
      <c r="C455">
        <v>2025</v>
      </c>
      <c r="D455">
        <v>12</v>
      </c>
      <c r="E455" t="s">
        <v>124</v>
      </c>
      <c r="F455" t="s">
        <v>78</v>
      </c>
      <c r="G455" t="s">
        <v>48</v>
      </c>
      <c r="H455" t="s">
        <v>4960</v>
      </c>
      <c r="I455" t="s">
        <v>446</v>
      </c>
      <c r="J455" t="s">
        <v>9</v>
      </c>
    </row>
    <row r="456" spans="1:10">
      <c r="A456" t="s">
        <v>5415</v>
      </c>
      <c r="B456" s="2">
        <v>46044</v>
      </c>
      <c r="C456">
        <v>2026</v>
      </c>
      <c r="D456">
        <v>1</v>
      </c>
      <c r="E456" t="s">
        <v>1</v>
      </c>
      <c r="F456" t="s">
        <v>40</v>
      </c>
      <c r="G456" t="s">
        <v>38</v>
      </c>
      <c r="H456" t="s">
        <v>4960</v>
      </c>
      <c r="I456" t="s">
        <v>460</v>
      </c>
      <c r="J456" t="s">
        <v>29</v>
      </c>
    </row>
    <row r="457" spans="1:10">
      <c r="A457" t="s">
        <v>5416</v>
      </c>
      <c r="B457" s="2">
        <v>46027</v>
      </c>
      <c r="C457">
        <v>2026</v>
      </c>
      <c r="D457">
        <v>1</v>
      </c>
      <c r="E457" t="s">
        <v>1</v>
      </c>
      <c r="F457" t="s">
        <v>26</v>
      </c>
      <c r="G457" t="s">
        <v>61</v>
      </c>
      <c r="H457" t="s">
        <v>4963</v>
      </c>
      <c r="I457" t="s">
        <v>519</v>
      </c>
      <c r="J457" t="s">
        <v>9</v>
      </c>
    </row>
    <row r="458" spans="1:10">
      <c r="A458" t="s">
        <v>5417</v>
      </c>
      <c r="B458" s="2">
        <v>46035</v>
      </c>
      <c r="C458">
        <v>2026</v>
      </c>
      <c r="D458">
        <v>1</v>
      </c>
      <c r="E458" t="s">
        <v>1</v>
      </c>
      <c r="F458" t="s">
        <v>67</v>
      </c>
      <c r="G458" t="s">
        <v>69</v>
      </c>
      <c r="H458" t="s">
        <v>4963</v>
      </c>
      <c r="I458" t="s">
        <v>519</v>
      </c>
      <c r="J458" t="s">
        <v>36</v>
      </c>
    </row>
    <row r="459" spans="1:10">
      <c r="A459" t="s">
        <v>5418</v>
      </c>
      <c r="B459" s="2">
        <v>46036</v>
      </c>
      <c r="C459">
        <v>2026</v>
      </c>
      <c r="D459">
        <v>1</v>
      </c>
      <c r="E459" t="s">
        <v>1</v>
      </c>
      <c r="F459" t="s">
        <v>67</v>
      </c>
      <c r="G459" t="s">
        <v>3</v>
      </c>
      <c r="H459" t="s">
        <v>4960</v>
      </c>
      <c r="I459" t="s">
        <v>466</v>
      </c>
      <c r="J459" t="s">
        <v>36</v>
      </c>
    </row>
    <row r="460" spans="1:10">
      <c r="A460" t="s">
        <v>5419</v>
      </c>
      <c r="B460" s="2">
        <v>46046</v>
      </c>
      <c r="C460">
        <v>2026</v>
      </c>
      <c r="D460">
        <v>1</v>
      </c>
      <c r="E460" t="s">
        <v>1</v>
      </c>
      <c r="F460" t="s">
        <v>67</v>
      </c>
      <c r="G460" t="s">
        <v>94</v>
      </c>
      <c r="H460" t="s">
        <v>4960</v>
      </c>
      <c r="I460" t="s">
        <v>457</v>
      </c>
      <c r="J460" t="s">
        <v>9</v>
      </c>
    </row>
    <row r="461" spans="1:10">
      <c r="A461" t="s">
        <v>5420</v>
      </c>
      <c r="B461" s="2">
        <v>46044</v>
      </c>
      <c r="C461">
        <v>2026</v>
      </c>
      <c r="D461">
        <v>1</v>
      </c>
      <c r="E461" t="s">
        <v>1</v>
      </c>
      <c r="F461" t="s">
        <v>2</v>
      </c>
      <c r="G461" t="s">
        <v>69</v>
      </c>
      <c r="H461" t="s">
        <v>4960</v>
      </c>
      <c r="I461" t="s">
        <v>446</v>
      </c>
      <c r="J461" t="s">
        <v>9</v>
      </c>
    </row>
    <row r="462" spans="1:10">
      <c r="A462" t="s">
        <v>5421</v>
      </c>
      <c r="B462" s="2">
        <v>46024</v>
      </c>
      <c r="C462">
        <v>2026</v>
      </c>
      <c r="D462">
        <v>1</v>
      </c>
      <c r="E462" t="s">
        <v>1</v>
      </c>
      <c r="F462" t="s">
        <v>67</v>
      </c>
      <c r="G462" t="s">
        <v>32</v>
      </c>
      <c r="H462" t="s">
        <v>4963</v>
      </c>
      <c r="I462" t="s">
        <v>519</v>
      </c>
      <c r="J462" t="s">
        <v>29</v>
      </c>
    </row>
    <row r="463" spans="1:10">
      <c r="A463" t="s">
        <v>5422</v>
      </c>
      <c r="B463" s="2">
        <v>46029</v>
      </c>
      <c r="C463">
        <v>2026</v>
      </c>
      <c r="D463">
        <v>1</v>
      </c>
      <c r="E463" t="s">
        <v>1</v>
      </c>
      <c r="F463" t="s">
        <v>26</v>
      </c>
      <c r="G463" t="s">
        <v>27</v>
      </c>
      <c r="H463" t="s">
        <v>4960</v>
      </c>
      <c r="I463" t="s">
        <v>466</v>
      </c>
      <c r="J463" t="s">
        <v>36</v>
      </c>
    </row>
    <row r="464" spans="1:10">
      <c r="A464" t="s">
        <v>5423</v>
      </c>
      <c r="B464" s="2">
        <v>46040</v>
      </c>
      <c r="C464">
        <v>2026</v>
      </c>
      <c r="D464">
        <v>1</v>
      </c>
      <c r="E464" t="s">
        <v>1</v>
      </c>
      <c r="F464" t="s">
        <v>47</v>
      </c>
      <c r="G464" t="s">
        <v>20</v>
      </c>
      <c r="H464" t="s">
        <v>4960</v>
      </c>
      <c r="I464" t="s">
        <v>470</v>
      </c>
      <c r="J464" t="s">
        <v>9</v>
      </c>
    </row>
    <row r="465" spans="1:10">
      <c r="A465" t="s">
        <v>5424</v>
      </c>
      <c r="B465" s="2">
        <v>46044</v>
      </c>
      <c r="C465">
        <v>2026</v>
      </c>
      <c r="D465">
        <v>1</v>
      </c>
      <c r="E465" t="s">
        <v>1</v>
      </c>
      <c r="F465" t="s">
        <v>38</v>
      </c>
      <c r="G465" t="s">
        <v>20</v>
      </c>
      <c r="H465" t="s">
        <v>4960</v>
      </c>
      <c r="I465" t="s">
        <v>519</v>
      </c>
      <c r="J465" t="s">
        <v>16</v>
      </c>
    </row>
    <row r="466" spans="1:10">
      <c r="A466" t="s">
        <v>5425</v>
      </c>
      <c r="B466" s="2">
        <v>46043</v>
      </c>
      <c r="C466">
        <v>2026</v>
      </c>
      <c r="D466">
        <v>1</v>
      </c>
      <c r="E466" t="s">
        <v>1</v>
      </c>
      <c r="F466" t="s">
        <v>78</v>
      </c>
      <c r="G466" t="s">
        <v>32</v>
      </c>
      <c r="H466" t="s">
        <v>4960</v>
      </c>
      <c r="I466" t="s">
        <v>466</v>
      </c>
      <c r="J466" t="s">
        <v>16</v>
      </c>
    </row>
    <row r="467" spans="1:10">
      <c r="A467" t="s">
        <v>5426</v>
      </c>
      <c r="B467" s="2">
        <v>46032</v>
      </c>
      <c r="C467">
        <v>2026</v>
      </c>
      <c r="D467">
        <v>1</v>
      </c>
      <c r="E467" t="s">
        <v>1</v>
      </c>
      <c r="F467" t="s">
        <v>2</v>
      </c>
      <c r="G467" t="s">
        <v>32</v>
      </c>
      <c r="H467" t="s">
        <v>4963</v>
      </c>
      <c r="I467" t="s">
        <v>444</v>
      </c>
      <c r="J467" t="s">
        <v>9</v>
      </c>
    </row>
    <row r="468" spans="1:10">
      <c r="A468" t="s">
        <v>5427</v>
      </c>
      <c r="B468" s="2">
        <v>46030</v>
      </c>
      <c r="C468">
        <v>2026</v>
      </c>
      <c r="D468">
        <v>1</v>
      </c>
      <c r="E468" t="s">
        <v>1</v>
      </c>
      <c r="F468" t="s">
        <v>67</v>
      </c>
      <c r="G468" t="s">
        <v>38</v>
      </c>
      <c r="H468" t="s">
        <v>4963</v>
      </c>
      <c r="I468" t="s">
        <v>494</v>
      </c>
      <c r="J468" t="s">
        <v>36</v>
      </c>
    </row>
    <row r="469" spans="1:10">
      <c r="A469" t="s">
        <v>5428</v>
      </c>
      <c r="B469" s="2">
        <v>46050</v>
      </c>
      <c r="C469">
        <v>2026</v>
      </c>
      <c r="D469">
        <v>1</v>
      </c>
      <c r="E469" t="s">
        <v>1</v>
      </c>
      <c r="F469" t="s">
        <v>40</v>
      </c>
      <c r="G469" t="s">
        <v>61</v>
      </c>
      <c r="H469" t="s">
        <v>4963</v>
      </c>
      <c r="I469" t="s">
        <v>446</v>
      </c>
      <c r="J469" t="s">
        <v>16</v>
      </c>
    </row>
    <row r="470" spans="1:10">
      <c r="A470" t="s">
        <v>5429</v>
      </c>
      <c r="B470" s="2">
        <v>46072</v>
      </c>
      <c r="C470">
        <v>2026</v>
      </c>
      <c r="D470">
        <v>2</v>
      </c>
      <c r="E470" t="s">
        <v>25</v>
      </c>
      <c r="F470" t="s">
        <v>40</v>
      </c>
      <c r="G470" t="s">
        <v>61</v>
      </c>
      <c r="H470" t="s">
        <v>4960</v>
      </c>
      <c r="I470" t="s">
        <v>470</v>
      </c>
      <c r="J470" t="s">
        <v>36</v>
      </c>
    </row>
    <row r="471" spans="1:10">
      <c r="A471" t="s">
        <v>5430</v>
      </c>
      <c r="B471" s="2">
        <v>46079</v>
      </c>
      <c r="C471">
        <v>2026</v>
      </c>
      <c r="D471">
        <v>2</v>
      </c>
      <c r="E471" t="s">
        <v>25</v>
      </c>
      <c r="F471" t="s">
        <v>67</v>
      </c>
      <c r="G471" t="s">
        <v>74</v>
      </c>
      <c r="H471" t="s">
        <v>4960</v>
      </c>
      <c r="I471" t="s">
        <v>457</v>
      </c>
      <c r="J471" t="s">
        <v>36</v>
      </c>
    </row>
    <row r="472" spans="1:10">
      <c r="A472" t="s">
        <v>5431</v>
      </c>
      <c r="B472" s="2">
        <v>46061</v>
      </c>
      <c r="C472">
        <v>2026</v>
      </c>
      <c r="D472">
        <v>2</v>
      </c>
      <c r="E472" t="s">
        <v>25</v>
      </c>
      <c r="F472" t="s">
        <v>54</v>
      </c>
      <c r="G472" t="s">
        <v>64</v>
      </c>
      <c r="H472" t="s">
        <v>4960</v>
      </c>
      <c r="I472" t="s">
        <v>457</v>
      </c>
      <c r="J472" t="s">
        <v>9</v>
      </c>
    </row>
    <row r="473" spans="1:10">
      <c r="A473" t="s">
        <v>5432</v>
      </c>
      <c r="B473" s="2">
        <v>46075</v>
      </c>
      <c r="C473">
        <v>2026</v>
      </c>
      <c r="D473">
        <v>2</v>
      </c>
      <c r="E473" t="s">
        <v>25</v>
      </c>
      <c r="F473" t="s">
        <v>31</v>
      </c>
      <c r="G473" t="s">
        <v>38</v>
      </c>
      <c r="H473" t="s">
        <v>4960</v>
      </c>
      <c r="I473" t="s">
        <v>446</v>
      </c>
      <c r="J473" t="s">
        <v>36</v>
      </c>
    </row>
    <row r="474" spans="1:10">
      <c r="A474" t="s">
        <v>5433</v>
      </c>
      <c r="B474" s="2">
        <v>46069</v>
      </c>
      <c r="C474">
        <v>2026</v>
      </c>
      <c r="D474">
        <v>2</v>
      </c>
      <c r="E474" t="s">
        <v>25</v>
      </c>
      <c r="F474" t="s">
        <v>47</v>
      </c>
      <c r="G474" t="s">
        <v>20</v>
      </c>
      <c r="H474" t="s">
        <v>4963</v>
      </c>
      <c r="I474" t="s">
        <v>454</v>
      </c>
      <c r="J474" t="s">
        <v>16</v>
      </c>
    </row>
    <row r="475" spans="1:10">
      <c r="A475" t="s">
        <v>5434</v>
      </c>
      <c r="B475" s="2">
        <v>46077</v>
      </c>
      <c r="C475">
        <v>2026</v>
      </c>
      <c r="D475">
        <v>2</v>
      </c>
      <c r="E475" t="s">
        <v>25</v>
      </c>
      <c r="F475" t="s">
        <v>47</v>
      </c>
      <c r="G475" t="s">
        <v>3</v>
      </c>
      <c r="H475" t="s">
        <v>4963</v>
      </c>
      <c r="I475" t="s">
        <v>519</v>
      </c>
      <c r="J475" t="s">
        <v>36</v>
      </c>
    </row>
    <row r="476" spans="1:10">
      <c r="A476" t="s">
        <v>5435</v>
      </c>
      <c r="B476" s="2">
        <v>46075</v>
      </c>
      <c r="C476">
        <v>2026</v>
      </c>
      <c r="D476">
        <v>2</v>
      </c>
      <c r="E476" t="s">
        <v>25</v>
      </c>
      <c r="F476" t="s">
        <v>26</v>
      </c>
      <c r="G476" t="s">
        <v>64</v>
      </c>
      <c r="H476" t="s">
        <v>4960</v>
      </c>
      <c r="I476" t="s">
        <v>428</v>
      </c>
      <c r="J476" t="s">
        <v>16</v>
      </c>
    </row>
    <row r="477" spans="1:10">
      <c r="A477" t="s">
        <v>5436</v>
      </c>
      <c r="B477" s="2">
        <v>46069</v>
      </c>
      <c r="C477">
        <v>2026</v>
      </c>
      <c r="D477">
        <v>2</v>
      </c>
      <c r="E477" t="s">
        <v>25</v>
      </c>
      <c r="F477" t="s">
        <v>47</v>
      </c>
      <c r="G477" t="s">
        <v>74</v>
      </c>
      <c r="H477" t="s">
        <v>4963</v>
      </c>
      <c r="I477" t="s">
        <v>446</v>
      </c>
      <c r="J477" t="s">
        <v>9</v>
      </c>
    </row>
    <row r="478" spans="1:10">
      <c r="A478" t="s">
        <v>5437</v>
      </c>
      <c r="B478" s="2">
        <v>46058</v>
      </c>
      <c r="C478">
        <v>2026</v>
      </c>
      <c r="D478">
        <v>2</v>
      </c>
      <c r="E478" t="s">
        <v>25</v>
      </c>
      <c r="F478" t="s">
        <v>47</v>
      </c>
      <c r="G478" t="s">
        <v>69</v>
      </c>
      <c r="H478" t="s">
        <v>4963</v>
      </c>
      <c r="I478" t="s">
        <v>494</v>
      </c>
      <c r="J478" t="s">
        <v>36</v>
      </c>
    </row>
    <row r="479" spans="1:10">
      <c r="A479" t="s">
        <v>5438</v>
      </c>
      <c r="B479" s="2">
        <v>46079</v>
      </c>
      <c r="C479">
        <v>2026</v>
      </c>
      <c r="D479">
        <v>2</v>
      </c>
      <c r="E479" t="s">
        <v>25</v>
      </c>
      <c r="F479" t="s">
        <v>38</v>
      </c>
      <c r="G479" t="s">
        <v>38</v>
      </c>
      <c r="H479" t="s">
        <v>4963</v>
      </c>
      <c r="I479" t="s">
        <v>457</v>
      </c>
      <c r="J479" t="s">
        <v>16</v>
      </c>
    </row>
    <row r="480" spans="1:10">
      <c r="A480" t="s">
        <v>5439</v>
      </c>
      <c r="B480" s="2">
        <v>46057</v>
      </c>
      <c r="C480">
        <v>2026</v>
      </c>
      <c r="D480">
        <v>2</v>
      </c>
      <c r="E480" t="s">
        <v>25</v>
      </c>
      <c r="F480" t="s">
        <v>19</v>
      </c>
      <c r="G480" t="s">
        <v>69</v>
      </c>
      <c r="H480" t="s">
        <v>4960</v>
      </c>
      <c r="I480" t="s">
        <v>466</v>
      </c>
      <c r="J480" t="s">
        <v>36</v>
      </c>
    </row>
    <row r="481" spans="1:10">
      <c r="A481" t="s">
        <v>5440</v>
      </c>
      <c r="B481" s="2">
        <v>46081</v>
      </c>
      <c r="C481">
        <v>2026</v>
      </c>
      <c r="D481">
        <v>2</v>
      </c>
      <c r="E481" t="s">
        <v>25</v>
      </c>
      <c r="F481" t="s">
        <v>38</v>
      </c>
      <c r="G481" t="s">
        <v>94</v>
      </c>
      <c r="H481" t="s">
        <v>4960</v>
      </c>
      <c r="I481" t="s">
        <v>470</v>
      </c>
      <c r="J481" t="s">
        <v>9</v>
      </c>
    </row>
    <row r="482" spans="1:10">
      <c r="A482" t="s">
        <v>5441</v>
      </c>
      <c r="B482" s="2">
        <v>46080</v>
      </c>
      <c r="C482">
        <v>2026</v>
      </c>
      <c r="D482">
        <v>2</v>
      </c>
      <c r="E482" t="s">
        <v>25</v>
      </c>
      <c r="F482" t="s">
        <v>38</v>
      </c>
      <c r="G482" t="s">
        <v>38</v>
      </c>
      <c r="H482" t="s">
        <v>4960</v>
      </c>
      <c r="I482" t="s">
        <v>466</v>
      </c>
      <c r="J482" t="s">
        <v>9</v>
      </c>
    </row>
    <row r="483" spans="1:10">
      <c r="A483" t="s">
        <v>5442</v>
      </c>
      <c r="B483" s="2">
        <v>46063</v>
      </c>
      <c r="C483">
        <v>2026</v>
      </c>
      <c r="D483">
        <v>2</v>
      </c>
      <c r="E483" t="s">
        <v>25</v>
      </c>
      <c r="F483" t="s">
        <v>40</v>
      </c>
      <c r="G483" t="s">
        <v>38</v>
      </c>
      <c r="H483" t="s">
        <v>4960</v>
      </c>
      <c r="I483" t="s">
        <v>470</v>
      </c>
      <c r="J483" t="s">
        <v>9</v>
      </c>
    </row>
    <row r="484" spans="1:10">
      <c r="A484" t="s">
        <v>5443</v>
      </c>
      <c r="B484" s="2">
        <v>46059</v>
      </c>
      <c r="C484">
        <v>2026</v>
      </c>
      <c r="D484">
        <v>2</v>
      </c>
      <c r="E484" t="s">
        <v>25</v>
      </c>
      <c r="F484" t="s">
        <v>38</v>
      </c>
      <c r="G484" t="s">
        <v>94</v>
      </c>
      <c r="H484" t="s">
        <v>4960</v>
      </c>
      <c r="I484" t="s">
        <v>457</v>
      </c>
      <c r="J484" t="s">
        <v>9</v>
      </c>
    </row>
    <row r="485" spans="1:10">
      <c r="A485" t="s">
        <v>5444</v>
      </c>
      <c r="B485" s="2">
        <v>46075</v>
      </c>
      <c r="C485">
        <v>2026</v>
      </c>
      <c r="D485">
        <v>2</v>
      </c>
      <c r="E485" t="s">
        <v>25</v>
      </c>
      <c r="F485" t="s">
        <v>67</v>
      </c>
      <c r="G485" t="s">
        <v>55</v>
      </c>
      <c r="H485" t="s">
        <v>4960</v>
      </c>
      <c r="I485" t="s">
        <v>446</v>
      </c>
      <c r="J485" t="s">
        <v>16</v>
      </c>
    </row>
    <row r="486" spans="1:10">
      <c r="A486" t="s">
        <v>5445</v>
      </c>
      <c r="B486" s="2">
        <v>46095</v>
      </c>
      <c r="C486">
        <v>2026</v>
      </c>
      <c r="D486">
        <v>3</v>
      </c>
      <c r="E486" t="s">
        <v>60</v>
      </c>
      <c r="F486" t="s">
        <v>19</v>
      </c>
      <c r="G486" t="s">
        <v>48</v>
      </c>
      <c r="H486" t="s">
        <v>4963</v>
      </c>
      <c r="I486" t="s">
        <v>460</v>
      </c>
      <c r="J486" t="s">
        <v>29</v>
      </c>
    </row>
    <row r="487" spans="1:10">
      <c r="A487" t="s">
        <v>5446</v>
      </c>
      <c r="B487" s="2">
        <v>46089</v>
      </c>
      <c r="C487">
        <v>2026</v>
      </c>
      <c r="D487">
        <v>3</v>
      </c>
      <c r="E487" t="s">
        <v>60</v>
      </c>
      <c r="F487" t="s">
        <v>26</v>
      </c>
      <c r="G487" t="s">
        <v>69</v>
      </c>
      <c r="H487" t="s">
        <v>4963</v>
      </c>
      <c r="I487" t="s">
        <v>444</v>
      </c>
      <c r="J487" t="s">
        <v>36</v>
      </c>
    </row>
    <row r="488" spans="1:10">
      <c r="A488" t="s">
        <v>5447</v>
      </c>
      <c r="B488" s="2">
        <v>46104</v>
      </c>
      <c r="C488">
        <v>2026</v>
      </c>
      <c r="D488">
        <v>3</v>
      </c>
      <c r="E488" t="s">
        <v>60</v>
      </c>
      <c r="F488" t="s">
        <v>40</v>
      </c>
      <c r="G488" t="s">
        <v>69</v>
      </c>
      <c r="H488" t="s">
        <v>4963</v>
      </c>
      <c r="I488" t="s">
        <v>519</v>
      </c>
      <c r="J488" t="s">
        <v>9</v>
      </c>
    </row>
    <row r="489" spans="1:10">
      <c r="A489" t="s">
        <v>5448</v>
      </c>
      <c r="B489" s="2">
        <v>46089</v>
      </c>
      <c r="C489">
        <v>2026</v>
      </c>
      <c r="D489">
        <v>3</v>
      </c>
      <c r="E489" t="s">
        <v>60</v>
      </c>
      <c r="F489" t="s">
        <v>26</v>
      </c>
      <c r="G489" t="s">
        <v>32</v>
      </c>
      <c r="H489" t="s">
        <v>4960</v>
      </c>
      <c r="I489" t="s">
        <v>444</v>
      </c>
      <c r="J489" t="s">
        <v>9</v>
      </c>
    </row>
    <row r="490" spans="1:10">
      <c r="A490" t="s">
        <v>5449</v>
      </c>
      <c r="B490" s="2">
        <v>46109</v>
      </c>
      <c r="C490">
        <v>2026</v>
      </c>
      <c r="D490">
        <v>3</v>
      </c>
      <c r="E490" t="s">
        <v>60</v>
      </c>
      <c r="F490" t="s">
        <v>19</v>
      </c>
      <c r="G490" t="s">
        <v>20</v>
      </c>
      <c r="H490" t="s">
        <v>4963</v>
      </c>
      <c r="I490" t="s">
        <v>428</v>
      </c>
      <c r="J490" t="s">
        <v>29</v>
      </c>
    </row>
    <row r="491" spans="1:10">
      <c r="A491" t="s">
        <v>5450</v>
      </c>
      <c r="B491" s="2">
        <v>46100</v>
      </c>
      <c r="C491">
        <v>2026</v>
      </c>
      <c r="D491">
        <v>3</v>
      </c>
      <c r="E491" t="s">
        <v>60</v>
      </c>
      <c r="F491" t="s">
        <v>31</v>
      </c>
      <c r="G491" t="s">
        <v>38</v>
      </c>
      <c r="H491" t="s">
        <v>4960</v>
      </c>
      <c r="I491" t="s">
        <v>457</v>
      </c>
      <c r="J491" t="s">
        <v>29</v>
      </c>
    </row>
    <row r="492" spans="1:10">
      <c r="A492" t="s">
        <v>5451</v>
      </c>
      <c r="B492" s="2">
        <v>46094</v>
      </c>
      <c r="C492">
        <v>2026</v>
      </c>
      <c r="D492">
        <v>3</v>
      </c>
      <c r="E492" t="s">
        <v>60</v>
      </c>
      <c r="F492" t="s">
        <v>54</v>
      </c>
      <c r="G492" t="s">
        <v>32</v>
      </c>
      <c r="H492" t="s">
        <v>4963</v>
      </c>
      <c r="I492" t="s">
        <v>460</v>
      </c>
      <c r="J492" t="s">
        <v>29</v>
      </c>
    </row>
    <row r="493" spans="1:10">
      <c r="A493" t="s">
        <v>5452</v>
      </c>
      <c r="B493" s="2">
        <v>46088</v>
      </c>
      <c r="C493">
        <v>2026</v>
      </c>
      <c r="D493">
        <v>3</v>
      </c>
      <c r="E493" t="s">
        <v>60</v>
      </c>
      <c r="F493" t="s">
        <v>40</v>
      </c>
      <c r="G493" t="s">
        <v>32</v>
      </c>
      <c r="H493" t="s">
        <v>4963</v>
      </c>
      <c r="I493" t="s">
        <v>444</v>
      </c>
      <c r="J493" t="s">
        <v>36</v>
      </c>
    </row>
    <row r="494" spans="1:10">
      <c r="A494" t="s">
        <v>5453</v>
      </c>
      <c r="B494" s="2">
        <v>46106</v>
      </c>
      <c r="C494">
        <v>2026</v>
      </c>
      <c r="D494">
        <v>3</v>
      </c>
      <c r="E494" t="s">
        <v>60</v>
      </c>
      <c r="F494" t="s">
        <v>47</v>
      </c>
      <c r="G494" t="s">
        <v>27</v>
      </c>
      <c r="H494" t="s">
        <v>4960</v>
      </c>
      <c r="I494" t="s">
        <v>444</v>
      </c>
      <c r="J494" t="s">
        <v>9</v>
      </c>
    </row>
    <row r="495" spans="1:10">
      <c r="A495" t="s">
        <v>5454</v>
      </c>
      <c r="B495" s="2">
        <v>46095</v>
      </c>
      <c r="C495">
        <v>2026</v>
      </c>
      <c r="D495">
        <v>3</v>
      </c>
      <c r="E495" t="s">
        <v>60</v>
      </c>
      <c r="F495" t="s">
        <v>67</v>
      </c>
      <c r="G495" t="s">
        <v>74</v>
      </c>
      <c r="H495" t="s">
        <v>4960</v>
      </c>
      <c r="I495" t="s">
        <v>519</v>
      </c>
      <c r="J495" t="s">
        <v>16</v>
      </c>
    </row>
    <row r="496" spans="1:10">
      <c r="A496" t="s">
        <v>5455</v>
      </c>
      <c r="B496" s="2">
        <v>46095</v>
      </c>
      <c r="C496">
        <v>2026</v>
      </c>
      <c r="D496">
        <v>3</v>
      </c>
      <c r="E496" t="s">
        <v>60</v>
      </c>
      <c r="F496" t="s">
        <v>54</v>
      </c>
      <c r="G496" t="s">
        <v>69</v>
      </c>
      <c r="H496" t="s">
        <v>4960</v>
      </c>
      <c r="I496" t="s">
        <v>470</v>
      </c>
      <c r="J496" t="s">
        <v>29</v>
      </c>
    </row>
    <row r="497" spans="1:10">
      <c r="A497" t="s">
        <v>5456</v>
      </c>
      <c r="B497" s="2">
        <v>46093</v>
      </c>
      <c r="C497">
        <v>2026</v>
      </c>
      <c r="D497">
        <v>3</v>
      </c>
      <c r="E497" t="s">
        <v>60</v>
      </c>
      <c r="F497" t="s">
        <v>47</v>
      </c>
      <c r="G497" t="s">
        <v>61</v>
      </c>
      <c r="H497" t="s">
        <v>4960</v>
      </c>
      <c r="I497" t="s">
        <v>519</v>
      </c>
      <c r="J497" t="s">
        <v>36</v>
      </c>
    </row>
    <row r="498" spans="1:10">
      <c r="A498" t="s">
        <v>5457</v>
      </c>
      <c r="B498" s="2">
        <v>46116</v>
      </c>
      <c r="C498">
        <v>2026</v>
      </c>
      <c r="D498">
        <v>4</v>
      </c>
      <c r="E498" t="s">
        <v>73</v>
      </c>
      <c r="F498" t="s">
        <v>40</v>
      </c>
      <c r="G498" t="s">
        <v>55</v>
      </c>
      <c r="H498" t="s">
        <v>4960</v>
      </c>
      <c r="I498" t="s">
        <v>460</v>
      </c>
      <c r="J498" t="s">
        <v>29</v>
      </c>
    </row>
    <row r="499" spans="1:10">
      <c r="A499" t="s">
        <v>5458</v>
      </c>
      <c r="B499" s="2">
        <v>46120</v>
      </c>
      <c r="C499">
        <v>2026</v>
      </c>
      <c r="D499">
        <v>4</v>
      </c>
      <c r="E499" t="s">
        <v>73</v>
      </c>
      <c r="F499" t="s">
        <v>19</v>
      </c>
      <c r="G499" t="s">
        <v>38</v>
      </c>
      <c r="H499" t="s">
        <v>4960</v>
      </c>
      <c r="I499" t="s">
        <v>470</v>
      </c>
      <c r="J499" t="s">
        <v>9</v>
      </c>
    </row>
    <row r="500" spans="1:10">
      <c r="A500" t="s">
        <v>5459</v>
      </c>
      <c r="B500" s="2">
        <v>46114</v>
      </c>
      <c r="C500">
        <v>2026</v>
      </c>
      <c r="D500">
        <v>4</v>
      </c>
      <c r="E500" t="s">
        <v>73</v>
      </c>
      <c r="F500" t="s">
        <v>78</v>
      </c>
      <c r="G500" t="s">
        <v>94</v>
      </c>
      <c r="H500" t="s">
        <v>4960</v>
      </c>
      <c r="I500" t="s">
        <v>446</v>
      </c>
      <c r="J500" t="s">
        <v>9</v>
      </c>
    </row>
    <row r="501" spans="1:10">
      <c r="A501" t="s">
        <v>5460</v>
      </c>
      <c r="B501" s="2">
        <v>46115</v>
      </c>
      <c r="C501">
        <v>2026</v>
      </c>
      <c r="D501">
        <v>4</v>
      </c>
      <c r="E501" t="s">
        <v>73</v>
      </c>
      <c r="F501" t="s">
        <v>67</v>
      </c>
      <c r="G501" t="s">
        <v>20</v>
      </c>
      <c r="H501" t="s">
        <v>4960</v>
      </c>
      <c r="I501" t="s">
        <v>444</v>
      </c>
      <c r="J501" t="s">
        <v>16</v>
      </c>
    </row>
    <row r="502" spans="1:10">
      <c r="A502" t="s">
        <v>5461</v>
      </c>
      <c r="B502" s="2">
        <v>46132</v>
      </c>
      <c r="C502">
        <v>2026</v>
      </c>
      <c r="D502">
        <v>4</v>
      </c>
      <c r="E502" t="s">
        <v>73</v>
      </c>
      <c r="F502" t="s">
        <v>54</v>
      </c>
      <c r="G502" t="s">
        <v>64</v>
      </c>
      <c r="H502" t="s">
        <v>4960</v>
      </c>
      <c r="I502" t="s">
        <v>428</v>
      </c>
      <c r="J502" t="s">
        <v>9</v>
      </c>
    </row>
    <row r="503" spans="1:10">
      <c r="A503" t="s">
        <v>5462</v>
      </c>
      <c r="B503" s="2">
        <v>46127</v>
      </c>
      <c r="C503">
        <v>2026</v>
      </c>
      <c r="D503">
        <v>4</v>
      </c>
      <c r="E503" t="s">
        <v>73</v>
      </c>
      <c r="F503" t="s">
        <v>47</v>
      </c>
      <c r="G503" t="s">
        <v>55</v>
      </c>
      <c r="H503" t="s">
        <v>4963</v>
      </c>
      <c r="I503" t="s">
        <v>460</v>
      </c>
      <c r="J503" t="s">
        <v>16</v>
      </c>
    </row>
    <row r="504" spans="1:10">
      <c r="A504" t="s">
        <v>5463</v>
      </c>
      <c r="B504" s="2">
        <v>46123</v>
      </c>
      <c r="C504">
        <v>2026</v>
      </c>
      <c r="D504">
        <v>4</v>
      </c>
      <c r="E504" t="s">
        <v>73</v>
      </c>
      <c r="F504" t="s">
        <v>19</v>
      </c>
      <c r="G504" t="s">
        <v>27</v>
      </c>
      <c r="H504" t="s">
        <v>4960</v>
      </c>
      <c r="I504" t="s">
        <v>428</v>
      </c>
      <c r="J504" t="s">
        <v>16</v>
      </c>
    </row>
    <row r="505" spans="1:10">
      <c r="A505" t="s">
        <v>5464</v>
      </c>
      <c r="B505" s="2">
        <v>46130</v>
      </c>
      <c r="C505">
        <v>2026</v>
      </c>
      <c r="D505">
        <v>4</v>
      </c>
      <c r="E505" t="s">
        <v>73</v>
      </c>
      <c r="F505" t="s">
        <v>2</v>
      </c>
      <c r="G505" t="s">
        <v>74</v>
      </c>
      <c r="H505" t="s">
        <v>4960</v>
      </c>
      <c r="I505" t="s">
        <v>454</v>
      </c>
      <c r="J505" t="s">
        <v>36</v>
      </c>
    </row>
    <row r="506" spans="1:10">
      <c r="A506" t="s">
        <v>5465</v>
      </c>
      <c r="B506" s="2">
        <v>46137</v>
      </c>
      <c r="C506">
        <v>2026</v>
      </c>
      <c r="D506">
        <v>4</v>
      </c>
      <c r="E506" t="s">
        <v>73</v>
      </c>
      <c r="F506" t="s">
        <v>38</v>
      </c>
      <c r="G506" t="s">
        <v>69</v>
      </c>
      <c r="H506" t="s">
        <v>4960</v>
      </c>
      <c r="I506" t="s">
        <v>494</v>
      </c>
      <c r="J506" t="s">
        <v>36</v>
      </c>
    </row>
    <row r="507" spans="1:10">
      <c r="A507" t="s">
        <v>5466</v>
      </c>
      <c r="B507" s="2">
        <v>46116</v>
      </c>
      <c r="C507">
        <v>2026</v>
      </c>
      <c r="D507">
        <v>4</v>
      </c>
      <c r="E507" t="s">
        <v>73</v>
      </c>
      <c r="F507" t="s">
        <v>2</v>
      </c>
      <c r="G507" t="s">
        <v>74</v>
      </c>
      <c r="H507" t="s">
        <v>4963</v>
      </c>
      <c r="I507" t="s">
        <v>444</v>
      </c>
      <c r="J507" t="s">
        <v>9</v>
      </c>
    </row>
    <row r="508" spans="1:10">
      <c r="A508" t="s">
        <v>5467</v>
      </c>
      <c r="B508" s="2">
        <v>46120</v>
      </c>
      <c r="C508">
        <v>2026</v>
      </c>
      <c r="D508">
        <v>4</v>
      </c>
      <c r="E508" t="s">
        <v>73</v>
      </c>
      <c r="F508" t="s">
        <v>67</v>
      </c>
      <c r="G508" t="s">
        <v>94</v>
      </c>
      <c r="H508" t="s">
        <v>4960</v>
      </c>
      <c r="I508" t="s">
        <v>519</v>
      </c>
      <c r="J508" t="s">
        <v>9</v>
      </c>
    </row>
    <row r="509" spans="1:10">
      <c r="A509" t="s">
        <v>5468</v>
      </c>
      <c r="B509" s="2">
        <v>46119</v>
      </c>
      <c r="C509">
        <v>2026</v>
      </c>
      <c r="D509">
        <v>4</v>
      </c>
      <c r="E509" t="s">
        <v>73</v>
      </c>
      <c r="F509" t="s">
        <v>26</v>
      </c>
      <c r="G509" t="s">
        <v>3</v>
      </c>
      <c r="H509" t="s">
        <v>4960</v>
      </c>
      <c r="I509" t="s">
        <v>428</v>
      </c>
      <c r="J509" t="s">
        <v>29</v>
      </c>
    </row>
    <row r="510" spans="1:10">
      <c r="A510" t="s">
        <v>5469</v>
      </c>
      <c r="B510" s="2">
        <v>46137</v>
      </c>
      <c r="C510">
        <v>2026</v>
      </c>
      <c r="D510">
        <v>4</v>
      </c>
      <c r="E510" t="s">
        <v>73</v>
      </c>
      <c r="F510" t="s">
        <v>54</v>
      </c>
      <c r="G510" t="s">
        <v>27</v>
      </c>
      <c r="H510" t="s">
        <v>4960</v>
      </c>
      <c r="I510" t="s">
        <v>470</v>
      </c>
      <c r="J510" t="s">
        <v>16</v>
      </c>
    </row>
    <row r="511" spans="1:10">
      <c r="A511" t="s">
        <v>5470</v>
      </c>
      <c r="B511" s="2">
        <v>46130</v>
      </c>
      <c r="C511">
        <v>2026</v>
      </c>
      <c r="D511">
        <v>4</v>
      </c>
      <c r="E511" t="s">
        <v>73</v>
      </c>
      <c r="F511" t="s">
        <v>2</v>
      </c>
      <c r="G511" t="s">
        <v>20</v>
      </c>
      <c r="H511" t="s">
        <v>4963</v>
      </c>
      <c r="I511" t="s">
        <v>519</v>
      </c>
      <c r="J511" t="s">
        <v>29</v>
      </c>
    </row>
    <row r="512" spans="1:10">
      <c r="A512" t="s">
        <v>5471</v>
      </c>
      <c r="B512" s="2">
        <v>46137</v>
      </c>
      <c r="C512">
        <v>2026</v>
      </c>
      <c r="D512">
        <v>4</v>
      </c>
      <c r="E512" t="s">
        <v>73</v>
      </c>
      <c r="F512" t="s">
        <v>78</v>
      </c>
      <c r="G512" t="s">
        <v>64</v>
      </c>
      <c r="H512" t="s">
        <v>4960</v>
      </c>
      <c r="I512" t="s">
        <v>470</v>
      </c>
      <c r="J512" t="s">
        <v>16</v>
      </c>
    </row>
    <row r="513" spans="1:10">
      <c r="A513" t="s">
        <v>5472</v>
      </c>
      <c r="B513" s="2">
        <v>46119</v>
      </c>
      <c r="C513">
        <v>2026</v>
      </c>
      <c r="D513">
        <v>4</v>
      </c>
      <c r="E513" t="s">
        <v>73</v>
      </c>
      <c r="F513" t="s">
        <v>31</v>
      </c>
      <c r="G513" t="s">
        <v>27</v>
      </c>
      <c r="H513" t="s">
        <v>4960</v>
      </c>
      <c r="I513" t="s">
        <v>519</v>
      </c>
      <c r="J513" t="s">
        <v>9</v>
      </c>
    </row>
    <row r="514" spans="1:10">
      <c r="A514" t="s">
        <v>5473</v>
      </c>
      <c r="B514" s="2">
        <v>46120</v>
      </c>
      <c r="C514">
        <v>2026</v>
      </c>
      <c r="D514">
        <v>4</v>
      </c>
      <c r="E514" t="s">
        <v>73</v>
      </c>
      <c r="F514" t="s">
        <v>67</v>
      </c>
      <c r="G514" t="s">
        <v>94</v>
      </c>
      <c r="H514" t="s">
        <v>4963</v>
      </c>
      <c r="I514" t="s">
        <v>466</v>
      </c>
      <c r="J514" t="s">
        <v>9</v>
      </c>
    </row>
    <row r="515" spans="1:10">
      <c r="A515" t="s">
        <v>5474</v>
      </c>
      <c r="B515" s="2">
        <v>46116</v>
      </c>
      <c r="C515">
        <v>2026</v>
      </c>
      <c r="D515">
        <v>4</v>
      </c>
      <c r="E515" t="s">
        <v>73</v>
      </c>
      <c r="F515" t="s">
        <v>54</v>
      </c>
      <c r="G515" t="s">
        <v>27</v>
      </c>
      <c r="H515" t="s">
        <v>4963</v>
      </c>
      <c r="I515" t="s">
        <v>454</v>
      </c>
      <c r="J515" t="s">
        <v>29</v>
      </c>
    </row>
    <row r="516" spans="1:10">
      <c r="A516" t="s">
        <v>5475</v>
      </c>
      <c r="B516" s="2">
        <v>46115</v>
      </c>
      <c r="C516">
        <v>2026</v>
      </c>
      <c r="D516">
        <v>4</v>
      </c>
      <c r="E516" t="s">
        <v>73</v>
      </c>
      <c r="F516" t="s">
        <v>54</v>
      </c>
      <c r="G516" t="s">
        <v>69</v>
      </c>
      <c r="H516" t="s">
        <v>4960</v>
      </c>
      <c r="I516" t="s">
        <v>470</v>
      </c>
      <c r="J516" t="s">
        <v>16</v>
      </c>
    </row>
    <row r="517" spans="1:10">
      <c r="A517" t="s">
        <v>5476</v>
      </c>
      <c r="B517" s="2">
        <v>46130</v>
      </c>
      <c r="C517">
        <v>2026</v>
      </c>
      <c r="D517">
        <v>4</v>
      </c>
      <c r="E517" t="s">
        <v>73</v>
      </c>
      <c r="F517" t="s">
        <v>26</v>
      </c>
      <c r="G517" t="s">
        <v>38</v>
      </c>
      <c r="H517" t="s">
        <v>4960</v>
      </c>
      <c r="I517" t="s">
        <v>454</v>
      </c>
      <c r="J517" t="s">
        <v>36</v>
      </c>
    </row>
    <row r="518" spans="1:10">
      <c r="A518" t="s">
        <v>5477</v>
      </c>
      <c r="B518" s="2">
        <v>46133</v>
      </c>
      <c r="C518">
        <v>2026</v>
      </c>
      <c r="D518">
        <v>4</v>
      </c>
      <c r="E518" t="s">
        <v>73</v>
      </c>
      <c r="F518" t="s">
        <v>54</v>
      </c>
      <c r="G518" t="s">
        <v>32</v>
      </c>
      <c r="H518" t="s">
        <v>4960</v>
      </c>
      <c r="I518" t="s">
        <v>460</v>
      </c>
      <c r="J518" t="s">
        <v>29</v>
      </c>
    </row>
    <row r="519" spans="1:10">
      <c r="A519" t="s">
        <v>5478</v>
      </c>
      <c r="B519" s="2">
        <v>46139</v>
      </c>
      <c r="C519">
        <v>2026</v>
      </c>
      <c r="D519">
        <v>4</v>
      </c>
      <c r="E519" t="s">
        <v>73</v>
      </c>
      <c r="F519" t="s">
        <v>40</v>
      </c>
      <c r="G519" t="s">
        <v>64</v>
      </c>
      <c r="H519" t="s">
        <v>4960</v>
      </c>
      <c r="I519" t="s">
        <v>494</v>
      </c>
      <c r="J519" t="s">
        <v>29</v>
      </c>
    </row>
    <row r="520" spans="1:10">
      <c r="A520" t="s">
        <v>5479</v>
      </c>
      <c r="B520" s="2">
        <v>46125</v>
      </c>
      <c r="C520">
        <v>2026</v>
      </c>
      <c r="D520">
        <v>4</v>
      </c>
      <c r="E520" t="s">
        <v>73</v>
      </c>
      <c r="F520" t="s">
        <v>67</v>
      </c>
      <c r="G520" t="s">
        <v>61</v>
      </c>
      <c r="H520" t="s">
        <v>4960</v>
      </c>
      <c r="I520" t="s">
        <v>444</v>
      </c>
      <c r="J520" t="s">
        <v>36</v>
      </c>
    </row>
    <row r="521" spans="1:10">
      <c r="A521" t="s">
        <v>5480</v>
      </c>
      <c r="B521" s="2">
        <v>46137</v>
      </c>
      <c r="C521">
        <v>2026</v>
      </c>
      <c r="D521">
        <v>4</v>
      </c>
      <c r="E521" t="s">
        <v>73</v>
      </c>
      <c r="F521" t="s">
        <v>67</v>
      </c>
      <c r="G521" t="s">
        <v>64</v>
      </c>
      <c r="H521" t="s">
        <v>4963</v>
      </c>
      <c r="I521" t="s">
        <v>454</v>
      </c>
      <c r="J521" t="s">
        <v>36</v>
      </c>
    </row>
    <row r="522" spans="1:10">
      <c r="A522" t="s">
        <v>5481</v>
      </c>
      <c r="B522" s="2">
        <v>46125</v>
      </c>
      <c r="C522">
        <v>2026</v>
      </c>
      <c r="D522">
        <v>4</v>
      </c>
      <c r="E522" t="s">
        <v>73</v>
      </c>
      <c r="F522" t="s">
        <v>31</v>
      </c>
      <c r="G522" t="s">
        <v>61</v>
      </c>
      <c r="H522" t="s">
        <v>4960</v>
      </c>
      <c r="I522" t="s">
        <v>457</v>
      </c>
      <c r="J522" t="s">
        <v>29</v>
      </c>
    </row>
    <row r="523" spans="1:10">
      <c r="A523" t="s">
        <v>5482</v>
      </c>
      <c r="B523" s="2">
        <v>46138</v>
      </c>
      <c r="C523">
        <v>2026</v>
      </c>
      <c r="D523">
        <v>4</v>
      </c>
      <c r="E523" t="s">
        <v>73</v>
      </c>
      <c r="F523" t="s">
        <v>38</v>
      </c>
      <c r="G523" t="s">
        <v>94</v>
      </c>
      <c r="H523" t="s">
        <v>4963</v>
      </c>
      <c r="I523" t="s">
        <v>519</v>
      </c>
      <c r="J523" t="s">
        <v>29</v>
      </c>
    </row>
    <row r="524" spans="1:10">
      <c r="A524" t="s">
        <v>5483</v>
      </c>
      <c r="B524" s="2">
        <v>46146</v>
      </c>
      <c r="C524">
        <v>2026</v>
      </c>
      <c r="D524">
        <v>5</v>
      </c>
      <c r="E524" t="s">
        <v>83</v>
      </c>
      <c r="F524" t="s">
        <v>31</v>
      </c>
      <c r="G524" t="s">
        <v>48</v>
      </c>
      <c r="H524" t="s">
        <v>4963</v>
      </c>
      <c r="I524" t="s">
        <v>444</v>
      </c>
      <c r="J524" t="s">
        <v>36</v>
      </c>
    </row>
    <row r="525" spans="1:10">
      <c r="A525" t="s">
        <v>5484</v>
      </c>
      <c r="B525" s="2">
        <v>46149</v>
      </c>
      <c r="C525">
        <v>2026</v>
      </c>
      <c r="D525">
        <v>5</v>
      </c>
      <c r="E525" t="s">
        <v>83</v>
      </c>
      <c r="F525" t="s">
        <v>40</v>
      </c>
      <c r="G525" t="s">
        <v>94</v>
      </c>
      <c r="H525" t="s">
        <v>4960</v>
      </c>
      <c r="I525" t="s">
        <v>466</v>
      </c>
      <c r="J525" t="s">
        <v>9</v>
      </c>
    </row>
    <row r="526" spans="1:10">
      <c r="A526" t="s">
        <v>5485</v>
      </c>
      <c r="B526" s="2">
        <v>46152</v>
      </c>
      <c r="C526">
        <v>2026</v>
      </c>
      <c r="D526">
        <v>5</v>
      </c>
      <c r="E526" t="s">
        <v>83</v>
      </c>
      <c r="F526" t="s">
        <v>38</v>
      </c>
      <c r="G526" t="s">
        <v>32</v>
      </c>
      <c r="H526" t="s">
        <v>4960</v>
      </c>
      <c r="I526" t="s">
        <v>519</v>
      </c>
      <c r="J526" t="s">
        <v>16</v>
      </c>
    </row>
    <row r="527" spans="1:10">
      <c r="A527" t="s">
        <v>5486</v>
      </c>
      <c r="B527" s="2">
        <v>46169</v>
      </c>
      <c r="C527">
        <v>2026</v>
      </c>
      <c r="D527">
        <v>5</v>
      </c>
      <c r="E527" t="s">
        <v>83</v>
      </c>
      <c r="F527" t="s">
        <v>26</v>
      </c>
      <c r="G527" t="s">
        <v>69</v>
      </c>
      <c r="H527" t="s">
        <v>4963</v>
      </c>
      <c r="I527" t="s">
        <v>446</v>
      </c>
      <c r="J527" t="s">
        <v>36</v>
      </c>
    </row>
    <row r="528" spans="1:10">
      <c r="A528" t="s">
        <v>5487</v>
      </c>
      <c r="B528" s="2">
        <v>46154</v>
      </c>
      <c r="C528">
        <v>2026</v>
      </c>
      <c r="D528">
        <v>5</v>
      </c>
      <c r="E528" t="s">
        <v>83</v>
      </c>
      <c r="F528" t="s">
        <v>19</v>
      </c>
      <c r="G528" t="s">
        <v>27</v>
      </c>
      <c r="H528" t="s">
        <v>4960</v>
      </c>
      <c r="I528" t="s">
        <v>446</v>
      </c>
      <c r="J528" t="s">
        <v>29</v>
      </c>
    </row>
    <row r="529" spans="1:10">
      <c r="A529" t="s">
        <v>5488</v>
      </c>
      <c r="B529" s="2">
        <v>46153</v>
      </c>
      <c r="C529">
        <v>2026</v>
      </c>
      <c r="D529">
        <v>5</v>
      </c>
      <c r="E529" t="s">
        <v>83</v>
      </c>
      <c r="F529" t="s">
        <v>38</v>
      </c>
      <c r="G529" t="s">
        <v>94</v>
      </c>
      <c r="H529" t="s">
        <v>4960</v>
      </c>
      <c r="I529" t="s">
        <v>470</v>
      </c>
      <c r="J529" t="s">
        <v>36</v>
      </c>
    </row>
    <row r="530" spans="1:10">
      <c r="A530" t="s">
        <v>5489</v>
      </c>
      <c r="B530" s="2">
        <v>46143</v>
      </c>
      <c r="C530">
        <v>2026</v>
      </c>
      <c r="D530">
        <v>5</v>
      </c>
      <c r="E530" t="s">
        <v>83</v>
      </c>
      <c r="F530" t="s">
        <v>31</v>
      </c>
      <c r="G530" t="s">
        <v>3</v>
      </c>
      <c r="H530" t="s">
        <v>4963</v>
      </c>
      <c r="I530" t="s">
        <v>494</v>
      </c>
      <c r="J530" t="s">
        <v>16</v>
      </c>
    </row>
    <row r="531" spans="1:10">
      <c r="A531" t="s">
        <v>5490</v>
      </c>
      <c r="B531" s="2">
        <v>46153</v>
      </c>
      <c r="C531">
        <v>2026</v>
      </c>
      <c r="D531">
        <v>5</v>
      </c>
      <c r="E531" t="s">
        <v>83</v>
      </c>
      <c r="F531" t="s">
        <v>26</v>
      </c>
      <c r="G531" t="s">
        <v>61</v>
      </c>
      <c r="H531" t="s">
        <v>4960</v>
      </c>
      <c r="I531" t="s">
        <v>446</v>
      </c>
      <c r="J531" t="s">
        <v>16</v>
      </c>
    </row>
    <row r="532" spans="1:10">
      <c r="A532" t="s">
        <v>5491</v>
      </c>
      <c r="B532" s="2">
        <v>46155</v>
      </c>
      <c r="C532">
        <v>2026</v>
      </c>
      <c r="D532">
        <v>5</v>
      </c>
      <c r="E532" t="s">
        <v>83</v>
      </c>
      <c r="F532" t="s">
        <v>31</v>
      </c>
      <c r="G532" t="s">
        <v>94</v>
      </c>
      <c r="H532" t="s">
        <v>4963</v>
      </c>
      <c r="I532" t="s">
        <v>454</v>
      </c>
      <c r="J532" t="s">
        <v>9</v>
      </c>
    </row>
    <row r="533" spans="1:10">
      <c r="A533" t="s">
        <v>5492</v>
      </c>
      <c r="B533" s="2">
        <v>46169</v>
      </c>
      <c r="C533">
        <v>2026</v>
      </c>
      <c r="D533">
        <v>5</v>
      </c>
      <c r="E533" t="s">
        <v>83</v>
      </c>
      <c r="F533" t="s">
        <v>19</v>
      </c>
      <c r="G533" t="s">
        <v>27</v>
      </c>
      <c r="H533" t="s">
        <v>4960</v>
      </c>
      <c r="I533" t="s">
        <v>494</v>
      </c>
      <c r="J533" t="s">
        <v>29</v>
      </c>
    </row>
    <row r="534" spans="1:10">
      <c r="A534" t="s">
        <v>5493</v>
      </c>
      <c r="B534" s="2">
        <v>46163</v>
      </c>
      <c r="C534">
        <v>2026</v>
      </c>
      <c r="D534">
        <v>5</v>
      </c>
      <c r="E534" t="s">
        <v>83</v>
      </c>
      <c r="F534" t="s">
        <v>47</v>
      </c>
      <c r="G534" t="s">
        <v>94</v>
      </c>
      <c r="H534" t="s">
        <v>4960</v>
      </c>
      <c r="I534" t="s">
        <v>466</v>
      </c>
      <c r="J534" t="s">
        <v>29</v>
      </c>
    </row>
    <row r="535" spans="1:10">
      <c r="A535" t="s">
        <v>5494</v>
      </c>
      <c r="B535" s="2">
        <v>46161</v>
      </c>
      <c r="C535">
        <v>2026</v>
      </c>
      <c r="D535">
        <v>5</v>
      </c>
      <c r="E535" t="s">
        <v>83</v>
      </c>
      <c r="F535" t="s">
        <v>40</v>
      </c>
      <c r="G535" t="s">
        <v>74</v>
      </c>
      <c r="H535" t="s">
        <v>4963</v>
      </c>
      <c r="I535" t="s">
        <v>457</v>
      </c>
      <c r="J535" t="s">
        <v>9</v>
      </c>
    </row>
    <row r="536" spans="1:10">
      <c r="A536" t="s">
        <v>5495</v>
      </c>
      <c r="B536" s="2">
        <v>46161</v>
      </c>
      <c r="C536">
        <v>2026</v>
      </c>
      <c r="D536">
        <v>5</v>
      </c>
      <c r="E536" t="s">
        <v>83</v>
      </c>
      <c r="F536" t="s">
        <v>40</v>
      </c>
      <c r="G536" t="s">
        <v>55</v>
      </c>
      <c r="H536" t="s">
        <v>4963</v>
      </c>
      <c r="I536" t="s">
        <v>460</v>
      </c>
      <c r="J536" t="s">
        <v>9</v>
      </c>
    </row>
    <row r="537" spans="1:10">
      <c r="A537" t="s">
        <v>5496</v>
      </c>
      <c r="B537" s="2">
        <v>46143</v>
      </c>
      <c r="C537">
        <v>2026</v>
      </c>
      <c r="D537">
        <v>5</v>
      </c>
      <c r="E537" t="s">
        <v>83</v>
      </c>
      <c r="F537" t="s">
        <v>78</v>
      </c>
      <c r="G537" t="s">
        <v>48</v>
      </c>
      <c r="H537" t="s">
        <v>4960</v>
      </c>
      <c r="I537" t="s">
        <v>444</v>
      </c>
      <c r="J537" t="s">
        <v>9</v>
      </c>
    </row>
    <row r="538" spans="1:10">
      <c r="A538" t="s">
        <v>5497</v>
      </c>
      <c r="B538" s="2">
        <v>46143</v>
      </c>
      <c r="C538">
        <v>2026</v>
      </c>
      <c r="D538">
        <v>5</v>
      </c>
      <c r="E538" t="s">
        <v>83</v>
      </c>
      <c r="F538" t="s">
        <v>2</v>
      </c>
      <c r="G538" t="s">
        <v>55</v>
      </c>
      <c r="H538" t="s">
        <v>4960</v>
      </c>
      <c r="I538" t="s">
        <v>428</v>
      </c>
      <c r="J538" t="s">
        <v>9</v>
      </c>
    </row>
    <row r="539" spans="1:10">
      <c r="A539" t="s">
        <v>5498</v>
      </c>
      <c r="B539" s="2">
        <v>46161</v>
      </c>
      <c r="C539">
        <v>2026</v>
      </c>
      <c r="D539">
        <v>5</v>
      </c>
      <c r="E539" t="s">
        <v>83</v>
      </c>
      <c r="F539" t="s">
        <v>26</v>
      </c>
      <c r="G539" t="s">
        <v>55</v>
      </c>
      <c r="H539" t="s">
        <v>4960</v>
      </c>
      <c r="I539" t="s">
        <v>446</v>
      </c>
      <c r="J539" t="s">
        <v>36</v>
      </c>
    </row>
    <row r="540" spans="1:10">
      <c r="A540" t="s">
        <v>5499</v>
      </c>
      <c r="B540" s="2">
        <v>46148</v>
      </c>
      <c r="C540">
        <v>2026</v>
      </c>
      <c r="D540">
        <v>5</v>
      </c>
      <c r="E540" t="s">
        <v>83</v>
      </c>
      <c r="F540" t="s">
        <v>54</v>
      </c>
      <c r="G540" t="s">
        <v>61</v>
      </c>
      <c r="H540" t="s">
        <v>4960</v>
      </c>
      <c r="I540" t="s">
        <v>519</v>
      </c>
      <c r="J540" t="s">
        <v>16</v>
      </c>
    </row>
    <row r="541" spans="1:10">
      <c r="A541" t="s">
        <v>5500</v>
      </c>
      <c r="B541" s="2">
        <v>46166</v>
      </c>
      <c r="C541">
        <v>2026</v>
      </c>
      <c r="D541">
        <v>5</v>
      </c>
      <c r="E541" t="s">
        <v>83</v>
      </c>
      <c r="F541" t="s">
        <v>67</v>
      </c>
      <c r="G541" t="s">
        <v>32</v>
      </c>
      <c r="H541" t="s">
        <v>4960</v>
      </c>
      <c r="I541" t="s">
        <v>444</v>
      </c>
      <c r="J541" t="s">
        <v>29</v>
      </c>
    </row>
    <row r="542" spans="1:10">
      <c r="A542" t="s">
        <v>5501</v>
      </c>
      <c r="B542" s="2">
        <v>46169</v>
      </c>
      <c r="C542">
        <v>2026</v>
      </c>
      <c r="D542">
        <v>5</v>
      </c>
      <c r="E542" t="s">
        <v>83</v>
      </c>
      <c r="F542" t="s">
        <v>47</v>
      </c>
      <c r="G542" t="s">
        <v>27</v>
      </c>
      <c r="H542" t="s">
        <v>4960</v>
      </c>
      <c r="I542" t="s">
        <v>494</v>
      </c>
      <c r="J542" t="s">
        <v>36</v>
      </c>
    </row>
    <row r="543" spans="1:10">
      <c r="A543" t="s">
        <v>5502</v>
      </c>
      <c r="B543" s="2">
        <v>46157</v>
      </c>
      <c r="C543">
        <v>2026</v>
      </c>
      <c r="D543">
        <v>5</v>
      </c>
      <c r="E543" t="s">
        <v>83</v>
      </c>
      <c r="F543" t="s">
        <v>38</v>
      </c>
      <c r="G543" t="s">
        <v>48</v>
      </c>
      <c r="H543" t="s">
        <v>4963</v>
      </c>
      <c r="I543" t="s">
        <v>466</v>
      </c>
      <c r="J543" t="s">
        <v>36</v>
      </c>
    </row>
    <row r="544" spans="1:10">
      <c r="A544" t="s">
        <v>5503</v>
      </c>
      <c r="B544" s="2">
        <v>46157</v>
      </c>
      <c r="C544">
        <v>2026</v>
      </c>
      <c r="D544">
        <v>5</v>
      </c>
      <c r="E544" t="s">
        <v>83</v>
      </c>
      <c r="F544" t="s">
        <v>2</v>
      </c>
      <c r="G544" t="s">
        <v>69</v>
      </c>
      <c r="H544" t="s">
        <v>4960</v>
      </c>
      <c r="I544" t="s">
        <v>444</v>
      </c>
      <c r="J544" t="s">
        <v>36</v>
      </c>
    </row>
    <row r="545" spans="1:10">
      <c r="A545" t="s">
        <v>5504</v>
      </c>
      <c r="B545" s="2">
        <v>46170</v>
      </c>
      <c r="C545">
        <v>2026</v>
      </c>
      <c r="D545">
        <v>5</v>
      </c>
      <c r="E545" t="s">
        <v>83</v>
      </c>
      <c r="F545" t="s">
        <v>26</v>
      </c>
      <c r="G545" t="s">
        <v>3</v>
      </c>
      <c r="H545" t="s">
        <v>4963</v>
      </c>
      <c r="I545" t="s">
        <v>446</v>
      </c>
      <c r="J545" t="s">
        <v>29</v>
      </c>
    </row>
    <row r="546" spans="1:10">
      <c r="A546" t="s">
        <v>5505</v>
      </c>
      <c r="B546" s="2">
        <v>46185</v>
      </c>
      <c r="C546">
        <v>2026</v>
      </c>
      <c r="D546">
        <v>6</v>
      </c>
      <c r="E546" t="s">
        <v>87</v>
      </c>
      <c r="F546" t="s">
        <v>67</v>
      </c>
      <c r="G546" t="s">
        <v>20</v>
      </c>
      <c r="H546" t="s">
        <v>4960</v>
      </c>
      <c r="I546" t="s">
        <v>457</v>
      </c>
      <c r="J546" t="s">
        <v>29</v>
      </c>
    </row>
    <row r="547" spans="1:10">
      <c r="A547" t="s">
        <v>5506</v>
      </c>
      <c r="B547" s="2">
        <v>46183</v>
      </c>
      <c r="C547">
        <v>2026</v>
      </c>
      <c r="D547">
        <v>6</v>
      </c>
      <c r="E547" t="s">
        <v>87</v>
      </c>
      <c r="F547" t="s">
        <v>19</v>
      </c>
      <c r="G547" t="s">
        <v>74</v>
      </c>
      <c r="H547" t="s">
        <v>4963</v>
      </c>
      <c r="I547" t="s">
        <v>460</v>
      </c>
      <c r="J547" t="s">
        <v>16</v>
      </c>
    </row>
    <row r="548" spans="1:10">
      <c r="A548" t="s">
        <v>5507</v>
      </c>
      <c r="B548" s="2">
        <v>46182</v>
      </c>
      <c r="C548">
        <v>2026</v>
      </c>
      <c r="D548">
        <v>6</v>
      </c>
      <c r="E548" t="s">
        <v>87</v>
      </c>
      <c r="F548" t="s">
        <v>2</v>
      </c>
      <c r="G548" t="s">
        <v>48</v>
      </c>
      <c r="H548" t="s">
        <v>4960</v>
      </c>
      <c r="I548" t="s">
        <v>460</v>
      </c>
      <c r="J548" t="s">
        <v>16</v>
      </c>
    </row>
    <row r="549" spans="1:10">
      <c r="A549" t="s">
        <v>5508</v>
      </c>
      <c r="B549" s="2">
        <v>46188</v>
      </c>
      <c r="C549">
        <v>2026</v>
      </c>
      <c r="D549">
        <v>6</v>
      </c>
      <c r="E549" t="s">
        <v>87</v>
      </c>
      <c r="F549" t="s">
        <v>2</v>
      </c>
      <c r="G549" t="s">
        <v>48</v>
      </c>
      <c r="H549" t="s">
        <v>4960</v>
      </c>
      <c r="I549" t="s">
        <v>454</v>
      </c>
      <c r="J549" t="s">
        <v>9</v>
      </c>
    </row>
    <row r="550" spans="1:10">
      <c r="A550" t="s">
        <v>5509</v>
      </c>
      <c r="B550" s="2">
        <v>46185</v>
      </c>
      <c r="C550">
        <v>2026</v>
      </c>
      <c r="D550">
        <v>6</v>
      </c>
      <c r="E550" t="s">
        <v>87</v>
      </c>
      <c r="F550" t="s">
        <v>38</v>
      </c>
      <c r="G550" t="s">
        <v>48</v>
      </c>
      <c r="H550" t="s">
        <v>4963</v>
      </c>
      <c r="I550" t="s">
        <v>519</v>
      </c>
      <c r="J550" t="s">
        <v>29</v>
      </c>
    </row>
    <row r="551" spans="1:10">
      <c r="A551" t="s">
        <v>5510</v>
      </c>
      <c r="B551" s="2">
        <v>46184</v>
      </c>
      <c r="C551">
        <v>2026</v>
      </c>
      <c r="D551">
        <v>6</v>
      </c>
      <c r="E551" t="s">
        <v>87</v>
      </c>
      <c r="F551" t="s">
        <v>67</v>
      </c>
      <c r="G551" t="s">
        <v>61</v>
      </c>
      <c r="H551" t="s">
        <v>4963</v>
      </c>
      <c r="I551" t="s">
        <v>457</v>
      </c>
      <c r="J551" t="s">
        <v>29</v>
      </c>
    </row>
    <row r="552" spans="1:10">
      <c r="A552" t="s">
        <v>5511</v>
      </c>
      <c r="B552" s="2">
        <v>46199</v>
      </c>
      <c r="C552">
        <v>2026</v>
      </c>
      <c r="D552">
        <v>6</v>
      </c>
      <c r="E552" t="s">
        <v>87</v>
      </c>
      <c r="F552" t="s">
        <v>2</v>
      </c>
      <c r="G552" t="s">
        <v>32</v>
      </c>
      <c r="H552" t="s">
        <v>4960</v>
      </c>
      <c r="I552" t="s">
        <v>460</v>
      </c>
      <c r="J552" t="s">
        <v>16</v>
      </c>
    </row>
    <row r="553" spans="1:10">
      <c r="A553" t="s">
        <v>5512</v>
      </c>
      <c r="B553" s="2">
        <v>46189</v>
      </c>
      <c r="C553">
        <v>2026</v>
      </c>
      <c r="D553">
        <v>6</v>
      </c>
      <c r="E553" t="s">
        <v>87</v>
      </c>
      <c r="F553" t="s">
        <v>38</v>
      </c>
      <c r="G553" t="s">
        <v>94</v>
      </c>
      <c r="H553" t="s">
        <v>4960</v>
      </c>
      <c r="I553" t="s">
        <v>446</v>
      </c>
      <c r="J553" t="s">
        <v>36</v>
      </c>
    </row>
    <row r="554" spans="1:10">
      <c r="A554" t="s">
        <v>5513</v>
      </c>
      <c r="B554" s="2">
        <v>46200</v>
      </c>
      <c r="C554">
        <v>2026</v>
      </c>
      <c r="D554">
        <v>6</v>
      </c>
      <c r="E554" t="s">
        <v>87</v>
      </c>
      <c r="F554" t="s">
        <v>40</v>
      </c>
      <c r="G554" t="s">
        <v>55</v>
      </c>
      <c r="H554" t="s">
        <v>4960</v>
      </c>
      <c r="I554" t="s">
        <v>428</v>
      </c>
      <c r="J554" t="s">
        <v>36</v>
      </c>
    </row>
    <row r="555" spans="1:10">
      <c r="A555" t="s">
        <v>5514</v>
      </c>
      <c r="B555" s="2">
        <v>46178</v>
      </c>
      <c r="C555">
        <v>2026</v>
      </c>
      <c r="D555">
        <v>6</v>
      </c>
      <c r="E555" t="s">
        <v>87</v>
      </c>
      <c r="F555" t="s">
        <v>78</v>
      </c>
      <c r="G555" t="s">
        <v>27</v>
      </c>
      <c r="H555" t="s">
        <v>4960</v>
      </c>
      <c r="I555" t="s">
        <v>466</v>
      </c>
      <c r="J555" t="s">
        <v>16</v>
      </c>
    </row>
    <row r="556" spans="1:10">
      <c r="A556" t="s">
        <v>5515</v>
      </c>
      <c r="B556" s="2">
        <v>46195</v>
      </c>
      <c r="C556">
        <v>2026</v>
      </c>
      <c r="D556">
        <v>6</v>
      </c>
      <c r="E556" t="s">
        <v>87</v>
      </c>
      <c r="F556" t="s">
        <v>47</v>
      </c>
      <c r="G556" t="s">
        <v>94</v>
      </c>
      <c r="H556" t="s">
        <v>4960</v>
      </c>
      <c r="I556" t="s">
        <v>466</v>
      </c>
      <c r="J556" t="s">
        <v>36</v>
      </c>
    </row>
    <row r="557" spans="1:10">
      <c r="A557" t="s">
        <v>5516</v>
      </c>
      <c r="B557" s="2">
        <v>46177</v>
      </c>
      <c r="C557">
        <v>2026</v>
      </c>
      <c r="D557">
        <v>6</v>
      </c>
      <c r="E557" t="s">
        <v>87</v>
      </c>
      <c r="F557" t="s">
        <v>40</v>
      </c>
      <c r="G557" t="s">
        <v>61</v>
      </c>
      <c r="H557" t="s">
        <v>4960</v>
      </c>
      <c r="I557" t="s">
        <v>494</v>
      </c>
      <c r="J557" t="s">
        <v>36</v>
      </c>
    </row>
    <row r="558" spans="1:10">
      <c r="A558" t="s">
        <v>5517</v>
      </c>
      <c r="B558" s="2">
        <v>46192</v>
      </c>
      <c r="C558">
        <v>2026</v>
      </c>
      <c r="D558">
        <v>6</v>
      </c>
      <c r="E558" t="s">
        <v>87</v>
      </c>
      <c r="F558" t="s">
        <v>31</v>
      </c>
      <c r="G558" t="s">
        <v>38</v>
      </c>
      <c r="H558" t="s">
        <v>4960</v>
      </c>
      <c r="I558" t="s">
        <v>428</v>
      </c>
      <c r="J558" t="s">
        <v>36</v>
      </c>
    </row>
    <row r="559" spans="1:10">
      <c r="A559" t="s">
        <v>5518</v>
      </c>
      <c r="B559" s="2">
        <v>46179</v>
      </c>
      <c r="C559">
        <v>2026</v>
      </c>
      <c r="D559">
        <v>6</v>
      </c>
      <c r="E559" t="s">
        <v>87</v>
      </c>
      <c r="F559" t="s">
        <v>67</v>
      </c>
      <c r="G559" t="s">
        <v>64</v>
      </c>
      <c r="H559" t="s">
        <v>4960</v>
      </c>
      <c r="I559" t="s">
        <v>460</v>
      </c>
      <c r="J559" t="s">
        <v>36</v>
      </c>
    </row>
  </sheetData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</sheetPr>
  <dimension ref="A1:K18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7" width="22.7109375" customWidth="1"/>
    <col min="8" max="8" width="11.7109375" customWidth="1"/>
    <col min="9" max="9" width="15.7109375" customWidth="1"/>
  </cols>
  <sheetData>
    <row r="1" spans="1:11">
      <c r="A1" t="s">
        <v>5546</v>
      </c>
      <c r="B1" t="s">
        <v>187</v>
      </c>
      <c r="C1" t="s">
        <v>188</v>
      </c>
      <c r="D1" t="s">
        <v>189</v>
      </c>
      <c r="E1" t="s">
        <v>190</v>
      </c>
      <c r="F1" t="s">
        <v>5547</v>
      </c>
      <c r="G1" t="s">
        <v>5548</v>
      </c>
      <c r="H1" t="s">
        <v>5549</v>
      </c>
      <c r="I1" t="s">
        <v>5550</v>
      </c>
      <c r="K1" s="1" t="s">
        <v>203</v>
      </c>
    </row>
    <row r="2" spans="1:11">
      <c r="A2" t="s">
        <v>5522</v>
      </c>
      <c r="B2" s="2">
        <v>45364</v>
      </c>
      <c r="C2">
        <v>2024</v>
      </c>
      <c r="D2">
        <v>3</v>
      </c>
      <c r="E2" t="s">
        <v>60</v>
      </c>
      <c r="F2" t="s">
        <v>5523</v>
      </c>
      <c r="G2">
        <v>4</v>
      </c>
      <c r="H2" t="s">
        <v>5524</v>
      </c>
      <c r="I2">
        <v>179</v>
      </c>
    </row>
    <row r="3" spans="1:11">
      <c r="A3" t="s">
        <v>5525</v>
      </c>
      <c r="B3" s="2">
        <v>45388</v>
      </c>
      <c r="C3">
        <v>2024</v>
      </c>
      <c r="D3">
        <v>4</v>
      </c>
      <c r="E3" t="s">
        <v>73</v>
      </c>
      <c r="F3" t="s">
        <v>5526</v>
      </c>
      <c r="G3">
        <v>3</v>
      </c>
      <c r="H3" t="s">
        <v>5527</v>
      </c>
      <c r="I3">
        <v>153</v>
      </c>
    </row>
    <row r="4" spans="1:11">
      <c r="A4" t="s">
        <v>5528</v>
      </c>
      <c r="B4" s="2">
        <v>45421</v>
      </c>
      <c r="C4">
        <v>2024</v>
      </c>
      <c r="D4">
        <v>5</v>
      </c>
      <c r="E4" t="s">
        <v>83</v>
      </c>
      <c r="F4" t="s">
        <v>5523</v>
      </c>
      <c r="G4">
        <v>12</v>
      </c>
      <c r="H4" t="s">
        <v>5529</v>
      </c>
      <c r="I4">
        <v>32</v>
      </c>
    </row>
    <row r="5" spans="1:11">
      <c r="A5" t="s">
        <v>5530</v>
      </c>
      <c r="B5" s="2">
        <v>45457</v>
      </c>
      <c r="C5">
        <v>2024</v>
      </c>
      <c r="D5">
        <v>6</v>
      </c>
      <c r="E5" t="s">
        <v>87</v>
      </c>
      <c r="F5" t="s">
        <v>5531</v>
      </c>
      <c r="G5">
        <v>3</v>
      </c>
      <c r="H5" t="s">
        <v>5524</v>
      </c>
      <c r="I5">
        <v>124</v>
      </c>
    </row>
    <row r="6" spans="1:11">
      <c r="A6" t="s">
        <v>5532</v>
      </c>
      <c r="B6" s="2">
        <v>45511</v>
      </c>
      <c r="C6">
        <v>2024</v>
      </c>
      <c r="D6">
        <v>8</v>
      </c>
      <c r="E6" t="s">
        <v>101</v>
      </c>
      <c r="F6" t="s">
        <v>5526</v>
      </c>
      <c r="G6">
        <v>11</v>
      </c>
      <c r="H6" t="s">
        <v>5527</v>
      </c>
      <c r="I6">
        <v>53</v>
      </c>
    </row>
    <row r="7" spans="1:11">
      <c r="A7" t="s">
        <v>5533</v>
      </c>
      <c r="B7" s="2">
        <v>45577</v>
      </c>
      <c r="C7">
        <v>2024</v>
      </c>
      <c r="D7">
        <v>10</v>
      </c>
      <c r="E7" t="s">
        <v>113</v>
      </c>
      <c r="F7" t="s">
        <v>5523</v>
      </c>
      <c r="G7">
        <v>10</v>
      </c>
      <c r="H7" t="s">
        <v>5529</v>
      </c>
      <c r="I7">
        <v>35</v>
      </c>
    </row>
    <row r="8" spans="1:11">
      <c r="A8" t="s">
        <v>5534</v>
      </c>
      <c r="B8" s="2">
        <v>45700</v>
      </c>
      <c r="C8">
        <v>2025</v>
      </c>
      <c r="D8">
        <v>2</v>
      </c>
      <c r="E8" t="s">
        <v>25</v>
      </c>
      <c r="F8" t="s">
        <v>5526</v>
      </c>
      <c r="G8">
        <v>4</v>
      </c>
      <c r="H8" t="s">
        <v>5524</v>
      </c>
      <c r="I8">
        <v>72</v>
      </c>
    </row>
    <row r="9" spans="1:11">
      <c r="A9" t="s">
        <v>5535</v>
      </c>
      <c r="B9" s="2">
        <v>45735</v>
      </c>
      <c r="C9">
        <v>2025</v>
      </c>
      <c r="D9">
        <v>3</v>
      </c>
      <c r="E9" t="s">
        <v>60</v>
      </c>
      <c r="F9" t="s">
        <v>5531</v>
      </c>
      <c r="G9">
        <v>8</v>
      </c>
      <c r="H9" t="s">
        <v>5527</v>
      </c>
      <c r="I9">
        <v>135</v>
      </c>
    </row>
    <row r="10" spans="1:11">
      <c r="A10" t="s">
        <v>5536</v>
      </c>
      <c r="B10" s="2">
        <v>45778</v>
      </c>
      <c r="C10">
        <v>2025</v>
      </c>
      <c r="D10">
        <v>5</v>
      </c>
      <c r="E10" t="s">
        <v>83</v>
      </c>
      <c r="F10" t="s">
        <v>5531</v>
      </c>
      <c r="G10">
        <v>10</v>
      </c>
      <c r="H10" t="s">
        <v>5527</v>
      </c>
      <c r="I10">
        <v>115</v>
      </c>
    </row>
    <row r="11" spans="1:11">
      <c r="A11" t="s">
        <v>5537</v>
      </c>
      <c r="B11" s="2">
        <v>45812</v>
      </c>
      <c r="C11">
        <v>2025</v>
      </c>
      <c r="D11">
        <v>6</v>
      </c>
      <c r="E11" t="s">
        <v>87</v>
      </c>
      <c r="F11" t="s">
        <v>5538</v>
      </c>
      <c r="G11">
        <v>5</v>
      </c>
      <c r="H11" t="s">
        <v>5529</v>
      </c>
      <c r="I11">
        <v>64</v>
      </c>
    </row>
    <row r="12" spans="1:11">
      <c r="A12" t="s">
        <v>5539</v>
      </c>
      <c r="B12" s="2">
        <v>45917</v>
      </c>
      <c r="C12">
        <v>2025</v>
      </c>
      <c r="D12">
        <v>9</v>
      </c>
      <c r="E12" t="s">
        <v>105</v>
      </c>
      <c r="F12" t="s">
        <v>5531</v>
      </c>
      <c r="G12">
        <v>10</v>
      </c>
      <c r="H12" t="s">
        <v>5524</v>
      </c>
      <c r="I12">
        <v>39</v>
      </c>
    </row>
    <row r="13" spans="1:11">
      <c r="A13" t="s">
        <v>5540</v>
      </c>
      <c r="B13" s="2">
        <v>45968</v>
      </c>
      <c r="C13">
        <v>2025</v>
      </c>
      <c r="D13">
        <v>11</v>
      </c>
      <c r="E13" t="s">
        <v>117</v>
      </c>
      <c r="F13" t="s">
        <v>5523</v>
      </c>
      <c r="G13">
        <v>4</v>
      </c>
      <c r="H13" t="s">
        <v>5524</v>
      </c>
      <c r="I13">
        <v>58</v>
      </c>
    </row>
    <row r="14" spans="1:11">
      <c r="A14" t="s">
        <v>5541</v>
      </c>
      <c r="B14" s="2">
        <v>46049</v>
      </c>
      <c r="C14">
        <v>2026</v>
      </c>
      <c r="D14">
        <v>1</v>
      </c>
      <c r="E14" t="s">
        <v>1</v>
      </c>
      <c r="F14" t="s">
        <v>5538</v>
      </c>
      <c r="G14">
        <v>4</v>
      </c>
      <c r="H14" t="s">
        <v>5527</v>
      </c>
      <c r="I14">
        <v>130</v>
      </c>
    </row>
    <row r="15" spans="1:11">
      <c r="A15" t="s">
        <v>5542</v>
      </c>
      <c r="B15" s="2">
        <v>46105</v>
      </c>
      <c r="C15">
        <v>2026</v>
      </c>
      <c r="D15">
        <v>3</v>
      </c>
      <c r="E15" t="s">
        <v>60</v>
      </c>
      <c r="F15" t="s">
        <v>5538</v>
      </c>
      <c r="G15">
        <v>10</v>
      </c>
      <c r="H15" t="s">
        <v>5529</v>
      </c>
      <c r="I15">
        <v>20</v>
      </c>
    </row>
    <row r="16" spans="1:11">
      <c r="A16" t="s">
        <v>5543</v>
      </c>
      <c r="B16" s="2">
        <v>46121</v>
      </c>
      <c r="C16">
        <v>2026</v>
      </c>
      <c r="D16">
        <v>4</v>
      </c>
      <c r="E16" t="s">
        <v>73</v>
      </c>
      <c r="F16" t="s">
        <v>5538</v>
      </c>
      <c r="G16">
        <v>5</v>
      </c>
      <c r="H16" t="s">
        <v>5527</v>
      </c>
      <c r="I16">
        <v>100</v>
      </c>
    </row>
    <row r="17" spans="1:9">
      <c r="A17" t="s">
        <v>5544</v>
      </c>
      <c r="B17" s="2">
        <v>46147</v>
      </c>
      <c r="C17">
        <v>2026</v>
      </c>
      <c r="D17">
        <v>5</v>
      </c>
      <c r="E17" t="s">
        <v>83</v>
      </c>
      <c r="F17" t="s">
        <v>5523</v>
      </c>
      <c r="G17">
        <v>7</v>
      </c>
      <c r="H17" t="s">
        <v>5529</v>
      </c>
      <c r="I17">
        <v>174</v>
      </c>
    </row>
    <row r="18" spans="1:9">
      <c r="A18" t="s">
        <v>5545</v>
      </c>
      <c r="B18" s="2">
        <v>46186</v>
      </c>
      <c r="C18">
        <v>2026</v>
      </c>
      <c r="D18">
        <v>6</v>
      </c>
      <c r="E18" t="s">
        <v>87</v>
      </c>
      <c r="F18" t="s">
        <v>5523</v>
      </c>
      <c r="G18">
        <v>3</v>
      </c>
      <c r="H18" t="s">
        <v>5524</v>
      </c>
      <c r="I18">
        <v>113</v>
      </c>
    </row>
  </sheetData>
  <hyperlinks>
    <hyperlink ref="K1" location="'Home'!A1" display="Home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</sheetPr>
  <dimension ref="A1:K242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5" width="13.7109375" customWidth="1"/>
    <col min="6" max="6" width="12.7109375" customWidth="1"/>
    <col min="7" max="7" width="11.7109375" customWidth="1"/>
    <col min="8" max="8" width="12.7109375" customWidth="1"/>
    <col min="9" max="9" width="11.7109375" customWidth="1"/>
  </cols>
  <sheetData>
    <row r="1" spans="1:11">
      <c r="A1" t="s">
        <v>5801</v>
      </c>
      <c r="B1" t="s">
        <v>187</v>
      </c>
      <c r="C1" t="s">
        <v>188</v>
      </c>
      <c r="D1" t="s">
        <v>189</v>
      </c>
      <c r="E1" t="s">
        <v>190</v>
      </c>
      <c r="F1" t="s">
        <v>5802</v>
      </c>
      <c r="G1" t="s">
        <v>192</v>
      </c>
      <c r="H1" t="s">
        <v>5803</v>
      </c>
      <c r="I1" t="s">
        <v>201</v>
      </c>
      <c r="K1" s="1" t="s">
        <v>203</v>
      </c>
    </row>
    <row r="2" spans="1:11">
      <c r="A2" t="s">
        <v>5551</v>
      </c>
      <c r="B2" s="2">
        <v>45319</v>
      </c>
      <c r="C2">
        <v>2024</v>
      </c>
      <c r="D2">
        <v>1</v>
      </c>
      <c r="E2" t="s">
        <v>1</v>
      </c>
      <c r="F2" t="s">
        <v>5552</v>
      </c>
      <c r="G2" t="s">
        <v>48</v>
      </c>
      <c r="H2" t="s">
        <v>5553</v>
      </c>
      <c r="I2" t="s">
        <v>10</v>
      </c>
    </row>
    <row r="3" spans="1:11">
      <c r="A3" t="s">
        <v>5554</v>
      </c>
      <c r="B3" s="2">
        <v>45298</v>
      </c>
      <c r="C3">
        <v>2024</v>
      </c>
      <c r="D3">
        <v>1</v>
      </c>
      <c r="E3" t="s">
        <v>1</v>
      </c>
      <c r="F3" t="s">
        <v>5555</v>
      </c>
      <c r="G3" t="s">
        <v>27</v>
      </c>
      <c r="H3" t="s">
        <v>5553</v>
      </c>
      <c r="I3" t="s">
        <v>10</v>
      </c>
    </row>
    <row r="4" spans="1:11">
      <c r="A4" t="s">
        <v>5556</v>
      </c>
      <c r="B4" s="2">
        <v>45319</v>
      </c>
      <c r="C4">
        <v>2024</v>
      </c>
      <c r="D4">
        <v>1</v>
      </c>
      <c r="E4" t="s">
        <v>1</v>
      </c>
      <c r="F4" t="s">
        <v>5557</v>
      </c>
      <c r="G4" t="s">
        <v>55</v>
      </c>
      <c r="H4" t="s">
        <v>5553</v>
      </c>
      <c r="I4" t="s">
        <v>10</v>
      </c>
    </row>
    <row r="5" spans="1:11">
      <c r="A5" t="s">
        <v>5558</v>
      </c>
      <c r="B5" s="2">
        <v>45295</v>
      </c>
      <c r="C5">
        <v>2024</v>
      </c>
      <c r="D5">
        <v>1</v>
      </c>
      <c r="E5" t="s">
        <v>1</v>
      </c>
      <c r="F5" t="s">
        <v>5555</v>
      </c>
      <c r="G5" t="s">
        <v>48</v>
      </c>
      <c r="H5" t="s">
        <v>5553</v>
      </c>
      <c r="I5" t="s">
        <v>10</v>
      </c>
    </row>
    <row r="6" spans="1:11">
      <c r="A6" t="s">
        <v>5559</v>
      </c>
      <c r="B6" s="2">
        <v>45296</v>
      </c>
      <c r="C6">
        <v>2024</v>
      </c>
      <c r="D6">
        <v>1</v>
      </c>
      <c r="E6" t="s">
        <v>1</v>
      </c>
      <c r="F6" t="s">
        <v>5557</v>
      </c>
      <c r="G6" t="s">
        <v>32</v>
      </c>
      <c r="H6" t="s">
        <v>5553</v>
      </c>
      <c r="I6" t="s">
        <v>10</v>
      </c>
    </row>
    <row r="7" spans="1:11">
      <c r="A7" t="s">
        <v>5560</v>
      </c>
      <c r="B7" s="2">
        <v>45296</v>
      </c>
      <c r="C7">
        <v>2024</v>
      </c>
      <c r="D7">
        <v>1</v>
      </c>
      <c r="E7" t="s">
        <v>1</v>
      </c>
      <c r="F7" t="s">
        <v>5552</v>
      </c>
      <c r="G7" t="s">
        <v>3</v>
      </c>
      <c r="H7" t="s">
        <v>5561</v>
      </c>
      <c r="I7" t="s">
        <v>17</v>
      </c>
    </row>
    <row r="8" spans="1:11">
      <c r="A8" t="s">
        <v>5562</v>
      </c>
      <c r="B8" s="2">
        <v>45331</v>
      </c>
      <c r="C8">
        <v>2024</v>
      </c>
      <c r="D8">
        <v>2</v>
      </c>
      <c r="E8" t="s">
        <v>25</v>
      </c>
      <c r="F8" t="s">
        <v>5555</v>
      </c>
      <c r="G8" t="s">
        <v>55</v>
      </c>
      <c r="H8" t="s">
        <v>5553</v>
      </c>
      <c r="I8" t="s">
        <v>10</v>
      </c>
    </row>
    <row r="9" spans="1:11">
      <c r="A9" t="s">
        <v>5563</v>
      </c>
      <c r="B9" s="2">
        <v>45328</v>
      </c>
      <c r="C9">
        <v>2024</v>
      </c>
      <c r="D9">
        <v>2</v>
      </c>
      <c r="E9" t="s">
        <v>25</v>
      </c>
      <c r="F9" t="s">
        <v>5564</v>
      </c>
      <c r="G9" t="s">
        <v>55</v>
      </c>
      <c r="H9" t="s">
        <v>5553</v>
      </c>
      <c r="I9" t="s">
        <v>10</v>
      </c>
    </row>
    <row r="10" spans="1:11">
      <c r="A10" t="s">
        <v>5565</v>
      </c>
      <c r="B10" s="2">
        <v>45328</v>
      </c>
      <c r="C10">
        <v>2024</v>
      </c>
      <c r="D10">
        <v>2</v>
      </c>
      <c r="E10" t="s">
        <v>25</v>
      </c>
      <c r="F10" t="s">
        <v>5566</v>
      </c>
      <c r="G10" t="s">
        <v>61</v>
      </c>
      <c r="H10" t="s">
        <v>5561</v>
      </c>
      <c r="I10" t="s">
        <v>17</v>
      </c>
    </row>
    <row r="11" spans="1:11">
      <c r="A11" t="s">
        <v>5567</v>
      </c>
      <c r="B11" s="2">
        <v>45349</v>
      </c>
      <c r="C11">
        <v>2024</v>
      </c>
      <c r="D11">
        <v>2</v>
      </c>
      <c r="E11" t="s">
        <v>25</v>
      </c>
      <c r="F11" t="s">
        <v>5557</v>
      </c>
      <c r="G11" t="s">
        <v>27</v>
      </c>
      <c r="H11" t="s">
        <v>5553</v>
      </c>
      <c r="I11" t="s">
        <v>10</v>
      </c>
    </row>
    <row r="12" spans="1:11">
      <c r="A12" t="s">
        <v>5568</v>
      </c>
      <c r="B12" s="2">
        <v>45349</v>
      </c>
      <c r="C12">
        <v>2024</v>
      </c>
      <c r="D12">
        <v>2</v>
      </c>
      <c r="E12" t="s">
        <v>25</v>
      </c>
      <c r="F12" t="s">
        <v>5569</v>
      </c>
      <c r="G12" t="s">
        <v>3</v>
      </c>
      <c r="H12" t="s">
        <v>5553</v>
      </c>
      <c r="I12" t="s">
        <v>10</v>
      </c>
    </row>
    <row r="13" spans="1:11">
      <c r="A13" t="s">
        <v>5570</v>
      </c>
      <c r="B13" s="2">
        <v>45375</v>
      </c>
      <c r="C13">
        <v>2024</v>
      </c>
      <c r="D13">
        <v>3</v>
      </c>
      <c r="E13" t="s">
        <v>60</v>
      </c>
      <c r="F13" t="s">
        <v>5555</v>
      </c>
      <c r="G13" t="s">
        <v>61</v>
      </c>
      <c r="H13" t="s">
        <v>5553</v>
      </c>
      <c r="I13" t="s">
        <v>10</v>
      </c>
    </row>
    <row r="14" spans="1:11">
      <c r="A14" t="s">
        <v>5571</v>
      </c>
      <c r="B14" s="2">
        <v>45378</v>
      </c>
      <c r="C14">
        <v>2024</v>
      </c>
      <c r="D14">
        <v>3</v>
      </c>
      <c r="E14" t="s">
        <v>60</v>
      </c>
      <c r="F14" t="s">
        <v>5569</v>
      </c>
      <c r="G14" t="s">
        <v>94</v>
      </c>
      <c r="H14" t="s">
        <v>5553</v>
      </c>
      <c r="I14" t="s">
        <v>10</v>
      </c>
    </row>
    <row r="15" spans="1:11">
      <c r="A15" t="s">
        <v>5572</v>
      </c>
      <c r="B15" s="2">
        <v>45365</v>
      </c>
      <c r="C15">
        <v>2024</v>
      </c>
      <c r="D15">
        <v>3</v>
      </c>
      <c r="E15" t="s">
        <v>60</v>
      </c>
      <c r="F15" t="s">
        <v>5555</v>
      </c>
      <c r="G15" t="s">
        <v>55</v>
      </c>
      <c r="H15" t="s">
        <v>5553</v>
      </c>
      <c r="I15" t="s">
        <v>10</v>
      </c>
    </row>
    <row r="16" spans="1:11">
      <c r="A16" t="s">
        <v>5573</v>
      </c>
      <c r="B16" s="2">
        <v>45366</v>
      </c>
      <c r="C16">
        <v>2024</v>
      </c>
      <c r="D16">
        <v>3</v>
      </c>
      <c r="E16" t="s">
        <v>60</v>
      </c>
      <c r="F16" t="s">
        <v>5555</v>
      </c>
      <c r="G16" t="s">
        <v>55</v>
      </c>
      <c r="H16" t="s">
        <v>5553</v>
      </c>
      <c r="I16" t="s">
        <v>10</v>
      </c>
    </row>
    <row r="17" spans="1:9">
      <c r="A17" t="s">
        <v>5574</v>
      </c>
      <c r="B17" s="2">
        <v>45357</v>
      </c>
      <c r="C17">
        <v>2024</v>
      </c>
      <c r="D17">
        <v>3</v>
      </c>
      <c r="E17" t="s">
        <v>60</v>
      </c>
      <c r="F17" t="s">
        <v>5575</v>
      </c>
      <c r="G17" t="s">
        <v>74</v>
      </c>
      <c r="H17" t="s">
        <v>5553</v>
      </c>
      <c r="I17" t="s">
        <v>10</v>
      </c>
    </row>
    <row r="18" spans="1:9">
      <c r="A18" t="s">
        <v>5576</v>
      </c>
      <c r="B18" s="2">
        <v>45375</v>
      </c>
      <c r="C18">
        <v>2024</v>
      </c>
      <c r="D18">
        <v>3</v>
      </c>
      <c r="E18" t="s">
        <v>60</v>
      </c>
      <c r="F18" t="s">
        <v>5552</v>
      </c>
      <c r="G18" t="s">
        <v>48</v>
      </c>
      <c r="H18" t="s">
        <v>5561</v>
      </c>
      <c r="I18" t="s">
        <v>17</v>
      </c>
    </row>
    <row r="19" spans="1:9">
      <c r="A19" t="s">
        <v>5577</v>
      </c>
      <c r="B19" s="2">
        <v>45392</v>
      </c>
      <c r="C19">
        <v>2024</v>
      </c>
      <c r="D19">
        <v>4</v>
      </c>
      <c r="E19" t="s">
        <v>73</v>
      </c>
      <c r="F19" t="s">
        <v>5566</v>
      </c>
      <c r="G19" t="s">
        <v>27</v>
      </c>
      <c r="H19" t="s">
        <v>5553</v>
      </c>
      <c r="I19" t="s">
        <v>10</v>
      </c>
    </row>
    <row r="20" spans="1:9">
      <c r="A20" t="s">
        <v>5578</v>
      </c>
      <c r="B20" s="2">
        <v>45396</v>
      </c>
      <c r="C20">
        <v>2024</v>
      </c>
      <c r="D20">
        <v>4</v>
      </c>
      <c r="E20" t="s">
        <v>73</v>
      </c>
      <c r="F20" t="s">
        <v>5575</v>
      </c>
      <c r="G20" t="s">
        <v>69</v>
      </c>
      <c r="H20" t="s">
        <v>5553</v>
      </c>
      <c r="I20" t="s">
        <v>10</v>
      </c>
    </row>
    <row r="21" spans="1:9">
      <c r="A21" t="s">
        <v>5579</v>
      </c>
      <c r="B21" s="2">
        <v>45383</v>
      </c>
      <c r="C21">
        <v>2024</v>
      </c>
      <c r="D21">
        <v>4</v>
      </c>
      <c r="E21" t="s">
        <v>73</v>
      </c>
      <c r="F21" t="s">
        <v>5575</v>
      </c>
      <c r="G21" t="s">
        <v>3</v>
      </c>
      <c r="H21" t="s">
        <v>5553</v>
      </c>
      <c r="I21" t="s">
        <v>10</v>
      </c>
    </row>
    <row r="22" spans="1:9">
      <c r="A22" t="s">
        <v>5580</v>
      </c>
      <c r="B22" s="2">
        <v>45406</v>
      </c>
      <c r="C22">
        <v>2024</v>
      </c>
      <c r="D22">
        <v>4</v>
      </c>
      <c r="E22" t="s">
        <v>73</v>
      </c>
      <c r="F22" t="s">
        <v>5569</v>
      </c>
      <c r="G22" t="s">
        <v>74</v>
      </c>
      <c r="H22" t="s">
        <v>5553</v>
      </c>
      <c r="I22" t="s">
        <v>10</v>
      </c>
    </row>
    <row r="23" spans="1:9">
      <c r="A23" t="s">
        <v>5581</v>
      </c>
      <c r="B23" s="2">
        <v>45394</v>
      </c>
      <c r="C23">
        <v>2024</v>
      </c>
      <c r="D23">
        <v>4</v>
      </c>
      <c r="E23" t="s">
        <v>73</v>
      </c>
      <c r="F23" t="s">
        <v>5557</v>
      </c>
      <c r="G23" t="s">
        <v>61</v>
      </c>
      <c r="H23" t="s">
        <v>5553</v>
      </c>
      <c r="I23" t="s">
        <v>10</v>
      </c>
    </row>
    <row r="24" spans="1:9">
      <c r="A24" t="s">
        <v>5582</v>
      </c>
      <c r="B24" s="2">
        <v>45428</v>
      </c>
      <c r="C24">
        <v>2024</v>
      </c>
      <c r="D24">
        <v>5</v>
      </c>
      <c r="E24" t="s">
        <v>83</v>
      </c>
      <c r="F24" t="s">
        <v>5569</v>
      </c>
      <c r="G24" t="s">
        <v>48</v>
      </c>
      <c r="H24" t="s">
        <v>5553</v>
      </c>
      <c r="I24" t="s">
        <v>10</v>
      </c>
    </row>
    <row r="25" spans="1:9">
      <c r="A25" t="s">
        <v>5583</v>
      </c>
      <c r="B25" s="2">
        <v>45429</v>
      </c>
      <c r="C25">
        <v>2024</v>
      </c>
      <c r="D25">
        <v>5</v>
      </c>
      <c r="E25" t="s">
        <v>83</v>
      </c>
      <c r="F25" t="s">
        <v>5557</v>
      </c>
      <c r="G25" t="s">
        <v>61</v>
      </c>
      <c r="H25" t="s">
        <v>5553</v>
      </c>
      <c r="I25" t="s">
        <v>10</v>
      </c>
    </row>
    <row r="26" spans="1:9">
      <c r="A26" t="s">
        <v>5584</v>
      </c>
      <c r="B26" s="2">
        <v>45416</v>
      </c>
      <c r="C26">
        <v>2024</v>
      </c>
      <c r="D26">
        <v>5</v>
      </c>
      <c r="E26" t="s">
        <v>83</v>
      </c>
      <c r="F26" t="s">
        <v>5555</v>
      </c>
      <c r="G26" t="s">
        <v>69</v>
      </c>
      <c r="H26" t="s">
        <v>5553</v>
      </c>
      <c r="I26" t="s">
        <v>10</v>
      </c>
    </row>
    <row r="27" spans="1:9">
      <c r="A27" t="s">
        <v>5585</v>
      </c>
      <c r="B27" s="2">
        <v>45437</v>
      </c>
      <c r="C27">
        <v>2024</v>
      </c>
      <c r="D27">
        <v>5</v>
      </c>
      <c r="E27" t="s">
        <v>83</v>
      </c>
      <c r="F27" t="s">
        <v>5552</v>
      </c>
      <c r="G27" t="s">
        <v>27</v>
      </c>
      <c r="H27" t="s">
        <v>5553</v>
      </c>
      <c r="I27" t="s">
        <v>10</v>
      </c>
    </row>
    <row r="28" spans="1:9">
      <c r="A28" t="s">
        <v>5586</v>
      </c>
      <c r="B28" s="2">
        <v>45422</v>
      </c>
      <c r="C28">
        <v>2024</v>
      </c>
      <c r="D28">
        <v>5</v>
      </c>
      <c r="E28" t="s">
        <v>83</v>
      </c>
      <c r="F28" t="s">
        <v>5566</v>
      </c>
      <c r="G28" t="s">
        <v>94</v>
      </c>
      <c r="H28" t="s">
        <v>5553</v>
      </c>
      <c r="I28" t="s">
        <v>10</v>
      </c>
    </row>
    <row r="29" spans="1:9">
      <c r="A29" t="s">
        <v>5587</v>
      </c>
      <c r="B29" s="2">
        <v>45419</v>
      </c>
      <c r="C29">
        <v>2024</v>
      </c>
      <c r="D29">
        <v>5</v>
      </c>
      <c r="E29" t="s">
        <v>83</v>
      </c>
      <c r="F29" t="s">
        <v>5566</v>
      </c>
      <c r="G29" t="s">
        <v>27</v>
      </c>
      <c r="H29" t="s">
        <v>5553</v>
      </c>
      <c r="I29" t="s">
        <v>10</v>
      </c>
    </row>
    <row r="30" spans="1:9">
      <c r="A30" t="s">
        <v>5588</v>
      </c>
      <c r="B30" s="2">
        <v>45436</v>
      </c>
      <c r="C30">
        <v>2024</v>
      </c>
      <c r="D30">
        <v>5</v>
      </c>
      <c r="E30" t="s">
        <v>83</v>
      </c>
      <c r="F30" t="s">
        <v>5564</v>
      </c>
      <c r="G30" t="s">
        <v>69</v>
      </c>
      <c r="H30" t="s">
        <v>5553</v>
      </c>
      <c r="I30" t="s">
        <v>10</v>
      </c>
    </row>
    <row r="31" spans="1:9">
      <c r="A31" t="s">
        <v>5589</v>
      </c>
      <c r="B31" s="2">
        <v>45422</v>
      </c>
      <c r="C31">
        <v>2024</v>
      </c>
      <c r="D31">
        <v>5</v>
      </c>
      <c r="E31" t="s">
        <v>83</v>
      </c>
      <c r="F31" t="s">
        <v>5555</v>
      </c>
      <c r="G31" t="s">
        <v>64</v>
      </c>
      <c r="H31" t="s">
        <v>5553</v>
      </c>
      <c r="I31" t="s">
        <v>10</v>
      </c>
    </row>
    <row r="32" spans="1:9">
      <c r="A32" t="s">
        <v>5590</v>
      </c>
      <c r="B32" s="2">
        <v>45420</v>
      </c>
      <c r="C32">
        <v>2024</v>
      </c>
      <c r="D32">
        <v>5</v>
      </c>
      <c r="E32" t="s">
        <v>83</v>
      </c>
      <c r="F32" t="s">
        <v>5557</v>
      </c>
      <c r="G32" t="s">
        <v>94</v>
      </c>
      <c r="H32" t="s">
        <v>5553</v>
      </c>
      <c r="I32" t="s">
        <v>10</v>
      </c>
    </row>
    <row r="33" spans="1:9">
      <c r="A33" t="s">
        <v>5591</v>
      </c>
      <c r="B33" s="2">
        <v>45414</v>
      </c>
      <c r="C33">
        <v>2024</v>
      </c>
      <c r="D33">
        <v>5</v>
      </c>
      <c r="E33" t="s">
        <v>83</v>
      </c>
      <c r="F33" t="s">
        <v>5575</v>
      </c>
      <c r="G33" t="s">
        <v>38</v>
      </c>
      <c r="H33" t="s">
        <v>5553</v>
      </c>
      <c r="I33" t="s">
        <v>10</v>
      </c>
    </row>
    <row r="34" spans="1:9">
      <c r="A34" t="s">
        <v>5592</v>
      </c>
      <c r="B34" s="2">
        <v>45425</v>
      </c>
      <c r="C34">
        <v>2024</v>
      </c>
      <c r="D34">
        <v>5</v>
      </c>
      <c r="E34" t="s">
        <v>83</v>
      </c>
      <c r="F34" t="s">
        <v>5575</v>
      </c>
      <c r="G34" t="s">
        <v>94</v>
      </c>
      <c r="H34" t="s">
        <v>5553</v>
      </c>
      <c r="I34" t="s">
        <v>10</v>
      </c>
    </row>
    <row r="35" spans="1:9">
      <c r="A35" t="s">
        <v>5593</v>
      </c>
      <c r="B35" s="2">
        <v>45436</v>
      </c>
      <c r="C35">
        <v>2024</v>
      </c>
      <c r="D35">
        <v>5</v>
      </c>
      <c r="E35" t="s">
        <v>83</v>
      </c>
      <c r="F35" t="s">
        <v>5564</v>
      </c>
      <c r="G35" t="s">
        <v>64</v>
      </c>
      <c r="H35" t="s">
        <v>5553</v>
      </c>
      <c r="I35" t="s">
        <v>10</v>
      </c>
    </row>
    <row r="36" spans="1:9">
      <c r="A36" t="s">
        <v>5594</v>
      </c>
      <c r="B36" s="2">
        <v>45455</v>
      </c>
      <c r="C36">
        <v>2024</v>
      </c>
      <c r="D36">
        <v>6</v>
      </c>
      <c r="E36" t="s">
        <v>87</v>
      </c>
      <c r="F36" t="s">
        <v>5552</v>
      </c>
      <c r="G36" t="s">
        <v>32</v>
      </c>
      <c r="H36" t="s">
        <v>5553</v>
      </c>
      <c r="I36" t="s">
        <v>10</v>
      </c>
    </row>
    <row r="37" spans="1:9">
      <c r="A37" t="s">
        <v>5595</v>
      </c>
      <c r="B37" s="2">
        <v>45468</v>
      </c>
      <c r="C37">
        <v>2024</v>
      </c>
      <c r="D37">
        <v>6</v>
      </c>
      <c r="E37" t="s">
        <v>87</v>
      </c>
      <c r="F37" t="s">
        <v>5575</v>
      </c>
      <c r="G37" t="s">
        <v>64</v>
      </c>
      <c r="H37" t="s">
        <v>5553</v>
      </c>
      <c r="I37" t="s">
        <v>10</v>
      </c>
    </row>
    <row r="38" spans="1:9">
      <c r="A38" t="s">
        <v>5596</v>
      </c>
      <c r="B38" s="2">
        <v>45455</v>
      </c>
      <c r="C38">
        <v>2024</v>
      </c>
      <c r="D38">
        <v>6</v>
      </c>
      <c r="E38" t="s">
        <v>87</v>
      </c>
      <c r="F38" t="s">
        <v>5552</v>
      </c>
      <c r="G38" t="s">
        <v>38</v>
      </c>
      <c r="H38" t="s">
        <v>5553</v>
      </c>
      <c r="I38" t="s">
        <v>10</v>
      </c>
    </row>
    <row r="39" spans="1:9">
      <c r="A39" t="s">
        <v>5597</v>
      </c>
      <c r="B39" s="2">
        <v>45463</v>
      </c>
      <c r="C39">
        <v>2024</v>
      </c>
      <c r="D39">
        <v>6</v>
      </c>
      <c r="E39" t="s">
        <v>87</v>
      </c>
      <c r="F39" t="s">
        <v>5566</v>
      </c>
      <c r="G39" t="s">
        <v>69</v>
      </c>
      <c r="H39" t="s">
        <v>5553</v>
      </c>
      <c r="I39" t="s">
        <v>10</v>
      </c>
    </row>
    <row r="40" spans="1:9">
      <c r="A40" t="s">
        <v>5598</v>
      </c>
      <c r="B40" s="2">
        <v>45459</v>
      </c>
      <c r="C40">
        <v>2024</v>
      </c>
      <c r="D40">
        <v>6</v>
      </c>
      <c r="E40" t="s">
        <v>87</v>
      </c>
      <c r="F40" t="s">
        <v>5552</v>
      </c>
      <c r="G40" t="s">
        <v>32</v>
      </c>
      <c r="H40" t="s">
        <v>5553</v>
      </c>
      <c r="I40" t="s">
        <v>10</v>
      </c>
    </row>
    <row r="41" spans="1:9">
      <c r="A41" t="s">
        <v>5599</v>
      </c>
      <c r="B41" s="2">
        <v>45456</v>
      </c>
      <c r="C41">
        <v>2024</v>
      </c>
      <c r="D41">
        <v>6</v>
      </c>
      <c r="E41" t="s">
        <v>87</v>
      </c>
      <c r="F41" t="s">
        <v>5569</v>
      </c>
      <c r="G41" t="s">
        <v>27</v>
      </c>
      <c r="H41" t="s">
        <v>5561</v>
      </c>
      <c r="I41" t="s">
        <v>17</v>
      </c>
    </row>
    <row r="42" spans="1:9">
      <c r="A42" t="s">
        <v>5600</v>
      </c>
      <c r="B42" s="2">
        <v>45451</v>
      </c>
      <c r="C42">
        <v>2024</v>
      </c>
      <c r="D42">
        <v>6</v>
      </c>
      <c r="E42" t="s">
        <v>87</v>
      </c>
      <c r="F42" t="s">
        <v>5552</v>
      </c>
      <c r="G42" t="s">
        <v>48</v>
      </c>
      <c r="H42" t="s">
        <v>5553</v>
      </c>
      <c r="I42" t="s">
        <v>10</v>
      </c>
    </row>
    <row r="43" spans="1:9">
      <c r="A43" t="s">
        <v>5601</v>
      </c>
      <c r="B43" s="2">
        <v>45492</v>
      </c>
      <c r="C43">
        <v>2024</v>
      </c>
      <c r="D43">
        <v>7</v>
      </c>
      <c r="E43" t="s">
        <v>93</v>
      </c>
      <c r="F43" t="s">
        <v>5555</v>
      </c>
      <c r="G43" t="s">
        <v>94</v>
      </c>
      <c r="H43" t="s">
        <v>5561</v>
      </c>
      <c r="I43" t="s">
        <v>17</v>
      </c>
    </row>
    <row r="44" spans="1:9">
      <c r="A44" t="s">
        <v>5602</v>
      </c>
      <c r="B44" s="2">
        <v>45474</v>
      </c>
      <c r="C44">
        <v>2024</v>
      </c>
      <c r="D44">
        <v>7</v>
      </c>
      <c r="E44" t="s">
        <v>93</v>
      </c>
      <c r="F44" t="s">
        <v>5557</v>
      </c>
      <c r="G44" t="s">
        <v>27</v>
      </c>
      <c r="H44" t="s">
        <v>5561</v>
      </c>
      <c r="I44" t="s">
        <v>17</v>
      </c>
    </row>
    <row r="45" spans="1:9">
      <c r="A45" t="s">
        <v>5603</v>
      </c>
      <c r="B45" s="2">
        <v>45495</v>
      </c>
      <c r="C45">
        <v>2024</v>
      </c>
      <c r="D45">
        <v>7</v>
      </c>
      <c r="E45" t="s">
        <v>93</v>
      </c>
      <c r="F45" t="s">
        <v>5575</v>
      </c>
      <c r="G45" t="s">
        <v>3</v>
      </c>
      <c r="H45" t="s">
        <v>5553</v>
      </c>
      <c r="I45" t="s">
        <v>10</v>
      </c>
    </row>
    <row r="46" spans="1:9">
      <c r="A46" t="s">
        <v>5604</v>
      </c>
      <c r="B46" s="2">
        <v>45491</v>
      </c>
      <c r="C46">
        <v>2024</v>
      </c>
      <c r="D46">
        <v>7</v>
      </c>
      <c r="E46" t="s">
        <v>93</v>
      </c>
      <c r="F46" t="s">
        <v>5564</v>
      </c>
      <c r="G46" t="s">
        <v>74</v>
      </c>
      <c r="H46" t="s">
        <v>5553</v>
      </c>
      <c r="I46" t="s">
        <v>10</v>
      </c>
    </row>
    <row r="47" spans="1:9">
      <c r="A47" t="s">
        <v>5605</v>
      </c>
      <c r="B47" s="2">
        <v>45489</v>
      </c>
      <c r="C47">
        <v>2024</v>
      </c>
      <c r="D47">
        <v>7</v>
      </c>
      <c r="E47" t="s">
        <v>93</v>
      </c>
      <c r="F47" t="s">
        <v>5555</v>
      </c>
      <c r="G47" t="s">
        <v>55</v>
      </c>
      <c r="H47" t="s">
        <v>5553</v>
      </c>
      <c r="I47" t="s">
        <v>10</v>
      </c>
    </row>
    <row r="48" spans="1:9">
      <c r="A48" t="s">
        <v>5606</v>
      </c>
      <c r="B48" s="2">
        <v>45494</v>
      </c>
      <c r="C48">
        <v>2024</v>
      </c>
      <c r="D48">
        <v>7</v>
      </c>
      <c r="E48" t="s">
        <v>93</v>
      </c>
      <c r="F48" t="s">
        <v>5552</v>
      </c>
      <c r="G48" t="s">
        <v>64</v>
      </c>
      <c r="H48" t="s">
        <v>5553</v>
      </c>
      <c r="I48" t="s">
        <v>10</v>
      </c>
    </row>
    <row r="49" spans="1:9">
      <c r="A49" t="s">
        <v>5607</v>
      </c>
      <c r="B49" s="2">
        <v>45491</v>
      </c>
      <c r="C49">
        <v>2024</v>
      </c>
      <c r="D49">
        <v>7</v>
      </c>
      <c r="E49" t="s">
        <v>93</v>
      </c>
      <c r="F49" t="s">
        <v>5575</v>
      </c>
      <c r="G49" t="s">
        <v>55</v>
      </c>
      <c r="H49" t="s">
        <v>5553</v>
      </c>
      <c r="I49" t="s">
        <v>10</v>
      </c>
    </row>
    <row r="50" spans="1:9">
      <c r="A50" t="s">
        <v>5608</v>
      </c>
      <c r="B50" s="2">
        <v>45489</v>
      </c>
      <c r="C50">
        <v>2024</v>
      </c>
      <c r="D50">
        <v>7</v>
      </c>
      <c r="E50" t="s">
        <v>93</v>
      </c>
      <c r="F50" t="s">
        <v>5555</v>
      </c>
      <c r="G50" t="s">
        <v>55</v>
      </c>
      <c r="H50" t="s">
        <v>5553</v>
      </c>
      <c r="I50" t="s">
        <v>10</v>
      </c>
    </row>
    <row r="51" spans="1:9">
      <c r="A51" t="s">
        <v>5609</v>
      </c>
      <c r="B51" s="2">
        <v>45483</v>
      </c>
      <c r="C51">
        <v>2024</v>
      </c>
      <c r="D51">
        <v>7</v>
      </c>
      <c r="E51" t="s">
        <v>93</v>
      </c>
      <c r="F51" t="s">
        <v>5566</v>
      </c>
      <c r="G51" t="s">
        <v>94</v>
      </c>
      <c r="H51" t="s">
        <v>5553</v>
      </c>
      <c r="I51" t="s">
        <v>10</v>
      </c>
    </row>
    <row r="52" spans="1:9">
      <c r="A52" t="s">
        <v>5610</v>
      </c>
      <c r="B52" s="2">
        <v>45513</v>
      </c>
      <c r="C52">
        <v>2024</v>
      </c>
      <c r="D52">
        <v>8</v>
      </c>
      <c r="E52" t="s">
        <v>101</v>
      </c>
      <c r="F52" t="s">
        <v>5555</v>
      </c>
      <c r="G52" t="s">
        <v>27</v>
      </c>
      <c r="H52" t="s">
        <v>5553</v>
      </c>
      <c r="I52" t="s">
        <v>10</v>
      </c>
    </row>
    <row r="53" spans="1:9">
      <c r="A53" t="s">
        <v>5611</v>
      </c>
      <c r="B53" s="2">
        <v>45515</v>
      </c>
      <c r="C53">
        <v>2024</v>
      </c>
      <c r="D53">
        <v>8</v>
      </c>
      <c r="E53" t="s">
        <v>101</v>
      </c>
      <c r="F53" t="s">
        <v>5564</v>
      </c>
      <c r="G53" t="s">
        <v>32</v>
      </c>
      <c r="H53" t="s">
        <v>5553</v>
      </c>
      <c r="I53" t="s">
        <v>10</v>
      </c>
    </row>
    <row r="54" spans="1:9">
      <c r="A54" t="s">
        <v>5612</v>
      </c>
      <c r="B54" s="2">
        <v>45506</v>
      </c>
      <c r="C54">
        <v>2024</v>
      </c>
      <c r="D54">
        <v>8</v>
      </c>
      <c r="E54" t="s">
        <v>101</v>
      </c>
      <c r="F54" t="s">
        <v>5566</v>
      </c>
      <c r="G54" t="s">
        <v>20</v>
      </c>
      <c r="H54" t="s">
        <v>5553</v>
      </c>
      <c r="I54" t="s">
        <v>10</v>
      </c>
    </row>
    <row r="55" spans="1:9">
      <c r="A55" t="s">
        <v>5613</v>
      </c>
      <c r="B55" s="2">
        <v>45528</v>
      </c>
      <c r="C55">
        <v>2024</v>
      </c>
      <c r="D55">
        <v>8</v>
      </c>
      <c r="E55" t="s">
        <v>101</v>
      </c>
      <c r="F55" t="s">
        <v>5566</v>
      </c>
      <c r="G55" t="s">
        <v>74</v>
      </c>
      <c r="H55" t="s">
        <v>5553</v>
      </c>
      <c r="I55" t="s">
        <v>10</v>
      </c>
    </row>
    <row r="56" spans="1:9">
      <c r="A56" t="s">
        <v>5614</v>
      </c>
      <c r="B56" s="2">
        <v>45526</v>
      </c>
      <c r="C56">
        <v>2024</v>
      </c>
      <c r="D56">
        <v>8</v>
      </c>
      <c r="E56" t="s">
        <v>101</v>
      </c>
      <c r="F56" t="s">
        <v>5575</v>
      </c>
      <c r="G56" t="s">
        <v>69</v>
      </c>
      <c r="H56" t="s">
        <v>5553</v>
      </c>
      <c r="I56" t="s">
        <v>10</v>
      </c>
    </row>
    <row r="57" spans="1:9">
      <c r="A57" t="s">
        <v>5615</v>
      </c>
      <c r="B57" s="2">
        <v>45506</v>
      </c>
      <c r="C57">
        <v>2024</v>
      </c>
      <c r="D57">
        <v>8</v>
      </c>
      <c r="E57" t="s">
        <v>101</v>
      </c>
      <c r="F57" t="s">
        <v>5552</v>
      </c>
      <c r="G57" t="s">
        <v>64</v>
      </c>
      <c r="H57" t="s">
        <v>5561</v>
      </c>
      <c r="I57" t="s">
        <v>17</v>
      </c>
    </row>
    <row r="58" spans="1:9">
      <c r="A58" t="s">
        <v>5616</v>
      </c>
      <c r="B58" s="2">
        <v>45550</v>
      </c>
      <c r="C58">
        <v>2024</v>
      </c>
      <c r="D58">
        <v>9</v>
      </c>
      <c r="E58" t="s">
        <v>105</v>
      </c>
      <c r="F58" t="s">
        <v>5566</v>
      </c>
      <c r="G58" t="s">
        <v>94</v>
      </c>
      <c r="H58" t="s">
        <v>5553</v>
      </c>
      <c r="I58" t="s">
        <v>10</v>
      </c>
    </row>
    <row r="59" spans="1:9">
      <c r="A59" t="s">
        <v>5617</v>
      </c>
      <c r="B59" s="2">
        <v>45536</v>
      </c>
      <c r="C59">
        <v>2024</v>
      </c>
      <c r="D59">
        <v>9</v>
      </c>
      <c r="E59" t="s">
        <v>105</v>
      </c>
      <c r="F59" t="s">
        <v>5557</v>
      </c>
      <c r="G59" t="s">
        <v>38</v>
      </c>
      <c r="H59" t="s">
        <v>5553</v>
      </c>
      <c r="I59" t="s">
        <v>10</v>
      </c>
    </row>
    <row r="60" spans="1:9">
      <c r="A60" t="s">
        <v>5618</v>
      </c>
      <c r="B60" s="2">
        <v>45551</v>
      </c>
      <c r="C60">
        <v>2024</v>
      </c>
      <c r="D60">
        <v>9</v>
      </c>
      <c r="E60" t="s">
        <v>105</v>
      </c>
      <c r="F60" t="s">
        <v>5569</v>
      </c>
      <c r="G60" t="s">
        <v>61</v>
      </c>
      <c r="H60" t="s">
        <v>5553</v>
      </c>
      <c r="I60" t="s">
        <v>10</v>
      </c>
    </row>
    <row r="61" spans="1:9">
      <c r="A61" t="s">
        <v>5619</v>
      </c>
      <c r="B61" s="2">
        <v>45544</v>
      </c>
      <c r="C61">
        <v>2024</v>
      </c>
      <c r="D61">
        <v>9</v>
      </c>
      <c r="E61" t="s">
        <v>105</v>
      </c>
      <c r="F61" t="s">
        <v>5552</v>
      </c>
      <c r="G61" t="s">
        <v>74</v>
      </c>
      <c r="H61" t="s">
        <v>5553</v>
      </c>
      <c r="I61" t="s">
        <v>10</v>
      </c>
    </row>
    <row r="62" spans="1:9">
      <c r="A62" t="s">
        <v>5620</v>
      </c>
      <c r="B62" s="2">
        <v>45547</v>
      </c>
      <c r="C62">
        <v>2024</v>
      </c>
      <c r="D62">
        <v>9</v>
      </c>
      <c r="E62" t="s">
        <v>105</v>
      </c>
      <c r="F62" t="s">
        <v>5557</v>
      </c>
      <c r="G62" t="s">
        <v>3</v>
      </c>
      <c r="H62" t="s">
        <v>5553</v>
      </c>
      <c r="I62" t="s">
        <v>10</v>
      </c>
    </row>
    <row r="63" spans="1:9">
      <c r="A63" t="s">
        <v>5621</v>
      </c>
      <c r="B63" s="2">
        <v>45546</v>
      </c>
      <c r="C63">
        <v>2024</v>
      </c>
      <c r="D63">
        <v>9</v>
      </c>
      <c r="E63" t="s">
        <v>105</v>
      </c>
      <c r="F63" t="s">
        <v>5552</v>
      </c>
      <c r="G63" t="s">
        <v>32</v>
      </c>
      <c r="H63" t="s">
        <v>5553</v>
      </c>
      <c r="I63" t="s">
        <v>10</v>
      </c>
    </row>
    <row r="64" spans="1:9">
      <c r="A64" t="s">
        <v>5622</v>
      </c>
      <c r="B64" s="2">
        <v>45548</v>
      </c>
      <c r="C64">
        <v>2024</v>
      </c>
      <c r="D64">
        <v>9</v>
      </c>
      <c r="E64" t="s">
        <v>105</v>
      </c>
      <c r="F64" t="s">
        <v>5566</v>
      </c>
      <c r="G64" t="s">
        <v>27</v>
      </c>
      <c r="H64" t="s">
        <v>5561</v>
      </c>
      <c r="I64" t="s">
        <v>17</v>
      </c>
    </row>
    <row r="65" spans="1:9">
      <c r="A65" t="s">
        <v>5623</v>
      </c>
      <c r="B65" s="2">
        <v>45536</v>
      </c>
      <c r="C65">
        <v>2024</v>
      </c>
      <c r="D65">
        <v>9</v>
      </c>
      <c r="E65" t="s">
        <v>105</v>
      </c>
      <c r="F65" t="s">
        <v>5555</v>
      </c>
      <c r="G65" t="s">
        <v>27</v>
      </c>
      <c r="H65" t="s">
        <v>5553</v>
      </c>
      <c r="I65" t="s">
        <v>10</v>
      </c>
    </row>
    <row r="66" spans="1:9">
      <c r="A66" t="s">
        <v>5624</v>
      </c>
      <c r="B66" s="2">
        <v>45559</v>
      </c>
      <c r="C66">
        <v>2024</v>
      </c>
      <c r="D66">
        <v>9</v>
      </c>
      <c r="E66" t="s">
        <v>105</v>
      </c>
      <c r="F66" t="s">
        <v>5555</v>
      </c>
      <c r="G66" t="s">
        <v>74</v>
      </c>
      <c r="H66" t="s">
        <v>5553</v>
      </c>
      <c r="I66" t="s">
        <v>10</v>
      </c>
    </row>
    <row r="67" spans="1:9">
      <c r="A67" t="s">
        <v>5625</v>
      </c>
      <c r="B67" s="2">
        <v>45551</v>
      </c>
      <c r="C67">
        <v>2024</v>
      </c>
      <c r="D67">
        <v>9</v>
      </c>
      <c r="E67" t="s">
        <v>105</v>
      </c>
      <c r="F67" t="s">
        <v>5557</v>
      </c>
      <c r="G67" t="s">
        <v>48</v>
      </c>
      <c r="H67" t="s">
        <v>5553</v>
      </c>
      <c r="I67" t="s">
        <v>10</v>
      </c>
    </row>
    <row r="68" spans="1:9">
      <c r="A68" t="s">
        <v>5626</v>
      </c>
      <c r="B68" s="2">
        <v>45560</v>
      </c>
      <c r="C68">
        <v>2024</v>
      </c>
      <c r="D68">
        <v>9</v>
      </c>
      <c r="E68" t="s">
        <v>105</v>
      </c>
      <c r="F68" t="s">
        <v>5552</v>
      </c>
      <c r="G68" t="s">
        <v>27</v>
      </c>
      <c r="H68" t="s">
        <v>5553</v>
      </c>
      <c r="I68" t="s">
        <v>10</v>
      </c>
    </row>
    <row r="69" spans="1:9">
      <c r="A69" t="s">
        <v>5627</v>
      </c>
      <c r="B69" s="2">
        <v>45591</v>
      </c>
      <c r="C69">
        <v>2024</v>
      </c>
      <c r="D69">
        <v>10</v>
      </c>
      <c r="E69" t="s">
        <v>113</v>
      </c>
      <c r="F69" t="s">
        <v>5569</v>
      </c>
      <c r="G69" t="s">
        <v>61</v>
      </c>
      <c r="H69" t="s">
        <v>5553</v>
      </c>
      <c r="I69" t="s">
        <v>10</v>
      </c>
    </row>
    <row r="70" spans="1:9">
      <c r="A70" t="s">
        <v>5628</v>
      </c>
      <c r="B70" s="2">
        <v>45581</v>
      </c>
      <c r="C70">
        <v>2024</v>
      </c>
      <c r="D70">
        <v>10</v>
      </c>
      <c r="E70" t="s">
        <v>113</v>
      </c>
      <c r="F70" t="s">
        <v>5555</v>
      </c>
      <c r="G70" t="s">
        <v>61</v>
      </c>
      <c r="H70" t="s">
        <v>5553</v>
      </c>
      <c r="I70" t="s">
        <v>10</v>
      </c>
    </row>
    <row r="71" spans="1:9">
      <c r="A71" t="s">
        <v>5629</v>
      </c>
      <c r="B71" s="2">
        <v>45593</v>
      </c>
      <c r="C71">
        <v>2024</v>
      </c>
      <c r="D71">
        <v>10</v>
      </c>
      <c r="E71" t="s">
        <v>113</v>
      </c>
      <c r="F71" t="s">
        <v>5566</v>
      </c>
      <c r="G71" t="s">
        <v>64</v>
      </c>
      <c r="H71" t="s">
        <v>5553</v>
      </c>
      <c r="I71" t="s">
        <v>10</v>
      </c>
    </row>
    <row r="72" spans="1:9">
      <c r="A72" t="s">
        <v>5630</v>
      </c>
      <c r="B72" s="2">
        <v>45571</v>
      </c>
      <c r="C72">
        <v>2024</v>
      </c>
      <c r="D72">
        <v>10</v>
      </c>
      <c r="E72" t="s">
        <v>113</v>
      </c>
      <c r="F72" t="s">
        <v>5569</v>
      </c>
      <c r="G72" t="s">
        <v>55</v>
      </c>
      <c r="H72" t="s">
        <v>5553</v>
      </c>
      <c r="I72" t="s">
        <v>10</v>
      </c>
    </row>
    <row r="73" spans="1:9">
      <c r="A73" t="s">
        <v>5631</v>
      </c>
      <c r="B73" s="2">
        <v>45568</v>
      </c>
      <c r="C73">
        <v>2024</v>
      </c>
      <c r="D73">
        <v>10</v>
      </c>
      <c r="E73" t="s">
        <v>113</v>
      </c>
      <c r="F73" t="s">
        <v>5569</v>
      </c>
      <c r="G73" t="s">
        <v>64</v>
      </c>
      <c r="H73" t="s">
        <v>5561</v>
      </c>
      <c r="I73" t="s">
        <v>17</v>
      </c>
    </row>
    <row r="74" spans="1:9">
      <c r="A74" t="s">
        <v>5632</v>
      </c>
      <c r="B74" s="2">
        <v>45576</v>
      </c>
      <c r="C74">
        <v>2024</v>
      </c>
      <c r="D74">
        <v>10</v>
      </c>
      <c r="E74" t="s">
        <v>113</v>
      </c>
      <c r="F74" t="s">
        <v>5564</v>
      </c>
      <c r="G74" t="s">
        <v>69</v>
      </c>
      <c r="H74" t="s">
        <v>5553</v>
      </c>
      <c r="I74" t="s">
        <v>10</v>
      </c>
    </row>
    <row r="75" spans="1:9">
      <c r="A75" t="s">
        <v>5633</v>
      </c>
      <c r="B75" s="2">
        <v>45580</v>
      </c>
      <c r="C75">
        <v>2024</v>
      </c>
      <c r="D75">
        <v>10</v>
      </c>
      <c r="E75" t="s">
        <v>113</v>
      </c>
      <c r="F75" t="s">
        <v>5569</v>
      </c>
      <c r="G75" t="s">
        <v>32</v>
      </c>
      <c r="H75" t="s">
        <v>5553</v>
      </c>
      <c r="I75" t="s">
        <v>10</v>
      </c>
    </row>
    <row r="76" spans="1:9">
      <c r="A76" t="s">
        <v>5634</v>
      </c>
      <c r="B76" s="2">
        <v>45578</v>
      </c>
      <c r="C76">
        <v>2024</v>
      </c>
      <c r="D76">
        <v>10</v>
      </c>
      <c r="E76" t="s">
        <v>113</v>
      </c>
      <c r="F76" t="s">
        <v>5552</v>
      </c>
      <c r="G76" t="s">
        <v>38</v>
      </c>
      <c r="H76" t="s">
        <v>5561</v>
      </c>
      <c r="I76" t="s">
        <v>17</v>
      </c>
    </row>
    <row r="77" spans="1:9">
      <c r="A77" t="s">
        <v>5635</v>
      </c>
      <c r="B77" s="2">
        <v>45576</v>
      </c>
      <c r="C77">
        <v>2024</v>
      </c>
      <c r="D77">
        <v>10</v>
      </c>
      <c r="E77" t="s">
        <v>113</v>
      </c>
      <c r="F77" t="s">
        <v>5552</v>
      </c>
      <c r="G77" t="s">
        <v>74</v>
      </c>
      <c r="H77" t="s">
        <v>5553</v>
      </c>
      <c r="I77" t="s">
        <v>10</v>
      </c>
    </row>
    <row r="78" spans="1:9">
      <c r="A78" t="s">
        <v>5636</v>
      </c>
      <c r="B78" s="2">
        <v>45622</v>
      </c>
      <c r="C78">
        <v>2024</v>
      </c>
      <c r="D78">
        <v>11</v>
      </c>
      <c r="E78" t="s">
        <v>117</v>
      </c>
      <c r="F78" t="s">
        <v>5557</v>
      </c>
      <c r="G78" t="s">
        <v>94</v>
      </c>
      <c r="H78" t="s">
        <v>5553</v>
      </c>
      <c r="I78" t="s">
        <v>10</v>
      </c>
    </row>
    <row r="79" spans="1:9">
      <c r="A79" t="s">
        <v>5637</v>
      </c>
      <c r="B79" s="2">
        <v>45604</v>
      </c>
      <c r="C79">
        <v>2024</v>
      </c>
      <c r="D79">
        <v>11</v>
      </c>
      <c r="E79" t="s">
        <v>117</v>
      </c>
      <c r="F79" t="s">
        <v>5557</v>
      </c>
      <c r="G79" t="s">
        <v>38</v>
      </c>
      <c r="H79" t="s">
        <v>5561</v>
      </c>
      <c r="I79" t="s">
        <v>17</v>
      </c>
    </row>
    <row r="80" spans="1:9">
      <c r="A80" t="s">
        <v>5638</v>
      </c>
      <c r="B80" s="2">
        <v>45623</v>
      </c>
      <c r="C80">
        <v>2024</v>
      </c>
      <c r="D80">
        <v>11</v>
      </c>
      <c r="E80" t="s">
        <v>117</v>
      </c>
      <c r="F80" t="s">
        <v>5555</v>
      </c>
      <c r="G80" t="s">
        <v>64</v>
      </c>
      <c r="H80" t="s">
        <v>5553</v>
      </c>
      <c r="I80" t="s">
        <v>10</v>
      </c>
    </row>
    <row r="81" spans="1:9">
      <c r="A81" t="s">
        <v>5639</v>
      </c>
      <c r="B81" s="2">
        <v>45599</v>
      </c>
      <c r="C81">
        <v>2024</v>
      </c>
      <c r="D81">
        <v>11</v>
      </c>
      <c r="E81" t="s">
        <v>117</v>
      </c>
      <c r="F81" t="s">
        <v>5575</v>
      </c>
      <c r="G81" t="s">
        <v>64</v>
      </c>
      <c r="H81" t="s">
        <v>5553</v>
      </c>
      <c r="I81" t="s">
        <v>10</v>
      </c>
    </row>
    <row r="82" spans="1:9">
      <c r="A82" t="s">
        <v>5640</v>
      </c>
      <c r="B82" s="2">
        <v>45619</v>
      </c>
      <c r="C82">
        <v>2024</v>
      </c>
      <c r="D82">
        <v>11</v>
      </c>
      <c r="E82" t="s">
        <v>117</v>
      </c>
      <c r="F82" t="s">
        <v>5552</v>
      </c>
      <c r="G82" t="s">
        <v>61</v>
      </c>
      <c r="H82" t="s">
        <v>5553</v>
      </c>
      <c r="I82" t="s">
        <v>10</v>
      </c>
    </row>
    <row r="83" spans="1:9">
      <c r="A83" t="s">
        <v>5641</v>
      </c>
      <c r="B83" s="2">
        <v>45609</v>
      </c>
      <c r="C83">
        <v>2024</v>
      </c>
      <c r="D83">
        <v>11</v>
      </c>
      <c r="E83" t="s">
        <v>117</v>
      </c>
      <c r="F83" t="s">
        <v>5575</v>
      </c>
      <c r="G83" t="s">
        <v>55</v>
      </c>
      <c r="H83" t="s">
        <v>5553</v>
      </c>
      <c r="I83" t="s">
        <v>10</v>
      </c>
    </row>
    <row r="84" spans="1:9">
      <c r="A84" t="s">
        <v>5642</v>
      </c>
      <c r="B84" s="2">
        <v>45601</v>
      </c>
      <c r="C84">
        <v>2024</v>
      </c>
      <c r="D84">
        <v>11</v>
      </c>
      <c r="E84" t="s">
        <v>117</v>
      </c>
      <c r="F84" t="s">
        <v>5557</v>
      </c>
      <c r="G84" t="s">
        <v>69</v>
      </c>
      <c r="H84" t="s">
        <v>5553</v>
      </c>
      <c r="I84" t="s">
        <v>10</v>
      </c>
    </row>
    <row r="85" spans="1:9">
      <c r="A85" t="s">
        <v>5643</v>
      </c>
      <c r="B85" s="2">
        <v>45623</v>
      </c>
      <c r="C85">
        <v>2024</v>
      </c>
      <c r="D85">
        <v>11</v>
      </c>
      <c r="E85" t="s">
        <v>117</v>
      </c>
      <c r="F85" t="s">
        <v>5564</v>
      </c>
      <c r="G85" t="s">
        <v>32</v>
      </c>
      <c r="H85" t="s">
        <v>5553</v>
      </c>
      <c r="I85" t="s">
        <v>10</v>
      </c>
    </row>
    <row r="86" spans="1:9">
      <c r="A86" t="s">
        <v>5644</v>
      </c>
      <c r="B86" s="2">
        <v>45598</v>
      </c>
      <c r="C86">
        <v>2024</v>
      </c>
      <c r="D86">
        <v>11</v>
      </c>
      <c r="E86" t="s">
        <v>117</v>
      </c>
      <c r="F86" t="s">
        <v>5555</v>
      </c>
      <c r="G86" t="s">
        <v>69</v>
      </c>
      <c r="H86" t="s">
        <v>5553</v>
      </c>
      <c r="I86" t="s">
        <v>10</v>
      </c>
    </row>
    <row r="87" spans="1:9">
      <c r="A87" t="s">
        <v>5645</v>
      </c>
      <c r="B87" s="2">
        <v>45606</v>
      </c>
      <c r="C87">
        <v>2024</v>
      </c>
      <c r="D87">
        <v>11</v>
      </c>
      <c r="E87" t="s">
        <v>117</v>
      </c>
      <c r="F87" t="s">
        <v>5566</v>
      </c>
      <c r="G87" t="s">
        <v>20</v>
      </c>
      <c r="H87" t="s">
        <v>5553</v>
      </c>
      <c r="I87" t="s">
        <v>10</v>
      </c>
    </row>
    <row r="88" spans="1:9">
      <c r="A88" t="s">
        <v>5646</v>
      </c>
      <c r="B88" s="2">
        <v>45603</v>
      </c>
      <c r="C88">
        <v>2024</v>
      </c>
      <c r="D88">
        <v>11</v>
      </c>
      <c r="E88" t="s">
        <v>117</v>
      </c>
      <c r="F88" t="s">
        <v>5555</v>
      </c>
      <c r="G88" t="s">
        <v>69</v>
      </c>
      <c r="H88" t="s">
        <v>5553</v>
      </c>
      <c r="I88" t="s">
        <v>10</v>
      </c>
    </row>
    <row r="89" spans="1:9">
      <c r="A89" t="s">
        <v>5647</v>
      </c>
      <c r="B89" s="2">
        <v>45628</v>
      </c>
      <c r="C89">
        <v>2024</v>
      </c>
      <c r="D89">
        <v>12</v>
      </c>
      <c r="E89" t="s">
        <v>124</v>
      </c>
      <c r="F89" t="s">
        <v>5555</v>
      </c>
      <c r="G89" t="s">
        <v>27</v>
      </c>
      <c r="H89" t="s">
        <v>5553</v>
      </c>
      <c r="I89" t="s">
        <v>10</v>
      </c>
    </row>
    <row r="90" spans="1:9">
      <c r="A90" t="s">
        <v>5648</v>
      </c>
      <c r="B90" s="2">
        <v>45649</v>
      </c>
      <c r="C90">
        <v>2024</v>
      </c>
      <c r="D90">
        <v>12</v>
      </c>
      <c r="E90" t="s">
        <v>124</v>
      </c>
      <c r="F90" t="s">
        <v>5564</v>
      </c>
      <c r="G90" t="s">
        <v>32</v>
      </c>
      <c r="H90" t="s">
        <v>5553</v>
      </c>
      <c r="I90" t="s">
        <v>10</v>
      </c>
    </row>
    <row r="91" spans="1:9">
      <c r="A91" t="s">
        <v>5649</v>
      </c>
      <c r="B91" s="2">
        <v>45647</v>
      </c>
      <c r="C91">
        <v>2024</v>
      </c>
      <c r="D91">
        <v>12</v>
      </c>
      <c r="E91" t="s">
        <v>124</v>
      </c>
      <c r="F91" t="s">
        <v>5575</v>
      </c>
      <c r="G91" t="s">
        <v>74</v>
      </c>
      <c r="H91" t="s">
        <v>5553</v>
      </c>
      <c r="I91" t="s">
        <v>10</v>
      </c>
    </row>
    <row r="92" spans="1:9">
      <c r="A92" t="s">
        <v>5650</v>
      </c>
      <c r="B92" s="2">
        <v>45639</v>
      </c>
      <c r="C92">
        <v>2024</v>
      </c>
      <c r="D92">
        <v>12</v>
      </c>
      <c r="E92" t="s">
        <v>124</v>
      </c>
      <c r="F92" t="s">
        <v>5566</v>
      </c>
      <c r="G92" t="s">
        <v>61</v>
      </c>
      <c r="H92" t="s">
        <v>5553</v>
      </c>
      <c r="I92" t="s">
        <v>10</v>
      </c>
    </row>
    <row r="93" spans="1:9">
      <c r="A93" t="s">
        <v>5651</v>
      </c>
      <c r="B93" s="2">
        <v>45640</v>
      </c>
      <c r="C93">
        <v>2024</v>
      </c>
      <c r="D93">
        <v>12</v>
      </c>
      <c r="E93" t="s">
        <v>124</v>
      </c>
      <c r="F93" t="s">
        <v>5552</v>
      </c>
      <c r="G93" t="s">
        <v>74</v>
      </c>
      <c r="H93" t="s">
        <v>5553</v>
      </c>
      <c r="I93" t="s">
        <v>10</v>
      </c>
    </row>
    <row r="94" spans="1:9">
      <c r="A94" t="s">
        <v>5652</v>
      </c>
      <c r="B94" s="2">
        <v>45630</v>
      </c>
      <c r="C94">
        <v>2024</v>
      </c>
      <c r="D94">
        <v>12</v>
      </c>
      <c r="E94" t="s">
        <v>124</v>
      </c>
      <c r="F94" t="s">
        <v>5569</v>
      </c>
      <c r="G94" t="s">
        <v>48</v>
      </c>
      <c r="H94" t="s">
        <v>5553</v>
      </c>
      <c r="I94" t="s">
        <v>10</v>
      </c>
    </row>
    <row r="95" spans="1:9">
      <c r="A95" t="s">
        <v>5653</v>
      </c>
      <c r="B95" s="2">
        <v>45683</v>
      </c>
      <c r="C95">
        <v>2025</v>
      </c>
      <c r="D95">
        <v>1</v>
      </c>
      <c r="E95" t="s">
        <v>1</v>
      </c>
      <c r="F95" t="s">
        <v>5575</v>
      </c>
      <c r="G95" t="s">
        <v>27</v>
      </c>
      <c r="H95" t="s">
        <v>5553</v>
      </c>
      <c r="I95" t="s">
        <v>10</v>
      </c>
    </row>
    <row r="96" spans="1:9">
      <c r="A96" t="s">
        <v>5654</v>
      </c>
      <c r="B96" s="2">
        <v>45674</v>
      </c>
      <c r="C96">
        <v>2025</v>
      </c>
      <c r="D96">
        <v>1</v>
      </c>
      <c r="E96" t="s">
        <v>1</v>
      </c>
      <c r="F96" t="s">
        <v>5575</v>
      </c>
      <c r="G96" t="s">
        <v>55</v>
      </c>
      <c r="H96" t="s">
        <v>5553</v>
      </c>
      <c r="I96" t="s">
        <v>10</v>
      </c>
    </row>
    <row r="97" spans="1:9">
      <c r="A97" t="s">
        <v>5655</v>
      </c>
      <c r="B97" s="2">
        <v>45663</v>
      </c>
      <c r="C97">
        <v>2025</v>
      </c>
      <c r="D97">
        <v>1</v>
      </c>
      <c r="E97" t="s">
        <v>1</v>
      </c>
      <c r="F97" t="s">
        <v>5569</v>
      </c>
      <c r="G97" t="s">
        <v>27</v>
      </c>
      <c r="H97" t="s">
        <v>5553</v>
      </c>
      <c r="I97" t="s">
        <v>10</v>
      </c>
    </row>
    <row r="98" spans="1:9">
      <c r="A98" t="s">
        <v>5656</v>
      </c>
      <c r="B98" s="2">
        <v>45680</v>
      </c>
      <c r="C98">
        <v>2025</v>
      </c>
      <c r="D98">
        <v>1</v>
      </c>
      <c r="E98" t="s">
        <v>1</v>
      </c>
      <c r="F98" t="s">
        <v>5569</v>
      </c>
      <c r="G98" t="s">
        <v>94</v>
      </c>
      <c r="H98" t="s">
        <v>5561</v>
      </c>
      <c r="I98" t="s">
        <v>17</v>
      </c>
    </row>
    <row r="99" spans="1:9">
      <c r="A99" t="s">
        <v>5657</v>
      </c>
      <c r="B99" s="2">
        <v>45675</v>
      </c>
      <c r="C99">
        <v>2025</v>
      </c>
      <c r="D99">
        <v>1</v>
      </c>
      <c r="E99" t="s">
        <v>1</v>
      </c>
      <c r="F99" t="s">
        <v>5569</v>
      </c>
      <c r="G99" t="s">
        <v>20</v>
      </c>
      <c r="H99" t="s">
        <v>5553</v>
      </c>
      <c r="I99" t="s">
        <v>10</v>
      </c>
    </row>
    <row r="100" spans="1:9">
      <c r="A100" t="s">
        <v>5658</v>
      </c>
      <c r="B100" s="2">
        <v>45682</v>
      </c>
      <c r="C100">
        <v>2025</v>
      </c>
      <c r="D100">
        <v>1</v>
      </c>
      <c r="E100" t="s">
        <v>1</v>
      </c>
      <c r="F100" t="s">
        <v>5557</v>
      </c>
      <c r="G100" t="s">
        <v>32</v>
      </c>
      <c r="H100" t="s">
        <v>5553</v>
      </c>
      <c r="I100" t="s">
        <v>10</v>
      </c>
    </row>
    <row r="101" spans="1:9">
      <c r="A101" t="s">
        <v>5659</v>
      </c>
      <c r="B101" s="2">
        <v>45676</v>
      </c>
      <c r="C101">
        <v>2025</v>
      </c>
      <c r="D101">
        <v>1</v>
      </c>
      <c r="E101" t="s">
        <v>1</v>
      </c>
      <c r="F101" t="s">
        <v>5557</v>
      </c>
      <c r="G101" t="s">
        <v>64</v>
      </c>
      <c r="H101" t="s">
        <v>5553</v>
      </c>
      <c r="I101" t="s">
        <v>10</v>
      </c>
    </row>
    <row r="102" spans="1:9">
      <c r="A102" t="s">
        <v>5660</v>
      </c>
      <c r="B102" s="2">
        <v>45666</v>
      </c>
      <c r="C102">
        <v>2025</v>
      </c>
      <c r="D102">
        <v>1</v>
      </c>
      <c r="E102" t="s">
        <v>1</v>
      </c>
      <c r="F102" t="s">
        <v>5564</v>
      </c>
      <c r="G102" t="s">
        <v>69</v>
      </c>
      <c r="H102" t="s">
        <v>5553</v>
      </c>
      <c r="I102" t="s">
        <v>10</v>
      </c>
    </row>
    <row r="103" spans="1:9">
      <c r="A103" t="s">
        <v>5661</v>
      </c>
      <c r="B103" s="2">
        <v>45661</v>
      </c>
      <c r="C103">
        <v>2025</v>
      </c>
      <c r="D103">
        <v>1</v>
      </c>
      <c r="E103" t="s">
        <v>1</v>
      </c>
      <c r="F103" t="s">
        <v>5552</v>
      </c>
      <c r="G103" t="s">
        <v>55</v>
      </c>
      <c r="H103" t="s">
        <v>5553</v>
      </c>
      <c r="I103" t="s">
        <v>10</v>
      </c>
    </row>
    <row r="104" spans="1:9">
      <c r="A104" t="s">
        <v>5662</v>
      </c>
      <c r="B104" s="2">
        <v>45663</v>
      </c>
      <c r="C104">
        <v>2025</v>
      </c>
      <c r="D104">
        <v>1</v>
      </c>
      <c r="E104" t="s">
        <v>1</v>
      </c>
      <c r="F104" t="s">
        <v>5575</v>
      </c>
      <c r="G104" t="s">
        <v>69</v>
      </c>
      <c r="H104" t="s">
        <v>5553</v>
      </c>
      <c r="I104" t="s">
        <v>10</v>
      </c>
    </row>
    <row r="105" spans="1:9">
      <c r="A105" t="s">
        <v>5663</v>
      </c>
      <c r="B105" s="2">
        <v>45685</v>
      </c>
      <c r="C105">
        <v>2025</v>
      </c>
      <c r="D105">
        <v>1</v>
      </c>
      <c r="E105" t="s">
        <v>1</v>
      </c>
      <c r="F105" t="s">
        <v>5555</v>
      </c>
      <c r="G105" t="s">
        <v>38</v>
      </c>
      <c r="H105" t="s">
        <v>5561</v>
      </c>
      <c r="I105" t="s">
        <v>17</v>
      </c>
    </row>
    <row r="106" spans="1:9">
      <c r="A106" t="s">
        <v>5664</v>
      </c>
      <c r="B106" s="2">
        <v>45693</v>
      </c>
      <c r="C106">
        <v>2025</v>
      </c>
      <c r="D106">
        <v>2</v>
      </c>
      <c r="E106" t="s">
        <v>25</v>
      </c>
      <c r="F106" t="s">
        <v>5564</v>
      </c>
      <c r="G106" t="s">
        <v>74</v>
      </c>
      <c r="H106" t="s">
        <v>5553</v>
      </c>
      <c r="I106" t="s">
        <v>10</v>
      </c>
    </row>
    <row r="107" spans="1:9">
      <c r="A107" t="s">
        <v>5665</v>
      </c>
      <c r="B107" s="2">
        <v>45692</v>
      </c>
      <c r="C107">
        <v>2025</v>
      </c>
      <c r="D107">
        <v>2</v>
      </c>
      <c r="E107" t="s">
        <v>25</v>
      </c>
      <c r="F107" t="s">
        <v>5557</v>
      </c>
      <c r="G107" t="s">
        <v>48</v>
      </c>
      <c r="H107" t="s">
        <v>5553</v>
      </c>
      <c r="I107" t="s">
        <v>10</v>
      </c>
    </row>
    <row r="108" spans="1:9">
      <c r="A108" t="s">
        <v>5666</v>
      </c>
      <c r="B108" s="2">
        <v>45715</v>
      </c>
      <c r="C108">
        <v>2025</v>
      </c>
      <c r="D108">
        <v>2</v>
      </c>
      <c r="E108" t="s">
        <v>25</v>
      </c>
      <c r="F108" t="s">
        <v>5564</v>
      </c>
      <c r="G108" t="s">
        <v>3</v>
      </c>
      <c r="H108" t="s">
        <v>5553</v>
      </c>
      <c r="I108" t="s">
        <v>10</v>
      </c>
    </row>
    <row r="109" spans="1:9">
      <c r="A109" t="s">
        <v>5667</v>
      </c>
      <c r="B109" s="2">
        <v>45711</v>
      </c>
      <c r="C109">
        <v>2025</v>
      </c>
      <c r="D109">
        <v>2</v>
      </c>
      <c r="E109" t="s">
        <v>25</v>
      </c>
      <c r="F109" t="s">
        <v>5569</v>
      </c>
      <c r="G109" t="s">
        <v>32</v>
      </c>
      <c r="H109" t="s">
        <v>5553</v>
      </c>
      <c r="I109" t="s">
        <v>10</v>
      </c>
    </row>
    <row r="110" spans="1:9">
      <c r="A110" t="s">
        <v>5668</v>
      </c>
      <c r="B110" s="2">
        <v>45706</v>
      </c>
      <c r="C110">
        <v>2025</v>
      </c>
      <c r="D110">
        <v>2</v>
      </c>
      <c r="E110" t="s">
        <v>25</v>
      </c>
      <c r="F110" t="s">
        <v>5575</v>
      </c>
      <c r="G110" t="s">
        <v>20</v>
      </c>
      <c r="H110" t="s">
        <v>5553</v>
      </c>
      <c r="I110" t="s">
        <v>10</v>
      </c>
    </row>
    <row r="111" spans="1:9">
      <c r="A111" t="s">
        <v>5669</v>
      </c>
      <c r="B111" s="2">
        <v>45714</v>
      </c>
      <c r="C111">
        <v>2025</v>
      </c>
      <c r="D111">
        <v>2</v>
      </c>
      <c r="E111" t="s">
        <v>25</v>
      </c>
      <c r="F111" t="s">
        <v>5557</v>
      </c>
      <c r="G111" t="s">
        <v>27</v>
      </c>
      <c r="H111" t="s">
        <v>5553</v>
      </c>
      <c r="I111" t="s">
        <v>10</v>
      </c>
    </row>
    <row r="112" spans="1:9">
      <c r="A112" t="s">
        <v>5670</v>
      </c>
      <c r="B112" s="2">
        <v>45696</v>
      </c>
      <c r="C112">
        <v>2025</v>
      </c>
      <c r="D112">
        <v>2</v>
      </c>
      <c r="E112" t="s">
        <v>25</v>
      </c>
      <c r="F112" t="s">
        <v>5569</v>
      </c>
      <c r="G112" t="s">
        <v>61</v>
      </c>
      <c r="H112" t="s">
        <v>5553</v>
      </c>
      <c r="I112" t="s">
        <v>10</v>
      </c>
    </row>
    <row r="113" spans="1:9">
      <c r="A113" t="s">
        <v>5671</v>
      </c>
      <c r="B113" s="2">
        <v>45696</v>
      </c>
      <c r="C113">
        <v>2025</v>
      </c>
      <c r="D113">
        <v>2</v>
      </c>
      <c r="E113" t="s">
        <v>25</v>
      </c>
      <c r="F113" t="s">
        <v>5564</v>
      </c>
      <c r="G113" t="s">
        <v>48</v>
      </c>
      <c r="H113" t="s">
        <v>5553</v>
      </c>
      <c r="I113" t="s">
        <v>10</v>
      </c>
    </row>
    <row r="114" spans="1:9">
      <c r="A114" t="s">
        <v>5672</v>
      </c>
      <c r="B114" s="2">
        <v>45699</v>
      </c>
      <c r="C114">
        <v>2025</v>
      </c>
      <c r="D114">
        <v>2</v>
      </c>
      <c r="E114" t="s">
        <v>25</v>
      </c>
      <c r="F114" t="s">
        <v>5555</v>
      </c>
      <c r="G114" t="s">
        <v>64</v>
      </c>
      <c r="H114" t="s">
        <v>5553</v>
      </c>
      <c r="I114" t="s">
        <v>10</v>
      </c>
    </row>
    <row r="115" spans="1:9">
      <c r="A115" t="s">
        <v>5673</v>
      </c>
      <c r="B115" s="2">
        <v>45700</v>
      </c>
      <c r="C115">
        <v>2025</v>
      </c>
      <c r="D115">
        <v>2</v>
      </c>
      <c r="E115" t="s">
        <v>25</v>
      </c>
      <c r="F115" t="s">
        <v>5564</v>
      </c>
      <c r="G115" t="s">
        <v>64</v>
      </c>
      <c r="H115" t="s">
        <v>5553</v>
      </c>
      <c r="I115" t="s">
        <v>10</v>
      </c>
    </row>
    <row r="116" spans="1:9">
      <c r="A116" t="s">
        <v>5674</v>
      </c>
      <c r="B116" s="2">
        <v>45711</v>
      </c>
      <c r="C116">
        <v>2025</v>
      </c>
      <c r="D116">
        <v>2</v>
      </c>
      <c r="E116" t="s">
        <v>25</v>
      </c>
      <c r="F116" t="s">
        <v>5552</v>
      </c>
      <c r="G116" t="s">
        <v>94</v>
      </c>
      <c r="H116" t="s">
        <v>5553</v>
      </c>
      <c r="I116" t="s">
        <v>10</v>
      </c>
    </row>
    <row r="117" spans="1:9">
      <c r="A117" t="s">
        <v>5675</v>
      </c>
      <c r="B117" s="2">
        <v>45744</v>
      </c>
      <c r="C117">
        <v>2025</v>
      </c>
      <c r="D117">
        <v>3</v>
      </c>
      <c r="E117" t="s">
        <v>60</v>
      </c>
      <c r="F117" t="s">
        <v>5569</v>
      </c>
      <c r="G117" t="s">
        <v>3</v>
      </c>
      <c r="H117" t="s">
        <v>5553</v>
      </c>
      <c r="I117" t="s">
        <v>10</v>
      </c>
    </row>
    <row r="118" spans="1:9">
      <c r="A118" t="s">
        <v>5676</v>
      </c>
      <c r="B118" s="2">
        <v>45719</v>
      </c>
      <c r="C118">
        <v>2025</v>
      </c>
      <c r="D118">
        <v>3</v>
      </c>
      <c r="E118" t="s">
        <v>60</v>
      </c>
      <c r="F118" t="s">
        <v>5569</v>
      </c>
      <c r="G118" t="s">
        <v>20</v>
      </c>
      <c r="H118" t="s">
        <v>5553</v>
      </c>
      <c r="I118" t="s">
        <v>10</v>
      </c>
    </row>
    <row r="119" spans="1:9">
      <c r="A119" t="s">
        <v>5677</v>
      </c>
      <c r="B119" s="2">
        <v>45720</v>
      </c>
      <c r="C119">
        <v>2025</v>
      </c>
      <c r="D119">
        <v>3</v>
      </c>
      <c r="E119" t="s">
        <v>60</v>
      </c>
      <c r="F119" t="s">
        <v>5575</v>
      </c>
      <c r="G119" t="s">
        <v>20</v>
      </c>
      <c r="H119" t="s">
        <v>5553</v>
      </c>
      <c r="I119" t="s">
        <v>10</v>
      </c>
    </row>
    <row r="120" spans="1:9">
      <c r="A120" t="s">
        <v>5678</v>
      </c>
      <c r="B120" s="2">
        <v>45723</v>
      </c>
      <c r="C120">
        <v>2025</v>
      </c>
      <c r="D120">
        <v>3</v>
      </c>
      <c r="E120" t="s">
        <v>60</v>
      </c>
      <c r="F120" t="s">
        <v>5552</v>
      </c>
      <c r="G120" t="s">
        <v>64</v>
      </c>
      <c r="H120" t="s">
        <v>5553</v>
      </c>
      <c r="I120" t="s">
        <v>10</v>
      </c>
    </row>
    <row r="121" spans="1:9">
      <c r="A121" t="s">
        <v>5679</v>
      </c>
      <c r="B121" s="2">
        <v>45726</v>
      </c>
      <c r="C121">
        <v>2025</v>
      </c>
      <c r="D121">
        <v>3</v>
      </c>
      <c r="E121" t="s">
        <v>60</v>
      </c>
      <c r="F121" t="s">
        <v>5552</v>
      </c>
      <c r="G121" t="s">
        <v>48</v>
      </c>
      <c r="H121" t="s">
        <v>5553</v>
      </c>
      <c r="I121" t="s">
        <v>10</v>
      </c>
    </row>
    <row r="122" spans="1:9">
      <c r="A122" t="s">
        <v>5680</v>
      </c>
      <c r="B122" s="2">
        <v>45774</v>
      </c>
      <c r="C122">
        <v>2025</v>
      </c>
      <c r="D122">
        <v>4</v>
      </c>
      <c r="E122" t="s">
        <v>73</v>
      </c>
      <c r="F122" t="s">
        <v>5557</v>
      </c>
      <c r="G122" t="s">
        <v>3</v>
      </c>
      <c r="H122" t="s">
        <v>5553</v>
      </c>
      <c r="I122" t="s">
        <v>10</v>
      </c>
    </row>
    <row r="123" spans="1:9">
      <c r="A123" t="s">
        <v>5681</v>
      </c>
      <c r="B123" s="2">
        <v>45752</v>
      </c>
      <c r="C123">
        <v>2025</v>
      </c>
      <c r="D123">
        <v>4</v>
      </c>
      <c r="E123" t="s">
        <v>73</v>
      </c>
      <c r="F123" t="s">
        <v>5552</v>
      </c>
      <c r="G123" t="s">
        <v>3</v>
      </c>
      <c r="H123" t="s">
        <v>5553</v>
      </c>
      <c r="I123" t="s">
        <v>10</v>
      </c>
    </row>
    <row r="124" spans="1:9">
      <c r="A124" t="s">
        <v>5682</v>
      </c>
      <c r="B124" s="2">
        <v>45764</v>
      </c>
      <c r="C124">
        <v>2025</v>
      </c>
      <c r="D124">
        <v>4</v>
      </c>
      <c r="E124" t="s">
        <v>73</v>
      </c>
      <c r="F124" t="s">
        <v>5566</v>
      </c>
      <c r="G124" t="s">
        <v>3</v>
      </c>
      <c r="H124" t="s">
        <v>5553</v>
      </c>
      <c r="I124" t="s">
        <v>10</v>
      </c>
    </row>
    <row r="125" spans="1:9">
      <c r="A125" t="s">
        <v>5683</v>
      </c>
      <c r="B125" s="2">
        <v>45756</v>
      </c>
      <c r="C125">
        <v>2025</v>
      </c>
      <c r="D125">
        <v>4</v>
      </c>
      <c r="E125" t="s">
        <v>73</v>
      </c>
      <c r="F125" t="s">
        <v>5555</v>
      </c>
      <c r="G125" t="s">
        <v>48</v>
      </c>
      <c r="H125" t="s">
        <v>5553</v>
      </c>
      <c r="I125" t="s">
        <v>10</v>
      </c>
    </row>
    <row r="126" spans="1:9">
      <c r="A126" t="s">
        <v>5684</v>
      </c>
      <c r="B126" s="2">
        <v>45769</v>
      </c>
      <c r="C126">
        <v>2025</v>
      </c>
      <c r="D126">
        <v>4</v>
      </c>
      <c r="E126" t="s">
        <v>73</v>
      </c>
      <c r="F126" t="s">
        <v>5566</v>
      </c>
      <c r="G126" t="s">
        <v>55</v>
      </c>
      <c r="H126" t="s">
        <v>5553</v>
      </c>
      <c r="I126" t="s">
        <v>10</v>
      </c>
    </row>
    <row r="127" spans="1:9">
      <c r="A127" t="s">
        <v>5685</v>
      </c>
      <c r="B127" s="2">
        <v>45805</v>
      </c>
      <c r="C127">
        <v>2025</v>
      </c>
      <c r="D127">
        <v>5</v>
      </c>
      <c r="E127" t="s">
        <v>83</v>
      </c>
      <c r="F127" t="s">
        <v>5575</v>
      </c>
      <c r="G127" t="s">
        <v>61</v>
      </c>
      <c r="H127" t="s">
        <v>5553</v>
      </c>
      <c r="I127" t="s">
        <v>10</v>
      </c>
    </row>
    <row r="128" spans="1:9">
      <c r="A128" t="s">
        <v>5686</v>
      </c>
      <c r="B128" s="2">
        <v>45795</v>
      </c>
      <c r="C128">
        <v>2025</v>
      </c>
      <c r="D128">
        <v>5</v>
      </c>
      <c r="E128" t="s">
        <v>83</v>
      </c>
      <c r="F128" t="s">
        <v>5552</v>
      </c>
      <c r="G128" t="s">
        <v>94</v>
      </c>
      <c r="H128" t="s">
        <v>5553</v>
      </c>
      <c r="I128" t="s">
        <v>10</v>
      </c>
    </row>
    <row r="129" spans="1:9">
      <c r="A129" t="s">
        <v>5687</v>
      </c>
      <c r="B129" s="2">
        <v>45801</v>
      </c>
      <c r="C129">
        <v>2025</v>
      </c>
      <c r="D129">
        <v>5</v>
      </c>
      <c r="E129" t="s">
        <v>83</v>
      </c>
      <c r="F129" t="s">
        <v>5552</v>
      </c>
      <c r="G129" t="s">
        <v>74</v>
      </c>
      <c r="H129" t="s">
        <v>5553</v>
      </c>
      <c r="I129" t="s">
        <v>10</v>
      </c>
    </row>
    <row r="130" spans="1:9">
      <c r="A130" t="s">
        <v>5688</v>
      </c>
      <c r="B130" s="2">
        <v>45794</v>
      </c>
      <c r="C130">
        <v>2025</v>
      </c>
      <c r="D130">
        <v>5</v>
      </c>
      <c r="E130" t="s">
        <v>83</v>
      </c>
      <c r="F130" t="s">
        <v>5552</v>
      </c>
      <c r="G130" t="s">
        <v>32</v>
      </c>
      <c r="H130" t="s">
        <v>5553</v>
      </c>
      <c r="I130" t="s">
        <v>10</v>
      </c>
    </row>
    <row r="131" spans="1:9">
      <c r="A131" t="s">
        <v>5689</v>
      </c>
      <c r="B131" s="2">
        <v>45780</v>
      </c>
      <c r="C131">
        <v>2025</v>
      </c>
      <c r="D131">
        <v>5</v>
      </c>
      <c r="E131" t="s">
        <v>83</v>
      </c>
      <c r="F131" t="s">
        <v>5566</v>
      </c>
      <c r="G131" t="s">
        <v>27</v>
      </c>
      <c r="H131" t="s">
        <v>5553</v>
      </c>
      <c r="I131" t="s">
        <v>10</v>
      </c>
    </row>
    <row r="132" spans="1:9">
      <c r="A132" t="s">
        <v>5690</v>
      </c>
      <c r="B132" s="2">
        <v>45792</v>
      </c>
      <c r="C132">
        <v>2025</v>
      </c>
      <c r="D132">
        <v>5</v>
      </c>
      <c r="E132" t="s">
        <v>83</v>
      </c>
      <c r="F132" t="s">
        <v>5557</v>
      </c>
      <c r="G132" t="s">
        <v>74</v>
      </c>
      <c r="H132" t="s">
        <v>5561</v>
      </c>
      <c r="I132" t="s">
        <v>17</v>
      </c>
    </row>
    <row r="133" spans="1:9">
      <c r="A133" t="s">
        <v>5691</v>
      </c>
      <c r="B133" s="2">
        <v>45833</v>
      </c>
      <c r="C133">
        <v>2025</v>
      </c>
      <c r="D133">
        <v>6</v>
      </c>
      <c r="E133" t="s">
        <v>87</v>
      </c>
      <c r="F133" t="s">
        <v>5575</v>
      </c>
      <c r="G133" t="s">
        <v>3</v>
      </c>
      <c r="H133" t="s">
        <v>5553</v>
      </c>
      <c r="I133" t="s">
        <v>10</v>
      </c>
    </row>
    <row r="134" spans="1:9">
      <c r="A134" t="s">
        <v>5692</v>
      </c>
      <c r="B134" s="2">
        <v>45821</v>
      </c>
      <c r="C134">
        <v>2025</v>
      </c>
      <c r="D134">
        <v>6</v>
      </c>
      <c r="E134" t="s">
        <v>87</v>
      </c>
      <c r="F134" t="s">
        <v>5569</v>
      </c>
      <c r="G134" t="s">
        <v>94</v>
      </c>
      <c r="H134" t="s">
        <v>5553</v>
      </c>
      <c r="I134" t="s">
        <v>10</v>
      </c>
    </row>
    <row r="135" spans="1:9">
      <c r="A135" t="s">
        <v>5693</v>
      </c>
      <c r="B135" s="2">
        <v>45812</v>
      </c>
      <c r="C135">
        <v>2025</v>
      </c>
      <c r="D135">
        <v>6</v>
      </c>
      <c r="E135" t="s">
        <v>87</v>
      </c>
      <c r="F135" t="s">
        <v>5555</v>
      </c>
      <c r="G135" t="s">
        <v>32</v>
      </c>
      <c r="H135" t="s">
        <v>5561</v>
      </c>
      <c r="I135" t="s">
        <v>17</v>
      </c>
    </row>
    <row r="136" spans="1:9">
      <c r="A136" t="s">
        <v>5694</v>
      </c>
      <c r="B136" s="2">
        <v>45834</v>
      </c>
      <c r="C136">
        <v>2025</v>
      </c>
      <c r="D136">
        <v>6</v>
      </c>
      <c r="E136" t="s">
        <v>87</v>
      </c>
      <c r="F136" t="s">
        <v>5557</v>
      </c>
      <c r="G136" t="s">
        <v>94</v>
      </c>
      <c r="H136" t="s">
        <v>5553</v>
      </c>
      <c r="I136" t="s">
        <v>10</v>
      </c>
    </row>
    <row r="137" spans="1:9">
      <c r="A137" t="s">
        <v>5695</v>
      </c>
      <c r="B137" s="2">
        <v>45836</v>
      </c>
      <c r="C137">
        <v>2025</v>
      </c>
      <c r="D137">
        <v>6</v>
      </c>
      <c r="E137" t="s">
        <v>87</v>
      </c>
      <c r="F137" t="s">
        <v>5569</v>
      </c>
      <c r="G137" t="s">
        <v>74</v>
      </c>
      <c r="H137" t="s">
        <v>5553</v>
      </c>
      <c r="I137" t="s">
        <v>10</v>
      </c>
    </row>
    <row r="138" spans="1:9">
      <c r="A138" t="s">
        <v>5696</v>
      </c>
      <c r="B138" s="2">
        <v>45829</v>
      </c>
      <c r="C138">
        <v>2025</v>
      </c>
      <c r="D138">
        <v>6</v>
      </c>
      <c r="E138" t="s">
        <v>87</v>
      </c>
      <c r="F138" t="s">
        <v>5575</v>
      </c>
      <c r="G138" t="s">
        <v>69</v>
      </c>
      <c r="H138" t="s">
        <v>5561</v>
      </c>
      <c r="I138" t="s">
        <v>17</v>
      </c>
    </row>
    <row r="139" spans="1:9">
      <c r="A139" t="s">
        <v>5697</v>
      </c>
      <c r="B139" s="2">
        <v>45822</v>
      </c>
      <c r="C139">
        <v>2025</v>
      </c>
      <c r="D139">
        <v>6</v>
      </c>
      <c r="E139" t="s">
        <v>87</v>
      </c>
      <c r="F139" t="s">
        <v>5564</v>
      </c>
      <c r="G139" t="s">
        <v>27</v>
      </c>
      <c r="H139" t="s">
        <v>5553</v>
      </c>
      <c r="I139" t="s">
        <v>10</v>
      </c>
    </row>
    <row r="140" spans="1:9">
      <c r="A140" t="s">
        <v>5698</v>
      </c>
      <c r="B140" s="2">
        <v>45816</v>
      </c>
      <c r="C140">
        <v>2025</v>
      </c>
      <c r="D140">
        <v>6</v>
      </c>
      <c r="E140" t="s">
        <v>87</v>
      </c>
      <c r="F140" t="s">
        <v>5575</v>
      </c>
      <c r="G140" t="s">
        <v>61</v>
      </c>
      <c r="H140" t="s">
        <v>5553</v>
      </c>
      <c r="I140" t="s">
        <v>10</v>
      </c>
    </row>
    <row r="141" spans="1:9">
      <c r="A141" t="s">
        <v>5699</v>
      </c>
      <c r="B141" s="2">
        <v>45852</v>
      </c>
      <c r="C141">
        <v>2025</v>
      </c>
      <c r="D141">
        <v>7</v>
      </c>
      <c r="E141" t="s">
        <v>93</v>
      </c>
      <c r="F141" t="s">
        <v>5566</v>
      </c>
      <c r="G141" t="s">
        <v>48</v>
      </c>
      <c r="H141" t="s">
        <v>5553</v>
      </c>
      <c r="I141" t="s">
        <v>10</v>
      </c>
    </row>
    <row r="142" spans="1:9">
      <c r="A142" t="s">
        <v>5700</v>
      </c>
      <c r="B142" s="2">
        <v>45864</v>
      </c>
      <c r="C142">
        <v>2025</v>
      </c>
      <c r="D142">
        <v>7</v>
      </c>
      <c r="E142" t="s">
        <v>93</v>
      </c>
      <c r="F142" t="s">
        <v>5575</v>
      </c>
      <c r="G142" t="s">
        <v>61</v>
      </c>
      <c r="H142" t="s">
        <v>5553</v>
      </c>
      <c r="I142" t="s">
        <v>10</v>
      </c>
    </row>
    <row r="143" spans="1:9">
      <c r="A143" t="s">
        <v>5701</v>
      </c>
      <c r="B143" s="2">
        <v>45854</v>
      </c>
      <c r="C143">
        <v>2025</v>
      </c>
      <c r="D143">
        <v>7</v>
      </c>
      <c r="E143" t="s">
        <v>93</v>
      </c>
      <c r="F143" t="s">
        <v>5575</v>
      </c>
      <c r="G143" t="s">
        <v>64</v>
      </c>
      <c r="H143" t="s">
        <v>5553</v>
      </c>
      <c r="I143" t="s">
        <v>10</v>
      </c>
    </row>
    <row r="144" spans="1:9">
      <c r="A144" t="s">
        <v>5702</v>
      </c>
      <c r="B144" s="2">
        <v>45844</v>
      </c>
      <c r="C144">
        <v>2025</v>
      </c>
      <c r="D144">
        <v>7</v>
      </c>
      <c r="E144" t="s">
        <v>93</v>
      </c>
      <c r="F144" t="s">
        <v>5555</v>
      </c>
      <c r="G144" t="s">
        <v>27</v>
      </c>
      <c r="H144" t="s">
        <v>5553</v>
      </c>
      <c r="I144" t="s">
        <v>10</v>
      </c>
    </row>
    <row r="145" spans="1:9">
      <c r="A145" t="s">
        <v>5703</v>
      </c>
      <c r="B145" s="2">
        <v>45841</v>
      </c>
      <c r="C145">
        <v>2025</v>
      </c>
      <c r="D145">
        <v>7</v>
      </c>
      <c r="E145" t="s">
        <v>93</v>
      </c>
      <c r="F145" t="s">
        <v>5564</v>
      </c>
      <c r="G145" t="s">
        <v>3</v>
      </c>
      <c r="H145" t="s">
        <v>5553</v>
      </c>
      <c r="I145" t="s">
        <v>10</v>
      </c>
    </row>
    <row r="146" spans="1:9">
      <c r="A146" t="s">
        <v>5704</v>
      </c>
      <c r="B146" s="2">
        <v>45855</v>
      </c>
      <c r="C146">
        <v>2025</v>
      </c>
      <c r="D146">
        <v>7</v>
      </c>
      <c r="E146" t="s">
        <v>93</v>
      </c>
      <c r="F146" t="s">
        <v>5552</v>
      </c>
      <c r="G146" t="s">
        <v>94</v>
      </c>
      <c r="H146" t="s">
        <v>5561</v>
      </c>
      <c r="I146" t="s">
        <v>17</v>
      </c>
    </row>
    <row r="147" spans="1:9">
      <c r="A147" t="s">
        <v>5705</v>
      </c>
      <c r="B147" s="2">
        <v>45839</v>
      </c>
      <c r="C147">
        <v>2025</v>
      </c>
      <c r="D147">
        <v>7</v>
      </c>
      <c r="E147" t="s">
        <v>93</v>
      </c>
      <c r="F147" t="s">
        <v>5575</v>
      </c>
      <c r="G147" t="s">
        <v>64</v>
      </c>
      <c r="H147" t="s">
        <v>5553</v>
      </c>
      <c r="I147" t="s">
        <v>10</v>
      </c>
    </row>
    <row r="148" spans="1:9">
      <c r="A148" t="s">
        <v>5706</v>
      </c>
      <c r="B148" s="2">
        <v>45858</v>
      </c>
      <c r="C148">
        <v>2025</v>
      </c>
      <c r="D148">
        <v>7</v>
      </c>
      <c r="E148" t="s">
        <v>93</v>
      </c>
      <c r="F148" t="s">
        <v>5569</v>
      </c>
      <c r="G148" t="s">
        <v>61</v>
      </c>
      <c r="H148" t="s">
        <v>5553</v>
      </c>
      <c r="I148" t="s">
        <v>10</v>
      </c>
    </row>
    <row r="149" spans="1:9">
      <c r="A149" t="s">
        <v>5707</v>
      </c>
      <c r="B149" s="2">
        <v>45853</v>
      </c>
      <c r="C149">
        <v>2025</v>
      </c>
      <c r="D149">
        <v>7</v>
      </c>
      <c r="E149" t="s">
        <v>93</v>
      </c>
      <c r="F149" t="s">
        <v>5555</v>
      </c>
      <c r="G149" t="s">
        <v>55</v>
      </c>
      <c r="H149" t="s">
        <v>5553</v>
      </c>
      <c r="I149" t="s">
        <v>10</v>
      </c>
    </row>
    <row r="150" spans="1:9">
      <c r="A150" t="s">
        <v>5708</v>
      </c>
      <c r="B150" s="2">
        <v>45842</v>
      </c>
      <c r="C150">
        <v>2025</v>
      </c>
      <c r="D150">
        <v>7</v>
      </c>
      <c r="E150" t="s">
        <v>93</v>
      </c>
      <c r="F150" t="s">
        <v>5566</v>
      </c>
      <c r="G150" t="s">
        <v>3</v>
      </c>
      <c r="H150" t="s">
        <v>5553</v>
      </c>
      <c r="I150" t="s">
        <v>10</v>
      </c>
    </row>
    <row r="151" spans="1:9">
      <c r="A151" t="s">
        <v>5709</v>
      </c>
      <c r="B151" s="2">
        <v>45880</v>
      </c>
      <c r="C151">
        <v>2025</v>
      </c>
      <c r="D151">
        <v>8</v>
      </c>
      <c r="E151" t="s">
        <v>101</v>
      </c>
      <c r="F151" t="s">
        <v>5575</v>
      </c>
      <c r="G151" t="s">
        <v>94</v>
      </c>
      <c r="H151" t="s">
        <v>5553</v>
      </c>
      <c r="I151" t="s">
        <v>10</v>
      </c>
    </row>
    <row r="152" spans="1:9">
      <c r="A152" t="s">
        <v>5710</v>
      </c>
      <c r="B152" s="2">
        <v>45875</v>
      </c>
      <c r="C152">
        <v>2025</v>
      </c>
      <c r="D152">
        <v>8</v>
      </c>
      <c r="E152" t="s">
        <v>101</v>
      </c>
      <c r="F152" t="s">
        <v>5575</v>
      </c>
      <c r="G152" t="s">
        <v>94</v>
      </c>
      <c r="H152" t="s">
        <v>5553</v>
      </c>
      <c r="I152" t="s">
        <v>10</v>
      </c>
    </row>
    <row r="153" spans="1:9">
      <c r="A153" t="s">
        <v>5711</v>
      </c>
      <c r="B153" s="2">
        <v>45896</v>
      </c>
      <c r="C153">
        <v>2025</v>
      </c>
      <c r="D153">
        <v>8</v>
      </c>
      <c r="E153" t="s">
        <v>101</v>
      </c>
      <c r="F153" t="s">
        <v>5555</v>
      </c>
      <c r="G153" t="s">
        <v>38</v>
      </c>
      <c r="H153" t="s">
        <v>5553</v>
      </c>
      <c r="I153" t="s">
        <v>10</v>
      </c>
    </row>
    <row r="154" spans="1:9">
      <c r="A154" t="s">
        <v>5712</v>
      </c>
      <c r="B154" s="2">
        <v>45881</v>
      </c>
      <c r="C154">
        <v>2025</v>
      </c>
      <c r="D154">
        <v>8</v>
      </c>
      <c r="E154" t="s">
        <v>101</v>
      </c>
      <c r="F154" t="s">
        <v>5575</v>
      </c>
      <c r="G154" t="s">
        <v>32</v>
      </c>
      <c r="H154" t="s">
        <v>5553</v>
      </c>
      <c r="I154" t="s">
        <v>10</v>
      </c>
    </row>
    <row r="155" spans="1:9">
      <c r="A155" t="s">
        <v>5713</v>
      </c>
      <c r="B155" s="2">
        <v>45885</v>
      </c>
      <c r="C155">
        <v>2025</v>
      </c>
      <c r="D155">
        <v>8</v>
      </c>
      <c r="E155" t="s">
        <v>101</v>
      </c>
      <c r="F155" t="s">
        <v>5566</v>
      </c>
      <c r="G155" t="s">
        <v>20</v>
      </c>
      <c r="H155" t="s">
        <v>5553</v>
      </c>
      <c r="I155" t="s">
        <v>10</v>
      </c>
    </row>
    <row r="156" spans="1:9">
      <c r="A156" t="s">
        <v>5714</v>
      </c>
      <c r="B156" s="2">
        <v>45882</v>
      </c>
      <c r="C156">
        <v>2025</v>
      </c>
      <c r="D156">
        <v>8</v>
      </c>
      <c r="E156" t="s">
        <v>101</v>
      </c>
      <c r="F156" t="s">
        <v>5569</v>
      </c>
      <c r="G156" t="s">
        <v>3</v>
      </c>
      <c r="H156" t="s">
        <v>5561</v>
      </c>
      <c r="I156" t="s">
        <v>17</v>
      </c>
    </row>
    <row r="157" spans="1:9">
      <c r="A157" t="s">
        <v>5715</v>
      </c>
      <c r="B157" s="2">
        <v>45894</v>
      </c>
      <c r="C157">
        <v>2025</v>
      </c>
      <c r="D157">
        <v>8</v>
      </c>
      <c r="E157" t="s">
        <v>101</v>
      </c>
      <c r="F157" t="s">
        <v>5557</v>
      </c>
      <c r="G157" t="s">
        <v>48</v>
      </c>
      <c r="H157" t="s">
        <v>5553</v>
      </c>
      <c r="I157" t="s">
        <v>10</v>
      </c>
    </row>
    <row r="158" spans="1:9">
      <c r="A158" t="s">
        <v>5716</v>
      </c>
      <c r="B158" s="2">
        <v>45890</v>
      </c>
      <c r="C158">
        <v>2025</v>
      </c>
      <c r="D158">
        <v>8</v>
      </c>
      <c r="E158" t="s">
        <v>101</v>
      </c>
      <c r="F158" t="s">
        <v>5575</v>
      </c>
      <c r="G158" t="s">
        <v>3</v>
      </c>
      <c r="H158" t="s">
        <v>5553</v>
      </c>
      <c r="I158" t="s">
        <v>10</v>
      </c>
    </row>
    <row r="159" spans="1:9">
      <c r="A159" t="s">
        <v>5717</v>
      </c>
      <c r="B159" s="2">
        <v>45895</v>
      </c>
      <c r="C159">
        <v>2025</v>
      </c>
      <c r="D159">
        <v>8</v>
      </c>
      <c r="E159" t="s">
        <v>101</v>
      </c>
      <c r="F159" t="s">
        <v>5566</v>
      </c>
      <c r="G159" t="s">
        <v>55</v>
      </c>
      <c r="H159" t="s">
        <v>5553</v>
      </c>
      <c r="I159" t="s">
        <v>10</v>
      </c>
    </row>
    <row r="160" spans="1:9">
      <c r="A160" t="s">
        <v>5718</v>
      </c>
      <c r="B160" s="2">
        <v>45885</v>
      </c>
      <c r="C160">
        <v>2025</v>
      </c>
      <c r="D160">
        <v>8</v>
      </c>
      <c r="E160" t="s">
        <v>101</v>
      </c>
      <c r="F160" t="s">
        <v>5569</v>
      </c>
      <c r="G160" t="s">
        <v>32</v>
      </c>
      <c r="H160" t="s">
        <v>5553</v>
      </c>
      <c r="I160" t="s">
        <v>10</v>
      </c>
    </row>
    <row r="161" spans="1:9">
      <c r="A161" t="s">
        <v>5719</v>
      </c>
      <c r="B161" s="2">
        <v>45926</v>
      </c>
      <c r="C161">
        <v>2025</v>
      </c>
      <c r="D161">
        <v>9</v>
      </c>
      <c r="E161" t="s">
        <v>105</v>
      </c>
      <c r="F161" t="s">
        <v>5555</v>
      </c>
      <c r="G161" t="s">
        <v>61</v>
      </c>
      <c r="H161" t="s">
        <v>5553</v>
      </c>
      <c r="I161" t="s">
        <v>10</v>
      </c>
    </row>
    <row r="162" spans="1:9">
      <c r="A162" t="s">
        <v>5720</v>
      </c>
      <c r="B162" s="2">
        <v>45912</v>
      </c>
      <c r="C162">
        <v>2025</v>
      </c>
      <c r="D162">
        <v>9</v>
      </c>
      <c r="E162" t="s">
        <v>105</v>
      </c>
      <c r="F162" t="s">
        <v>5564</v>
      </c>
      <c r="G162" t="s">
        <v>38</v>
      </c>
      <c r="H162" t="s">
        <v>5553</v>
      </c>
      <c r="I162" t="s">
        <v>10</v>
      </c>
    </row>
    <row r="163" spans="1:9">
      <c r="A163" t="s">
        <v>5721</v>
      </c>
      <c r="B163" s="2">
        <v>45910</v>
      </c>
      <c r="C163">
        <v>2025</v>
      </c>
      <c r="D163">
        <v>9</v>
      </c>
      <c r="E163" t="s">
        <v>105</v>
      </c>
      <c r="F163" t="s">
        <v>5557</v>
      </c>
      <c r="G163" t="s">
        <v>27</v>
      </c>
      <c r="H163" t="s">
        <v>5553</v>
      </c>
      <c r="I163" t="s">
        <v>10</v>
      </c>
    </row>
    <row r="164" spans="1:9">
      <c r="A164" t="s">
        <v>5722</v>
      </c>
      <c r="B164" s="2">
        <v>45915</v>
      </c>
      <c r="C164">
        <v>2025</v>
      </c>
      <c r="D164">
        <v>9</v>
      </c>
      <c r="E164" t="s">
        <v>105</v>
      </c>
      <c r="F164" t="s">
        <v>5575</v>
      </c>
      <c r="G164" t="s">
        <v>55</v>
      </c>
      <c r="H164" t="s">
        <v>5553</v>
      </c>
      <c r="I164" t="s">
        <v>10</v>
      </c>
    </row>
    <row r="165" spans="1:9">
      <c r="A165" t="s">
        <v>5723</v>
      </c>
      <c r="B165" s="2">
        <v>45915</v>
      </c>
      <c r="C165">
        <v>2025</v>
      </c>
      <c r="D165">
        <v>9</v>
      </c>
      <c r="E165" t="s">
        <v>105</v>
      </c>
      <c r="F165" t="s">
        <v>5575</v>
      </c>
      <c r="G165" t="s">
        <v>48</v>
      </c>
      <c r="H165" t="s">
        <v>5553</v>
      </c>
      <c r="I165" t="s">
        <v>10</v>
      </c>
    </row>
    <row r="166" spans="1:9">
      <c r="A166" t="s">
        <v>5724</v>
      </c>
      <c r="B166" s="2">
        <v>45908</v>
      </c>
      <c r="C166">
        <v>2025</v>
      </c>
      <c r="D166">
        <v>9</v>
      </c>
      <c r="E166" t="s">
        <v>105</v>
      </c>
      <c r="F166" t="s">
        <v>5569</v>
      </c>
      <c r="G166" t="s">
        <v>20</v>
      </c>
      <c r="H166" t="s">
        <v>5553</v>
      </c>
      <c r="I166" t="s">
        <v>10</v>
      </c>
    </row>
    <row r="167" spans="1:9">
      <c r="A167" t="s">
        <v>5725</v>
      </c>
      <c r="B167" s="2">
        <v>45904</v>
      </c>
      <c r="C167">
        <v>2025</v>
      </c>
      <c r="D167">
        <v>9</v>
      </c>
      <c r="E167" t="s">
        <v>105</v>
      </c>
      <c r="F167" t="s">
        <v>5552</v>
      </c>
      <c r="G167" t="s">
        <v>64</v>
      </c>
      <c r="H167" t="s">
        <v>5553</v>
      </c>
      <c r="I167" t="s">
        <v>10</v>
      </c>
    </row>
    <row r="168" spans="1:9">
      <c r="A168" t="s">
        <v>5726</v>
      </c>
      <c r="B168" s="2">
        <v>45958</v>
      </c>
      <c r="C168">
        <v>2025</v>
      </c>
      <c r="D168">
        <v>10</v>
      </c>
      <c r="E168" t="s">
        <v>113</v>
      </c>
      <c r="F168" t="s">
        <v>5557</v>
      </c>
      <c r="G168" t="s">
        <v>48</v>
      </c>
      <c r="H168" t="s">
        <v>5553</v>
      </c>
      <c r="I168" t="s">
        <v>10</v>
      </c>
    </row>
    <row r="169" spans="1:9">
      <c r="A169" t="s">
        <v>5727</v>
      </c>
      <c r="B169" s="2">
        <v>45938</v>
      </c>
      <c r="C169">
        <v>2025</v>
      </c>
      <c r="D169">
        <v>10</v>
      </c>
      <c r="E169" t="s">
        <v>113</v>
      </c>
      <c r="F169" t="s">
        <v>5552</v>
      </c>
      <c r="G169" t="s">
        <v>74</v>
      </c>
      <c r="H169" t="s">
        <v>5553</v>
      </c>
      <c r="I169" t="s">
        <v>10</v>
      </c>
    </row>
    <row r="170" spans="1:9">
      <c r="A170" t="s">
        <v>5728</v>
      </c>
      <c r="B170" s="2">
        <v>45936</v>
      </c>
      <c r="C170">
        <v>2025</v>
      </c>
      <c r="D170">
        <v>10</v>
      </c>
      <c r="E170" t="s">
        <v>113</v>
      </c>
      <c r="F170" t="s">
        <v>5552</v>
      </c>
      <c r="G170" t="s">
        <v>48</v>
      </c>
      <c r="H170" t="s">
        <v>5553</v>
      </c>
      <c r="I170" t="s">
        <v>10</v>
      </c>
    </row>
    <row r="171" spans="1:9">
      <c r="A171" t="s">
        <v>5729</v>
      </c>
      <c r="B171" s="2">
        <v>45954</v>
      </c>
      <c r="C171">
        <v>2025</v>
      </c>
      <c r="D171">
        <v>10</v>
      </c>
      <c r="E171" t="s">
        <v>113</v>
      </c>
      <c r="F171" t="s">
        <v>5575</v>
      </c>
      <c r="G171" t="s">
        <v>38</v>
      </c>
      <c r="H171" t="s">
        <v>5553</v>
      </c>
      <c r="I171" t="s">
        <v>10</v>
      </c>
    </row>
    <row r="172" spans="1:9">
      <c r="A172" t="s">
        <v>5730</v>
      </c>
      <c r="B172" s="2">
        <v>45937</v>
      </c>
      <c r="C172">
        <v>2025</v>
      </c>
      <c r="D172">
        <v>10</v>
      </c>
      <c r="E172" t="s">
        <v>113</v>
      </c>
      <c r="F172" t="s">
        <v>5564</v>
      </c>
      <c r="G172" t="s">
        <v>94</v>
      </c>
      <c r="H172" t="s">
        <v>5553</v>
      </c>
      <c r="I172" t="s">
        <v>10</v>
      </c>
    </row>
    <row r="173" spans="1:9">
      <c r="A173" t="s">
        <v>5731</v>
      </c>
      <c r="B173" s="2">
        <v>45954</v>
      </c>
      <c r="C173">
        <v>2025</v>
      </c>
      <c r="D173">
        <v>10</v>
      </c>
      <c r="E173" t="s">
        <v>113</v>
      </c>
      <c r="F173" t="s">
        <v>5569</v>
      </c>
      <c r="G173" t="s">
        <v>32</v>
      </c>
      <c r="H173" t="s">
        <v>5553</v>
      </c>
      <c r="I173" t="s">
        <v>10</v>
      </c>
    </row>
    <row r="174" spans="1:9">
      <c r="A174" t="s">
        <v>5732</v>
      </c>
      <c r="B174" s="2">
        <v>45976</v>
      </c>
      <c r="C174">
        <v>2025</v>
      </c>
      <c r="D174">
        <v>11</v>
      </c>
      <c r="E174" t="s">
        <v>117</v>
      </c>
      <c r="F174" t="s">
        <v>5569</v>
      </c>
      <c r="G174" t="s">
        <v>69</v>
      </c>
      <c r="H174" t="s">
        <v>5561</v>
      </c>
      <c r="I174" t="s">
        <v>17</v>
      </c>
    </row>
    <row r="175" spans="1:9">
      <c r="A175" t="s">
        <v>5733</v>
      </c>
      <c r="B175" s="2">
        <v>45975</v>
      </c>
      <c r="C175">
        <v>2025</v>
      </c>
      <c r="D175">
        <v>11</v>
      </c>
      <c r="E175" t="s">
        <v>117</v>
      </c>
      <c r="F175" t="s">
        <v>5566</v>
      </c>
      <c r="G175" t="s">
        <v>61</v>
      </c>
      <c r="H175" t="s">
        <v>5553</v>
      </c>
      <c r="I175" t="s">
        <v>10</v>
      </c>
    </row>
    <row r="176" spans="1:9">
      <c r="A176" t="s">
        <v>5734</v>
      </c>
      <c r="B176" s="2">
        <v>45970</v>
      </c>
      <c r="C176">
        <v>2025</v>
      </c>
      <c r="D176">
        <v>11</v>
      </c>
      <c r="E176" t="s">
        <v>117</v>
      </c>
      <c r="F176" t="s">
        <v>5555</v>
      </c>
      <c r="G176" t="s">
        <v>38</v>
      </c>
      <c r="H176" t="s">
        <v>5553</v>
      </c>
      <c r="I176" t="s">
        <v>10</v>
      </c>
    </row>
    <row r="177" spans="1:9">
      <c r="A177" t="s">
        <v>5735</v>
      </c>
      <c r="B177" s="2">
        <v>45983</v>
      </c>
      <c r="C177">
        <v>2025</v>
      </c>
      <c r="D177">
        <v>11</v>
      </c>
      <c r="E177" t="s">
        <v>117</v>
      </c>
      <c r="F177" t="s">
        <v>5575</v>
      </c>
      <c r="G177" t="s">
        <v>48</v>
      </c>
      <c r="H177" t="s">
        <v>5553</v>
      </c>
      <c r="I177" t="s">
        <v>10</v>
      </c>
    </row>
    <row r="178" spans="1:9">
      <c r="A178" t="s">
        <v>5736</v>
      </c>
      <c r="B178" s="2">
        <v>45970</v>
      </c>
      <c r="C178">
        <v>2025</v>
      </c>
      <c r="D178">
        <v>11</v>
      </c>
      <c r="E178" t="s">
        <v>117</v>
      </c>
      <c r="F178" t="s">
        <v>5575</v>
      </c>
      <c r="G178" t="s">
        <v>48</v>
      </c>
      <c r="H178" t="s">
        <v>5553</v>
      </c>
      <c r="I178" t="s">
        <v>10</v>
      </c>
    </row>
    <row r="179" spans="1:9">
      <c r="A179" t="s">
        <v>5737</v>
      </c>
      <c r="B179" s="2">
        <v>45982</v>
      </c>
      <c r="C179">
        <v>2025</v>
      </c>
      <c r="D179">
        <v>11</v>
      </c>
      <c r="E179" t="s">
        <v>117</v>
      </c>
      <c r="F179" t="s">
        <v>5557</v>
      </c>
      <c r="G179" t="s">
        <v>38</v>
      </c>
      <c r="H179" t="s">
        <v>5553</v>
      </c>
      <c r="I179" t="s">
        <v>10</v>
      </c>
    </row>
    <row r="180" spans="1:9">
      <c r="A180" t="s">
        <v>5738</v>
      </c>
      <c r="B180" s="2">
        <v>45963</v>
      </c>
      <c r="C180">
        <v>2025</v>
      </c>
      <c r="D180">
        <v>11</v>
      </c>
      <c r="E180" t="s">
        <v>117</v>
      </c>
      <c r="F180" t="s">
        <v>5557</v>
      </c>
      <c r="G180" t="s">
        <v>94</v>
      </c>
      <c r="H180" t="s">
        <v>5553</v>
      </c>
      <c r="I180" t="s">
        <v>10</v>
      </c>
    </row>
    <row r="181" spans="1:9">
      <c r="A181" t="s">
        <v>5739</v>
      </c>
      <c r="B181" s="2">
        <v>46004</v>
      </c>
      <c r="C181">
        <v>2025</v>
      </c>
      <c r="D181">
        <v>12</v>
      </c>
      <c r="E181" t="s">
        <v>124</v>
      </c>
      <c r="F181" t="s">
        <v>5564</v>
      </c>
      <c r="G181" t="s">
        <v>38</v>
      </c>
      <c r="H181" t="s">
        <v>5553</v>
      </c>
      <c r="I181" t="s">
        <v>10</v>
      </c>
    </row>
    <row r="182" spans="1:9">
      <c r="A182" t="s">
        <v>5740</v>
      </c>
      <c r="B182" s="2">
        <v>46006</v>
      </c>
      <c r="C182">
        <v>2025</v>
      </c>
      <c r="D182">
        <v>12</v>
      </c>
      <c r="E182" t="s">
        <v>124</v>
      </c>
      <c r="F182" t="s">
        <v>5566</v>
      </c>
      <c r="G182" t="s">
        <v>27</v>
      </c>
      <c r="H182" t="s">
        <v>5553</v>
      </c>
      <c r="I182" t="s">
        <v>10</v>
      </c>
    </row>
    <row r="183" spans="1:9">
      <c r="A183" t="s">
        <v>5741</v>
      </c>
      <c r="B183" s="2">
        <v>46013</v>
      </c>
      <c r="C183">
        <v>2025</v>
      </c>
      <c r="D183">
        <v>12</v>
      </c>
      <c r="E183" t="s">
        <v>124</v>
      </c>
      <c r="F183" t="s">
        <v>5564</v>
      </c>
      <c r="G183" t="s">
        <v>69</v>
      </c>
      <c r="H183" t="s">
        <v>5553</v>
      </c>
      <c r="I183" t="s">
        <v>10</v>
      </c>
    </row>
    <row r="184" spans="1:9">
      <c r="A184" t="s">
        <v>5742</v>
      </c>
      <c r="B184" s="2">
        <v>46014</v>
      </c>
      <c r="C184">
        <v>2025</v>
      </c>
      <c r="D184">
        <v>12</v>
      </c>
      <c r="E184" t="s">
        <v>124</v>
      </c>
      <c r="F184" t="s">
        <v>5575</v>
      </c>
      <c r="G184" t="s">
        <v>55</v>
      </c>
      <c r="H184" t="s">
        <v>5553</v>
      </c>
      <c r="I184" t="s">
        <v>10</v>
      </c>
    </row>
    <row r="185" spans="1:9">
      <c r="A185" t="s">
        <v>5743</v>
      </c>
      <c r="B185" s="2">
        <v>45998</v>
      </c>
      <c r="C185">
        <v>2025</v>
      </c>
      <c r="D185">
        <v>12</v>
      </c>
      <c r="E185" t="s">
        <v>124</v>
      </c>
      <c r="F185" t="s">
        <v>5566</v>
      </c>
      <c r="G185" t="s">
        <v>61</v>
      </c>
      <c r="H185" t="s">
        <v>5553</v>
      </c>
      <c r="I185" t="s">
        <v>10</v>
      </c>
    </row>
    <row r="186" spans="1:9">
      <c r="A186" t="s">
        <v>5744</v>
      </c>
      <c r="B186" s="2">
        <v>46010</v>
      </c>
      <c r="C186">
        <v>2025</v>
      </c>
      <c r="D186">
        <v>12</v>
      </c>
      <c r="E186" t="s">
        <v>124</v>
      </c>
      <c r="F186" t="s">
        <v>5552</v>
      </c>
      <c r="G186" t="s">
        <v>61</v>
      </c>
      <c r="H186" t="s">
        <v>5553</v>
      </c>
      <c r="I186" t="s">
        <v>10</v>
      </c>
    </row>
    <row r="187" spans="1:9">
      <c r="A187" t="s">
        <v>5745</v>
      </c>
      <c r="B187" s="2">
        <v>46006</v>
      </c>
      <c r="C187">
        <v>2025</v>
      </c>
      <c r="D187">
        <v>12</v>
      </c>
      <c r="E187" t="s">
        <v>124</v>
      </c>
      <c r="F187" t="s">
        <v>5575</v>
      </c>
      <c r="G187" t="s">
        <v>27</v>
      </c>
      <c r="H187" t="s">
        <v>5553</v>
      </c>
      <c r="I187" t="s">
        <v>10</v>
      </c>
    </row>
    <row r="188" spans="1:9">
      <c r="A188" t="s">
        <v>5746</v>
      </c>
      <c r="B188" s="2">
        <v>45994</v>
      </c>
      <c r="C188">
        <v>2025</v>
      </c>
      <c r="D188">
        <v>12</v>
      </c>
      <c r="E188" t="s">
        <v>124</v>
      </c>
      <c r="F188" t="s">
        <v>5566</v>
      </c>
      <c r="G188" t="s">
        <v>38</v>
      </c>
      <c r="H188" t="s">
        <v>5553</v>
      </c>
      <c r="I188" t="s">
        <v>10</v>
      </c>
    </row>
    <row r="189" spans="1:9">
      <c r="A189" t="s">
        <v>5747</v>
      </c>
      <c r="B189" s="2">
        <v>45995</v>
      </c>
      <c r="C189">
        <v>2025</v>
      </c>
      <c r="D189">
        <v>12</v>
      </c>
      <c r="E189" t="s">
        <v>124</v>
      </c>
      <c r="F189" t="s">
        <v>5555</v>
      </c>
      <c r="G189" t="s">
        <v>3</v>
      </c>
      <c r="H189" t="s">
        <v>5553</v>
      </c>
      <c r="I189" t="s">
        <v>10</v>
      </c>
    </row>
    <row r="190" spans="1:9">
      <c r="A190" t="s">
        <v>5748</v>
      </c>
      <c r="B190" s="2">
        <v>45997</v>
      </c>
      <c r="C190">
        <v>2025</v>
      </c>
      <c r="D190">
        <v>12</v>
      </c>
      <c r="E190" t="s">
        <v>124</v>
      </c>
      <c r="F190" t="s">
        <v>5564</v>
      </c>
      <c r="G190" t="s">
        <v>48</v>
      </c>
      <c r="H190" t="s">
        <v>5553</v>
      </c>
      <c r="I190" t="s">
        <v>10</v>
      </c>
    </row>
    <row r="191" spans="1:9">
      <c r="A191" t="s">
        <v>5749</v>
      </c>
      <c r="B191" s="2">
        <v>46030</v>
      </c>
      <c r="C191">
        <v>2026</v>
      </c>
      <c r="D191">
        <v>1</v>
      </c>
      <c r="E191" t="s">
        <v>1</v>
      </c>
      <c r="F191" t="s">
        <v>5552</v>
      </c>
      <c r="G191" t="s">
        <v>64</v>
      </c>
      <c r="H191" t="s">
        <v>5553</v>
      </c>
      <c r="I191" t="s">
        <v>10</v>
      </c>
    </row>
    <row r="192" spans="1:9">
      <c r="A192" t="s">
        <v>5750</v>
      </c>
      <c r="B192" s="2">
        <v>46031</v>
      </c>
      <c r="C192">
        <v>2026</v>
      </c>
      <c r="D192">
        <v>1</v>
      </c>
      <c r="E192" t="s">
        <v>1</v>
      </c>
      <c r="F192" t="s">
        <v>5564</v>
      </c>
      <c r="G192" t="s">
        <v>48</v>
      </c>
      <c r="H192" t="s">
        <v>5553</v>
      </c>
      <c r="I192" t="s">
        <v>10</v>
      </c>
    </row>
    <row r="193" spans="1:9">
      <c r="A193" t="s">
        <v>5751</v>
      </c>
      <c r="B193" s="2">
        <v>46025</v>
      </c>
      <c r="C193">
        <v>2026</v>
      </c>
      <c r="D193">
        <v>1</v>
      </c>
      <c r="E193" t="s">
        <v>1</v>
      </c>
      <c r="F193" t="s">
        <v>5552</v>
      </c>
      <c r="G193" t="s">
        <v>27</v>
      </c>
      <c r="H193" t="s">
        <v>5553</v>
      </c>
      <c r="I193" t="s">
        <v>10</v>
      </c>
    </row>
    <row r="194" spans="1:9">
      <c r="A194" t="s">
        <v>5752</v>
      </c>
      <c r="B194" s="2">
        <v>46049</v>
      </c>
      <c r="C194">
        <v>2026</v>
      </c>
      <c r="D194">
        <v>1</v>
      </c>
      <c r="E194" t="s">
        <v>1</v>
      </c>
      <c r="F194" t="s">
        <v>5575</v>
      </c>
      <c r="G194" t="s">
        <v>64</v>
      </c>
      <c r="H194" t="s">
        <v>5553</v>
      </c>
      <c r="I194" t="s">
        <v>10</v>
      </c>
    </row>
    <row r="195" spans="1:9">
      <c r="A195" t="s">
        <v>5753</v>
      </c>
      <c r="B195" s="2">
        <v>46035</v>
      </c>
      <c r="C195">
        <v>2026</v>
      </c>
      <c r="D195">
        <v>1</v>
      </c>
      <c r="E195" t="s">
        <v>1</v>
      </c>
      <c r="F195" t="s">
        <v>5566</v>
      </c>
      <c r="G195" t="s">
        <v>69</v>
      </c>
      <c r="H195" t="s">
        <v>5553</v>
      </c>
      <c r="I195" t="s">
        <v>10</v>
      </c>
    </row>
    <row r="196" spans="1:9">
      <c r="A196" t="s">
        <v>5754</v>
      </c>
      <c r="B196" s="2">
        <v>46038</v>
      </c>
      <c r="C196">
        <v>2026</v>
      </c>
      <c r="D196">
        <v>1</v>
      </c>
      <c r="E196" t="s">
        <v>1</v>
      </c>
      <c r="F196" t="s">
        <v>5569</v>
      </c>
      <c r="G196" t="s">
        <v>20</v>
      </c>
      <c r="H196" t="s">
        <v>5553</v>
      </c>
      <c r="I196" t="s">
        <v>10</v>
      </c>
    </row>
    <row r="197" spans="1:9">
      <c r="A197" t="s">
        <v>5755</v>
      </c>
      <c r="B197" s="2">
        <v>46036</v>
      </c>
      <c r="C197">
        <v>2026</v>
      </c>
      <c r="D197">
        <v>1</v>
      </c>
      <c r="E197" t="s">
        <v>1</v>
      </c>
      <c r="F197" t="s">
        <v>5552</v>
      </c>
      <c r="G197" t="s">
        <v>94</v>
      </c>
      <c r="H197" t="s">
        <v>5553</v>
      </c>
      <c r="I197" t="s">
        <v>10</v>
      </c>
    </row>
    <row r="198" spans="1:9">
      <c r="A198" t="s">
        <v>5756</v>
      </c>
      <c r="B198" s="2">
        <v>46057</v>
      </c>
      <c r="C198">
        <v>2026</v>
      </c>
      <c r="D198">
        <v>2</v>
      </c>
      <c r="E198" t="s">
        <v>25</v>
      </c>
      <c r="F198" t="s">
        <v>5557</v>
      </c>
      <c r="G198" t="s">
        <v>38</v>
      </c>
      <c r="H198" t="s">
        <v>5553</v>
      </c>
      <c r="I198" t="s">
        <v>10</v>
      </c>
    </row>
    <row r="199" spans="1:9">
      <c r="A199" t="s">
        <v>5757</v>
      </c>
      <c r="B199" s="2">
        <v>46077</v>
      </c>
      <c r="C199">
        <v>2026</v>
      </c>
      <c r="D199">
        <v>2</v>
      </c>
      <c r="E199" t="s">
        <v>25</v>
      </c>
      <c r="F199" t="s">
        <v>5564</v>
      </c>
      <c r="G199" t="s">
        <v>94</v>
      </c>
      <c r="H199" t="s">
        <v>5561</v>
      </c>
      <c r="I199" t="s">
        <v>17</v>
      </c>
    </row>
    <row r="200" spans="1:9">
      <c r="A200" t="s">
        <v>5758</v>
      </c>
      <c r="B200" s="2">
        <v>46061</v>
      </c>
      <c r="C200">
        <v>2026</v>
      </c>
      <c r="D200">
        <v>2</v>
      </c>
      <c r="E200" t="s">
        <v>25</v>
      </c>
      <c r="F200" t="s">
        <v>5564</v>
      </c>
      <c r="G200" t="s">
        <v>27</v>
      </c>
      <c r="H200" t="s">
        <v>5553</v>
      </c>
      <c r="I200" t="s">
        <v>10</v>
      </c>
    </row>
    <row r="201" spans="1:9">
      <c r="A201" t="s">
        <v>5759</v>
      </c>
      <c r="B201" s="2">
        <v>46079</v>
      </c>
      <c r="C201">
        <v>2026</v>
      </c>
      <c r="D201">
        <v>2</v>
      </c>
      <c r="E201" t="s">
        <v>25</v>
      </c>
      <c r="F201" t="s">
        <v>5557</v>
      </c>
      <c r="G201" t="s">
        <v>64</v>
      </c>
      <c r="H201" t="s">
        <v>5553</v>
      </c>
      <c r="I201" t="s">
        <v>10</v>
      </c>
    </row>
    <row r="202" spans="1:9">
      <c r="A202" t="s">
        <v>5760</v>
      </c>
      <c r="B202" s="2">
        <v>46063</v>
      </c>
      <c r="C202">
        <v>2026</v>
      </c>
      <c r="D202">
        <v>2</v>
      </c>
      <c r="E202" t="s">
        <v>25</v>
      </c>
      <c r="F202" t="s">
        <v>5575</v>
      </c>
      <c r="G202" t="s">
        <v>3</v>
      </c>
      <c r="H202" t="s">
        <v>5553</v>
      </c>
      <c r="I202" t="s">
        <v>10</v>
      </c>
    </row>
    <row r="203" spans="1:9">
      <c r="A203" t="s">
        <v>5761</v>
      </c>
      <c r="B203" s="2">
        <v>46080</v>
      </c>
      <c r="C203">
        <v>2026</v>
      </c>
      <c r="D203">
        <v>2</v>
      </c>
      <c r="E203" t="s">
        <v>25</v>
      </c>
      <c r="F203" t="s">
        <v>5557</v>
      </c>
      <c r="G203" t="s">
        <v>64</v>
      </c>
      <c r="H203" t="s">
        <v>5553</v>
      </c>
      <c r="I203" t="s">
        <v>10</v>
      </c>
    </row>
    <row r="204" spans="1:9">
      <c r="A204" t="s">
        <v>5762</v>
      </c>
      <c r="B204" s="2">
        <v>46068</v>
      </c>
      <c r="C204">
        <v>2026</v>
      </c>
      <c r="D204">
        <v>2</v>
      </c>
      <c r="E204" t="s">
        <v>25</v>
      </c>
      <c r="F204" t="s">
        <v>5557</v>
      </c>
      <c r="G204" t="s">
        <v>94</v>
      </c>
      <c r="H204" t="s">
        <v>5553</v>
      </c>
      <c r="I204" t="s">
        <v>10</v>
      </c>
    </row>
    <row r="205" spans="1:9">
      <c r="A205" t="s">
        <v>5763</v>
      </c>
      <c r="B205" s="2">
        <v>46091</v>
      </c>
      <c r="C205">
        <v>2026</v>
      </c>
      <c r="D205">
        <v>3</v>
      </c>
      <c r="E205" t="s">
        <v>60</v>
      </c>
      <c r="F205" t="s">
        <v>5564</v>
      </c>
      <c r="G205" t="s">
        <v>3</v>
      </c>
      <c r="H205" t="s">
        <v>5553</v>
      </c>
      <c r="I205" t="s">
        <v>10</v>
      </c>
    </row>
    <row r="206" spans="1:9">
      <c r="A206" t="s">
        <v>5764</v>
      </c>
      <c r="B206" s="2">
        <v>46090</v>
      </c>
      <c r="C206">
        <v>2026</v>
      </c>
      <c r="D206">
        <v>3</v>
      </c>
      <c r="E206" t="s">
        <v>60</v>
      </c>
      <c r="F206" t="s">
        <v>5557</v>
      </c>
      <c r="G206" t="s">
        <v>94</v>
      </c>
      <c r="H206" t="s">
        <v>5553</v>
      </c>
      <c r="I206" t="s">
        <v>10</v>
      </c>
    </row>
    <row r="207" spans="1:9">
      <c r="A207" t="s">
        <v>5765</v>
      </c>
      <c r="B207" s="2">
        <v>46105</v>
      </c>
      <c r="C207">
        <v>2026</v>
      </c>
      <c r="D207">
        <v>3</v>
      </c>
      <c r="E207" t="s">
        <v>60</v>
      </c>
      <c r="F207" t="s">
        <v>5555</v>
      </c>
      <c r="G207" t="s">
        <v>74</v>
      </c>
      <c r="H207" t="s">
        <v>5553</v>
      </c>
      <c r="I207" t="s">
        <v>10</v>
      </c>
    </row>
    <row r="208" spans="1:9">
      <c r="A208" t="s">
        <v>5766</v>
      </c>
      <c r="B208" s="2">
        <v>46107</v>
      </c>
      <c r="C208">
        <v>2026</v>
      </c>
      <c r="D208">
        <v>3</v>
      </c>
      <c r="E208" t="s">
        <v>60</v>
      </c>
      <c r="F208" t="s">
        <v>5575</v>
      </c>
      <c r="G208" t="s">
        <v>20</v>
      </c>
      <c r="H208" t="s">
        <v>5553</v>
      </c>
      <c r="I208" t="s">
        <v>10</v>
      </c>
    </row>
    <row r="209" spans="1:9">
      <c r="A209" t="s">
        <v>5767</v>
      </c>
      <c r="B209" s="2">
        <v>46106</v>
      </c>
      <c r="C209">
        <v>2026</v>
      </c>
      <c r="D209">
        <v>3</v>
      </c>
      <c r="E209" t="s">
        <v>60</v>
      </c>
      <c r="F209" t="s">
        <v>5564</v>
      </c>
      <c r="G209" t="s">
        <v>55</v>
      </c>
      <c r="H209" t="s">
        <v>5553</v>
      </c>
      <c r="I209" t="s">
        <v>10</v>
      </c>
    </row>
    <row r="210" spans="1:9">
      <c r="A210" t="s">
        <v>5768</v>
      </c>
      <c r="B210" s="2">
        <v>46102</v>
      </c>
      <c r="C210">
        <v>2026</v>
      </c>
      <c r="D210">
        <v>3</v>
      </c>
      <c r="E210" t="s">
        <v>60</v>
      </c>
      <c r="F210" t="s">
        <v>5569</v>
      </c>
      <c r="G210" t="s">
        <v>55</v>
      </c>
      <c r="H210" t="s">
        <v>5553</v>
      </c>
      <c r="I210" t="s">
        <v>10</v>
      </c>
    </row>
    <row r="211" spans="1:9">
      <c r="A211" t="s">
        <v>5769</v>
      </c>
      <c r="B211" s="2">
        <v>46105</v>
      </c>
      <c r="C211">
        <v>2026</v>
      </c>
      <c r="D211">
        <v>3</v>
      </c>
      <c r="E211" t="s">
        <v>60</v>
      </c>
      <c r="F211" t="s">
        <v>5564</v>
      </c>
      <c r="G211" t="s">
        <v>74</v>
      </c>
      <c r="H211" t="s">
        <v>5553</v>
      </c>
      <c r="I211" t="s">
        <v>10</v>
      </c>
    </row>
    <row r="212" spans="1:9">
      <c r="A212" t="s">
        <v>5770</v>
      </c>
      <c r="B212" s="2">
        <v>46084</v>
      </c>
      <c r="C212">
        <v>2026</v>
      </c>
      <c r="D212">
        <v>3</v>
      </c>
      <c r="E212" t="s">
        <v>60</v>
      </c>
      <c r="F212" t="s">
        <v>5566</v>
      </c>
      <c r="G212" t="s">
        <v>74</v>
      </c>
      <c r="H212" t="s">
        <v>5553</v>
      </c>
      <c r="I212" t="s">
        <v>10</v>
      </c>
    </row>
    <row r="213" spans="1:9">
      <c r="A213" t="s">
        <v>5771</v>
      </c>
      <c r="B213" s="2">
        <v>46116</v>
      </c>
      <c r="C213">
        <v>2026</v>
      </c>
      <c r="D213">
        <v>4</v>
      </c>
      <c r="E213" t="s">
        <v>73</v>
      </c>
      <c r="F213" t="s">
        <v>5555</v>
      </c>
      <c r="G213" t="s">
        <v>61</v>
      </c>
      <c r="H213" t="s">
        <v>5553</v>
      </c>
      <c r="I213" t="s">
        <v>10</v>
      </c>
    </row>
    <row r="214" spans="1:9">
      <c r="A214" t="s">
        <v>5772</v>
      </c>
      <c r="B214" s="2">
        <v>46125</v>
      </c>
      <c r="C214">
        <v>2026</v>
      </c>
      <c r="D214">
        <v>4</v>
      </c>
      <c r="E214" t="s">
        <v>73</v>
      </c>
      <c r="F214" t="s">
        <v>5569</v>
      </c>
      <c r="G214" t="s">
        <v>94</v>
      </c>
      <c r="H214" t="s">
        <v>5553</v>
      </c>
      <c r="I214" t="s">
        <v>10</v>
      </c>
    </row>
    <row r="215" spans="1:9">
      <c r="A215" t="s">
        <v>5773</v>
      </c>
      <c r="B215" s="2">
        <v>46120</v>
      </c>
      <c r="C215">
        <v>2026</v>
      </c>
      <c r="D215">
        <v>4</v>
      </c>
      <c r="E215" t="s">
        <v>73</v>
      </c>
      <c r="F215" t="s">
        <v>5566</v>
      </c>
      <c r="G215" t="s">
        <v>74</v>
      </c>
      <c r="H215" t="s">
        <v>5553</v>
      </c>
      <c r="I215" t="s">
        <v>10</v>
      </c>
    </row>
    <row r="216" spans="1:9">
      <c r="A216" t="s">
        <v>5774</v>
      </c>
      <c r="B216" s="2">
        <v>46114</v>
      </c>
      <c r="C216">
        <v>2026</v>
      </c>
      <c r="D216">
        <v>4</v>
      </c>
      <c r="E216" t="s">
        <v>73</v>
      </c>
      <c r="F216" t="s">
        <v>5555</v>
      </c>
      <c r="G216" t="s">
        <v>55</v>
      </c>
      <c r="H216" t="s">
        <v>5553</v>
      </c>
      <c r="I216" t="s">
        <v>10</v>
      </c>
    </row>
    <row r="217" spans="1:9">
      <c r="A217" t="s">
        <v>5775</v>
      </c>
      <c r="B217" s="2">
        <v>46135</v>
      </c>
      <c r="C217">
        <v>2026</v>
      </c>
      <c r="D217">
        <v>4</v>
      </c>
      <c r="E217" t="s">
        <v>73</v>
      </c>
      <c r="F217" t="s">
        <v>5552</v>
      </c>
      <c r="G217" t="s">
        <v>20</v>
      </c>
      <c r="H217" t="s">
        <v>5553</v>
      </c>
      <c r="I217" t="s">
        <v>10</v>
      </c>
    </row>
    <row r="218" spans="1:9">
      <c r="A218" t="s">
        <v>5776</v>
      </c>
      <c r="B218" s="2">
        <v>46129</v>
      </c>
      <c r="C218">
        <v>2026</v>
      </c>
      <c r="D218">
        <v>4</v>
      </c>
      <c r="E218" t="s">
        <v>73</v>
      </c>
      <c r="F218" t="s">
        <v>5575</v>
      </c>
      <c r="G218" t="s">
        <v>20</v>
      </c>
      <c r="H218" t="s">
        <v>5553</v>
      </c>
      <c r="I218" t="s">
        <v>10</v>
      </c>
    </row>
    <row r="219" spans="1:9">
      <c r="A219" t="s">
        <v>5777</v>
      </c>
      <c r="B219" s="2">
        <v>46138</v>
      </c>
      <c r="C219">
        <v>2026</v>
      </c>
      <c r="D219">
        <v>4</v>
      </c>
      <c r="E219" t="s">
        <v>73</v>
      </c>
      <c r="F219" t="s">
        <v>5557</v>
      </c>
      <c r="G219" t="s">
        <v>61</v>
      </c>
      <c r="H219" t="s">
        <v>5553</v>
      </c>
      <c r="I219" t="s">
        <v>10</v>
      </c>
    </row>
    <row r="220" spans="1:9">
      <c r="A220" t="s">
        <v>5778</v>
      </c>
      <c r="B220" s="2">
        <v>46120</v>
      </c>
      <c r="C220">
        <v>2026</v>
      </c>
      <c r="D220">
        <v>4</v>
      </c>
      <c r="E220" t="s">
        <v>73</v>
      </c>
      <c r="F220" t="s">
        <v>5557</v>
      </c>
      <c r="G220" t="s">
        <v>20</v>
      </c>
      <c r="H220" t="s">
        <v>5553</v>
      </c>
      <c r="I220" t="s">
        <v>10</v>
      </c>
    </row>
    <row r="221" spans="1:9">
      <c r="A221" t="s">
        <v>5779</v>
      </c>
      <c r="B221" s="2">
        <v>46137</v>
      </c>
      <c r="C221">
        <v>2026</v>
      </c>
      <c r="D221">
        <v>4</v>
      </c>
      <c r="E221" t="s">
        <v>73</v>
      </c>
      <c r="F221" t="s">
        <v>5566</v>
      </c>
      <c r="G221" t="s">
        <v>74</v>
      </c>
      <c r="H221" t="s">
        <v>5553</v>
      </c>
      <c r="I221" t="s">
        <v>10</v>
      </c>
    </row>
    <row r="222" spans="1:9">
      <c r="A222" t="s">
        <v>5780</v>
      </c>
      <c r="B222" s="2">
        <v>46131</v>
      </c>
      <c r="C222">
        <v>2026</v>
      </c>
      <c r="D222">
        <v>4</v>
      </c>
      <c r="E222" t="s">
        <v>73</v>
      </c>
      <c r="F222" t="s">
        <v>5566</v>
      </c>
      <c r="G222" t="s">
        <v>69</v>
      </c>
      <c r="H222" t="s">
        <v>5553</v>
      </c>
      <c r="I222" t="s">
        <v>10</v>
      </c>
    </row>
    <row r="223" spans="1:9">
      <c r="A223" t="s">
        <v>5781</v>
      </c>
      <c r="B223" s="2">
        <v>46128</v>
      </c>
      <c r="C223">
        <v>2026</v>
      </c>
      <c r="D223">
        <v>4</v>
      </c>
      <c r="E223" t="s">
        <v>73</v>
      </c>
      <c r="F223" t="s">
        <v>5555</v>
      </c>
      <c r="G223" t="s">
        <v>38</v>
      </c>
      <c r="H223" t="s">
        <v>5553</v>
      </c>
      <c r="I223" t="s">
        <v>10</v>
      </c>
    </row>
    <row r="224" spans="1:9">
      <c r="A224" t="s">
        <v>5782</v>
      </c>
      <c r="B224" s="2">
        <v>46127</v>
      </c>
      <c r="C224">
        <v>2026</v>
      </c>
      <c r="D224">
        <v>4</v>
      </c>
      <c r="E224" t="s">
        <v>73</v>
      </c>
      <c r="F224" t="s">
        <v>5557</v>
      </c>
      <c r="G224" t="s">
        <v>61</v>
      </c>
      <c r="H224" t="s">
        <v>5553</v>
      </c>
      <c r="I224" t="s">
        <v>10</v>
      </c>
    </row>
    <row r="225" spans="1:9">
      <c r="A225" t="s">
        <v>5783</v>
      </c>
      <c r="B225" s="2">
        <v>46143</v>
      </c>
      <c r="C225">
        <v>2026</v>
      </c>
      <c r="D225">
        <v>5</v>
      </c>
      <c r="E225" t="s">
        <v>83</v>
      </c>
      <c r="F225" t="s">
        <v>5552</v>
      </c>
      <c r="G225" t="s">
        <v>74</v>
      </c>
      <c r="H225" t="s">
        <v>5553</v>
      </c>
      <c r="I225" t="s">
        <v>10</v>
      </c>
    </row>
    <row r="226" spans="1:9">
      <c r="A226" t="s">
        <v>5784</v>
      </c>
      <c r="B226" s="2">
        <v>46163</v>
      </c>
      <c r="C226">
        <v>2026</v>
      </c>
      <c r="D226">
        <v>5</v>
      </c>
      <c r="E226" t="s">
        <v>83</v>
      </c>
      <c r="F226" t="s">
        <v>5564</v>
      </c>
      <c r="G226" t="s">
        <v>69</v>
      </c>
      <c r="H226" t="s">
        <v>5553</v>
      </c>
      <c r="I226" t="s">
        <v>10</v>
      </c>
    </row>
    <row r="227" spans="1:9">
      <c r="A227" t="s">
        <v>5785</v>
      </c>
      <c r="B227" s="2">
        <v>46162</v>
      </c>
      <c r="C227">
        <v>2026</v>
      </c>
      <c r="D227">
        <v>5</v>
      </c>
      <c r="E227" t="s">
        <v>83</v>
      </c>
      <c r="F227" t="s">
        <v>5575</v>
      </c>
      <c r="G227" t="s">
        <v>27</v>
      </c>
      <c r="H227" t="s">
        <v>5553</v>
      </c>
      <c r="I227" t="s">
        <v>10</v>
      </c>
    </row>
    <row r="228" spans="1:9">
      <c r="A228" t="s">
        <v>5786</v>
      </c>
      <c r="B228" s="2">
        <v>46170</v>
      </c>
      <c r="C228">
        <v>2026</v>
      </c>
      <c r="D228">
        <v>5</v>
      </c>
      <c r="E228" t="s">
        <v>83</v>
      </c>
      <c r="F228" t="s">
        <v>5555</v>
      </c>
      <c r="G228" t="s">
        <v>64</v>
      </c>
      <c r="H228" t="s">
        <v>5553</v>
      </c>
      <c r="I228" t="s">
        <v>10</v>
      </c>
    </row>
    <row r="229" spans="1:9">
      <c r="A229" t="s">
        <v>5787</v>
      </c>
      <c r="B229" s="2">
        <v>46145</v>
      </c>
      <c r="C229">
        <v>2026</v>
      </c>
      <c r="D229">
        <v>5</v>
      </c>
      <c r="E229" t="s">
        <v>83</v>
      </c>
      <c r="F229" t="s">
        <v>5575</v>
      </c>
      <c r="G229" t="s">
        <v>27</v>
      </c>
      <c r="H229" t="s">
        <v>5553</v>
      </c>
      <c r="I229" t="s">
        <v>10</v>
      </c>
    </row>
    <row r="230" spans="1:9">
      <c r="A230" t="s">
        <v>5788</v>
      </c>
      <c r="B230" s="2">
        <v>46159</v>
      </c>
      <c r="C230">
        <v>2026</v>
      </c>
      <c r="D230">
        <v>5</v>
      </c>
      <c r="E230" t="s">
        <v>83</v>
      </c>
      <c r="F230" t="s">
        <v>5555</v>
      </c>
      <c r="G230" t="s">
        <v>55</v>
      </c>
      <c r="H230" t="s">
        <v>5553</v>
      </c>
      <c r="I230" t="s">
        <v>10</v>
      </c>
    </row>
    <row r="231" spans="1:9">
      <c r="A231" t="s">
        <v>5789</v>
      </c>
      <c r="B231" s="2">
        <v>46165</v>
      </c>
      <c r="C231">
        <v>2026</v>
      </c>
      <c r="D231">
        <v>5</v>
      </c>
      <c r="E231" t="s">
        <v>83</v>
      </c>
      <c r="F231" t="s">
        <v>5564</v>
      </c>
      <c r="G231" t="s">
        <v>32</v>
      </c>
      <c r="H231" t="s">
        <v>5553</v>
      </c>
      <c r="I231" t="s">
        <v>10</v>
      </c>
    </row>
    <row r="232" spans="1:9">
      <c r="A232" t="s">
        <v>5790</v>
      </c>
      <c r="B232" s="2">
        <v>46170</v>
      </c>
      <c r="C232">
        <v>2026</v>
      </c>
      <c r="D232">
        <v>5</v>
      </c>
      <c r="E232" t="s">
        <v>83</v>
      </c>
      <c r="F232" t="s">
        <v>5552</v>
      </c>
      <c r="G232" t="s">
        <v>20</v>
      </c>
      <c r="H232" t="s">
        <v>5553</v>
      </c>
      <c r="I232" t="s">
        <v>10</v>
      </c>
    </row>
    <row r="233" spans="1:9">
      <c r="A233" t="s">
        <v>5791</v>
      </c>
      <c r="B233" s="2">
        <v>46159</v>
      </c>
      <c r="C233">
        <v>2026</v>
      </c>
      <c r="D233">
        <v>5</v>
      </c>
      <c r="E233" t="s">
        <v>83</v>
      </c>
      <c r="F233" t="s">
        <v>5575</v>
      </c>
      <c r="G233" t="s">
        <v>69</v>
      </c>
      <c r="H233" t="s">
        <v>5553</v>
      </c>
      <c r="I233" t="s">
        <v>10</v>
      </c>
    </row>
    <row r="234" spans="1:9">
      <c r="A234" t="s">
        <v>5792</v>
      </c>
      <c r="B234" s="2">
        <v>46151</v>
      </c>
      <c r="C234">
        <v>2026</v>
      </c>
      <c r="D234">
        <v>5</v>
      </c>
      <c r="E234" t="s">
        <v>83</v>
      </c>
      <c r="F234" t="s">
        <v>5552</v>
      </c>
      <c r="G234" t="s">
        <v>94</v>
      </c>
      <c r="H234" t="s">
        <v>5553</v>
      </c>
      <c r="I234" t="s">
        <v>10</v>
      </c>
    </row>
    <row r="235" spans="1:9">
      <c r="A235" t="s">
        <v>5793</v>
      </c>
      <c r="B235" s="2">
        <v>46145</v>
      </c>
      <c r="C235">
        <v>2026</v>
      </c>
      <c r="D235">
        <v>5</v>
      </c>
      <c r="E235" t="s">
        <v>83</v>
      </c>
      <c r="F235" t="s">
        <v>5566</v>
      </c>
      <c r="G235" t="s">
        <v>69</v>
      </c>
      <c r="H235" t="s">
        <v>5553</v>
      </c>
      <c r="I235" t="s">
        <v>10</v>
      </c>
    </row>
    <row r="236" spans="1:9">
      <c r="A236" t="s">
        <v>5794</v>
      </c>
      <c r="B236" s="2">
        <v>46183</v>
      </c>
      <c r="C236">
        <v>2026</v>
      </c>
      <c r="D236">
        <v>6</v>
      </c>
      <c r="E236" t="s">
        <v>87</v>
      </c>
      <c r="F236" t="s">
        <v>5552</v>
      </c>
      <c r="G236" t="s">
        <v>74</v>
      </c>
      <c r="H236" t="s">
        <v>5553</v>
      </c>
      <c r="I236" t="s">
        <v>10</v>
      </c>
    </row>
    <row r="237" spans="1:9">
      <c r="A237" t="s">
        <v>5795</v>
      </c>
      <c r="B237" s="2">
        <v>46190</v>
      </c>
      <c r="C237">
        <v>2026</v>
      </c>
      <c r="D237">
        <v>6</v>
      </c>
      <c r="E237" t="s">
        <v>87</v>
      </c>
      <c r="F237" t="s">
        <v>5564</v>
      </c>
      <c r="G237" t="s">
        <v>55</v>
      </c>
      <c r="H237" t="s">
        <v>5561</v>
      </c>
      <c r="I237" t="s">
        <v>17</v>
      </c>
    </row>
    <row r="238" spans="1:9">
      <c r="A238" t="s">
        <v>5796</v>
      </c>
      <c r="B238" s="2">
        <v>46191</v>
      </c>
      <c r="C238">
        <v>2026</v>
      </c>
      <c r="D238">
        <v>6</v>
      </c>
      <c r="E238" t="s">
        <v>87</v>
      </c>
      <c r="F238" t="s">
        <v>5575</v>
      </c>
      <c r="G238" t="s">
        <v>27</v>
      </c>
      <c r="H238" t="s">
        <v>5553</v>
      </c>
      <c r="I238" t="s">
        <v>10</v>
      </c>
    </row>
    <row r="239" spans="1:9">
      <c r="A239" t="s">
        <v>5797</v>
      </c>
      <c r="B239" s="2">
        <v>46185</v>
      </c>
      <c r="C239">
        <v>2026</v>
      </c>
      <c r="D239">
        <v>6</v>
      </c>
      <c r="E239" t="s">
        <v>87</v>
      </c>
      <c r="F239" t="s">
        <v>5566</v>
      </c>
      <c r="G239" t="s">
        <v>55</v>
      </c>
      <c r="H239" t="s">
        <v>5553</v>
      </c>
      <c r="I239" t="s">
        <v>10</v>
      </c>
    </row>
    <row r="240" spans="1:9">
      <c r="A240" t="s">
        <v>5798</v>
      </c>
      <c r="B240" s="2">
        <v>46182</v>
      </c>
      <c r="C240">
        <v>2026</v>
      </c>
      <c r="D240">
        <v>6</v>
      </c>
      <c r="E240" t="s">
        <v>87</v>
      </c>
      <c r="F240" t="s">
        <v>5557</v>
      </c>
      <c r="G240" t="s">
        <v>61</v>
      </c>
      <c r="H240" t="s">
        <v>5553</v>
      </c>
      <c r="I240" t="s">
        <v>10</v>
      </c>
    </row>
    <row r="241" spans="1:9">
      <c r="A241" t="s">
        <v>5799</v>
      </c>
      <c r="B241" s="2">
        <v>46178</v>
      </c>
      <c r="C241">
        <v>2026</v>
      </c>
      <c r="D241">
        <v>6</v>
      </c>
      <c r="E241" t="s">
        <v>87</v>
      </c>
      <c r="F241" t="s">
        <v>5566</v>
      </c>
      <c r="G241" t="s">
        <v>74</v>
      </c>
      <c r="H241" t="s">
        <v>5553</v>
      </c>
      <c r="I241" t="s">
        <v>10</v>
      </c>
    </row>
    <row r="242" spans="1:9">
      <c r="A242" t="s">
        <v>5800</v>
      </c>
      <c r="B242" s="2">
        <v>46196</v>
      </c>
      <c r="C242">
        <v>2026</v>
      </c>
      <c r="D242">
        <v>6</v>
      </c>
      <c r="E242" t="s">
        <v>87</v>
      </c>
      <c r="F242" t="s">
        <v>5564</v>
      </c>
      <c r="G242" t="s">
        <v>64</v>
      </c>
      <c r="H242" t="s">
        <v>5553</v>
      </c>
      <c r="I242" t="s">
        <v>10</v>
      </c>
    </row>
  </sheetData>
  <hyperlinks>
    <hyperlink ref="K1" location="'Home'!A1" display="Hom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</sheetPr>
  <dimension ref="A1:O108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6" width="13.7109375" customWidth="1"/>
    <col min="7" max="8" width="11.7109375" customWidth="1"/>
    <col min="9" max="9" width="13.7109375" customWidth="1"/>
    <col min="10" max="10" width="11.7109375" customWidth="1"/>
    <col min="11" max="12" width="13.7109375" customWidth="1"/>
    <col min="13" max="13" width="11.7109375" customWidth="1"/>
  </cols>
  <sheetData>
    <row r="1" spans="1:15">
      <c r="A1" t="s">
        <v>5912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5913</v>
      </c>
      <c r="I1" t="s">
        <v>5914</v>
      </c>
      <c r="J1" t="s">
        <v>195</v>
      </c>
      <c r="K1" t="s">
        <v>5915</v>
      </c>
      <c r="L1" t="s">
        <v>5916</v>
      </c>
      <c r="M1" t="s">
        <v>201</v>
      </c>
      <c r="O1" s="1" t="s">
        <v>203</v>
      </c>
    </row>
    <row r="2" spans="1:15">
      <c r="A2" t="s">
        <v>5804</v>
      </c>
      <c r="B2" s="2">
        <v>45301</v>
      </c>
      <c r="C2">
        <v>2024</v>
      </c>
      <c r="D2">
        <v>1</v>
      </c>
      <c r="E2" t="s">
        <v>1</v>
      </c>
      <c r="F2" t="s">
        <v>78</v>
      </c>
      <c r="G2" t="s">
        <v>69</v>
      </c>
      <c r="H2" t="s">
        <v>51</v>
      </c>
      <c r="I2">
        <v>2</v>
      </c>
      <c r="J2">
        <v>2</v>
      </c>
      <c r="K2">
        <v>4</v>
      </c>
      <c r="L2" t="s">
        <v>13</v>
      </c>
      <c r="M2" t="s">
        <v>17</v>
      </c>
    </row>
    <row r="3" spans="1:15">
      <c r="A3" t="s">
        <v>5805</v>
      </c>
      <c r="B3" s="2">
        <v>45304</v>
      </c>
      <c r="C3">
        <v>2024</v>
      </c>
      <c r="D3">
        <v>1</v>
      </c>
      <c r="E3" t="s">
        <v>1</v>
      </c>
      <c r="F3" t="s">
        <v>67</v>
      </c>
      <c r="G3" t="s">
        <v>64</v>
      </c>
      <c r="H3" t="s">
        <v>14</v>
      </c>
      <c r="I3">
        <v>1</v>
      </c>
      <c r="J3">
        <v>1</v>
      </c>
      <c r="K3">
        <v>1</v>
      </c>
      <c r="L3" t="s">
        <v>13</v>
      </c>
      <c r="M3" t="s">
        <v>10</v>
      </c>
    </row>
    <row r="4" spans="1:15">
      <c r="A4" t="s">
        <v>5806</v>
      </c>
      <c r="B4" s="2">
        <v>45324</v>
      </c>
      <c r="C4">
        <v>2024</v>
      </c>
      <c r="D4">
        <v>2</v>
      </c>
      <c r="E4" t="s">
        <v>25</v>
      </c>
      <c r="F4" t="s">
        <v>26</v>
      </c>
      <c r="G4" t="s">
        <v>69</v>
      </c>
      <c r="H4" t="s">
        <v>41</v>
      </c>
      <c r="I4">
        <v>2</v>
      </c>
      <c r="J4">
        <v>2</v>
      </c>
      <c r="K4">
        <v>4</v>
      </c>
      <c r="L4" t="s">
        <v>13</v>
      </c>
      <c r="M4" t="s">
        <v>17</v>
      </c>
    </row>
    <row r="5" spans="1:15">
      <c r="A5" t="s">
        <v>5807</v>
      </c>
      <c r="B5" s="2">
        <v>45329</v>
      </c>
      <c r="C5">
        <v>2024</v>
      </c>
      <c r="D5">
        <v>2</v>
      </c>
      <c r="E5" t="s">
        <v>25</v>
      </c>
      <c r="F5" t="s">
        <v>47</v>
      </c>
      <c r="G5" t="s">
        <v>74</v>
      </c>
      <c r="H5" t="s">
        <v>71</v>
      </c>
      <c r="I5">
        <v>2</v>
      </c>
      <c r="J5">
        <v>5</v>
      </c>
      <c r="K5">
        <v>10</v>
      </c>
      <c r="L5" t="s">
        <v>34</v>
      </c>
      <c r="M5" t="s">
        <v>10</v>
      </c>
    </row>
    <row r="6" spans="1:15">
      <c r="A6" t="s">
        <v>5808</v>
      </c>
      <c r="B6" s="2">
        <v>45370</v>
      </c>
      <c r="C6">
        <v>2024</v>
      </c>
      <c r="D6">
        <v>3</v>
      </c>
      <c r="E6" t="s">
        <v>60</v>
      </c>
      <c r="F6" t="s">
        <v>31</v>
      </c>
      <c r="G6" t="s">
        <v>61</v>
      </c>
      <c r="H6" t="s">
        <v>7</v>
      </c>
      <c r="I6">
        <v>5</v>
      </c>
      <c r="J6">
        <v>4</v>
      </c>
      <c r="K6">
        <v>20</v>
      </c>
      <c r="L6" t="s">
        <v>6</v>
      </c>
      <c r="M6" t="s">
        <v>17</v>
      </c>
    </row>
    <row r="7" spans="1:15">
      <c r="A7" t="s">
        <v>5809</v>
      </c>
      <c r="B7" s="2">
        <v>45367</v>
      </c>
      <c r="C7">
        <v>2024</v>
      </c>
      <c r="D7">
        <v>3</v>
      </c>
      <c r="E7" t="s">
        <v>60</v>
      </c>
      <c r="F7" t="s">
        <v>47</v>
      </c>
      <c r="G7" t="s">
        <v>74</v>
      </c>
      <c r="H7" t="s">
        <v>58</v>
      </c>
      <c r="I7">
        <v>4</v>
      </c>
      <c r="J7">
        <v>5</v>
      </c>
      <c r="K7">
        <v>20</v>
      </c>
      <c r="L7" t="s">
        <v>6</v>
      </c>
      <c r="M7" t="s">
        <v>10</v>
      </c>
    </row>
    <row r="8" spans="1:15">
      <c r="A8" t="s">
        <v>5810</v>
      </c>
      <c r="B8" s="2">
        <v>45366</v>
      </c>
      <c r="C8">
        <v>2024</v>
      </c>
      <c r="D8">
        <v>3</v>
      </c>
      <c r="E8" t="s">
        <v>60</v>
      </c>
      <c r="F8" t="s">
        <v>78</v>
      </c>
      <c r="G8" t="s">
        <v>74</v>
      </c>
      <c r="H8" t="s">
        <v>41</v>
      </c>
      <c r="I8">
        <v>5</v>
      </c>
      <c r="J8">
        <v>5</v>
      </c>
      <c r="K8">
        <v>25</v>
      </c>
      <c r="L8" t="s">
        <v>6</v>
      </c>
      <c r="M8" t="s">
        <v>10</v>
      </c>
    </row>
    <row r="9" spans="1:15">
      <c r="A9" t="s">
        <v>5811</v>
      </c>
      <c r="B9" s="2">
        <v>45375</v>
      </c>
      <c r="C9">
        <v>2024</v>
      </c>
      <c r="D9">
        <v>3</v>
      </c>
      <c r="E9" t="s">
        <v>60</v>
      </c>
      <c r="F9" t="s">
        <v>67</v>
      </c>
      <c r="G9" t="s">
        <v>61</v>
      </c>
      <c r="H9" t="s">
        <v>7</v>
      </c>
      <c r="I9">
        <v>4</v>
      </c>
      <c r="J9">
        <v>5</v>
      </c>
      <c r="K9">
        <v>20</v>
      </c>
      <c r="L9" t="s">
        <v>6</v>
      </c>
      <c r="M9" t="s">
        <v>17</v>
      </c>
    </row>
    <row r="10" spans="1:15">
      <c r="A10" t="s">
        <v>5812</v>
      </c>
      <c r="B10" s="2">
        <v>45373</v>
      </c>
      <c r="C10">
        <v>2024</v>
      </c>
      <c r="D10">
        <v>3</v>
      </c>
      <c r="E10" t="s">
        <v>60</v>
      </c>
      <c r="F10" t="s">
        <v>54</v>
      </c>
      <c r="G10" t="s">
        <v>74</v>
      </c>
      <c r="H10" t="s">
        <v>58</v>
      </c>
      <c r="I10">
        <v>2</v>
      </c>
      <c r="J10">
        <v>5</v>
      </c>
      <c r="K10">
        <v>10</v>
      </c>
      <c r="L10" t="s">
        <v>34</v>
      </c>
      <c r="M10" t="s">
        <v>10</v>
      </c>
    </row>
    <row r="11" spans="1:15">
      <c r="A11" t="s">
        <v>5813</v>
      </c>
      <c r="B11" s="2">
        <v>45408</v>
      </c>
      <c r="C11">
        <v>2024</v>
      </c>
      <c r="D11">
        <v>4</v>
      </c>
      <c r="E11" t="s">
        <v>73</v>
      </c>
      <c r="F11" t="s">
        <v>40</v>
      </c>
      <c r="G11" t="s">
        <v>94</v>
      </c>
      <c r="H11" t="s">
        <v>84</v>
      </c>
      <c r="I11">
        <v>5</v>
      </c>
      <c r="J11">
        <v>1</v>
      </c>
      <c r="K11">
        <v>5</v>
      </c>
      <c r="L11" t="s">
        <v>70</v>
      </c>
      <c r="M11" t="s">
        <v>10</v>
      </c>
    </row>
    <row r="12" spans="1:15">
      <c r="A12" t="s">
        <v>5814</v>
      </c>
      <c r="B12" s="2">
        <v>45396</v>
      </c>
      <c r="C12">
        <v>2024</v>
      </c>
      <c r="D12">
        <v>4</v>
      </c>
      <c r="E12" t="s">
        <v>73</v>
      </c>
      <c r="F12" t="s">
        <v>19</v>
      </c>
      <c r="G12" t="s">
        <v>48</v>
      </c>
      <c r="H12" t="s">
        <v>58</v>
      </c>
      <c r="I12">
        <v>2</v>
      </c>
      <c r="J12">
        <v>2</v>
      </c>
      <c r="K12">
        <v>4</v>
      </c>
      <c r="L12" t="s">
        <v>13</v>
      </c>
      <c r="M12" t="s">
        <v>10</v>
      </c>
    </row>
    <row r="13" spans="1:15">
      <c r="A13" t="s">
        <v>5815</v>
      </c>
      <c r="B13" s="2">
        <v>45394</v>
      </c>
      <c r="C13">
        <v>2024</v>
      </c>
      <c r="D13">
        <v>4</v>
      </c>
      <c r="E13" t="s">
        <v>73</v>
      </c>
      <c r="F13" t="s">
        <v>54</v>
      </c>
      <c r="G13" t="s">
        <v>61</v>
      </c>
      <c r="H13" t="s">
        <v>51</v>
      </c>
      <c r="I13">
        <v>5</v>
      </c>
      <c r="J13">
        <v>1</v>
      </c>
      <c r="K13">
        <v>5</v>
      </c>
      <c r="L13" t="s">
        <v>70</v>
      </c>
      <c r="M13" t="s">
        <v>17</v>
      </c>
    </row>
    <row r="14" spans="1:15">
      <c r="A14" t="s">
        <v>5816</v>
      </c>
      <c r="B14" s="2">
        <v>45439</v>
      </c>
      <c r="C14">
        <v>2024</v>
      </c>
      <c r="D14">
        <v>5</v>
      </c>
      <c r="E14" t="s">
        <v>83</v>
      </c>
      <c r="F14" t="s">
        <v>38</v>
      </c>
      <c r="G14" t="s">
        <v>38</v>
      </c>
      <c r="H14" t="s">
        <v>56</v>
      </c>
      <c r="I14">
        <v>2</v>
      </c>
      <c r="J14">
        <v>3</v>
      </c>
      <c r="K14">
        <v>6</v>
      </c>
      <c r="L14" t="s">
        <v>70</v>
      </c>
      <c r="M14" t="s">
        <v>5817</v>
      </c>
    </row>
    <row r="15" spans="1:15">
      <c r="A15" t="s">
        <v>5818</v>
      </c>
      <c r="B15" s="2">
        <v>45417</v>
      </c>
      <c r="C15">
        <v>2024</v>
      </c>
      <c r="D15">
        <v>5</v>
      </c>
      <c r="E15" t="s">
        <v>83</v>
      </c>
      <c r="F15" t="s">
        <v>31</v>
      </c>
      <c r="G15" t="s">
        <v>74</v>
      </c>
      <c r="H15" t="s">
        <v>21</v>
      </c>
      <c r="I15">
        <v>5</v>
      </c>
      <c r="J15">
        <v>2</v>
      </c>
      <c r="K15">
        <v>10</v>
      </c>
      <c r="L15" t="s">
        <v>34</v>
      </c>
      <c r="M15" t="s">
        <v>17</v>
      </c>
    </row>
    <row r="16" spans="1:15">
      <c r="A16" t="s">
        <v>5819</v>
      </c>
      <c r="B16" s="2">
        <v>45413</v>
      </c>
      <c r="C16">
        <v>2024</v>
      </c>
      <c r="D16">
        <v>5</v>
      </c>
      <c r="E16" t="s">
        <v>83</v>
      </c>
      <c r="F16" t="s">
        <v>78</v>
      </c>
      <c r="G16" t="s">
        <v>20</v>
      </c>
      <c r="H16" t="s">
        <v>107</v>
      </c>
      <c r="I16">
        <v>4</v>
      </c>
      <c r="J16">
        <v>3</v>
      </c>
      <c r="K16">
        <v>12</v>
      </c>
      <c r="L16" t="s">
        <v>34</v>
      </c>
      <c r="M16" t="s">
        <v>17</v>
      </c>
    </row>
    <row r="17" spans="1:13">
      <c r="A17" t="s">
        <v>5820</v>
      </c>
      <c r="B17" s="2">
        <v>45427</v>
      </c>
      <c r="C17">
        <v>2024</v>
      </c>
      <c r="D17">
        <v>5</v>
      </c>
      <c r="E17" t="s">
        <v>83</v>
      </c>
      <c r="F17" t="s">
        <v>78</v>
      </c>
      <c r="G17" t="s">
        <v>27</v>
      </c>
      <c r="H17" t="s">
        <v>7</v>
      </c>
      <c r="I17">
        <v>4</v>
      </c>
      <c r="J17">
        <v>5</v>
      </c>
      <c r="K17">
        <v>20</v>
      </c>
      <c r="L17" t="s">
        <v>6</v>
      </c>
      <c r="M17" t="s">
        <v>5817</v>
      </c>
    </row>
    <row r="18" spans="1:13">
      <c r="A18" t="s">
        <v>5821</v>
      </c>
      <c r="B18" s="2">
        <v>45469</v>
      </c>
      <c r="C18">
        <v>2024</v>
      </c>
      <c r="D18">
        <v>6</v>
      </c>
      <c r="E18" t="s">
        <v>87</v>
      </c>
      <c r="F18" t="s">
        <v>40</v>
      </c>
      <c r="G18" t="s">
        <v>3</v>
      </c>
      <c r="H18" t="s">
        <v>21</v>
      </c>
      <c r="I18">
        <v>5</v>
      </c>
      <c r="J18">
        <v>3</v>
      </c>
      <c r="K18">
        <v>15</v>
      </c>
      <c r="L18" t="s">
        <v>34</v>
      </c>
      <c r="M18" t="s">
        <v>17</v>
      </c>
    </row>
    <row r="19" spans="1:13">
      <c r="A19" t="s">
        <v>5822</v>
      </c>
      <c r="B19" s="2">
        <v>45454</v>
      </c>
      <c r="C19">
        <v>2024</v>
      </c>
      <c r="D19">
        <v>6</v>
      </c>
      <c r="E19" t="s">
        <v>87</v>
      </c>
      <c r="F19" t="s">
        <v>47</v>
      </c>
      <c r="G19" t="s">
        <v>61</v>
      </c>
      <c r="H19" t="s">
        <v>21</v>
      </c>
      <c r="I19">
        <v>3</v>
      </c>
      <c r="J19">
        <v>5</v>
      </c>
      <c r="K19">
        <v>15</v>
      </c>
      <c r="L19" t="s">
        <v>34</v>
      </c>
      <c r="M19" t="s">
        <v>17</v>
      </c>
    </row>
    <row r="20" spans="1:13">
      <c r="A20" t="s">
        <v>5823</v>
      </c>
      <c r="B20" s="2">
        <v>45500</v>
      </c>
      <c r="C20">
        <v>2024</v>
      </c>
      <c r="D20">
        <v>7</v>
      </c>
      <c r="E20" t="s">
        <v>93</v>
      </c>
      <c r="F20" t="s">
        <v>67</v>
      </c>
      <c r="G20" t="s">
        <v>64</v>
      </c>
      <c r="H20" t="s">
        <v>84</v>
      </c>
      <c r="I20">
        <v>2</v>
      </c>
      <c r="J20">
        <v>3</v>
      </c>
      <c r="K20">
        <v>6</v>
      </c>
      <c r="L20" t="s">
        <v>70</v>
      </c>
      <c r="M20" t="s">
        <v>10</v>
      </c>
    </row>
    <row r="21" spans="1:13">
      <c r="A21" t="s">
        <v>5824</v>
      </c>
      <c r="B21" s="2">
        <v>45484</v>
      </c>
      <c r="C21">
        <v>2024</v>
      </c>
      <c r="D21">
        <v>7</v>
      </c>
      <c r="E21" t="s">
        <v>93</v>
      </c>
      <c r="F21" t="s">
        <v>54</v>
      </c>
      <c r="G21" t="s">
        <v>3</v>
      </c>
      <c r="H21" t="s">
        <v>71</v>
      </c>
      <c r="I21">
        <v>1</v>
      </c>
      <c r="J21">
        <v>4</v>
      </c>
      <c r="K21">
        <v>4</v>
      </c>
      <c r="L21" t="s">
        <v>13</v>
      </c>
      <c r="M21" t="s">
        <v>17</v>
      </c>
    </row>
    <row r="22" spans="1:13">
      <c r="A22" t="s">
        <v>5825</v>
      </c>
      <c r="B22" s="2">
        <v>45509</v>
      </c>
      <c r="C22">
        <v>2024</v>
      </c>
      <c r="D22">
        <v>8</v>
      </c>
      <c r="E22" t="s">
        <v>101</v>
      </c>
      <c r="F22" t="s">
        <v>2</v>
      </c>
      <c r="G22" t="s">
        <v>94</v>
      </c>
      <c r="H22" t="s">
        <v>41</v>
      </c>
      <c r="I22">
        <v>2</v>
      </c>
      <c r="J22">
        <v>3</v>
      </c>
      <c r="K22">
        <v>6</v>
      </c>
      <c r="L22" t="s">
        <v>70</v>
      </c>
      <c r="M22" t="s">
        <v>10</v>
      </c>
    </row>
    <row r="23" spans="1:13">
      <c r="A23" t="s">
        <v>5826</v>
      </c>
      <c r="B23" s="2">
        <v>45532</v>
      </c>
      <c r="C23">
        <v>2024</v>
      </c>
      <c r="D23">
        <v>8</v>
      </c>
      <c r="E23" t="s">
        <v>101</v>
      </c>
      <c r="F23" t="s">
        <v>78</v>
      </c>
      <c r="G23" t="s">
        <v>48</v>
      </c>
      <c r="H23" t="s">
        <v>14</v>
      </c>
      <c r="I23">
        <v>5</v>
      </c>
      <c r="J23">
        <v>1</v>
      </c>
      <c r="K23">
        <v>5</v>
      </c>
      <c r="L23" t="s">
        <v>70</v>
      </c>
      <c r="M23" t="s">
        <v>17</v>
      </c>
    </row>
    <row r="24" spans="1:13">
      <c r="A24" t="s">
        <v>5827</v>
      </c>
      <c r="B24" s="2">
        <v>45511</v>
      </c>
      <c r="C24">
        <v>2024</v>
      </c>
      <c r="D24">
        <v>8</v>
      </c>
      <c r="E24" t="s">
        <v>101</v>
      </c>
      <c r="F24" t="s">
        <v>54</v>
      </c>
      <c r="G24" t="s">
        <v>48</v>
      </c>
      <c r="H24" t="s">
        <v>107</v>
      </c>
      <c r="I24">
        <v>4</v>
      </c>
      <c r="J24">
        <v>5</v>
      </c>
      <c r="K24">
        <v>20</v>
      </c>
      <c r="L24" t="s">
        <v>6</v>
      </c>
      <c r="M24" t="s">
        <v>10</v>
      </c>
    </row>
    <row r="25" spans="1:13">
      <c r="A25" t="s">
        <v>5828</v>
      </c>
      <c r="B25" s="2">
        <v>45516</v>
      </c>
      <c r="C25">
        <v>2024</v>
      </c>
      <c r="D25">
        <v>8</v>
      </c>
      <c r="E25" t="s">
        <v>101</v>
      </c>
      <c r="F25" t="s">
        <v>40</v>
      </c>
      <c r="G25" t="s">
        <v>48</v>
      </c>
      <c r="H25" t="s">
        <v>7</v>
      </c>
      <c r="I25">
        <v>4</v>
      </c>
      <c r="J25">
        <v>1</v>
      </c>
      <c r="K25">
        <v>4</v>
      </c>
      <c r="L25" t="s">
        <v>13</v>
      </c>
      <c r="M25" t="s">
        <v>17</v>
      </c>
    </row>
    <row r="26" spans="1:13">
      <c r="A26" t="s">
        <v>5829</v>
      </c>
      <c r="B26" s="2">
        <v>45524</v>
      </c>
      <c r="C26">
        <v>2024</v>
      </c>
      <c r="D26">
        <v>8</v>
      </c>
      <c r="E26" t="s">
        <v>101</v>
      </c>
      <c r="F26" t="s">
        <v>26</v>
      </c>
      <c r="G26" t="s">
        <v>74</v>
      </c>
      <c r="H26" t="s">
        <v>84</v>
      </c>
      <c r="I26">
        <v>3</v>
      </c>
      <c r="J26">
        <v>5</v>
      </c>
      <c r="K26">
        <v>15</v>
      </c>
      <c r="L26" t="s">
        <v>34</v>
      </c>
      <c r="M26" t="s">
        <v>5817</v>
      </c>
    </row>
    <row r="27" spans="1:13">
      <c r="A27" t="s">
        <v>5830</v>
      </c>
      <c r="B27" s="2">
        <v>45562</v>
      </c>
      <c r="C27">
        <v>2024</v>
      </c>
      <c r="D27">
        <v>9</v>
      </c>
      <c r="E27" t="s">
        <v>105</v>
      </c>
      <c r="F27" t="s">
        <v>26</v>
      </c>
      <c r="G27" t="s">
        <v>61</v>
      </c>
      <c r="H27" t="s">
        <v>107</v>
      </c>
      <c r="I27">
        <v>1</v>
      </c>
      <c r="J27">
        <v>3</v>
      </c>
      <c r="K27">
        <v>3</v>
      </c>
      <c r="L27" t="s">
        <v>13</v>
      </c>
      <c r="M27" t="s">
        <v>10</v>
      </c>
    </row>
    <row r="28" spans="1:13">
      <c r="A28" t="s">
        <v>5831</v>
      </c>
      <c r="B28" s="2">
        <v>45546</v>
      </c>
      <c r="C28">
        <v>2024</v>
      </c>
      <c r="D28">
        <v>9</v>
      </c>
      <c r="E28" t="s">
        <v>105</v>
      </c>
      <c r="F28" t="s">
        <v>78</v>
      </c>
      <c r="G28" t="s">
        <v>69</v>
      </c>
      <c r="H28" t="s">
        <v>56</v>
      </c>
      <c r="I28">
        <v>2</v>
      </c>
      <c r="J28">
        <v>5</v>
      </c>
      <c r="K28">
        <v>10</v>
      </c>
      <c r="L28" t="s">
        <v>34</v>
      </c>
      <c r="M28" t="s">
        <v>10</v>
      </c>
    </row>
    <row r="29" spans="1:13">
      <c r="A29" t="s">
        <v>5832</v>
      </c>
      <c r="B29" s="2">
        <v>45538</v>
      </c>
      <c r="C29">
        <v>2024</v>
      </c>
      <c r="D29">
        <v>9</v>
      </c>
      <c r="E29" t="s">
        <v>105</v>
      </c>
      <c r="F29" t="s">
        <v>78</v>
      </c>
      <c r="G29" t="s">
        <v>27</v>
      </c>
      <c r="H29" t="s">
        <v>58</v>
      </c>
      <c r="I29">
        <v>2</v>
      </c>
      <c r="J29">
        <v>2</v>
      </c>
      <c r="K29">
        <v>4</v>
      </c>
      <c r="L29" t="s">
        <v>13</v>
      </c>
      <c r="M29" t="s">
        <v>10</v>
      </c>
    </row>
    <row r="30" spans="1:13">
      <c r="A30" t="s">
        <v>5833</v>
      </c>
      <c r="B30" s="2">
        <v>45541</v>
      </c>
      <c r="C30">
        <v>2024</v>
      </c>
      <c r="D30">
        <v>9</v>
      </c>
      <c r="E30" t="s">
        <v>105</v>
      </c>
      <c r="F30" t="s">
        <v>54</v>
      </c>
      <c r="G30" t="s">
        <v>64</v>
      </c>
      <c r="H30" t="s">
        <v>14</v>
      </c>
      <c r="I30">
        <v>5</v>
      </c>
      <c r="J30">
        <v>4</v>
      </c>
      <c r="K30">
        <v>20</v>
      </c>
      <c r="L30" t="s">
        <v>6</v>
      </c>
      <c r="M30" t="s">
        <v>17</v>
      </c>
    </row>
    <row r="31" spans="1:13">
      <c r="A31" t="s">
        <v>5834</v>
      </c>
      <c r="B31" s="2">
        <v>45582</v>
      </c>
      <c r="C31">
        <v>2024</v>
      </c>
      <c r="D31">
        <v>10</v>
      </c>
      <c r="E31" t="s">
        <v>113</v>
      </c>
      <c r="F31" t="s">
        <v>67</v>
      </c>
      <c r="G31" t="s">
        <v>48</v>
      </c>
      <c r="H31" t="s">
        <v>14</v>
      </c>
      <c r="I31">
        <v>3</v>
      </c>
      <c r="J31">
        <v>4</v>
      </c>
      <c r="K31">
        <v>12</v>
      </c>
      <c r="L31" t="s">
        <v>34</v>
      </c>
      <c r="M31" t="s">
        <v>17</v>
      </c>
    </row>
    <row r="32" spans="1:13">
      <c r="A32" t="s">
        <v>5835</v>
      </c>
      <c r="B32" s="2">
        <v>45574</v>
      </c>
      <c r="C32">
        <v>2024</v>
      </c>
      <c r="D32">
        <v>10</v>
      </c>
      <c r="E32" t="s">
        <v>113</v>
      </c>
      <c r="F32" t="s">
        <v>19</v>
      </c>
      <c r="G32" t="s">
        <v>38</v>
      </c>
      <c r="H32" t="s">
        <v>7</v>
      </c>
      <c r="I32">
        <v>5</v>
      </c>
      <c r="J32">
        <v>4</v>
      </c>
      <c r="K32">
        <v>20</v>
      </c>
      <c r="L32" t="s">
        <v>6</v>
      </c>
      <c r="M32" t="s">
        <v>5817</v>
      </c>
    </row>
    <row r="33" spans="1:13">
      <c r="A33" t="s">
        <v>5836</v>
      </c>
      <c r="B33" s="2">
        <v>45566</v>
      </c>
      <c r="C33">
        <v>2024</v>
      </c>
      <c r="D33">
        <v>10</v>
      </c>
      <c r="E33" t="s">
        <v>113</v>
      </c>
      <c r="F33" t="s">
        <v>67</v>
      </c>
      <c r="G33" t="s">
        <v>69</v>
      </c>
      <c r="H33" t="s">
        <v>7</v>
      </c>
      <c r="I33">
        <v>1</v>
      </c>
      <c r="J33">
        <v>4</v>
      </c>
      <c r="K33">
        <v>4</v>
      </c>
      <c r="L33" t="s">
        <v>13</v>
      </c>
      <c r="M33" t="s">
        <v>17</v>
      </c>
    </row>
    <row r="34" spans="1:13">
      <c r="A34" t="s">
        <v>5837</v>
      </c>
      <c r="B34" s="2">
        <v>45575</v>
      </c>
      <c r="C34">
        <v>2024</v>
      </c>
      <c r="D34">
        <v>10</v>
      </c>
      <c r="E34" t="s">
        <v>113</v>
      </c>
      <c r="F34" t="s">
        <v>26</v>
      </c>
      <c r="G34" t="s">
        <v>3</v>
      </c>
      <c r="H34" t="s">
        <v>58</v>
      </c>
      <c r="I34">
        <v>1</v>
      </c>
      <c r="J34">
        <v>3</v>
      </c>
      <c r="K34">
        <v>3</v>
      </c>
      <c r="L34" t="s">
        <v>13</v>
      </c>
      <c r="M34" t="s">
        <v>10</v>
      </c>
    </row>
    <row r="35" spans="1:13">
      <c r="A35" t="s">
        <v>5838</v>
      </c>
      <c r="B35" s="2">
        <v>45606</v>
      </c>
      <c r="C35">
        <v>2024</v>
      </c>
      <c r="D35">
        <v>11</v>
      </c>
      <c r="E35" t="s">
        <v>117</v>
      </c>
      <c r="F35" t="s">
        <v>38</v>
      </c>
      <c r="G35" t="s">
        <v>27</v>
      </c>
      <c r="H35" t="s">
        <v>14</v>
      </c>
      <c r="I35">
        <v>2</v>
      </c>
      <c r="J35">
        <v>4</v>
      </c>
      <c r="K35">
        <v>8</v>
      </c>
      <c r="L35" t="s">
        <v>70</v>
      </c>
      <c r="M35" t="s">
        <v>5817</v>
      </c>
    </row>
    <row r="36" spans="1:13">
      <c r="A36" t="s">
        <v>5839</v>
      </c>
      <c r="B36" s="2">
        <v>45624</v>
      </c>
      <c r="C36">
        <v>2024</v>
      </c>
      <c r="D36">
        <v>11</v>
      </c>
      <c r="E36" t="s">
        <v>117</v>
      </c>
      <c r="F36" t="s">
        <v>2</v>
      </c>
      <c r="G36" t="s">
        <v>94</v>
      </c>
      <c r="H36" t="s">
        <v>84</v>
      </c>
      <c r="I36">
        <v>2</v>
      </c>
      <c r="J36">
        <v>1</v>
      </c>
      <c r="K36">
        <v>2</v>
      </c>
      <c r="L36" t="s">
        <v>13</v>
      </c>
      <c r="M36" t="s">
        <v>5817</v>
      </c>
    </row>
    <row r="37" spans="1:13">
      <c r="A37" t="s">
        <v>5840</v>
      </c>
      <c r="B37" s="2">
        <v>45634</v>
      </c>
      <c r="C37">
        <v>2024</v>
      </c>
      <c r="D37">
        <v>12</v>
      </c>
      <c r="E37" t="s">
        <v>124</v>
      </c>
      <c r="F37" t="s">
        <v>31</v>
      </c>
      <c r="G37" t="s">
        <v>48</v>
      </c>
      <c r="H37" t="s">
        <v>51</v>
      </c>
      <c r="I37">
        <v>3</v>
      </c>
      <c r="J37">
        <v>5</v>
      </c>
      <c r="K37">
        <v>15</v>
      </c>
      <c r="L37" t="s">
        <v>34</v>
      </c>
      <c r="M37" t="s">
        <v>17</v>
      </c>
    </row>
    <row r="38" spans="1:13">
      <c r="A38" t="s">
        <v>5841</v>
      </c>
      <c r="B38" s="2">
        <v>45627</v>
      </c>
      <c r="C38">
        <v>2024</v>
      </c>
      <c r="D38">
        <v>12</v>
      </c>
      <c r="E38" t="s">
        <v>124</v>
      </c>
      <c r="F38" t="s">
        <v>2</v>
      </c>
      <c r="G38" t="s">
        <v>3</v>
      </c>
      <c r="H38" t="s">
        <v>51</v>
      </c>
      <c r="I38">
        <v>3</v>
      </c>
      <c r="J38">
        <v>1</v>
      </c>
      <c r="K38">
        <v>3</v>
      </c>
      <c r="L38" t="s">
        <v>13</v>
      </c>
      <c r="M38" t="s">
        <v>10</v>
      </c>
    </row>
    <row r="39" spans="1:13">
      <c r="A39" t="s">
        <v>5842</v>
      </c>
      <c r="B39" s="2">
        <v>45642</v>
      </c>
      <c r="C39">
        <v>2024</v>
      </c>
      <c r="D39">
        <v>12</v>
      </c>
      <c r="E39" t="s">
        <v>124</v>
      </c>
      <c r="F39" t="s">
        <v>31</v>
      </c>
      <c r="G39" t="s">
        <v>69</v>
      </c>
      <c r="H39" t="s">
        <v>107</v>
      </c>
      <c r="I39">
        <v>5</v>
      </c>
      <c r="J39">
        <v>3</v>
      </c>
      <c r="K39">
        <v>15</v>
      </c>
      <c r="L39" t="s">
        <v>34</v>
      </c>
      <c r="M39" t="s">
        <v>10</v>
      </c>
    </row>
    <row r="40" spans="1:13">
      <c r="A40" t="s">
        <v>5843</v>
      </c>
      <c r="B40" s="2">
        <v>45642</v>
      </c>
      <c r="C40">
        <v>2024</v>
      </c>
      <c r="D40">
        <v>12</v>
      </c>
      <c r="E40" t="s">
        <v>124</v>
      </c>
      <c r="F40" t="s">
        <v>40</v>
      </c>
      <c r="G40" t="s">
        <v>48</v>
      </c>
      <c r="H40" t="s">
        <v>41</v>
      </c>
      <c r="I40">
        <v>1</v>
      </c>
      <c r="J40">
        <v>4</v>
      </c>
      <c r="K40">
        <v>4</v>
      </c>
      <c r="L40" t="s">
        <v>13</v>
      </c>
      <c r="M40" t="s">
        <v>5817</v>
      </c>
    </row>
    <row r="41" spans="1:13">
      <c r="A41" t="s">
        <v>5844</v>
      </c>
      <c r="B41" s="2">
        <v>45660</v>
      </c>
      <c r="C41">
        <v>2025</v>
      </c>
      <c r="D41">
        <v>1</v>
      </c>
      <c r="E41" t="s">
        <v>1</v>
      </c>
      <c r="F41" t="s">
        <v>26</v>
      </c>
      <c r="G41" t="s">
        <v>38</v>
      </c>
      <c r="H41" t="s">
        <v>56</v>
      </c>
      <c r="I41">
        <v>5</v>
      </c>
      <c r="J41">
        <v>5</v>
      </c>
      <c r="K41">
        <v>25</v>
      </c>
      <c r="L41" t="s">
        <v>6</v>
      </c>
      <c r="M41" t="s">
        <v>17</v>
      </c>
    </row>
    <row r="42" spans="1:13">
      <c r="A42" t="s">
        <v>5845</v>
      </c>
      <c r="B42" s="2">
        <v>45682</v>
      </c>
      <c r="C42">
        <v>2025</v>
      </c>
      <c r="D42">
        <v>1</v>
      </c>
      <c r="E42" t="s">
        <v>1</v>
      </c>
      <c r="F42" t="s">
        <v>54</v>
      </c>
      <c r="G42" t="s">
        <v>48</v>
      </c>
      <c r="H42" t="s">
        <v>84</v>
      </c>
      <c r="I42">
        <v>1</v>
      </c>
      <c r="J42">
        <v>1</v>
      </c>
      <c r="K42">
        <v>1</v>
      </c>
      <c r="L42" t="s">
        <v>13</v>
      </c>
      <c r="M42" t="s">
        <v>5817</v>
      </c>
    </row>
    <row r="43" spans="1:13">
      <c r="A43" t="s">
        <v>5846</v>
      </c>
      <c r="B43" s="2">
        <v>45682</v>
      </c>
      <c r="C43">
        <v>2025</v>
      </c>
      <c r="D43">
        <v>1</v>
      </c>
      <c r="E43" t="s">
        <v>1</v>
      </c>
      <c r="F43" t="s">
        <v>38</v>
      </c>
      <c r="G43" t="s">
        <v>55</v>
      </c>
      <c r="H43" t="s">
        <v>71</v>
      </c>
      <c r="I43">
        <v>3</v>
      </c>
      <c r="J43">
        <v>1</v>
      </c>
      <c r="K43">
        <v>3</v>
      </c>
      <c r="L43" t="s">
        <v>13</v>
      </c>
      <c r="M43" t="s">
        <v>17</v>
      </c>
    </row>
    <row r="44" spans="1:13">
      <c r="A44" t="s">
        <v>5847</v>
      </c>
      <c r="B44" s="2">
        <v>45678</v>
      </c>
      <c r="C44">
        <v>2025</v>
      </c>
      <c r="D44">
        <v>1</v>
      </c>
      <c r="E44" t="s">
        <v>1</v>
      </c>
      <c r="F44" t="s">
        <v>67</v>
      </c>
      <c r="G44" t="s">
        <v>38</v>
      </c>
      <c r="H44" t="s">
        <v>7</v>
      </c>
      <c r="I44">
        <v>2</v>
      </c>
      <c r="J44">
        <v>2</v>
      </c>
      <c r="K44">
        <v>4</v>
      </c>
      <c r="L44" t="s">
        <v>13</v>
      </c>
      <c r="M44" t="s">
        <v>5817</v>
      </c>
    </row>
    <row r="45" spans="1:13">
      <c r="A45" t="s">
        <v>5848</v>
      </c>
      <c r="B45" s="2">
        <v>45716</v>
      </c>
      <c r="C45">
        <v>2025</v>
      </c>
      <c r="D45">
        <v>2</v>
      </c>
      <c r="E45" t="s">
        <v>25</v>
      </c>
      <c r="F45" t="s">
        <v>47</v>
      </c>
      <c r="G45" t="s">
        <v>94</v>
      </c>
      <c r="H45" t="s">
        <v>21</v>
      </c>
      <c r="I45">
        <v>2</v>
      </c>
      <c r="J45">
        <v>2</v>
      </c>
      <c r="K45">
        <v>4</v>
      </c>
      <c r="L45" t="s">
        <v>13</v>
      </c>
      <c r="M45" t="s">
        <v>17</v>
      </c>
    </row>
    <row r="46" spans="1:13">
      <c r="A46" t="s">
        <v>5849</v>
      </c>
      <c r="B46" s="2">
        <v>45711</v>
      </c>
      <c r="C46">
        <v>2025</v>
      </c>
      <c r="D46">
        <v>2</v>
      </c>
      <c r="E46" t="s">
        <v>25</v>
      </c>
      <c r="F46" t="s">
        <v>31</v>
      </c>
      <c r="G46" t="s">
        <v>69</v>
      </c>
      <c r="H46" t="s">
        <v>84</v>
      </c>
      <c r="I46">
        <v>1</v>
      </c>
      <c r="J46">
        <v>1</v>
      </c>
      <c r="K46">
        <v>1</v>
      </c>
      <c r="L46" t="s">
        <v>13</v>
      </c>
      <c r="M46" t="s">
        <v>5817</v>
      </c>
    </row>
    <row r="47" spans="1:13">
      <c r="A47" t="s">
        <v>5850</v>
      </c>
      <c r="B47" s="2">
        <v>45739</v>
      </c>
      <c r="C47">
        <v>2025</v>
      </c>
      <c r="D47">
        <v>3</v>
      </c>
      <c r="E47" t="s">
        <v>60</v>
      </c>
      <c r="F47" t="s">
        <v>19</v>
      </c>
      <c r="G47" t="s">
        <v>20</v>
      </c>
      <c r="H47" t="s">
        <v>71</v>
      </c>
      <c r="I47">
        <v>1</v>
      </c>
      <c r="J47">
        <v>5</v>
      </c>
      <c r="K47">
        <v>5</v>
      </c>
      <c r="L47" t="s">
        <v>70</v>
      </c>
      <c r="M47" t="s">
        <v>10</v>
      </c>
    </row>
    <row r="48" spans="1:13">
      <c r="A48" t="s">
        <v>5851</v>
      </c>
      <c r="B48" s="2">
        <v>45744</v>
      </c>
      <c r="C48">
        <v>2025</v>
      </c>
      <c r="D48">
        <v>3</v>
      </c>
      <c r="E48" t="s">
        <v>60</v>
      </c>
      <c r="F48" t="s">
        <v>38</v>
      </c>
      <c r="G48" t="s">
        <v>74</v>
      </c>
      <c r="H48" t="s">
        <v>51</v>
      </c>
      <c r="I48">
        <v>3</v>
      </c>
      <c r="J48">
        <v>4</v>
      </c>
      <c r="K48">
        <v>12</v>
      </c>
      <c r="L48" t="s">
        <v>34</v>
      </c>
      <c r="M48" t="s">
        <v>10</v>
      </c>
    </row>
    <row r="49" spans="1:13">
      <c r="A49" t="s">
        <v>5852</v>
      </c>
      <c r="B49" s="2">
        <v>45725</v>
      </c>
      <c r="C49">
        <v>2025</v>
      </c>
      <c r="D49">
        <v>3</v>
      </c>
      <c r="E49" t="s">
        <v>60</v>
      </c>
      <c r="F49" t="s">
        <v>38</v>
      </c>
      <c r="G49" t="s">
        <v>38</v>
      </c>
      <c r="H49" t="s">
        <v>41</v>
      </c>
      <c r="I49">
        <v>3</v>
      </c>
      <c r="J49">
        <v>1</v>
      </c>
      <c r="K49">
        <v>3</v>
      </c>
      <c r="L49" t="s">
        <v>13</v>
      </c>
      <c r="M49" t="s">
        <v>5817</v>
      </c>
    </row>
    <row r="50" spans="1:13">
      <c r="A50" t="s">
        <v>5853</v>
      </c>
      <c r="B50" s="2">
        <v>45771</v>
      </c>
      <c r="C50">
        <v>2025</v>
      </c>
      <c r="D50">
        <v>4</v>
      </c>
      <c r="E50" t="s">
        <v>73</v>
      </c>
      <c r="F50" t="s">
        <v>19</v>
      </c>
      <c r="G50" t="s">
        <v>20</v>
      </c>
      <c r="H50" t="s">
        <v>7</v>
      </c>
      <c r="I50">
        <v>1</v>
      </c>
      <c r="J50">
        <v>1</v>
      </c>
      <c r="K50">
        <v>1</v>
      </c>
      <c r="L50" t="s">
        <v>13</v>
      </c>
      <c r="M50" t="s">
        <v>10</v>
      </c>
    </row>
    <row r="51" spans="1:13">
      <c r="A51" t="s">
        <v>5854</v>
      </c>
      <c r="B51" s="2">
        <v>45757</v>
      </c>
      <c r="C51">
        <v>2025</v>
      </c>
      <c r="D51">
        <v>4</v>
      </c>
      <c r="E51" t="s">
        <v>73</v>
      </c>
      <c r="F51" t="s">
        <v>26</v>
      </c>
      <c r="G51" t="s">
        <v>27</v>
      </c>
      <c r="H51" t="s">
        <v>51</v>
      </c>
      <c r="I51">
        <v>3</v>
      </c>
      <c r="J51">
        <v>4</v>
      </c>
      <c r="K51">
        <v>12</v>
      </c>
      <c r="L51" t="s">
        <v>34</v>
      </c>
      <c r="M51" t="s">
        <v>10</v>
      </c>
    </row>
    <row r="52" spans="1:13">
      <c r="A52" t="s">
        <v>5855</v>
      </c>
      <c r="B52" s="2">
        <v>45774</v>
      </c>
      <c r="C52">
        <v>2025</v>
      </c>
      <c r="D52">
        <v>4</v>
      </c>
      <c r="E52" t="s">
        <v>73</v>
      </c>
      <c r="F52" t="s">
        <v>31</v>
      </c>
      <c r="G52" t="s">
        <v>94</v>
      </c>
      <c r="H52" t="s">
        <v>56</v>
      </c>
      <c r="I52">
        <v>2</v>
      </c>
      <c r="J52">
        <v>3</v>
      </c>
      <c r="K52">
        <v>6</v>
      </c>
      <c r="L52" t="s">
        <v>70</v>
      </c>
      <c r="M52" t="s">
        <v>10</v>
      </c>
    </row>
    <row r="53" spans="1:13">
      <c r="A53" t="s">
        <v>5856</v>
      </c>
      <c r="B53" s="2">
        <v>45779</v>
      </c>
      <c r="C53">
        <v>2025</v>
      </c>
      <c r="D53">
        <v>5</v>
      </c>
      <c r="E53" t="s">
        <v>83</v>
      </c>
      <c r="F53" t="s">
        <v>31</v>
      </c>
      <c r="G53" t="s">
        <v>27</v>
      </c>
      <c r="H53" t="s">
        <v>14</v>
      </c>
      <c r="I53">
        <v>3</v>
      </c>
      <c r="J53">
        <v>4</v>
      </c>
      <c r="K53">
        <v>12</v>
      </c>
      <c r="L53" t="s">
        <v>34</v>
      </c>
      <c r="M53" t="s">
        <v>10</v>
      </c>
    </row>
    <row r="54" spans="1:13">
      <c r="A54" t="s">
        <v>5857</v>
      </c>
      <c r="B54" s="2">
        <v>45804</v>
      </c>
      <c r="C54">
        <v>2025</v>
      </c>
      <c r="D54">
        <v>5</v>
      </c>
      <c r="E54" t="s">
        <v>83</v>
      </c>
      <c r="F54" t="s">
        <v>2</v>
      </c>
      <c r="G54" t="s">
        <v>3</v>
      </c>
      <c r="H54" t="s">
        <v>84</v>
      </c>
      <c r="I54">
        <v>3</v>
      </c>
      <c r="J54">
        <v>1</v>
      </c>
      <c r="K54">
        <v>3</v>
      </c>
      <c r="L54" t="s">
        <v>13</v>
      </c>
      <c r="M54" t="s">
        <v>17</v>
      </c>
    </row>
    <row r="55" spans="1:13">
      <c r="A55" t="s">
        <v>5858</v>
      </c>
      <c r="B55" s="2">
        <v>45784</v>
      </c>
      <c r="C55">
        <v>2025</v>
      </c>
      <c r="D55">
        <v>5</v>
      </c>
      <c r="E55" t="s">
        <v>83</v>
      </c>
      <c r="F55" t="s">
        <v>47</v>
      </c>
      <c r="G55" t="s">
        <v>55</v>
      </c>
      <c r="H55" t="s">
        <v>7</v>
      </c>
      <c r="I55">
        <v>2</v>
      </c>
      <c r="J55">
        <v>2</v>
      </c>
      <c r="K55">
        <v>4</v>
      </c>
      <c r="L55" t="s">
        <v>13</v>
      </c>
      <c r="M55" t="s">
        <v>17</v>
      </c>
    </row>
    <row r="56" spans="1:13">
      <c r="A56" t="s">
        <v>5859</v>
      </c>
      <c r="B56" s="2">
        <v>45797</v>
      </c>
      <c r="C56">
        <v>2025</v>
      </c>
      <c r="D56">
        <v>5</v>
      </c>
      <c r="E56" t="s">
        <v>83</v>
      </c>
      <c r="F56" t="s">
        <v>26</v>
      </c>
      <c r="G56" t="s">
        <v>94</v>
      </c>
      <c r="H56" t="s">
        <v>107</v>
      </c>
      <c r="I56">
        <v>1</v>
      </c>
      <c r="J56">
        <v>3</v>
      </c>
      <c r="K56">
        <v>3</v>
      </c>
      <c r="L56" t="s">
        <v>13</v>
      </c>
      <c r="M56" t="s">
        <v>17</v>
      </c>
    </row>
    <row r="57" spans="1:13">
      <c r="A57" t="s">
        <v>5860</v>
      </c>
      <c r="B57" s="2">
        <v>45829</v>
      </c>
      <c r="C57">
        <v>2025</v>
      </c>
      <c r="D57">
        <v>6</v>
      </c>
      <c r="E57" t="s">
        <v>87</v>
      </c>
      <c r="F57" t="s">
        <v>2</v>
      </c>
      <c r="G57" t="s">
        <v>38</v>
      </c>
      <c r="H57" t="s">
        <v>84</v>
      </c>
      <c r="I57">
        <v>2</v>
      </c>
      <c r="J57">
        <v>2</v>
      </c>
      <c r="K57">
        <v>4</v>
      </c>
      <c r="L57" t="s">
        <v>13</v>
      </c>
      <c r="M57" t="s">
        <v>10</v>
      </c>
    </row>
    <row r="58" spans="1:13">
      <c r="A58" t="s">
        <v>5861</v>
      </c>
      <c r="B58" s="2">
        <v>45827</v>
      </c>
      <c r="C58">
        <v>2025</v>
      </c>
      <c r="D58">
        <v>6</v>
      </c>
      <c r="E58" t="s">
        <v>87</v>
      </c>
      <c r="F58" t="s">
        <v>47</v>
      </c>
      <c r="G58" t="s">
        <v>27</v>
      </c>
      <c r="H58" t="s">
        <v>41</v>
      </c>
      <c r="I58">
        <v>1</v>
      </c>
      <c r="J58">
        <v>2</v>
      </c>
      <c r="K58">
        <v>2</v>
      </c>
      <c r="L58" t="s">
        <v>13</v>
      </c>
      <c r="M58" t="s">
        <v>5817</v>
      </c>
    </row>
    <row r="59" spans="1:13">
      <c r="A59" t="s">
        <v>5862</v>
      </c>
      <c r="B59" s="2">
        <v>45815</v>
      </c>
      <c r="C59">
        <v>2025</v>
      </c>
      <c r="D59">
        <v>6</v>
      </c>
      <c r="E59" t="s">
        <v>87</v>
      </c>
      <c r="F59" t="s">
        <v>67</v>
      </c>
      <c r="G59" t="s">
        <v>94</v>
      </c>
      <c r="H59" t="s">
        <v>58</v>
      </c>
      <c r="I59">
        <v>1</v>
      </c>
      <c r="J59">
        <v>5</v>
      </c>
      <c r="K59">
        <v>5</v>
      </c>
      <c r="L59" t="s">
        <v>70</v>
      </c>
      <c r="M59" t="s">
        <v>10</v>
      </c>
    </row>
    <row r="60" spans="1:13">
      <c r="A60" t="s">
        <v>5863</v>
      </c>
      <c r="B60" s="2">
        <v>45824</v>
      </c>
      <c r="C60">
        <v>2025</v>
      </c>
      <c r="D60">
        <v>6</v>
      </c>
      <c r="E60" t="s">
        <v>87</v>
      </c>
      <c r="F60" t="s">
        <v>78</v>
      </c>
      <c r="G60" t="s">
        <v>64</v>
      </c>
      <c r="H60" t="s">
        <v>14</v>
      </c>
      <c r="I60">
        <v>4</v>
      </c>
      <c r="J60">
        <v>5</v>
      </c>
      <c r="K60">
        <v>20</v>
      </c>
      <c r="L60" t="s">
        <v>6</v>
      </c>
      <c r="M60" t="s">
        <v>5817</v>
      </c>
    </row>
    <row r="61" spans="1:13">
      <c r="A61" t="s">
        <v>5864</v>
      </c>
      <c r="B61" s="2">
        <v>45854</v>
      </c>
      <c r="C61">
        <v>2025</v>
      </c>
      <c r="D61">
        <v>7</v>
      </c>
      <c r="E61" t="s">
        <v>93</v>
      </c>
      <c r="F61" t="s">
        <v>38</v>
      </c>
      <c r="G61" t="s">
        <v>69</v>
      </c>
      <c r="H61" t="s">
        <v>58</v>
      </c>
      <c r="I61">
        <v>4</v>
      </c>
      <c r="J61">
        <v>5</v>
      </c>
      <c r="K61">
        <v>20</v>
      </c>
      <c r="L61" t="s">
        <v>6</v>
      </c>
      <c r="M61" t="s">
        <v>5817</v>
      </c>
    </row>
    <row r="62" spans="1:13">
      <c r="A62" t="s">
        <v>5865</v>
      </c>
      <c r="B62" s="2">
        <v>45848</v>
      </c>
      <c r="C62">
        <v>2025</v>
      </c>
      <c r="D62">
        <v>7</v>
      </c>
      <c r="E62" t="s">
        <v>93</v>
      </c>
      <c r="F62" t="s">
        <v>38</v>
      </c>
      <c r="G62" t="s">
        <v>48</v>
      </c>
      <c r="H62" t="s">
        <v>14</v>
      </c>
      <c r="I62">
        <v>1</v>
      </c>
      <c r="J62">
        <v>1</v>
      </c>
      <c r="K62">
        <v>1</v>
      </c>
      <c r="L62" t="s">
        <v>13</v>
      </c>
      <c r="M62" t="s">
        <v>10</v>
      </c>
    </row>
    <row r="63" spans="1:13">
      <c r="A63" t="s">
        <v>5866</v>
      </c>
      <c r="B63" s="2">
        <v>45840</v>
      </c>
      <c r="C63">
        <v>2025</v>
      </c>
      <c r="D63">
        <v>7</v>
      </c>
      <c r="E63" t="s">
        <v>93</v>
      </c>
      <c r="F63" t="s">
        <v>2</v>
      </c>
      <c r="G63" t="s">
        <v>69</v>
      </c>
      <c r="H63" t="s">
        <v>71</v>
      </c>
      <c r="I63">
        <v>1</v>
      </c>
      <c r="J63">
        <v>3</v>
      </c>
      <c r="K63">
        <v>3</v>
      </c>
      <c r="L63" t="s">
        <v>13</v>
      </c>
      <c r="M63" t="s">
        <v>5817</v>
      </c>
    </row>
    <row r="64" spans="1:13">
      <c r="A64" t="s">
        <v>5867</v>
      </c>
      <c r="B64" s="2">
        <v>45854</v>
      </c>
      <c r="C64">
        <v>2025</v>
      </c>
      <c r="D64">
        <v>7</v>
      </c>
      <c r="E64" t="s">
        <v>93</v>
      </c>
      <c r="F64" t="s">
        <v>67</v>
      </c>
      <c r="G64" t="s">
        <v>69</v>
      </c>
      <c r="H64" t="s">
        <v>58</v>
      </c>
      <c r="I64">
        <v>3</v>
      </c>
      <c r="J64">
        <v>4</v>
      </c>
      <c r="K64">
        <v>12</v>
      </c>
      <c r="L64" t="s">
        <v>34</v>
      </c>
      <c r="M64" t="s">
        <v>5817</v>
      </c>
    </row>
    <row r="65" spans="1:13">
      <c r="A65" t="s">
        <v>5868</v>
      </c>
      <c r="B65" s="2">
        <v>45872</v>
      </c>
      <c r="C65">
        <v>2025</v>
      </c>
      <c r="D65">
        <v>8</v>
      </c>
      <c r="E65" t="s">
        <v>101</v>
      </c>
      <c r="F65" t="s">
        <v>78</v>
      </c>
      <c r="G65" t="s">
        <v>64</v>
      </c>
      <c r="H65" t="s">
        <v>7</v>
      </c>
      <c r="I65">
        <v>3</v>
      </c>
      <c r="J65">
        <v>2</v>
      </c>
      <c r="K65">
        <v>6</v>
      </c>
      <c r="L65" t="s">
        <v>70</v>
      </c>
      <c r="M65" t="s">
        <v>17</v>
      </c>
    </row>
    <row r="66" spans="1:13">
      <c r="A66" t="s">
        <v>5869</v>
      </c>
      <c r="B66" s="2">
        <v>45882</v>
      </c>
      <c r="C66">
        <v>2025</v>
      </c>
      <c r="D66">
        <v>8</v>
      </c>
      <c r="E66" t="s">
        <v>101</v>
      </c>
      <c r="F66" t="s">
        <v>47</v>
      </c>
      <c r="G66" t="s">
        <v>55</v>
      </c>
      <c r="H66" t="s">
        <v>71</v>
      </c>
      <c r="I66">
        <v>3</v>
      </c>
      <c r="J66">
        <v>2</v>
      </c>
      <c r="K66">
        <v>6</v>
      </c>
      <c r="L66" t="s">
        <v>70</v>
      </c>
      <c r="M66" t="s">
        <v>17</v>
      </c>
    </row>
    <row r="67" spans="1:13">
      <c r="A67" t="s">
        <v>5870</v>
      </c>
      <c r="B67" s="2">
        <v>45887</v>
      </c>
      <c r="C67">
        <v>2025</v>
      </c>
      <c r="D67">
        <v>8</v>
      </c>
      <c r="E67" t="s">
        <v>101</v>
      </c>
      <c r="F67" t="s">
        <v>31</v>
      </c>
      <c r="G67" t="s">
        <v>64</v>
      </c>
      <c r="H67" t="s">
        <v>14</v>
      </c>
      <c r="I67">
        <v>1</v>
      </c>
      <c r="J67">
        <v>3</v>
      </c>
      <c r="K67">
        <v>3</v>
      </c>
      <c r="L67" t="s">
        <v>13</v>
      </c>
      <c r="M67" t="s">
        <v>10</v>
      </c>
    </row>
    <row r="68" spans="1:13">
      <c r="A68" t="s">
        <v>5871</v>
      </c>
      <c r="B68" s="2">
        <v>45876</v>
      </c>
      <c r="C68">
        <v>2025</v>
      </c>
      <c r="D68">
        <v>8</v>
      </c>
      <c r="E68" t="s">
        <v>101</v>
      </c>
      <c r="F68" t="s">
        <v>40</v>
      </c>
      <c r="G68" t="s">
        <v>61</v>
      </c>
      <c r="H68" t="s">
        <v>7</v>
      </c>
      <c r="I68">
        <v>1</v>
      </c>
      <c r="J68">
        <v>2</v>
      </c>
      <c r="K68">
        <v>2</v>
      </c>
      <c r="L68" t="s">
        <v>13</v>
      </c>
      <c r="M68" t="s">
        <v>10</v>
      </c>
    </row>
    <row r="69" spans="1:13">
      <c r="A69" t="s">
        <v>5872</v>
      </c>
      <c r="B69" s="2">
        <v>45920</v>
      </c>
      <c r="C69">
        <v>2025</v>
      </c>
      <c r="D69">
        <v>9</v>
      </c>
      <c r="E69" t="s">
        <v>105</v>
      </c>
      <c r="F69" t="s">
        <v>19</v>
      </c>
      <c r="G69" t="s">
        <v>64</v>
      </c>
      <c r="H69" t="s">
        <v>7</v>
      </c>
      <c r="I69">
        <v>3</v>
      </c>
      <c r="J69">
        <v>2</v>
      </c>
      <c r="K69">
        <v>6</v>
      </c>
      <c r="L69" t="s">
        <v>70</v>
      </c>
      <c r="M69" t="s">
        <v>10</v>
      </c>
    </row>
    <row r="70" spans="1:13">
      <c r="A70" t="s">
        <v>5873</v>
      </c>
      <c r="B70" s="2">
        <v>45905</v>
      </c>
      <c r="C70">
        <v>2025</v>
      </c>
      <c r="D70">
        <v>9</v>
      </c>
      <c r="E70" t="s">
        <v>105</v>
      </c>
      <c r="F70" t="s">
        <v>67</v>
      </c>
      <c r="G70" t="s">
        <v>69</v>
      </c>
      <c r="H70" t="s">
        <v>7</v>
      </c>
      <c r="I70">
        <v>1</v>
      </c>
      <c r="J70">
        <v>2</v>
      </c>
      <c r="K70">
        <v>2</v>
      </c>
      <c r="L70" t="s">
        <v>13</v>
      </c>
      <c r="M70" t="s">
        <v>10</v>
      </c>
    </row>
    <row r="71" spans="1:13">
      <c r="A71" t="s">
        <v>5874</v>
      </c>
      <c r="B71" s="2">
        <v>45904</v>
      </c>
      <c r="C71">
        <v>2025</v>
      </c>
      <c r="D71">
        <v>9</v>
      </c>
      <c r="E71" t="s">
        <v>105</v>
      </c>
      <c r="F71" t="s">
        <v>38</v>
      </c>
      <c r="G71" t="s">
        <v>32</v>
      </c>
      <c r="H71" t="s">
        <v>21</v>
      </c>
      <c r="I71">
        <v>2</v>
      </c>
      <c r="J71">
        <v>5</v>
      </c>
      <c r="K71">
        <v>10</v>
      </c>
      <c r="L71" t="s">
        <v>34</v>
      </c>
      <c r="M71" t="s">
        <v>5817</v>
      </c>
    </row>
    <row r="72" spans="1:13">
      <c r="A72" t="s">
        <v>5875</v>
      </c>
      <c r="B72" s="2">
        <v>45912</v>
      </c>
      <c r="C72">
        <v>2025</v>
      </c>
      <c r="D72">
        <v>9</v>
      </c>
      <c r="E72" t="s">
        <v>105</v>
      </c>
      <c r="F72" t="s">
        <v>40</v>
      </c>
      <c r="G72" t="s">
        <v>74</v>
      </c>
      <c r="H72" t="s">
        <v>58</v>
      </c>
      <c r="I72">
        <v>5</v>
      </c>
      <c r="J72">
        <v>3</v>
      </c>
      <c r="K72">
        <v>15</v>
      </c>
      <c r="L72" t="s">
        <v>34</v>
      </c>
      <c r="M72" t="s">
        <v>10</v>
      </c>
    </row>
    <row r="73" spans="1:13">
      <c r="A73" t="s">
        <v>5876</v>
      </c>
      <c r="B73" s="2">
        <v>45918</v>
      </c>
      <c r="C73">
        <v>2025</v>
      </c>
      <c r="D73">
        <v>9</v>
      </c>
      <c r="E73" t="s">
        <v>105</v>
      </c>
      <c r="F73" t="s">
        <v>19</v>
      </c>
      <c r="G73" t="s">
        <v>94</v>
      </c>
      <c r="H73" t="s">
        <v>7</v>
      </c>
      <c r="I73">
        <v>4</v>
      </c>
      <c r="J73">
        <v>1</v>
      </c>
      <c r="K73">
        <v>4</v>
      </c>
      <c r="L73" t="s">
        <v>13</v>
      </c>
      <c r="M73" t="s">
        <v>10</v>
      </c>
    </row>
    <row r="74" spans="1:13">
      <c r="A74" t="s">
        <v>5877</v>
      </c>
      <c r="B74" s="2">
        <v>45934</v>
      </c>
      <c r="C74">
        <v>2025</v>
      </c>
      <c r="D74">
        <v>10</v>
      </c>
      <c r="E74" t="s">
        <v>113</v>
      </c>
      <c r="F74" t="s">
        <v>26</v>
      </c>
      <c r="G74" t="s">
        <v>69</v>
      </c>
      <c r="H74" t="s">
        <v>41</v>
      </c>
      <c r="I74">
        <v>5</v>
      </c>
      <c r="J74">
        <v>5</v>
      </c>
      <c r="K74">
        <v>25</v>
      </c>
      <c r="L74" t="s">
        <v>6</v>
      </c>
      <c r="M74" t="s">
        <v>17</v>
      </c>
    </row>
    <row r="75" spans="1:13">
      <c r="A75" t="s">
        <v>5878</v>
      </c>
      <c r="B75" s="2">
        <v>45940</v>
      </c>
      <c r="C75">
        <v>2025</v>
      </c>
      <c r="D75">
        <v>10</v>
      </c>
      <c r="E75" t="s">
        <v>113</v>
      </c>
      <c r="F75" t="s">
        <v>54</v>
      </c>
      <c r="G75" t="s">
        <v>55</v>
      </c>
      <c r="H75" t="s">
        <v>58</v>
      </c>
      <c r="I75">
        <v>4</v>
      </c>
      <c r="J75">
        <v>1</v>
      </c>
      <c r="K75">
        <v>4</v>
      </c>
      <c r="L75" t="s">
        <v>13</v>
      </c>
      <c r="M75" t="s">
        <v>10</v>
      </c>
    </row>
    <row r="76" spans="1:13">
      <c r="A76" t="s">
        <v>5879</v>
      </c>
      <c r="B76" s="2">
        <v>45942</v>
      </c>
      <c r="C76">
        <v>2025</v>
      </c>
      <c r="D76">
        <v>10</v>
      </c>
      <c r="E76" t="s">
        <v>113</v>
      </c>
      <c r="F76" t="s">
        <v>67</v>
      </c>
      <c r="G76" t="s">
        <v>27</v>
      </c>
      <c r="H76" t="s">
        <v>107</v>
      </c>
      <c r="I76">
        <v>3</v>
      </c>
      <c r="J76">
        <v>4</v>
      </c>
      <c r="K76">
        <v>12</v>
      </c>
      <c r="L76" t="s">
        <v>34</v>
      </c>
      <c r="M76" t="s">
        <v>5817</v>
      </c>
    </row>
    <row r="77" spans="1:13">
      <c r="A77" t="s">
        <v>5880</v>
      </c>
      <c r="B77" s="2">
        <v>45949</v>
      </c>
      <c r="C77">
        <v>2025</v>
      </c>
      <c r="D77">
        <v>10</v>
      </c>
      <c r="E77" t="s">
        <v>113</v>
      </c>
      <c r="F77" t="s">
        <v>19</v>
      </c>
      <c r="G77" t="s">
        <v>55</v>
      </c>
      <c r="H77" t="s">
        <v>41</v>
      </c>
      <c r="I77">
        <v>4</v>
      </c>
      <c r="J77">
        <v>2</v>
      </c>
      <c r="K77">
        <v>8</v>
      </c>
      <c r="L77" t="s">
        <v>70</v>
      </c>
      <c r="M77" t="s">
        <v>5817</v>
      </c>
    </row>
    <row r="78" spans="1:13">
      <c r="A78" t="s">
        <v>5881</v>
      </c>
      <c r="B78" s="2">
        <v>45944</v>
      </c>
      <c r="C78">
        <v>2025</v>
      </c>
      <c r="D78">
        <v>10</v>
      </c>
      <c r="E78" t="s">
        <v>113</v>
      </c>
      <c r="F78" t="s">
        <v>47</v>
      </c>
      <c r="G78" t="s">
        <v>48</v>
      </c>
      <c r="H78" t="s">
        <v>7</v>
      </c>
      <c r="I78">
        <v>1</v>
      </c>
      <c r="J78">
        <v>2</v>
      </c>
      <c r="K78">
        <v>2</v>
      </c>
      <c r="L78" t="s">
        <v>13</v>
      </c>
      <c r="M78" t="s">
        <v>10</v>
      </c>
    </row>
    <row r="79" spans="1:13">
      <c r="A79" t="s">
        <v>5882</v>
      </c>
      <c r="B79" s="2">
        <v>45986</v>
      </c>
      <c r="C79">
        <v>2025</v>
      </c>
      <c r="D79">
        <v>11</v>
      </c>
      <c r="E79" t="s">
        <v>117</v>
      </c>
      <c r="F79" t="s">
        <v>54</v>
      </c>
      <c r="G79" t="s">
        <v>3</v>
      </c>
      <c r="H79" t="s">
        <v>71</v>
      </c>
      <c r="I79">
        <v>4</v>
      </c>
      <c r="J79">
        <v>3</v>
      </c>
      <c r="K79">
        <v>12</v>
      </c>
      <c r="L79" t="s">
        <v>34</v>
      </c>
      <c r="M79" t="s">
        <v>17</v>
      </c>
    </row>
    <row r="80" spans="1:13">
      <c r="A80" t="s">
        <v>5883</v>
      </c>
      <c r="B80" s="2">
        <v>45978</v>
      </c>
      <c r="C80">
        <v>2025</v>
      </c>
      <c r="D80">
        <v>11</v>
      </c>
      <c r="E80" t="s">
        <v>117</v>
      </c>
      <c r="F80" t="s">
        <v>19</v>
      </c>
      <c r="G80" t="s">
        <v>20</v>
      </c>
      <c r="H80" t="s">
        <v>51</v>
      </c>
      <c r="I80">
        <v>4</v>
      </c>
      <c r="J80">
        <v>5</v>
      </c>
      <c r="K80">
        <v>20</v>
      </c>
      <c r="L80" t="s">
        <v>6</v>
      </c>
      <c r="M80" t="s">
        <v>17</v>
      </c>
    </row>
    <row r="81" spans="1:13">
      <c r="A81" t="s">
        <v>5884</v>
      </c>
      <c r="B81" s="2">
        <v>45967</v>
      </c>
      <c r="C81">
        <v>2025</v>
      </c>
      <c r="D81">
        <v>11</v>
      </c>
      <c r="E81" t="s">
        <v>117</v>
      </c>
      <c r="F81" t="s">
        <v>19</v>
      </c>
      <c r="G81" t="s">
        <v>61</v>
      </c>
      <c r="H81" t="s">
        <v>21</v>
      </c>
      <c r="I81">
        <v>1</v>
      </c>
      <c r="J81">
        <v>4</v>
      </c>
      <c r="K81">
        <v>4</v>
      </c>
      <c r="L81" t="s">
        <v>13</v>
      </c>
      <c r="M81" t="s">
        <v>10</v>
      </c>
    </row>
    <row r="82" spans="1:13">
      <c r="A82" t="s">
        <v>5885</v>
      </c>
      <c r="B82" s="2">
        <v>46002</v>
      </c>
      <c r="C82">
        <v>2025</v>
      </c>
      <c r="D82">
        <v>12</v>
      </c>
      <c r="E82" t="s">
        <v>124</v>
      </c>
      <c r="F82" t="s">
        <v>78</v>
      </c>
      <c r="G82" t="s">
        <v>32</v>
      </c>
      <c r="H82" t="s">
        <v>56</v>
      </c>
      <c r="I82">
        <v>4</v>
      </c>
      <c r="J82">
        <v>5</v>
      </c>
      <c r="K82">
        <v>20</v>
      </c>
      <c r="L82" t="s">
        <v>6</v>
      </c>
      <c r="M82" t="s">
        <v>10</v>
      </c>
    </row>
    <row r="83" spans="1:13">
      <c r="A83" t="s">
        <v>5886</v>
      </c>
      <c r="B83" s="2">
        <v>45996</v>
      </c>
      <c r="C83">
        <v>2025</v>
      </c>
      <c r="D83">
        <v>12</v>
      </c>
      <c r="E83" t="s">
        <v>124</v>
      </c>
      <c r="F83" t="s">
        <v>54</v>
      </c>
      <c r="G83" t="s">
        <v>74</v>
      </c>
      <c r="H83" t="s">
        <v>51</v>
      </c>
      <c r="I83">
        <v>5</v>
      </c>
      <c r="J83">
        <v>4</v>
      </c>
      <c r="K83">
        <v>20</v>
      </c>
      <c r="L83" t="s">
        <v>6</v>
      </c>
      <c r="M83" t="s">
        <v>10</v>
      </c>
    </row>
    <row r="84" spans="1:13">
      <c r="A84" t="s">
        <v>5887</v>
      </c>
      <c r="B84" s="2">
        <v>46011</v>
      </c>
      <c r="C84">
        <v>2025</v>
      </c>
      <c r="D84">
        <v>12</v>
      </c>
      <c r="E84" t="s">
        <v>124</v>
      </c>
      <c r="F84" t="s">
        <v>2</v>
      </c>
      <c r="G84" t="s">
        <v>94</v>
      </c>
      <c r="H84" t="s">
        <v>51</v>
      </c>
      <c r="I84">
        <v>3</v>
      </c>
      <c r="J84">
        <v>5</v>
      </c>
      <c r="K84">
        <v>15</v>
      </c>
      <c r="L84" t="s">
        <v>34</v>
      </c>
      <c r="M84" t="s">
        <v>5817</v>
      </c>
    </row>
    <row r="85" spans="1:13">
      <c r="A85" t="s">
        <v>5888</v>
      </c>
      <c r="B85" s="2">
        <v>45994</v>
      </c>
      <c r="C85">
        <v>2025</v>
      </c>
      <c r="D85">
        <v>12</v>
      </c>
      <c r="E85" t="s">
        <v>124</v>
      </c>
      <c r="F85" t="s">
        <v>19</v>
      </c>
      <c r="G85" t="s">
        <v>27</v>
      </c>
      <c r="H85" t="s">
        <v>41</v>
      </c>
      <c r="I85">
        <v>4</v>
      </c>
      <c r="J85">
        <v>1</v>
      </c>
      <c r="K85">
        <v>4</v>
      </c>
      <c r="L85" t="s">
        <v>13</v>
      </c>
      <c r="M85" t="s">
        <v>10</v>
      </c>
    </row>
    <row r="86" spans="1:13">
      <c r="A86" t="s">
        <v>5889</v>
      </c>
      <c r="B86" s="2">
        <v>46031</v>
      </c>
      <c r="C86">
        <v>2026</v>
      </c>
      <c r="D86">
        <v>1</v>
      </c>
      <c r="E86" t="s">
        <v>1</v>
      </c>
      <c r="F86" t="s">
        <v>19</v>
      </c>
      <c r="G86" t="s">
        <v>38</v>
      </c>
      <c r="H86" t="s">
        <v>21</v>
      </c>
      <c r="I86">
        <v>1</v>
      </c>
      <c r="J86">
        <v>1</v>
      </c>
      <c r="K86">
        <v>1</v>
      </c>
      <c r="L86" t="s">
        <v>13</v>
      </c>
      <c r="M86" t="s">
        <v>5817</v>
      </c>
    </row>
    <row r="87" spans="1:13">
      <c r="A87" t="s">
        <v>5890</v>
      </c>
      <c r="B87" s="2">
        <v>46045</v>
      </c>
      <c r="C87">
        <v>2026</v>
      </c>
      <c r="D87">
        <v>1</v>
      </c>
      <c r="E87" t="s">
        <v>1</v>
      </c>
      <c r="F87" t="s">
        <v>2</v>
      </c>
      <c r="G87" t="s">
        <v>55</v>
      </c>
      <c r="H87" t="s">
        <v>58</v>
      </c>
      <c r="I87">
        <v>1</v>
      </c>
      <c r="J87">
        <v>3</v>
      </c>
      <c r="K87">
        <v>3</v>
      </c>
      <c r="L87" t="s">
        <v>13</v>
      </c>
      <c r="M87" t="s">
        <v>10</v>
      </c>
    </row>
    <row r="88" spans="1:13">
      <c r="A88" t="s">
        <v>5891</v>
      </c>
      <c r="B88" s="2">
        <v>46047</v>
      </c>
      <c r="C88">
        <v>2026</v>
      </c>
      <c r="D88">
        <v>1</v>
      </c>
      <c r="E88" t="s">
        <v>1</v>
      </c>
      <c r="F88" t="s">
        <v>2</v>
      </c>
      <c r="G88" t="s">
        <v>20</v>
      </c>
      <c r="H88" t="s">
        <v>56</v>
      </c>
      <c r="I88">
        <v>2</v>
      </c>
      <c r="J88">
        <v>4</v>
      </c>
      <c r="K88">
        <v>8</v>
      </c>
      <c r="L88" t="s">
        <v>70</v>
      </c>
      <c r="M88" t="s">
        <v>5817</v>
      </c>
    </row>
    <row r="89" spans="1:13">
      <c r="A89" t="s">
        <v>5892</v>
      </c>
      <c r="B89" s="2">
        <v>46039</v>
      </c>
      <c r="C89">
        <v>2026</v>
      </c>
      <c r="D89">
        <v>1</v>
      </c>
      <c r="E89" t="s">
        <v>1</v>
      </c>
      <c r="F89" t="s">
        <v>31</v>
      </c>
      <c r="G89" t="s">
        <v>55</v>
      </c>
      <c r="H89" t="s">
        <v>51</v>
      </c>
      <c r="I89">
        <v>5</v>
      </c>
      <c r="J89">
        <v>3</v>
      </c>
      <c r="K89">
        <v>15</v>
      </c>
      <c r="L89" t="s">
        <v>34</v>
      </c>
      <c r="M89" t="s">
        <v>10</v>
      </c>
    </row>
    <row r="90" spans="1:13">
      <c r="A90" t="s">
        <v>5893</v>
      </c>
      <c r="B90" s="2">
        <v>46042</v>
      </c>
      <c r="C90">
        <v>2026</v>
      </c>
      <c r="D90">
        <v>1</v>
      </c>
      <c r="E90" t="s">
        <v>1</v>
      </c>
      <c r="F90" t="s">
        <v>40</v>
      </c>
      <c r="G90" t="s">
        <v>27</v>
      </c>
      <c r="H90" t="s">
        <v>7</v>
      </c>
      <c r="I90">
        <v>5</v>
      </c>
      <c r="J90">
        <v>2</v>
      </c>
      <c r="K90">
        <v>10</v>
      </c>
      <c r="L90" t="s">
        <v>34</v>
      </c>
      <c r="M90" t="s">
        <v>10</v>
      </c>
    </row>
    <row r="91" spans="1:13">
      <c r="A91" t="s">
        <v>5894</v>
      </c>
      <c r="B91" s="2">
        <v>46060</v>
      </c>
      <c r="C91">
        <v>2026</v>
      </c>
      <c r="D91">
        <v>2</v>
      </c>
      <c r="E91" t="s">
        <v>25</v>
      </c>
      <c r="F91" t="s">
        <v>78</v>
      </c>
      <c r="G91" t="s">
        <v>27</v>
      </c>
      <c r="H91" t="s">
        <v>14</v>
      </c>
      <c r="I91">
        <v>5</v>
      </c>
      <c r="J91">
        <v>3</v>
      </c>
      <c r="K91">
        <v>15</v>
      </c>
      <c r="L91" t="s">
        <v>34</v>
      </c>
      <c r="M91" t="s">
        <v>17</v>
      </c>
    </row>
    <row r="92" spans="1:13">
      <c r="A92" t="s">
        <v>5895</v>
      </c>
      <c r="B92" s="2">
        <v>46065</v>
      </c>
      <c r="C92">
        <v>2026</v>
      </c>
      <c r="D92">
        <v>2</v>
      </c>
      <c r="E92" t="s">
        <v>25</v>
      </c>
      <c r="F92" t="s">
        <v>31</v>
      </c>
      <c r="G92" t="s">
        <v>94</v>
      </c>
      <c r="H92" t="s">
        <v>14</v>
      </c>
      <c r="I92">
        <v>4</v>
      </c>
      <c r="J92">
        <v>5</v>
      </c>
      <c r="K92">
        <v>20</v>
      </c>
      <c r="L92" t="s">
        <v>6</v>
      </c>
      <c r="M92" t="s">
        <v>10</v>
      </c>
    </row>
    <row r="93" spans="1:13">
      <c r="A93" t="s">
        <v>5896</v>
      </c>
      <c r="B93" s="2">
        <v>46061</v>
      </c>
      <c r="C93">
        <v>2026</v>
      </c>
      <c r="D93">
        <v>2</v>
      </c>
      <c r="E93" t="s">
        <v>25</v>
      </c>
      <c r="F93" t="s">
        <v>54</v>
      </c>
      <c r="G93" t="s">
        <v>20</v>
      </c>
      <c r="H93" t="s">
        <v>41</v>
      </c>
      <c r="I93">
        <v>5</v>
      </c>
      <c r="J93">
        <v>4</v>
      </c>
      <c r="K93">
        <v>20</v>
      </c>
      <c r="L93" t="s">
        <v>6</v>
      </c>
      <c r="M93" t="s">
        <v>5817</v>
      </c>
    </row>
    <row r="94" spans="1:13">
      <c r="A94" t="s">
        <v>5897</v>
      </c>
      <c r="B94" s="2">
        <v>46073</v>
      </c>
      <c r="C94">
        <v>2026</v>
      </c>
      <c r="D94">
        <v>2</v>
      </c>
      <c r="E94" t="s">
        <v>25</v>
      </c>
      <c r="F94" t="s">
        <v>38</v>
      </c>
      <c r="G94" t="s">
        <v>94</v>
      </c>
      <c r="H94" t="s">
        <v>41</v>
      </c>
      <c r="I94">
        <v>3</v>
      </c>
      <c r="J94">
        <v>4</v>
      </c>
      <c r="K94">
        <v>12</v>
      </c>
      <c r="L94" t="s">
        <v>34</v>
      </c>
      <c r="M94" t="s">
        <v>17</v>
      </c>
    </row>
    <row r="95" spans="1:13">
      <c r="A95" t="s">
        <v>5898</v>
      </c>
      <c r="B95" s="2">
        <v>46056</v>
      </c>
      <c r="C95">
        <v>2026</v>
      </c>
      <c r="D95">
        <v>2</v>
      </c>
      <c r="E95" t="s">
        <v>25</v>
      </c>
      <c r="F95" t="s">
        <v>38</v>
      </c>
      <c r="G95" t="s">
        <v>61</v>
      </c>
      <c r="H95" t="s">
        <v>14</v>
      </c>
      <c r="I95">
        <v>2</v>
      </c>
      <c r="J95">
        <v>4</v>
      </c>
      <c r="K95">
        <v>8</v>
      </c>
      <c r="L95" t="s">
        <v>70</v>
      </c>
      <c r="M95" t="s">
        <v>10</v>
      </c>
    </row>
    <row r="96" spans="1:13">
      <c r="A96" t="s">
        <v>5899</v>
      </c>
      <c r="B96" s="2">
        <v>46082</v>
      </c>
      <c r="C96">
        <v>2026</v>
      </c>
      <c r="D96">
        <v>3</v>
      </c>
      <c r="E96" t="s">
        <v>60</v>
      </c>
      <c r="F96" t="s">
        <v>54</v>
      </c>
      <c r="G96" t="s">
        <v>32</v>
      </c>
      <c r="H96" t="s">
        <v>7</v>
      </c>
      <c r="I96">
        <v>4</v>
      </c>
      <c r="J96">
        <v>5</v>
      </c>
      <c r="K96">
        <v>20</v>
      </c>
      <c r="L96" t="s">
        <v>6</v>
      </c>
      <c r="M96" t="s">
        <v>17</v>
      </c>
    </row>
    <row r="97" spans="1:13">
      <c r="A97" t="s">
        <v>5900</v>
      </c>
      <c r="B97" s="2">
        <v>46102</v>
      </c>
      <c r="C97">
        <v>2026</v>
      </c>
      <c r="D97">
        <v>3</v>
      </c>
      <c r="E97" t="s">
        <v>60</v>
      </c>
      <c r="F97" t="s">
        <v>26</v>
      </c>
      <c r="G97" t="s">
        <v>32</v>
      </c>
      <c r="H97" t="s">
        <v>84</v>
      </c>
      <c r="I97">
        <v>5</v>
      </c>
      <c r="J97">
        <v>1</v>
      </c>
      <c r="K97">
        <v>5</v>
      </c>
      <c r="L97" t="s">
        <v>70</v>
      </c>
      <c r="M97" t="s">
        <v>10</v>
      </c>
    </row>
    <row r="98" spans="1:13">
      <c r="A98" t="s">
        <v>5901</v>
      </c>
      <c r="B98" s="2">
        <v>46123</v>
      </c>
      <c r="C98">
        <v>2026</v>
      </c>
      <c r="D98">
        <v>4</v>
      </c>
      <c r="E98" t="s">
        <v>73</v>
      </c>
      <c r="F98" t="s">
        <v>19</v>
      </c>
      <c r="G98" t="s">
        <v>3</v>
      </c>
      <c r="H98" t="s">
        <v>58</v>
      </c>
      <c r="I98">
        <v>5</v>
      </c>
      <c r="J98">
        <v>3</v>
      </c>
      <c r="K98">
        <v>15</v>
      </c>
      <c r="L98" t="s">
        <v>34</v>
      </c>
      <c r="M98" t="s">
        <v>10</v>
      </c>
    </row>
    <row r="99" spans="1:13">
      <c r="A99" t="s">
        <v>5902</v>
      </c>
      <c r="B99" s="2">
        <v>46119</v>
      </c>
      <c r="C99">
        <v>2026</v>
      </c>
      <c r="D99">
        <v>4</v>
      </c>
      <c r="E99" t="s">
        <v>73</v>
      </c>
      <c r="F99" t="s">
        <v>2</v>
      </c>
      <c r="G99" t="s">
        <v>94</v>
      </c>
      <c r="H99" t="s">
        <v>7</v>
      </c>
      <c r="I99">
        <v>5</v>
      </c>
      <c r="J99">
        <v>2</v>
      </c>
      <c r="K99">
        <v>10</v>
      </c>
      <c r="L99" t="s">
        <v>34</v>
      </c>
      <c r="M99" t="s">
        <v>17</v>
      </c>
    </row>
    <row r="100" spans="1:13">
      <c r="A100" t="s">
        <v>5903</v>
      </c>
      <c r="B100" s="2">
        <v>46115</v>
      </c>
      <c r="C100">
        <v>2026</v>
      </c>
      <c r="D100">
        <v>4</v>
      </c>
      <c r="E100" t="s">
        <v>73</v>
      </c>
      <c r="F100" t="s">
        <v>38</v>
      </c>
      <c r="G100" t="s">
        <v>94</v>
      </c>
      <c r="H100" t="s">
        <v>107</v>
      </c>
      <c r="I100">
        <v>5</v>
      </c>
      <c r="J100">
        <v>4</v>
      </c>
      <c r="K100">
        <v>20</v>
      </c>
      <c r="L100" t="s">
        <v>6</v>
      </c>
      <c r="M100" t="s">
        <v>10</v>
      </c>
    </row>
    <row r="101" spans="1:13">
      <c r="A101" t="s">
        <v>5904</v>
      </c>
      <c r="B101" s="2">
        <v>46147</v>
      </c>
      <c r="C101">
        <v>2026</v>
      </c>
      <c r="D101">
        <v>5</v>
      </c>
      <c r="E101" t="s">
        <v>83</v>
      </c>
      <c r="F101" t="s">
        <v>40</v>
      </c>
      <c r="G101" t="s">
        <v>74</v>
      </c>
      <c r="H101" t="s">
        <v>71</v>
      </c>
      <c r="I101">
        <v>4</v>
      </c>
      <c r="J101">
        <v>4</v>
      </c>
      <c r="K101">
        <v>16</v>
      </c>
      <c r="L101" t="s">
        <v>6</v>
      </c>
      <c r="M101" t="s">
        <v>5817</v>
      </c>
    </row>
    <row r="102" spans="1:13">
      <c r="A102" t="s">
        <v>5905</v>
      </c>
      <c r="B102" s="2">
        <v>46157</v>
      </c>
      <c r="C102">
        <v>2026</v>
      </c>
      <c r="D102">
        <v>5</v>
      </c>
      <c r="E102" t="s">
        <v>83</v>
      </c>
      <c r="F102" t="s">
        <v>2</v>
      </c>
      <c r="G102" t="s">
        <v>48</v>
      </c>
      <c r="H102" t="s">
        <v>84</v>
      </c>
      <c r="I102">
        <v>5</v>
      </c>
      <c r="J102">
        <v>3</v>
      </c>
      <c r="K102">
        <v>15</v>
      </c>
      <c r="L102" t="s">
        <v>34</v>
      </c>
      <c r="M102" t="s">
        <v>10</v>
      </c>
    </row>
    <row r="103" spans="1:13">
      <c r="A103" t="s">
        <v>5906</v>
      </c>
      <c r="B103" s="2">
        <v>46161</v>
      </c>
      <c r="C103">
        <v>2026</v>
      </c>
      <c r="D103">
        <v>5</v>
      </c>
      <c r="E103" t="s">
        <v>83</v>
      </c>
      <c r="F103" t="s">
        <v>67</v>
      </c>
      <c r="G103" t="s">
        <v>32</v>
      </c>
      <c r="H103" t="s">
        <v>21</v>
      </c>
      <c r="I103">
        <v>1</v>
      </c>
      <c r="J103">
        <v>2</v>
      </c>
      <c r="K103">
        <v>2</v>
      </c>
      <c r="L103" t="s">
        <v>13</v>
      </c>
      <c r="M103" t="s">
        <v>17</v>
      </c>
    </row>
    <row r="104" spans="1:13">
      <c r="A104" t="s">
        <v>5907</v>
      </c>
      <c r="B104" s="2">
        <v>46144</v>
      </c>
      <c r="C104">
        <v>2026</v>
      </c>
      <c r="D104">
        <v>5</v>
      </c>
      <c r="E104" t="s">
        <v>83</v>
      </c>
      <c r="F104" t="s">
        <v>67</v>
      </c>
      <c r="G104" t="s">
        <v>74</v>
      </c>
      <c r="H104" t="s">
        <v>51</v>
      </c>
      <c r="I104">
        <v>2</v>
      </c>
      <c r="J104">
        <v>2</v>
      </c>
      <c r="K104">
        <v>4</v>
      </c>
      <c r="L104" t="s">
        <v>13</v>
      </c>
      <c r="M104" t="s">
        <v>10</v>
      </c>
    </row>
    <row r="105" spans="1:13">
      <c r="A105" t="s">
        <v>5908</v>
      </c>
      <c r="B105" s="2">
        <v>46184</v>
      </c>
      <c r="C105">
        <v>2026</v>
      </c>
      <c r="D105">
        <v>6</v>
      </c>
      <c r="E105" t="s">
        <v>87</v>
      </c>
      <c r="F105" t="s">
        <v>47</v>
      </c>
      <c r="G105" t="s">
        <v>38</v>
      </c>
      <c r="H105" t="s">
        <v>58</v>
      </c>
      <c r="I105">
        <v>2</v>
      </c>
      <c r="J105">
        <v>2</v>
      </c>
      <c r="K105">
        <v>4</v>
      </c>
      <c r="L105" t="s">
        <v>13</v>
      </c>
      <c r="M105" t="s">
        <v>17</v>
      </c>
    </row>
    <row r="106" spans="1:13">
      <c r="A106" t="s">
        <v>5909</v>
      </c>
      <c r="B106" s="2">
        <v>46178</v>
      </c>
      <c r="C106">
        <v>2026</v>
      </c>
      <c r="D106">
        <v>6</v>
      </c>
      <c r="E106" t="s">
        <v>87</v>
      </c>
      <c r="F106" t="s">
        <v>31</v>
      </c>
      <c r="G106" t="s">
        <v>74</v>
      </c>
      <c r="H106" t="s">
        <v>41</v>
      </c>
      <c r="I106">
        <v>1</v>
      </c>
      <c r="J106">
        <v>2</v>
      </c>
      <c r="K106">
        <v>2</v>
      </c>
      <c r="L106" t="s">
        <v>13</v>
      </c>
      <c r="M106" t="s">
        <v>10</v>
      </c>
    </row>
    <row r="107" spans="1:13">
      <c r="A107" t="s">
        <v>5910</v>
      </c>
      <c r="B107" s="2">
        <v>46177</v>
      </c>
      <c r="C107">
        <v>2026</v>
      </c>
      <c r="D107">
        <v>6</v>
      </c>
      <c r="E107" t="s">
        <v>87</v>
      </c>
      <c r="F107" t="s">
        <v>19</v>
      </c>
      <c r="G107" t="s">
        <v>3</v>
      </c>
      <c r="H107" t="s">
        <v>14</v>
      </c>
      <c r="I107">
        <v>2</v>
      </c>
      <c r="J107">
        <v>1</v>
      </c>
      <c r="K107">
        <v>2</v>
      </c>
      <c r="L107" t="s">
        <v>13</v>
      </c>
      <c r="M107" t="s">
        <v>5817</v>
      </c>
    </row>
    <row r="108" spans="1:13">
      <c r="A108" t="s">
        <v>5911</v>
      </c>
      <c r="B108" s="2">
        <v>46181</v>
      </c>
      <c r="C108">
        <v>2026</v>
      </c>
      <c r="D108">
        <v>6</v>
      </c>
      <c r="E108" t="s">
        <v>87</v>
      </c>
      <c r="F108" t="s">
        <v>40</v>
      </c>
      <c r="G108" t="s">
        <v>55</v>
      </c>
      <c r="H108" t="s">
        <v>21</v>
      </c>
      <c r="I108">
        <v>5</v>
      </c>
      <c r="J108">
        <v>3</v>
      </c>
      <c r="K108">
        <v>15</v>
      </c>
      <c r="L108" t="s">
        <v>34</v>
      </c>
      <c r="M108" t="s">
        <v>5817</v>
      </c>
    </row>
  </sheetData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</sheetPr>
  <dimension ref="A1:O256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11.7109375" customWidth="1"/>
    <col min="5" max="5" width="13.7109375" customWidth="1"/>
    <col min="6" max="6" width="11.7109375" customWidth="1"/>
    <col min="7" max="8" width="13.7109375" customWidth="1"/>
    <col min="9" max="9" width="14.7109375" customWidth="1"/>
    <col min="10" max="13" width="11.7109375" customWidth="1"/>
  </cols>
  <sheetData>
    <row r="1" spans="1:15">
      <c r="A1" t="s">
        <v>6185</v>
      </c>
      <c r="B1" t="s">
        <v>187</v>
      </c>
      <c r="C1" t="s">
        <v>188</v>
      </c>
      <c r="D1" t="s">
        <v>189</v>
      </c>
      <c r="E1" t="s">
        <v>190</v>
      </c>
      <c r="F1" t="s">
        <v>6186</v>
      </c>
      <c r="G1" t="s">
        <v>191</v>
      </c>
      <c r="H1" t="s">
        <v>197</v>
      </c>
      <c r="I1" t="s">
        <v>6187</v>
      </c>
      <c r="J1" t="s">
        <v>195</v>
      </c>
      <c r="K1" t="s">
        <v>3016</v>
      </c>
      <c r="L1" t="s">
        <v>201</v>
      </c>
      <c r="M1" t="s">
        <v>6188</v>
      </c>
      <c r="O1" s="1" t="s">
        <v>203</v>
      </c>
    </row>
    <row r="2" spans="1:15">
      <c r="A2" t="s">
        <v>5917</v>
      </c>
      <c r="B2" s="2">
        <v>45312</v>
      </c>
      <c r="C2">
        <v>2024</v>
      </c>
      <c r="D2">
        <v>1</v>
      </c>
      <c r="E2" t="s">
        <v>1</v>
      </c>
      <c r="F2" t="s">
        <v>5918</v>
      </c>
      <c r="G2" t="s">
        <v>78</v>
      </c>
      <c r="H2" t="s">
        <v>21</v>
      </c>
      <c r="I2" t="s">
        <v>5919</v>
      </c>
      <c r="J2" t="s">
        <v>34</v>
      </c>
      <c r="K2" s="2">
        <v>45361</v>
      </c>
      <c r="L2" t="s">
        <v>10</v>
      </c>
      <c r="M2" t="s">
        <v>5920</v>
      </c>
    </row>
    <row r="3" spans="1:15">
      <c r="A3" t="s">
        <v>5921</v>
      </c>
      <c r="B3" s="2">
        <v>45311</v>
      </c>
      <c r="C3">
        <v>2024</v>
      </c>
      <c r="D3">
        <v>1</v>
      </c>
      <c r="E3" t="s">
        <v>1</v>
      </c>
      <c r="F3" t="s">
        <v>5922</v>
      </c>
      <c r="G3" t="s">
        <v>38</v>
      </c>
      <c r="H3" t="s">
        <v>41</v>
      </c>
      <c r="I3" t="s">
        <v>5919</v>
      </c>
      <c r="J3" t="s">
        <v>50</v>
      </c>
      <c r="K3" s="2">
        <v>45320</v>
      </c>
      <c r="L3" t="s">
        <v>10</v>
      </c>
      <c r="M3" t="s">
        <v>5923</v>
      </c>
    </row>
    <row r="4" spans="1:15">
      <c r="A4" t="s">
        <v>5924</v>
      </c>
      <c r="B4" s="2">
        <v>45305</v>
      </c>
      <c r="C4">
        <v>2024</v>
      </c>
      <c r="D4">
        <v>1</v>
      </c>
      <c r="E4" t="s">
        <v>1</v>
      </c>
      <c r="F4" t="s">
        <v>5918</v>
      </c>
      <c r="G4" t="s">
        <v>40</v>
      </c>
      <c r="H4" t="s">
        <v>84</v>
      </c>
      <c r="I4" t="s">
        <v>5925</v>
      </c>
      <c r="J4" t="s">
        <v>70</v>
      </c>
      <c r="K4" s="2">
        <v>45334</v>
      </c>
      <c r="L4" t="s">
        <v>23</v>
      </c>
      <c r="M4" t="s">
        <v>5920</v>
      </c>
    </row>
    <row r="5" spans="1:15">
      <c r="A5" t="s">
        <v>5926</v>
      </c>
      <c r="B5" s="2">
        <v>45300</v>
      </c>
      <c r="C5">
        <v>2024</v>
      </c>
      <c r="D5">
        <v>1</v>
      </c>
      <c r="E5" t="s">
        <v>1</v>
      </c>
      <c r="F5" t="s">
        <v>5918</v>
      </c>
      <c r="G5" t="s">
        <v>47</v>
      </c>
      <c r="H5" t="s">
        <v>107</v>
      </c>
      <c r="I5" t="s">
        <v>5925</v>
      </c>
      <c r="J5" t="s">
        <v>70</v>
      </c>
      <c r="K5" s="2">
        <v>45345</v>
      </c>
      <c r="L5" t="s">
        <v>23</v>
      </c>
      <c r="M5" t="s">
        <v>5923</v>
      </c>
    </row>
    <row r="6" spans="1:15">
      <c r="A6" t="s">
        <v>5927</v>
      </c>
      <c r="B6" s="2">
        <v>45319</v>
      </c>
      <c r="C6">
        <v>2024</v>
      </c>
      <c r="D6">
        <v>1</v>
      </c>
      <c r="E6" t="s">
        <v>1</v>
      </c>
      <c r="F6" t="s">
        <v>5928</v>
      </c>
      <c r="G6" t="s">
        <v>26</v>
      </c>
      <c r="H6" t="s">
        <v>107</v>
      </c>
      <c r="I6" t="s">
        <v>5925</v>
      </c>
      <c r="J6" t="s">
        <v>50</v>
      </c>
      <c r="K6" s="2">
        <v>45333</v>
      </c>
      <c r="L6" t="s">
        <v>23</v>
      </c>
      <c r="M6" t="s">
        <v>5929</v>
      </c>
    </row>
    <row r="7" spans="1:15">
      <c r="A7" t="s">
        <v>5930</v>
      </c>
      <c r="B7" s="2">
        <v>45314</v>
      </c>
      <c r="C7">
        <v>2024</v>
      </c>
      <c r="D7">
        <v>1</v>
      </c>
      <c r="E7" t="s">
        <v>1</v>
      </c>
      <c r="F7" t="s">
        <v>5931</v>
      </c>
      <c r="G7" t="s">
        <v>31</v>
      </c>
      <c r="H7" t="s">
        <v>58</v>
      </c>
      <c r="I7" t="s">
        <v>5919</v>
      </c>
      <c r="J7" t="s">
        <v>34</v>
      </c>
      <c r="K7" s="2">
        <v>45353</v>
      </c>
      <c r="L7" t="s">
        <v>10</v>
      </c>
      <c r="M7" t="s">
        <v>5929</v>
      </c>
    </row>
    <row r="8" spans="1:15">
      <c r="A8" t="s">
        <v>5932</v>
      </c>
      <c r="B8" s="2">
        <v>45318</v>
      </c>
      <c r="C8">
        <v>2024</v>
      </c>
      <c r="D8">
        <v>1</v>
      </c>
      <c r="E8" t="s">
        <v>1</v>
      </c>
      <c r="F8" t="s">
        <v>5931</v>
      </c>
      <c r="G8" t="s">
        <v>54</v>
      </c>
      <c r="H8" t="s">
        <v>71</v>
      </c>
      <c r="I8" t="s">
        <v>5919</v>
      </c>
      <c r="J8" t="s">
        <v>50</v>
      </c>
      <c r="K8" s="2">
        <v>45357</v>
      </c>
      <c r="L8" t="s">
        <v>10</v>
      </c>
      <c r="M8" t="s">
        <v>5923</v>
      </c>
    </row>
    <row r="9" spans="1:15">
      <c r="A9" t="s">
        <v>5933</v>
      </c>
      <c r="B9" s="2">
        <v>45312</v>
      </c>
      <c r="C9">
        <v>2024</v>
      </c>
      <c r="D9">
        <v>1</v>
      </c>
      <c r="E9" t="s">
        <v>1</v>
      </c>
      <c r="F9" t="s">
        <v>5928</v>
      </c>
      <c r="G9" t="s">
        <v>47</v>
      </c>
      <c r="H9" t="s">
        <v>51</v>
      </c>
      <c r="I9" t="s">
        <v>5919</v>
      </c>
      <c r="J9" t="s">
        <v>70</v>
      </c>
      <c r="K9" s="2">
        <v>45340</v>
      </c>
      <c r="L9" t="s">
        <v>23</v>
      </c>
      <c r="M9" t="s">
        <v>5929</v>
      </c>
    </row>
    <row r="10" spans="1:15">
      <c r="A10" t="s">
        <v>5934</v>
      </c>
      <c r="B10" s="2">
        <v>45312</v>
      </c>
      <c r="C10">
        <v>2024</v>
      </c>
      <c r="D10">
        <v>1</v>
      </c>
      <c r="E10" t="s">
        <v>1</v>
      </c>
      <c r="F10" t="s">
        <v>5928</v>
      </c>
      <c r="G10" t="s">
        <v>26</v>
      </c>
      <c r="H10" t="s">
        <v>41</v>
      </c>
      <c r="I10" t="s">
        <v>5919</v>
      </c>
      <c r="J10" t="s">
        <v>13</v>
      </c>
      <c r="K10" s="2">
        <v>45334</v>
      </c>
      <c r="L10" t="s">
        <v>10</v>
      </c>
      <c r="M10" t="s">
        <v>5935</v>
      </c>
    </row>
    <row r="11" spans="1:15">
      <c r="A11" t="s">
        <v>5936</v>
      </c>
      <c r="B11" s="2">
        <v>45296</v>
      </c>
      <c r="C11">
        <v>2024</v>
      </c>
      <c r="D11">
        <v>1</v>
      </c>
      <c r="E11" t="s">
        <v>1</v>
      </c>
      <c r="F11" t="s">
        <v>5931</v>
      </c>
      <c r="G11" t="s">
        <v>26</v>
      </c>
      <c r="H11" t="s">
        <v>51</v>
      </c>
      <c r="I11" t="s">
        <v>5919</v>
      </c>
      <c r="J11" t="s">
        <v>34</v>
      </c>
      <c r="K11" s="2">
        <v>45314</v>
      </c>
      <c r="L11" t="s">
        <v>10</v>
      </c>
      <c r="M11" t="s">
        <v>5935</v>
      </c>
    </row>
    <row r="12" spans="1:15">
      <c r="A12" t="s">
        <v>5937</v>
      </c>
      <c r="B12" s="2">
        <v>45318</v>
      </c>
      <c r="C12">
        <v>2024</v>
      </c>
      <c r="D12">
        <v>1</v>
      </c>
      <c r="E12" t="s">
        <v>1</v>
      </c>
      <c r="F12" t="s">
        <v>5918</v>
      </c>
      <c r="G12" t="s">
        <v>54</v>
      </c>
      <c r="H12" t="s">
        <v>7</v>
      </c>
      <c r="I12" t="s">
        <v>5919</v>
      </c>
      <c r="J12" t="s">
        <v>6</v>
      </c>
      <c r="K12" s="2">
        <v>45327</v>
      </c>
      <c r="L12" t="s">
        <v>10</v>
      </c>
      <c r="M12" t="s">
        <v>5923</v>
      </c>
    </row>
    <row r="13" spans="1:15">
      <c r="A13" t="s">
        <v>5938</v>
      </c>
      <c r="B13" s="2">
        <v>45346</v>
      </c>
      <c r="C13">
        <v>2024</v>
      </c>
      <c r="D13">
        <v>2</v>
      </c>
      <c r="E13" t="s">
        <v>25</v>
      </c>
      <c r="F13" t="s">
        <v>5928</v>
      </c>
      <c r="G13" t="s">
        <v>78</v>
      </c>
      <c r="H13" t="s">
        <v>41</v>
      </c>
      <c r="I13" t="s">
        <v>5919</v>
      </c>
      <c r="J13" t="s">
        <v>13</v>
      </c>
      <c r="K13" s="2">
        <v>45344</v>
      </c>
      <c r="L13" t="s">
        <v>5939</v>
      </c>
      <c r="M13" t="s">
        <v>5929</v>
      </c>
    </row>
    <row r="14" spans="1:15">
      <c r="A14" t="s">
        <v>5940</v>
      </c>
      <c r="B14" s="2">
        <v>45339</v>
      </c>
      <c r="C14">
        <v>2024</v>
      </c>
      <c r="D14">
        <v>2</v>
      </c>
      <c r="E14" t="s">
        <v>25</v>
      </c>
      <c r="F14" t="s">
        <v>5928</v>
      </c>
      <c r="G14" t="s">
        <v>19</v>
      </c>
      <c r="H14" t="s">
        <v>84</v>
      </c>
      <c r="I14" t="s">
        <v>5925</v>
      </c>
      <c r="J14" t="s">
        <v>13</v>
      </c>
      <c r="K14" s="2">
        <v>45397</v>
      </c>
      <c r="L14" t="s">
        <v>10</v>
      </c>
      <c r="M14" t="s">
        <v>5929</v>
      </c>
    </row>
    <row r="15" spans="1:15">
      <c r="A15" t="s">
        <v>5941</v>
      </c>
      <c r="B15" s="2">
        <v>45344</v>
      </c>
      <c r="C15">
        <v>2024</v>
      </c>
      <c r="D15">
        <v>2</v>
      </c>
      <c r="E15" t="s">
        <v>25</v>
      </c>
      <c r="F15" t="s">
        <v>5942</v>
      </c>
      <c r="G15" t="s">
        <v>38</v>
      </c>
      <c r="H15" t="s">
        <v>58</v>
      </c>
      <c r="I15" t="s">
        <v>5925</v>
      </c>
      <c r="J15" t="s">
        <v>70</v>
      </c>
      <c r="K15" s="2">
        <v>45359</v>
      </c>
      <c r="L15" t="s">
        <v>10</v>
      </c>
      <c r="M15" t="s">
        <v>5920</v>
      </c>
    </row>
    <row r="16" spans="1:15">
      <c r="A16" t="s">
        <v>5943</v>
      </c>
      <c r="B16" s="2">
        <v>45347</v>
      </c>
      <c r="C16">
        <v>2024</v>
      </c>
      <c r="D16">
        <v>2</v>
      </c>
      <c r="E16" t="s">
        <v>25</v>
      </c>
      <c r="F16" t="s">
        <v>5931</v>
      </c>
      <c r="G16" t="s">
        <v>2</v>
      </c>
      <c r="H16" t="s">
        <v>58</v>
      </c>
      <c r="I16" t="s">
        <v>5925</v>
      </c>
      <c r="J16" t="s">
        <v>6</v>
      </c>
      <c r="K16" s="2">
        <v>45381</v>
      </c>
      <c r="L16" t="s">
        <v>5939</v>
      </c>
      <c r="M16" t="s">
        <v>5923</v>
      </c>
    </row>
    <row r="17" spans="1:13">
      <c r="A17" t="s">
        <v>5944</v>
      </c>
      <c r="B17" s="2">
        <v>45350</v>
      </c>
      <c r="C17">
        <v>2024</v>
      </c>
      <c r="D17">
        <v>2</v>
      </c>
      <c r="E17" t="s">
        <v>25</v>
      </c>
      <c r="F17" t="s">
        <v>5945</v>
      </c>
      <c r="G17" t="s">
        <v>78</v>
      </c>
      <c r="H17" t="s">
        <v>51</v>
      </c>
      <c r="I17" t="s">
        <v>5919</v>
      </c>
      <c r="J17" t="s">
        <v>6</v>
      </c>
      <c r="K17" s="2">
        <v>45356</v>
      </c>
      <c r="L17" t="s">
        <v>10</v>
      </c>
      <c r="M17" t="s">
        <v>5920</v>
      </c>
    </row>
    <row r="18" spans="1:13">
      <c r="A18" t="s">
        <v>5946</v>
      </c>
      <c r="B18" s="2">
        <v>45346</v>
      </c>
      <c r="C18">
        <v>2024</v>
      </c>
      <c r="D18">
        <v>2</v>
      </c>
      <c r="E18" t="s">
        <v>25</v>
      </c>
      <c r="F18" t="s">
        <v>5931</v>
      </c>
      <c r="G18" t="s">
        <v>54</v>
      </c>
      <c r="H18" t="s">
        <v>56</v>
      </c>
      <c r="I18" t="s">
        <v>5919</v>
      </c>
      <c r="J18" t="s">
        <v>34</v>
      </c>
      <c r="K18" s="2">
        <v>45376</v>
      </c>
      <c r="L18" t="s">
        <v>10</v>
      </c>
      <c r="M18" t="s">
        <v>5929</v>
      </c>
    </row>
    <row r="19" spans="1:13">
      <c r="A19" t="s">
        <v>5947</v>
      </c>
      <c r="B19" s="2">
        <v>45348</v>
      </c>
      <c r="C19">
        <v>2024</v>
      </c>
      <c r="D19">
        <v>2</v>
      </c>
      <c r="E19" t="s">
        <v>25</v>
      </c>
      <c r="F19" t="s">
        <v>5942</v>
      </c>
      <c r="G19" t="s">
        <v>40</v>
      </c>
      <c r="H19" t="s">
        <v>84</v>
      </c>
      <c r="I19" t="s">
        <v>5925</v>
      </c>
      <c r="J19" t="s">
        <v>13</v>
      </c>
      <c r="K19" s="2">
        <v>45383</v>
      </c>
      <c r="L19" t="s">
        <v>10</v>
      </c>
      <c r="M19" t="s">
        <v>5920</v>
      </c>
    </row>
    <row r="20" spans="1:13">
      <c r="A20" t="s">
        <v>5948</v>
      </c>
      <c r="B20" s="2">
        <v>45330</v>
      </c>
      <c r="C20">
        <v>2024</v>
      </c>
      <c r="D20">
        <v>2</v>
      </c>
      <c r="E20" t="s">
        <v>25</v>
      </c>
      <c r="F20" t="s">
        <v>5922</v>
      </c>
      <c r="G20" t="s">
        <v>47</v>
      </c>
      <c r="H20" t="s">
        <v>107</v>
      </c>
      <c r="I20" t="s">
        <v>5919</v>
      </c>
      <c r="J20" t="s">
        <v>70</v>
      </c>
      <c r="K20" s="2">
        <v>45345</v>
      </c>
      <c r="L20" t="s">
        <v>10</v>
      </c>
      <c r="M20" t="s">
        <v>5923</v>
      </c>
    </row>
    <row r="21" spans="1:13">
      <c r="A21" t="s">
        <v>5949</v>
      </c>
      <c r="B21" s="2">
        <v>45343</v>
      </c>
      <c r="C21">
        <v>2024</v>
      </c>
      <c r="D21">
        <v>2</v>
      </c>
      <c r="E21" t="s">
        <v>25</v>
      </c>
      <c r="F21" t="s">
        <v>5928</v>
      </c>
      <c r="G21" t="s">
        <v>78</v>
      </c>
      <c r="H21" t="s">
        <v>51</v>
      </c>
      <c r="I21" t="s">
        <v>5919</v>
      </c>
      <c r="J21" t="s">
        <v>13</v>
      </c>
      <c r="K21" s="2">
        <v>45377</v>
      </c>
      <c r="L21" t="s">
        <v>23</v>
      </c>
      <c r="M21" t="s">
        <v>5920</v>
      </c>
    </row>
    <row r="22" spans="1:13">
      <c r="A22" t="s">
        <v>5950</v>
      </c>
      <c r="B22" s="2">
        <v>45324</v>
      </c>
      <c r="C22">
        <v>2024</v>
      </c>
      <c r="D22">
        <v>2</v>
      </c>
      <c r="E22" t="s">
        <v>25</v>
      </c>
      <c r="F22" t="s">
        <v>5928</v>
      </c>
      <c r="G22" t="s">
        <v>40</v>
      </c>
      <c r="H22" t="s">
        <v>56</v>
      </c>
      <c r="I22" t="s">
        <v>5925</v>
      </c>
      <c r="J22" t="s">
        <v>34</v>
      </c>
      <c r="K22" s="2">
        <v>45336</v>
      </c>
      <c r="L22" t="s">
        <v>10</v>
      </c>
      <c r="M22" t="s">
        <v>5923</v>
      </c>
    </row>
    <row r="23" spans="1:13">
      <c r="A23" t="s">
        <v>5951</v>
      </c>
      <c r="B23" s="2">
        <v>45327</v>
      </c>
      <c r="C23">
        <v>2024</v>
      </c>
      <c r="D23">
        <v>2</v>
      </c>
      <c r="E23" t="s">
        <v>25</v>
      </c>
      <c r="F23" t="s">
        <v>5942</v>
      </c>
      <c r="G23" t="s">
        <v>67</v>
      </c>
      <c r="H23" t="s">
        <v>14</v>
      </c>
      <c r="I23" t="s">
        <v>5919</v>
      </c>
      <c r="J23" t="s">
        <v>50</v>
      </c>
      <c r="K23" s="2">
        <v>45367</v>
      </c>
      <c r="L23" t="s">
        <v>17</v>
      </c>
      <c r="M23" t="s">
        <v>5923</v>
      </c>
    </row>
    <row r="24" spans="1:13">
      <c r="A24" t="s">
        <v>5952</v>
      </c>
      <c r="B24" s="2">
        <v>45330</v>
      </c>
      <c r="C24">
        <v>2024</v>
      </c>
      <c r="D24">
        <v>2</v>
      </c>
      <c r="E24" t="s">
        <v>25</v>
      </c>
      <c r="F24" t="s">
        <v>5918</v>
      </c>
      <c r="G24" t="s">
        <v>47</v>
      </c>
      <c r="H24" t="s">
        <v>7</v>
      </c>
      <c r="I24" t="s">
        <v>5919</v>
      </c>
      <c r="J24" t="s">
        <v>13</v>
      </c>
      <c r="K24" s="2">
        <v>45379</v>
      </c>
      <c r="L24" t="s">
        <v>10</v>
      </c>
      <c r="M24" t="s">
        <v>5935</v>
      </c>
    </row>
    <row r="25" spans="1:13">
      <c r="A25" t="s">
        <v>5953</v>
      </c>
      <c r="B25" s="2">
        <v>45378</v>
      </c>
      <c r="C25">
        <v>2024</v>
      </c>
      <c r="D25">
        <v>3</v>
      </c>
      <c r="E25" t="s">
        <v>60</v>
      </c>
      <c r="F25" t="s">
        <v>5942</v>
      </c>
      <c r="G25" t="s">
        <v>78</v>
      </c>
      <c r="H25" t="s">
        <v>71</v>
      </c>
      <c r="I25" t="s">
        <v>5919</v>
      </c>
      <c r="J25" t="s">
        <v>50</v>
      </c>
      <c r="K25" s="2">
        <v>45403</v>
      </c>
      <c r="L25" t="s">
        <v>23</v>
      </c>
      <c r="M25" t="s">
        <v>5920</v>
      </c>
    </row>
    <row r="26" spans="1:13">
      <c r="A26" t="s">
        <v>5954</v>
      </c>
      <c r="B26" s="2">
        <v>45352</v>
      </c>
      <c r="C26">
        <v>2024</v>
      </c>
      <c r="D26">
        <v>3</v>
      </c>
      <c r="E26" t="s">
        <v>60</v>
      </c>
      <c r="F26" t="s">
        <v>5918</v>
      </c>
      <c r="G26" t="s">
        <v>47</v>
      </c>
      <c r="H26" t="s">
        <v>56</v>
      </c>
      <c r="I26" t="s">
        <v>5925</v>
      </c>
      <c r="J26" t="s">
        <v>50</v>
      </c>
      <c r="K26" s="2">
        <v>45402</v>
      </c>
      <c r="L26" t="s">
        <v>10</v>
      </c>
      <c r="M26" t="s">
        <v>5935</v>
      </c>
    </row>
    <row r="27" spans="1:13">
      <c r="A27" t="s">
        <v>5955</v>
      </c>
      <c r="B27" s="2">
        <v>45360</v>
      </c>
      <c r="C27">
        <v>2024</v>
      </c>
      <c r="D27">
        <v>3</v>
      </c>
      <c r="E27" t="s">
        <v>60</v>
      </c>
      <c r="F27" t="s">
        <v>5945</v>
      </c>
      <c r="G27" t="s">
        <v>78</v>
      </c>
      <c r="H27" t="s">
        <v>56</v>
      </c>
      <c r="I27" t="s">
        <v>5919</v>
      </c>
      <c r="J27" t="s">
        <v>50</v>
      </c>
      <c r="K27" s="2">
        <v>45427</v>
      </c>
      <c r="L27" t="s">
        <v>10</v>
      </c>
      <c r="M27" t="s">
        <v>5920</v>
      </c>
    </row>
    <row r="28" spans="1:13">
      <c r="A28" t="s">
        <v>5956</v>
      </c>
      <c r="B28" s="2">
        <v>45356</v>
      </c>
      <c r="C28">
        <v>2024</v>
      </c>
      <c r="D28">
        <v>3</v>
      </c>
      <c r="E28" t="s">
        <v>60</v>
      </c>
      <c r="F28" t="s">
        <v>5931</v>
      </c>
      <c r="G28" t="s">
        <v>2</v>
      </c>
      <c r="H28" t="s">
        <v>41</v>
      </c>
      <c r="I28" t="s">
        <v>5919</v>
      </c>
      <c r="J28" t="s">
        <v>70</v>
      </c>
      <c r="K28" s="2">
        <v>45417</v>
      </c>
      <c r="L28" t="s">
        <v>23</v>
      </c>
      <c r="M28" t="s">
        <v>5923</v>
      </c>
    </row>
    <row r="29" spans="1:13">
      <c r="A29" t="s">
        <v>5957</v>
      </c>
      <c r="B29" s="2">
        <v>45374</v>
      </c>
      <c r="C29">
        <v>2024</v>
      </c>
      <c r="D29">
        <v>3</v>
      </c>
      <c r="E29" t="s">
        <v>60</v>
      </c>
      <c r="F29" t="s">
        <v>5942</v>
      </c>
      <c r="G29" t="s">
        <v>47</v>
      </c>
      <c r="H29" t="s">
        <v>51</v>
      </c>
      <c r="I29" t="s">
        <v>5919</v>
      </c>
      <c r="J29" t="s">
        <v>50</v>
      </c>
      <c r="K29" s="2">
        <v>45404</v>
      </c>
      <c r="L29" t="s">
        <v>10</v>
      </c>
      <c r="M29" t="s">
        <v>5920</v>
      </c>
    </row>
    <row r="30" spans="1:13">
      <c r="A30" t="s">
        <v>5958</v>
      </c>
      <c r="B30" s="2">
        <v>45370</v>
      </c>
      <c r="C30">
        <v>2024</v>
      </c>
      <c r="D30">
        <v>3</v>
      </c>
      <c r="E30" t="s">
        <v>60</v>
      </c>
      <c r="F30" t="s">
        <v>5942</v>
      </c>
      <c r="G30" t="s">
        <v>26</v>
      </c>
      <c r="H30" t="s">
        <v>21</v>
      </c>
      <c r="I30" t="s">
        <v>5925</v>
      </c>
      <c r="J30" t="s">
        <v>13</v>
      </c>
      <c r="K30" s="2">
        <v>45392</v>
      </c>
      <c r="L30" t="s">
        <v>10</v>
      </c>
      <c r="M30" t="s">
        <v>5923</v>
      </c>
    </row>
    <row r="31" spans="1:13">
      <c r="A31" t="s">
        <v>5959</v>
      </c>
      <c r="B31" s="2">
        <v>45352</v>
      </c>
      <c r="C31">
        <v>2024</v>
      </c>
      <c r="D31">
        <v>3</v>
      </c>
      <c r="E31" t="s">
        <v>60</v>
      </c>
      <c r="F31" t="s">
        <v>5918</v>
      </c>
      <c r="G31" t="s">
        <v>47</v>
      </c>
      <c r="H31" t="s">
        <v>84</v>
      </c>
      <c r="I31" t="s">
        <v>5925</v>
      </c>
      <c r="J31" t="s">
        <v>34</v>
      </c>
      <c r="K31" s="2">
        <v>45413</v>
      </c>
      <c r="L31" t="s">
        <v>5939</v>
      </c>
      <c r="M31" t="s">
        <v>5923</v>
      </c>
    </row>
    <row r="32" spans="1:13">
      <c r="A32" t="s">
        <v>5960</v>
      </c>
      <c r="B32" s="2">
        <v>45369</v>
      </c>
      <c r="C32">
        <v>2024</v>
      </c>
      <c r="D32">
        <v>3</v>
      </c>
      <c r="E32" t="s">
        <v>60</v>
      </c>
      <c r="F32" t="s">
        <v>5928</v>
      </c>
      <c r="G32" t="s">
        <v>47</v>
      </c>
      <c r="H32" t="s">
        <v>21</v>
      </c>
      <c r="I32" t="s">
        <v>5925</v>
      </c>
      <c r="J32" t="s">
        <v>70</v>
      </c>
      <c r="K32" s="2">
        <v>45381</v>
      </c>
      <c r="L32" t="s">
        <v>10</v>
      </c>
      <c r="M32" t="s">
        <v>5920</v>
      </c>
    </row>
    <row r="33" spans="1:13">
      <c r="A33" t="s">
        <v>5961</v>
      </c>
      <c r="B33" s="2">
        <v>45375</v>
      </c>
      <c r="C33">
        <v>2024</v>
      </c>
      <c r="D33">
        <v>3</v>
      </c>
      <c r="E33" t="s">
        <v>60</v>
      </c>
      <c r="F33" t="s">
        <v>5931</v>
      </c>
      <c r="G33" t="s">
        <v>47</v>
      </c>
      <c r="H33" t="s">
        <v>14</v>
      </c>
      <c r="I33" t="s">
        <v>5919</v>
      </c>
      <c r="J33" t="s">
        <v>6</v>
      </c>
      <c r="K33" s="2">
        <v>45373</v>
      </c>
      <c r="L33" t="s">
        <v>5939</v>
      </c>
      <c r="M33" t="s">
        <v>5920</v>
      </c>
    </row>
    <row r="34" spans="1:13">
      <c r="A34" t="s">
        <v>5962</v>
      </c>
      <c r="B34" s="2">
        <v>45379</v>
      </c>
      <c r="C34">
        <v>2024</v>
      </c>
      <c r="D34">
        <v>3</v>
      </c>
      <c r="E34" t="s">
        <v>60</v>
      </c>
      <c r="F34" t="s">
        <v>5918</v>
      </c>
      <c r="G34" t="s">
        <v>40</v>
      </c>
      <c r="H34" t="s">
        <v>71</v>
      </c>
      <c r="I34" t="s">
        <v>5919</v>
      </c>
      <c r="J34" t="s">
        <v>13</v>
      </c>
      <c r="K34" s="2">
        <v>45416</v>
      </c>
      <c r="L34" t="s">
        <v>23</v>
      </c>
      <c r="M34" t="s">
        <v>5920</v>
      </c>
    </row>
    <row r="35" spans="1:13">
      <c r="A35" t="s">
        <v>5963</v>
      </c>
      <c r="B35" s="2">
        <v>45390</v>
      </c>
      <c r="C35">
        <v>2024</v>
      </c>
      <c r="D35">
        <v>4</v>
      </c>
      <c r="E35" t="s">
        <v>73</v>
      </c>
      <c r="F35" t="s">
        <v>5931</v>
      </c>
      <c r="G35" t="s">
        <v>2</v>
      </c>
      <c r="H35" t="s">
        <v>71</v>
      </c>
      <c r="I35" t="s">
        <v>5925</v>
      </c>
      <c r="J35" t="s">
        <v>50</v>
      </c>
      <c r="K35" s="2">
        <v>45430</v>
      </c>
      <c r="L35" t="s">
        <v>10</v>
      </c>
      <c r="M35" t="s">
        <v>5923</v>
      </c>
    </row>
    <row r="36" spans="1:13">
      <c r="A36" t="s">
        <v>5964</v>
      </c>
      <c r="B36" s="2">
        <v>45387</v>
      </c>
      <c r="C36">
        <v>2024</v>
      </c>
      <c r="D36">
        <v>4</v>
      </c>
      <c r="E36" t="s">
        <v>73</v>
      </c>
      <c r="F36" t="s">
        <v>5942</v>
      </c>
      <c r="G36" t="s">
        <v>67</v>
      </c>
      <c r="H36" t="s">
        <v>21</v>
      </c>
      <c r="I36" t="s">
        <v>5919</v>
      </c>
      <c r="J36" t="s">
        <v>6</v>
      </c>
      <c r="K36" s="2">
        <v>45455</v>
      </c>
      <c r="L36" t="s">
        <v>10</v>
      </c>
      <c r="M36" t="s">
        <v>5929</v>
      </c>
    </row>
    <row r="37" spans="1:13">
      <c r="A37" t="s">
        <v>5965</v>
      </c>
      <c r="B37" s="2">
        <v>45402</v>
      </c>
      <c r="C37">
        <v>2024</v>
      </c>
      <c r="D37">
        <v>4</v>
      </c>
      <c r="E37" t="s">
        <v>73</v>
      </c>
      <c r="F37" t="s">
        <v>5931</v>
      </c>
      <c r="G37" t="s">
        <v>2</v>
      </c>
      <c r="H37" t="s">
        <v>107</v>
      </c>
      <c r="I37" t="s">
        <v>5919</v>
      </c>
      <c r="J37" t="s">
        <v>13</v>
      </c>
      <c r="K37" s="2">
        <v>45427</v>
      </c>
      <c r="L37" t="s">
        <v>17</v>
      </c>
      <c r="M37" t="s">
        <v>5923</v>
      </c>
    </row>
    <row r="38" spans="1:13">
      <c r="A38" t="s">
        <v>5966</v>
      </c>
      <c r="B38" s="2">
        <v>45391</v>
      </c>
      <c r="C38">
        <v>2024</v>
      </c>
      <c r="D38">
        <v>4</v>
      </c>
      <c r="E38" t="s">
        <v>73</v>
      </c>
      <c r="F38" t="s">
        <v>5942</v>
      </c>
      <c r="G38" t="s">
        <v>19</v>
      </c>
      <c r="H38" t="s">
        <v>51</v>
      </c>
      <c r="I38" t="s">
        <v>5919</v>
      </c>
      <c r="J38" t="s">
        <v>34</v>
      </c>
      <c r="K38" s="2">
        <v>45430</v>
      </c>
      <c r="L38" t="s">
        <v>10</v>
      </c>
      <c r="M38" t="s">
        <v>5935</v>
      </c>
    </row>
    <row r="39" spans="1:13">
      <c r="A39" t="s">
        <v>5967</v>
      </c>
      <c r="B39" s="2">
        <v>45409</v>
      </c>
      <c r="C39">
        <v>2024</v>
      </c>
      <c r="D39">
        <v>4</v>
      </c>
      <c r="E39" t="s">
        <v>73</v>
      </c>
      <c r="F39" t="s">
        <v>5928</v>
      </c>
      <c r="G39" t="s">
        <v>54</v>
      </c>
      <c r="H39" t="s">
        <v>58</v>
      </c>
      <c r="I39" t="s">
        <v>5925</v>
      </c>
      <c r="J39" t="s">
        <v>70</v>
      </c>
      <c r="K39" s="2">
        <v>45430</v>
      </c>
      <c r="L39" t="s">
        <v>23</v>
      </c>
      <c r="M39" t="s">
        <v>5920</v>
      </c>
    </row>
    <row r="40" spans="1:13">
      <c r="A40" t="s">
        <v>5968</v>
      </c>
      <c r="B40" s="2">
        <v>45399</v>
      </c>
      <c r="C40">
        <v>2024</v>
      </c>
      <c r="D40">
        <v>4</v>
      </c>
      <c r="E40" t="s">
        <v>73</v>
      </c>
      <c r="F40" t="s">
        <v>5922</v>
      </c>
      <c r="G40" t="s">
        <v>31</v>
      </c>
      <c r="H40" t="s">
        <v>14</v>
      </c>
      <c r="I40" t="s">
        <v>5925</v>
      </c>
      <c r="J40" t="s">
        <v>13</v>
      </c>
      <c r="K40" s="2">
        <v>45426</v>
      </c>
      <c r="L40" t="s">
        <v>23</v>
      </c>
      <c r="M40" t="s">
        <v>5923</v>
      </c>
    </row>
    <row r="41" spans="1:13">
      <c r="A41" t="s">
        <v>5969</v>
      </c>
      <c r="B41" s="2">
        <v>45393</v>
      </c>
      <c r="C41">
        <v>2024</v>
      </c>
      <c r="D41">
        <v>4</v>
      </c>
      <c r="E41" t="s">
        <v>73</v>
      </c>
      <c r="F41" t="s">
        <v>5928</v>
      </c>
      <c r="G41" t="s">
        <v>67</v>
      </c>
      <c r="H41" t="s">
        <v>71</v>
      </c>
      <c r="I41" t="s">
        <v>5919</v>
      </c>
      <c r="J41" t="s">
        <v>13</v>
      </c>
      <c r="K41" s="2">
        <v>45425</v>
      </c>
      <c r="L41" t="s">
        <v>10</v>
      </c>
      <c r="M41" t="s">
        <v>5920</v>
      </c>
    </row>
    <row r="42" spans="1:13">
      <c r="A42" t="s">
        <v>5970</v>
      </c>
      <c r="B42" s="2">
        <v>45410</v>
      </c>
      <c r="C42">
        <v>2024</v>
      </c>
      <c r="D42">
        <v>4</v>
      </c>
      <c r="E42" t="s">
        <v>73</v>
      </c>
      <c r="F42" t="s">
        <v>5928</v>
      </c>
      <c r="G42" t="s">
        <v>19</v>
      </c>
      <c r="H42" t="s">
        <v>51</v>
      </c>
      <c r="I42" t="s">
        <v>5925</v>
      </c>
      <c r="J42" t="s">
        <v>13</v>
      </c>
      <c r="K42" s="2">
        <v>45446</v>
      </c>
      <c r="L42" t="s">
        <v>17</v>
      </c>
      <c r="M42" t="s">
        <v>5923</v>
      </c>
    </row>
    <row r="43" spans="1:13">
      <c r="A43" t="s">
        <v>5971</v>
      </c>
      <c r="B43" s="2">
        <v>45386</v>
      </c>
      <c r="C43">
        <v>2024</v>
      </c>
      <c r="D43">
        <v>4</v>
      </c>
      <c r="E43" t="s">
        <v>73</v>
      </c>
      <c r="F43" t="s">
        <v>5931</v>
      </c>
      <c r="G43" t="s">
        <v>47</v>
      </c>
      <c r="H43" t="s">
        <v>56</v>
      </c>
      <c r="I43" t="s">
        <v>5925</v>
      </c>
      <c r="J43" t="s">
        <v>34</v>
      </c>
      <c r="K43" s="2">
        <v>45434</v>
      </c>
      <c r="L43" t="s">
        <v>23</v>
      </c>
      <c r="M43" t="s">
        <v>5935</v>
      </c>
    </row>
    <row r="44" spans="1:13">
      <c r="A44" t="s">
        <v>5972</v>
      </c>
      <c r="B44" s="2">
        <v>45384</v>
      </c>
      <c r="C44">
        <v>2024</v>
      </c>
      <c r="D44">
        <v>4</v>
      </c>
      <c r="E44" t="s">
        <v>73</v>
      </c>
      <c r="F44" t="s">
        <v>5922</v>
      </c>
      <c r="G44" t="s">
        <v>2</v>
      </c>
      <c r="H44" t="s">
        <v>21</v>
      </c>
      <c r="I44" t="s">
        <v>5919</v>
      </c>
      <c r="J44" t="s">
        <v>50</v>
      </c>
      <c r="K44" s="2">
        <v>45465</v>
      </c>
      <c r="L44" t="s">
        <v>10</v>
      </c>
      <c r="M44" t="s">
        <v>5920</v>
      </c>
    </row>
    <row r="45" spans="1:13">
      <c r="A45" t="s">
        <v>5973</v>
      </c>
      <c r="B45" s="2">
        <v>45404</v>
      </c>
      <c r="C45">
        <v>2024</v>
      </c>
      <c r="D45">
        <v>4</v>
      </c>
      <c r="E45" t="s">
        <v>73</v>
      </c>
      <c r="F45" t="s">
        <v>5945</v>
      </c>
      <c r="G45" t="s">
        <v>2</v>
      </c>
      <c r="H45" t="s">
        <v>56</v>
      </c>
      <c r="I45" t="s">
        <v>5925</v>
      </c>
      <c r="J45" t="s">
        <v>13</v>
      </c>
      <c r="K45" s="2">
        <v>45431</v>
      </c>
      <c r="L45" t="s">
        <v>10</v>
      </c>
      <c r="M45" t="s">
        <v>5923</v>
      </c>
    </row>
    <row r="46" spans="1:13">
      <c r="A46" t="s">
        <v>5974</v>
      </c>
      <c r="B46" s="2">
        <v>45438</v>
      </c>
      <c r="C46">
        <v>2024</v>
      </c>
      <c r="D46">
        <v>5</v>
      </c>
      <c r="E46" t="s">
        <v>83</v>
      </c>
      <c r="F46" t="s">
        <v>5928</v>
      </c>
      <c r="G46" t="s">
        <v>67</v>
      </c>
      <c r="H46" t="s">
        <v>71</v>
      </c>
      <c r="I46" t="s">
        <v>5925</v>
      </c>
      <c r="J46" t="s">
        <v>50</v>
      </c>
      <c r="K46" s="2">
        <v>45465</v>
      </c>
      <c r="L46" t="s">
        <v>10</v>
      </c>
      <c r="M46" t="s">
        <v>5935</v>
      </c>
    </row>
    <row r="47" spans="1:13">
      <c r="A47" t="s">
        <v>5975</v>
      </c>
      <c r="B47" s="2">
        <v>45439</v>
      </c>
      <c r="C47">
        <v>2024</v>
      </c>
      <c r="D47">
        <v>5</v>
      </c>
      <c r="E47" t="s">
        <v>83</v>
      </c>
      <c r="F47" t="s">
        <v>5928</v>
      </c>
      <c r="G47" t="s">
        <v>67</v>
      </c>
      <c r="H47" t="s">
        <v>14</v>
      </c>
      <c r="I47" t="s">
        <v>5925</v>
      </c>
      <c r="J47" t="s">
        <v>50</v>
      </c>
      <c r="K47" s="2">
        <v>45472</v>
      </c>
      <c r="L47" t="s">
        <v>10</v>
      </c>
      <c r="M47" t="s">
        <v>5920</v>
      </c>
    </row>
    <row r="48" spans="1:13">
      <c r="A48" t="s">
        <v>5976</v>
      </c>
      <c r="B48" s="2">
        <v>45434</v>
      </c>
      <c r="C48">
        <v>2024</v>
      </c>
      <c r="D48">
        <v>5</v>
      </c>
      <c r="E48" t="s">
        <v>83</v>
      </c>
      <c r="F48" t="s">
        <v>5945</v>
      </c>
      <c r="G48" t="s">
        <v>38</v>
      </c>
      <c r="H48" t="s">
        <v>21</v>
      </c>
      <c r="I48" t="s">
        <v>5925</v>
      </c>
      <c r="J48" t="s">
        <v>34</v>
      </c>
      <c r="K48" s="2">
        <v>45466</v>
      </c>
      <c r="L48" t="s">
        <v>10</v>
      </c>
      <c r="M48" t="s">
        <v>5923</v>
      </c>
    </row>
    <row r="49" spans="1:13">
      <c r="A49" t="s">
        <v>5977</v>
      </c>
      <c r="B49" s="2">
        <v>45416</v>
      </c>
      <c r="C49">
        <v>2024</v>
      </c>
      <c r="D49">
        <v>5</v>
      </c>
      <c r="E49" t="s">
        <v>83</v>
      </c>
      <c r="F49" t="s">
        <v>5931</v>
      </c>
      <c r="G49" t="s">
        <v>40</v>
      </c>
      <c r="H49" t="s">
        <v>58</v>
      </c>
      <c r="I49" t="s">
        <v>5919</v>
      </c>
      <c r="J49" t="s">
        <v>34</v>
      </c>
      <c r="K49" s="2">
        <v>45452</v>
      </c>
      <c r="L49" t="s">
        <v>23</v>
      </c>
      <c r="M49" t="s">
        <v>5920</v>
      </c>
    </row>
    <row r="50" spans="1:13">
      <c r="A50" t="s">
        <v>5978</v>
      </c>
      <c r="B50" s="2">
        <v>45430</v>
      </c>
      <c r="C50">
        <v>2024</v>
      </c>
      <c r="D50">
        <v>5</v>
      </c>
      <c r="E50" t="s">
        <v>83</v>
      </c>
      <c r="F50" t="s">
        <v>5942</v>
      </c>
      <c r="G50" t="s">
        <v>2</v>
      </c>
      <c r="H50" t="s">
        <v>51</v>
      </c>
      <c r="I50" t="s">
        <v>5919</v>
      </c>
      <c r="J50" t="s">
        <v>50</v>
      </c>
      <c r="K50" s="2">
        <v>45479</v>
      </c>
      <c r="L50" t="s">
        <v>23</v>
      </c>
      <c r="M50" t="s">
        <v>5923</v>
      </c>
    </row>
    <row r="51" spans="1:13">
      <c r="A51" t="s">
        <v>5979</v>
      </c>
      <c r="B51" s="2">
        <v>45423</v>
      </c>
      <c r="C51">
        <v>2024</v>
      </c>
      <c r="D51">
        <v>5</v>
      </c>
      <c r="E51" t="s">
        <v>83</v>
      </c>
      <c r="F51" t="s">
        <v>5922</v>
      </c>
      <c r="G51" t="s">
        <v>2</v>
      </c>
      <c r="H51" t="s">
        <v>84</v>
      </c>
      <c r="I51" t="s">
        <v>5925</v>
      </c>
      <c r="J51" t="s">
        <v>70</v>
      </c>
      <c r="K51" s="2">
        <v>45487</v>
      </c>
      <c r="L51" t="s">
        <v>5939</v>
      </c>
      <c r="M51" t="s">
        <v>5923</v>
      </c>
    </row>
    <row r="52" spans="1:13">
      <c r="A52" t="s">
        <v>5980</v>
      </c>
      <c r="B52" s="2">
        <v>45434</v>
      </c>
      <c r="C52">
        <v>2024</v>
      </c>
      <c r="D52">
        <v>5</v>
      </c>
      <c r="E52" t="s">
        <v>83</v>
      </c>
      <c r="F52" t="s">
        <v>5928</v>
      </c>
      <c r="G52" t="s">
        <v>19</v>
      </c>
      <c r="H52" t="s">
        <v>41</v>
      </c>
      <c r="I52" t="s">
        <v>5925</v>
      </c>
      <c r="J52" t="s">
        <v>70</v>
      </c>
      <c r="K52" s="2">
        <v>45453</v>
      </c>
      <c r="L52" t="s">
        <v>10</v>
      </c>
      <c r="M52" t="s">
        <v>5920</v>
      </c>
    </row>
    <row r="53" spans="1:13">
      <c r="A53" t="s">
        <v>5981</v>
      </c>
      <c r="B53" s="2">
        <v>45438</v>
      </c>
      <c r="C53">
        <v>2024</v>
      </c>
      <c r="D53">
        <v>5</v>
      </c>
      <c r="E53" t="s">
        <v>83</v>
      </c>
      <c r="F53" t="s">
        <v>5945</v>
      </c>
      <c r="G53" t="s">
        <v>2</v>
      </c>
      <c r="H53" t="s">
        <v>58</v>
      </c>
      <c r="I53" t="s">
        <v>5919</v>
      </c>
      <c r="J53" t="s">
        <v>6</v>
      </c>
      <c r="K53" s="2">
        <v>45471</v>
      </c>
      <c r="L53" t="s">
        <v>17</v>
      </c>
      <c r="M53" t="s">
        <v>5923</v>
      </c>
    </row>
    <row r="54" spans="1:13">
      <c r="A54" t="s">
        <v>5982</v>
      </c>
      <c r="B54" s="2">
        <v>45429</v>
      </c>
      <c r="C54">
        <v>2024</v>
      </c>
      <c r="D54">
        <v>5</v>
      </c>
      <c r="E54" t="s">
        <v>83</v>
      </c>
      <c r="F54" t="s">
        <v>5922</v>
      </c>
      <c r="G54" t="s">
        <v>38</v>
      </c>
      <c r="H54" t="s">
        <v>21</v>
      </c>
      <c r="I54" t="s">
        <v>5919</v>
      </c>
      <c r="J54" t="s">
        <v>6</v>
      </c>
      <c r="K54" s="2">
        <v>45474</v>
      </c>
      <c r="L54" t="s">
        <v>23</v>
      </c>
      <c r="M54" t="s">
        <v>5935</v>
      </c>
    </row>
    <row r="55" spans="1:13">
      <c r="A55" t="s">
        <v>5983</v>
      </c>
      <c r="B55" s="2">
        <v>45457</v>
      </c>
      <c r="C55">
        <v>2024</v>
      </c>
      <c r="D55">
        <v>6</v>
      </c>
      <c r="E55" t="s">
        <v>87</v>
      </c>
      <c r="F55" t="s">
        <v>5942</v>
      </c>
      <c r="G55" t="s">
        <v>67</v>
      </c>
      <c r="H55" t="s">
        <v>21</v>
      </c>
      <c r="I55" t="s">
        <v>5925</v>
      </c>
      <c r="J55" t="s">
        <v>50</v>
      </c>
      <c r="K55" s="2">
        <v>45469</v>
      </c>
      <c r="L55" t="s">
        <v>10</v>
      </c>
      <c r="M55" t="s">
        <v>5920</v>
      </c>
    </row>
    <row r="56" spans="1:13">
      <c r="A56" t="s">
        <v>5984</v>
      </c>
      <c r="B56" s="2">
        <v>45449</v>
      </c>
      <c r="C56">
        <v>2024</v>
      </c>
      <c r="D56">
        <v>6</v>
      </c>
      <c r="E56" t="s">
        <v>87</v>
      </c>
      <c r="F56" t="s">
        <v>5922</v>
      </c>
      <c r="G56" t="s">
        <v>78</v>
      </c>
      <c r="H56" t="s">
        <v>51</v>
      </c>
      <c r="I56" t="s">
        <v>5919</v>
      </c>
      <c r="J56" t="s">
        <v>70</v>
      </c>
      <c r="K56" s="2">
        <v>45473</v>
      </c>
      <c r="L56" t="s">
        <v>23</v>
      </c>
      <c r="M56" t="s">
        <v>5935</v>
      </c>
    </row>
    <row r="57" spans="1:13">
      <c r="A57" t="s">
        <v>5985</v>
      </c>
      <c r="B57" s="2">
        <v>45466</v>
      </c>
      <c r="C57">
        <v>2024</v>
      </c>
      <c r="D57">
        <v>6</v>
      </c>
      <c r="E57" t="s">
        <v>87</v>
      </c>
      <c r="F57" t="s">
        <v>5928</v>
      </c>
      <c r="G57" t="s">
        <v>40</v>
      </c>
      <c r="H57" t="s">
        <v>51</v>
      </c>
      <c r="I57" t="s">
        <v>5919</v>
      </c>
      <c r="J57" t="s">
        <v>13</v>
      </c>
      <c r="K57" s="2">
        <v>45510</v>
      </c>
      <c r="L57" t="s">
        <v>23</v>
      </c>
      <c r="M57" t="s">
        <v>5920</v>
      </c>
    </row>
    <row r="58" spans="1:13">
      <c r="A58" t="s">
        <v>5986</v>
      </c>
      <c r="B58" s="2">
        <v>45456</v>
      </c>
      <c r="C58">
        <v>2024</v>
      </c>
      <c r="D58">
        <v>6</v>
      </c>
      <c r="E58" t="s">
        <v>87</v>
      </c>
      <c r="F58" t="s">
        <v>5931</v>
      </c>
      <c r="G58" t="s">
        <v>78</v>
      </c>
      <c r="H58" t="s">
        <v>71</v>
      </c>
      <c r="I58" t="s">
        <v>5919</v>
      </c>
      <c r="J58" t="s">
        <v>70</v>
      </c>
      <c r="K58" s="2">
        <v>45499</v>
      </c>
      <c r="L58" t="s">
        <v>23</v>
      </c>
      <c r="M58" t="s">
        <v>5929</v>
      </c>
    </row>
    <row r="59" spans="1:13">
      <c r="A59" t="s">
        <v>5987</v>
      </c>
      <c r="B59" s="2">
        <v>45447</v>
      </c>
      <c r="C59">
        <v>2024</v>
      </c>
      <c r="D59">
        <v>6</v>
      </c>
      <c r="E59" t="s">
        <v>87</v>
      </c>
      <c r="F59" t="s">
        <v>5931</v>
      </c>
      <c r="G59" t="s">
        <v>38</v>
      </c>
      <c r="H59" t="s">
        <v>14</v>
      </c>
      <c r="I59" t="s">
        <v>5925</v>
      </c>
      <c r="J59" t="s">
        <v>13</v>
      </c>
      <c r="K59" s="2">
        <v>45466</v>
      </c>
      <c r="L59" t="s">
        <v>10</v>
      </c>
      <c r="M59" t="s">
        <v>5935</v>
      </c>
    </row>
    <row r="60" spans="1:13">
      <c r="A60" t="s">
        <v>5988</v>
      </c>
      <c r="B60" s="2">
        <v>45463</v>
      </c>
      <c r="C60">
        <v>2024</v>
      </c>
      <c r="D60">
        <v>6</v>
      </c>
      <c r="E60" t="s">
        <v>87</v>
      </c>
      <c r="F60" t="s">
        <v>5931</v>
      </c>
      <c r="G60" t="s">
        <v>31</v>
      </c>
      <c r="H60" t="s">
        <v>21</v>
      </c>
      <c r="I60" t="s">
        <v>5919</v>
      </c>
      <c r="J60" t="s">
        <v>70</v>
      </c>
      <c r="K60" s="2">
        <v>45488</v>
      </c>
      <c r="L60" t="s">
        <v>10</v>
      </c>
      <c r="M60" t="s">
        <v>5929</v>
      </c>
    </row>
    <row r="61" spans="1:13">
      <c r="A61" t="s">
        <v>5989</v>
      </c>
      <c r="B61" s="2">
        <v>45469</v>
      </c>
      <c r="C61">
        <v>2024</v>
      </c>
      <c r="D61">
        <v>6</v>
      </c>
      <c r="E61" t="s">
        <v>87</v>
      </c>
      <c r="F61" t="s">
        <v>5928</v>
      </c>
      <c r="G61" t="s">
        <v>78</v>
      </c>
      <c r="H61" t="s">
        <v>107</v>
      </c>
      <c r="I61" t="s">
        <v>5925</v>
      </c>
      <c r="J61" t="s">
        <v>50</v>
      </c>
      <c r="K61" s="2">
        <v>45498</v>
      </c>
      <c r="L61" t="s">
        <v>10</v>
      </c>
      <c r="M61" t="s">
        <v>5935</v>
      </c>
    </row>
    <row r="62" spans="1:13">
      <c r="A62" t="s">
        <v>5990</v>
      </c>
      <c r="B62" s="2">
        <v>45450</v>
      </c>
      <c r="C62">
        <v>2024</v>
      </c>
      <c r="D62">
        <v>6</v>
      </c>
      <c r="E62" t="s">
        <v>87</v>
      </c>
      <c r="F62" t="s">
        <v>5942</v>
      </c>
      <c r="G62" t="s">
        <v>26</v>
      </c>
      <c r="H62" t="s">
        <v>56</v>
      </c>
      <c r="I62" t="s">
        <v>5919</v>
      </c>
      <c r="J62" t="s">
        <v>13</v>
      </c>
      <c r="K62" s="2">
        <v>45529</v>
      </c>
      <c r="L62" t="s">
        <v>10</v>
      </c>
      <c r="M62" t="s">
        <v>5920</v>
      </c>
    </row>
    <row r="63" spans="1:13">
      <c r="A63" t="s">
        <v>5991</v>
      </c>
      <c r="B63" s="2">
        <v>45466</v>
      </c>
      <c r="C63">
        <v>2024</v>
      </c>
      <c r="D63">
        <v>6</v>
      </c>
      <c r="E63" t="s">
        <v>87</v>
      </c>
      <c r="F63" t="s">
        <v>5942</v>
      </c>
      <c r="G63" t="s">
        <v>54</v>
      </c>
      <c r="H63" t="s">
        <v>84</v>
      </c>
      <c r="I63" t="s">
        <v>5925</v>
      </c>
      <c r="J63" t="s">
        <v>13</v>
      </c>
      <c r="K63" s="2">
        <v>45468</v>
      </c>
      <c r="L63" t="s">
        <v>10</v>
      </c>
      <c r="M63" t="s">
        <v>5923</v>
      </c>
    </row>
    <row r="64" spans="1:13">
      <c r="A64" t="s">
        <v>5992</v>
      </c>
      <c r="B64" s="2">
        <v>45455</v>
      </c>
      <c r="C64">
        <v>2024</v>
      </c>
      <c r="D64">
        <v>6</v>
      </c>
      <c r="E64" t="s">
        <v>87</v>
      </c>
      <c r="F64" t="s">
        <v>5928</v>
      </c>
      <c r="G64" t="s">
        <v>19</v>
      </c>
      <c r="H64" t="s">
        <v>71</v>
      </c>
      <c r="I64" t="s">
        <v>5925</v>
      </c>
      <c r="J64" t="s">
        <v>50</v>
      </c>
      <c r="K64" s="2">
        <v>45476</v>
      </c>
      <c r="L64" t="s">
        <v>10</v>
      </c>
      <c r="M64" t="s">
        <v>5929</v>
      </c>
    </row>
    <row r="65" spans="1:13">
      <c r="A65" t="s">
        <v>5993</v>
      </c>
      <c r="B65" s="2">
        <v>45469</v>
      </c>
      <c r="C65">
        <v>2024</v>
      </c>
      <c r="D65">
        <v>6</v>
      </c>
      <c r="E65" t="s">
        <v>87</v>
      </c>
      <c r="F65" t="s">
        <v>5945</v>
      </c>
      <c r="G65" t="s">
        <v>19</v>
      </c>
      <c r="H65" t="s">
        <v>21</v>
      </c>
      <c r="I65" t="s">
        <v>5919</v>
      </c>
      <c r="J65" t="s">
        <v>50</v>
      </c>
      <c r="K65" s="2">
        <v>45480</v>
      </c>
      <c r="L65" t="s">
        <v>10</v>
      </c>
      <c r="M65" t="s">
        <v>5923</v>
      </c>
    </row>
    <row r="66" spans="1:13">
      <c r="A66" t="s">
        <v>5994</v>
      </c>
      <c r="B66" s="2">
        <v>45494</v>
      </c>
      <c r="C66">
        <v>2024</v>
      </c>
      <c r="D66">
        <v>7</v>
      </c>
      <c r="E66" t="s">
        <v>93</v>
      </c>
      <c r="F66" t="s">
        <v>5918</v>
      </c>
      <c r="G66" t="s">
        <v>19</v>
      </c>
      <c r="H66" t="s">
        <v>58</v>
      </c>
      <c r="I66" t="s">
        <v>5925</v>
      </c>
      <c r="J66" t="s">
        <v>70</v>
      </c>
      <c r="K66" s="2">
        <v>45542</v>
      </c>
      <c r="L66" t="s">
        <v>10</v>
      </c>
      <c r="M66" t="s">
        <v>5935</v>
      </c>
    </row>
    <row r="67" spans="1:13">
      <c r="A67" t="s">
        <v>5995</v>
      </c>
      <c r="B67" s="2">
        <v>45493</v>
      </c>
      <c r="C67">
        <v>2024</v>
      </c>
      <c r="D67">
        <v>7</v>
      </c>
      <c r="E67" t="s">
        <v>93</v>
      </c>
      <c r="F67" t="s">
        <v>5945</v>
      </c>
      <c r="G67" t="s">
        <v>31</v>
      </c>
      <c r="H67" t="s">
        <v>58</v>
      </c>
      <c r="I67" t="s">
        <v>5919</v>
      </c>
      <c r="J67" t="s">
        <v>6</v>
      </c>
      <c r="K67" s="2">
        <v>45532</v>
      </c>
      <c r="L67" t="s">
        <v>23</v>
      </c>
      <c r="M67" t="s">
        <v>5920</v>
      </c>
    </row>
    <row r="68" spans="1:13">
      <c r="A68" t="s">
        <v>5996</v>
      </c>
      <c r="B68" s="2">
        <v>45483</v>
      </c>
      <c r="C68">
        <v>2024</v>
      </c>
      <c r="D68">
        <v>7</v>
      </c>
      <c r="E68" t="s">
        <v>93</v>
      </c>
      <c r="F68" t="s">
        <v>5928</v>
      </c>
      <c r="G68" t="s">
        <v>78</v>
      </c>
      <c r="H68" t="s">
        <v>7</v>
      </c>
      <c r="I68" t="s">
        <v>5925</v>
      </c>
      <c r="J68" t="s">
        <v>50</v>
      </c>
      <c r="K68" s="2">
        <v>45505</v>
      </c>
      <c r="L68" t="s">
        <v>10</v>
      </c>
      <c r="M68" t="s">
        <v>5929</v>
      </c>
    </row>
    <row r="69" spans="1:13">
      <c r="A69" t="s">
        <v>5997</v>
      </c>
      <c r="B69" s="2">
        <v>45491</v>
      </c>
      <c r="C69">
        <v>2024</v>
      </c>
      <c r="D69">
        <v>7</v>
      </c>
      <c r="E69" t="s">
        <v>93</v>
      </c>
      <c r="F69" t="s">
        <v>5945</v>
      </c>
      <c r="G69" t="s">
        <v>54</v>
      </c>
      <c r="H69" t="s">
        <v>56</v>
      </c>
      <c r="I69" t="s">
        <v>5925</v>
      </c>
      <c r="J69" t="s">
        <v>6</v>
      </c>
      <c r="K69" s="2">
        <v>45529</v>
      </c>
      <c r="L69" t="s">
        <v>10</v>
      </c>
      <c r="M69" t="s">
        <v>5920</v>
      </c>
    </row>
    <row r="70" spans="1:13">
      <c r="A70" t="s">
        <v>5998</v>
      </c>
      <c r="B70" s="2">
        <v>45498</v>
      </c>
      <c r="C70">
        <v>2024</v>
      </c>
      <c r="D70">
        <v>7</v>
      </c>
      <c r="E70" t="s">
        <v>93</v>
      </c>
      <c r="F70" t="s">
        <v>5931</v>
      </c>
      <c r="G70" t="s">
        <v>31</v>
      </c>
      <c r="H70" t="s">
        <v>7</v>
      </c>
      <c r="I70" t="s">
        <v>5925</v>
      </c>
      <c r="J70" t="s">
        <v>34</v>
      </c>
      <c r="K70" s="2">
        <v>45534</v>
      </c>
      <c r="L70" t="s">
        <v>23</v>
      </c>
      <c r="M70" t="s">
        <v>5923</v>
      </c>
    </row>
    <row r="71" spans="1:13">
      <c r="A71" t="s">
        <v>5999</v>
      </c>
      <c r="B71" s="2">
        <v>45476</v>
      </c>
      <c r="C71">
        <v>2024</v>
      </c>
      <c r="D71">
        <v>7</v>
      </c>
      <c r="E71" t="s">
        <v>93</v>
      </c>
      <c r="F71" t="s">
        <v>5918</v>
      </c>
      <c r="G71" t="s">
        <v>38</v>
      </c>
      <c r="H71" t="s">
        <v>84</v>
      </c>
      <c r="I71" t="s">
        <v>5919</v>
      </c>
      <c r="J71" t="s">
        <v>50</v>
      </c>
      <c r="K71" s="2">
        <v>45523</v>
      </c>
      <c r="L71" t="s">
        <v>23</v>
      </c>
      <c r="M71" t="s">
        <v>5920</v>
      </c>
    </row>
    <row r="72" spans="1:13">
      <c r="A72" t="s">
        <v>6000</v>
      </c>
      <c r="B72" s="2">
        <v>45484</v>
      </c>
      <c r="C72">
        <v>2024</v>
      </c>
      <c r="D72">
        <v>7</v>
      </c>
      <c r="E72" t="s">
        <v>93</v>
      </c>
      <c r="F72" t="s">
        <v>5928</v>
      </c>
      <c r="G72" t="s">
        <v>2</v>
      </c>
      <c r="H72" t="s">
        <v>21</v>
      </c>
      <c r="I72" t="s">
        <v>5925</v>
      </c>
      <c r="J72" t="s">
        <v>13</v>
      </c>
      <c r="K72" s="2">
        <v>45529</v>
      </c>
      <c r="L72" t="s">
        <v>10</v>
      </c>
      <c r="M72" t="s">
        <v>5929</v>
      </c>
    </row>
    <row r="73" spans="1:13">
      <c r="A73" t="s">
        <v>6001</v>
      </c>
      <c r="B73" s="2">
        <v>45493</v>
      </c>
      <c r="C73">
        <v>2024</v>
      </c>
      <c r="D73">
        <v>7</v>
      </c>
      <c r="E73" t="s">
        <v>93</v>
      </c>
      <c r="F73" t="s">
        <v>5922</v>
      </c>
      <c r="G73" t="s">
        <v>2</v>
      </c>
      <c r="H73" t="s">
        <v>58</v>
      </c>
      <c r="I73" t="s">
        <v>5919</v>
      </c>
      <c r="J73" t="s">
        <v>50</v>
      </c>
      <c r="K73" s="2">
        <v>45522</v>
      </c>
      <c r="L73" t="s">
        <v>10</v>
      </c>
      <c r="M73" t="s">
        <v>5920</v>
      </c>
    </row>
    <row r="74" spans="1:13">
      <c r="A74" t="s">
        <v>6002</v>
      </c>
      <c r="B74" s="2">
        <v>45475</v>
      </c>
      <c r="C74">
        <v>2024</v>
      </c>
      <c r="D74">
        <v>7</v>
      </c>
      <c r="E74" t="s">
        <v>93</v>
      </c>
      <c r="F74" t="s">
        <v>5922</v>
      </c>
      <c r="G74" t="s">
        <v>67</v>
      </c>
      <c r="H74" t="s">
        <v>21</v>
      </c>
      <c r="I74" t="s">
        <v>5925</v>
      </c>
      <c r="J74" t="s">
        <v>50</v>
      </c>
      <c r="K74" s="2">
        <v>45526</v>
      </c>
      <c r="L74" t="s">
        <v>17</v>
      </c>
      <c r="M74" t="s">
        <v>5923</v>
      </c>
    </row>
    <row r="75" spans="1:13">
      <c r="A75" t="s">
        <v>6003</v>
      </c>
      <c r="B75" s="2">
        <v>45499</v>
      </c>
      <c r="C75">
        <v>2024</v>
      </c>
      <c r="D75">
        <v>7</v>
      </c>
      <c r="E75" t="s">
        <v>93</v>
      </c>
      <c r="F75" t="s">
        <v>5918</v>
      </c>
      <c r="G75" t="s">
        <v>31</v>
      </c>
      <c r="H75" t="s">
        <v>51</v>
      </c>
      <c r="I75" t="s">
        <v>5925</v>
      </c>
      <c r="J75" t="s">
        <v>50</v>
      </c>
      <c r="K75" s="2">
        <v>45541</v>
      </c>
      <c r="L75" t="s">
        <v>5939</v>
      </c>
      <c r="M75" t="s">
        <v>5935</v>
      </c>
    </row>
    <row r="76" spans="1:13">
      <c r="A76" t="s">
        <v>6004</v>
      </c>
      <c r="B76" s="2">
        <v>45532</v>
      </c>
      <c r="C76">
        <v>2024</v>
      </c>
      <c r="D76">
        <v>8</v>
      </c>
      <c r="E76" t="s">
        <v>101</v>
      </c>
      <c r="F76" t="s">
        <v>5918</v>
      </c>
      <c r="G76" t="s">
        <v>31</v>
      </c>
      <c r="H76" t="s">
        <v>58</v>
      </c>
      <c r="I76" t="s">
        <v>5925</v>
      </c>
      <c r="J76" t="s">
        <v>13</v>
      </c>
      <c r="K76" s="2">
        <v>45544</v>
      </c>
      <c r="L76" t="s">
        <v>10</v>
      </c>
      <c r="M76" t="s">
        <v>5923</v>
      </c>
    </row>
    <row r="77" spans="1:13">
      <c r="A77" t="s">
        <v>6005</v>
      </c>
      <c r="B77" s="2">
        <v>45532</v>
      </c>
      <c r="C77">
        <v>2024</v>
      </c>
      <c r="D77">
        <v>8</v>
      </c>
      <c r="E77" t="s">
        <v>101</v>
      </c>
      <c r="F77" t="s">
        <v>5922</v>
      </c>
      <c r="G77" t="s">
        <v>38</v>
      </c>
      <c r="H77" t="s">
        <v>84</v>
      </c>
      <c r="I77" t="s">
        <v>5919</v>
      </c>
      <c r="J77" t="s">
        <v>13</v>
      </c>
      <c r="K77" s="2">
        <v>45571</v>
      </c>
      <c r="L77" t="s">
        <v>23</v>
      </c>
      <c r="M77" t="s">
        <v>5929</v>
      </c>
    </row>
    <row r="78" spans="1:13">
      <c r="A78" t="s">
        <v>6006</v>
      </c>
      <c r="B78" s="2">
        <v>45517</v>
      </c>
      <c r="C78">
        <v>2024</v>
      </c>
      <c r="D78">
        <v>8</v>
      </c>
      <c r="E78" t="s">
        <v>101</v>
      </c>
      <c r="F78" t="s">
        <v>5922</v>
      </c>
      <c r="G78" t="s">
        <v>38</v>
      </c>
      <c r="H78" t="s">
        <v>58</v>
      </c>
      <c r="I78" t="s">
        <v>5919</v>
      </c>
      <c r="J78" t="s">
        <v>70</v>
      </c>
      <c r="K78" s="2">
        <v>45560</v>
      </c>
      <c r="L78" t="s">
        <v>23</v>
      </c>
      <c r="M78" t="s">
        <v>5923</v>
      </c>
    </row>
    <row r="79" spans="1:13">
      <c r="A79" t="s">
        <v>6007</v>
      </c>
      <c r="B79" s="2">
        <v>45520</v>
      </c>
      <c r="C79">
        <v>2024</v>
      </c>
      <c r="D79">
        <v>8</v>
      </c>
      <c r="E79" t="s">
        <v>101</v>
      </c>
      <c r="F79" t="s">
        <v>5931</v>
      </c>
      <c r="G79" t="s">
        <v>40</v>
      </c>
      <c r="H79" t="s">
        <v>71</v>
      </c>
      <c r="I79" t="s">
        <v>5919</v>
      </c>
      <c r="J79" t="s">
        <v>34</v>
      </c>
      <c r="K79" s="2">
        <v>45561</v>
      </c>
      <c r="L79" t="s">
        <v>17</v>
      </c>
      <c r="M79" t="s">
        <v>5923</v>
      </c>
    </row>
    <row r="80" spans="1:13">
      <c r="A80" t="s">
        <v>6008</v>
      </c>
      <c r="B80" s="2">
        <v>45509</v>
      </c>
      <c r="C80">
        <v>2024</v>
      </c>
      <c r="D80">
        <v>8</v>
      </c>
      <c r="E80" t="s">
        <v>101</v>
      </c>
      <c r="F80" t="s">
        <v>5918</v>
      </c>
      <c r="G80" t="s">
        <v>38</v>
      </c>
      <c r="H80" t="s">
        <v>51</v>
      </c>
      <c r="I80" t="s">
        <v>5919</v>
      </c>
      <c r="J80" t="s">
        <v>13</v>
      </c>
      <c r="K80" s="2">
        <v>45575</v>
      </c>
      <c r="L80" t="s">
        <v>23</v>
      </c>
      <c r="M80" t="s">
        <v>5935</v>
      </c>
    </row>
    <row r="81" spans="1:13">
      <c r="A81" t="s">
        <v>6009</v>
      </c>
      <c r="B81" s="2">
        <v>45526</v>
      </c>
      <c r="C81">
        <v>2024</v>
      </c>
      <c r="D81">
        <v>8</v>
      </c>
      <c r="E81" t="s">
        <v>101</v>
      </c>
      <c r="F81" t="s">
        <v>5922</v>
      </c>
      <c r="G81" t="s">
        <v>54</v>
      </c>
      <c r="H81" t="s">
        <v>107</v>
      </c>
      <c r="I81" t="s">
        <v>5919</v>
      </c>
      <c r="J81" t="s">
        <v>34</v>
      </c>
      <c r="K81" s="2">
        <v>45540</v>
      </c>
      <c r="L81" t="s">
        <v>17</v>
      </c>
      <c r="M81" t="s">
        <v>5929</v>
      </c>
    </row>
    <row r="82" spans="1:13">
      <c r="A82" t="s">
        <v>6010</v>
      </c>
      <c r="B82" s="2">
        <v>45519</v>
      </c>
      <c r="C82">
        <v>2024</v>
      </c>
      <c r="D82">
        <v>8</v>
      </c>
      <c r="E82" t="s">
        <v>101</v>
      </c>
      <c r="F82" t="s">
        <v>5931</v>
      </c>
      <c r="G82" t="s">
        <v>2</v>
      </c>
      <c r="H82" t="s">
        <v>14</v>
      </c>
      <c r="I82" t="s">
        <v>5925</v>
      </c>
      <c r="J82" t="s">
        <v>50</v>
      </c>
      <c r="K82" s="2">
        <v>45562</v>
      </c>
      <c r="L82" t="s">
        <v>23</v>
      </c>
      <c r="M82" t="s">
        <v>5920</v>
      </c>
    </row>
    <row r="83" spans="1:13">
      <c r="A83" t="s">
        <v>6011</v>
      </c>
      <c r="B83" s="2">
        <v>45528</v>
      </c>
      <c r="C83">
        <v>2024</v>
      </c>
      <c r="D83">
        <v>8</v>
      </c>
      <c r="E83" t="s">
        <v>101</v>
      </c>
      <c r="F83" t="s">
        <v>5918</v>
      </c>
      <c r="G83" t="s">
        <v>31</v>
      </c>
      <c r="H83" t="s">
        <v>107</v>
      </c>
      <c r="I83" t="s">
        <v>5925</v>
      </c>
      <c r="J83" t="s">
        <v>50</v>
      </c>
      <c r="K83" s="2">
        <v>45561</v>
      </c>
      <c r="L83" t="s">
        <v>10</v>
      </c>
      <c r="M83" t="s">
        <v>5929</v>
      </c>
    </row>
    <row r="84" spans="1:13">
      <c r="A84" t="s">
        <v>6012</v>
      </c>
      <c r="B84" s="2">
        <v>45546</v>
      </c>
      <c r="C84">
        <v>2024</v>
      </c>
      <c r="D84">
        <v>9</v>
      </c>
      <c r="E84" t="s">
        <v>105</v>
      </c>
      <c r="F84" t="s">
        <v>5942</v>
      </c>
      <c r="G84" t="s">
        <v>26</v>
      </c>
      <c r="H84" t="s">
        <v>56</v>
      </c>
      <c r="I84" t="s">
        <v>5925</v>
      </c>
      <c r="J84" t="s">
        <v>13</v>
      </c>
      <c r="K84" s="2">
        <v>45605</v>
      </c>
      <c r="L84" t="s">
        <v>23</v>
      </c>
      <c r="M84" t="s">
        <v>5920</v>
      </c>
    </row>
    <row r="85" spans="1:13">
      <c r="A85" t="s">
        <v>6013</v>
      </c>
      <c r="B85" s="2">
        <v>45556</v>
      </c>
      <c r="C85">
        <v>2024</v>
      </c>
      <c r="D85">
        <v>9</v>
      </c>
      <c r="E85" t="s">
        <v>105</v>
      </c>
      <c r="F85" t="s">
        <v>5928</v>
      </c>
      <c r="G85" t="s">
        <v>67</v>
      </c>
      <c r="H85" t="s">
        <v>7</v>
      </c>
      <c r="I85" t="s">
        <v>5919</v>
      </c>
      <c r="J85" t="s">
        <v>6</v>
      </c>
      <c r="K85" s="2">
        <v>45608</v>
      </c>
      <c r="L85" t="s">
        <v>17</v>
      </c>
      <c r="M85" t="s">
        <v>5920</v>
      </c>
    </row>
    <row r="86" spans="1:13">
      <c r="A86" t="s">
        <v>6014</v>
      </c>
      <c r="B86" s="2">
        <v>45551</v>
      </c>
      <c r="C86">
        <v>2024</v>
      </c>
      <c r="D86">
        <v>9</v>
      </c>
      <c r="E86" t="s">
        <v>105</v>
      </c>
      <c r="F86" t="s">
        <v>5931</v>
      </c>
      <c r="G86" t="s">
        <v>31</v>
      </c>
      <c r="H86" t="s">
        <v>51</v>
      </c>
      <c r="I86" t="s">
        <v>5925</v>
      </c>
      <c r="J86" t="s">
        <v>70</v>
      </c>
      <c r="K86" s="2">
        <v>45568</v>
      </c>
      <c r="L86" t="s">
        <v>23</v>
      </c>
      <c r="M86" t="s">
        <v>5923</v>
      </c>
    </row>
    <row r="87" spans="1:13">
      <c r="A87" t="s">
        <v>6015</v>
      </c>
      <c r="B87" s="2">
        <v>45550</v>
      </c>
      <c r="C87">
        <v>2024</v>
      </c>
      <c r="D87">
        <v>9</v>
      </c>
      <c r="E87" t="s">
        <v>105</v>
      </c>
      <c r="F87" t="s">
        <v>5942</v>
      </c>
      <c r="G87" t="s">
        <v>67</v>
      </c>
      <c r="H87" t="s">
        <v>107</v>
      </c>
      <c r="I87" t="s">
        <v>5925</v>
      </c>
      <c r="J87" t="s">
        <v>50</v>
      </c>
      <c r="K87" s="2">
        <v>45583</v>
      </c>
      <c r="L87" t="s">
        <v>10</v>
      </c>
      <c r="M87" t="s">
        <v>5920</v>
      </c>
    </row>
    <row r="88" spans="1:13">
      <c r="A88" t="s">
        <v>6016</v>
      </c>
      <c r="B88" s="2">
        <v>45574</v>
      </c>
      <c r="C88">
        <v>2024</v>
      </c>
      <c r="D88">
        <v>10</v>
      </c>
      <c r="E88" t="s">
        <v>113</v>
      </c>
      <c r="F88" t="s">
        <v>5942</v>
      </c>
      <c r="G88" t="s">
        <v>78</v>
      </c>
      <c r="H88" t="s">
        <v>107</v>
      </c>
      <c r="I88" t="s">
        <v>5925</v>
      </c>
      <c r="J88" t="s">
        <v>50</v>
      </c>
      <c r="K88" s="2">
        <v>45605</v>
      </c>
      <c r="L88" t="s">
        <v>17</v>
      </c>
      <c r="M88" t="s">
        <v>5923</v>
      </c>
    </row>
    <row r="89" spans="1:13">
      <c r="A89" t="s">
        <v>6017</v>
      </c>
      <c r="B89" s="2">
        <v>45576</v>
      </c>
      <c r="C89">
        <v>2024</v>
      </c>
      <c r="D89">
        <v>10</v>
      </c>
      <c r="E89" t="s">
        <v>113</v>
      </c>
      <c r="F89" t="s">
        <v>5922</v>
      </c>
      <c r="G89" t="s">
        <v>38</v>
      </c>
      <c r="H89" t="s">
        <v>84</v>
      </c>
      <c r="I89" t="s">
        <v>5919</v>
      </c>
      <c r="J89" t="s">
        <v>50</v>
      </c>
      <c r="K89" s="2">
        <v>45583</v>
      </c>
      <c r="L89" t="s">
        <v>10</v>
      </c>
      <c r="M89" t="s">
        <v>5929</v>
      </c>
    </row>
    <row r="90" spans="1:13">
      <c r="A90" t="s">
        <v>6018</v>
      </c>
      <c r="B90" s="2">
        <v>45580</v>
      </c>
      <c r="C90">
        <v>2024</v>
      </c>
      <c r="D90">
        <v>10</v>
      </c>
      <c r="E90" t="s">
        <v>113</v>
      </c>
      <c r="F90" t="s">
        <v>5931</v>
      </c>
      <c r="G90" t="s">
        <v>19</v>
      </c>
      <c r="H90" t="s">
        <v>107</v>
      </c>
      <c r="I90" t="s">
        <v>5925</v>
      </c>
      <c r="J90" t="s">
        <v>13</v>
      </c>
      <c r="K90" s="2">
        <v>45598</v>
      </c>
      <c r="L90" t="s">
        <v>10</v>
      </c>
      <c r="M90" t="s">
        <v>5923</v>
      </c>
    </row>
    <row r="91" spans="1:13">
      <c r="A91" t="s">
        <v>6019</v>
      </c>
      <c r="B91" s="2">
        <v>45580</v>
      </c>
      <c r="C91">
        <v>2024</v>
      </c>
      <c r="D91">
        <v>10</v>
      </c>
      <c r="E91" t="s">
        <v>113</v>
      </c>
      <c r="F91" t="s">
        <v>5931</v>
      </c>
      <c r="G91" t="s">
        <v>67</v>
      </c>
      <c r="H91" t="s">
        <v>84</v>
      </c>
      <c r="I91" t="s">
        <v>5919</v>
      </c>
      <c r="J91" t="s">
        <v>6</v>
      </c>
      <c r="K91" s="2">
        <v>45630</v>
      </c>
      <c r="L91" t="s">
        <v>17</v>
      </c>
      <c r="M91" t="s">
        <v>5929</v>
      </c>
    </row>
    <row r="92" spans="1:13">
      <c r="A92" t="s">
        <v>6020</v>
      </c>
      <c r="B92" s="2">
        <v>45576</v>
      </c>
      <c r="C92">
        <v>2024</v>
      </c>
      <c r="D92">
        <v>10</v>
      </c>
      <c r="E92" t="s">
        <v>113</v>
      </c>
      <c r="F92" t="s">
        <v>5942</v>
      </c>
      <c r="G92" t="s">
        <v>47</v>
      </c>
      <c r="H92" t="s">
        <v>7</v>
      </c>
      <c r="I92" t="s">
        <v>5919</v>
      </c>
      <c r="J92" t="s">
        <v>34</v>
      </c>
      <c r="K92" s="2">
        <v>45621</v>
      </c>
      <c r="L92" t="s">
        <v>17</v>
      </c>
      <c r="M92" t="s">
        <v>5920</v>
      </c>
    </row>
    <row r="93" spans="1:13">
      <c r="A93" t="s">
        <v>6021</v>
      </c>
      <c r="B93" s="2">
        <v>45591</v>
      </c>
      <c r="C93">
        <v>2024</v>
      </c>
      <c r="D93">
        <v>10</v>
      </c>
      <c r="E93" t="s">
        <v>113</v>
      </c>
      <c r="F93" t="s">
        <v>5942</v>
      </c>
      <c r="G93" t="s">
        <v>26</v>
      </c>
      <c r="H93" t="s">
        <v>107</v>
      </c>
      <c r="I93" t="s">
        <v>5919</v>
      </c>
      <c r="J93" t="s">
        <v>13</v>
      </c>
      <c r="K93" s="2">
        <v>45594</v>
      </c>
      <c r="L93" t="s">
        <v>23</v>
      </c>
      <c r="M93" t="s">
        <v>5935</v>
      </c>
    </row>
    <row r="94" spans="1:13">
      <c r="A94" t="s">
        <v>6022</v>
      </c>
      <c r="B94" s="2">
        <v>45587</v>
      </c>
      <c r="C94">
        <v>2024</v>
      </c>
      <c r="D94">
        <v>10</v>
      </c>
      <c r="E94" t="s">
        <v>113</v>
      </c>
      <c r="F94" t="s">
        <v>5928</v>
      </c>
      <c r="G94" t="s">
        <v>38</v>
      </c>
      <c r="H94" t="s">
        <v>58</v>
      </c>
      <c r="I94" t="s">
        <v>5925</v>
      </c>
      <c r="J94" t="s">
        <v>34</v>
      </c>
      <c r="K94" s="2">
        <v>45619</v>
      </c>
      <c r="L94" t="s">
        <v>10</v>
      </c>
      <c r="M94" t="s">
        <v>5923</v>
      </c>
    </row>
    <row r="95" spans="1:13">
      <c r="A95" t="s">
        <v>6023</v>
      </c>
      <c r="B95" s="2">
        <v>45591</v>
      </c>
      <c r="C95">
        <v>2024</v>
      </c>
      <c r="D95">
        <v>10</v>
      </c>
      <c r="E95" t="s">
        <v>113</v>
      </c>
      <c r="F95" t="s">
        <v>5918</v>
      </c>
      <c r="G95" t="s">
        <v>31</v>
      </c>
      <c r="H95" t="s">
        <v>14</v>
      </c>
      <c r="I95" t="s">
        <v>5925</v>
      </c>
      <c r="J95" t="s">
        <v>50</v>
      </c>
      <c r="K95" s="2">
        <v>45607</v>
      </c>
      <c r="L95" t="s">
        <v>23</v>
      </c>
      <c r="M95" t="s">
        <v>5923</v>
      </c>
    </row>
    <row r="96" spans="1:13">
      <c r="A96" t="s">
        <v>6024</v>
      </c>
      <c r="B96" s="2">
        <v>45584</v>
      </c>
      <c r="C96">
        <v>2024</v>
      </c>
      <c r="D96">
        <v>10</v>
      </c>
      <c r="E96" t="s">
        <v>113</v>
      </c>
      <c r="F96" t="s">
        <v>5931</v>
      </c>
      <c r="G96" t="s">
        <v>2</v>
      </c>
      <c r="H96" t="s">
        <v>21</v>
      </c>
      <c r="I96" t="s">
        <v>5925</v>
      </c>
      <c r="J96" t="s">
        <v>50</v>
      </c>
      <c r="K96" s="2">
        <v>45597</v>
      </c>
      <c r="L96" t="s">
        <v>23</v>
      </c>
      <c r="M96" t="s">
        <v>5935</v>
      </c>
    </row>
    <row r="97" spans="1:13">
      <c r="A97" t="s">
        <v>6025</v>
      </c>
      <c r="B97" s="2">
        <v>45604</v>
      </c>
      <c r="C97">
        <v>2024</v>
      </c>
      <c r="D97">
        <v>11</v>
      </c>
      <c r="E97" t="s">
        <v>117</v>
      </c>
      <c r="F97" t="s">
        <v>5928</v>
      </c>
      <c r="G97" t="s">
        <v>40</v>
      </c>
      <c r="H97" t="s">
        <v>107</v>
      </c>
      <c r="I97" t="s">
        <v>5925</v>
      </c>
      <c r="J97" t="s">
        <v>50</v>
      </c>
      <c r="K97" s="2">
        <v>45661</v>
      </c>
      <c r="L97" t="s">
        <v>10</v>
      </c>
      <c r="M97" t="s">
        <v>5920</v>
      </c>
    </row>
    <row r="98" spans="1:13">
      <c r="A98" t="s">
        <v>6026</v>
      </c>
      <c r="B98" s="2">
        <v>45618</v>
      </c>
      <c r="C98">
        <v>2024</v>
      </c>
      <c r="D98">
        <v>11</v>
      </c>
      <c r="E98" t="s">
        <v>117</v>
      </c>
      <c r="F98" t="s">
        <v>5918</v>
      </c>
      <c r="G98" t="s">
        <v>40</v>
      </c>
      <c r="H98" t="s">
        <v>7</v>
      </c>
      <c r="I98" t="s">
        <v>5925</v>
      </c>
      <c r="J98" t="s">
        <v>34</v>
      </c>
      <c r="K98" s="2">
        <v>45631</v>
      </c>
      <c r="L98" t="s">
        <v>23</v>
      </c>
      <c r="M98" t="s">
        <v>5923</v>
      </c>
    </row>
    <row r="99" spans="1:13">
      <c r="A99" t="s">
        <v>6027</v>
      </c>
      <c r="B99" s="2">
        <v>45606</v>
      </c>
      <c r="C99">
        <v>2024</v>
      </c>
      <c r="D99">
        <v>11</v>
      </c>
      <c r="E99" t="s">
        <v>117</v>
      </c>
      <c r="F99" t="s">
        <v>5942</v>
      </c>
      <c r="G99" t="s">
        <v>26</v>
      </c>
      <c r="H99" t="s">
        <v>107</v>
      </c>
      <c r="I99" t="s">
        <v>5925</v>
      </c>
      <c r="J99" t="s">
        <v>50</v>
      </c>
      <c r="K99" s="2">
        <v>45672</v>
      </c>
      <c r="L99" t="s">
        <v>10</v>
      </c>
      <c r="M99" t="s">
        <v>5935</v>
      </c>
    </row>
    <row r="100" spans="1:13">
      <c r="A100" t="s">
        <v>6028</v>
      </c>
      <c r="B100" s="2">
        <v>45601</v>
      </c>
      <c r="C100">
        <v>2024</v>
      </c>
      <c r="D100">
        <v>11</v>
      </c>
      <c r="E100" t="s">
        <v>117</v>
      </c>
      <c r="F100" t="s">
        <v>5928</v>
      </c>
      <c r="G100" t="s">
        <v>67</v>
      </c>
      <c r="H100" t="s">
        <v>14</v>
      </c>
      <c r="I100" t="s">
        <v>5925</v>
      </c>
      <c r="J100" t="s">
        <v>13</v>
      </c>
      <c r="K100" s="2">
        <v>45677</v>
      </c>
      <c r="L100" t="s">
        <v>10</v>
      </c>
      <c r="M100" t="s">
        <v>5929</v>
      </c>
    </row>
    <row r="101" spans="1:13">
      <c r="A101" t="s">
        <v>6029</v>
      </c>
      <c r="B101" s="2">
        <v>45607</v>
      </c>
      <c r="C101">
        <v>2024</v>
      </c>
      <c r="D101">
        <v>11</v>
      </c>
      <c r="E101" t="s">
        <v>117</v>
      </c>
      <c r="F101" t="s">
        <v>5931</v>
      </c>
      <c r="G101" t="s">
        <v>38</v>
      </c>
      <c r="H101" t="s">
        <v>41</v>
      </c>
      <c r="I101" t="s">
        <v>5925</v>
      </c>
      <c r="J101" t="s">
        <v>13</v>
      </c>
      <c r="K101" s="2">
        <v>45621</v>
      </c>
      <c r="L101" t="s">
        <v>10</v>
      </c>
      <c r="M101" t="s">
        <v>5935</v>
      </c>
    </row>
    <row r="102" spans="1:13">
      <c r="A102" t="s">
        <v>6030</v>
      </c>
      <c r="B102" s="2">
        <v>45601</v>
      </c>
      <c r="C102">
        <v>2024</v>
      </c>
      <c r="D102">
        <v>11</v>
      </c>
      <c r="E102" t="s">
        <v>117</v>
      </c>
      <c r="F102" t="s">
        <v>5931</v>
      </c>
      <c r="G102" t="s">
        <v>54</v>
      </c>
      <c r="H102" t="s">
        <v>14</v>
      </c>
      <c r="I102" t="s">
        <v>5925</v>
      </c>
      <c r="J102" t="s">
        <v>70</v>
      </c>
      <c r="K102" s="2">
        <v>45662</v>
      </c>
      <c r="L102" t="s">
        <v>10</v>
      </c>
      <c r="M102" t="s">
        <v>5935</v>
      </c>
    </row>
    <row r="103" spans="1:13">
      <c r="A103" t="s">
        <v>6031</v>
      </c>
      <c r="B103" s="2">
        <v>45606</v>
      </c>
      <c r="C103">
        <v>2024</v>
      </c>
      <c r="D103">
        <v>11</v>
      </c>
      <c r="E103" t="s">
        <v>117</v>
      </c>
      <c r="F103" t="s">
        <v>5931</v>
      </c>
      <c r="G103" t="s">
        <v>2</v>
      </c>
      <c r="H103" t="s">
        <v>14</v>
      </c>
      <c r="I103" t="s">
        <v>5919</v>
      </c>
      <c r="J103" t="s">
        <v>50</v>
      </c>
      <c r="K103" s="2">
        <v>45661</v>
      </c>
      <c r="L103" t="s">
        <v>5939</v>
      </c>
      <c r="M103" t="s">
        <v>5923</v>
      </c>
    </row>
    <row r="104" spans="1:13">
      <c r="A104" t="s">
        <v>6032</v>
      </c>
      <c r="B104" s="2">
        <v>45637</v>
      </c>
      <c r="C104">
        <v>2024</v>
      </c>
      <c r="D104">
        <v>12</v>
      </c>
      <c r="E104" t="s">
        <v>124</v>
      </c>
      <c r="F104" t="s">
        <v>5945</v>
      </c>
      <c r="G104" t="s">
        <v>38</v>
      </c>
      <c r="H104" t="s">
        <v>84</v>
      </c>
      <c r="I104" t="s">
        <v>5925</v>
      </c>
      <c r="J104" t="s">
        <v>70</v>
      </c>
      <c r="K104" s="2">
        <v>45679</v>
      </c>
      <c r="L104" t="s">
        <v>17</v>
      </c>
      <c r="M104" t="s">
        <v>5929</v>
      </c>
    </row>
    <row r="105" spans="1:13">
      <c r="A105" t="s">
        <v>6033</v>
      </c>
      <c r="B105" s="2">
        <v>45653</v>
      </c>
      <c r="C105">
        <v>2024</v>
      </c>
      <c r="D105">
        <v>12</v>
      </c>
      <c r="E105" t="s">
        <v>124</v>
      </c>
      <c r="F105" t="s">
        <v>5922</v>
      </c>
      <c r="G105" t="s">
        <v>67</v>
      </c>
      <c r="H105" t="s">
        <v>41</v>
      </c>
      <c r="I105" t="s">
        <v>5919</v>
      </c>
      <c r="J105" t="s">
        <v>6</v>
      </c>
      <c r="K105" s="2">
        <v>45677</v>
      </c>
      <c r="L105" t="s">
        <v>10</v>
      </c>
      <c r="M105" t="s">
        <v>5923</v>
      </c>
    </row>
    <row r="106" spans="1:13">
      <c r="A106" t="s">
        <v>6034</v>
      </c>
      <c r="B106" s="2">
        <v>45641</v>
      </c>
      <c r="C106">
        <v>2024</v>
      </c>
      <c r="D106">
        <v>12</v>
      </c>
      <c r="E106" t="s">
        <v>124</v>
      </c>
      <c r="F106" t="s">
        <v>5928</v>
      </c>
      <c r="G106" t="s">
        <v>47</v>
      </c>
      <c r="H106" t="s">
        <v>7</v>
      </c>
      <c r="I106" t="s">
        <v>5925</v>
      </c>
      <c r="J106" t="s">
        <v>13</v>
      </c>
      <c r="K106" s="2">
        <v>45692</v>
      </c>
      <c r="L106" t="s">
        <v>23</v>
      </c>
      <c r="M106" t="s">
        <v>5923</v>
      </c>
    </row>
    <row r="107" spans="1:13">
      <c r="A107" t="s">
        <v>6035</v>
      </c>
      <c r="B107" s="2">
        <v>45633</v>
      </c>
      <c r="C107">
        <v>2024</v>
      </c>
      <c r="D107">
        <v>12</v>
      </c>
      <c r="E107" t="s">
        <v>124</v>
      </c>
      <c r="F107" t="s">
        <v>5928</v>
      </c>
      <c r="G107" t="s">
        <v>40</v>
      </c>
      <c r="H107" t="s">
        <v>14</v>
      </c>
      <c r="I107" t="s">
        <v>5925</v>
      </c>
      <c r="J107" t="s">
        <v>70</v>
      </c>
      <c r="K107" s="2">
        <v>45692</v>
      </c>
      <c r="L107" t="s">
        <v>23</v>
      </c>
      <c r="M107" t="s">
        <v>5920</v>
      </c>
    </row>
    <row r="108" spans="1:13">
      <c r="A108" t="s">
        <v>6036</v>
      </c>
      <c r="B108" s="2">
        <v>45640</v>
      </c>
      <c r="C108">
        <v>2024</v>
      </c>
      <c r="D108">
        <v>12</v>
      </c>
      <c r="E108" t="s">
        <v>124</v>
      </c>
      <c r="F108" t="s">
        <v>5931</v>
      </c>
      <c r="G108" t="s">
        <v>19</v>
      </c>
      <c r="H108" t="s">
        <v>14</v>
      </c>
      <c r="I108" t="s">
        <v>5925</v>
      </c>
      <c r="J108" t="s">
        <v>13</v>
      </c>
      <c r="K108" s="2">
        <v>45686</v>
      </c>
      <c r="L108" t="s">
        <v>10</v>
      </c>
      <c r="M108" t="s">
        <v>5929</v>
      </c>
    </row>
    <row r="109" spans="1:13">
      <c r="A109" t="s">
        <v>6037</v>
      </c>
      <c r="B109" s="2">
        <v>45632</v>
      </c>
      <c r="C109">
        <v>2024</v>
      </c>
      <c r="D109">
        <v>12</v>
      </c>
      <c r="E109" t="s">
        <v>124</v>
      </c>
      <c r="F109" t="s">
        <v>5928</v>
      </c>
      <c r="G109" t="s">
        <v>67</v>
      </c>
      <c r="H109" t="s">
        <v>107</v>
      </c>
      <c r="I109" t="s">
        <v>5919</v>
      </c>
      <c r="J109" t="s">
        <v>70</v>
      </c>
      <c r="K109" s="2">
        <v>45706</v>
      </c>
      <c r="L109" t="s">
        <v>10</v>
      </c>
      <c r="M109" t="s">
        <v>5935</v>
      </c>
    </row>
    <row r="110" spans="1:13">
      <c r="A110" t="s">
        <v>6038</v>
      </c>
      <c r="B110" s="2">
        <v>45661</v>
      </c>
      <c r="C110">
        <v>2025</v>
      </c>
      <c r="D110">
        <v>1</v>
      </c>
      <c r="E110" t="s">
        <v>1</v>
      </c>
      <c r="F110" t="s">
        <v>5931</v>
      </c>
      <c r="G110" t="s">
        <v>31</v>
      </c>
      <c r="H110" t="s">
        <v>84</v>
      </c>
      <c r="I110" t="s">
        <v>5925</v>
      </c>
      <c r="J110" t="s">
        <v>34</v>
      </c>
      <c r="K110" s="2">
        <v>45691</v>
      </c>
      <c r="L110" t="s">
        <v>23</v>
      </c>
      <c r="M110" t="s">
        <v>5920</v>
      </c>
    </row>
    <row r="111" spans="1:13">
      <c r="A111" t="s">
        <v>6039</v>
      </c>
      <c r="B111" s="2">
        <v>45676</v>
      </c>
      <c r="C111">
        <v>2025</v>
      </c>
      <c r="D111">
        <v>1</v>
      </c>
      <c r="E111" t="s">
        <v>1</v>
      </c>
      <c r="F111" t="s">
        <v>5945</v>
      </c>
      <c r="G111" t="s">
        <v>19</v>
      </c>
      <c r="H111" t="s">
        <v>41</v>
      </c>
      <c r="I111" t="s">
        <v>5919</v>
      </c>
      <c r="J111" t="s">
        <v>70</v>
      </c>
      <c r="K111" s="2">
        <v>45701</v>
      </c>
      <c r="L111" t="s">
        <v>23</v>
      </c>
      <c r="M111" t="s">
        <v>5920</v>
      </c>
    </row>
    <row r="112" spans="1:13">
      <c r="A112" t="s">
        <v>6040</v>
      </c>
      <c r="B112" s="2">
        <v>45665</v>
      </c>
      <c r="C112">
        <v>2025</v>
      </c>
      <c r="D112">
        <v>1</v>
      </c>
      <c r="E112" t="s">
        <v>1</v>
      </c>
      <c r="F112" t="s">
        <v>5922</v>
      </c>
      <c r="G112" t="s">
        <v>26</v>
      </c>
      <c r="H112" t="s">
        <v>7</v>
      </c>
      <c r="I112" t="s">
        <v>5919</v>
      </c>
      <c r="J112" t="s">
        <v>34</v>
      </c>
      <c r="K112" s="2">
        <v>45686</v>
      </c>
      <c r="L112" t="s">
        <v>10</v>
      </c>
      <c r="M112" t="s">
        <v>5929</v>
      </c>
    </row>
    <row r="113" spans="1:13">
      <c r="A113" t="s">
        <v>6041</v>
      </c>
      <c r="B113" s="2">
        <v>45674</v>
      </c>
      <c r="C113">
        <v>2025</v>
      </c>
      <c r="D113">
        <v>1</v>
      </c>
      <c r="E113" t="s">
        <v>1</v>
      </c>
      <c r="F113" t="s">
        <v>5945</v>
      </c>
      <c r="G113" t="s">
        <v>67</v>
      </c>
      <c r="H113" t="s">
        <v>58</v>
      </c>
      <c r="I113" t="s">
        <v>5919</v>
      </c>
      <c r="J113" t="s">
        <v>13</v>
      </c>
      <c r="K113" s="2">
        <v>45708</v>
      </c>
      <c r="L113" t="s">
        <v>23</v>
      </c>
      <c r="M113" t="s">
        <v>5920</v>
      </c>
    </row>
    <row r="114" spans="1:13">
      <c r="A114" t="s">
        <v>6042</v>
      </c>
      <c r="B114" s="2">
        <v>45669</v>
      </c>
      <c r="C114">
        <v>2025</v>
      </c>
      <c r="D114">
        <v>1</v>
      </c>
      <c r="E114" t="s">
        <v>1</v>
      </c>
      <c r="F114" t="s">
        <v>5945</v>
      </c>
      <c r="G114" t="s">
        <v>78</v>
      </c>
      <c r="H114" t="s">
        <v>21</v>
      </c>
      <c r="I114" t="s">
        <v>5925</v>
      </c>
      <c r="J114" t="s">
        <v>70</v>
      </c>
      <c r="K114" s="2">
        <v>45703</v>
      </c>
      <c r="L114" t="s">
        <v>10</v>
      </c>
      <c r="M114" t="s">
        <v>5923</v>
      </c>
    </row>
    <row r="115" spans="1:13">
      <c r="A115" t="s">
        <v>6043</v>
      </c>
      <c r="B115" s="2">
        <v>45713</v>
      </c>
      <c r="C115">
        <v>2025</v>
      </c>
      <c r="D115">
        <v>2</v>
      </c>
      <c r="E115" t="s">
        <v>25</v>
      </c>
      <c r="F115" t="s">
        <v>5942</v>
      </c>
      <c r="G115" t="s">
        <v>31</v>
      </c>
      <c r="H115" t="s">
        <v>71</v>
      </c>
      <c r="I115" t="s">
        <v>5925</v>
      </c>
      <c r="J115" t="s">
        <v>50</v>
      </c>
      <c r="K115" s="2">
        <v>45737</v>
      </c>
      <c r="L115" t="s">
        <v>10</v>
      </c>
      <c r="M115" t="s">
        <v>5923</v>
      </c>
    </row>
    <row r="116" spans="1:13">
      <c r="A116" t="s">
        <v>6044</v>
      </c>
      <c r="B116" s="2">
        <v>45710</v>
      </c>
      <c r="C116">
        <v>2025</v>
      </c>
      <c r="D116">
        <v>2</v>
      </c>
      <c r="E116" t="s">
        <v>25</v>
      </c>
      <c r="F116" t="s">
        <v>5945</v>
      </c>
      <c r="G116" t="s">
        <v>26</v>
      </c>
      <c r="H116" t="s">
        <v>14</v>
      </c>
      <c r="I116" t="s">
        <v>5919</v>
      </c>
      <c r="J116" t="s">
        <v>50</v>
      </c>
      <c r="K116" s="2">
        <v>45744</v>
      </c>
      <c r="L116" t="s">
        <v>23</v>
      </c>
      <c r="M116" t="s">
        <v>5935</v>
      </c>
    </row>
    <row r="117" spans="1:13">
      <c r="A117" t="s">
        <v>6045</v>
      </c>
      <c r="B117" s="2">
        <v>45703</v>
      </c>
      <c r="C117">
        <v>2025</v>
      </c>
      <c r="D117">
        <v>2</v>
      </c>
      <c r="E117" t="s">
        <v>25</v>
      </c>
      <c r="F117" t="s">
        <v>5928</v>
      </c>
      <c r="G117" t="s">
        <v>26</v>
      </c>
      <c r="H117" t="s">
        <v>84</v>
      </c>
      <c r="I117" t="s">
        <v>5925</v>
      </c>
      <c r="J117" t="s">
        <v>70</v>
      </c>
      <c r="K117" s="2">
        <v>45767</v>
      </c>
      <c r="L117" t="s">
        <v>17</v>
      </c>
      <c r="M117" t="s">
        <v>5935</v>
      </c>
    </row>
    <row r="118" spans="1:13">
      <c r="A118" t="s">
        <v>6046</v>
      </c>
      <c r="B118" s="2">
        <v>45709</v>
      </c>
      <c r="C118">
        <v>2025</v>
      </c>
      <c r="D118">
        <v>2</v>
      </c>
      <c r="E118" t="s">
        <v>25</v>
      </c>
      <c r="F118" t="s">
        <v>5918</v>
      </c>
      <c r="G118" t="s">
        <v>67</v>
      </c>
      <c r="H118" t="s">
        <v>56</v>
      </c>
      <c r="I118" t="s">
        <v>5919</v>
      </c>
      <c r="J118" t="s">
        <v>70</v>
      </c>
      <c r="K118" s="2">
        <v>45770</v>
      </c>
      <c r="L118" t="s">
        <v>17</v>
      </c>
      <c r="M118" t="s">
        <v>5920</v>
      </c>
    </row>
    <row r="119" spans="1:13">
      <c r="A119" t="s">
        <v>6047</v>
      </c>
      <c r="B119" s="2">
        <v>45692</v>
      </c>
      <c r="C119">
        <v>2025</v>
      </c>
      <c r="D119">
        <v>2</v>
      </c>
      <c r="E119" t="s">
        <v>25</v>
      </c>
      <c r="F119" t="s">
        <v>5918</v>
      </c>
      <c r="G119" t="s">
        <v>2</v>
      </c>
      <c r="H119" t="s">
        <v>84</v>
      </c>
      <c r="I119" t="s">
        <v>5925</v>
      </c>
      <c r="J119" t="s">
        <v>6</v>
      </c>
      <c r="K119" s="2">
        <v>45757</v>
      </c>
      <c r="L119" t="s">
        <v>10</v>
      </c>
      <c r="M119" t="s">
        <v>5935</v>
      </c>
    </row>
    <row r="120" spans="1:13">
      <c r="A120" t="s">
        <v>6048</v>
      </c>
      <c r="B120" s="2">
        <v>45696</v>
      </c>
      <c r="C120">
        <v>2025</v>
      </c>
      <c r="D120">
        <v>2</v>
      </c>
      <c r="E120" t="s">
        <v>25</v>
      </c>
      <c r="F120" t="s">
        <v>5918</v>
      </c>
      <c r="G120" t="s">
        <v>19</v>
      </c>
      <c r="H120" t="s">
        <v>84</v>
      </c>
      <c r="I120" t="s">
        <v>5919</v>
      </c>
      <c r="J120" t="s">
        <v>50</v>
      </c>
      <c r="K120" s="2">
        <v>45736</v>
      </c>
      <c r="L120" t="s">
        <v>17</v>
      </c>
      <c r="M120" t="s">
        <v>5929</v>
      </c>
    </row>
    <row r="121" spans="1:13">
      <c r="A121" t="s">
        <v>6049</v>
      </c>
      <c r="B121" s="2">
        <v>45694</v>
      </c>
      <c r="C121">
        <v>2025</v>
      </c>
      <c r="D121">
        <v>2</v>
      </c>
      <c r="E121" t="s">
        <v>25</v>
      </c>
      <c r="F121" t="s">
        <v>5922</v>
      </c>
      <c r="G121" t="s">
        <v>31</v>
      </c>
      <c r="H121" t="s">
        <v>71</v>
      </c>
      <c r="I121" t="s">
        <v>5925</v>
      </c>
      <c r="J121" t="s">
        <v>13</v>
      </c>
      <c r="K121" s="2">
        <v>45742</v>
      </c>
      <c r="L121" t="s">
        <v>17</v>
      </c>
      <c r="M121" t="s">
        <v>5929</v>
      </c>
    </row>
    <row r="122" spans="1:13">
      <c r="A122" t="s">
        <v>6050</v>
      </c>
      <c r="B122" s="2">
        <v>45739</v>
      </c>
      <c r="C122">
        <v>2025</v>
      </c>
      <c r="D122">
        <v>3</v>
      </c>
      <c r="E122" t="s">
        <v>60</v>
      </c>
      <c r="F122" t="s">
        <v>5922</v>
      </c>
      <c r="G122" t="s">
        <v>26</v>
      </c>
      <c r="H122" t="s">
        <v>56</v>
      </c>
      <c r="I122" t="s">
        <v>5919</v>
      </c>
      <c r="J122" t="s">
        <v>50</v>
      </c>
      <c r="K122" s="2">
        <v>45765</v>
      </c>
      <c r="L122" t="s">
        <v>10</v>
      </c>
      <c r="M122" t="s">
        <v>5929</v>
      </c>
    </row>
    <row r="123" spans="1:13">
      <c r="A123" t="s">
        <v>6051</v>
      </c>
      <c r="B123" s="2">
        <v>45740</v>
      </c>
      <c r="C123">
        <v>2025</v>
      </c>
      <c r="D123">
        <v>3</v>
      </c>
      <c r="E123" t="s">
        <v>60</v>
      </c>
      <c r="F123" t="s">
        <v>5942</v>
      </c>
      <c r="G123" t="s">
        <v>78</v>
      </c>
      <c r="H123" t="s">
        <v>84</v>
      </c>
      <c r="I123" t="s">
        <v>5925</v>
      </c>
      <c r="J123" t="s">
        <v>34</v>
      </c>
      <c r="K123" s="2">
        <v>45759</v>
      </c>
      <c r="L123" t="s">
        <v>10</v>
      </c>
      <c r="M123" t="s">
        <v>5920</v>
      </c>
    </row>
    <row r="124" spans="1:13">
      <c r="A124" t="s">
        <v>6052</v>
      </c>
      <c r="B124" s="2">
        <v>45736</v>
      </c>
      <c r="C124">
        <v>2025</v>
      </c>
      <c r="D124">
        <v>3</v>
      </c>
      <c r="E124" t="s">
        <v>60</v>
      </c>
      <c r="F124" t="s">
        <v>5918</v>
      </c>
      <c r="G124" t="s">
        <v>38</v>
      </c>
      <c r="H124" t="s">
        <v>14</v>
      </c>
      <c r="I124" t="s">
        <v>5925</v>
      </c>
      <c r="J124" t="s">
        <v>50</v>
      </c>
      <c r="K124" s="2">
        <v>45778</v>
      </c>
      <c r="L124" t="s">
        <v>10</v>
      </c>
      <c r="M124" t="s">
        <v>5929</v>
      </c>
    </row>
    <row r="125" spans="1:13">
      <c r="A125" t="s">
        <v>6053</v>
      </c>
      <c r="B125" s="2">
        <v>45719</v>
      </c>
      <c r="C125">
        <v>2025</v>
      </c>
      <c r="D125">
        <v>3</v>
      </c>
      <c r="E125" t="s">
        <v>60</v>
      </c>
      <c r="F125" t="s">
        <v>5928</v>
      </c>
      <c r="G125" t="s">
        <v>31</v>
      </c>
      <c r="H125" t="s">
        <v>58</v>
      </c>
      <c r="I125" t="s">
        <v>5919</v>
      </c>
      <c r="J125" t="s">
        <v>34</v>
      </c>
      <c r="K125" s="2">
        <v>45744</v>
      </c>
      <c r="L125" t="s">
        <v>23</v>
      </c>
      <c r="M125" t="s">
        <v>5929</v>
      </c>
    </row>
    <row r="126" spans="1:13">
      <c r="A126" t="s">
        <v>6054</v>
      </c>
      <c r="B126" s="2">
        <v>45733</v>
      </c>
      <c r="C126">
        <v>2025</v>
      </c>
      <c r="D126">
        <v>3</v>
      </c>
      <c r="E126" t="s">
        <v>60</v>
      </c>
      <c r="F126" t="s">
        <v>5945</v>
      </c>
      <c r="G126" t="s">
        <v>31</v>
      </c>
      <c r="H126" t="s">
        <v>21</v>
      </c>
      <c r="I126" t="s">
        <v>5919</v>
      </c>
      <c r="J126" t="s">
        <v>70</v>
      </c>
      <c r="K126" s="2">
        <v>45789</v>
      </c>
      <c r="L126" t="s">
        <v>10</v>
      </c>
      <c r="M126" t="s">
        <v>5929</v>
      </c>
    </row>
    <row r="127" spans="1:13">
      <c r="A127" t="s">
        <v>6055</v>
      </c>
      <c r="B127" s="2">
        <v>45765</v>
      </c>
      <c r="C127">
        <v>2025</v>
      </c>
      <c r="D127">
        <v>4</v>
      </c>
      <c r="E127" t="s">
        <v>73</v>
      </c>
      <c r="F127" t="s">
        <v>5945</v>
      </c>
      <c r="G127" t="s">
        <v>54</v>
      </c>
      <c r="H127" t="s">
        <v>51</v>
      </c>
      <c r="I127" t="s">
        <v>5925</v>
      </c>
      <c r="J127" t="s">
        <v>50</v>
      </c>
      <c r="K127" s="2">
        <v>45785</v>
      </c>
      <c r="L127" t="s">
        <v>23</v>
      </c>
      <c r="M127" t="s">
        <v>5920</v>
      </c>
    </row>
    <row r="128" spans="1:13">
      <c r="A128" t="s">
        <v>6056</v>
      </c>
      <c r="B128" s="2">
        <v>45748</v>
      </c>
      <c r="C128">
        <v>2025</v>
      </c>
      <c r="D128">
        <v>4</v>
      </c>
      <c r="E128" t="s">
        <v>73</v>
      </c>
      <c r="F128" t="s">
        <v>5942</v>
      </c>
      <c r="G128" t="s">
        <v>67</v>
      </c>
      <c r="H128" t="s">
        <v>41</v>
      </c>
      <c r="I128" t="s">
        <v>5919</v>
      </c>
      <c r="J128" t="s">
        <v>50</v>
      </c>
      <c r="K128" s="2">
        <v>45769</v>
      </c>
      <c r="L128" t="s">
        <v>23</v>
      </c>
      <c r="M128" t="s">
        <v>5935</v>
      </c>
    </row>
    <row r="129" spans="1:13">
      <c r="A129" t="s">
        <v>6057</v>
      </c>
      <c r="B129" s="2">
        <v>45750</v>
      </c>
      <c r="C129">
        <v>2025</v>
      </c>
      <c r="D129">
        <v>4</v>
      </c>
      <c r="E129" t="s">
        <v>73</v>
      </c>
      <c r="F129" t="s">
        <v>5928</v>
      </c>
      <c r="G129" t="s">
        <v>40</v>
      </c>
      <c r="H129" t="s">
        <v>14</v>
      </c>
      <c r="I129" t="s">
        <v>5925</v>
      </c>
      <c r="J129" t="s">
        <v>50</v>
      </c>
      <c r="K129" s="2">
        <v>45783</v>
      </c>
      <c r="L129" t="s">
        <v>23</v>
      </c>
      <c r="M129" t="s">
        <v>5920</v>
      </c>
    </row>
    <row r="130" spans="1:13">
      <c r="A130" t="s">
        <v>6058</v>
      </c>
      <c r="B130" s="2">
        <v>45768</v>
      </c>
      <c r="C130">
        <v>2025</v>
      </c>
      <c r="D130">
        <v>4</v>
      </c>
      <c r="E130" t="s">
        <v>73</v>
      </c>
      <c r="F130" t="s">
        <v>5931</v>
      </c>
      <c r="G130" t="s">
        <v>67</v>
      </c>
      <c r="H130" t="s">
        <v>71</v>
      </c>
      <c r="I130" t="s">
        <v>5925</v>
      </c>
      <c r="J130" t="s">
        <v>13</v>
      </c>
      <c r="K130" s="2">
        <v>45772</v>
      </c>
      <c r="L130" t="s">
        <v>23</v>
      </c>
      <c r="M130" t="s">
        <v>5920</v>
      </c>
    </row>
    <row r="131" spans="1:13">
      <c r="A131" t="s">
        <v>6059</v>
      </c>
      <c r="B131" s="2">
        <v>45775</v>
      </c>
      <c r="C131">
        <v>2025</v>
      </c>
      <c r="D131">
        <v>4</v>
      </c>
      <c r="E131" t="s">
        <v>73</v>
      </c>
      <c r="F131" t="s">
        <v>5928</v>
      </c>
      <c r="G131" t="s">
        <v>2</v>
      </c>
      <c r="H131" t="s">
        <v>58</v>
      </c>
      <c r="I131" t="s">
        <v>5919</v>
      </c>
      <c r="J131" t="s">
        <v>34</v>
      </c>
      <c r="K131" s="2">
        <v>45812</v>
      </c>
      <c r="L131" t="s">
        <v>10</v>
      </c>
      <c r="M131" t="s">
        <v>5929</v>
      </c>
    </row>
    <row r="132" spans="1:13">
      <c r="A132" t="s">
        <v>6060</v>
      </c>
      <c r="B132" s="2">
        <v>45773</v>
      </c>
      <c r="C132">
        <v>2025</v>
      </c>
      <c r="D132">
        <v>4</v>
      </c>
      <c r="E132" t="s">
        <v>73</v>
      </c>
      <c r="F132" t="s">
        <v>5931</v>
      </c>
      <c r="G132" t="s">
        <v>47</v>
      </c>
      <c r="H132" t="s">
        <v>56</v>
      </c>
      <c r="I132" t="s">
        <v>5925</v>
      </c>
      <c r="J132" t="s">
        <v>6</v>
      </c>
      <c r="K132" s="2">
        <v>45811</v>
      </c>
      <c r="L132" t="s">
        <v>5939</v>
      </c>
      <c r="M132" t="s">
        <v>5935</v>
      </c>
    </row>
    <row r="133" spans="1:13">
      <c r="A133" t="s">
        <v>6061</v>
      </c>
      <c r="B133" s="2">
        <v>45759</v>
      </c>
      <c r="C133">
        <v>2025</v>
      </c>
      <c r="D133">
        <v>4</v>
      </c>
      <c r="E133" t="s">
        <v>73</v>
      </c>
      <c r="F133" t="s">
        <v>5922</v>
      </c>
      <c r="G133" t="s">
        <v>67</v>
      </c>
      <c r="H133" t="s">
        <v>58</v>
      </c>
      <c r="I133" t="s">
        <v>5919</v>
      </c>
      <c r="J133" t="s">
        <v>6</v>
      </c>
      <c r="K133" s="2">
        <v>45784</v>
      </c>
      <c r="L133" t="s">
        <v>23</v>
      </c>
      <c r="M133" t="s">
        <v>5935</v>
      </c>
    </row>
    <row r="134" spans="1:13">
      <c r="A134" t="s">
        <v>6062</v>
      </c>
      <c r="B134" s="2">
        <v>45751</v>
      </c>
      <c r="C134">
        <v>2025</v>
      </c>
      <c r="D134">
        <v>4</v>
      </c>
      <c r="E134" t="s">
        <v>73</v>
      </c>
      <c r="F134" t="s">
        <v>5931</v>
      </c>
      <c r="G134" t="s">
        <v>67</v>
      </c>
      <c r="H134" t="s">
        <v>7</v>
      </c>
      <c r="I134" t="s">
        <v>5925</v>
      </c>
      <c r="J134" t="s">
        <v>70</v>
      </c>
      <c r="K134" s="2">
        <v>45820</v>
      </c>
      <c r="L134" t="s">
        <v>23</v>
      </c>
      <c r="M134" t="s">
        <v>5920</v>
      </c>
    </row>
    <row r="135" spans="1:13">
      <c r="A135" t="s">
        <v>6063</v>
      </c>
      <c r="B135" s="2">
        <v>45802</v>
      </c>
      <c r="C135">
        <v>2025</v>
      </c>
      <c r="D135">
        <v>5</v>
      </c>
      <c r="E135" t="s">
        <v>83</v>
      </c>
      <c r="F135" t="s">
        <v>5945</v>
      </c>
      <c r="G135" t="s">
        <v>19</v>
      </c>
      <c r="H135" t="s">
        <v>14</v>
      </c>
      <c r="I135" t="s">
        <v>5919</v>
      </c>
      <c r="J135" t="s">
        <v>70</v>
      </c>
      <c r="K135" s="2">
        <v>45794</v>
      </c>
      <c r="L135" t="s">
        <v>10</v>
      </c>
      <c r="M135" t="s">
        <v>5920</v>
      </c>
    </row>
    <row r="136" spans="1:13">
      <c r="A136" t="s">
        <v>6064</v>
      </c>
      <c r="B136" s="2">
        <v>45801</v>
      </c>
      <c r="C136">
        <v>2025</v>
      </c>
      <c r="D136">
        <v>5</v>
      </c>
      <c r="E136" t="s">
        <v>83</v>
      </c>
      <c r="F136" t="s">
        <v>5931</v>
      </c>
      <c r="G136" t="s">
        <v>54</v>
      </c>
      <c r="H136" t="s">
        <v>107</v>
      </c>
      <c r="I136" t="s">
        <v>5925</v>
      </c>
      <c r="J136" t="s">
        <v>6</v>
      </c>
      <c r="K136" s="2">
        <v>45841</v>
      </c>
      <c r="L136" t="s">
        <v>10</v>
      </c>
      <c r="M136" t="s">
        <v>5935</v>
      </c>
    </row>
    <row r="137" spans="1:13">
      <c r="A137" t="s">
        <v>6065</v>
      </c>
      <c r="B137" s="2">
        <v>45785</v>
      </c>
      <c r="C137">
        <v>2025</v>
      </c>
      <c r="D137">
        <v>5</v>
      </c>
      <c r="E137" t="s">
        <v>83</v>
      </c>
      <c r="F137" t="s">
        <v>5931</v>
      </c>
      <c r="G137" t="s">
        <v>26</v>
      </c>
      <c r="H137" t="s">
        <v>21</v>
      </c>
      <c r="I137" t="s">
        <v>5919</v>
      </c>
      <c r="J137" t="s">
        <v>6</v>
      </c>
      <c r="K137" s="2">
        <v>45810</v>
      </c>
      <c r="L137" t="s">
        <v>10</v>
      </c>
      <c r="M137" t="s">
        <v>5923</v>
      </c>
    </row>
    <row r="138" spans="1:13">
      <c r="A138" t="s">
        <v>6066</v>
      </c>
      <c r="B138" s="2">
        <v>45782</v>
      </c>
      <c r="C138">
        <v>2025</v>
      </c>
      <c r="D138">
        <v>5</v>
      </c>
      <c r="E138" t="s">
        <v>83</v>
      </c>
      <c r="F138" t="s">
        <v>5942</v>
      </c>
      <c r="G138" t="s">
        <v>54</v>
      </c>
      <c r="H138" t="s">
        <v>21</v>
      </c>
      <c r="I138" t="s">
        <v>5925</v>
      </c>
      <c r="J138" t="s">
        <v>50</v>
      </c>
      <c r="K138" s="2">
        <v>45825</v>
      </c>
      <c r="L138" t="s">
        <v>5939</v>
      </c>
      <c r="M138" t="s">
        <v>5923</v>
      </c>
    </row>
    <row r="139" spans="1:13">
      <c r="A139" t="s">
        <v>6067</v>
      </c>
      <c r="B139" s="2">
        <v>45786</v>
      </c>
      <c r="C139">
        <v>2025</v>
      </c>
      <c r="D139">
        <v>5</v>
      </c>
      <c r="E139" t="s">
        <v>83</v>
      </c>
      <c r="F139" t="s">
        <v>5918</v>
      </c>
      <c r="G139" t="s">
        <v>78</v>
      </c>
      <c r="H139" t="s">
        <v>56</v>
      </c>
      <c r="I139" t="s">
        <v>5919</v>
      </c>
      <c r="J139" t="s">
        <v>50</v>
      </c>
      <c r="K139" s="2">
        <v>45819</v>
      </c>
      <c r="L139" t="s">
        <v>23</v>
      </c>
      <c r="M139" t="s">
        <v>5920</v>
      </c>
    </row>
    <row r="140" spans="1:13">
      <c r="A140" t="s">
        <v>6068</v>
      </c>
      <c r="B140" s="2">
        <v>45783</v>
      </c>
      <c r="C140">
        <v>2025</v>
      </c>
      <c r="D140">
        <v>5</v>
      </c>
      <c r="E140" t="s">
        <v>83</v>
      </c>
      <c r="F140" t="s">
        <v>5942</v>
      </c>
      <c r="G140" t="s">
        <v>19</v>
      </c>
      <c r="H140" t="s">
        <v>84</v>
      </c>
      <c r="I140" t="s">
        <v>5919</v>
      </c>
      <c r="J140" t="s">
        <v>50</v>
      </c>
      <c r="K140" s="2">
        <v>45863</v>
      </c>
      <c r="L140" t="s">
        <v>23</v>
      </c>
      <c r="M140" t="s">
        <v>5935</v>
      </c>
    </row>
    <row r="141" spans="1:13">
      <c r="A141" t="s">
        <v>6069</v>
      </c>
      <c r="B141" s="2">
        <v>45781</v>
      </c>
      <c r="C141">
        <v>2025</v>
      </c>
      <c r="D141">
        <v>5</v>
      </c>
      <c r="E141" t="s">
        <v>83</v>
      </c>
      <c r="F141" t="s">
        <v>5945</v>
      </c>
      <c r="G141" t="s">
        <v>67</v>
      </c>
      <c r="H141" t="s">
        <v>56</v>
      </c>
      <c r="I141" t="s">
        <v>5919</v>
      </c>
      <c r="J141" t="s">
        <v>6</v>
      </c>
      <c r="K141" s="2">
        <v>45809</v>
      </c>
      <c r="L141" t="s">
        <v>10</v>
      </c>
      <c r="M141" t="s">
        <v>5935</v>
      </c>
    </row>
    <row r="142" spans="1:13">
      <c r="A142" t="s">
        <v>6070</v>
      </c>
      <c r="B142" s="2">
        <v>45778</v>
      </c>
      <c r="C142">
        <v>2025</v>
      </c>
      <c r="D142">
        <v>5</v>
      </c>
      <c r="E142" t="s">
        <v>83</v>
      </c>
      <c r="F142" t="s">
        <v>5918</v>
      </c>
      <c r="G142" t="s">
        <v>47</v>
      </c>
      <c r="H142" t="s">
        <v>41</v>
      </c>
      <c r="I142" t="s">
        <v>5919</v>
      </c>
      <c r="J142" t="s">
        <v>70</v>
      </c>
      <c r="K142" s="2">
        <v>45838</v>
      </c>
      <c r="L142" t="s">
        <v>23</v>
      </c>
      <c r="M142" t="s">
        <v>5923</v>
      </c>
    </row>
    <row r="143" spans="1:13">
      <c r="A143" t="s">
        <v>6071</v>
      </c>
      <c r="B143" s="2">
        <v>45794</v>
      </c>
      <c r="C143">
        <v>2025</v>
      </c>
      <c r="D143">
        <v>5</v>
      </c>
      <c r="E143" t="s">
        <v>83</v>
      </c>
      <c r="F143" t="s">
        <v>5945</v>
      </c>
      <c r="G143" t="s">
        <v>47</v>
      </c>
      <c r="H143" t="s">
        <v>41</v>
      </c>
      <c r="I143" t="s">
        <v>5925</v>
      </c>
      <c r="J143" t="s">
        <v>50</v>
      </c>
      <c r="K143" s="2">
        <v>45849</v>
      </c>
      <c r="L143" t="s">
        <v>10</v>
      </c>
      <c r="M143" t="s">
        <v>5923</v>
      </c>
    </row>
    <row r="144" spans="1:13">
      <c r="A144" t="s">
        <v>6072</v>
      </c>
      <c r="B144" s="2">
        <v>45792</v>
      </c>
      <c r="C144">
        <v>2025</v>
      </c>
      <c r="D144">
        <v>5</v>
      </c>
      <c r="E144" t="s">
        <v>83</v>
      </c>
      <c r="F144" t="s">
        <v>5945</v>
      </c>
      <c r="G144" t="s">
        <v>31</v>
      </c>
      <c r="H144" t="s">
        <v>84</v>
      </c>
      <c r="I144" t="s">
        <v>5925</v>
      </c>
      <c r="J144" t="s">
        <v>50</v>
      </c>
      <c r="K144" s="2">
        <v>45815</v>
      </c>
      <c r="L144" t="s">
        <v>10</v>
      </c>
      <c r="M144" t="s">
        <v>5935</v>
      </c>
    </row>
    <row r="145" spans="1:13">
      <c r="A145" t="s">
        <v>6073</v>
      </c>
      <c r="B145" s="2">
        <v>45794</v>
      </c>
      <c r="C145">
        <v>2025</v>
      </c>
      <c r="D145">
        <v>5</v>
      </c>
      <c r="E145" t="s">
        <v>83</v>
      </c>
      <c r="F145" t="s">
        <v>5928</v>
      </c>
      <c r="G145" t="s">
        <v>78</v>
      </c>
      <c r="H145" t="s">
        <v>14</v>
      </c>
      <c r="I145" t="s">
        <v>5925</v>
      </c>
      <c r="J145" t="s">
        <v>13</v>
      </c>
      <c r="K145" s="2">
        <v>45835</v>
      </c>
      <c r="L145" t="s">
        <v>10</v>
      </c>
      <c r="M145" t="s">
        <v>5923</v>
      </c>
    </row>
    <row r="146" spans="1:13">
      <c r="A146" t="s">
        <v>6074</v>
      </c>
      <c r="B146" s="2">
        <v>45779</v>
      </c>
      <c r="C146">
        <v>2025</v>
      </c>
      <c r="D146">
        <v>5</v>
      </c>
      <c r="E146" t="s">
        <v>83</v>
      </c>
      <c r="F146" t="s">
        <v>5945</v>
      </c>
      <c r="G146" t="s">
        <v>40</v>
      </c>
      <c r="H146" t="s">
        <v>107</v>
      </c>
      <c r="I146" t="s">
        <v>5919</v>
      </c>
      <c r="J146" t="s">
        <v>70</v>
      </c>
      <c r="K146" s="2">
        <v>45816</v>
      </c>
      <c r="L146" t="s">
        <v>10</v>
      </c>
      <c r="M146" t="s">
        <v>5920</v>
      </c>
    </row>
    <row r="147" spans="1:13">
      <c r="A147" t="s">
        <v>6075</v>
      </c>
      <c r="B147" s="2">
        <v>45833</v>
      </c>
      <c r="C147">
        <v>2025</v>
      </c>
      <c r="D147">
        <v>6</v>
      </c>
      <c r="E147" t="s">
        <v>87</v>
      </c>
      <c r="F147" t="s">
        <v>5931</v>
      </c>
      <c r="G147" t="s">
        <v>19</v>
      </c>
      <c r="H147" t="s">
        <v>7</v>
      </c>
      <c r="I147" t="s">
        <v>5919</v>
      </c>
      <c r="J147" t="s">
        <v>13</v>
      </c>
      <c r="K147" s="2">
        <v>45856</v>
      </c>
      <c r="L147" t="s">
        <v>23</v>
      </c>
      <c r="M147" t="s">
        <v>5929</v>
      </c>
    </row>
    <row r="148" spans="1:13">
      <c r="A148" t="s">
        <v>6076</v>
      </c>
      <c r="B148" s="2">
        <v>45828</v>
      </c>
      <c r="C148">
        <v>2025</v>
      </c>
      <c r="D148">
        <v>6</v>
      </c>
      <c r="E148" t="s">
        <v>87</v>
      </c>
      <c r="F148" t="s">
        <v>5945</v>
      </c>
      <c r="G148" t="s">
        <v>38</v>
      </c>
      <c r="H148" t="s">
        <v>21</v>
      </c>
      <c r="I148" t="s">
        <v>5925</v>
      </c>
      <c r="J148" t="s">
        <v>70</v>
      </c>
      <c r="K148" s="2">
        <v>45840</v>
      </c>
      <c r="L148" t="s">
        <v>23</v>
      </c>
      <c r="M148" t="s">
        <v>5920</v>
      </c>
    </row>
    <row r="149" spans="1:13">
      <c r="A149" t="s">
        <v>6077</v>
      </c>
      <c r="B149" s="2">
        <v>45834</v>
      </c>
      <c r="C149">
        <v>2025</v>
      </c>
      <c r="D149">
        <v>6</v>
      </c>
      <c r="E149" t="s">
        <v>87</v>
      </c>
      <c r="F149" t="s">
        <v>5918</v>
      </c>
      <c r="G149" t="s">
        <v>19</v>
      </c>
      <c r="H149" t="s">
        <v>41</v>
      </c>
      <c r="I149" t="s">
        <v>5925</v>
      </c>
      <c r="J149" t="s">
        <v>50</v>
      </c>
      <c r="K149" s="2">
        <v>45831</v>
      </c>
      <c r="L149" t="s">
        <v>17</v>
      </c>
      <c r="M149" t="s">
        <v>5929</v>
      </c>
    </row>
    <row r="150" spans="1:13">
      <c r="A150" t="s">
        <v>6078</v>
      </c>
      <c r="B150" s="2">
        <v>45828</v>
      </c>
      <c r="C150">
        <v>2025</v>
      </c>
      <c r="D150">
        <v>6</v>
      </c>
      <c r="E150" t="s">
        <v>87</v>
      </c>
      <c r="F150" t="s">
        <v>5928</v>
      </c>
      <c r="G150" t="s">
        <v>19</v>
      </c>
      <c r="H150" t="s">
        <v>41</v>
      </c>
      <c r="I150" t="s">
        <v>5925</v>
      </c>
      <c r="J150" t="s">
        <v>13</v>
      </c>
      <c r="K150" s="2">
        <v>45871</v>
      </c>
      <c r="L150" t="s">
        <v>10</v>
      </c>
      <c r="M150" t="s">
        <v>5923</v>
      </c>
    </row>
    <row r="151" spans="1:13">
      <c r="A151" t="s">
        <v>6079</v>
      </c>
      <c r="B151" s="2">
        <v>45821</v>
      </c>
      <c r="C151">
        <v>2025</v>
      </c>
      <c r="D151">
        <v>6</v>
      </c>
      <c r="E151" t="s">
        <v>87</v>
      </c>
      <c r="F151" t="s">
        <v>5918</v>
      </c>
      <c r="G151" t="s">
        <v>2</v>
      </c>
      <c r="H151" t="s">
        <v>21</v>
      </c>
      <c r="I151" t="s">
        <v>5925</v>
      </c>
      <c r="J151" t="s">
        <v>6</v>
      </c>
      <c r="K151" s="2">
        <v>45828</v>
      </c>
      <c r="L151" t="s">
        <v>10</v>
      </c>
      <c r="M151" t="s">
        <v>5923</v>
      </c>
    </row>
    <row r="152" spans="1:13">
      <c r="A152" t="s">
        <v>6080</v>
      </c>
      <c r="B152" s="2">
        <v>45855</v>
      </c>
      <c r="C152">
        <v>2025</v>
      </c>
      <c r="D152">
        <v>7</v>
      </c>
      <c r="E152" t="s">
        <v>93</v>
      </c>
      <c r="F152" t="s">
        <v>5918</v>
      </c>
      <c r="G152" t="s">
        <v>67</v>
      </c>
      <c r="H152" t="s">
        <v>56</v>
      </c>
      <c r="I152" t="s">
        <v>5919</v>
      </c>
      <c r="J152" t="s">
        <v>50</v>
      </c>
      <c r="K152" s="2">
        <v>45876</v>
      </c>
      <c r="L152" t="s">
        <v>17</v>
      </c>
      <c r="M152" t="s">
        <v>5929</v>
      </c>
    </row>
    <row r="153" spans="1:13">
      <c r="A153" t="s">
        <v>6081</v>
      </c>
      <c r="B153" s="2">
        <v>45839</v>
      </c>
      <c r="C153">
        <v>2025</v>
      </c>
      <c r="D153">
        <v>7</v>
      </c>
      <c r="E153" t="s">
        <v>93</v>
      </c>
      <c r="F153" t="s">
        <v>5931</v>
      </c>
      <c r="G153" t="s">
        <v>38</v>
      </c>
      <c r="H153" t="s">
        <v>7</v>
      </c>
      <c r="I153" t="s">
        <v>5919</v>
      </c>
      <c r="J153" t="s">
        <v>70</v>
      </c>
      <c r="K153" s="2">
        <v>45897</v>
      </c>
      <c r="L153" t="s">
        <v>10</v>
      </c>
      <c r="M153" t="s">
        <v>5923</v>
      </c>
    </row>
    <row r="154" spans="1:13">
      <c r="A154" t="s">
        <v>6082</v>
      </c>
      <c r="B154" s="2">
        <v>45849</v>
      </c>
      <c r="C154">
        <v>2025</v>
      </c>
      <c r="D154">
        <v>7</v>
      </c>
      <c r="E154" t="s">
        <v>93</v>
      </c>
      <c r="F154" t="s">
        <v>5928</v>
      </c>
      <c r="G154" t="s">
        <v>38</v>
      </c>
      <c r="H154" t="s">
        <v>71</v>
      </c>
      <c r="I154" t="s">
        <v>5919</v>
      </c>
      <c r="J154" t="s">
        <v>70</v>
      </c>
      <c r="K154" s="2">
        <v>45909</v>
      </c>
      <c r="L154" t="s">
        <v>10</v>
      </c>
      <c r="M154" t="s">
        <v>5929</v>
      </c>
    </row>
    <row r="155" spans="1:13">
      <c r="A155" t="s">
        <v>6083</v>
      </c>
      <c r="B155" s="2">
        <v>45863</v>
      </c>
      <c r="C155">
        <v>2025</v>
      </c>
      <c r="D155">
        <v>7</v>
      </c>
      <c r="E155" t="s">
        <v>93</v>
      </c>
      <c r="F155" t="s">
        <v>5945</v>
      </c>
      <c r="G155" t="s">
        <v>67</v>
      </c>
      <c r="H155" t="s">
        <v>84</v>
      </c>
      <c r="I155" t="s">
        <v>5925</v>
      </c>
      <c r="J155" t="s">
        <v>13</v>
      </c>
      <c r="K155" s="2">
        <v>45880</v>
      </c>
      <c r="L155" t="s">
        <v>17</v>
      </c>
      <c r="M155" t="s">
        <v>5929</v>
      </c>
    </row>
    <row r="156" spans="1:13">
      <c r="A156" t="s">
        <v>6084</v>
      </c>
      <c r="B156" s="2">
        <v>45842</v>
      </c>
      <c r="C156">
        <v>2025</v>
      </c>
      <c r="D156">
        <v>7</v>
      </c>
      <c r="E156" t="s">
        <v>93</v>
      </c>
      <c r="F156" t="s">
        <v>5918</v>
      </c>
      <c r="G156" t="s">
        <v>40</v>
      </c>
      <c r="H156" t="s">
        <v>107</v>
      </c>
      <c r="I156" t="s">
        <v>5919</v>
      </c>
      <c r="J156" t="s">
        <v>70</v>
      </c>
      <c r="K156" s="2">
        <v>45890</v>
      </c>
      <c r="L156" t="s">
        <v>5939</v>
      </c>
      <c r="M156" t="s">
        <v>5935</v>
      </c>
    </row>
    <row r="157" spans="1:13">
      <c r="A157" t="s">
        <v>6085</v>
      </c>
      <c r="B157" s="2">
        <v>45884</v>
      </c>
      <c r="C157">
        <v>2025</v>
      </c>
      <c r="D157">
        <v>8</v>
      </c>
      <c r="E157" t="s">
        <v>101</v>
      </c>
      <c r="F157" t="s">
        <v>5922</v>
      </c>
      <c r="G157" t="s">
        <v>19</v>
      </c>
      <c r="H157" t="s">
        <v>51</v>
      </c>
      <c r="I157" t="s">
        <v>5919</v>
      </c>
      <c r="J157" t="s">
        <v>70</v>
      </c>
      <c r="K157" s="2">
        <v>45937</v>
      </c>
      <c r="L157" t="s">
        <v>10</v>
      </c>
      <c r="M157" t="s">
        <v>5923</v>
      </c>
    </row>
    <row r="158" spans="1:13">
      <c r="A158" t="s">
        <v>6086</v>
      </c>
      <c r="B158" s="2">
        <v>45891</v>
      </c>
      <c r="C158">
        <v>2025</v>
      </c>
      <c r="D158">
        <v>8</v>
      </c>
      <c r="E158" t="s">
        <v>101</v>
      </c>
      <c r="F158" t="s">
        <v>5928</v>
      </c>
      <c r="G158" t="s">
        <v>78</v>
      </c>
      <c r="H158" t="s">
        <v>51</v>
      </c>
      <c r="I158" t="s">
        <v>5925</v>
      </c>
      <c r="J158" t="s">
        <v>34</v>
      </c>
      <c r="K158" s="2">
        <v>45901</v>
      </c>
      <c r="L158" t="s">
        <v>5939</v>
      </c>
      <c r="M158" t="s">
        <v>5920</v>
      </c>
    </row>
    <row r="159" spans="1:13">
      <c r="A159" t="s">
        <v>6087</v>
      </c>
      <c r="B159" s="2">
        <v>45872</v>
      </c>
      <c r="C159">
        <v>2025</v>
      </c>
      <c r="D159">
        <v>8</v>
      </c>
      <c r="E159" t="s">
        <v>101</v>
      </c>
      <c r="F159" t="s">
        <v>5918</v>
      </c>
      <c r="G159" t="s">
        <v>40</v>
      </c>
      <c r="H159" t="s">
        <v>21</v>
      </c>
      <c r="I159" t="s">
        <v>5919</v>
      </c>
      <c r="J159" t="s">
        <v>34</v>
      </c>
      <c r="K159" s="2">
        <v>45916</v>
      </c>
      <c r="L159" t="s">
        <v>10</v>
      </c>
      <c r="M159" t="s">
        <v>5920</v>
      </c>
    </row>
    <row r="160" spans="1:13">
      <c r="A160" t="s">
        <v>6088</v>
      </c>
      <c r="B160" s="2">
        <v>45875</v>
      </c>
      <c r="C160">
        <v>2025</v>
      </c>
      <c r="D160">
        <v>8</v>
      </c>
      <c r="E160" t="s">
        <v>101</v>
      </c>
      <c r="F160" t="s">
        <v>5931</v>
      </c>
      <c r="G160" t="s">
        <v>67</v>
      </c>
      <c r="H160" t="s">
        <v>84</v>
      </c>
      <c r="I160" t="s">
        <v>5919</v>
      </c>
      <c r="J160" t="s">
        <v>6</v>
      </c>
      <c r="K160" s="2">
        <v>45889</v>
      </c>
      <c r="L160" t="s">
        <v>10</v>
      </c>
      <c r="M160" t="s">
        <v>5920</v>
      </c>
    </row>
    <row r="161" spans="1:13">
      <c r="A161" t="s">
        <v>6089</v>
      </c>
      <c r="B161" s="2">
        <v>45888</v>
      </c>
      <c r="C161">
        <v>2025</v>
      </c>
      <c r="D161">
        <v>8</v>
      </c>
      <c r="E161" t="s">
        <v>101</v>
      </c>
      <c r="F161" t="s">
        <v>5922</v>
      </c>
      <c r="G161" t="s">
        <v>67</v>
      </c>
      <c r="H161" t="s">
        <v>107</v>
      </c>
      <c r="I161" t="s">
        <v>5925</v>
      </c>
      <c r="J161" t="s">
        <v>13</v>
      </c>
      <c r="K161" s="2">
        <v>45904</v>
      </c>
      <c r="L161" t="s">
        <v>23</v>
      </c>
      <c r="M161" t="s">
        <v>5920</v>
      </c>
    </row>
    <row r="162" spans="1:13">
      <c r="A162" t="s">
        <v>6090</v>
      </c>
      <c r="B162" s="2">
        <v>45876</v>
      </c>
      <c r="C162">
        <v>2025</v>
      </c>
      <c r="D162">
        <v>8</v>
      </c>
      <c r="E162" t="s">
        <v>101</v>
      </c>
      <c r="F162" t="s">
        <v>5918</v>
      </c>
      <c r="G162" t="s">
        <v>67</v>
      </c>
      <c r="H162" t="s">
        <v>14</v>
      </c>
      <c r="I162" t="s">
        <v>5919</v>
      </c>
      <c r="J162" t="s">
        <v>34</v>
      </c>
      <c r="K162" s="2">
        <v>45923</v>
      </c>
      <c r="L162" t="s">
        <v>10</v>
      </c>
      <c r="M162" t="s">
        <v>5923</v>
      </c>
    </row>
    <row r="163" spans="1:13">
      <c r="A163" t="s">
        <v>6091</v>
      </c>
      <c r="B163" s="2">
        <v>45883</v>
      </c>
      <c r="C163">
        <v>2025</v>
      </c>
      <c r="D163">
        <v>8</v>
      </c>
      <c r="E163" t="s">
        <v>101</v>
      </c>
      <c r="F163" t="s">
        <v>5922</v>
      </c>
      <c r="G163" t="s">
        <v>54</v>
      </c>
      <c r="H163" t="s">
        <v>84</v>
      </c>
      <c r="I163" t="s">
        <v>5925</v>
      </c>
      <c r="J163" t="s">
        <v>50</v>
      </c>
      <c r="K163" s="2">
        <v>45927</v>
      </c>
      <c r="L163" t="s">
        <v>10</v>
      </c>
      <c r="M163" t="s">
        <v>5920</v>
      </c>
    </row>
    <row r="164" spans="1:13">
      <c r="A164" t="s">
        <v>6092</v>
      </c>
      <c r="B164" s="2">
        <v>45878</v>
      </c>
      <c r="C164">
        <v>2025</v>
      </c>
      <c r="D164">
        <v>8</v>
      </c>
      <c r="E164" t="s">
        <v>101</v>
      </c>
      <c r="F164" t="s">
        <v>5918</v>
      </c>
      <c r="G164" t="s">
        <v>38</v>
      </c>
      <c r="H164" t="s">
        <v>7</v>
      </c>
      <c r="I164" t="s">
        <v>5925</v>
      </c>
      <c r="J164" t="s">
        <v>70</v>
      </c>
      <c r="K164" s="2">
        <v>45943</v>
      </c>
      <c r="L164" t="s">
        <v>10</v>
      </c>
      <c r="M164" t="s">
        <v>5935</v>
      </c>
    </row>
    <row r="165" spans="1:13">
      <c r="A165" t="s">
        <v>6093</v>
      </c>
      <c r="B165" s="2">
        <v>45894</v>
      </c>
      <c r="C165">
        <v>2025</v>
      </c>
      <c r="D165">
        <v>8</v>
      </c>
      <c r="E165" t="s">
        <v>101</v>
      </c>
      <c r="F165" t="s">
        <v>5945</v>
      </c>
      <c r="G165" t="s">
        <v>26</v>
      </c>
      <c r="H165" t="s">
        <v>107</v>
      </c>
      <c r="I165" t="s">
        <v>5919</v>
      </c>
      <c r="J165" t="s">
        <v>34</v>
      </c>
      <c r="K165" s="2">
        <v>45943</v>
      </c>
      <c r="L165" t="s">
        <v>10</v>
      </c>
      <c r="M165" t="s">
        <v>5929</v>
      </c>
    </row>
    <row r="166" spans="1:13">
      <c r="A166" t="s">
        <v>6094</v>
      </c>
      <c r="B166" s="2">
        <v>45871</v>
      </c>
      <c r="C166">
        <v>2025</v>
      </c>
      <c r="D166">
        <v>8</v>
      </c>
      <c r="E166" t="s">
        <v>101</v>
      </c>
      <c r="F166" t="s">
        <v>5931</v>
      </c>
      <c r="G166" t="s">
        <v>67</v>
      </c>
      <c r="H166" t="s">
        <v>56</v>
      </c>
      <c r="I166" t="s">
        <v>5919</v>
      </c>
      <c r="J166" t="s">
        <v>13</v>
      </c>
      <c r="K166" s="2">
        <v>45917</v>
      </c>
      <c r="L166" t="s">
        <v>10</v>
      </c>
      <c r="M166" t="s">
        <v>5935</v>
      </c>
    </row>
    <row r="167" spans="1:13">
      <c r="A167" t="s">
        <v>6095</v>
      </c>
      <c r="B167" s="2">
        <v>45922</v>
      </c>
      <c r="C167">
        <v>2025</v>
      </c>
      <c r="D167">
        <v>9</v>
      </c>
      <c r="E167" t="s">
        <v>105</v>
      </c>
      <c r="F167" t="s">
        <v>5942</v>
      </c>
      <c r="G167" t="s">
        <v>78</v>
      </c>
      <c r="H167" t="s">
        <v>84</v>
      </c>
      <c r="I167" t="s">
        <v>5925</v>
      </c>
      <c r="J167" t="s">
        <v>13</v>
      </c>
      <c r="K167" s="2">
        <v>45955</v>
      </c>
      <c r="L167" t="s">
        <v>17</v>
      </c>
      <c r="M167" t="s">
        <v>5929</v>
      </c>
    </row>
    <row r="168" spans="1:13">
      <c r="A168" t="s">
        <v>6096</v>
      </c>
      <c r="B168" s="2">
        <v>45912</v>
      </c>
      <c r="C168">
        <v>2025</v>
      </c>
      <c r="D168">
        <v>9</v>
      </c>
      <c r="E168" t="s">
        <v>105</v>
      </c>
      <c r="F168" t="s">
        <v>5945</v>
      </c>
      <c r="G168" t="s">
        <v>47</v>
      </c>
      <c r="H168" t="s">
        <v>58</v>
      </c>
      <c r="I168" t="s">
        <v>5919</v>
      </c>
      <c r="J168" t="s">
        <v>6</v>
      </c>
      <c r="K168" s="2">
        <v>45965</v>
      </c>
      <c r="L168" t="s">
        <v>10</v>
      </c>
      <c r="M168" t="s">
        <v>5929</v>
      </c>
    </row>
    <row r="169" spans="1:13">
      <c r="A169" t="s">
        <v>6097</v>
      </c>
      <c r="B169" s="2">
        <v>45919</v>
      </c>
      <c r="C169">
        <v>2025</v>
      </c>
      <c r="D169">
        <v>9</v>
      </c>
      <c r="E169" t="s">
        <v>105</v>
      </c>
      <c r="F169" t="s">
        <v>5922</v>
      </c>
      <c r="G169" t="s">
        <v>31</v>
      </c>
      <c r="H169" t="s">
        <v>41</v>
      </c>
      <c r="I169" t="s">
        <v>5925</v>
      </c>
      <c r="J169" t="s">
        <v>50</v>
      </c>
      <c r="K169" s="2">
        <v>45969</v>
      </c>
      <c r="L169" t="s">
        <v>10</v>
      </c>
      <c r="M169" t="s">
        <v>5920</v>
      </c>
    </row>
    <row r="170" spans="1:13">
      <c r="A170" t="s">
        <v>6098</v>
      </c>
      <c r="B170" s="2">
        <v>45922</v>
      </c>
      <c r="C170">
        <v>2025</v>
      </c>
      <c r="D170">
        <v>9</v>
      </c>
      <c r="E170" t="s">
        <v>105</v>
      </c>
      <c r="F170" t="s">
        <v>5931</v>
      </c>
      <c r="G170" t="s">
        <v>47</v>
      </c>
      <c r="H170" t="s">
        <v>84</v>
      </c>
      <c r="I170" t="s">
        <v>5919</v>
      </c>
      <c r="J170" t="s">
        <v>6</v>
      </c>
      <c r="K170" s="2">
        <v>45939</v>
      </c>
      <c r="L170" t="s">
        <v>23</v>
      </c>
      <c r="M170" t="s">
        <v>5920</v>
      </c>
    </row>
    <row r="171" spans="1:13">
      <c r="A171" t="s">
        <v>6099</v>
      </c>
      <c r="B171" s="2">
        <v>45924</v>
      </c>
      <c r="C171">
        <v>2025</v>
      </c>
      <c r="D171">
        <v>9</v>
      </c>
      <c r="E171" t="s">
        <v>105</v>
      </c>
      <c r="F171" t="s">
        <v>5931</v>
      </c>
      <c r="G171" t="s">
        <v>47</v>
      </c>
      <c r="H171" t="s">
        <v>56</v>
      </c>
      <c r="I171" t="s">
        <v>5925</v>
      </c>
      <c r="J171" t="s">
        <v>13</v>
      </c>
      <c r="K171" s="2">
        <v>45965</v>
      </c>
      <c r="L171" t="s">
        <v>23</v>
      </c>
      <c r="M171" t="s">
        <v>5923</v>
      </c>
    </row>
    <row r="172" spans="1:13">
      <c r="A172" t="s">
        <v>6100</v>
      </c>
      <c r="B172" s="2">
        <v>45922</v>
      </c>
      <c r="C172">
        <v>2025</v>
      </c>
      <c r="D172">
        <v>9</v>
      </c>
      <c r="E172" t="s">
        <v>105</v>
      </c>
      <c r="F172" t="s">
        <v>5931</v>
      </c>
      <c r="G172" t="s">
        <v>54</v>
      </c>
      <c r="H172" t="s">
        <v>41</v>
      </c>
      <c r="I172" t="s">
        <v>5925</v>
      </c>
      <c r="J172" t="s">
        <v>34</v>
      </c>
      <c r="K172" s="2">
        <v>45953</v>
      </c>
      <c r="L172" t="s">
        <v>10</v>
      </c>
      <c r="M172" t="s">
        <v>5923</v>
      </c>
    </row>
    <row r="173" spans="1:13">
      <c r="A173" t="s">
        <v>6101</v>
      </c>
      <c r="B173" s="2">
        <v>45925</v>
      </c>
      <c r="C173">
        <v>2025</v>
      </c>
      <c r="D173">
        <v>9</v>
      </c>
      <c r="E173" t="s">
        <v>105</v>
      </c>
      <c r="F173" t="s">
        <v>5945</v>
      </c>
      <c r="G173" t="s">
        <v>40</v>
      </c>
      <c r="H173" t="s">
        <v>51</v>
      </c>
      <c r="I173" t="s">
        <v>5919</v>
      </c>
      <c r="J173" t="s">
        <v>50</v>
      </c>
      <c r="K173" s="2">
        <v>45950</v>
      </c>
      <c r="L173" t="s">
        <v>23</v>
      </c>
      <c r="M173" t="s">
        <v>5929</v>
      </c>
    </row>
    <row r="174" spans="1:13">
      <c r="A174" t="s">
        <v>6102</v>
      </c>
      <c r="B174" s="2">
        <v>45917</v>
      </c>
      <c r="C174">
        <v>2025</v>
      </c>
      <c r="D174">
        <v>9</v>
      </c>
      <c r="E174" t="s">
        <v>105</v>
      </c>
      <c r="F174" t="s">
        <v>5918</v>
      </c>
      <c r="G174" t="s">
        <v>78</v>
      </c>
      <c r="H174" t="s">
        <v>71</v>
      </c>
      <c r="I174" t="s">
        <v>5925</v>
      </c>
      <c r="J174" t="s">
        <v>6</v>
      </c>
      <c r="K174" s="2">
        <v>45966</v>
      </c>
      <c r="L174" t="s">
        <v>10</v>
      </c>
      <c r="M174" t="s">
        <v>5929</v>
      </c>
    </row>
    <row r="175" spans="1:13">
      <c r="A175" t="s">
        <v>6103</v>
      </c>
      <c r="B175" s="2">
        <v>45922</v>
      </c>
      <c r="C175">
        <v>2025</v>
      </c>
      <c r="D175">
        <v>9</v>
      </c>
      <c r="E175" t="s">
        <v>105</v>
      </c>
      <c r="F175" t="s">
        <v>5918</v>
      </c>
      <c r="G175" t="s">
        <v>38</v>
      </c>
      <c r="H175" t="s">
        <v>58</v>
      </c>
      <c r="I175" t="s">
        <v>5925</v>
      </c>
      <c r="J175" t="s">
        <v>50</v>
      </c>
      <c r="K175" s="2">
        <v>45941</v>
      </c>
      <c r="L175" t="s">
        <v>10</v>
      </c>
      <c r="M175" t="s">
        <v>5920</v>
      </c>
    </row>
    <row r="176" spans="1:13">
      <c r="A176" t="s">
        <v>6104</v>
      </c>
      <c r="B176" s="2">
        <v>45940</v>
      </c>
      <c r="C176">
        <v>2025</v>
      </c>
      <c r="D176">
        <v>10</v>
      </c>
      <c r="E176" t="s">
        <v>113</v>
      </c>
      <c r="F176" t="s">
        <v>5918</v>
      </c>
      <c r="G176" t="s">
        <v>67</v>
      </c>
      <c r="H176" t="s">
        <v>58</v>
      </c>
      <c r="I176" t="s">
        <v>5919</v>
      </c>
      <c r="J176" t="s">
        <v>50</v>
      </c>
      <c r="K176" s="2">
        <v>45980</v>
      </c>
      <c r="L176" t="s">
        <v>10</v>
      </c>
      <c r="M176" t="s">
        <v>5920</v>
      </c>
    </row>
    <row r="177" spans="1:13">
      <c r="A177" t="s">
        <v>6105</v>
      </c>
      <c r="B177" s="2">
        <v>45943</v>
      </c>
      <c r="C177">
        <v>2025</v>
      </c>
      <c r="D177">
        <v>10</v>
      </c>
      <c r="E177" t="s">
        <v>113</v>
      </c>
      <c r="F177" t="s">
        <v>5945</v>
      </c>
      <c r="G177" t="s">
        <v>19</v>
      </c>
      <c r="H177" t="s">
        <v>71</v>
      </c>
      <c r="I177" t="s">
        <v>5925</v>
      </c>
      <c r="J177" t="s">
        <v>34</v>
      </c>
      <c r="K177" s="2">
        <v>45972</v>
      </c>
      <c r="L177" t="s">
        <v>10</v>
      </c>
      <c r="M177" t="s">
        <v>5935</v>
      </c>
    </row>
    <row r="178" spans="1:13">
      <c r="A178" t="s">
        <v>6106</v>
      </c>
      <c r="B178" s="2">
        <v>45955</v>
      </c>
      <c r="C178">
        <v>2025</v>
      </c>
      <c r="D178">
        <v>10</v>
      </c>
      <c r="E178" t="s">
        <v>113</v>
      </c>
      <c r="F178" t="s">
        <v>5942</v>
      </c>
      <c r="G178" t="s">
        <v>38</v>
      </c>
      <c r="H178" t="s">
        <v>41</v>
      </c>
      <c r="I178" t="s">
        <v>5919</v>
      </c>
      <c r="J178" t="s">
        <v>34</v>
      </c>
      <c r="K178" s="2">
        <v>45985</v>
      </c>
      <c r="L178" t="s">
        <v>10</v>
      </c>
      <c r="M178" t="s">
        <v>5935</v>
      </c>
    </row>
    <row r="179" spans="1:13">
      <c r="A179" t="s">
        <v>6107</v>
      </c>
      <c r="B179" s="2">
        <v>45953</v>
      </c>
      <c r="C179">
        <v>2025</v>
      </c>
      <c r="D179">
        <v>10</v>
      </c>
      <c r="E179" t="s">
        <v>113</v>
      </c>
      <c r="F179" t="s">
        <v>5931</v>
      </c>
      <c r="G179" t="s">
        <v>38</v>
      </c>
      <c r="H179" t="s">
        <v>71</v>
      </c>
      <c r="I179" t="s">
        <v>5919</v>
      </c>
      <c r="J179" t="s">
        <v>13</v>
      </c>
      <c r="K179" s="2">
        <v>45997</v>
      </c>
      <c r="L179" t="s">
        <v>23</v>
      </c>
      <c r="M179" t="s">
        <v>5920</v>
      </c>
    </row>
    <row r="180" spans="1:13">
      <c r="A180" t="s">
        <v>6108</v>
      </c>
      <c r="B180" s="2">
        <v>45947</v>
      </c>
      <c r="C180">
        <v>2025</v>
      </c>
      <c r="D180">
        <v>10</v>
      </c>
      <c r="E180" t="s">
        <v>113</v>
      </c>
      <c r="F180" t="s">
        <v>5928</v>
      </c>
      <c r="G180" t="s">
        <v>47</v>
      </c>
      <c r="H180" t="s">
        <v>41</v>
      </c>
      <c r="I180" t="s">
        <v>5925</v>
      </c>
      <c r="J180" t="s">
        <v>34</v>
      </c>
      <c r="K180" s="2">
        <v>45990</v>
      </c>
      <c r="L180" t="s">
        <v>23</v>
      </c>
      <c r="M180" t="s">
        <v>5923</v>
      </c>
    </row>
    <row r="181" spans="1:13">
      <c r="A181" t="s">
        <v>6109</v>
      </c>
      <c r="B181" s="2">
        <v>45931</v>
      </c>
      <c r="C181">
        <v>2025</v>
      </c>
      <c r="D181">
        <v>10</v>
      </c>
      <c r="E181" t="s">
        <v>113</v>
      </c>
      <c r="F181" t="s">
        <v>5942</v>
      </c>
      <c r="G181" t="s">
        <v>31</v>
      </c>
      <c r="H181" t="s">
        <v>41</v>
      </c>
      <c r="I181" t="s">
        <v>5925</v>
      </c>
      <c r="J181" t="s">
        <v>34</v>
      </c>
      <c r="K181" s="2">
        <v>45996</v>
      </c>
      <c r="L181" t="s">
        <v>23</v>
      </c>
      <c r="M181" t="s">
        <v>5920</v>
      </c>
    </row>
    <row r="182" spans="1:13">
      <c r="A182" t="s">
        <v>6110</v>
      </c>
      <c r="B182" s="2">
        <v>45950</v>
      </c>
      <c r="C182">
        <v>2025</v>
      </c>
      <c r="D182">
        <v>10</v>
      </c>
      <c r="E182" t="s">
        <v>113</v>
      </c>
      <c r="F182" t="s">
        <v>5922</v>
      </c>
      <c r="G182" t="s">
        <v>54</v>
      </c>
      <c r="H182" t="s">
        <v>51</v>
      </c>
      <c r="I182" t="s">
        <v>5925</v>
      </c>
      <c r="J182" t="s">
        <v>70</v>
      </c>
      <c r="K182" s="2">
        <v>46017</v>
      </c>
      <c r="L182" t="s">
        <v>10</v>
      </c>
      <c r="M182" t="s">
        <v>5929</v>
      </c>
    </row>
    <row r="183" spans="1:13">
      <c r="A183" t="s">
        <v>6111</v>
      </c>
      <c r="B183" s="2">
        <v>45946</v>
      </c>
      <c r="C183">
        <v>2025</v>
      </c>
      <c r="D183">
        <v>10</v>
      </c>
      <c r="E183" t="s">
        <v>113</v>
      </c>
      <c r="F183" t="s">
        <v>5931</v>
      </c>
      <c r="G183" t="s">
        <v>54</v>
      </c>
      <c r="H183" t="s">
        <v>58</v>
      </c>
      <c r="I183" t="s">
        <v>5919</v>
      </c>
      <c r="J183" t="s">
        <v>6</v>
      </c>
      <c r="K183" s="2">
        <v>45974</v>
      </c>
      <c r="L183" t="s">
        <v>10</v>
      </c>
      <c r="M183" t="s">
        <v>5923</v>
      </c>
    </row>
    <row r="184" spans="1:13">
      <c r="A184" t="s">
        <v>6112</v>
      </c>
      <c r="B184" s="2">
        <v>45955</v>
      </c>
      <c r="C184">
        <v>2025</v>
      </c>
      <c r="D184">
        <v>10</v>
      </c>
      <c r="E184" t="s">
        <v>113</v>
      </c>
      <c r="F184" t="s">
        <v>5931</v>
      </c>
      <c r="G184" t="s">
        <v>47</v>
      </c>
      <c r="H184" t="s">
        <v>7</v>
      </c>
      <c r="I184" t="s">
        <v>5925</v>
      </c>
      <c r="J184" t="s">
        <v>34</v>
      </c>
      <c r="K184" s="2">
        <v>45989</v>
      </c>
      <c r="L184" t="s">
        <v>10</v>
      </c>
      <c r="M184" t="s">
        <v>5923</v>
      </c>
    </row>
    <row r="185" spans="1:13">
      <c r="A185" t="s">
        <v>6113</v>
      </c>
      <c r="B185" s="2">
        <v>45936</v>
      </c>
      <c r="C185">
        <v>2025</v>
      </c>
      <c r="D185">
        <v>10</v>
      </c>
      <c r="E185" t="s">
        <v>113</v>
      </c>
      <c r="F185" t="s">
        <v>5931</v>
      </c>
      <c r="G185" t="s">
        <v>38</v>
      </c>
      <c r="H185" t="s">
        <v>7</v>
      </c>
      <c r="I185" t="s">
        <v>5925</v>
      </c>
      <c r="J185" t="s">
        <v>50</v>
      </c>
      <c r="K185" s="2">
        <v>45968</v>
      </c>
      <c r="L185" t="s">
        <v>10</v>
      </c>
      <c r="M185" t="s">
        <v>5920</v>
      </c>
    </row>
    <row r="186" spans="1:13">
      <c r="A186" t="s">
        <v>6114</v>
      </c>
      <c r="B186" s="2">
        <v>45933</v>
      </c>
      <c r="C186">
        <v>2025</v>
      </c>
      <c r="D186">
        <v>10</v>
      </c>
      <c r="E186" t="s">
        <v>113</v>
      </c>
      <c r="F186" t="s">
        <v>5928</v>
      </c>
      <c r="G186" t="s">
        <v>54</v>
      </c>
      <c r="H186" t="s">
        <v>71</v>
      </c>
      <c r="I186" t="s">
        <v>5919</v>
      </c>
      <c r="J186" t="s">
        <v>13</v>
      </c>
      <c r="K186" s="2">
        <v>45986</v>
      </c>
      <c r="L186" t="s">
        <v>10</v>
      </c>
      <c r="M186" t="s">
        <v>5923</v>
      </c>
    </row>
    <row r="187" spans="1:13">
      <c r="A187" t="s">
        <v>6115</v>
      </c>
      <c r="B187" s="2">
        <v>45932</v>
      </c>
      <c r="C187">
        <v>2025</v>
      </c>
      <c r="D187">
        <v>10</v>
      </c>
      <c r="E187" t="s">
        <v>113</v>
      </c>
      <c r="F187" t="s">
        <v>5931</v>
      </c>
      <c r="G187" t="s">
        <v>47</v>
      </c>
      <c r="H187" t="s">
        <v>71</v>
      </c>
      <c r="I187" t="s">
        <v>5925</v>
      </c>
      <c r="J187" t="s">
        <v>6</v>
      </c>
      <c r="K187" s="2">
        <v>46014</v>
      </c>
      <c r="L187" t="s">
        <v>10</v>
      </c>
      <c r="M187" t="s">
        <v>5929</v>
      </c>
    </row>
    <row r="188" spans="1:13">
      <c r="A188" t="s">
        <v>6116</v>
      </c>
      <c r="B188" s="2">
        <v>45964</v>
      </c>
      <c r="C188">
        <v>2025</v>
      </c>
      <c r="D188">
        <v>11</v>
      </c>
      <c r="E188" t="s">
        <v>117</v>
      </c>
      <c r="F188" t="s">
        <v>5922</v>
      </c>
      <c r="G188" t="s">
        <v>54</v>
      </c>
      <c r="H188" t="s">
        <v>51</v>
      </c>
      <c r="I188" t="s">
        <v>5919</v>
      </c>
      <c r="J188" t="s">
        <v>13</v>
      </c>
      <c r="K188" s="2">
        <v>46021</v>
      </c>
      <c r="L188" t="s">
        <v>23</v>
      </c>
      <c r="M188" t="s">
        <v>5920</v>
      </c>
    </row>
    <row r="189" spans="1:13">
      <c r="A189" t="s">
        <v>6117</v>
      </c>
      <c r="B189" s="2">
        <v>45964</v>
      </c>
      <c r="C189">
        <v>2025</v>
      </c>
      <c r="D189">
        <v>11</v>
      </c>
      <c r="E189" t="s">
        <v>117</v>
      </c>
      <c r="F189" t="s">
        <v>5931</v>
      </c>
      <c r="G189" t="s">
        <v>19</v>
      </c>
      <c r="H189" t="s">
        <v>107</v>
      </c>
      <c r="I189" t="s">
        <v>5919</v>
      </c>
      <c r="J189" t="s">
        <v>70</v>
      </c>
      <c r="K189" s="2">
        <v>45996</v>
      </c>
      <c r="L189" t="s">
        <v>10</v>
      </c>
      <c r="M189" t="s">
        <v>5929</v>
      </c>
    </row>
    <row r="190" spans="1:13">
      <c r="A190" t="s">
        <v>6118</v>
      </c>
      <c r="B190" s="2">
        <v>45981</v>
      </c>
      <c r="C190">
        <v>2025</v>
      </c>
      <c r="D190">
        <v>11</v>
      </c>
      <c r="E190" t="s">
        <v>117</v>
      </c>
      <c r="F190" t="s">
        <v>5928</v>
      </c>
      <c r="G190" t="s">
        <v>19</v>
      </c>
      <c r="H190" t="s">
        <v>58</v>
      </c>
      <c r="I190" t="s">
        <v>5925</v>
      </c>
      <c r="J190" t="s">
        <v>13</v>
      </c>
      <c r="K190" s="2">
        <v>45998</v>
      </c>
      <c r="L190" t="s">
        <v>10</v>
      </c>
      <c r="M190" t="s">
        <v>5923</v>
      </c>
    </row>
    <row r="191" spans="1:13">
      <c r="A191" t="s">
        <v>6119</v>
      </c>
      <c r="B191" s="2">
        <v>45972</v>
      </c>
      <c r="C191">
        <v>2025</v>
      </c>
      <c r="D191">
        <v>11</v>
      </c>
      <c r="E191" t="s">
        <v>117</v>
      </c>
      <c r="F191" t="s">
        <v>5945</v>
      </c>
      <c r="G191" t="s">
        <v>19</v>
      </c>
      <c r="H191" t="s">
        <v>41</v>
      </c>
      <c r="I191" t="s">
        <v>5919</v>
      </c>
      <c r="J191" t="s">
        <v>70</v>
      </c>
      <c r="K191" s="2">
        <v>46023</v>
      </c>
      <c r="L191" t="s">
        <v>10</v>
      </c>
      <c r="M191" t="s">
        <v>5923</v>
      </c>
    </row>
    <row r="192" spans="1:13">
      <c r="A192" t="s">
        <v>6120</v>
      </c>
      <c r="B192" s="2">
        <v>45980</v>
      </c>
      <c r="C192">
        <v>2025</v>
      </c>
      <c r="D192">
        <v>11</v>
      </c>
      <c r="E192" t="s">
        <v>117</v>
      </c>
      <c r="F192" t="s">
        <v>5942</v>
      </c>
      <c r="G192" t="s">
        <v>38</v>
      </c>
      <c r="H192" t="s">
        <v>7</v>
      </c>
      <c r="I192" t="s">
        <v>5925</v>
      </c>
      <c r="J192" t="s">
        <v>50</v>
      </c>
      <c r="K192" s="2">
        <v>45992</v>
      </c>
      <c r="L192" t="s">
        <v>10</v>
      </c>
      <c r="M192" t="s">
        <v>5929</v>
      </c>
    </row>
    <row r="193" spans="1:13">
      <c r="A193" t="s">
        <v>6121</v>
      </c>
      <c r="B193" s="2">
        <v>45988</v>
      </c>
      <c r="C193">
        <v>2025</v>
      </c>
      <c r="D193">
        <v>11</v>
      </c>
      <c r="E193" t="s">
        <v>117</v>
      </c>
      <c r="F193" t="s">
        <v>5931</v>
      </c>
      <c r="G193" t="s">
        <v>78</v>
      </c>
      <c r="H193" t="s">
        <v>84</v>
      </c>
      <c r="I193" t="s">
        <v>5925</v>
      </c>
      <c r="J193" t="s">
        <v>6</v>
      </c>
      <c r="K193" s="2">
        <v>45988</v>
      </c>
      <c r="L193" t="s">
        <v>10</v>
      </c>
      <c r="M193" t="s">
        <v>5935</v>
      </c>
    </row>
    <row r="194" spans="1:13">
      <c r="A194" t="s">
        <v>6122</v>
      </c>
      <c r="B194" s="2">
        <v>45966</v>
      </c>
      <c r="C194">
        <v>2025</v>
      </c>
      <c r="D194">
        <v>11</v>
      </c>
      <c r="E194" t="s">
        <v>117</v>
      </c>
      <c r="F194" t="s">
        <v>5931</v>
      </c>
      <c r="G194" t="s">
        <v>38</v>
      </c>
      <c r="H194" t="s">
        <v>71</v>
      </c>
      <c r="I194" t="s">
        <v>5919</v>
      </c>
      <c r="J194" t="s">
        <v>13</v>
      </c>
      <c r="K194" s="2">
        <v>46000</v>
      </c>
      <c r="L194" t="s">
        <v>10</v>
      </c>
      <c r="M194" t="s">
        <v>5920</v>
      </c>
    </row>
    <row r="195" spans="1:13">
      <c r="A195" t="s">
        <v>6123</v>
      </c>
      <c r="B195" s="2">
        <v>45985</v>
      </c>
      <c r="C195">
        <v>2025</v>
      </c>
      <c r="D195">
        <v>11</v>
      </c>
      <c r="E195" t="s">
        <v>117</v>
      </c>
      <c r="F195" t="s">
        <v>5918</v>
      </c>
      <c r="G195" t="s">
        <v>31</v>
      </c>
      <c r="H195" t="s">
        <v>84</v>
      </c>
      <c r="I195" t="s">
        <v>5919</v>
      </c>
      <c r="J195" t="s">
        <v>34</v>
      </c>
      <c r="K195" s="2">
        <v>46018</v>
      </c>
      <c r="L195" t="s">
        <v>23</v>
      </c>
      <c r="M195" t="s">
        <v>5923</v>
      </c>
    </row>
    <row r="196" spans="1:13">
      <c r="A196" t="s">
        <v>6124</v>
      </c>
      <c r="B196" s="2">
        <v>45970</v>
      </c>
      <c r="C196">
        <v>2025</v>
      </c>
      <c r="D196">
        <v>11</v>
      </c>
      <c r="E196" t="s">
        <v>117</v>
      </c>
      <c r="F196" t="s">
        <v>5931</v>
      </c>
      <c r="G196" t="s">
        <v>67</v>
      </c>
      <c r="H196" t="s">
        <v>71</v>
      </c>
      <c r="I196" t="s">
        <v>5925</v>
      </c>
      <c r="J196" t="s">
        <v>50</v>
      </c>
      <c r="K196" s="2">
        <v>46041</v>
      </c>
      <c r="L196" t="s">
        <v>10</v>
      </c>
      <c r="M196" t="s">
        <v>5920</v>
      </c>
    </row>
    <row r="197" spans="1:13">
      <c r="A197" t="s">
        <v>6125</v>
      </c>
      <c r="B197" s="2">
        <v>45989</v>
      </c>
      <c r="C197">
        <v>2025</v>
      </c>
      <c r="D197">
        <v>11</v>
      </c>
      <c r="E197" t="s">
        <v>117</v>
      </c>
      <c r="F197" t="s">
        <v>5918</v>
      </c>
      <c r="G197" t="s">
        <v>78</v>
      </c>
      <c r="H197" t="s">
        <v>71</v>
      </c>
      <c r="I197" t="s">
        <v>5919</v>
      </c>
      <c r="J197" t="s">
        <v>34</v>
      </c>
      <c r="K197" s="2">
        <v>46010</v>
      </c>
      <c r="L197" t="s">
        <v>10</v>
      </c>
      <c r="M197" t="s">
        <v>5935</v>
      </c>
    </row>
    <row r="198" spans="1:13">
      <c r="A198" t="s">
        <v>6126</v>
      </c>
      <c r="B198" s="2">
        <v>45988</v>
      </c>
      <c r="C198">
        <v>2025</v>
      </c>
      <c r="D198">
        <v>11</v>
      </c>
      <c r="E198" t="s">
        <v>117</v>
      </c>
      <c r="F198" t="s">
        <v>5931</v>
      </c>
      <c r="G198" t="s">
        <v>54</v>
      </c>
      <c r="H198" t="s">
        <v>58</v>
      </c>
      <c r="I198" t="s">
        <v>5919</v>
      </c>
      <c r="J198" t="s">
        <v>34</v>
      </c>
      <c r="K198" s="2">
        <v>46006</v>
      </c>
      <c r="L198" t="s">
        <v>10</v>
      </c>
      <c r="M198" t="s">
        <v>5929</v>
      </c>
    </row>
    <row r="199" spans="1:13">
      <c r="A199" t="s">
        <v>6127</v>
      </c>
      <c r="B199" s="2">
        <v>45988</v>
      </c>
      <c r="C199">
        <v>2025</v>
      </c>
      <c r="D199">
        <v>11</v>
      </c>
      <c r="E199" t="s">
        <v>117</v>
      </c>
      <c r="F199" t="s">
        <v>5942</v>
      </c>
      <c r="G199" t="s">
        <v>19</v>
      </c>
      <c r="H199" t="s">
        <v>41</v>
      </c>
      <c r="I199" t="s">
        <v>5919</v>
      </c>
      <c r="J199" t="s">
        <v>13</v>
      </c>
      <c r="K199" s="2">
        <v>45996</v>
      </c>
      <c r="L199" t="s">
        <v>5939</v>
      </c>
      <c r="M199" t="s">
        <v>5935</v>
      </c>
    </row>
    <row r="200" spans="1:13">
      <c r="A200" t="s">
        <v>6128</v>
      </c>
      <c r="B200" s="2">
        <v>46010</v>
      </c>
      <c r="C200">
        <v>2025</v>
      </c>
      <c r="D200">
        <v>12</v>
      </c>
      <c r="E200" t="s">
        <v>124</v>
      </c>
      <c r="F200" t="s">
        <v>5928</v>
      </c>
      <c r="G200" t="s">
        <v>78</v>
      </c>
      <c r="H200" t="s">
        <v>41</v>
      </c>
      <c r="I200" t="s">
        <v>5919</v>
      </c>
      <c r="J200" t="s">
        <v>6</v>
      </c>
      <c r="K200" s="2">
        <v>46030</v>
      </c>
      <c r="L200" t="s">
        <v>23</v>
      </c>
      <c r="M200" t="s">
        <v>5920</v>
      </c>
    </row>
    <row r="201" spans="1:13">
      <c r="A201" t="s">
        <v>6129</v>
      </c>
      <c r="B201" s="2">
        <v>46002</v>
      </c>
      <c r="C201">
        <v>2025</v>
      </c>
      <c r="D201">
        <v>12</v>
      </c>
      <c r="E201" t="s">
        <v>124</v>
      </c>
      <c r="F201" t="s">
        <v>5945</v>
      </c>
      <c r="G201" t="s">
        <v>78</v>
      </c>
      <c r="H201" t="s">
        <v>41</v>
      </c>
      <c r="I201" t="s">
        <v>5925</v>
      </c>
      <c r="J201" t="s">
        <v>34</v>
      </c>
      <c r="K201" s="2">
        <v>46027</v>
      </c>
      <c r="L201" t="s">
        <v>5939</v>
      </c>
      <c r="M201" t="s">
        <v>5923</v>
      </c>
    </row>
    <row r="202" spans="1:13">
      <c r="A202" t="s">
        <v>6130</v>
      </c>
      <c r="B202" s="2">
        <v>45998</v>
      </c>
      <c r="C202">
        <v>2025</v>
      </c>
      <c r="D202">
        <v>12</v>
      </c>
      <c r="E202" t="s">
        <v>124</v>
      </c>
      <c r="F202" t="s">
        <v>5931</v>
      </c>
      <c r="G202" t="s">
        <v>78</v>
      </c>
      <c r="H202" t="s">
        <v>71</v>
      </c>
      <c r="I202" t="s">
        <v>5925</v>
      </c>
      <c r="J202" t="s">
        <v>70</v>
      </c>
      <c r="K202" s="2">
        <v>46011</v>
      </c>
      <c r="L202" t="s">
        <v>10</v>
      </c>
      <c r="M202" t="s">
        <v>5929</v>
      </c>
    </row>
    <row r="203" spans="1:13">
      <c r="A203" t="s">
        <v>6131</v>
      </c>
      <c r="B203" s="2">
        <v>46009</v>
      </c>
      <c r="C203">
        <v>2025</v>
      </c>
      <c r="D203">
        <v>12</v>
      </c>
      <c r="E203" t="s">
        <v>124</v>
      </c>
      <c r="F203" t="s">
        <v>5942</v>
      </c>
      <c r="G203" t="s">
        <v>54</v>
      </c>
      <c r="H203" t="s">
        <v>41</v>
      </c>
      <c r="I203" t="s">
        <v>5925</v>
      </c>
      <c r="J203" t="s">
        <v>13</v>
      </c>
      <c r="K203" s="2">
        <v>46050</v>
      </c>
      <c r="L203" t="s">
        <v>5939</v>
      </c>
      <c r="M203" t="s">
        <v>5923</v>
      </c>
    </row>
    <row r="204" spans="1:13">
      <c r="A204" t="s">
        <v>6132</v>
      </c>
      <c r="B204" s="2">
        <v>46014</v>
      </c>
      <c r="C204">
        <v>2025</v>
      </c>
      <c r="D204">
        <v>12</v>
      </c>
      <c r="E204" t="s">
        <v>124</v>
      </c>
      <c r="F204" t="s">
        <v>5928</v>
      </c>
      <c r="G204" t="s">
        <v>19</v>
      </c>
      <c r="H204" t="s">
        <v>71</v>
      </c>
      <c r="I204" t="s">
        <v>5925</v>
      </c>
      <c r="J204" t="s">
        <v>13</v>
      </c>
      <c r="K204" s="2">
        <v>46031</v>
      </c>
      <c r="L204" t="s">
        <v>10</v>
      </c>
      <c r="M204" t="s">
        <v>5929</v>
      </c>
    </row>
    <row r="205" spans="1:13">
      <c r="A205" t="s">
        <v>6133</v>
      </c>
      <c r="B205" s="2">
        <v>46030</v>
      </c>
      <c r="C205">
        <v>2026</v>
      </c>
      <c r="D205">
        <v>1</v>
      </c>
      <c r="E205" t="s">
        <v>1</v>
      </c>
      <c r="F205" t="s">
        <v>5918</v>
      </c>
      <c r="G205" t="s">
        <v>40</v>
      </c>
      <c r="H205" t="s">
        <v>14</v>
      </c>
      <c r="I205" t="s">
        <v>5925</v>
      </c>
      <c r="J205" t="s">
        <v>70</v>
      </c>
      <c r="K205" s="2">
        <v>46082</v>
      </c>
      <c r="L205" t="s">
        <v>23</v>
      </c>
      <c r="M205" t="s">
        <v>5935</v>
      </c>
    </row>
    <row r="206" spans="1:13">
      <c r="A206" t="s">
        <v>6134</v>
      </c>
      <c r="B206" s="2">
        <v>46026</v>
      </c>
      <c r="C206">
        <v>2026</v>
      </c>
      <c r="D206">
        <v>1</v>
      </c>
      <c r="E206" t="s">
        <v>1</v>
      </c>
      <c r="F206" t="s">
        <v>5922</v>
      </c>
      <c r="G206" t="s">
        <v>38</v>
      </c>
      <c r="H206" t="s">
        <v>56</v>
      </c>
      <c r="I206" t="s">
        <v>5925</v>
      </c>
      <c r="J206" t="s">
        <v>6</v>
      </c>
      <c r="K206" s="2">
        <v>46051</v>
      </c>
      <c r="L206" t="s">
        <v>10</v>
      </c>
      <c r="M206" t="s">
        <v>5920</v>
      </c>
    </row>
    <row r="207" spans="1:13">
      <c r="A207" t="s">
        <v>6135</v>
      </c>
      <c r="B207" s="2">
        <v>46023</v>
      </c>
      <c r="C207">
        <v>2026</v>
      </c>
      <c r="D207">
        <v>1</v>
      </c>
      <c r="E207" t="s">
        <v>1</v>
      </c>
      <c r="F207" t="s">
        <v>5928</v>
      </c>
      <c r="G207" t="s">
        <v>47</v>
      </c>
      <c r="H207" t="s">
        <v>56</v>
      </c>
      <c r="I207" t="s">
        <v>5925</v>
      </c>
      <c r="J207" t="s">
        <v>70</v>
      </c>
      <c r="K207" s="2">
        <v>46049</v>
      </c>
      <c r="L207" t="s">
        <v>10</v>
      </c>
      <c r="M207" t="s">
        <v>5920</v>
      </c>
    </row>
    <row r="208" spans="1:13">
      <c r="A208" t="s">
        <v>6136</v>
      </c>
      <c r="B208" s="2">
        <v>46026</v>
      </c>
      <c r="C208">
        <v>2026</v>
      </c>
      <c r="D208">
        <v>1</v>
      </c>
      <c r="E208" t="s">
        <v>1</v>
      </c>
      <c r="F208" t="s">
        <v>5931</v>
      </c>
      <c r="G208" t="s">
        <v>26</v>
      </c>
      <c r="H208" t="s">
        <v>56</v>
      </c>
      <c r="I208" t="s">
        <v>5919</v>
      </c>
      <c r="J208" t="s">
        <v>6</v>
      </c>
      <c r="K208" s="2">
        <v>46096</v>
      </c>
      <c r="L208" t="s">
        <v>23</v>
      </c>
      <c r="M208" t="s">
        <v>5935</v>
      </c>
    </row>
    <row r="209" spans="1:13">
      <c r="A209" t="s">
        <v>6137</v>
      </c>
      <c r="B209" s="2">
        <v>46035</v>
      </c>
      <c r="C209">
        <v>2026</v>
      </c>
      <c r="D209">
        <v>1</v>
      </c>
      <c r="E209" t="s">
        <v>1</v>
      </c>
      <c r="F209" t="s">
        <v>5918</v>
      </c>
      <c r="G209" t="s">
        <v>26</v>
      </c>
      <c r="H209" t="s">
        <v>58</v>
      </c>
      <c r="I209" t="s">
        <v>5925</v>
      </c>
      <c r="J209" t="s">
        <v>70</v>
      </c>
      <c r="K209" s="2">
        <v>46064</v>
      </c>
      <c r="L209" t="s">
        <v>10</v>
      </c>
      <c r="M209" t="s">
        <v>5923</v>
      </c>
    </row>
    <row r="210" spans="1:13">
      <c r="A210" t="s">
        <v>6138</v>
      </c>
      <c r="B210" s="2">
        <v>46034</v>
      </c>
      <c r="C210">
        <v>2026</v>
      </c>
      <c r="D210">
        <v>1</v>
      </c>
      <c r="E210" t="s">
        <v>1</v>
      </c>
      <c r="F210" t="s">
        <v>5922</v>
      </c>
      <c r="G210" t="s">
        <v>31</v>
      </c>
      <c r="H210" t="s">
        <v>14</v>
      </c>
      <c r="I210" t="s">
        <v>5925</v>
      </c>
      <c r="J210" t="s">
        <v>70</v>
      </c>
      <c r="K210" s="2">
        <v>46059</v>
      </c>
      <c r="L210" t="s">
        <v>17</v>
      </c>
      <c r="M210" t="s">
        <v>5923</v>
      </c>
    </row>
    <row r="211" spans="1:13">
      <c r="A211" t="s">
        <v>6139</v>
      </c>
      <c r="B211" s="2">
        <v>46045</v>
      </c>
      <c r="C211">
        <v>2026</v>
      </c>
      <c r="D211">
        <v>1</v>
      </c>
      <c r="E211" t="s">
        <v>1</v>
      </c>
      <c r="F211" t="s">
        <v>5922</v>
      </c>
      <c r="G211" t="s">
        <v>38</v>
      </c>
      <c r="H211" t="s">
        <v>84</v>
      </c>
      <c r="I211" t="s">
        <v>5919</v>
      </c>
      <c r="J211" t="s">
        <v>50</v>
      </c>
      <c r="K211" s="2">
        <v>46089</v>
      </c>
      <c r="L211" t="s">
        <v>17</v>
      </c>
      <c r="M211" t="s">
        <v>5935</v>
      </c>
    </row>
    <row r="212" spans="1:13">
      <c r="A212" t="s">
        <v>6140</v>
      </c>
      <c r="B212" s="2">
        <v>46026</v>
      </c>
      <c r="C212">
        <v>2026</v>
      </c>
      <c r="D212">
        <v>1</v>
      </c>
      <c r="E212" t="s">
        <v>1</v>
      </c>
      <c r="F212" t="s">
        <v>5942</v>
      </c>
      <c r="G212" t="s">
        <v>54</v>
      </c>
      <c r="H212" t="s">
        <v>84</v>
      </c>
      <c r="I212" t="s">
        <v>5919</v>
      </c>
      <c r="J212" t="s">
        <v>13</v>
      </c>
      <c r="K212" s="2">
        <v>46076</v>
      </c>
      <c r="L212" t="s">
        <v>10</v>
      </c>
      <c r="M212" t="s">
        <v>5920</v>
      </c>
    </row>
    <row r="213" spans="1:13">
      <c r="A213" t="s">
        <v>6141</v>
      </c>
      <c r="B213" s="2">
        <v>46030</v>
      </c>
      <c r="C213">
        <v>2026</v>
      </c>
      <c r="D213">
        <v>1</v>
      </c>
      <c r="E213" t="s">
        <v>1</v>
      </c>
      <c r="F213" t="s">
        <v>5942</v>
      </c>
      <c r="G213" t="s">
        <v>40</v>
      </c>
      <c r="H213" t="s">
        <v>41</v>
      </c>
      <c r="I213" t="s">
        <v>5925</v>
      </c>
      <c r="J213" t="s">
        <v>13</v>
      </c>
      <c r="K213" s="2">
        <v>46091</v>
      </c>
      <c r="L213" t="s">
        <v>23</v>
      </c>
      <c r="M213" t="s">
        <v>5920</v>
      </c>
    </row>
    <row r="214" spans="1:13">
      <c r="A214" t="s">
        <v>6142</v>
      </c>
      <c r="B214" s="2">
        <v>46026</v>
      </c>
      <c r="C214">
        <v>2026</v>
      </c>
      <c r="D214">
        <v>1</v>
      </c>
      <c r="E214" t="s">
        <v>1</v>
      </c>
      <c r="F214" t="s">
        <v>5922</v>
      </c>
      <c r="G214" t="s">
        <v>67</v>
      </c>
      <c r="H214" t="s">
        <v>56</v>
      </c>
      <c r="I214" t="s">
        <v>5919</v>
      </c>
      <c r="J214" t="s">
        <v>50</v>
      </c>
      <c r="K214" s="2">
        <v>46076</v>
      </c>
      <c r="L214" t="s">
        <v>10</v>
      </c>
      <c r="M214" t="s">
        <v>5920</v>
      </c>
    </row>
    <row r="215" spans="1:13">
      <c r="A215" t="s">
        <v>6143</v>
      </c>
      <c r="B215" s="2">
        <v>46046</v>
      </c>
      <c r="C215">
        <v>2026</v>
      </c>
      <c r="D215">
        <v>1</v>
      </c>
      <c r="E215" t="s">
        <v>1</v>
      </c>
      <c r="F215" t="s">
        <v>5922</v>
      </c>
      <c r="G215" t="s">
        <v>67</v>
      </c>
      <c r="H215" t="s">
        <v>56</v>
      </c>
      <c r="I215" t="s">
        <v>5925</v>
      </c>
      <c r="J215" t="s">
        <v>13</v>
      </c>
      <c r="K215" s="2">
        <v>46097</v>
      </c>
      <c r="L215" t="s">
        <v>10</v>
      </c>
      <c r="M215" t="s">
        <v>5920</v>
      </c>
    </row>
    <row r="216" spans="1:13">
      <c r="A216" t="s">
        <v>6144</v>
      </c>
      <c r="B216" s="2">
        <v>46046</v>
      </c>
      <c r="C216">
        <v>2026</v>
      </c>
      <c r="D216">
        <v>1</v>
      </c>
      <c r="E216" t="s">
        <v>1</v>
      </c>
      <c r="F216" t="s">
        <v>5922</v>
      </c>
      <c r="G216" t="s">
        <v>38</v>
      </c>
      <c r="H216" t="s">
        <v>84</v>
      </c>
      <c r="I216" t="s">
        <v>5919</v>
      </c>
      <c r="J216" t="s">
        <v>13</v>
      </c>
      <c r="K216" s="2">
        <v>46057</v>
      </c>
      <c r="L216" t="s">
        <v>10</v>
      </c>
      <c r="M216" t="s">
        <v>5929</v>
      </c>
    </row>
    <row r="217" spans="1:13">
      <c r="A217" t="s">
        <v>6145</v>
      </c>
      <c r="B217" s="2">
        <v>46064</v>
      </c>
      <c r="C217">
        <v>2026</v>
      </c>
      <c r="D217">
        <v>2</v>
      </c>
      <c r="E217" t="s">
        <v>25</v>
      </c>
      <c r="F217" t="s">
        <v>5945</v>
      </c>
      <c r="G217" t="s">
        <v>19</v>
      </c>
      <c r="H217" t="s">
        <v>7</v>
      </c>
      <c r="I217" t="s">
        <v>5919</v>
      </c>
      <c r="J217" t="s">
        <v>34</v>
      </c>
      <c r="K217" s="2">
        <v>46086</v>
      </c>
      <c r="L217" t="s">
        <v>10</v>
      </c>
      <c r="M217" t="s">
        <v>5923</v>
      </c>
    </row>
    <row r="218" spans="1:13">
      <c r="A218" t="s">
        <v>6146</v>
      </c>
      <c r="B218" s="2">
        <v>46065</v>
      </c>
      <c r="C218">
        <v>2026</v>
      </c>
      <c r="D218">
        <v>2</v>
      </c>
      <c r="E218" t="s">
        <v>25</v>
      </c>
      <c r="F218" t="s">
        <v>5918</v>
      </c>
      <c r="G218" t="s">
        <v>54</v>
      </c>
      <c r="H218" t="s">
        <v>21</v>
      </c>
      <c r="I218" t="s">
        <v>5919</v>
      </c>
      <c r="J218" t="s">
        <v>13</v>
      </c>
      <c r="K218" s="2">
        <v>46086</v>
      </c>
      <c r="L218" t="s">
        <v>10</v>
      </c>
      <c r="M218" t="s">
        <v>5923</v>
      </c>
    </row>
    <row r="219" spans="1:13">
      <c r="A219" t="s">
        <v>6147</v>
      </c>
      <c r="B219" s="2">
        <v>46075</v>
      </c>
      <c r="C219">
        <v>2026</v>
      </c>
      <c r="D219">
        <v>2</v>
      </c>
      <c r="E219" t="s">
        <v>25</v>
      </c>
      <c r="F219" t="s">
        <v>5945</v>
      </c>
      <c r="G219" t="s">
        <v>78</v>
      </c>
      <c r="H219" t="s">
        <v>7</v>
      </c>
      <c r="I219" t="s">
        <v>5919</v>
      </c>
      <c r="J219" t="s">
        <v>34</v>
      </c>
      <c r="K219" s="2">
        <v>46101</v>
      </c>
      <c r="L219" t="s">
        <v>10</v>
      </c>
      <c r="M219" t="s">
        <v>5929</v>
      </c>
    </row>
    <row r="220" spans="1:13">
      <c r="A220" t="s">
        <v>6148</v>
      </c>
      <c r="B220" s="2">
        <v>46057</v>
      </c>
      <c r="C220">
        <v>2026</v>
      </c>
      <c r="D220">
        <v>2</v>
      </c>
      <c r="E220" t="s">
        <v>25</v>
      </c>
      <c r="F220" t="s">
        <v>5945</v>
      </c>
      <c r="G220" t="s">
        <v>19</v>
      </c>
      <c r="H220" t="s">
        <v>51</v>
      </c>
      <c r="I220" t="s">
        <v>5925</v>
      </c>
      <c r="J220" t="s">
        <v>50</v>
      </c>
      <c r="K220" s="2">
        <v>46084</v>
      </c>
      <c r="L220" t="s">
        <v>10</v>
      </c>
      <c r="M220" t="s">
        <v>5923</v>
      </c>
    </row>
    <row r="221" spans="1:13">
      <c r="A221" t="s">
        <v>6149</v>
      </c>
      <c r="B221" s="2">
        <v>46054</v>
      </c>
      <c r="C221">
        <v>2026</v>
      </c>
      <c r="D221">
        <v>2</v>
      </c>
      <c r="E221" t="s">
        <v>25</v>
      </c>
      <c r="F221" t="s">
        <v>5928</v>
      </c>
      <c r="G221" t="s">
        <v>47</v>
      </c>
      <c r="H221" t="s">
        <v>21</v>
      </c>
      <c r="I221" t="s">
        <v>5925</v>
      </c>
      <c r="J221" t="s">
        <v>50</v>
      </c>
      <c r="K221" s="2">
        <v>46110</v>
      </c>
      <c r="L221" t="s">
        <v>23</v>
      </c>
      <c r="M221" t="s">
        <v>5920</v>
      </c>
    </row>
    <row r="222" spans="1:13">
      <c r="A222" t="s">
        <v>6150</v>
      </c>
      <c r="B222" s="2">
        <v>46062</v>
      </c>
      <c r="C222">
        <v>2026</v>
      </c>
      <c r="D222">
        <v>2</v>
      </c>
      <c r="E222" t="s">
        <v>25</v>
      </c>
      <c r="F222" t="s">
        <v>5918</v>
      </c>
      <c r="G222" t="s">
        <v>38</v>
      </c>
      <c r="H222" t="s">
        <v>107</v>
      </c>
      <c r="I222" t="s">
        <v>5919</v>
      </c>
      <c r="J222" t="s">
        <v>6</v>
      </c>
      <c r="K222" s="2">
        <v>46128</v>
      </c>
      <c r="L222" t="s">
        <v>17</v>
      </c>
      <c r="M222" t="s">
        <v>5923</v>
      </c>
    </row>
    <row r="223" spans="1:13">
      <c r="A223" t="s">
        <v>6151</v>
      </c>
      <c r="B223" s="2">
        <v>46108</v>
      </c>
      <c r="C223">
        <v>2026</v>
      </c>
      <c r="D223">
        <v>3</v>
      </c>
      <c r="E223" t="s">
        <v>60</v>
      </c>
      <c r="F223" t="s">
        <v>5945</v>
      </c>
      <c r="G223" t="s">
        <v>67</v>
      </c>
      <c r="H223" t="s">
        <v>41</v>
      </c>
      <c r="I223" t="s">
        <v>5925</v>
      </c>
      <c r="J223" t="s">
        <v>34</v>
      </c>
      <c r="K223" s="2">
        <v>46124</v>
      </c>
      <c r="L223" t="s">
        <v>5939</v>
      </c>
      <c r="M223" t="s">
        <v>5929</v>
      </c>
    </row>
    <row r="224" spans="1:13">
      <c r="A224" t="s">
        <v>6152</v>
      </c>
      <c r="B224" s="2">
        <v>46101</v>
      </c>
      <c r="C224">
        <v>2026</v>
      </c>
      <c r="D224">
        <v>3</v>
      </c>
      <c r="E224" t="s">
        <v>60</v>
      </c>
      <c r="F224" t="s">
        <v>5928</v>
      </c>
      <c r="G224" t="s">
        <v>40</v>
      </c>
      <c r="H224" t="s">
        <v>84</v>
      </c>
      <c r="I224" t="s">
        <v>5919</v>
      </c>
      <c r="J224" t="s">
        <v>50</v>
      </c>
      <c r="K224" s="2">
        <v>46150</v>
      </c>
      <c r="L224" t="s">
        <v>17</v>
      </c>
      <c r="M224" t="s">
        <v>5920</v>
      </c>
    </row>
    <row r="225" spans="1:13">
      <c r="A225" t="s">
        <v>6153</v>
      </c>
      <c r="B225" s="2">
        <v>46087</v>
      </c>
      <c r="C225">
        <v>2026</v>
      </c>
      <c r="D225">
        <v>3</v>
      </c>
      <c r="E225" t="s">
        <v>60</v>
      </c>
      <c r="F225" t="s">
        <v>5945</v>
      </c>
      <c r="G225" t="s">
        <v>67</v>
      </c>
      <c r="H225" t="s">
        <v>51</v>
      </c>
      <c r="I225" t="s">
        <v>5919</v>
      </c>
      <c r="J225" t="s">
        <v>50</v>
      </c>
      <c r="K225" s="2">
        <v>46130</v>
      </c>
      <c r="L225" t="s">
        <v>17</v>
      </c>
      <c r="M225" t="s">
        <v>5935</v>
      </c>
    </row>
    <row r="226" spans="1:13">
      <c r="A226" t="s">
        <v>6154</v>
      </c>
      <c r="B226" s="2">
        <v>46101</v>
      </c>
      <c r="C226">
        <v>2026</v>
      </c>
      <c r="D226">
        <v>3</v>
      </c>
      <c r="E226" t="s">
        <v>60</v>
      </c>
      <c r="F226" t="s">
        <v>5928</v>
      </c>
      <c r="G226" t="s">
        <v>78</v>
      </c>
      <c r="H226" t="s">
        <v>7</v>
      </c>
      <c r="I226" t="s">
        <v>5925</v>
      </c>
      <c r="J226" t="s">
        <v>34</v>
      </c>
      <c r="K226" s="2">
        <v>46122</v>
      </c>
      <c r="L226" t="s">
        <v>10</v>
      </c>
      <c r="M226" t="s">
        <v>5923</v>
      </c>
    </row>
    <row r="227" spans="1:13">
      <c r="A227" t="s">
        <v>6155</v>
      </c>
      <c r="B227" s="2">
        <v>46129</v>
      </c>
      <c r="C227">
        <v>2026</v>
      </c>
      <c r="D227">
        <v>4</v>
      </c>
      <c r="E227" t="s">
        <v>73</v>
      </c>
      <c r="F227" t="s">
        <v>5918</v>
      </c>
      <c r="G227" t="s">
        <v>26</v>
      </c>
      <c r="H227" t="s">
        <v>107</v>
      </c>
      <c r="I227" t="s">
        <v>5919</v>
      </c>
      <c r="J227" t="s">
        <v>6</v>
      </c>
      <c r="K227" s="2">
        <v>46167</v>
      </c>
      <c r="L227" t="s">
        <v>23</v>
      </c>
      <c r="M227" t="s">
        <v>5923</v>
      </c>
    </row>
    <row r="228" spans="1:13">
      <c r="A228" t="s">
        <v>6156</v>
      </c>
      <c r="B228" s="2">
        <v>46131</v>
      </c>
      <c r="C228">
        <v>2026</v>
      </c>
      <c r="D228">
        <v>4</v>
      </c>
      <c r="E228" t="s">
        <v>73</v>
      </c>
      <c r="F228" t="s">
        <v>5931</v>
      </c>
      <c r="G228" t="s">
        <v>26</v>
      </c>
      <c r="H228" t="s">
        <v>71</v>
      </c>
      <c r="I228" t="s">
        <v>5919</v>
      </c>
      <c r="J228" t="s">
        <v>6</v>
      </c>
      <c r="K228" s="2">
        <v>46164</v>
      </c>
      <c r="L228" t="s">
        <v>10</v>
      </c>
      <c r="M228" t="s">
        <v>5920</v>
      </c>
    </row>
    <row r="229" spans="1:13">
      <c r="A229" t="s">
        <v>6157</v>
      </c>
      <c r="B229" s="2">
        <v>46128</v>
      </c>
      <c r="C229">
        <v>2026</v>
      </c>
      <c r="D229">
        <v>4</v>
      </c>
      <c r="E229" t="s">
        <v>73</v>
      </c>
      <c r="F229" t="s">
        <v>5942</v>
      </c>
      <c r="G229" t="s">
        <v>31</v>
      </c>
      <c r="H229" t="s">
        <v>56</v>
      </c>
      <c r="I229" t="s">
        <v>5919</v>
      </c>
      <c r="J229" t="s">
        <v>34</v>
      </c>
      <c r="K229" s="2">
        <v>46188</v>
      </c>
      <c r="L229" t="s">
        <v>10</v>
      </c>
      <c r="M229" t="s">
        <v>5923</v>
      </c>
    </row>
    <row r="230" spans="1:13">
      <c r="A230" t="s">
        <v>6158</v>
      </c>
      <c r="B230" s="2">
        <v>46137</v>
      </c>
      <c r="C230">
        <v>2026</v>
      </c>
      <c r="D230">
        <v>4</v>
      </c>
      <c r="E230" t="s">
        <v>73</v>
      </c>
      <c r="F230" t="s">
        <v>5918</v>
      </c>
      <c r="G230" t="s">
        <v>67</v>
      </c>
      <c r="H230" t="s">
        <v>107</v>
      </c>
      <c r="I230" t="s">
        <v>5919</v>
      </c>
      <c r="J230" t="s">
        <v>50</v>
      </c>
      <c r="K230" s="2">
        <v>46139</v>
      </c>
      <c r="L230" t="s">
        <v>10</v>
      </c>
      <c r="M230" t="s">
        <v>5920</v>
      </c>
    </row>
    <row r="231" spans="1:13">
      <c r="A231" t="s">
        <v>6159</v>
      </c>
      <c r="B231" s="2">
        <v>46119</v>
      </c>
      <c r="C231">
        <v>2026</v>
      </c>
      <c r="D231">
        <v>4</v>
      </c>
      <c r="E231" t="s">
        <v>73</v>
      </c>
      <c r="F231" t="s">
        <v>5931</v>
      </c>
      <c r="G231" t="s">
        <v>54</v>
      </c>
      <c r="H231" t="s">
        <v>21</v>
      </c>
      <c r="I231" t="s">
        <v>5919</v>
      </c>
      <c r="J231" t="s">
        <v>13</v>
      </c>
      <c r="K231" s="2">
        <v>46167</v>
      </c>
      <c r="L231" t="s">
        <v>17</v>
      </c>
      <c r="M231" t="s">
        <v>5929</v>
      </c>
    </row>
    <row r="232" spans="1:13">
      <c r="A232" t="s">
        <v>6160</v>
      </c>
      <c r="B232" s="2">
        <v>46116</v>
      </c>
      <c r="C232">
        <v>2026</v>
      </c>
      <c r="D232">
        <v>4</v>
      </c>
      <c r="E232" t="s">
        <v>73</v>
      </c>
      <c r="F232" t="s">
        <v>5945</v>
      </c>
      <c r="G232" t="s">
        <v>31</v>
      </c>
      <c r="H232" t="s">
        <v>51</v>
      </c>
      <c r="I232" t="s">
        <v>5925</v>
      </c>
      <c r="J232" t="s">
        <v>70</v>
      </c>
      <c r="K232" s="2">
        <v>46175</v>
      </c>
      <c r="L232" t="s">
        <v>23</v>
      </c>
      <c r="M232" t="s">
        <v>5920</v>
      </c>
    </row>
    <row r="233" spans="1:13">
      <c r="A233" t="s">
        <v>6161</v>
      </c>
      <c r="B233" s="2">
        <v>46140</v>
      </c>
      <c r="C233">
        <v>2026</v>
      </c>
      <c r="D233">
        <v>4</v>
      </c>
      <c r="E233" t="s">
        <v>73</v>
      </c>
      <c r="F233" t="s">
        <v>5931</v>
      </c>
      <c r="G233" t="s">
        <v>31</v>
      </c>
      <c r="H233" t="s">
        <v>41</v>
      </c>
      <c r="I233" t="s">
        <v>5925</v>
      </c>
      <c r="J233" t="s">
        <v>34</v>
      </c>
      <c r="K233" s="2">
        <v>46147</v>
      </c>
      <c r="L233" t="s">
        <v>23</v>
      </c>
      <c r="M233" t="s">
        <v>5920</v>
      </c>
    </row>
    <row r="234" spans="1:13">
      <c r="A234" t="s">
        <v>6162</v>
      </c>
      <c r="B234" s="2">
        <v>46132</v>
      </c>
      <c r="C234">
        <v>2026</v>
      </c>
      <c r="D234">
        <v>4</v>
      </c>
      <c r="E234" t="s">
        <v>73</v>
      </c>
      <c r="F234" t="s">
        <v>5931</v>
      </c>
      <c r="G234" t="s">
        <v>2</v>
      </c>
      <c r="H234" t="s">
        <v>58</v>
      </c>
      <c r="I234" t="s">
        <v>5925</v>
      </c>
      <c r="J234" t="s">
        <v>70</v>
      </c>
      <c r="K234" s="2">
        <v>46144</v>
      </c>
      <c r="L234" t="s">
        <v>10</v>
      </c>
      <c r="M234" t="s">
        <v>5935</v>
      </c>
    </row>
    <row r="235" spans="1:13">
      <c r="A235" t="s">
        <v>6163</v>
      </c>
      <c r="B235" s="2">
        <v>46125</v>
      </c>
      <c r="C235">
        <v>2026</v>
      </c>
      <c r="D235">
        <v>4</v>
      </c>
      <c r="E235" t="s">
        <v>73</v>
      </c>
      <c r="F235" t="s">
        <v>5928</v>
      </c>
      <c r="G235" t="s">
        <v>54</v>
      </c>
      <c r="H235" t="s">
        <v>56</v>
      </c>
      <c r="I235" t="s">
        <v>5919</v>
      </c>
      <c r="J235" t="s">
        <v>6</v>
      </c>
      <c r="K235" s="2">
        <v>46134</v>
      </c>
      <c r="L235" t="s">
        <v>23</v>
      </c>
      <c r="M235" t="s">
        <v>5929</v>
      </c>
    </row>
    <row r="236" spans="1:13">
      <c r="A236" t="s">
        <v>6164</v>
      </c>
      <c r="B236" s="2">
        <v>46131</v>
      </c>
      <c r="C236">
        <v>2026</v>
      </c>
      <c r="D236">
        <v>4</v>
      </c>
      <c r="E236" t="s">
        <v>73</v>
      </c>
      <c r="F236" t="s">
        <v>5942</v>
      </c>
      <c r="G236" t="s">
        <v>38</v>
      </c>
      <c r="H236" t="s">
        <v>14</v>
      </c>
      <c r="I236" t="s">
        <v>5925</v>
      </c>
      <c r="J236" t="s">
        <v>50</v>
      </c>
      <c r="K236" s="2">
        <v>46159</v>
      </c>
      <c r="L236" t="s">
        <v>10</v>
      </c>
      <c r="M236" t="s">
        <v>5920</v>
      </c>
    </row>
    <row r="237" spans="1:13">
      <c r="A237" t="s">
        <v>6165</v>
      </c>
      <c r="B237" s="2">
        <v>46132</v>
      </c>
      <c r="C237">
        <v>2026</v>
      </c>
      <c r="D237">
        <v>4</v>
      </c>
      <c r="E237" t="s">
        <v>73</v>
      </c>
      <c r="F237" t="s">
        <v>5922</v>
      </c>
      <c r="G237" t="s">
        <v>38</v>
      </c>
      <c r="H237" t="s">
        <v>41</v>
      </c>
      <c r="I237" t="s">
        <v>5919</v>
      </c>
      <c r="J237" t="s">
        <v>13</v>
      </c>
      <c r="K237" s="2">
        <v>46162</v>
      </c>
      <c r="L237" t="s">
        <v>5939</v>
      </c>
      <c r="M237" t="s">
        <v>5935</v>
      </c>
    </row>
    <row r="238" spans="1:13">
      <c r="A238" t="s">
        <v>6166</v>
      </c>
      <c r="B238" s="2">
        <v>46168</v>
      </c>
      <c r="C238">
        <v>2026</v>
      </c>
      <c r="D238">
        <v>5</v>
      </c>
      <c r="E238" t="s">
        <v>83</v>
      </c>
      <c r="F238" t="s">
        <v>5942</v>
      </c>
      <c r="G238" t="s">
        <v>67</v>
      </c>
      <c r="H238" t="s">
        <v>58</v>
      </c>
      <c r="I238" t="s">
        <v>5919</v>
      </c>
      <c r="J238" t="s">
        <v>34</v>
      </c>
      <c r="K238" s="2">
        <v>46162</v>
      </c>
      <c r="L238" t="s">
        <v>10</v>
      </c>
      <c r="M238" t="s">
        <v>5920</v>
      </c>
    </row>
    <row r="239" spans="1:13">
      <c r="A239" t="s">
        <v>6167</v>
      </c>
      <c r="B239" s="2">
        <v>46146</v>
      </c>
      <c r="C239">
        <v>2026</v>
      </c>
      <c r="D239">
        <v>5</v>
      </c>
      <c r="E239" t="s">
        <v>83</v>
      </c>
      <c r="F239" t="s">
        <v>5918</v>
      </c>
      <c r="G239" t="s">
        <v>26</v>
      </c>
      <c r="H239" t="s">
        <v>71</v>
      </c>
      <c r="I239" t="s">
        <v>5919</v>
      </c>
      <c r="J239" t="s">
        <v>13</v>
      </c>
      <c r="K239" s="2">
        <v>46186</v>
      </c>
      <c r="L239" t="s">
        <v>10</v>
      </c>
      <c r="M239" t="s">
        <v>5920</v>
      </c>
    </row>
    <row r="240" spans="1:13">
      <c r="A240" t="s">
        <v>6168</v>
      </c>
      <c r="B240" s="2">
        <v>46146</v>
      </c>
      <c r="C240">
        <v>2026</v>
      </c>
      <c r="D240">
        <v>5</v>
      </c>
      <c r="E240" t="s">
        <v>83</v>
      </c>
      <c r="F240" t="s">
        <v>5922</v>
      </c>
      <c r="G240" t="s">
        <v>67</v>
      </c>
      <c r="H240" t="s">
        <v>41</v>
      </c>
      <c r="I240" t="s">
        <v>5925</v>
      </c>
      <c r="J240" t="s">
        <v>34</v>
      </c>
      <c r="K240" s="2">
        <v>46192</v>
      </c>
      <c r="L240" t="s">
        <v>10</v>
      </c>
      <c r="M240" t="s">
        <v>5920</v>
      </c>
    </row>
    <row r="241" spans="1:13">
      <c r="A241" t="s">
        <v>6169</v>
      </c>
      <c r="B241" s="2">
        <v>46152</v>
      </c>
      <c r="C241">
        <v>2026</v>
      </c>
      <c r="D241">
        <v>5</v>
      </c>
      <c r="E241" t="s">
        <v>83</v>
      </c>
      <c r="F241" t="s">
        <v>5928</v>
      </c>
      <c r="G241" t="s">
        <v>26</v>
      </c>
      <c r="H241" t="s">
        <v>58</v>
      </c>
      <c r="I241" t="s">
        <v>5925</v>
      </c>
      <c r="J241" t="s">
        <v>6</v>
      </c>
      <c r="K241" s="2">
        <v>46185</v>
      </c>
      <c r="L241" t="s">
        <v>10</v>
      </c>
      <c r="M241" t="s">
        <v>5920</v>
      </c>
    </row>
    <row r="242" spans="1:13">
      <c r="A242" t="s">
        <v>6170</v>
      </c>
      <c r="B242" s="2">
        <v>46162</v>
      </c>
      <c r="C242">
        <v>2026</v>
      </c>
      <c r="D242">
        <v>5</v>
      </c>
      <c r="E242" t="s">
        <v>83</v>
      </c>
      <c r="F242" t="s">
        <v>5928</v>
      </c>
      <c r="G242" t="s">
        <v>67</v>
      </c>
      <c r="H242" t="s">
        <v>84</v>
      </c>
      <c r="I242" t="s">
        <v>5919</v>
      </c>
      <c r="J242" t="s">
        <v>13</v>
      </c>
      <c r="K242" s="2">
        <v>46210</v>
      </c>
      <c r="L242" t="s">
        <v>10</v>
      </c>
      <c r="M242" t="s">
        <v>5935</v>
      </c>
    </row>
    <row r="243" spans="1:13">
      <c r="A243" t="s">
        <v>6171</v>
      </c>
      <c r="B243" s="2">
        <v>46162</v>
      </c>
      <c r="C243">
        <v>2026</v>
      </c>
      <c r="D243">
        <v>5</v>
      </c>
      <c r="E243" t="s">
        <v>83</v>
      </c>
      <c r="F243" t="s">
        <v>5918</v>
      </c>
      <c r="G243" t="s">
        <v>26</v>
      </c>
      <c r="H243" t="s">
        <v>58</v>
      </c>
      <c r="I243" t="s">
        <v>5925</v>
      </c>
      <c r="J243" t="s">
        <v>70</v>
      </c>
      <c r="K243" s="2">
        <v>46170</v>
      </c>
      <c r="L243" t="s">
        <v>10</v>
      </c>
      <c r="M243" t="s">
        <v>5920</v>
      </c>
    </row>
    <row r="244" spans="1:13">
      <c r="A244" t="s">
        <v>6172</v>
      </c>
      <c r="B244" s="2">
        <v>46170</v>
      </c>
      <c r="C244">
        <v>2026</v>
      </c>
      <c r="D244">
        <v>5</v>
      </c>
      <c r="E244" t="s">
        <v>83</v>
      </c>
      <c r="F244" t="s">
        <v>5922</v>
      </c>
      <c r="G244" t="s">
        <v>2</v>
      </c>
      <c r="H244" t="s">
        <v>14</v>
      </c>
      <c r="I244" t="s">
        <v>5919</v>
      </c>
      <c r="J244" t="s">
        <v>6</v>
      </c>
      <c r="K244" s="2">
        <v>46173</v>
      </c>
      <c r="L244" t="s">
        <v>10</v>
      </c>
      <c r="M244" t="s">
        <v>5920</v>
      </c>
    </row>
    <row r="245" spans="1:13">
      <c r="A245" t="s">
        <v>6173</v>
      </c>
      <c r="B245" s="2">
        <v>46167</v>
      </c>
      <c r="C245">
        <v>2026</v>
      </c>
      <c r="D245">
        <v>5</v>
      </c>
      <c r="E245" t="s">
        <v>83</v>
      </c>
      <c r="F245" t="s">
        <v>5945</v>
      </c>
      <c r="G245" t="s">
        <v>54</v>
      </c>
      <c r="H245" t="s">
        <v>56</v>
      </c>
      <c r="I245" t="s">
        <v>5919</v>
      </c>
      <c r="J245" t="s">
        <v>50</v>
      </c>
      <c r="K245" s="2">
        <v>46194</v>
      </c>
      <c r="L245" t="s">
        <v>10</v>
      </c>
      <c r="M245" t="s">
        <v>5935</v>
      </c>
    </row>
    <row r="246" spans="1:13">
      <c r="A246" t="s">
        <v>6174</v>
      </c>
      <c r="B246" s="2">
        <v>46162</v>
      </c>
      <c r="C246">
        <v>2026</v>
      </c>
      <c r="D246">
        <v>5</v>
      </c>
      <c r="E246" t="s">
        <v>83</v>
      </c>
      <c r="F246" t="s">
        <v>5945</v>
      </c>
      <c r="G246" t="s">
        <v>38</v>
      </c>
      <c r="H246" t="s">
        <v>56</v>
      </c>
      <c r="I246" t="s">
        <v>5925</v>
      </c>
      <c r="J246" t="s">
        <v>13</v>
      </c>
      <c r="K246" s="2">
        <v>46204</v>
      </c>
      <c r="L246" t="s">
        <v>10</v>
      </c>
      <c r="M246" t="s">
        <v>5920</v>
      </c>
    </row>
    <row r="247" spans="1:13">
      <c r="A247" t="s">
        <v>6175</v>
      </c>
      <c r="B247" s="2">
        <v>46162</v>
      </c>
      <c r="C247">
        <v>2026</v>
      </c>
      <c r="D247">
        <v>5</v>
      </c>
      <c r="E247" t="s">
        <v>83</v>
      </c>
      <c r="F247" t="s">
        <v>5942</v>
      </c>
      <c r="G247" t="s">
        <v>31</v>
      </c>
      <c r="H247" t="s">
        <v>107</v>
      </c>
      <c r="I247" t="s">
        <v>5919</v>
      </c>
      <c r="J247" t="s">
        <v>50</v>
      </c>
      <c r="K247" s="2">
        <v>46220</v>
      </c>
      <c r="L247" t="s">
        <v>23</v>
      </c>
      <c r="M247" t="s">
        <v>5920</v>
      </c>
    </row>
    <row r="248" spans="1:13">
      <c r="A248" t="s">
        <v>6176</v>
      </c>
      <c r="B248" s="2">
        <v>46145</v>
      </c>
      <c r="C248">
        <v>2026</v>
      </c>
      <c r="D248">
        <v>5</v>
      </c>
      <c r="E248" t="s">
        <v>83</v>
      </c>
      <c r="F248" t="s">
        <v>5942</v>
      </c>
      <c r="G248" t="s">
        <v>40</v>
      </c>
      <c r="H248" t="s">
        <v>107</v>
      </c>
      <c r="I248" t="s">
        <v>5925</v>
      </c>
      <c r="J248" t="s">
        <v>70</v>
      </c>
      <c r="K248" s="2">
        <v>46176</v>
      </c>
      <c r="L248" t="s">
        <v>17</v>
      </c>
      <c r="M248" t="s">
        <v>5929</v>
      </c>
    </row>
    <row r="249" spans="1:13">
      <c r="A249" t="s">
        <v>6177</v>
      </c>
      <c r="B249" s="2">
        <v>46185</v>
      </c>
      <c r="C249">
        <v>2026</v>
      </c>
      <c r="D249">
        <v>6</v>
      </c>
      <c r="E249" t="s">
        <v>87</v>
      </c>
      <c r="F249" t="s">
        <v>5928</v>
      </c>
      <c r="G249" t="s">
        <v>2</v>
      </c>
      <c r="H249" t="s">
        <v>21</v>
      </c>
      <c r="I249" t="s">
        <v>5919</v>
      </c>
      <c r="J249" t="s">
        <v>50</v>
      </c>
      <c r="K249" s="2">
        <v>46203</v>
      </c>
      <c r="L249" t="s">
        <v>10</v>
      </c>
      <c r="M249" t="s">
        <v>5920</v>
      </c>
    </row>
    <row r="250" spans="1:13">
      <c r="A250" t="s">
        <v>6178</v>
      </c>
      <c r="B250" s="2">
        <v>46179</v>
      </c>
      <c r="C250">
        <v>2026</v>
      </c>
      <c r="D250">
        <v>6</v>
      </c>
      <c r="E250" t="s">
        <v>87</v>
      </c>
      <c r="F250" t="s">
        <v>5928</v>
      </c>
      <c r="G250" t="s">
        <v>40</v>
      </c>
      <c r="H250" t="s">
        <v>56</v>
      </c>
      <c r="I250" t="s">
        <v>5919</v>
      </c>
      <c r="J250" t="s">
        <v>6</v>
      </c>
      <c r="K250" s="2">
        <v>46199</v>
      </c>
      <c r="L250" t="s">
        <v>10</v>
      </c>
      <c r="M250" t="s">
        <v>5923</v>
      </c>
    </row>
    <row r="251" spans="1:13">
      <c r="A251" t="s">
        <v>6179</v>
      </c>
      <c r="B251" s="2">
        <v>46178</v>
      </c>
      <c r="C251">
        <v>2026</v>
      </c>
      <c r="D251">
        <v>6</v>
      </c>
      <c r="E251" t="s">
        <v>87</v>
      </c>
      <c r="F251" t="s">
        <v>5942</v>
      </c>
      <c r="G251" t="s">
        <v>31</v>
      </c>
      <c r="H251" t="s">
        <v>56</v>
      </c>
      <c r="I251" t="s">
        <v>5925</v>
      </c>
      <c r="J251" t="s">
        <v>13</v>
      </c>
      <c r="K251" s="2">
        <v>46246</v>
      </c>
      <c r="L251" t="s">
        <v>23</v>
      </c>
      <c r="M251" t="s">
        <v>5920</v>
      </c>
    </row>
    <row r="252" spans="1:13">
      <c r="A252" t="s">
        <v>6180</v>
      </c>
      <c r="B252" s="2">
        <v>46184</v>
      </c>
      <c r="C252">
        <v>2026</v>
      </c>
      <c r="D252">
        <v>6</v>
      </c>
      <c r="E252" t="s">
        <v>87</v>
      </c>
      <c r="F252" t="s">
        <v>5931</v>
      </c>
      <c r="G252" t="s">
        <v>19</v>
      </c>
      <c r="H252" t="s">
        <v>84</v>
      </c>
      <c r="I252" t="s">
        <v>5919</v>
      </c>
      <c r="J252" t="s">
        <v>13</v>
      </c>
      <c r="K252" s="2">
        <v>46211</v>
      </c>
      <c r="L252" t="s">
        <v>10</v>
      </c>
      <c r="M252" t="s">
        <v>5929</v>
      </c>
    </row>
    <row r="253" spans="1:13">
      <c r="A253" t="s">
        <v>6181</v>
      </c>
      <c r="B253" s="2">
        <v>46174</v>
      </c>
      <c r="C253">
        <v>2026</v>
      </c>
      <c r="D253">
        <v>6</v>
      </c>
      <c r="E253" t="s">
        <v>87</v>
      </c>
      <c r="F253" t="s">
        <v>5922</v>
      </c>
      <c r="G253" t="s">
        <v>2</v>
      </c>
      <c r="H253" t="s">
        <v>56</v>
      </c>
      <c r="I253" t="s">
        <v>5919</v>
      </c>
      <c r="J253" t="s">
        <v>50</v>
      </c>
      <c r="K253" s="2">
        <v>46217</v>
      </c>
      <c r="L253" t="s">
        <v>10</v>
      </c>
      <c r="M253" t="s">
        <v>5929</v>
      </c>
    </row>
    <row r="254" spans="1:13">
      <c r="A254" t="s">
        <v>6182</v>
      </c>
      <c r="B254" s="2">
        <v>46195</v>
      </c>
      <c r="C254">
        <v>2026</v>
      </c>
      <c r="D254">
        <v>6</v>
      </c>
      <c r="E254" t="s">
        <v>87</v>
      </c>
      <c r="F254" t="s">
        <v>5918</v>
      </c>
      <c r="G254" t="s">
        <v>78</v>
      </c>
      <c r="H254" t="s">
        <v>71</v>
      </c>
      <c r="I254" t="s">
        <v>5919</v>
      </c>
      <c r="J254" t="s">
        <v>50</v>
      </c>
      <c r="K254" s="2">
        <v>46211</v>
      </c>
      <c r="L254" t="s">
        <v>10</v>
      </c>
      <c r="M254" t="s">
        <v>5929</v>
      </c>
    </row>
    <row r="255" spans="1:13">
      <c r="A255" t="s">
        <v>6183</v>
      </c>
      <c r="B255" s="2">
        <v>46174</v>
      </c>
      <c r="C255">
        <v>2026</v>
      </c>
      <c r="D255">
        <v>6</v>
      </c>
      <c r="E255" t="s">
        <v>87</v>
      </c>
      <c r="F255" t="s">
        <v>5942</v>
      </c>
      <c r="G255" t="s">
        <v>2</v>
      </c>
      <c r="H255" t="s">
        <v>41</v>
      </c>
      <c r="I255" t="s">
        <v>5919</v>
      </c>
      <c r="J255" t="s">
        <v>50</v>
      </c>
      <c r="K255" s="2">
        <v>46193</v>
      </c>
      <c r="L255" t="s">
        <v>5939</v>
      </c>
      <c r="M255" t="s">
        <v>5920</v>
      </c>
    </row>
    <row r="256" spans="1:13">
      <c r="A256" t="s">
        <v>6184</v>
      </c>
      <c r="B256" s="2">
        <v>46191</v>
      </c>
      <c r="C256">
        <v>2026</v>
      </c>
      <c r="D256">
        <v>6</v>
      </c>
      <c r="E256" t="s">
        <v>87</v>
      </c>
      <c r="F256" t="s">
        <v>5922</v>
      </c>
      <c r="G256" t="s">
        <v>78</v>
      </c>
      <c r="H256" t="s">
        <v>7</v>
      </c>
      <c r="I256" t="s">
        <v>5919</v>
      </c>
      <c r="J256" t="s">
        <v>50</v>
      </c>
      <c r="K256" s="2">
        <v>46221</v>
      </c>
      <c r="L256" t="s">
        <v>17</v>
      </c>
      <c r="M256" t="s">
        <v>5920</v>
      </c>
    </row>
  </sheetData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</sheetPr>
  <dimension ref="A1:G30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11.7109375" customWidth="1"/>
    <col min="3" max="4" width="13.7109375" customWidth="1"/>
    <col min="5" max="5" width="12.7109375" customWidth="1"/>
  </cols>
  <sheetData>
    <row r="1" spans="1:7">
      <c r="A1" t="s">
        <v>188</v>
      </c>
      <c r="B1" t="s">
        <v>189</v>
      </c>
      <c r="C1" t="s">
        <v>190</v>
      </c>
      <c r="D1" t="s">
        <v>191</v>
      </c>
      <c r="E1" t="s">
        <v>6189</v>
      </c>
      <c r="G1" s="1" t="s">
        <v>203</v>
      </c>
    </row>
    <row r="2" spans="1:7">
      <c r="A2">
        <v>2024</v>
      </c>
      <c r="B2">
        <v>1</v>
      </c>
      <c r="C2" t="s">
        <v>1</v>
      </c>
      <c r="D2" t="s">
        <v>26</v>
      </c>
      <c r="E2">
        <v>31903</v>
      </c>
    </row>
    <row r="3" spans="1:7">
      <c r="A3">
        <v>2024</v>
      </c>
      <c r="B3">
        <v>1</v>
      </c>
      <c r="C3" t="s">
        <v>1</v>
      </c>
      <c r="D3" t="s">
        <v>31</v>
      </c>
      <c r="E3">
        <v>38468</v>
      </c>
    </row>
    <row r="4" spans="1:7">
      <c r="A4">
        <v>2024</v>
      </c>
      <c r="B4">
        <v>1</v>
      </c>
      <c r="C4" t="s">
        <v>1</v>
      </c>
      <c r="D4" t="s">
        <v>47</v>
      </c>
      <c r="E4">
        <v>44466</v>
      </c>
    </row>
    <row r="5" spans="1:7">
      <c r="A5">
        <v>2024</v>
      </c>
      <c r="B5">
        <v>1</v>
      </c>
      <c r="C5" t="s">
        <v>1</v>
      </c>
      <c r="D5" t="s">
        <v>40</v>
      </c>
      <c r="E5">
        <v>44771</v>
      </c>
    </row>
    <row r="6" spans="1:7">
      <c r="A6">
        <v>2024</v>
      </c>
      <c r="B6">
        <v>1</v>
      </c>
      <c r="C6" t="s">
        <v>1</v>
      </c>
      <c r="D6" t="s">
        <v>54</v>
      </c>
      <c r="E6">
        <v>31363</v>
      </c>
    </row>
    <row r="7" spans="1:7">
      <c r="A7">
        <v>2024</v>
      </c>
      <c r="B7">
        <v>1</v>
      </c>
      <c r="C7" t="s">
        <v>1</v>
      </c>
      <c r="D7" t="s">
        <v>67</v>
      </c>
      <c r="E7">
        <v>35316</v>
      </c>
    </row>
    <row r="8" spans="1:7">
      <c r="A8">
        <v>2024</v>
      </c>
      <c r="B8">
        <v>1</v>
      </c>
      <c r="C8" t="s">
        <v>1</v>
      </c>
      <c r="D8" t="s">
        <v>19</v>
      </c>
      <c r="E8">
        <v>41782</v>
      </c>
    </row>
    <row r="9" spans="1:7">
      <c r="A9">
        <v>2024</v>
      </c>
      <c r="B9">
        <v>1</v>
      </c>
      <c r="C9" t="s">
        <v>1</v>
      </c>
      <c r="D9" t="s">
        <v>38</v>
      </c>
      <c r="E9">
        <v>45950</v>
      </c>
    </row>
    <row r="10" spans="1:7">
      <c r="A10">
        <v>2024</v>
      </c>
      <c r="B10">
        <v>1</v>
      </c>
      <c r="C10" t="s">
        <v>1</v>
      </c>
      <c r="D10" t="s">
        <v>2</v>
      </c>
      <c r="E10">
        <v>44085</v>
      </c>
    </row>
    <row r="11" spans="1:7">
      <c r="A11">
        <v>2024</v>
      </c>
      <c r="B11">
        <v>1</v>
      </c>
      <c r="C11" t="s">
        <v>1</v>
      </c>
      <c r="D11" t="s">
        <v>78</v>
      </c>
      <c r="E11">
        <v>42453</v>
      </c>
    </row>
    <row r="12" spans="1:7">
      <c r="A12">
        <v>2024</v>
      </c>
      <c r="B12">
        <v>2</v>
      </c>
      <c r="C12" t="s">
        <v>25</v>
      </c>
      <c r="D12" t="s">
        <v>26</v>
      </c>
      <c r="E12">
        <v>35862</v>
      </c>
    </row>
    <row r="13" spans="1:7">
      <c r="A13">
        <v>2024</v>
      </c>
      <c r="B13">
        <v>2</v>
      </c>
      <c r="C13" t="s">
        <v>25</v>
      </c>
      <c r="D13" t="s">
        <v>31</v>
      </c>
      <c r="E13">
        <v>28083</v>
      </c>
    </row>
    <row r="14" spans="1:7">
      <c r="A14">
        <v>2024</v>
      </c>
      <c r="B14">
        <v>2</v>
      </c>
      <c r="C14" t="s">
        <v>25</v>
      </c>
      <c r="D14" t="s">
        <v>47</v>
      </c>
      <c r="E14">
        <v>30645</v>
      </c>
    </row>
    <row r="15" spans="1:7">
      <c r="A15">
        <v>2024</v>
      </c>
      <c r="B15">
        <v>2</v>
      </c>
      <c r="C15" t="s">
        <v>25</v>
      </c>
      <c r="D15" t="s">
        <v>40</v>
      </c>
      <c r="E15">
        <v>31628</v>
      </c>
    </row>
    <row r="16" spans="1:7">
      <c r="A16">
        <v>2024</v>
      </c>
      <c r="B16">
        <v>2</v>
      </c>
      <c r="C16" t="s">
        <v>25</v>
      </c>
      <c r="D16" t="s">
        <v>54</v>
      </c>
      <c r="E16">
        <v>37412</v>
      </c>
    </row>
    <row r="17" spans="1:5">
      <c r="A17">
        <v>2024</v>
      </c>
      <c r="B17">
        <v>2</v>
      </c>
      <c r="C17" t="s">
        <v>25</v>
      </c>
      <c r="D17" t="s">
        <v>67</v>
      </c>
      <c r="E17">
        <v>31212</v>
      </c>
    </row>
    <row r="18" spans="1:5">
      <c r="A18">
        <v>2024</v>
      </c>
      <c r="B18">
        <v>2</v>
      </c>
      <c r="C18" t="s">
        <v>25</v>
      </c>
      <c r="D18" t="s">
        <v>19</v>
      </c>
      <c r="E18">
        <v>42734</v>
      </c>
    </row>
    <row r="19" spans="1:5">
      <c r="A19">
        <v>2024</v>
      </c>
      <c r="B19">
        <v>2</v>
      </c>
      <c r="C19" t="s">
        <v>25</v>
      </c>
      <c r="D19" t="s">
        <v>38</v>
      </c>
      <c r="E19">
        <v>28376</v>
      </c>
    </row>
    <row r="20" spans="1:5">
      <c r="A20">
        <v>2024</v>
      </c>
      <c r="B20">
        <v>2</v>
      </c>
      <c r="C20" t="s">
        <v>25</v>
      </c>
      <c r="D20" t="s">
        <v>2</v>
      </c>
      <c r="E20">
        <v>44065</v>
      </c>
    </row>
    <row r="21" spans="1:5">
      <c r="A21">
        <v>2024</v>
      </c>
      <c r="B21">
        <v>2</v>
      </c>
      <c r="C21" t="s">
        <v>25</v>
      </c>
      <c r="D21" t="s">
        <v>78</v>
      </c>
      <c r="E21">
        <v>38296</v>
      </c>
    </row>
    <row r="22" spans="1:5">
      <c r="A22">
        <v>2024</v>
      </c>
      <c r="B22">
        <v>3</v>
      </c>
      <c r="C22" t="s">
        <v>60</v>
      </c>
      <c r="D22" t="s">
        <v>26</v>
      </c>
      <c r="E22">
        <v>34888</v>
      </c>
    </row>
    <row r="23" spans="1:5">
      <c r="A23">
        <v>2024</v>
      </c>
      <c r="B23">
        <v>3</v>
      </c>
      <c r="C23" t="s">
        <v>60</v>
      </c>
      <c r="D23" t="s">
        <v>31</v>
      </c>
      <c r="E23">
        <v>41016</v>
      </c>
    </row>
    <row r="24" spans="1:5">
      <c r="A24">
        <v>2024</v>
      </c>
      <c r="B24">
        <v>3</v>
      </c>
      <c r="C24" t="s">
        <v>60</v>
      </c>
      <c r="D24" t="s">
        <v>47</v>
      </c>
      <c r="E24">
        <v>36241</v>
      </c>
    </row>
    <row r="25" spans="1:5">
      <c r="A25">
        <v>2024</v>
      </c>
      <c r="B25">
        <v>3</v>
      </c>
      <c r="C25" t="s">
        <v>60</v>
      </c>
      <c r="D25" t="s">
        <v>40</v>
      </c>
      <c r="E25">
        <v>39392</v>
      </c>
    </row>
    <row r="26" spans="1:5">
      <c r="A26">
        <v>2024</v>
      </c>
      <c r="B26">
        <v>3</v>
      </c>
      <c r="C26" t="s">
        <v>60</v>
      </c>
      <c r="D26" t="s">
        <v>54</v>
      </c>
      <c r="E26">
        <v>39686</v>
      </c>
    </row>
    <row r="27" spans="1:5">
      <c r="A27">
        <v>2024</v>
      </c>
      <c r="B27">
        <v>3</v>
      </c>
      <c r="C27" t="s">
        <v>60</v>
      </c>
      <c r="D27" t="s">
        <v>67</v>
      </c>
      <c r="E27">
        <v>40332</v>
      </c>
    </row>
    <row r="28" spans="1:5">
      <c r="A28">
        <v>2024</v>
      </c>
      <c r="B28">
        <v>3</v>
      </c>
      <c r="C28" t="s">
        <v>60</v>
      </c>
      <c r="D28" t="s">
        <v>19</v>
      </c>
      <c r="E28">
        <v>44829</v>
      </c>
    </row>
    <row r="29" spans="1:5">
      <c r="A29">
        <v>2024</v>
      </c>
      <c r="B29">
        <v>3</v>
      </c>
      <c r="C29" t="s">
        <v>60</v>
      </c>
      <c r="D29" t="s">
        <v>38</v>
      </c>
      <c r="E29">
        <v>30500</v>
      </c>
    </row>
    <row r="30" spans="1:5">
      <c r="A30">
        <v>2024</v>
      </c>
      <c r="B30">
        <v>3</v>
      </c>
      <c r="C30" t="s">
        <v>60</v>
      </c>
      <c r="D30" t="s">
        <v>2</v>
      </c>
      <c r="E30">
        <v>39154</v>
      </c>
    </row>
    <row r="31" spans="1:5">
      <c r="A31">
        <v>2024</v>
      </c>
      <c r="B31">
        <v>3</v>
      </c>
      <c r="C31" t="s">
        <v>60</v>
      </c>
      <c r="D31" t="s">
        <v>78</v>
      </c>
      <c r="E31">
        <v>30938</v>
      </c>
    </row>
    <row r="32" spans="1:5">
      <c r="A32">
        <v>2024</v>
      </c>
      <c r="B32">
        <v>4</v>
      </c>
      <c r="C32" t="s">
        <v>73</v>
      </c>
      <c r="D32" t="s">
        <v>26</v>
      </c>
      <c r="E32">
        <v>45631</v>
      </c>
    </row>
    <row r="33" spans="1:5">
      <c r="A33">
        <v>2024</v>
      </c>
      <c r="B33">
        <v>4</v>
      </c>
      <c r="C33" t="s">
        <v>73</v>
      </c>
      <c r="D33" t="s">
        <v>31</v>
      </c>
      <c r="E33">
        <v>37572</v>
      </c>
    </row>
    <row r="34" spans="1:5">
      <c r="A34">
        <v>2024</v>
      </c>
      <c r="B34">
        <v>4</v>
      </c>
      <c r="C34" t="s">
        <v>73</v>
      </c>
      <c r="D34" t="s">
        <v>47</v>
      </c>
      <c r="E34">
        <v>37424</v>
      </c>
    </row>
    <row r="35" spans="1:5">
      <c r="A35">
        <v>2024</v>
      </c>
      <c r="B35">
        <v>4</v>
      </c>
      <c r="C35" t="s">
        <v>73</v>
      </c>
      <c r="D35" t="s">
        <v>40</v>
      </c>
      <c r="E35">
        <v>42989</v>
      </c>
    </row>
    <row r="36" spans="1:5">
      <c r="A36">
        <v>2024</v>
      </c>
      <c r="B36">
        <v>4</v>
      </c>
      <c r="C36" t="s">
        <v>73</v>
      </c>
      <c r="D36" t="s">
        <v>54</v>
      </c>
      <c r="E36">
        <v>32616</v>
      </c>
    </row>
    <row r="37" spans="1:5">
      <c r="A37">
        <v>2024</v>
      </c>
      <c r="B37">
        <v>4</v>
      </c>
      <c r="C37" t="s">
        <v>73</v>
      </c>
      <c r="D37" t="s">
        <v>67</v>
      </c>
      <c r="E37">
        <v>38125</v>
      </c>
    </row>
    <row r="38" spans="1:5">
      <c r="A38">
        <v>2024</v>
      </c>
      <c r="B38">
        <v>4</v>
      </c>
      <c r="C38" t="s">
        <v>73</v>
      </c>
      <c r="D38" t="s">
        <v>19</v>
      </c>
      <c r="E38">
        <v>28810</v>
      </c>
    </row>
    <row r="39" spans="1:5">
      <c r="A39">
        <v>2024</v>
      </c>
      <c r="B39">
        <v>4</v>
      </c>
      <c r="C39" t="s">
        <v>73</v>
      </c>
      <c r="D39" t="s">
        <v>38</v>
      </c>
      <c r="E39">
        <v>40086</v>
      </c>
    </row>
    <row r="40" spans="1:5">
      <c r="A40">
        <v>2024</v>
      </c>
      <c r="B40">
        <v>4</v>
      </c>
      <c r="C40" t="s">
        <v>73</v>
      </c>
      <c r="D40" t="s">
        <v>2</v>
      </c>
      <c r="E40">
        <v>39912</v>
      </c>
    </row>
    <row r="41" spans="1:5">
      <c r="A41">
        <v>2024</v>
      </c>
      <c r="B41">
        <v>4</v>
      </c>
      <c r="C41" t="s">
        <v>73</v>
      </c>
      <c r="D41" t="s">
        <v>78</v>
      </c>
      <c r="E41">
        <v>43108</v>
      </c>
    </row>
    <row r="42" spans="1:5">
      <c r="A42">
        <v>2024</v>
      </c>
      <c r="B42">
        <v>5</v>
      </c>
      <c r="C42" t="s">
        <v>83</v>
      </c>
      <c r="D42" t="s">
        <v>26</v>
      </c>
      <c r="E42">
        <v>41835</v>
      </c>
    </row>
    <row r="43" spans="1:5">
      <c r="A43">
        <v>2024</v>
      </c>
      <c r="B43">
        <v>5</v>
      </c>
      <c r="C43" t="s">
        <v>83</v>
      </c>
      <c r="D43" t="s">
        <v>31</v>
      </c>
      <c r="E43">
        <v>30971</v>
      </c>
    </row>
    <row r="44" spans="1:5">
      <c r="A44">
        <v>2024</v>
      </c>
      <c r="B44">
        <v>5</v>
      </c>
      <c r="C44" t="s">
        <v>83</v>
      </c>
      <c r="D44" t="s">
        <v>47</v>
      </c>
      <c r="E44">
        <v>41067</v>
      </c>
    </row>
    <row r="45" spans="1:5">
      <c r="A45">
        <v>2024</v>
      </c>
      <c r="B45">
        <v>5</v>
      </c>
      <c r="C45" t="s">
        <v>83</v>
      </c>
      <c r="D45" t="s">
        <v>40</v>
      </c>
      <c r="E45">
        <v>44333</v>
      </c>
    </row>
    <row r="46" spans="1:5">
      <c r="A46">
        <v>2024</v>
      </c>
      <c r="B46">
        <v>5</v>
      </c>
      <c r="C46" t="s">
        <v>83</v>
      </c>
      <c r="D46" t="s">
        <v>54</v>
      </c>
      <c r="E46">
        <v>31815</v>
      </c>
    </row>
    <row r="47" spans="1:5">
      <c r="A47">
        <v>2024</v>
      </c>
      <c r="B47">
        <v>5</v>
      </c>
      <c r="C47" t="s">
        <v>83</v>
      </c>
      <c r="D47" t="s">
        <v>67</v>
      </c>
      <c r="E47">
        <v>41940</v>
      </c>
    </row>
    <row r="48" spans="1:5">
      <c r="A48">
        <v>2024</v>
      </c>
      <c r="B48">
        <v>5</v>
      </c>
      <c r="C48" t="s">
        <v>83</v>
      </c>
      <c r="D48" t="s">
        <v>19</v>
      </c>
      <c r="E48">
        <v>44592</v>
      </c>
    </row>
    <row r="49" spans="1:5">
      <c r="A49">
        <v>2024</v>
      </c>
      <c r="B49">
        <v>5</v>
      </c>
      <c r="C49" t="s">
        <v>83</v>
      </c>
      <c r="D49" t="s">
        <v>38</v>
      </c>
      <c r="E49">
        <v>44090</v>
      </c>
    </row>
    <row r="50" spans="1:5">
      <c r="A50">
        <v>2024</v>
      </c>
      <c r="B50">
        <v>5</v>
      </c>
      <c r="C50" t="s">
        <v>83</v>
      </c>
      <c r="D50" t="s">
        <v>2</v>
      </c>
      <c r="E50">
        <v>41046</v>
      </c>
    </row>
    <row r="51" spans="1:5">
      <c r="A51">
        <v>2024</v>
      </c>
      <c r="B51">
        <v>5</v>
      </c>
      <c r="C51" t="s">
        <v>83</v>
      </c>
      <c r="D51" t="s">
        <v>78</v>
      </c>
      <c r="E51">
        <v>45191</v>
      </c>
    </row>
    <row r="52" spans="1:5">
      <c r="A52">
        <v>2024</v>
      </c>
      <c r="B52">
        <v>6</v>
      </c>
      <c r="C52" t="s">
        <v>87</v>
      </c>
      <c r="D52" t="s">
        <v>26</v>
      </c>
      <c r="E52">
        <v>36475</v>
      </c>
    </row>
    <row r="53" spans="1:5">
      <c r="A53">
        <v>2024</v>
      </c>
      <c r="B53">
        <v>6</v>
      </c>
      <c r="C53" t="s">
        <v>87</v>
      </c>
      <c r="D53" t="s">
        <v>31</v>
      </c>
      <c r="E53">
        <v>41761</v>
      </c>
    </row>
    <row r="54" spans="1:5">
      <c r="A54">
        <v>2024</v>
      </c>
      <c r="B54">
        <v>6</v>
      </c>
      <c r="C54" t="s">
        <v>87</v>
      </c>
      <c r="D54" t="s">
        <v>47</v>
      </c>
      <c r="E54">
        <v>43702</v>
      </c>
    </row>
    <row r="55" spans="1:5">
      <c r="A55">
        <v>2024</v>
      </c>
      <c r="B55">
        <v>6</v>
      </c>
      <c r="C55" t="s">
        <v>87</v>
      </c>
      <c r="D55" t="s">
        <v>40</v>
      </c>
      <c r="E55">
        <v>44808</v>
      </c>
    </row>
    <row r="56" spans="1:5">
      <c r="A56">
        <v>2024</v>
      </c>
      <c r="B56">
        <v>6</v>
      </c>
      <c r="C56" t="s">
        <v>87</v>
      </c>
      <c r="D56" t="s">
        <v>54</v>
      </c>
      <c r="E56">
        <v>44973</v>
      </c>
    </row>
    <row r="57" spans="1:5">
      <c r="A57">
        <v>2024</v>
      </c>
      <c r="B57">
        <v>6</v>
      </c>
      <c r="C57" t="s">
        <v>87</v>
      </c>
      <c r="D57" t="s">
        <v>67</v>
      </c>
      <c r="E57">
        <v>28831</v>
      </c>
    </row>
    <row r="58" spans="1:5">
      <c r="A58">
        <v>2024</v>
      </c>
      <c r="B58">
        <v>6</v>
      </c>
      <c r="C58" t="s">
        <v>87</v>
      </c>
      <c r="D58" t="s">
        <v>19</v>
      </c>
      <c r="E58">
        <v>35357</v>
      </c>
    </row>
    <row r="59" spans="1:5">
      <c r="A59">
        <v>2024</v>
      </c>
      <c r="B59">
        <v>6</v>
      </c>
      <c r="C59" t="s">
        <v>87</v>
      </c>
      <c r="D59" t="s">
        <v>38</v>
      </c>
      <c r="E59">
        <v>32227</v>
      </c>
    </row>
    <row r="60" spans="1:5">
      <c r="A60">
        <v>2024</v>
      </c>
      <c r="B60">
        <v>6</v>
      </c>
      <c r="C60" t="s">
        <v>87</v>
      </c>
      <c r="D60" t="s">
        <v>2</v>
      </c>
      <c r="E60">
        <v>29601</v>
      </c>
    </row>
    <row r="61" spans="1:5">
      <c r="A61">
        <v>2024</v>
      </c>
      <c r="B61">
        <v>6</v>
      </c>
      <c r="C61" t="s">
        <v>87</v>
      </c>
      <c r="D61" t="s">
        <v>78</v>
      </c>
      <c r="E61">
        <v>45144</v>
      </c>
    </row>
    <row r="62" spans="1:5">
      <c r="A62">
        <v>2024</v>
      </c>
      <c r="B62">
        <v>7</v>
      </c>
      <c r="C62" t="s">
        <v>93</v>
      </c>
      <c r="D62" t="s">
        <v>26</v>
      </c>
      <c r="E62">
        <v>31361</v>
      </c>
    </row>
    <row r="63" spans="1:5">
      <c r="A63">
        <v>2024</v>
      </c>
      <c r="B63">
        <v>7</v>
      </c>
      <c r="C63" t="s">
        <v>93</v>
      </c>
      <c r="D63" t="s">
        <v>31</v>
      </c>
      <c r="E63">
        <v>42070</v>
      </c>
    </row>
    <row r="64" spans="1:5">
      <c r="A64">
        <v>2024</v>
      </c>
      <c r="B64">
        <v>7</v>
      </c>
      <c r="C64" t="s">
        <v>93</v>
      </c>
      <c r="D64" t="s">
        <v>47</v>
      </c>
      <c r="E64">
        <v>43402</v>
      </c>
    </row>
    <row r="65" spans="1:5">
      <c r="A65">
        <v>2024</v>
      </c>
      <c r="B65">
        <v>7</v>
      </c>
      <c r="C65" t="s">
        <v>93</v>
      </c>
      <c r="D65" t="s">
        <v>40</v>
      </c>
      <c r="E65">
        <v>32666</v>
      </c>
    </row>
    <row r="66" spans="1:5">
      <c r="A66">
        <v>2024</v>
      </c>
      <c r="B66">
        <v>7</v>
      </c>
      <c r="C66" t="s">
        <v>93</v>
      </c>
      <c r="D66" t="s">
        <v>54</v>
      </c>
      <c r="E66">
        <v>43797</v>
      </c>
    </row>
    <row r="67" spans="1:5">
      <c r="A67">
        <v>2024</v>
      </c>
      <c r="B67">
        <v>7</v>
      </c>
      <c r="C67" t="s">
        <v>93</v>
      </c>
      <c r="D67" t="s">
        <v>67</v>
      </c>
      <c r="E67">
        <v>35501</v>
      </c>
    </row>
    <row r="68" spans="1:5">
      <c r="A68">
        <v>2024</v>
      </c>
      <c r="B68">
        <v>7</v>
      </c>
      <c r="C68" t="s">
        <v>93</v>
      </c>
      <c r="D68" t="s">
        <v>19</v>
      </c>
      <c r="E68">
        <v>31998</v>
      </c>
    </row>
    <row r="69" spans="1:5">
      <c r="A69">
        <v>2024</v>
      </c>
      <c r="B69">
        <v>7</v>
      </c>
      <c r="C69" t="s">
        <v>93</v>
      </c>
      <c r="D69" t="s">
        <v>38</v>
      </c>
      <c r="E69">
        <v>42968</v>
      </c>
    </row>
    <row r="70" spans="1:5">
      <c r="A70">
        <v>2024</v>
      </c>
      <c r="B70">
        <v>7</v>
      </c>
      <c r="C70" t="s">
        <v>93</v>
      </c>
      <c r="D70" t="s">
        <v>2</v>
      </c>
      <c r="E70">
        <v>43381</v>
      </c>
    </row>
    <row r="71" spans="1:5">
      <c r="A71">
        <v>2024</v>
      </c>
      <c r="B71">
        <v>7</v>
      </c>
      <c r="C71" t="s">
        <v>93</v>
      </c>
      <c r="D71" t="s">
        <v>78</v>
      </c>
      <c r="E71">
        <v>45879</v>
      </c>
    </row>
    <row r="72" spans="1:5">
      <c r="A72">
        <v>2024</v>
      </c>
      <c r="B72">
        <v>8</v>
      </c>
      <c r="C72" t="s">
        <v>101</v>
      </c>
      <c r="D72" t="s">
        <v>26</v>
      </c>
      <c r="E72">
        <v>36224</v>
      </c>
    </row>
    <row r="73" spans="1:5">
      <c r="A73">
        <v>2024</v>
      </c>
      <c r="B73">
        <v>8</v>
      </c>
      <c r="C73" t="s">
        <v>101</v>
      </c>
      <c r="D73" t="s">
        <v>31</v>
      </c>
      <c r="E73">
        <v>41175</v>
      </c>
    </row>
    <row r="74" spans="1:5">
      <c r="A74">
        <v>2024</v>
      </c>
      <c r="B74">
        <v>8</v>
      </c>
      <c r="C74" t="s">
        <v>101</v>
      </c>
      <c r="D74" t="s">
        <v>47</v>
      </c>
      <c r="E74">
        <v>38080</v>
      </c>
    </row>
    <row r="75" spans="1:5">
      <c r="A75">
        <v>2024</v>
      </c>
      <c r="B75">
        <v>8</v>
      </c>
      <c r="C75" t="s">
        <v>101</v>
      </c>
      <c r="D75" t="s">
        <v>40</v>
      </c>
      <c r="E75">
        <v>45961</v>
      </c>
    </row>
    <row r="76" spans="1:5">
      <c r="A76">
        <v>2024</v>
      </c>
      <c r="B76">
        <v>8</v>
      </c>
      <c r="C76" t="s">
        <v>101</v>
      </c>
      <c r="D76" t="s">
        <v>54</v>
      </c>
      <c r="E76">
        <v>44446</v>
      </c>
    </row>
    <row r="77" spans="1:5">
      <c r="A77">
        <v>2024</v>
      </c>
      <c r="B77">
        <v>8</v>
      </c>
      <c r="C77" t="s">
        <v>101</v>
      </c>
      <c r="D77" t="s">
        <v>67</v>
      </c>
      <c r="E77">
        <v>43692</v>
      </c>
    </row>
    <row r="78" spans="1:5">
      <c r="A78">
        <v>2024</v>
      </c>
      <c r="B78">
        <v>8</v>
      </c>
      <c r="C78" t="s">
        <v>101</v>
      </c>
      <c r="D78" t="s">
        <v>19</v>
      </c>
      <c r="E78">
        <v>41171</v>
      </c>
    </row>
    <row r="79" spans="1:5">
      <c r="A79">
        <v>2024</v>
      </c>
      <c r="B79">
        <v>8</v>
      </c>
      <c r="C79" t="s">
        <v>101</v>
      </c>
      <c r="D79" t="s">
        <v>38</v>
      </c>
      <c r="E79">
        <v>42190</v>
      </c>
    </row>
    <row r="80" spans="1:5">
      <c r="A80">
        <v>2024</v>
      </c>
      <c r="B80">
        <v>8</v>
      </c>
      <c r="C80" t="s">
        <v>101</v>
      </c>
      <c r="D80" t="s">
        <v>2</v>
      </c>
      <c r="E80">
        <v>34636</v>
      </c>
    </row>
    <row r="81" spans="1:5">
      <c r="A81">
        <v>2024</v>
      </c>
      <c r="B81">
        <v>8</v>
      </c>
      <c r="C81" t="s">
        <v>101</v>
      </c>
      <c r="D81" t="s">
        <v>78</v>
      </c>
      <c r="E81">
        <v>37646</v>
      </c>
    </row>
    <row r="82" spans="1:5">
      <c r="A82">
        <v>2024</v>
      </c>
      <c r="B82">
        <v>9</v>
      </c>
      <c r="C82" t="s">
        <v>105</v>
      </c>
      <c r="D82" t="s">
        <v>26</v>
      </c>
      <c r="E82">
        <v>36815</v>
      </c>
    </row>
    <row r="83" spans="1:5">
      <c r="A83">
        <v>2024</v>
      </c>
      <c r="B83">
        <v>9</v>
      </c>
      <c r="C83" t="s">
        <v>105</v>
      </c>
      <c r="D83" t="s">
        <v>31</v>
      </c>
      <c r="E83">
        <v>28303</v>
      </c>
    </row>
    <row r="84" spans="1:5">
      <c r="A84">
        <v>2024</v>
      </c>
      <c r="B84">
        <v>9</v>
      </c>
      <c r="C84" t="s">
        <v>105</v>
      </c>
      <c r="D84" t="s">
        <v>47</v>
      </c>
      <c r="E84">
        <v>29084</v>
      </c>
    </row>
    <row r="85" spans="1:5">
      <c r="A85">
        <v>2024</v>
      </c>
      <c r="B85">
        <v>9</v>
      </c>
      <c r="C85" t="s">
        <v>105</v>
      </c>
      <c r="D85" t="s">
        <v>40</v>
      </c>
      <c r="E85">
        <v>32910</v>
      </c>
    </row>
    <row r="86" spans="1:5">
      <c r="A86">
        <v>2024</v>
      </c>
      <c r="B86">
        <v>9</v>
      </c>
      <c r="C86" t="s">
        <v>105</v>
      </c>
      <c r="D86" t="s">
        <v>54</v>
      </c>
      <c r="E86">
        <v>43015</v>
      </c>
    </row>
    <row r="87" spans="1:5">
      <c r="A87">
        <v>2024</v>
      </c>
      <c r="B87">
        <v>9</v>
      </c>
      <c r="C87" t="s">
        <v>105</v>
      </c>
      <c r="D87" t="s">
        <v>67</v>
      </c>
      <c r="E87">
        <v>45134</v>
      </c>
    </row>
    <row r="88" spans="1:5">
      <c r="A88">
        <v>2024</v>
      </c>
      <c r="B88">
        <v>9</v>
      </c>
      <c r="C88" t="s">
        <v>105</v>
      </c>
      <c r="D88" t="s">
        <v>19</v>
      </c>
      <c r="E88">
        <v>44040</v>
      </c>
    </row>
    <row r="89" spans="1:5">
      <c r="A89">
        <v>2024</v>
      </c>
      <c r="B89">
        <v>9</v>
      </c>
      <c r="C89" t="s">
        <v>105</v>
      </c>
      <c r="D89" t="s">
        <v>38</v>
      </c>
      <c r="E89">
        <v>39794</v>
      </c>
    </row>
    <row r="90" spans="1:5">
      <c r="A90">
        <v>2024</v>
      </c>
      <c r="B90">
        <v>9</v>
      </c>
      <c r="C90" t="s">
        <v>105</v>
      </c>
      <c r="D90" t="s">
        <v>2</v>
      </c>
      <c r="E90">
        <v>34548</v>
      </c>
    </row>
    <row r="91" spans="1:5">
      <c r="A91">
        <v>2024</v>
      </c>
      <c r="B91">
        <v>9</v>
      </c>
      <c r="C91" t="s">
        <v>105</v>
      </c>
      <c r="D91" t="s">
        <v>78</v>
      </c>
      <c r="E91">
        <v>36523</v>
      </c>
    </row>
    <row r="92" spans="1:5">
      <c r="A92">
        <v>2024</v>
      </c>
      <c r="B92">
        <v>10</v>
      </c>
      <c r="C92" t="s">
        <v>113</v>
      </c>
      <c r="D92" t="s">
        <v>26</v>
      </c>
      <c r="E92">
        <v>43911</v>
      </c>
    </row>
    <row r="93" spans="1:5">
      <c r="A93">
        <v>2024</v>
      </c>
      <c r="B93">
        <v>10</v>
      </c>
      <c r="C93" t="s">
        <v>113</v>
      </c>
      <c r="D93" t="s">
        <v>31</v>
      </c>
      <c r="E93">
        <v>43291</v>
      </c>
    </row>
    <row r="94" spans="1:5">
      <c r="A94">
        <v>2024</v>
      </c>
      <c r="B94">
        <v>10</v>
      </c>
      <c r="C94" t="s">
        <v>113</v>
      </c>
      <c r="D94" t="s">
        <v>47</v>
      </c>
      <c r="E94">
        <v>44753</v>
      </c>
    </row>
    <row r="95" spans="1:5">
      <c r="A95">
        <v>2024</v>
      </c>
      <c r="B95">
        <v>10</v>
      </c>
      <c r="C95" t="s">
        <v>113</v>
      </c>
      <c r="D95" t="s">
        <v>40</v>
      </c>
      <c r="E95">
        <v>44290</v>
      </c>
    </row>
    <row r="96" spans="1:5">
      <c r="A96">
        <v>2024</v>
      </c>
      <c r="B96">
        <v>10</v>
      </c>
      <c r="C96" t="s">
        <v>113</v>
      </c>
      <c r="D96" t="s">
        <v>54</v>
      </c>
      <c r="E96">
        <v>42228</v>
      </c>
    </row>
    <row r="97" spans="1:5">
      <c r="A97">
        <v>2024</v>
      </c>
      <c r="B97">
        <v>10</v>
      </c>
      <c r="C97" t="s">
        <v>113</v>
      </c>
      <c r="D97" t="s">
        <v>67</v>
      </c>
      <c r="E97">
        <v>29101</v>
      </c>
    </row>
    <row r="98" spans="1:5">
      <c r="A98">
        <v>2024</v>
      </c>
      <c r="B98">
        <v>10</v>
      </c>
      <c r="C98" t="s">
        <v>113</v>
      </c>
      <c r="D98" t="s">
        <v>19</v>
      </c>
      <c r="E98">
        <v>37504</v>
      </c>
    </row>
    <row r="99" spans="1:5">
      <c r="A99">
        <v>2024</v>
      </c>
      <c r="B99">
        <v>10</v>
      </c>
      <c r="C99" t="s">
        <v>113</v>
      </c>
      <c r="D99" t="s">
        <v>38</v>
      </c>
      <c r="E99">
        <v>38376</v>
      </c>
    </row>
    <row r="100" spans="1:5">
      <c r="A100">
        <v>2024</v>
      </c>
      <c r="B100">
        <v>10</v>
      </c>
      <c r="C100" t="s">
        <v>113</v>
      </c>
      <c r="D100" t="s">
        <v>2</v>
      </c>
      <c r="E100">
        <v>42996</v>
      </c>
    </row>
    <row r="101" spans="1:5">
      <c r="A101">
        <v>2024</v>
      </c>
      <c r="B101">
        <v>10</v>
      </c>
      <c r="C101" t="s">
        <v>113</v>
      </c>
      <c r="D101" t="s">
        <v>78</v>
      </c>
      <c r="E101">
        <v>31223</v>
      </c>
    </row>
    <row r="102" spans="1:5">
      <c r="A102">
        <v>2024</v>
      </c>
      <c r="B102">
        <v>11</v>
      </c>
      <c r="C102" t="s">
        <v>117</v>
      </c>
      <c r="D102" t="s">
        <v>26</v>
      </c>
      <c r="E102">
        <v>42367</v>
      </c>
    </row>
    <row r="103" spans="1:5">
      <c r="A103">
        <v>2024</v>
      </c>
      <c r="B103">
        <v>11</v>
      </c>
      <c r="C103" t="s">
        <v>117</v>
      </c>
      <c r="D103" t="s">
        <v>31</v>
      </c>
      <c r="E103">
        <v>44881</v>
      </c>
    </row>
    <row r="104" spans="1:5">
      <c r="A104">
        <v>2024</v>
      </c>
      <c r="B104">
        <v>11</v>
      </c>
      <c r="C104" t="s">
        <v>117</v>
      </c>
      <c r="D104" t="s">
        <v>47</v>
      </c>
      <c r="E104">
        <v>36481</v>
      </c>
    </row>
    <row r="105" spans="1:5">
      <c r="A105">
        <v>2024</v>
      </c>
      <c r="B105">
        <v>11</v>
      </c>
      <c r="C105" t="s">
        <v>117</v>
      </c>
      <c r="D105" t="s">
        <v>40</v>
      </c>
      <c r="E105">
        <v>42841</v>
      </c>
    </row>
    <row r="106" spans="1:5">
      <c r="A106">
        <v>2024</v>
      </c>
      <c r="B106">
        <v>11</v>
      </c>
      <c r="C106" t="s">
        <v>117</v>
      </c>
      <c r="D106" t="s">
        <v>54</v>
      </c>
      <c r="E106">
        <v>33998</v>
      </c>
    </row>
    <row r="107" spans="1:5">
      <c r="A107">
        <v>2024</v>
      </c>
      <c r="B107">
        <v>11</v>
      </c>
      <c r="C107" t="s">
        <v>117</v>
      </c>
      <c r="D107" t="s">
        <v>67</v>
      </c>
      <c r="E107">
        <v>41951</v>
      </c>
    </row>
    <row r="108" spans="1:5">
      <c r="A108">
        <v>2024</v>
      </c>
      <c r="B108">
        <v>11</v>
      </c>
      <c r="C108" t="s">
        <v>117</v>
      </c>
      <c r="D108" t="s">
        <v>19</v>
      </c>
      <c r="E108">
        <v>43700</v>
      </c>
    </row>
    <row r="109" spans="1:5">
      <c r="A109">
        <v>2024</v>
      </c>
      <c r="B109">
        <v>11</v>
      </c>
      <c r="C109" t="s">
        <v>117</v>
      </c>
      <c r="D109" t="s">
        <v>38</v>
      </c>
      <c r="E109">
        <v>30106</v>
      </c>
    </row>
    <row r="110" spans="1:5">
      <c r="A110">
        <v>2024</v>
      </c>
      <c r="B110">
        <v>11</v>
      </c>
      <c r="C110" t="s">
        <v>117</v>
      </c>
      <c r="D110" t="s">
        <v>2</v>
      </c>
      <c r="E110">
        <v>36731</v>
      </c>
    </row>
    <row r="111" spans="1:5">
      <c r="A111">
        <v>2024</v>
      </c>
      <c r="B111">
        <v>11</v>
      </c>
      <c r="C111" t="s">
        <v>117</v>
      </c>
      <c r="D111" t="s">
        <v>78</v>
      </c>
      <c r="E111">
        <v>44332</v>
      </c>
    </row>
    <row r="112" spans="1:5">
      <c r="A112">
        <v>2024</v>
      </c>
      <c r="B112">
        <v>12</v>
      </c>
      <c r="C112" t="s">
        <v>124</v>
      </c>
      <c r="D112" t="s">
        <v>26</v>
      </c>
      <c r="E112">
        <v>40128</v>
      </c>
    </row>
    <row r="113" spans="1:5">
      <c r="A113">
        <v>2024</v>
      </c>
      <c r="B113">
        <v>12</v>
      </c>
      <c r="C113" t="s">
        <v>124</v>
      </c>
      <c r="D113" t="s">
        <v>31</v>
      </c>
      <c r="E113">
        <v>31167</v>
      </c>
    </row>
    <row r="114" spans="1:5">
      <c r="A114">
        <v>2024</v>
      </c>
      <c r="B114">
        <v>12</v>
      </c>
      <c r="C114" t="s">
        <v>124</v>
      </c>
      <c r="D114" t="s">
        <v>47</v>
      </c>
      <c r="E114">
        <v>34376</v>
      </c>
    </row>
    <row r="115" spans="1:5">
      <c r="A115">
        <v>2024</v>
      </c>
      <c r="B115">
        <v>12</v>
      </c>
      <c r="C115" t="s">
        <v>124</v>
      </c>
      <c r="D115" t="s">
        <v>40</v>
      </c>
      <c r="E115">
        <v>41477</v>
      </c>
    </row>
    <row r="116" spans="1:5">
      <c r="A116">
        <v>2024</v>
      </c>
      <c r="B116">
        <v>12</v>
      </c>
      <c r="C116" t="s">
        <v>124</v>
      </c>
      <c r="D116" t="s">
        <v>54</v>
      </c>
      <c r="E116">
        <v>32795</v>
      </c>
    </row>
    <row r="117" spans="1:5">
      <c r="A117">
        <v>2024</v>
      </c>
      <c r="B117">
        <v>12</v>
      </c>
      <c r="C117" t="s">
        <v>124</v>
      </c>
      <c r="D117" t="s">
        <v>67</v>
      </c>
      <c r="E117">
        <v>42725</v>
      </c>
    </row>
    <row r="118" spans="1:5">
      <c r="A118">
        <v>2024</v>
      </c>
      <c r="B118">
        <v>12</v>
      </c>
      <c r="C118" t="s">
        <v>124</v>
      </c>
      <c r="D118" t="s">
        <v>19</v>
      </c>
      <c r="E118">
        <v>28459</v>
      </c>
    </row>
    <row r="119" spans="1:5">
      <c r="A119">
        <v>2024</v>
      </c>
      <c r="B119">
        <v>12</v>
      </c>
      <c r="C119" t="s">
        <v>124</v>
      </c>
      <c r="D119" t="s">
        <v>38</v>
      </c>
      <c r="E119">
        <v>31020</v>
      </c>
    </row>
    <row r="120" spans="1:5">
      <c r="A120">
        <v>2024</v>
      </c>
      <c r="B120">
        <v>12</v>
      </c>
      <c r="C120" t="s">
        <v>124</v>
      </c>
      <c r="D120" t="s">
        <v>2</v>
      </c>
      <c r="E120">
        <v>28007</v>
      </c>
    </row>
    <row r="121" spans="1:5">
      <c r="A121">
        <v>2024</v>
      </c>
      <c r="B121">
        <v>12</v>
      </c>
      <c r="C121" t="s">
        <v>124</v>
      </c>
      <c r="D121" t="s">
        <v>78</v>
      </c>
      <c r="E121">
        <v>42785</v>
      </c>
    </row>
    <row r="122" spans="1:5">
      <c r="A122">
        <v>2025</v>
      </c>
      <c r="B122">
        <v>1</v>
      </c>
      <c r="C122" t="s">
        <v>1</v>
      </c>
      <c r="D122" t="s">
        <v>26</v>
      </c>
      <c r="E122">
        <v>45910</v>
      </c>
    </row>
    <row r="123" spans="1:5">
      <c r="A123">
        <v>2025</v>
      </c>
      <c r="B123">
        <v>1</v>
      </c>
      <c r="C123" t="s">
        <v>1</v>
      </c>
      <c r="D123" t="s">
        <v>31</v>
      </c>
      <c r="E123">
        <v>30721</v>
      </c>
    </row>
    <row r="124" spans="1:5">
      <c r="A124">
        <v>2025</v>
      </c>
      <c r="B124">
        <v>1</v>
      </c>
      <c r="C124" t="s">
        <v>1</v>
      </c>
      <c r="D124" t="s">
        <v>47</v>
      </c>
      <c r="E124">
        <v>34514</v>
      </c>
    </row>
    <row r="125" spans="1:5">
      <c r="A125">
        <v>2025</v>
      </c>
      <c r="B125">
        <v>1</v>
      </c>
      <c r="C125" t="s">
        <v>1</v>
      </c>
      <c r="D125" t="s">
        <v>40</v>
      </c>
      <c r="E125">
        <v>36121</v>
      </c>
    </row>
    <row r="126" spans="1:5">
      <c r="A126">
        <v>2025</v>
      </c>
      <c r="B126">
        <v>1</v>
      </c>
      <c r="C126" t="s">
        <v>1</v>
      </c>
      <c r="D126" t="s">
        <v>54</v>
      </c>
      <c r="E126">
        <v>31958</v>
      </c>
    </row>
    <row r="127" spans="1:5">
      <c r="A127">
        <v>2025</v>
      </c>
      <c r="B127">
        <v>1</v>
      </c>
      <c r="C127" t="s">
        <v>1</v>
      </c>
      <c r="D127" t="s">
        <v>67</v>
      </c>
      <c r="E127">
        <v>29463</v>
      </c>
    </row>
    <row r="128" spans="1:5">
      <c r="A128">
        <v>2025</v>
      </c>
      <c r="B128">
        <v>1</v>
      </c>
      <c r="C128" t="s">
        <v>1</v>
      </c>
      <c r="D128" t="s">
        <v>19</v>
      </c>
      <c r="E128">
        <v>45906</v>
      </c>
    </row>
    <row r="129" spans="1:5">
      <c r="A129">
        <v>2025</v>
      </c>
      <c r="B129">
        <v>1</v>
      </c>
      <c r="C129" t="s">
        <v>1</v>
      </c>
      <c r="D129" t="s">
        <v>38</v>
      </c>
      <c r="E129">
        <v>36799</v>
      </c>
    </row>
    <row r="130" spans="1:5">
      <c r="A130">
        <v>2025</v>
      </c>
      <c r="B130">
        <v>1</v>
      </c>
      <c r="C130" t="s">
        <v>1</v>
      </c>
      <c r="D130" t="s">
        <v>2</v>
      </c>
      <c r="E130">
        <v>39706</v>
      </c>
    </row>
    <row r="131" spans="1:5">
      <c r="A131">
        <v>2025</v>
      </c>
      <c r="B131">
        <v>1</v>
      </c>
      <c r="C131" t="s">
        <v>1</v>
      </c>
      <c r="D131" t="s">
        <v>78</v>
      </c>
      <c r="E131">
        <v>33071</v>
      </c>
    </row>
    <row r="132" spans="1:5">
      <c r="A132">
        <v>2025</v>
      </c>
      <c r="B132">
        <v>2</v>
      </c>
      <c r="C132" t="s">
        <v>25</v>
      </c>
      <c r="D132" t="s">
        <v>26</v>
      </c>
      <c r="E132">
        <v>28168</v>
      </c>
    </row>
    <row r="133" spans="1:5">
      <c r="A133">
        <v>2025</v>
      </c>
      <c r="B133">
        <v>2</v>
      </c>
      <c r="C133" t="s">
        <v>25</v>
      </c>
      <c r="D133" t="s">
        <v>31</v>
      </c>
      <c r="E133">
        <v>38270</v>
      </c>
    </row>
    <row r="134" spans="1:5">
      <c r="A134">
        <v>2025</v>
      </c>
      <c r="B134">
        <v>2</v>
      </c>
      <c r="C134" t="s">
        <v>25</v>
      </c>
      <c r="D134" t="s">
        <v>47</v>
      </c>
      <c r="E134">
        <v>44121</v>
      </c>
    </row>
    <row r="135" spans="1:5">
      <c r="A135">
        <v>2025</v>
      </c>
      <c r="B135">
        <v>2</v>
      </c>
      <c r="C135" t="s">
        <v>25</v>
      </c>
      <c r="D135" t="s">
        <v>40</v>
      </c>
      <c r="E135">
        <v>32419</v>
      </c>
    </row>
    <row r="136" spans="1:5">
      <c r="A136">
        <v>2025</v>
      </c>
      <c r="B136">
        <v>2</v>
      </c>
      <c r="C136" t="s">
        <v>25</v>
      </c>
      <c r="D136" t="s">
        <v>54</v>
      </c>
      <c r="E136">
        <v>45884</v>
      </c>
    </row>
    <row r="137" spans="1:5">
      <c r="A137">
        <v>2025</v>
      </c>
      <c r="B137">
        <v>2</v>
      </c>
      <c r="C137" t="s">
        <v>25</v>
      </c>
      <c r="D137" t="s">
        <v>67</v>
      </c>
      <c r="E137">
        <v>35304</v>
      </c>
    </row>
    <row r="138" spans="1:5">
      <c r="A138">
        <v>2025</v>
      </c>
      <c r="B138">
        <v>2</v>
      </c>
      <c r="C138" t="s">
        <v>25</v>
      </c>
      <c r="D138" t="s">
        <v>19</v>
      </c>
      <c r="E138">
        <v>43498</v>
      </c>
    </row>
    <row r="139" spans="1:5">
      <c r="A139">
        <v>2025</v>
      </c>
      <c r="B139">
        <v>2</v>
      </c>
      <c r="C139" t="s">
        <v>25</v>
      </c>
      <c r="D139" t="s">
        <v>38</v>
      </c>
      <c r="E139">
        <v>32299</v>
      </c>
    </row>
    <row r="140" spans="1:5">
      <c r="A140">
        <v>2025</v>
      </c>
      <c r="B140">
        <v>2</v>
      </c>
      <c r="C140" t="s">
        <v>25</v>
      </c>
      <c r="D140" t="s">
        <v>2</v>
      </c>
      <c r="E140">
        <v>44538</v>
      </c>
    </row>
    <row r="141" spans="1:5">
      <c r="A141">
        <v>2025</v>
      </c>
      <c r="B141">
        <v>2</v>
      </c>
      <c r="C141" t="s">
        <v>25</v>
      </c>
      <c r="D141" t="s">
        <v>78</v>
      </c>
      <c r="E141">
        <v>37525</v>
      </c>
    </row>
    <row r="142" spans="1:5">
      <c r="A142">
        <v>2025</v>
      </c>
      <c r="B142">
        <v>3</v>
      </c>
      <c r="C142" t="s">
        <v>60</v>
      </c>
      <c r="D142" t="s">
        <v>26</v>
      </c>
      <c r="E142">
        <v>30766</v>
      </c>
    </row>
    <row r="143" spans="1:5">
      <c r="A143">
        <v>2025</v>
      </c>
      <c r="B143">
        <v>3</v>
      </c>
      <c r="C143" t="s">
        <v>60</v>
      </c>
      <c r="D143" t="s">
        <v>31</v>
      </c>
      <c r="E143">
        <v>41689</v>
      </c>
    </row>
    <row r="144" spans="1:5">
      <c r="A144">
        <v>2025</v>
      </c>
      <c r="B144">
        <v>3</v>
      </c>
      <c r="C144" t="s">
        <v>60</v>
      </c>
      <c r="D144" t="s">
        <v>47</v>
      </c>
      <c r="E144">
        <v>33246</v>
      </c>
    </row>
    <row r="145" spans="1:5">
      <c r="A145">
        <v>2025</v>
      </c>
      <c r="B145">
        <v>3</v>
      </c>
      <c r="C145" t="s">
        <v>60</v>
      </c>
      <c r="D145" t="s">
        <v>40</v>
      </c>
      <c r="E145">
        <v>32435</v>
      </c>
    </row>
    <row r="146" spans="1:5">
      <c r="A146">
        <v>2025</v>
      </c>
      <c r="B146">
        <v>3</v>
      </c>
      <c r="C146" t="s">
        <v>60</v>
      </c>
      <c r="D146" t="s">
        <v>54</v>
      </c>
      <c r="E146">
        <v>38027</v>
      </c>
    </row>
    <row r="147" spans="1:5">
      <c r="A147">
        <v>2025</v>
      </c>
      <c r="B147">
        <v>3</v>
      </c>
      <c r="C147" t="s">
        <v>60</v>
      </c>
      <c r="D147" t="s">
        <v>67</v>
      </c>
      <c r="E147">
        <v>44636</v>
      </c>
    </row>
    <row r="148" spans="1:5">
      <c r="A148">
        <v>2025</v>
      </c>
      <c r="B148">
        <v>3</v>
      </c>
      <c r="C148" t="s">
        <v>60</v>
      </c>
      <c r="D148" t="s">
        <v>19</v>
      </c>
      <c r="E148">
        <v>41501</v>
      </c>
    </row>
    <row r="149" spans="1:5">
      <c r="A149">
        <v>2025</v>
      </c>
      <c r="B149">
        <v>3</v>
      </c>
      <c r="C149" t="s">
        <v>60</v>
      </c>
      <c r="D149" t="s">
        <v>38</v>
      </c>
      <c r="E149">
        <v>40792</v>
      </c>
    </row>
    <row r="150" spans="1:5">
      <c r="A150">
        <v>2025</v>
      </c>
      <c r="B150">
        <v>3</v>
      </c>
      <c r="C150" t="s">
        <v>60</v>
      </c>
      <c r="D150" t="s">
        <v>2</v>
      </c>
      <c r="E150">
        <v>32867</v>
      </c>
    </row>
    <row r="151" spans="1:5">
      <c r="A151">
        <v>2025</v>
      </c>
      <c r="B151">
        <v>3</v>
      </c>
      <c r="C151" t="s">
        <v>60</v>
      </c>
      <c r="D151" t="s">
        <v>78</v>
      </c>
      <c r="E151">
        <v>45040</v>
      </c>
    </row>
    <row r="152" spans="1:5">
      <c r="A152">
        <v>2025</v>
      </c>
      <c r="B152">
        <v>4</v>
      </c>
      <c r="C152" t="s">
        <v>73</v>
      </c>
      <c r="D152" t="s">
        <v>26</v>
      </c>
      <c r="E152">
        <v>34445</v>
      </c>
    </row>
    <row r="153" spans="1:5">
      <c r="A153">
        <v>2025</v>
      </c>
      <c r="B153">
        <v>4</v>
      </c>
      <c r="C153" t="s">
        <v>73</v>
      </c>
      <c r="D153" t="s">
        <v>31</v>
      </c>
      <c r="E153">
        <v>40320</v>
      </c>
    </row>
    <row r="154" spans="1:5">
      <c r="A154">
        <v>2025</v>
      </c>
      <c r="B154">
        <v>4</v>
      </c>
      <c r="C154" t="s">
        <v>73</v>
      </c>
      <c r="D154" t="s">
        <v>47</v>
      </c>
      <c r="E154">
        <v>28463</v>
      </c>
    </row>
    <row r="155" spans="1:5">
      <c r="A155">
        <v>2025</v>
      </c>
      <c r="B155">
        <v>4</v>
      </c>
      <c r="C155" t="s">
        <v>73</v>
      </c>
      <c r="D155" t="s">
        <v>40</v>
      </c>
      <c r="E155">
        <v>31477</v>
      </c>
    </row>
    <row r="156" spans="1:5">
      <c r="A156">
        <v>2025</v>
      </c>
      <c r="B156">
        <v>4</v>
      </c>
      <c r="C156" t="s">
        <v>73</v>
      </c>
      <c r="D156" t="s">
        <v>54</v>
      </c>
      <c r="E156">
        <v>40758</v>
      </c>
    </row>
    <row r="157" spans="1:5">
      <c r="A157">
        <v>2025</v>
      </c>
      <c r="B157">
        <v>4</v>
      </c>
      <c r="C157" t="s">
        <v>73</v>
      </c>
      <c r="D157" t="s">
        <v>67</v>
      </c>
      <c r="E157">
        <v>30406</v>
      </c>
    </row>
    <row r="158" spans="1:5">
      <c r="A158">
        <v>2025</v>
      </c>
      <c r="B158">
        <v>4</v>
      </c>
      <c r="C158" t="s">
        <v>73</v>
      </c>
      <c r="D158" t="s">
        <v>19</v>
      </c>
      <c r="E158">
        <v>29683</v>
      </c>
    </row>
    <row r="159" spans="1:5">
      <c r="A159">
        <v>2025</v>
      </c>
      <c r="B159">
        <v>4</v>
      </c>
      <c r="C159" t="s">
        <v>73</v>
      </c>
      <c r="D159" t="s">
        <v>38</v>
      </c>
      <c r="E159">
        <v>39371</v>
      </c>
    </row>
    <row r="160" spans="1:5">
      <c r="A160">
        <v>2025</v>
      </c>
      <c r="B160">
        <v>4</v>
      </c>
      <c r="C160" t="s">
        <v>73</v>
      </c>
      <c r="D160" t="s">
        <v>2</v>
      </c>
      <c r="E160">
        <v>39580</v>
      </c>
    </row>
    <row r="161" spans="1:5">
      <c r="A161">
        <v>2025</v>
      </c>
      <c r="B161">
        <v>4</v>
      </c>
      <c r="C161" t="s">
        <v>73</v>
      </c>
      <c r="D161" t="s">
        <v>78</v>
      </c>
      <c r="E161">
        <v>28845</v>
      </c>
    </row>
    <row r="162" spans="1:5">
      <c r="A162">
        <v>2025</v>
      </c>
      <c r="B162">
        <v>5</v>
      </c>
      <c r="C162" t="s">
        <v>83</v>
      </c>
      <c r="D162" t="s">
        <v>26</v>
      </c>
      <c r="E162">
        <v>28838</v>
      </c>
    </row>
    <row r="163" spans="1:5">
      <c r="A163">
        <v>2025</v>
      </c>
      <c r="B163">
        <v>5</v>
      </c>
      <c r="C163" t="s">
        <v>83</v>
      </c>
      <c r="D163" t="s">
        <v>31</v>
      </c>
      <c r="E163">
        <v>44724</v>
      </c>
    </row>
    <row r="164" spans="1:5">
      <c r="A164">
        <v>2025</v>
      </c>
      <c r="B164">
        <v>5</v>
      </c>
      <c r="C164" t="s">
        <v>83</v>
      </c>
      <c r="D164" t="s">
        <v>47</v>
      </c>
      <c r="E164">
        <v>43598</v>
      </c>
    </row>
    <row r="165" spans="1:5">
      <c r="A165">
        <v>2025</v>
      </c>
      <c r="B165">
        <v>5</v>
      </c>
      <c r="C165" t="s">
        <v>83</v>
      </c>
      <c r="D165" t="s">
        <v>40</v>
      </c>
      <c r="E165">
        <v>38740</v>
      </c>
    </row>
    <row r="166" spans="1:5">
      <c r="A166">
        <v>2025</v>
      </c>
      <c r="B166">
        <v>5</v>
      </c>
      <c r="C166" t="s">
        <v>83</v>
      </c>
      <c r="D166" t="s">
        <v>54</v>
      </c>
      <c r="E166">
        <v>37950</v>
      </c>
    </row>
    <row r="167" spans="1:5">
      <c r="A167">
        <v>2025</v>
      </c>
      <c r="B167">
        <v>5</v>
      </c>
      <c r="C167" t="s">
        <v>83</v>
      </c>
      <c r="D167" t="s">
        <v>67</v>
      </c>
      <c r="E167">
        <v>42750</v>
      </c>
    </row>
    <row r="168" spans="1:5">
      <c r="A168">
        <v>2025</v>
      </c>
      <c r="B168">
        <v>5</v>
      </c>
      <c r="C168" t="s">
        <v>83</v>
      </c>
      <c r="D168" t="s">
        <v>19</v>
      </c>
      <c r="E168">
        <v>38683</v>
      </c>
    </row>
    <row r="169" spans="1:5">
      <c r="A169">
        <v>2025</v>
      </c>
      <c r="B169">
        <v>5</v>
      </c>
      <c r="C169" t="s">
        <v>83</v>
      </c>
      <c r="D169" t="s">
        <v>38</v>
      </c>
      <c r="E169">
        <v>31977</v>
      </c>
    </row>
    <row r="170" spans="1:5">
      <c r="A170">
        <v>2025</v>
      </c>
      <c r="B170">
        <v>5</v>
      </c>
      <c r="C170" t="s">
        <v>83</v>
      </c>
      <c r="D170" t="s">
        <v>2</v>
      </c>
      <c r="E170">
        <v>44304</v>
      </c>
    </row>
    <row r="171" spans="1:5">
      <c r="A171">
        <v>2025</v>
      </c>
      <c r="B171">
        <v>5</v>
      </c>
      <c r="C171" t="s">
        <v>83</v>
      </c>
      <c r="D171" t="s">
        <v>78</v>
      </c>
      <c r="E171">
        <v>43288</v>
      </c>
    </row>
    <row r="172" spans="1:5">
      <c r="A172">
        <v>2025</v>
      </c>
      <c r="B172">
        <v>6</v>
      </c>
      <c r="C172" t="s">
        <v>87</v>
      </c>
      <c r="D172" t="s">
        <v>26</v>
      </c>
      <c r="E172">
        <v>33594</v>
      </c>
    </row>
    <row r="173" spans="1:5">
      <c r="A173">
        <v>2025</v>
      </c>
      <c r="B173">
        <v>6</v>
      </c>
      <c r="C173" t="s">
        <v>87</v>
      </c>
      <c r="D173" t="s">
        <v>31</v>
      </c>
      <c r="E173">
        <v>33042</v>
      </c>
    </row>
    <row r="174" spans="1:5">
      <c r="A174">
        <v>2025</v>
      </c>
      <c r="B174">
        <v>6</v>
      </c>
      <c r="C174" t="s">
        <v>87</v>
      </c>
      <c r="D174" t="s">
        <v>47</v>
      </c>
      <c r="E174">
        <v>45026</v>
      </c>
    </row>
    <row r="175" spans="1:5">
      <c r="A175">
        <v>2025</v>
      </c>
      <c r="B175">
        <v>6</v>
      </c>
      <c r="C175" t="s">
        <v>87</v>
      </c>
      <c r="D175" t="s">
        <v>40</v>
      </c>
      <c r="E175">
        <v>34782</v>
      </c>
    </row>
    <row r="176" spans="1:5">
      <c r="A176">
        <v>2025</v>
      </c>
      <c r="B176">
        <v>6</v>
      </c>
      <c r="C176" t="s">
        <v>87</v>
      </c>
      <c r="D176" t="s">
        <v>54</v>
      </c>
      <c r="E176">
        <v>42208</v>
      </c>
    </row>
    <row r="177" spans="1:5">
      <c r="A177">
        <v>2025</v>
      </c>
      <c r="B177">
        <v>6</v>
      </c>
      <c r="C177" t="s">
        <v>87</v>
      </c>
      <c r="D177" t="s">
        <v>67</v>
      </c>
      <c r="E177">
        <v>39023</v>
      </c>
    </row>
    <row r="178" spans="1:5">
      <c r="A178">
        <v>2025</v>
      </c>
      <c r="B178">
        <v>6</v>
      </c>
      <c r="C178" t="s">
        <v>87</v>
      </c>
      <c r="D178" t="s">
        <v>19</v>
      </c>
      <c r="E178">
        <v>43034</v>
      </c>
    </row>
    <row r="179" spans="1:5">
      <c r="A179">
        <v>2025</v>
      </c>
      <c r="B179">
        <v>6</v>
      </c>
      <c r="C179" t="s">
        <v>87</v>
      </c>
      <c r="D179" t="s">
        <v>38</v>
      </c>
      <c r="E179">
        <v>35645</v>
      </c>
    </row>
    <row r="180" spans="1:5">
      <c r="A180">
        <v>2025</v>
      </c>
      <c r="B180">
        <v>6</v>
      </c>
      <c r="C180" t="s">
        <v>87</v>
      </c>
      <c r="D180" t="s">
        <v>2</v>
      </c>
      <c r="E180">
        <v>30277</v>
      </c>
    </row>
    <row r="181" spans="1:5">
      <c r="A181">
        <v>2025</v>
      </c>
      <c r="B181">
        <v>6</v>
      </c>
      <c r="C181" t="s">
        <v>87</v>
      </c>
      <c r="D181" t="s">
        <v>78</v>
      </c>
      <c r="E181">
        <v>45935</v>
      </c>
    </row>
    <row r="182" spans="1:5">
      <c r="A182">
        <v>2025</v>
      </c>
      <c r="B182">
        <v>7</v>
      </c>
      <c r="C182" t="s">
        <v>93</v>
      </c>
      <c r="D182" t="s">
        <v>26</v>
      </c>
      <c r="E182">
        <v>41079</v>
      </c>
    </row>
    <row r="183" spans="1:5">
      <c r="A183">
        <v>2025</v>
      </c>
      <c r="B183">
        <v>7</v>
      </c>
      <c r="C183" t="s">
        <v>93</v>
      </c>
      <c r="D183" t="s">
        <v>31</v>
      </c>
      <c r="E183">
        <v>29119</v>
      </c>
    </row>
    <row r="184" spans="1:5">
      <c r="A184">
        <v>2025</v>
      </c>
      <c r="B184">
        <v>7</v>
      </c>
      <c r="C184" t="s">
        <v>93</v>
      </c>
      <c r="D184" t="s">
        <v>47</v>
      </c>
      <c r="E184">
        <v>34405</v>
      </c>
    </row>
    <row r="185" spans="1:5">
      <c r="A185">
        <v>2025</v>
      </c>
      <c r="B185">
        <v>7</v>
      </c>
      <c r="C185" t="s">
        <v>93</v>
      </c>
      <c r="D185" t="s">
        <v>40</v>
      </c>
      <c r="E185">
        <v>33680</v>
      </c>
    </row>
    <row r="186" spans="1:5">
      <c r="A186">
        <v>2025</v>
      </c>
      <c r="B186">
        <v>7</v>
      </c>
      <c r="C186" t="s">
        <v>93</v>
      </c>
      <c r="D186" t="s">
        <v>54</v>
      </c>
      <c r="E186">
        <v>29482</v>
      </c>
    </row>
    <row r="187" spans="1:5">
      <c r="A187">
        <v>2025</v>
      </c>
      <c r="B187">
        <v>7</v>
      </c>
      <c r="C187" t="s">
        <v>93</v>
      </c>
      <c r="D187" t="s">
        <v>67</v>
      </c>
      <c r="E187">
        <v>45850</v>
      </c>
    </row>
    <row r="188" spans="1:5">
      <c r="A188">
        <v>2025</v>
      </c>
      <c r="B188">
        <v>7</v>
      </c>
      <c r="C188" t="s">
        <v>93</v>
      </c>
      <c r="D188" t="s">
        <v>19</v>
      </c>
      <c r="E188">
        <v>29579</v>
      </c>
    </row>
    <row r="189" spans="1:5">
      <c r="A189">
        <v>2025</v>
      </c>
      <c r="B189">
        <v>7</v>
      </c>
      <c r="C189" t="s">
        <v>93</v>
      </c>
      <c r="D189" t="s">
        <v>38</v>
      </c>
      <c r="E189">
        <v>42805</v>
      </c>
    </row>
    <row r="190" spans="1:5">
      <c r="A190">
        <v>2025</v>
      </c>
      <c r="B190">
        <v>7</v>
      </c>
      <c r="C190" t="s">
        <v>93</v>
      </c>
      <c r="D190" t="s">
        <v>2</v>
      </c>
      <c r="E190">
        <v>34177</v>
      </c>
    </row>
    <row r="191" spans="1:5">
      <c r="A191">
        <v>2025</v>
      </c>
      <c r="B191">
        <v>7</v>
      </c>
      <c r="C191" t="s">
        <v>93</v>
      </c>
      <c r="D191" t="s">
        <v>78</v>
      </c>
      <c r="E191">
        <v>43854</v>
      </c>
    </row>
    <row r="192" spans="1:5">
      <c r="A192">
        <v>2025</v>
      </c>
      <c r="B192">
        <v>8</v>
      </c>
      <c r="C192" t="s">
        <v>101</v>
      </c>
      <c r="D192" t="s">
        <v>26</v>
      </c>
      <c r="E192">
        <v>28670</v>
      </c>
    </row>
    <row r="193" spans="1:5">
      <c r="A193">
        <v>2025</v>
      </c>
      <c r="B193">
        <v>8</v>
      </c>
      <c r="C193" t="s">
        <v>101</v>
      </c>
      <c r="D193" t="s">
        <v>31</v>
      </c>
      <c r="E193">
        <v>32231</v>
      </c>
    </row>
    <row r="194" spans="1:5">
      <c r="A194">
        <v>2025</v>
      </c>
      <c r="B194">
        <v>8</v>
      </c>
      <c r="C194" t="s">
        <v>101</v>
      </c>
      <c r="D194" t="s">
        <v>47</v>
      </c>
      <c r="E194">
        <v>45364</v>
      </c>
    </row>
    <row r="195" spans="1:5">
      <c r="A195">
        <v>2025</v>
      </c>
      <c r="B195">
        <v>8</v>
      </c>
      <c r="C195" t="s">
        <v>101</v>
      </c>
      <c r="D195" t="s">
        <v>40</v>
      </c>
      <c r="E195">
        <v>35167</v>
      </c>
    </row>
    <row r="196" spans="1:5">
      <c r="A196">
        <v>2025</v>
      </c>
      <c r="B196">
        <v>8</v>
      </c>
      <c r="C196" t="s">
        <v>101</v>
      </c>
      <c r="D196" t="s">
        <v>54</v>
      </c>
      <c r="E196">
        <v>44936</v>
      </c>
    </row>
    <row r="197" spans="1:5">
      <c r="A197">
        <v>2025</v>
      </c>
      <c r="B197">
        <v>8</v>
      </c>
      <c r="C197" t="s">
        <v>101</v>
      </c>
      <c r="D197" t="s">
        <v>67</v>
      </c>
      <c r="E197">
        <v>32512</v>
      </c>
    </row>
    <row r="198" spans="1:5">
      <c r="A198">
        <v>2025</v>
      </c>
      <c r="B198">
        <v>8</v>
      </c>
      <c r="C198" t="s">
        <v>101</v>
      </c>
      <c r="D198" t="s">
        <v>19</v>
      </c>
      <c r="E198">
        <v>33255</v>
      </c>
    </row>
    <row r="199" spans="1:5">
      <c r="A199">
        <v>2025</v>
      </c>
      <c r="B199">
        <v>8</v>
      </c>
      <c r="C199" t="s">
        <v>101</v>
      </c>
      <c r="D199" t="s">
        <v>38</v>
      </c>
      <c r="E199">
        <v>34095</v>
      </c>
    </row>
    <row r="200" spans="1:5">
      <c r="A200">
        <v>2025</v>
      </c>
      <c r="B200">
        <v>8</v>
      </c>
      <c r="C200" t="s">
        <v>101</v>
      </c>
      <c r="D200" t="s">
        <v>2</v>
      </c>
      <c r="E200">
        <v>40778</v>
      </c>
    </row>
    <row r="201" spans="1:5">
      <c r="A201">
        <v>2025</v>
      </c>
      <c r="B201">
        <v>8</v>
      </c>
      <c r="C201" t="s">
        <v>101</v>
      </c>
      <c r="D201" t="s">
        <v>78</v>
      </c>
      <c r="E201">
        <v>36939</v>
      </c>
    </row>
    <row r="202" spans="1:5">
      <c r="A202">
        <v>2025</v>
      </c>
      <c r="B202">
        <v>9</v>
      </c>
      <c r="C202" t="s">
        <v>105</v>
      </c>
      <c r="D202" t="s">
        <v>26</v>
      </c>
      <c r="E202">
        <v>41938</v>
      </c>
    </row>
    <row r="203" spans="1:5">
      <c r="A203">
        <v>2025</v>
      </c>
      <c r="B203">
        <v>9</v>
      </c>
      <c r="C203" t="s">
        <v>105</v>
      </c>
      <c r="D203" t="s">
        <v>31</v>
      </c>
      <c r="E203">
        <v>45465</v>
      </c>
    </row>
    <row r="204" spans="1:5">
      <c r="A204">
        <v>2025</v>
      </c>
      <c r="B204">
        <v>9</v>
      </c>
      <c r="C204" t="s">
        <v>105</v>
      </c>
      <c r="D204" t="s">
        <v>47</v>
      </c>
      <c r="E204">
        <v>41568</v>
      </c>
    </row>
    <row r="205" spans="1:5">
      <c r="A205">
        <v>2025</v>
      </c>
      <c r="B205">
        <v>9</v>
      </c>
      <c r="C205" t="s">
        <v>105</v>
      </c>
      <c r="D205" t="s">
        <v>40</v>
      </c>
      <c r="E205">
        <v>30577</v>
      </c>
    </row>
    <row r="206" spans="1:5">
      <c r="A206">
        <v>2025</v>
      </c>
      <c r="B206">
        <v>9</v>
      </c>
      <c r="C206" t="s">
        <v>105</v>
      </c>
      <c r="D206" t="s">
        <v>54</v>
      </c>
      <c r="E206">
        <v>40556</v>
      </c>
    </row>
    <row r="207" spans="1:5">
      <c r="A207">
        <v>2025</v>
      </c>
      <c r="B207">
        <v>9</v>
      </c>
      <c r="C207" t="s">
        <v>105</v>
      </c>
      <c r="D207" t="s">
        <v>67</v>
      </c>
      <c r="E207">
        <v>37991</v>
      </c>
    </row>
    <row r="208" spans="1:5">
      <c r="A208">
        <v>2025</v>
      </c>
      <c r="B208">
        <v>9</v>
      </c>
      <c r="C208" t="s">
        <v>105</v>
      </c>
      <c r="D208" t="s">
        <v>19</v>
      </c>
      <c r="E208">
        <v>34134</v>
      </c>
    </row>
    <row r="209" spans="1:5">
      <c r="A209">
        <v>2025</v>
      </c>
      <c r="B209">
        <v>9</v>
      </c>
      <c r="C209" t="s">
        <v>105</v>
      </c>
      <c r="D209" t="s">
        <v>38</v>
      </c>
      <c r="E209">
        <v>39274</v>
      </c>
    </row>
    <row r="210" spans="1:5">
      <c r="A210">
        <v>2025</v>
      </c>
      <c r="B210">
        <v>9</v>
      </c>
      <c r="C210" t="s">
        <v>105</v>
      </c>
      <c r="D210" t="s">
        <v>2</v>
      </c>
      <c r="E210">
        <v>33724</v>
      </c>
    </row>
    <row r="211" spans="1:5">
      <c r="A211">
        <v>2025</v>
      </c>
      <c r="B211">
        <v>9</v>
      </c>
      <c r="C211" t="s">
        <v>105</v>
      </c>
      <c r="D211" t="s">
        <v>78</v>
      </c>
      <c r="E211">
        <v>36632</v>
      </c>
    </row>
    <row r="212" spans="1:5">
      <c r="A212">
        <v>2025</v>
      </c>
      <c r="B212">
        <v>10</v>
      </c>
      <c r="C212" t="s">
        <v>113</v>
      </c>
      <c r="D212" t="s">
        <v>26</v>
      </c>
      <c r="E212">
        <v>43201</v>
      </c>
    </row>
    <row r="213" spans="1:5">
      <c r="A213">
        <v>2025</v>
      </c>
      <c r="B213">
        <v>10</v>
      </c>
      <c r="C213" t="s">
        <v>113</v>
      </c>
      <c r="D213" t="s">
        <v>31</v>
      </c>
      <c r="E213">
        <v>44305</v>
      </c>
    </row>
    <row r="214" spans="1:5">
      <c r="A214">
        <v>2025</v>
      </c>
      <c r="B214">
        <v>10</v>
      </c>
      <c r="C214" t="s">
        <v>113</v>
      </c>
      <c r="D214" t="s">
        <v>47</v>
      </c>
      <c r="E214">
        <v>41622</v>
      </c>
    </row>
    <row r="215" spans="1:5">
      <c r="A215">
        <v>2025</v>
      </c>
      <c r="B215">
        <v>10</v>
      </c>
      <c r="C215" t="s">
        <v>113</v>
      </c>
      <c r="D215" t="s">
        <v>40</v>
      </c>
      <c r="E215">
        <v>37426</v>
      </c>
    </row>
    <row r="216" spans="1:5">
      <c r="A216">
        <v>2025</v>
      </c>
      <c r="B216">
        <v>10</v>
      </c>
      <c r="C216" t="s">
        <v>113</v>
      </c>
      <c r="D216" t="s">
        <v>54</v>
      </c>
      <c r="E216">
        <v>43325</v>
      </c>
    </row>
    <row r="217" spans="1:5">
      <c r="A217">
        <v>2025</v>
      </c>
      <c r="B217">
        <v>10</v>
      </c>
      <c r="C217" t="s">
        <v>113</v>
      </c>
      <c r="D217" t="s">
        <v>67</v>
      </c>
      <c r="E217">
        <v>33798</v>
      </c>
    </row>
    <row r="218" spans="1:5">
      <c r="A218">
        <v>2025</v>
      </c>
      <c r="B218">
        <v>10</v>
      </c>
      <c r="C218" t="s">
        <v>113</v>
      </c>
      <c r="D218" t="s">
        <v>19</v>
      </c>
      <c r="E218">
        <v>38675</v>
      </c>
    </row>
    <row r="219" spans="1:5">
      <c r="A219">
        <v>2025</v>
      </c>
      <c r="B219">
        <v>10</v>
      </c>
      <c r="C219" t="s">
        <v>113</v>
      </c>
      <c r="D219" t="s">
        <v>38</v>
      </c>
      <c r="E219">
        <v>45017</v>
      </c>
    </row>
    <row r="220" spans="1:5">
      <c r="A220">
        <v>2025</v>
      </c>
      <c r="B220">
        <v>10</v>
      </c>
      <c r="C220" t="s">
        <v>113</v>
      </c>
      <c r="D220" t="s">
        <v>2</v>
      </c>
      <c r="E220">
        <v>43795</v>
      </c>
    </row>
    <row r="221" spans="1:5">
      <c r="A221">
        <v>2025</v>
      </c>
      <c r="B221">
        <v>10</v>
      </c>
      <c r="C221" t="s">
        <v>113</v>
      </c>
      <c r="D221" t="s">
        <v>78</v>
      </c>
      <c r="E221">
        <v>42568</v>
      </c>
    </row>
    <row r="222" spans="1:5">
      <c r="A222">
        <v>2025</v>
      </c>
      <c r="B222">
        <v>11</v>
      </c>
      <c r="C222" t="s">
        <v>117</v>
      </c>
      <c r="D222" t="s">
        <v>26</v>
      </c>
      <c r="E222">
        <v>31935</v>
      </c>
    </row>
    <row r="223" spans="1:5">
      <c r="A223">
        <v>2025</v>
      </c>
      <c r="B223">
        <v>11</v>
      </c>
      <c r="C223" t="s">
        <v>117</v>
      </c>
      <c r="D223" t="s">
        <v>31</v>
      </c>
      <c r="E223">
        <v>45276</v>
      </c>
    </row>
    <row r="224" spans="1:5">
      <c r="A224">
        <v>2025</v>
      </c>
      <c r="B224">
        <v>11</v>
      </c>
      <c r="C224" t="s">
        <v>117</v>
      </c>
      <c r="D224" t="s">
        <v>47</v>
      </c>
      <c r="E224">
        <v>45193</v>
      </c>
    </row>
    <row r="225" spans="1:5">
      <c r="A225">
        <v>2025</v>
      </c>
      <c r="B225">
        <v>11</v>
      </c>
      <c r="C225" t="s">
        <v>117</v>
      </c>
      <c r="D225" t="s">
        <v>40</v>
      </c>
      <c r="E225">
        <v>36972</v>
      </c>
    </row>
    <row r="226" spans="1:5">
      <c r="A226">
        <v>2025</v>
      </c>
      <c r="B226">
        <v>11</v>
      </c>
      <c r="C226" t="s">
        <v>117</v>
      </c>
      <c r="D226" t="s">
        <v>54</v>
      </c>
      <c r="E226">
        <v>31098</v>
      </c>
    </row>
    <row r="227" spans="1:5">
      <c r="A227">
        <v>2025</v>
      </c>
      <c r="B227">
        <v>11</v>
      </c>
      <c r="C227" t="s">
        <v>117</v>
      </c>
      <c r="D227" t="s">
        <v>67</v>
      </c>
      <c r="E227">
        <v>35023</v>
      </c>
    </row>
    <row r="228" spans="1:5">
      <c r="A228">
        <v>2025</v>
      </c>
      <c r="B228">
        <v>11</v>
      </c>
      <c r="C228" t="s">
        <v>117</v>
      </c>
      <c r="D228" t="s">
        <v>19</v>
      </c>
      <c r="E228">
        <v>35580</v>
      </c>
    </row>
    <row r="229" spans="1:5">
      <c r="A229">
        <v>2025</v>
      </c>
      <c r="B229">
        <v>11</v>
      </c>
      <c r="C229" t="s">
        <v>117</v>
      </c>
      <c r="D229" t="s">
        <v>38</v>
      </c>
      <c r="E229">
        <v>28160</v>
      </c>
    </row>
    <row r="230" spans="1:5">
      <c r="A230">
        <v>2025</v>
      </c>
      <c r="B230">
        <v>11</v>
      </c>
      <c r="C230" t="s">
        <v>117</v>
      </c>
      <c r="D230" t="s">
        <v>2</v>
      </c>
      <c r="E230">
        <v>31051</v>
      </c>
    </row>
    <row r="231" spans="1:5">
      <c r="A231">
        <v>2025</v>
      </c>
      <c r="B231">
        <v>11</v>
      </c>
      <c r="C231" t="s">
        <v>117</v>
      </c>
      <c r="D231" t="s">
        <v>78</v>
      </c>
      <c r="E231">
        <v>42880</v>
      </c>
    </row>
    <row r="232" spans="1:5">
      <c r="A232">
        <v>2025</v>
      </c>
      <c r="B232">
        <v>12</v>
      </c>
      <c r="C232" t="s">
        <v>124</v>
      </c>
      <c r="D232" t="s">
        <v>26</v>
      </c>
      <c r="E232">
        <v>38827</v>
      </c>
    </row>
    <row r="233" spans="1:5">
      <c r="A233">
        <v>2025</v>
      </c>
      <c r="B233">
        <v>12</v>
      </c>
      <c r="C233" t="s">
        <v>124</v>
      </c>
      <c r="D233" t="s">
        <v>31</v>
      </c>
      <c r="E233">
        <v>41369</v>
      </c>
    </row>
    <row r="234" spans="1:5">
      <c r="A234">
        <v>2025</v>
      </c>
      <c r="B234">
        <v>12</v>
      </c>
      <c r="C234" t="s">
        <v>124</v>
      </c>
      <c r="D234" t="s">
        <v>47</v>
      </c>
      <c r="E234">
        <v>45860</v>
      </c>
    </row>
    <row r="235" spans="1:5">
      <c r="A235">
        <v>2025</v>
      </c>
      <c r="B235">
        <v>12</v>
      </c>
      <c r="C235" t="s">
        <v>124</v>
      </c>
      <c r="D235" t="s">
        <v>40</v>
      </c>
      <c r="E235">
        <v>33978</v>
      </c>
    </row>
    <row r="236" spans="1:5">
      <c r="A236">
        <v>2025</v>
      </c>
      <c r="B236">
        <v>12</v>
      </c>
      <c r="C236" t="s">
        <v>124</v>
      </c>
      <c r="D236" t="s">
        <v>54</v>
      </c>
      <c r="E236">
        <v>28890</v>
      </c>
    </row>
    <row r="237" spans="1:5">
      <c r="A237">
        <v>2025</v>
      </c>
      <c r="B237">
        <v>12</v>
      </c>
      <c r="C237" t="s">
        <v>124</v>
      </c>
      <c r="D237" t="s">
        <v>67</v>
      </c>
      <c r="E237">
        <v>39532</v>
      </c>
    </row>
    <row r="238" spans="1:5">
      <c r="A238">
        <v>2025</v>
      </c>
      <c r="B238">
        <v>12</v>
      </c>
      <c r="C238" t="s">
        <v>124</v>
      </c>
      <c r="D238" t="s">
        <v>19</v>
      </c>
      <c r="E238">
        <v>33136</v>
      </c>
    </row>
    <row r="239" spans="1:5">
      <c r="A239">
        <v>2025</v>
      </c>
      <c r="B239">
        <v>12</v>
      </c>
      <c r="C239" t="s">
        <v>124</v>
      </c>
      <c r="D239" t="s">
        <v>38</v>
      </c>
      <c r="E239">
        <v>39524</v>
      </c>
    </row>
    <row r="240" spans="1:5">
      <c r="A240">
        <v>2025</v>
      </c>
      <c r="B240">
        <v>12</v>
      </c>
      <c r="C240" t="s">
        <v>124</v>
      </c>
      <c r="D240" t="s">
        <v>2</v>
      </c>
      <c r="E240">
        <v>45641</v>
      </c>
    </row>
    <row r="241" spans="1:5">
      <c r="A241">
        <v>2025</v>
      </c>
      <c r="B241">
        <v>12</v>
      </c>
      <c r="C241" t="s">
        <v>124</v>
      </c>
      <c r="D241" t="s">
        <v>78</v>
      </c>
      <c r="E241">
        <v>35095</v>
      </c>
    </row>
    <row r="242" spans="1:5">
      <c r="A242">
        <v>2026</v>
      </c>
      <c r="B242">
        <v>1</v>
      </c>
      <c r="C242" t="s">
        <v>1</v>
      </c>
      <c r="D242" t="s">
        <v>26</v>
      </c>
      <c r="E242">
        <v>31594</v>
      </c>
    </row>
    <row r="243" spans="1:5">
      <c r="A243">
        <v>2026</v>
      </c>
      <c r="B243">
        <v>1</v>
      </c>
      <c r="C243" t="s">
        <v>1</v>
      </c>
      <c r="D243" t="s">
        <v>31</v>
      </c>
      <c r="E243">
        <v>37190</v>
      </c>
    </row>
    <row r="244" spans="1:5">
      <c r="A244">
        <v>2026</v>
      </c>
      <c r="B244">
        <v>1</v>
      </c>
      <c r="C244" t="s">
        <v>1</v>
      </c>
      <c r="D244" t="s">
        <v>47</v>
      </c>
      <c r="E244">
        <v>35026</v>
      </c>
    </row>
    <row r="245" spans="1:5">
      <c r="A245">
        <v>2026</v>
      </c>
      <c r="B245">
        <v>1</v>
      </c>
      <c r="C245" t="s">
        <v>1</v>
      </c>
      <c r="D245" t="s">
        <v>40</v>
      </c>
      <c r="E245">
        <v>37656</v>
      </c>
    </row>
    <row r="246" spans="1:5">
      <c r="A246">
        <v>2026</v>
      </c>
      <c r="B246">
        <v>1</v>
      </c>
      <c r="C246" t="s">
        <v>1</v>
      </c>
      <c r="D246" t="s">
        <v>54</v>
      </c>
      <c r="E246">
        <v>36785</v>
      </c>
    </row>
    <row r="247" spans="1:5">
      <c r="A247">
        <v>2026</v>
      </c>
      <c r="B247">
        <v>1</v>
      </c>
      <c r="C247" t="s">
        <v>1</v>
      </c>
      <c r="D247" t="s">
        <v>67</v>
      </c>
      <c r="E247">
        <v>32345</v>
      </c>
    </row>
    <row r="248" spans="1:5">
      <c r="A248">
        <v>2026</v>
      </c>
      <c r="B248">
        <v>1</v>
      </c>
      <c r="C248" t="s">
        <v>1</v>
      </c>
      <c r="D248" t="s">
        <v>19</v>
      </c>
      <c r="E248">
        <v>31324</v>
      </c>
    </row>
    <row r="249" spans="1:5">
      <c r="A249">
        <v>2026</v>
      </c>
      <c r="B249">
        <v>1</v>
      </c>
      <c r="C249" t="s">
        <v>1</v>
      </c>
      <c r="D249" t="s">
        <v>38</v>
      </c>
      <c r="E249">
        <v>36641</v>
      </c>
    </row>
    <row r="250" spans="1:5">
      <c r="A250">
        <v>2026</v>
      </c>
      <c r="B250">
        <v>1</v>
      </c>
      <c r="C250" t="s">
        <v>1</v>
      </c>
      <c r="D250" t="s">
        <v>2</v>
      </c>
      <c r="E250">
        <v>31159</v>
      </c>
    </row>
    <row r="251" spans="1:5">
      <c r="A251">
        <v>2026</v>
      </c>
      <c r="B251">
        <v>1</v>
      </c>
      <c r="C251" t="s">
        <v>1</v>
      </c>
      <c r="D251" t="s">
        <v>78</v>
      </c>
      <c r="E251">
        <v>42288</v>
      </c>
    </row>
    <row r="252" spans="1:5">
      <c r="A252">
        <v>2026</v>
      </c>
      <c r="B252">
        <v>2</v>
      </c>
      <c r="C252" t="s">
        <v>25</v>
      </c>
      <c r="D252" t="s">
        <v>26</v>
      </c>
      <c r="E252">
        <v>33612</v>
      </c>
    </row>
    <row r="253" spans="1:5">
      <c r="A253">
        <v>2026</v>
      </c>
      <c r="B253">
        <v>2</v>
      </c>
      <c r="C253" t="s">
        <v>25</v>
      </c>
      <c r="D253" t="s">
        <v>31</v>
      </c>
      <c r="E253">
        <v>31474</v>
      </c>
    </row>
    <row r="254" spans="1:5">
      <c r="A254">
        <v>2026</v>
      </c>
      <c r="B254">
        <v>2</v>
      </c>
      <c r="C254" t="s">
        <v>25</v>
      </c>
      <c r="D254" t="s">
        <v>47</v>
      </c>
      <c r="E254">
        <v>29980</v>
      </c>
    </row>
    <row r="255" spans="1:5">
      <c r="A255">
        <v>2026</v>
      </c>
      <c r="B255">
        <v>2</v>
      </c>
      <c r="C255" t="s">
        <v>25</v>
      </c>
      <c r="D255" t="s">
        <v>40</v>
      </c>
      <c r="E255">
        <v>39673</v>
      </c>
    </row>
    <row r="256" spans="1:5">
      <c r="A256">
        <v>2026</v>
      </c>
      <c r="B256">
        <v>2</v>
      </c>
      <c r="C256" t="s">
        <v>25</v>
      </c>
      <c r="D256" t="s">
        <v>54</v>
      </c>
      <c r="E256">
        <v>34078</v>
      </c>
    </row>
    <row r="257" spans="1:5">
      <c r="A257">
        <v>2026</v>
      </c>
      <c r="B257">
        <v>2</v>
      </c>
      <c r="C257" t="s">
        <v>25</v>
      </c>
      <c r="D257" t="s">
        <v>67</v>
      </c>
      <c r="E257">
        <v>31483</v>
      </c>
    </row>
    <row r="258" spans="1:5">
      <c r="A258">
        <v>2026</v>
      </c>
      <c r="B258">
        <v>2</v>
      </c>
      <c r="C258" t="s">
        <v>25</v>
      </c>
      <c r="D258" t="s">
        <v>19</v>
      </c>
      <c r="E258">
        <v>44601</v>
      </c>
    </row>
    <row r="259" spans="1:5">
      <c r="A259">
        <v>2026</v>
      </c>
      <c r="B259">
        <v>2</v>
      </c>
      <c r="C259" t="s">
        <v>25</v>
      </c>
      <c r="D259" t="s">
        <v>38</v>
      </c>
      <c r="E259">
        <v>38274</v>
      </c>
    </row>
    <row r="260" spans="1:5">
      <c r="A260">
        <v>2026</v>
      </c>
      <c r="B260">
        <v>2</v>
      </c>
      <c r="C260" t="s">
        <v>25</v>
      </c>
      <c r="D260" t="s">
        <v>2</v>
      </c>
      <c r="E260">
        <v>37069</v>
      </c>
    </row>
    <row r="261" spans="1:5">
      <c r="A261">
        <v>2026</v>
      </c>
      <c r="B261">
        <v>2</v>
      </c>
      <c r="C261" t="s">
        <v>25</v>
      </c>
      <c r="D261" t="s">
        <v>78</v>
      </c>
      <c r="E261">
        <v>30094</v>
      </c>
    </row>
    <row r="262" spans="1:5">
      <c r="A262">
        <v>2026</v>
      </c>
      <c r="B262">
        <v>3</v>
      </c>
      <c r="C262" t="s">
        <v>60</v>
      </c>
      <c r="D262" t="s">
        <v>26</v>
      </c>
      <c r="E262">
        <v>37536</v>
      </c>
    </row>
    <row r="263" spans="1:5">
      <c r="A263">
        <v>2026</v>
      </c>
      <c r="B263">
        <v>3</v>
      </c>
      <c r="C263" t="s">
        <v>60</v>
      </c>
      <c r="D263" t="s">
        <v>31</v>
      </c>
      <c r="E263">
        <v>38308</v>
      </c>
    </row>
    <row r="264" spans="1:5">
      <c r="A264">
        <v>2026</v>
      </c>
      <c r="B264">
        <v>3</v>
      </c>
      <c r="C264" t="s">
        <v>60</v>
      </c>
      <c r="D264" t="s">
        <v>47</v>
      </c>
      <c r="E264">
        <v>33288</v>
      </c>
    </row>
    <row r="265" spans="1:5">
      <c r="A265">
        <v>2026</v>
      </c>
      <c r="B265">
        <v>3</v>
      </c>
      <c r="C265" t="s">
        <v>60</v>
      </c>
      <c r="D265" t="s">
        <v>40</v>
      </c>
      <c r="E265">
        <v>36547</v>
      </c>
    </row>
    <row r="266" spans="1:5">
      <c r="A266">
        <v>2026</v>
      </c>
      <c r="B266">
        <v>3</v>
      </c>
      <c r="C266" t="s">
        <v>60</v>
      </c>
      <c r="D266" t="s">
        <v>54</v>
      </c>
      <c r="E266">
        <v>36392</v>
      </c>
    </row>
    <row r="267" spans="1:5">
      <c r="A267">
        <v>2026</v>
      </c>
      <c r="B267">
        <v>3</v>
      </c>
      <c r="C267" t="s">
        <v>60</v>
      </c>
      <c r="D267" t="s">
        <v>67</v>
      </c>
      <c r="E267">
        <v>30060</v>
      </c>
    </row>
    <row r="268" spans="1:5">
      <c r="A268">
        <v>2026</v>
      </c>
      <c r="B268">
        <v>3</v>
      </c>
      <c r="C268" t="s">
        <v>60</v>
      </c>
      <c r="D268" t="s">
        <v>19</v>
      </c>
      <c r="E268">
        <v>28454</v>
      </c>
    </row>
    <row r="269" spans="1:5">
      <c r="A269">
        <v>2026</v>
      </c>
      <c r="B269">
        <v>3</v>
      </c>
      <c r="C269" t="s">
        <v>60</v>
      </c>
      <c r="D269" t="s">
        <v>38</v>
      </c>
      <c r="E269">
        <v>41488</v>
      </c>
    </row>
    <row r="270" spans="1:5">
      <c r="A270">
        <v>2026</v>
      </c>
      <c r="B270">
        <v>3</v>
      </c>
      <c r="C270" t="s">
        <v>60</v>
      </c>
      <c r="D270" t="s">
        <v>2</v>
      </c>
      <c r="E270">
        <v>36422</v>
      </c>
    </row>
    <row r="271" spans="1:5">
      <c r="A271">
        <v>2026</v>
      </c>
      <c r="B271">
        <v>3</v>
      </c>
      <c r="C271" t="s">
        <v>60</v>
      </c>
      <c r="D271" t="s">
        <v>78</v>
      </c>
      <c r="E271">
        <v>41583</v>
      </c>
    </row>
    <row r="272" spans="1:5">
      <c r="A272">
        <v>2026</v>
      </c>
      <c r="B272">
        <v>4</v>
      </c>
      <c r="C272" t="s">
        <v>73</v>
      </c>
      <c r="D272" t="s">
        <v>26</v>
      </c>
      <c r="E272">
        <v>28505</v>
      </c>
    </row>
    <row r="273" spans="1:5">
      <c r="A273">
        <v>2026</v>
      </c>
      <c r="B273">
        <v>4</v>
      </c>
      <c r="C273" t="s">
        <v>73</v>
      </c>
      <c r="D273" t="s">
        <v>31</v>
      </c>
      <c r="E273">
        <v>29877</v>
      </c>
    </row>
    <row r="274" spans="1:5">
      <c r="A274">
        <v>2026</v>
      </c>
      <c r="B274">
        <v>4</v>
      </c>
      <c r="C274" t="s">
        <v>73</v>
      </c>
      <c r="D274" t="s">
        <v>47</v>
      </c>
      <c r="E274">
        <v>31160</v>
      </c>
    </row>
    <row r="275" spans="1:5">
      <c r="A275">
        <v>2026</v>
      </c>
      <c r="B275">
        <v>4</v>
      </c>
      <c r="C275" t="s">
        <v>73</v>
      </c>
      <c r="D275" t="s">
        <v>40</v>
      </c>
      <c r="E275">
        <v>35707</v>
      </c>
    </row>
    <row r="276" spans="1:5">
      <c r="A276">
        <v>2026</v>
      </c>
      <c r="B276">
        <v>4</v>
      </c>
      <c r="C276" t="s">
        <v>73</v>
      </c>
      <c r="D276" t="s">
        <v>54</v>
      </c>
      <c r="E276">
        <v>28752</v>
      </c>
    </row>
    <row r="277" spans="1:5">
      <c r="A277">
        <v>2026</v>
      </c>
      <c r="B277">
        <v>4</v>
      </c>
      <c r="C277" t="s">
        <v>73</v>
      </c>
      <c r="D277" t="s">
        <v>67</v>
      </c>
      <c r="E277">
        <v>38155</v>
      </c>
    </row>
    <row r="278" spans="1:5">
      <c r="A278">
        <v>2026</v>
      </c>
      <c r="B278">
        <v>4</v>
      </c>
      <c r="C278" t="s">
        <v>73</v>
      </c>
      <c r="D278" t="s">
        <v>19</v>
      </c>
      <c r="E278">
        <v>32031</v>
      </c>
    </row>
    <row r="279" spans="1:5">
      <c r="A279">
        <v>2026</v>
      </c>
      <c r="B279">
        <v>4</v>
      </c>
      <c r="C279" t="s">
        <v>73</v>
      </c>
      <c r="D279" t="s">
        <v>38</v>
      </c>
      <c r="E279">
        <v>31075</v>
      </c>
    </row>
    <row r="280" spans="1:5">
      <c r="A280">
        <v>2026</v>
      </c>
      <c r="B280">
        <v>4</v>
      </c>
      <c r="C280" t="s">
        <v>73</v>
      </c>
      <c r="D280" t="s">
        <v>2</v>
      </c>
      <c r="E280">
        <v>39478</v>
      </c>
    </row>
    <row r="281" spans="1:5">
      <c r="A281">
        <v>2026</v>
      </c>
      <c r="B281">
        <v>4</v>
      </c>
      <c r="C281" t="s">
        <v>73</v>
      </c>
      <c r="D281" t="s">
        <v>78</v>
      </c>
      <c r="E281">
        <v>38321</v>
      </c>
    </row>
    <row r="282" spans="1:5">
      <c r="A282">
        <v>2026</v>
      </c>
      <c r="B282">
        <v>5</v>
      </c>
      <c r="C282" t="s">
        <v>83</v>
      </c>
      <c r="D282" t="s">
        <v>26</v>
      </c>
      <c r="E282">
        <v>42943</v>
      </c>
    </row>
    <row r="283" spans="1:5">
      <c r="A283">
        <v>2026</v>
      </c>
      <c r="B283">
        <v>5</v>
      </c>
      <c r="C283" t="s">
        <v>83</v>
      </c>
      <c r="D283" t="s">
        <v>31</v>
      </c>
      <c r="E283">
        <v>29245</v>
      </c>
    </row>
    <row r="284" spans="1:5">
      <c r="A284">
        <v>2026</v>
      </c>
      <c r="B284">
        <v>5</v>
      </c>
      <c r="C284" t="s">
        <v>83</v>
      </c>
      <c r="D284" t="s">
        <v>47</v>
      </c>
      <c r="E284">
        <v>41244</v>
      </c>
    </row>
    <row r="285" spans="1:5">
      <c r="A285">
        <v>2026</v>
      </c>
      <c r="B285">
        <v>5</v>
      </c>
      <c r="C285" t="s">
        <v>83</v>
      </c>
      <c r="D285" t="s">
        <v>40</v>
      </c>
      <c r="E285">
        <v>38356</v>
      </c>
    </row>
    <row r="286" spans="1:5">
      <c r="A286">
        <v>2026</v>
      </c>
      <c r="B286">
        <v>5</v>
      </c>
      <c r="C286" t="s">
        <v>83</v>
      </c>
      <c r="D286" t="s">
        <v>54</v>
      </c>
      <c r="E286">
        <v>35065</v>
      </c>
    </row>
    <row r="287" spans="1:5">
      <c r="A287">
        <v>2026</v>
      </c>
      <c r="B287">
        <v>5</v>
      </c>
      <c r="C287" t="s">
        <v>83</v>
      </c>
      <c r="D287" t="s">
        <v>67</v>
      </c>
      <c r="E287">
        <v>43160</v>
      </c>
    </row>
    <row r="288" spans="1:5">
      <c r="A288">
        <v>2026</v>
      </c>
      <c r="B288">
        <v>5</v>
      </c>
      <c r="C288" t="s">
        <v>83</v>
      </c>
      <c r="D288" t="s">
        <v>19</v>
      </c>
      <c r="E288">
        <v>41963</v>
      </c>
    </row>
    <row r="289" spans="1:5">
      <c r="A289">
        <v>2026</v>
      </c>
      <c r="B289">
        <v>5</v>
      </c>
      <c r="C289" t="s">
        <v>83</v>
      </c>
      <c r="D289" t="s">
        <v>38</v>
      </c>
      <c r="E289">
        <v>31913</v>
      </c>
    </row>
    <row r="290" spans="1:5">
      <c r="A290">
        <v>2026</v>
      </c>
      <c r="B290">
        <v>5</v>
      </c>
      <c r="C290" t="s">
        <v>83</v>
      </c>
      <c r="D290" t="s">
        <v>2</v>
      </c>
      <c r="E290">
        <v>40260</v>
      </c>
    </row>
    <row r="291" spans="1:5">
      <c r="A291">
        <v>2026</v>
      </c>
      <c r="B291">
        <v>5</v>
      </c>
      <c r="C291" t="s">
        <v>83</v>
      </c>
      <c r="D291" t="s">
        <v>78</v>
      </c>
      <c r="E291">
        <v>44425</v>
      </c>
    </row>
    <row r="292" spans="1:5">
      <c r="A292">
        <v>2026</v>
      </c>
      <c r="B292">
        <v>6</v>
      </c>
      <c r="C292" t="s">
        <v>87</v>
      </c>
      <c r="D292" t="s">
        <v>26</v>
      </c>
      <c r="E292">
        <v>36243</v>
      </c>
    </row>
    <row r="293" spans="1:5">
      <c r="A293">
        <v>2026</v>
      </c>
      <c r="B293">
        <v>6</v>
      </c>
      <c r="C293" t="s">
        <v>87</v>
      </c>
      <c r="D293" t="s">
        <v>31</v>
      </c>
      <c r="E293">
        <v>40748</v>
      </c>
    </row>
    <row r="294" spans="1:5">
      <c r="A294">
        <v>2026</v>
      </c>
      <c r="B294">
        <v>6</v>
      </c>
      <c r="C294" t="s">
        <v>87</v>
      </c>
      <c r="D294" t="s">
        <v>47</v>
      </c>
      <c r="E294">
        <v>37564</v>
      </c>
    </row>
    <row r="295" spans="1:5">
      <c r="A295">
        <v>2026</v>
      </c>
      <c r="B295">
        <v>6</v>
      </c>
      <c r="C295" t="s">
        <v>87</v>
      </c>
      <c r="D295" t="s">
        <v>40</v>
      </c>
      <c r="E295">
        <v>39675</v>
      </c>
    </row>
    <row r="296" spans="1:5">
      <c r="A296">
        <v>2026</v>
      </c>
      <c r="B296">
        <v>6</v>
      </c>
      <c r="C296" t="s">
        <v>87</v>
      </c>
      <c r="D296" t="s">
        <v>54</v>
      </c>
      <c r="E296">
        <v>29888</v>
      </c>
    </row>
    <row r="297" spans="1:5">
      <c r="A297">
        <v>2026</v>
      </c>
      <c r="B297">
        <v>6</v>
      </c>
      <c r="C297" t="s">
        <v>87</v>
      </c>
      <c r="D297" t="s">
        <v>67</v>
      </c>
      <c r="E297">
        <v>42311</v>
      </c>
    </row>
    <row r="298" spans="1:5">
      <c r="A298">
        <v>2026</v>
      </c>
      <c r="B298">
        <v>6</v>
      </c>
      <c r="C298" t="s">
        <v>87</v>
      </c>
      <c r="D298" t="s">
        <v>19</v>
      </c>
      <c r="E298">
        <v>28775</v>
      </c>
    </row>
    <row r="299" spans="1:5">
      <c r="A299">
        <v>2026</v>
      </c>
      <c r="B299">
        <v>6</v>
      </c>
      <c r="C299" t="s">
        <v>87</v>
      </c>
      <c r="D299" t="s">
        <v>38</v>
      </c>
      <c r="E299">
        <v>37221</v>
      </c>
    </row>
    <row r="300" spans="1:5">
      <c r="A300">
        <v>2026</v>
      </c>
      <c r="B300">
        <v>6</v>
      </c>
      <c r="C300" t="s">
        <v>87</v>
      </c>
      <c r="D300" t="s">
        <v>2</v>
      </c>
      <c r="E300">
        <v>38831</v>
      </c>
    </row>
    <row r="301" spans="1:5">
      <c r="A301">
        <v>2026</v>
      </c>
      <c r="B301">
        <v>6</v>
      </c>
      <c r="C301" t="s">
        <v>87</v>
      </c>
      <c r="D301" t="s">
        <v>78</v>
      </c>
      <c r="E301">
        <v>37488</v>
      </c>
    </row>
  </sheetData>
  <hyperlinks>
    <hyperlink ref="G1" location="'Home'!A1" display="Home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0B6EA8"/>
  </sheetPr>
  <dimension ref="B1:U17"/>
  <sheetViews>
    <sheetView workbookViewId="0"/>
  </sheetViews>
  <sheetFormatPr defaultRowHeight="15"/>
  <cols>
    <col min="1" max="1" width="2.7109375" customWidth="1"/>
    <col min="2" max="14" width="20.7109375" customWidth="1"/>
    <col min="17" max="21" width="14.7109375" customWidth="1"/>
  </cols>
  <sheetData>
    <row r="1" spans="2:21">
      <c r="B1" s="1" t="s">
        <v>203</v>
      </c>
    </row>
    <row r="2" spans="2:21">
      <c r="B2" s="3" t="s">
        <v>6190</v>
      </c>
      <c r="C2" s="3"/>
      <c r="D2" s="3"/>
      <c r="E2" s="3"/>
      <c r="F2" s="3"/>
      <c r="G2" s="3"/>
      <c r="H2" s="3"/>
    </row>
    <row r="4" spans="2:21">
      <c r="B4" s="4" t="s">
        <v>6191</v>
      </c>
      <c r="C4" s="4" t="s">
        <v>6192</v>
      </c>
      <c r="D4" s="4" t="s">
        <v>6193</v>
      </c>
      <c r="E4" s="4" t="s">
        <v>6194</v>
      </c>
      <c r="F4" s="4" t="s">
        <v>199</v>
      </c>
      <c r="G4" s="4" t="s">
        <v>195</v>
      </c>
      <c r="H4" s="4" t="s">
        <v>194</v>
      </c>
      <c r="I4" s="4" t="s">
        <v>197</v>
      </c>
      <c r="J4" s="4" t="s">
        <v>4019</v>
      </c>
      <c r="K4" s="4" t="s">
        <v>1026</v>
      </c>
      <c r="L4" s="4" t="s">
        <v>1029</v>
      </c>
      <c r="M4" s="4" t="s">
        <v>6195</v>
      </c>
      <c r="N4" s="4" t="s">
        <v>6196</v>
      </c>
      <c r="Q4" s="4" t="s">
        <v>6282</v>
      </c>
      <c r="R4" s="4" t="s">
        <v>6284</v>
      </c>
      <c r="S4" s="4" t="s">
        <v>6285</v>
      </c>
      <c r="T4" s="4" t="s">
        <v>6286</v>
      </c>
      <c r="U4" s="4" t="s">
        <v>6287</v>
      </c>
    </row>
    <row r="5" spans="2:21">
      <c r="B5" s="5" t="s">
        <v>26</v>
      </c>
      <c r="C5" s="5" t="s">
        <v>27</v>
      </c>
      <c r="D5" s="5" t="s">
        <v>33</v>
      </c>
      <c r="E5" s="5" t="s">
        <v>8</v>
      </c>
      <c r="F5" s="5" t="s">
        <v>9</v>
      </c>
      <c r="G5" s="5" t="s">
        <v>13</v>
      </c>
      <c r="H5" s="5" t="s">
        <v>5</v>
      </c>
      <c r="I5" s="5" t="s">
        <v>14</v>
      </c>
      <c r="J5" s="5" t="s">
        <v>3045</v>
      </c>
      <c r="K5" s="5" t="s">
        <v>460</v>
      </c>
      <c r="L5" s="5" t="s">
        <v>431</v>
      </c>
      <c r="M5" s="5">
        <v>2024</v>
      </c>
      <c r="N5" s="5" t="s">
        <v>1</v>
      </c>
      <c r="Q5" s="5" t="s">
        <v>6283</v>
      </c>
      <c r="R5" s="5" t="s">
        <v>6283</v>
      </c>
      <c r="S5" s="5" t="s">
        <v>6283</v>
      </c>
      <c r="T5" s="5" t="s">
        <v>6283</v>
      </c>
      <c r="U5" s="5" t="s">
        <v>6283</v>
      </c>
    </row>
    <row r="6" spans="2:21">
      <c r="B6" s="5" t="s">
        <v>31</v>
      </c>
      <c r="C6" s="5" t="s">
        <v>48</v>
      </c>
      <c r="D6" s="5" t="s">
        <v>4</v>
      </c>
      <c r="E6" s="5" t="s">
        <v>22</v>
      </c>
      <c r="F6" s="5" t="s">
        <v>16</v>
      </c>
      <c r="G6" s="5" t="s">
        <v>70</v>
      </c>
      <c r="H6" s="5" t="s">
        <v>45</v>
      </c>
      <c r="I6" s="5" t="s">
        <v>71</v>
      </c>
      <c r="J6" s="5" t="s">
        <v>3026</v>
      </c>
      <c r="K6" s="5" t="s">
        <v>470</v>
      </c>
      <c r="L6" s="5" t="s">
        <v>84</v>
      </c>
      <c r="M6" s="5">
        <v>2025</v>
      </c>
      <c r="N6" s="5" t="s">
        <v>25</v>
      </c>
      <c r="Q6" s="5">
        <v>2024</v>
      </c>
      <c r="R6" s="5" t="s">
        <v>1</v>
      </c>
      <c r="S6" s="5" t="s">
        <v>26</v>
      </c>
      <c r="T6" s="5" t="s">
        <v>27</v>
      </c>
      <c r="U6" s="5" t="s">
        <v>33</v>
      </c>
    </row>
    <row r="7" spans="2:21">
      <c r="B7" s="5" t="s">
        <v>47</v>
      </c>
      <c r="C7" s="5" t="s">
        <v>32</v>
      </c>
      <c r="D7" s="5" t="s">
        <v>12</v>
      </c>
      <c r="E7" s="5" t="s">
        <v>35</v>
      </c>
      <c r="F7" s="5" t="s">
        <v>36</v>
      </c>
      <c r="G7" s="5" t="s">
        <v>34</v>
      </c>
      <c r="H7" s="5" t="s">
        <v>28</v>
      </c>
      <c r="I7" s="5" t="s">
        <v>21</v>
      </c>
      <c r="J7" s="5" t="s">
        <v>3039</v>
      </c>
      <c r="K7" s="5" t="s">
        <v>494</v>
      </c>
      <c r="L7" s="5" t="s">
        <v>464</v>
      </c>
      <c r="M7" s="5">
        <v>2026</v>
      </c>
      <c r="N7" s="5" t="s">
        <v>60</v>
      </c>
      <c r="Q7" s="5">
        <v>2025</v>
      </c>
      <c r="R7" s="5" t="s">
        <v>25</v>
      </c>
      <c r="S7" s="5" t="s">
        <v>31</v>
      </c>
      <c r="T7" s="5" t="s">
        <v>48</v>
      </c>
      <c r="U7" s="5" t="s">
        <v>4</v>
      </c>
    </row>
    <row r="8" spans="2:21">
      <c r="B8" s="5" t="s">
        <v>40</v>
      </c>
      <c r="C8" s="5" t="s">
        <v>38</v>
      </c>
      <c r="D8" s="5" t="s">
        <v>44</v>
      </c>
      <c r="E8" s="5" t="s">
        <v>15</v>
      </c>
      <c r="F8" s="5" t="s">
        <v>29</v>
      </c>
      <c r="G8" s="5" t="s">
        <v>6</v>
      </c>
      <c r="H8" s="5" t="s">
        <v>99</v>
      </c>
      <c r="I8" s="5" t="s">
        <v>107</v>
      </c>
      <c r="J8" s="5" t="s">
        <v>51</v>
      </c>
      <c r="K8" s="5" t="s">
        <v>446</v>
      </c>
      <c r="L8" s="5" t="s">
        <v>462</v>
      </c>
      <c r="N8" s="5" t="s">
        <v>73</v>
      </c>
      <c r="Q8" s="5">
        <v>2026</v>
      </c>
      <c r="R8" s="5" t="s">
        <v>60</v>
      </c>
      <c r="S8" s="5" t="s">
        <v>47</v>
      </c>
      <c r="T8" s="5" t="s">
        <v>32</v>
      </c>
      <c r="U8" s="5" t="s">
        <v>12</v>
      </c>
    </row>
    <row r="9" spans="2:21">
      <c r="B9" s="5" t="s">
        <v>54</v>
      </c>
      <c r="C9" s="5" t="s">
        <v>94</v>
      </c>
      <c r="E9" s="5" t="s">
        <v>52</v>
      </c>
      <c r="G9" s="5" t="s">
        <v>50</v>
      </c>
      <c r="H9" s="5" t="s">
        <v>62</v>
      </c>
      <c r="I9" s="5" t="s">
        <v>58</v>
      </c>
      <c r="J9" s="5" t="s">
        <v>3022</v>
      </c>
      <c r="K9" s="5" t="s">
        <v>428</v>
      </c>
      <c r="L9" s="5" t="s">
        <v>442</v>
      </c>
      <c r="N9" s="5" t="s">
        <v>83</v>
      </c>
      <c r="R9" s="5" t="s">
        <v>73</v>
      </c>
      <c r="S9" s="5" t="s">
        <v>40</v>
      </c>
      <c r="T9" s="5" t="s">
        <v>38</v>
      </c>
      <c r="U9" s="5" t="s">
        <v>44</v>
      </c>
    </row>
    <row r="10" spans="2:21">
      <c r="B10" s="5" t="s">
        <v>67</v>
      </c>
      <c r="C10" s="5" t="s">
        <v>3</v>
      </c>
      <c r="E10" s="5" t="s">
        <v>42</v>
      </c>
      <c r="H10" s="5" t="s">
        <v>65</v>
      </c>
      <c r="I10" s="5" t="s">
        <v>51</v>
      </c>
      <c r="J10" s="5" t="s">
        <v>3032</v>
      </c>
      <c r="K10" s="5" t="s">
        <v>454</v>
      </c>
      <c r="L10" s="5" t="s">
        <v>440</v>
      </c>
      <c r="N10" s="5" t="s">
        <v>87</v>
      </c>
      <c r="R10" s="5" t="s">
        <v>83</v>
      </c>
      <c r="S10" s="5" t="s">
        <v>54</v>
      </c>
      <c r="T10" s="5" t="s">
        <v>94</v>
      </c>
    </row>
    <row r="11" spans="2:21">
      <c r="B11" s="5" t="s">
        <v>19</v>
      </c>
      <c r="C11" s="5" t="s">
        <v>61</v>
      </c>
      <c r="H11" s="5" t="s">
        <v>49</v>
      </c>
      <c r="I11" s="5" t="s">
        <v>56</v>
      </c>
      <c r="J11" s="5" t="s">
        <v>3019</v>
      </c>
      <c r="K11" s="5" t="s">
        <v>519</v>
      </c>
      <c r="L11" s="5" t="s">
        <v>473</v>
      </c>
      <c r="N11" s="5" t="s">
        <v>93</v>
      </c>
      <c r="R11" s="5" t="s">
        <v>87</v>
      </c>
      <c r="S11" s="5" t="s">
        <v>67</v>
      </c>
      <c r="T11" s="5" t="s">
        <v>3</v>
      </c>
    </row>
    <row r="12" spans="2:21">
      <c r="B12" s="5" t="s">
        <v>38</v>
      </c>
      <c r="C12" s="5" t="s">
        <v>69</v>
      </c>
      <c r="I12" s="5" t="s">
        <v>41</v>
      </c>
      <c r="J12" s="5" t="s">
        <v>3034</v>
      </c>
      <c r="K12" s="5" t="s">
        <v>444</v>
      </c>
      <c r="L12" s="5" t="s">
        <v>435</v>
      </c>
      <c r="N12" s="5" t="s">
        <v>101</v>
      </c>
      <c r="R12" s="5" t="s">
        <v>93</v>
      </c>
      <c r="S12" s="5" t="s">
        <v>19</v>
      </c>
      <c r="T12" s="5" t="s">
        <v>61</v>
      </c>
    </row>
    <row r="13" spans="2:21">
      <c r="B13" s="5" t="s">
        <v>2</v>
      </c>
      <c r="C13" s="5" t="s">
        <v>74</v>
      </c>
      <c r="I13" s="5" t="s">
        <v>7</v>
      </c>
      <c r="K13" s="5" t="s">
        <v>466</v>
      </c>
      <c r="L13" s="5" t="s">
        <v>438</v>
      </c>
      <c r="N13" s="5" t="s">
        <v>105</v>
      </c>
      <c r="R13" s="5" t="s">
        <v>101</v>
      </c>
      <c r="S13" s="5" t="s">
        <v>38</v>
      </c>
      <c r="T13" s="5" t="s">
        <v>69</v>
      </c>
    </row>
    <row r="14" spans="2:21">
      <c r="B14" s="5" t="s">
        <v>78</v>
      </c>
      <c r="C14" s="5" t="s">
        <v>55</v>
      </c>
      <c r="I14" s="5" t="s">
        <v>84</v>
      </c>
      <c r="K14" s="5" t="s">
        <v>457</v>
      </c>
      <c r="L14" s="5" t="s">
        <v>452</v>
      </c>
      <c r="N14" s="5" t="s">
        <v>113</v>
      </c>
      <c r="R14" s="5" t="s">
        <v>105</v>
      </c>
      <c r="S14" s="5" t="s">
        <v>2</v>
      </c>
      <c r="T14" s="5" t="s">
        <v>74</v>
      </c>
    </row>
    <row r="15" spans="2:21">
      <c r="C15" s="5" t="s">
        <v>20</v>
      </c>
      <c r="N15" s="5" t="s">
        <v>117</v>
      </c>
      <c r="R15" s="5" t="s">
        <v>113</v>
      </c>
      <c r="S15" s="5" t="s">
        <v>78</v>
      </c>
      <c r="T15" s="5" t="s">
        <v>55</v>
      </c>
    </row>
    <row r="16" spans="2:21">
      <c r="C16" s="5" t="s">
        <v>64</v>
      </c>
      <c r="N16" s="5" t="s">
        <v>124</v>
      </c>
      <c r="R16" s="5" t="s">
        <v>117</v>
      </c>
      <c r="T16" s="5" t="s">
        <v>20</v>
      </c>
    </row>
    <row r="17" spans="18:20">
      <c r="R17" s="5" t="s">
        <v>124</v>
      </c>
      <c r="T17" s="5" t="s">
        <v>64</v>
      </c>
    </row>
  </sheetData>
  <mergeCells count="1">
    <mergeCell ref="B2:H2"/>
  </mergeCells>
  <hyperlinks>
    <hyperlink ref="B1" location="'Home'!A1" display="Home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16A34A"/>
  </sheetPr>
  <dimension ref="B1:R128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3" width="14.7109375" customWidth="1"/>
    <col min="4" max="18" width="12.7109375" customWidth="1"/>
  </cols>
  <sheetData>
    <row r="1" spans="2:18">
      <c r="B1" s="1" t="s">
        <v>203</v>
      </c>
    </row>
    <row r="2" spans="2:18">
      <c r="B2" s="3" t="s">
        <v>6197</v>
      </c>
      <c r="C2" s="3"/>
      <c r="D2" s="3"/>
      <c r="E2" s="3"/>
      <c r="F2" s="3"/>
      <c r="G2" s="3"/>
      <c r="H2" s="3"/>
    </row>
    <row r="3" spans="2:18">
      <c r="F3" s="1" t="s">
        <v>6234</v>
      </c>
    </row>
    <row r="4" spans="2:18">
      <c r="B4" s="1" t="s">
        <v>6198</v>
      </c>
      <c r="F4" s="4" t="s">
        <v>189</v>
      </c>
      <c r="G4" s="4" t="s">
        <v>6210</v>
      </c>
      <c r="H4" s="4" t="s">
        <v>4021</v>
      </c>
      <c r="I4" s="4" t="s">
        <v>5942</v>
      </c>
      <c r="J4" s="4" t="s">
        <v>1026</v>
      </c>
      <c r="K4" s="4" t="s">
        <v>6235</v>
      </c>
      <c r="L4" s="4" t="s">
        <v>6236</v>
      </c>
      <c r="M4" s="4" t="s">
        <v>6237</v>
      </c>
      <c r="N4" s="4" t="s">
        <v>6189</v>
      </c>
      <c r="O4" s="4" t="s">
        <v>6219</v>
      </c>
      <c r="P4" s="4" t="s">
        <v>6220</v>
      </c>
      <c r="Q4" s="4" t="s">
        <v>6238</v>
      </c>
      <c r="R4" s="4" t="s">
        <v>6239</v>
      </c>
    </row>
    <row r="5" spans="2:18">
      <c r="B5" s="6" t="s">
        <v>6199</v>
      </c>
      <c r="C5" s="7">
        <f>IF(SelYear="All","&lt;&gt;",SelYear)</f>
        <v>0</v>
      </c>
      <c r="F5" s="8" t="s">
        <v>1</v>
      </c>
      <c r="G5" s="9">
        <f>COUNTIFS('Incident Register'!$I$2:$I$100001,"Lost Time Injury",'Incident Register'!$C$2:$C$100001,DashYear,'Incident Register'!$D$2:$D$100001,1,'Incident Register'!$F$2:$F$100001,dCrit)+COUNTIFS('Incident Register'!$I$2:$I$100001,"Medical Treatment Case",'Incident Register'!$C$2:$C$100001,DashYear,'Incident Register'!$D$2:$D$100001,1,'Incident Register'!$F$2:$F$100001,dCrit)+COUNTIFS('Incident Register'!$I$2:$I$100001,"Restricted Work Case",'Incident Register'!$C$2:$C$100001,DashYear,'Incident Register'!$D$2:$D$100001,1,'Incident Register'!$F$2:$F$100001,dCrit)</f>
        <v>0</v>
      </c>
      <c r="H5" s="9">
        <f>COUNTIFS('First Aid Register'!$C$2:$C$100001,DashYear,'First Aid Register'!$D$2:$D$100001,1,'First Aid Register'!$F$2:$F$100001,dCrit)</f>
        <v>0</v>
      </c>
      <c r="I5" s="9">
        <f>COUNTIFS('Near Miss Register'!$C$2:$C$100001,DashYear,'Near Miss Register'!$D$2:$D$100001,1,'Near Miss Register'!$F$2:$F$100001,dCrit)</f>
        <v>0</v>
      </c>
      <c r="J5" s="9">
        <f>COUNTIFS('Safety Observation Register'!$I$2:$I$100001,"Unsafe Act",'Safety Observation Register'!$C$2:$C$100001,DashYear,'Safety Observation Register'!$D$2:$D$100001,1,'Safety Observation Register'!$F$2:$F$100001,dCrit)</f>
        <v>0</v>
      </c>
      <c r="K5" s="9">
        <f>COUNTIFS('Safety Observation Register'!$I$2:$I$100001,"Unsafe Condition",'Safety Observation Register'!$C$2:$C$100001,DashYear,'Safety Observation Register'!$D$2:$D$100001,1,'Safety Observation Register'!$F$2:$F$100001,dCrit)</f>
        <v>0</v>
      </c>
      <c r="L5" s="9">
        <f>COUNTIFS('Safety Observation Register'!$C$2:$C$100001,DashYear,'Safety Observation Register'!$D$2:$D$100001,1,'Safety Observation Register'!$F$2:$F$100001,dCrit)</f>
        <v>0</v>
      </c>
      <c r="M5" s="9">
        <f>G5+H5</f>
        <v>0</v>
      </c>
      <c r="N5" s="9">
        <f>SUMIFS('Man-hours Master'!$E$2:$E$100001,'Man-hours Master'!$A$2:$A$100001,DashYear,'Man-hours Master'!$B$2:$B$100001,1,'Man-hours Master'!$D$2:$D$100001,dCrit)</f>
        <v>0</v>
      </c>
      <c r="O5" s="10">
        <f>IFERROR(G5*200000/N5,0)</f>
        <v>0</v>
      </c>
      <c r="P5" s="10">
        <f>IFERROR((COUNTIFS('Incident Register'!$I$2:$I$100001,"Lost Time Injury",'Incident Register'!$C$2:$C$100001,DashYear,'Incident Register'!$D$2:$D$100001,1,'Incident Register'!$F$2:$F$100001,dCrit))*1000000/N5,0)</f>
        <v>0</v>
      </c>
      <c r="Q5" s="11">
        <f>IFERROR(SUMIFS('Training Register'!$I$2:$I$100001,'Training Register'!$C$2:$C$100001,DashYear,'Training Register'!$D$2:$D$100001,1,'Training Register'!$F$2:$F$100001,dCrit)/SUMIFS('Training Register'!$H$2:$H$100001,'Training Register'!$C$2:$C$100001,DashYear,'Training Register'!$D$2:$D$100001,1,'Training Register'!$F$2:$F$100001,dCrit),0)*100</f>
        <v>0</v>
      </c>
      <c r="R5" s="11">
        <f>IFERROR(COUNTIFS('Permit To Work Register'!$K$2:$K$100001,"Compliant",'Permit To Work Register'!$C$2:$C$100001,DashYear,'Permit To Work Register'!$D$2:$D$100001,1,'Permit To Work Register'!$F$2:$F$100001,dCrit)/COUNTIFS('Permit To Work Register'!$C$2:$C$100001,DashYear,'Permit To Work Register'!$D$2:$D$100001,1,'Permit To Work Register'!$F$2:$F$100001,dCrit),0)*100</f>
        <v>0</v>
      </c>
    </row>
    <row r="6" spans="2:18">
      <c r="B6" s="6" t="s">
        <v>6200</v>
      </c>
      <c r="C6" s="7">
        <f>IF(SelMonth="All","&lt;&gt;",SelMonth)</f>
        <v>0</v>
      </c>
      <c r="F6" s="8" t="s">
        <v>25</v>
      </c>
      <c r="G6" s="9">
        <f>COUNTIFS('Incident Register'!$I$2:$I$100001,"Lost Time Injury",'Incident Register'!$C$2:$C$100001,DashYear,'Incident Register'!$D$2:$D$100001,2,'Incident Register'!$F$2:$F$100001,dCrit)+COUNTIFS('Incident Register'!$I$2:$I$100001,"Medical Treatment Case",'Incident Register'!$C$2:$C$100001,DashYear,'Incident Register'!$D$2:$D$100001,2,'Incident Register'!$F$2:$F$100001,dCrit)+COUNTIFS('Incident Register'!$I$2:$I$100001,"Restricted Work Case",'Incident Register'!$C$2:$C$100001,DashYear,'Incident Register'!$D$2:$D$100001,2,'Incident Register'!$F$2:$F$100001,dCrit)</f>
        <v>0</v>
      </c>
      <c r="H6" s="9">
        <f>COUNTIFS('First Aid Register'!$C$2:$C$100001,DashYear,'First Aid Register'!$D$2:$D$100001,2,'First Aid Register'!$F$2:$F$100001,dCrit)</f>
        <v>0</v>
      </c>
      <c r="I6" s="9">
        <f>COUNTIFS('Near Miss Register'!$C$2:$C$100001,DashYear,'Near Miss Register'!$D$2:$D$100001,2,'Near Miss Register'!$F$2:$F$100001,dCrit)</f>
        <v>0</v>
      </c>
      <c r="J6" s="9">
        <f>COUNTIFS('Safety Observation Register'!$I$2:$I$100001,"Unsafe Act",'Safety Observation Register'!$C$2:$C$100001,DashYear,'Safety Observation Register'!$D$2:$D$100001,2,'Safety Observation Register'!$F$2:$F$100001,dCrit)</f>
        <v>0</v>
      </c>
      <c r="K6" s="9">
        <f>COUNTIFS('Safety Observation Register'!$I$2:$I$100001,"Unsafe Condition",'Safety Observation Register'!$C$2:$C$100001,DashYear,'Safety Observation Register'!$D$2:$D$100001,2,'Safety Observation Register'!$F$2:$F$100001,dCrit)</f>
        <v>0</v>
      </c>
      <c r="L6" s="9">
        <f>COUNTIFS('Safety Observation Register'!$C$2:$C$100001,DashYear,'Safety Observation Register'!$D$2:$D$100001,2,'Safety Observation Register'!$F$2:$F$100001,dCrit)</f>
        <v>0</v>
      </c>
      <c r="M6" s="9">
        <f>G6+H6</f>
        <v>0</v>
      </c>
      <c r="N6" s="9">
        <f>SUMIFS('Man-hours Master'!$E$2:$E$100001,'Man-hours Master'!$A$2:$A$100001,DashYear,'Man-hours Master'!$B$2:$B$100001,2,'Man-hours Master'!$D$2:$D$100001,dCrit)</f>
        <v>0</v>
      </c>
      <c r="O6" s="10">
        <f>IFERROR(G6*200000/N6,0)</f>
        <v>0</v>
      </c>
      <c r="P6" s="10">
        <f>IFERROR((COUNTIFS('Incident Register'!$I$2:$I$100001,"Lost Time Injury",'Incident Register'!$C$2:$C$100001,DashYear,'Incident Register'!$D$2:$D$100001,2,'Incident Register'!$F$2:$F$100001,dCrit))*1000000/N6,0)</f>
        <v>0</v>
      </c>
      <c r="Q6" s="11">
        <f>IFERROR(SUMIFS('Training Register'!$I$2:$I$100001,'Training Register'!$C$2:$C$100001,DashYear,'Training Register'!$D$2:$D$100001,2,'Training Register'!$F$2:$F$100001,dCrit)/SUMIFS('Training Register'!$H$2:$H$100001,'Training Register'!$C$2:$C$100001,DashYear,'Training Register'!$D$2:$D$100001,2,'Training Register'!$F$2:$F$100001,dCrit),0)*100</f>
        <v>0</v>
      </c>
      <c r="R6" s="11">
        <f>IFERROR(COUNTIFS('Permit To Work Register'!$K$2:$K$100001,"Compliant",'Permit To Work Register'!$C$2:$C$100001,DashYear,'Permit To Work Register'!$D$2:$D$100001,2,'Permit To Work Register'!$F$2:$F$100001,dCrit)/COUNTIFS('Permit To Work Register'!$C$2:$C$100001,DashYear,'Permit To Work Register'!$D$2:$D$100001,2,'Permit To Work Register'!$F$2:$F$100001,dCrit),0)*100</f>
        <v>0</v>
      </c>
    </row>
    <row r="7" spans="2:18">
      <c r="B7" s="6" t="s">
        <v>6201</v>
      </c>
      <c r="C7" s="7">
        <f>IF(SelDept="All","&lt;&gt;",SelDept)</f>
        <v>0</v>
      </c>
      <c r="F7" s="8" t="s">
        <v>60</v>
      </c>
      <c r="G7" s="9">
        <f>COUNTIFS('Incident Register'!$I$2:$I$100001,"Lost Time Injury",'Incident Register'!$C$2:$C$100001,DashYear,'Incident Register'!$D$2:$D$100001,3,'Incident Register'!$F$2:$F$100001,dCrit)+COUNTIFS('Incident Register'!$I$2:$I$100001,"Medical Treatment Case",'Incident Register'!$C$2:$C$100001,DashYear,'Incident Register'!$D$2:$D$100001,3,'Incident Register'!$F$2:$F$100001,dCrit)+COUNTIFS('Incident Register'!$I$2:$I$100001,"Restricted Work Case",'Incident Register'!$C$2:$C$100001,DashYear,'Incident Register'!$D$2:$D$100001,3,'Incident Register'!$F$2:$F$100001,dCrit)</f>
        <v>0</v>
      </c>
      <c r="H7" s="9">
        <f>COUNTIFS('First Aid Register'!$C$2:$C$100001,DashYear,'First Aid Register'!$D$2:$D$100001,3,'First Aid Register'!$F$2:$F$100001,dCrit)</f>
        <v>0</v>
      </c>
      <c r="I7" s="9">
        <f>COUNTIFS('Near Miss Register'!$C$2:$C$100001,DashYear,'Near Miss Register'!$D$2:$D$100001,3,'Near Miss Register'!$F$2:$F$100001,dCrit)</f>
        <v>0</v>
      </c>
      <c r="J7" s="9">
        <f>COUNTIFS('Safety Observation Register'!$I$2:$I$100001,"Unsafe Act",'Safety Observation Register'!$C$2:$C$100001,DashYear,'Safety Observation Register'!$D$2:$D$100001,3,'Safety Observation Register'!$F$2:$F$100001,dCrit)</f>
        <v>0</v>
      </c>
      <c r="K7" s="9">
        <f>COUNTIFS('Safety Observation Register'!$I$2:$I$100001,"Unsafe Condition",'Safety Observation Register'!$C$2:$C$100001,DashYear,'Safety Observation Register'!$D$2:$D$100001,3,'Safety Observation Register'!$F$2:$F$100001,dCrit)</f>
        <v>0</v>
      </c>
      <c r="L7" s="9">
        <f>COUNTIFS('Safety Observation Register'!$C$2:$C$100001,DashYear,'Safety Observation Register'!$D$2:$D$100001,3,'Safety Observation Register'!$F$2:$F$100001,dCrit)</f>
        <v>0</v>
      </c>
      <c r="M7" s="9">
        <f>G7+H7</f>
        <v>0</v>
      </c>
      <c r="N7" s="9">
        <f>SUMIFS('Man-hours Master'!$E$2:$E$100001,'Man-hours Master'!$A$2:$A$100001,DashYear,'Man-hours Master'!$B$2:$B$100001,3,'Man-hours Master'!$D$2:$D$100001,dCrit)</f>
        <v>0</v>
      </c>
      <c r="O7" s="10">
        <f>IFERROR(G7*200000/N7,0)</f>
        <v>0</v>
      </c>
      <c r="P7" s="10">
        <f>IFERROR((COUNTIFS('Incident Register'!$I$2:$I$100001,"Lost Time Injury",'Incident Register'!$C$2:$C$100001,DashYear,'Incident Register'!$D$2:$D$100001,3,'Incident Register'!$F$2:$F$100001,dCrit))*1000000/N7,0)</f>
        <v>0</v>
      </c>
      <c r="Q7" s="11">
        <f>IFERROR(SUMIFS('Training Register'!$I$2:$I$100001,'Training Register'!$C$2:$C$100001,DashYear,'Training Register'!$D$2:$D$100001,3,'Training Register'!$F$2:$F$100001,dCrit)/SUMIFS('Training Register'!$H$2:$H$100001,'Training Register'!$C$2:$C$100001,DashYear,'Training Register'!$D$2:$D$100001,3,'Training Register'!$F$2:$F$100001,dCrit),0)*100</f>
        <v>0</v>
      </c>
      <c r="R7" s="11">
        <f>IFERROR(COUNTIFS('Permit To Work Register'!$K$2:$K$100001,"Compliant",'Permit To Work Register'!$C$2:$C$100001,DashYear,'Permit To Work Register'!$D$2:$D$100001,3,'Permit To Work Register'!$F$2:$F$100001,dCrit)/COUNTIFS('Permit To Work Register'!$C$2:$C$100001,DashYear,'Permit To Work Register'!$D$2:$D$100001,3,'Permit To Work Register'!$F$2:$F$100001,dCrit),0)*100</f>
        <v>0</v>
      </c>
    </row>
    <row r="8" spans="2:18">
      <c r="B8" s="6" t="s">
        <v>6202</v>
      </c>
      <c r="C8" s="7">
        <f>IF(SelArea="All","&lt;&gt;",SelArea)</f>
        <v>0</v>
      </c>
      <c r="F8" s="8" t="s">
        <v>73</v>
      </c>
      <c r="G8" s="9">
        <f>COUNTIFS('Incident Register'!$I$2:$I$100001,"Lost Time Injury",'Incident Register'!$C$2:$C$100001,DashYear,'Incident Register'!$D$2:$D$100001,4,'Incident Register'!$F$2:$F$100001,dCrit)+COUNTIFS('Incident Register'!$I$2:$I$100001,"Medical Treatment Case",'Incident Register'!$C$2:$C$100001,DashYear,'Incident Register'!$D$2:$D$100001,4,'Incident Register'!$F$2:$F$100001,dCrit)+COUNTIFS('Incident Register'!$I$2:$I$100001,"Restricted Work Case",'Incident Register'!$C$2:$C$100001,DashYear,'Incident Register'!$D$2:$D$100001,4,'Incident Register'!$F$2:$F$100001,dCrit)</f>
        <v>0</v>
      </c>
      <c r="H8" s="9">
        <f>COUNTIFS('First Aid Register'!$C$2:$C$100001,DashYear,'First Aid Register'!$D$2:$D$100001,4,'First Aid Register'!$F$2:$F$100001,dCrit)</f>
        <v>0</v>
      </c>
      <c r="I8" s="9">
        <f>COUNTIFS('Near Miss Register'!$C$2:$C$100001,DashYear,'Near Miss Register'!$D$2:$D$100001,4,'Near Miss Register'!$F$2:$F$100001,dCrit)</f>
        <v>0</v>
      </c>
      <c r="J8" s="9">
        <f>COUNTIFS('Safety Observation Register'!$I$2:$I$100001,"Unsafe Act",'Safety Observation Register'!$C$2:$C$100001,DashYear,'Safety Observation Register'!$D$2:$D$100001,4,'Safety Observation Register'!$F$2:$F$100001,dCrit)</f>
        <v>0</v>
      </c>
      <c r="K8" s="9">
        <f>COUNTIFS('Safety Observation Register'!$I$2:$I$100001,"Unsafe Condition",'Safety Observation Register'!$C$2:$C$100001,DashYear,'Safety Observation Register'!$D$2:$D$100001,4,'Safety Observation Register'!$F$2:$F$100001,dCrit)</f>
        <v>0</v>
      </c>
      <c r="L8" s="9">
        <f>COUNTIFS('Safety Observation Register'!$C$2:$C$100001,DashYear,'Safety Observation Register'!$D$2:$D$100001,4,'Safety Observation Register'!$F$2:$F$100001,dCrit)</f>
        <v>0</v>
      </c>
      <c r="M8" s="9">
        <f>G8+H8</f>
        <v>0</v>
      </c>
      <c r="N8" s="9">
        <f>SUMIFS('Man-hours Master'!$E$2:$E$100001,'Man-hours Master'!$A$2:$A$100001,DashYear,'Man-hours Master'!$B$2:$B$100001,4,'Man-hours Master'!$D$2:$D$100001,dCrit)</f>
        <v>0</v>
      </c>
      <c r="O8" s="10">
        <f>IFERROR(G8*200000/N8,0)</f>
        <v>0</v>
      </c>
      <c r="P8" s="10">
        <f>IFERROR((COUNTIFS('Incident Register'!$I$2:$I$100001,"Lost Time Injury",'Incident Register'!$C$2:$C$100001,DashYear,'Incident Register'!$D$2:$D$100001,4,'Incident Register'!$F$2:$F$100001,dCrit))*1000000/N8,0)</f>
        <v>0</v>
      </c>
      <c r="Q8" s="11">
        <f>IFERROR(SUMIFS('Training Register'!$I$2:$I$100001,'Training Register'!$C$2:$C$100001,DashYear,'Training Register'!$D$2:$D$100001,4,'Training Register'!$F$2:$F$100001,dCrit)/SUMIFS('Training Register'!$H$2:$H$100001,'Training Register'!$C$2:$C$100001,DashYear,'Training Register'!$D$2:$D$100001,4,'Training Register'!$F$2:$F$100001,dCrit),0)*100</f>
        <v>0</v>
      </c>
      <c r="R8" s="11">
        <f>IFERROR(COUNTIFS('Permit To Work Register'!$K$2:$K$100001,"Compliant",'Permit To Work Register'!$C$2:$C$100001,DashYear,'Permit To Work Register'!$D$2:$D$100001,4,'Permit To Work Register'!$F$2:$F$100001,dCrit)/COUNTIFS('Permit To Work Register'!$C$2:$C$100001,DashYear,'Permit To Work Register'!$D$2:$D$100001,4,'Permit To Work Register'!$F$2:$F$100001,dCrit),0)*100</f>
        <v>0</v>
      </c>
    </row>
    <row r="9" spans="2:18">
      <c r="B9" s="6" t="s">
        <v>6203</v>
      </c>
      <c r="C9" s="7">
        <f>IF(SelShift="All","&lt;&gt;",SelShift)</f>
        <v>0</v>
      </c>
      <c r="F9" s="8" t="s">
        <v>83</v>
      </c>
      <c r="G9" s="9">
        <f>COUNTIFS('Incident Register'!$I$2:$I$100001,"Lost Time Injury",'Incident Register'!$C$2:$C$100001,DashYear,'Incident Register'!$D$2:$D$100001,5,'Incident Register'!$F$2:$F$100001,dCrit)+COUNTIFS('Incident Register'!$I$2:$I$100001,"Medical Treatment Case",'Incident Register'!$C$2:$C$100001,DashYear,'Incident Register'!$D$2:$D$100001,5,'Incident Register'!$F$2:$F$100001,dCrit)+COUNTIFS('Incident Register'!$I$2:$I$100001,"Restricted Work Case",'Incident Register'!$C$2:$C$100001,DashYear,'Incident Register'!$D$2:$D$100001,5,'Incident Register'!$F$2:$F$100001,dCrit)</f>
        <v>0</v>
      </c>
      <c r="H9" s="9">
        <f>COUNTIFS('First Aid Register'!$C$2:$C$100001,DashYear,'First Aid Register'!$D$2:$D$100001,5,'First Aid Register'!$F$2:$F$100001,dCrit)</f>
        <v>0</v>
      </c>
      <c r="I9" s="9">
        <f>COUNTIFS('Near Miss Register'!$C$2:$C$100001,DashYear,'Near Miss Register'!$D$2:$D$100001,5,'Near Miss Register'!$F$2:$F$100001,dCrit)</f>
        <v>0</v>
      </c>
      <c r="J9" s="9">
        <f>COUNTIFS('Safety Observation Register'!$I$2:$I$100001,"Unsafe Act",'Safety Observation Register'!$C$2:$C$100001,DashYear,'Safety Observation Register'!$D$2:$D$100001,5,'Safety Observation Register'!$F$2:$F$100001,dCrit)</f>
        <v>0</v>
      </c>
      <c r="K9" s="9">
        <f>COUNTIFS('Safety Observation Register'!$I$2:$I$100001,"Unsafe Condition",'Safety Observation Register'!$C$2:$C$100001,DashYear,'Safety Observation Register'!$D$2:$D$100001,5,'Safety Observation Register'!$F$2:$F$100001,dCrit)</f>
        <v>0</v>
      </c>
      <c r="L9" s="9">
        <f>COUNTIFS('Safety Observation Register'!$C$2:$C$100001,DashYear,'Safety Observation Register'!$D$2:$D$100001,5,'Safety Observation Register'!$F$2:$F$100001,dCrit)</f>
        <v>0</v>
      </c>
      <c r="M9" s="9">
        <f>G9+H9</f>
        <v>0</v>
      </c>
      <c r="N9" s="9">
        <f>SUMIFS('Man-hours Master'!$E$2:$E$100001,'Man-hours Master'!$A$2:$A$100001,DashYear,'Man-hours Master'!$B$2:$B$100001,5,'Man-hours Master'!$D$2:$D$100001,dCrit)</f>
        <v>0</v>
      </c>
      <c r="O9" s="10">
        <f>IFERROR(G9*200000/N9,0)</f>
        <v>0</v>
      </c>
      <c r="P9" s="10">
        <f>IFERROR((COUNTIFS('Incident Register'!$I$2:$I$100001,"Lost Time Injury",'Incident Register'!$C$2:$C$100001,DashYear,'Incident Register'!$D$2:$D$100001,5,'Incident Register'!$F$2:$F$100001,dCrit))*1000000/N9,0)</f>
        <v>0</v>
      </c>
      <c r="Q9" s="11">
        <f>IFERROR(SUMIFS('Training Register'!$I$2:$I$100001,'Training Register'!$C$2:$C$100001,DashYear,'Training Register'!$D$2:$D$100001,5,'Training Register'!$F$2:$F$100001,dCrit)/SUMIFS('Training Register'!$H$2:$H$100001,'Training Register'!$C$2:$C$100001,DashYear,'Training Register'!$D$2:$D$100001,5,'Training Register'!$F$2:$F$100001,dCrit),0)*100</f>
        <v>0</v>
      </c>
      <c r="R9" s="11">
        <f>IFERROR(COUNTIFS('Permit To Work Register'!$K$2:$K$100001,"Compliant",'Permit To Work Register'!$C$2:$C$100001,DashYear,'Permit To Work Register'!$D$2:$D$100001,5,'Permit To Work Register'!$F$2:$F$100001,dCrit)/COUNTIFS('Permit To Work Register'!$C$2:$C$100001,DashYear,'Permit To Work Register'!$D$2:$D$100001,5,'Permit To Work Register'!$F$2:$F$100001,dCrit),0)*100</f>
        <v>0</v>
      </c>
    </row>
    <row r="10" spans="2:18">
      <c r="B10" s="6" t="s">
        <v>6204</v>
      </c>
      <c r="C10" s="7">
        <f>IF(SelYear="All",MAX('Man-hours Master'!$A$2:$A$100001),SelYear)</f>
        <v>0</v>
      </c>
      <c r="F10" s="8" t="s">
        <v>87</v>
      </c>
      <c r="G10" s="9">
        <f>COUNTIFS('Incident Register'!$I$2:$I$100001,"Lost Time Injury",'Incident Register'!$C$2:$C$100001,DashYear,'Incident Register'!$D$2:$D$100001,6,'Incident Register'!$F$2:$F$100001,dCrit)+COUNTIFS('Incident Register'!$I$2:$I$100001,"Medical Treatment Case",'Incident Register'!$C$2:$C$100001,DashYear,'Incident Register'!$D$2:$D$100001,6,'Incident Register'!$F$2:$F$100001,dCrit)+COUNTIFS('Incident Register'!$I$2:$I$100001,"Restricted Work Case",'Incident Register'!$C$2:$C$100001,DashYear,'Incident Register'!$D$2:$D$100001,6,'Incident Register'!$F$2:$F$100001,dCrit)</f>
        <v>0</v>
      </c>
      <c r="H10" s="9">
        <f>COUNTIFS('First Aid Register'!$C$2:$C$100001,DashYear,'First Aid Register'!$D$2:$D$100001,6,'First Aid Register'!$F$2:$F$100001,dCrit)</f>
        <v>0</v>
      </c>
      <c r="I10" s="9">
        <f>COUNTIFS('Near Miss Register'!$C$2:$C$100001,DashYear,'Near Miss Register'!$D$2:$D$100001,6,'Near Miss Register'!$F$2:$F$100001,dCrit)</f>
        <v>0</v>
      </c>
      <c r="J10" s="9">
        <f>COUNTIFS('Safety Observation Register'!$I$2:$I$100001,"Unsafe Act",'Safety Observation Register'!$C$2:$C$100001,DashYear,'Safety Observation Register'!$D$2:$D$100001,6,'Safety Observation Register'!$F$2:$F$100001,dCrit)</f>
        <v>0</v>
      </c>
      <c r="K10" s="9">
        <f>COUNTIFS('Safety Observation Register'!$I$2:$I$100001,"Unsafe Condition",'Safety Observation Register'!$C$2:$C$100001,DashYear,'Safety Observation Register'!$D$2:$D$100001,6,'Safety Observation Register'!$F$2:$F$100001,dCrit)</f>
        <v>0</v>
      </c>
      <c r="L10" s="9">
        <f>COUNTIFS('Safety Observation Register'!$C$2:$C$100001,DashYear,'Safety Observation Register'!$D$2:$D$100001,6,'Safety Observation Register'!$F$2:$F$100001,dCrit)</f>
        <v>0</v>
      </c>
      <c r="M10" s="9">
        <f>G10+H10</f>
        <v>0</v>
      </c>
      <c r="N10" s="9">
        <f>SUMIFS('Man-hours Master'!$E$2:$E$100001,'Man-hours Master'!$A$2:$A$100001,DashYear,'Man-hours Master'!$B$2:$B$100001,6,'Man-hours Master'!$D$2:$D$100001,dCrit)</f>
        <v>0</v>
      </c>
      <c r="O10" s="10">
        <f>IFERROR(G10*200000/N10,0)</f>
        <v>0</v>
      </c>
      <c r="P10" s="10">
        <f>IFERROR((COUNTIFS('Incident Register'!$I$2:$I$100001,"Lost Time Injury",'Incident Register'!$C$2:$C$100001,DashYear,'Incident Register'!$D$2:$D$100001,6,'Incident Register'!$F$2:$F$100001,dCrit))*1000000/N10,0)</f>
        <v>0</v>
      </c>
      <c r="Q10" s="11">
        <f>IFERROR(SUMIFS('Training Register'!$I$2:$I$100001,'Training Register'!$C$2:$C$100001,DashYear,'Training Register'!$D$2:$D$100001,6,'Training Register'!$F$2:$F$100001,dCrit)/SUMIFS('Training Register'!$H$2:$H$100001,'Training Register'!$C$2:$C$100001,DashYear,'Training Register'!$D$2:$D$100001,6,'Training Register'!$F$2:$F$100001,dCrit),0)*100</f>
        <v>0</v>
      </c>
      <c r="R10" s="11">
        <f>IFERROR(COUNTIFS('Permit To Work Register'!$K$2:$K$100001,"Compliant",'Permit To Work Register'!$C$2:$C$100001,DashYear,'Permit To Work Register'!$D$2:$D$100001,6,'Permit To Work Register'!$F$2:$F$100001,dCrit)/COUNTIFS('Permit To Work Register'!$C$2:$C$100001,DashYear,'Permit To Work Register'!$D$2:$D$100001,6,'Permit To Work Register'!$F$2:$F$100001,dCrit),0)*100</f>
        <v>0</v>
      </c>
    </row>
    <row r="11" spans="2:18">
      <c r="F11" s="8" t="s">
        <v>93</v>
      </c>
      <c r="G11" s="9">
        <f>COUNTIFS('Incident Register'!$I$2:$I$100001,"Lost Time Injury",'Incident Register'!$C$2:$C$100001,DashYear,'Incident Register'!$D$2:$D$100001,7,'Incident Register'!$F$2:$F$100001,dCrit)+COUNTIFS('Incident Register'!$I$2:$I$100001,"Medical Treatment Case",'Incident Register'!$C$2:$C$100001,DashYear,'Incident Register'!$D$2:$D$100001,7,'Incident Register'!$F$2:$F$100001,dCrit)+COUNTIFS('Incident Register'!$I$2:$I$100001,"Restricted Work Case",'Incident Register'!$C$2:$C$100001,DashYear,'Incident Register'!$D$2:$D$100001,7,'Incident Register'!$F$2:$F$100001,dCrit)</f>
        <v>0</v>
      </c>
      <c r="H11" s="9">
        <f>COUNTIFS('First Aid Register'!$C$2:$C$100001,DashYear,'First Aid Register'!$D$2:$D$100001,7,'First Aid Register'!$F$2:$F$100001,dCrit)</f>
        <v>0</v>
      </c>
      <c r="I11" s="9">
        <f>COUNTIFS('Near Miss Register'!$C$2:$C$100001,DashYear,'Near Miss Register'!$D$2:$D$100001,7,'Near Miss Register'!$F$2:$F$100001,dCrit)</f>
        <v>0</v>
      </c>
      <c r="J11" s="9">
        <f>COUNTIFS('Safety Observation Register'!$I$2:$I$100001,"Unsafe Act",'Safety Observation Register'!$C$2:$C$100001,DashYear,'Safety Observation Register'!$D$2:$D$100001,7,'Safety Observation Register'!$F$2:$F$100001,dCrit)</f>
        <v>0</v>
      </c>
      <c r="K11" s="9">
        <f>COUNTIFS('Safety Observation Register'!$I$2:$I$100001,"Unsafe Condition",'Safety Observation Register'!$C$2:$C$100001,DashYear,'Safety Observation Register'!$D$2:$D$100001,7,'Safety Observation Register'!$F$2:$F$100001,dCrit)</f>
        <v>0</v>
      </c>
      <c r="L11" s="9">
        <f>COUNTIFS('Safety Observation Register'!$C$2:$C$100001,DashYear,'Safety Observation Register'!$D$2:$D$100001,7,'Safety Observation Register'!$F$2:$F$100001,dCrit)</f>
        <v>0</v>
      </c>
      <c r="M11" s="9">
        <f>G11+H11</f>
        <v>0</v>
      </c>
      <c r="N11" s="9">
        <f>SUMIFS('Man-hours Master'!$E$2:$E$100001,'Man-hours Master'!$A$2:$A$100001,DashYear,'Man-hours Master'!$B$2:$B$100001,7,'Man-hours Master'!$D$2:$D$100001,dCrit)</f>
        <v>0</v>
      </c>
      <c r="O11" s="10">
        <f>IFERROR(G11*200000/N11,0)</f>
        <v>0</v>
      </c>
      <c r="P11" s="10">
        <f>IFERROR((COUNTIFS('Incident Register'!$I$2:$I$100001,"Lost Time Injury",'Incident Register'!$C$2:$C$100001,DashYear,'Incident Register'!$D$2:$D$100001,7,'Incident Register'!$F$2:$F$100001,dCrit))*1000000/N11,0)</f>
        <v>0</v>
      </c>
      <c r="Q11" s="11">
        <f>IFERROR(SUMIFS('Training Register'!$I$2:$I$100001,'Training Register'!$C$2:$C$100001,DashYear,'Training Register'!$D$2:$D$100001,7,'Training Register'!$F$2:$F$100001,dCrit)/SUMIFS('Training Register'!$H$2:$H$100001,'Training Register'!$C$2:$C$100001,DashYear,'Training Register'!$D$2:$D$100001,7,'Training Register'!$F$2:$F$100001,dCrit),0)*100</f>
        <v>0</v>
      </c>
      <c r="R11" s="11">
        <f>IFERROR(COUNTIFS('Permit To Work Register'!$K$2:$K$100001,"Compliant",'Permit To Work Register'!$C$2:$C$100001,DashYear,'Permit To Work Register'!$D$2:$D$100001,7,'Permit To Work Register'!$F$2:$F$100001,dCrit)/COUNTIFS('Permit To Work Register'!$C$2:$C$100001,DashYear,'Permit To Work Register'!$D$2:$D$100001,7,'Permit To Work Register'!$F$2:$F$100001,dCrit),0)*100</f>
        <v>0</v>
      </c>
    </row>
    <row r="12" spans="2:18">
      <c r="B12" s="1" t="s">
        <v>6205</v>
      </c>
      <c r="F12" s="8" t="s">
        <v>101</v>
      </c>
      <c r="G12" s="9">
        <f>COUNTIFS('Incident Register'!$I$2:$I$100001,"Lost Time Injury",'Incident Register'!$C$2:$C$100001,DashYear,'Incident Register'!$D$2:$D$100001,8,'Incident Register'!$F$2:$F$100001,dCrit)+COUNTIFS('Incident Register'!$I$2:$I$100001,"Medical Treatment Case",'Incident Register'!$C$2:$C$100001,DashYear,'Incident Register'!$D$2:$D$100001,8,'Incident Register'!$F$2:$F$100001,dCrit)+COUNTIFS('Incident Register'!$I$2:$I$100001,"Restricted Work Case",'Incident Register'!$C$2:$C$100001,DashYear,'Incident Register'!$D$2:$D$100001,8,'Incident Register'!$F$2:$F$100001,dCrit)</f>
        <v>0</v>
      </c>
      <c r="H12" s="9">
        <f>COUNTIFS('First Aid Register'!$C$2:$C$100001,DashYear,'First Aid Register'!$D$2:$D$100001,8,'First Aid Register'!$F$2:$F$100001,dCrit)</f>
        <v>0</v>
      </c>
      <c r="I12" s="9">
        <f>COUNTIFS('Near Miss Register'!$C$2:$C$100001,DashYear,'Near Miss Register'!$D$2:$D$100001,8,'Near Miss Register'!$F$2:$F$100001,dCrit)</f>
        <v>0</v>
      </c>
      <c r="J12" s="9">
        <f>COUNTIFS('Safety Observation Register'!$I$2:$I$100001,"Unsafe Act",'Safety Observation Register'!$C$2:$C$100001,DashYear,'Safety Observation Register'!$D$2:$D$100001,8,'Safety Observation Register'!$F$2:$F$100001,dCrit)</f>
        <v>0</v>
      </c>
      <c r="K12" s="9">
        <f>COUNTIFS('Safety Observation Register'!$I$2:$I$100001,"Unsafe Condition",'Safety Observation Register'!$C$2:$C$100001,DashYear,'Safety Observation Register'!$D$2:$D$100001,8,'Safety Observation Register'!$F$2:$F$100001,dCrit)</f>
        <v>0</v>
      </c>
      <c r="L12" s="9">
        <f>COUNTIFS('Safety Observation Register'!$C$2:$C$100001,DashYear,'Safety Observation Register'!$D$2:$D$100001,8,'Safety Observation Register'!$F$2:$F$100001,dCrit)</f>
        <v>0</v>
      </c>
      <c r="M12" s="9">
        <f>G12+H12</f>
        <v>0</v>
      </c>
      <c r="N12" s="9">
        <f>SUMIFS('Man-hours Master'!$E$2:$E$100001,'Man-hours Master'!$A$2:$A$100001,DashYear,'Man-hours Master'!$B$2:$B$100001,8,'Man-hours Master'!$D$2:$D$100001,dCrit)</f>
        <v>0</v>
      </c>
      <c r="O12" s="10">
        <f>IFERROR(G12*200000/N12,0)</f>
        <v>0</v>
      </c>
      <c r="P12" s="10">
        <f>IFERROR((COUNTIFS('Incident Register'!$I$2:$I$100001,"Lost Time Injury",'Incident Register'!$C$2:$C$100001,DashYear,'Incident Register'!$D$2:$D$100001,8,'Incident Register'!$F$2:$F$100001,dCrit))*1000000/N12,0)</f>
        <v>0</v>
      </c>
      <c r="Q12" s="11">
        <f>IFERROR(SUMIFS('Training Register'!$I$2:$I$100001,'Training Register'!$C$2:$C$100001,DashYear,'Training Register'!$D$2:$D$100001,8,'Training Register'!$F$2:$F$100001,dCrit)/SUMIFS('Training Register'!$H$2:$H$100001,'Training Register'!$C$2:$C$100001,DashYear,'Training Register'!$D$2:$D$100001,8,'Training Register'!$F$2:$F$100001,dCrit),0)*100</f>
        <v>0</v>
      </c>
      <c r="R12" s="11">
        <f>IFERROR(COUNTIFS('Permit To Work Register'!$K$2:$K$100001,"Compliant",'Permit To Work Register'!$C$2:$C$100001,DashYear,'Permit To Work Register'!$D$2:$D$100001,8,'Permit To Work Register'!$F$2:$F$100001,dCrit)/COUNTIFS('Permit To Work Register'!$C$2:$C$100001,DashYear,'Permit To Work Register'!$D$2:$D$100001,8,'Permit To Work Register'!$F$2:$F$100001,dCrit),0)*100</f>
        <v>0</v>
      </c>
    </row>
    <row r="13" spans="2:18">
      <c r="B13" s="6" t="s">
        <v>6206</v>
      </c>
      <c r="C13" s="12">
        <f>IFERROR(SUMIFS('Man-hours Master'!$E$2:$E$100001,'Man-hours Master'!$A$2:$A$100001,yCrit,'Man-hours Master'!$C$2:$C$100001,mCrit,'Man-hours Master'!$D$2:$D$100001,dCrit),0)</f>
        <v>0</v>
      </c>
      <c r="F13" s="8" t="s">
        <v>105</v>
      </c>
      <c r="G13" s="9">
        <f>COUNTIFS('Incident Register'!$I$2:$I$100001,"Lost Time Injury",'Incident Register'!$C$2:$C$100001,DashYear,'Incident Register'!$D$2:$D$100001,9,'Incident Register'!$F$2:$F$100001,dCrit)+COUNTIFS('Incident Register'!$I$2:$I$100001,"Medical Treatment Case",'Incident Register'!$C$2:$C$100001,DashYear,'Incident Register'!$D$2:$D$100001,9,'Incident Register'!$F$2:$F$100001,dCrit)+COUNTIFS('Incident Register'!$I$2:$I$100001,"Restricted Work Case",'Incident Register'!$C$2:$C$100001,DashYear,'Incident Register'!$D$2:$D$100001,9,'Incident Register'!$F$2:$F$100001,dCrit)</f>
        <v>0</v>
      </c>
      <c r="H13" s="9">
        <f>COUNTIFS('First Aid Register'!$C$2:$C$100001,DashYear,'First Aid Register'!$D$2:$D$100001,9,'First Aid Register'!$F$2:$F$100001,dCrit)</f>
        <v>0</v>
      </c>
      <c r="I13" s="9">
        <f>COUNTIFS('Near Miss Register'!$C$2:$C$100001,DashYear,'Near Miss Register'!$D$2:$D$100001,9,'Near Miss Register'!$F$2:$F$100001,dCrit)</f>
        <v>0</v>
      </c>
      <c r="J13" s="9">
        <f>COUNTIFS('Safety Observation Register'!$I$2:$I$100001,"Unsafe Act",'Safety Observation Register'!$C$2:$C$100001,DashYear,'Safety Observation Register'!$D$2:$D$100001,9,'Safety Observation Register'!$F$2:$F$100001,dCrit)</f>
        <v>0</v>
      </c>
      <c r="K13" s="9">
        <f>COUNTIFS('Safety Observation Register'!$I$2:$I$100001,"Unsafe Condition",'Safety Observation Register'!$C$2:$C$100001,DashYear,'Safety Observation Register'!$D$2:$D$100001,9,'Safety Observation Register'!$F$2:$F$100001,dCrit)</f>
        <v>0</v>
      </c>
      <c r="L13" s="9">
        <f>COUNTIFS('Safety Observation Register'!$C$2:$C$100001,DashYear,'Safety Observation Register'!$D$2:$D$100001,9,'Safety Observation Register'!$F$2:$F$100001,dCrit)</f>
        <v>0</v>
      </c>
      <c r="M13" s="9">
        <f>G13+H13</f>
        <v>0</v>
      </c>
      <c r="N13" s="9">
        <f>SUMIFS('Man-hours Master'!$E$2:$E$100001,'Man-hours Master'!$A$2:$A$100001,DashYear,'Man-hours Master'!$B$2:$B$100001,9,'Man-hours Master'!$D$2:$D$100001,dCrit)</f>
        <v>0</v>
      </c>
      <c r="O13" s="10">
        <f>IFERROR(G13*200000/N13,0)</f>
        <v>0</v>
      </c>
      <c r="P13" s="10">
        <f>IFERROR((COUNTIFS('Incident Register'!$I$2:$I$100001,"Lost Time Injury",'Incident Register'!$C$2:$C$100001,DashYear,'Incident Register'!$D$2:$D$100001,9,'Incident Register'!$F$2:$F$100001,dCrit))*1000000/N13,0)</f>
        <v>0</v>
      </c>
      <c r="Q13" s="11">
        <f>IFERROR(SUMIFS('Training Register'!$I$2:$I$100001,'Training Register'!$C$2:$C$100001,DashYear,'Training Register'!$D$2:$D$100001,9,'Training Register'!$F$2:$F$100001,dCrit)/SUMIFS('Training Register'!$H$2:$H$100001,'Training Register'!$C$2:$C$100001,DashYear,'Training Register'!$D$2:$D$100001,9,'Training Register'!$F$2:$F$100001,dCrit),0)*100</f>
        <v>0</v>
      </c>
      <c r="R13" s="11">
        <f>IFERROR(COUNTIFS('Permit To Work Register'!$K$2:$K$100001,"Compliant",'Permit To Work Register'!$C$2:$C$100001,DashYear,'Permit To Work Register'!$D$2:$D$100001,9,'Permit To Work Register'!$F$2:$F$100001,dCrit)/COUNTIFS('Permit To Work Register'!$C$2:$C$100001,DashYear,'Permit To Work Register'!$D$2:$D$100001,9,'Permit To Work Register'!$F$2:$F$100001,dCrit),0)*100</f>
        <v>0</v>
      </c>
    </row>
    <row r="14" spans="2:18">
      <c r="B14" s="6" t="s">
        <v>6207</v>
      </c>
      <c r="C14" s="13">
        <f>COUNTIFS('Incident Register'!$I$2:$I$100001,"Lost Time Injury",'Incident Register'!$C$2:$C$100001,yCrit,'Incident Register'!$E$2:$E$100001,mCrit,'Incident Register'!$F$2:$F$100001,dCrit,'Incident Register'!$G$2:$G$100001,aCrit,'Incident Register'!$H$2:$H$100001,sCrit)</f>
        <v>0</v>
      </c>
      <c r="F14" s="8" t="s">
        <v>113</v>
      </c>
      <c r="G14" s="9">
        <f>COUNTIFS('Incident Register'!$I$2:$I$100001,"Lost Time Injury",'Incident Register'!$C$2:$C$100001,DashYear,'Incident Register'!$D$2:$D$100001,10,'Incident Register'!$F$2:$F$100001,dCrit)+COUNTIFS('Incident Register'!$I$2:$I$100001,"Medical Treatment Case",'Incident Register'!$C$2:$C$100001,DashYear,'Incident Register'!$D$2:$D$100001,10,'Incident Register'!$F$2:$F$100001,dCrit)+COUNTIFS('Incident Register'!$I$2:$I$100001,"Restricted Work Case",'Incident Register'!$C$2:$C$100001,DashYear,'Incident Register'!$D$2:$D$100001,10,'Incident Register'!$F$2:$F$100001,dCrit)</f>
        <v>0</v>
      </c>
      <c r="H14" s="9">
        <f>COUNTIFS('First Aid Register'!$C$2:$C$100001,DashYear,'First Aid Register'!$D$2:$D$100001,10,'First Aid Register'!$F$2:$F$100001,dCrit)</f>
        <v>0</v>
      </c>
      <c r="I14" s="9">
        <f>COUNTIFS('Near Miss Register'!$C$2:$C$100001,DashYear,'Near Miss Register'!$D$2:$D$100001,10,'Near Miss Register'!$F$2:$F$100001,dCrit)</f>
        <v>0</v>
      </c>
      <c r="J14" s="9">
        <f>COUNTIFS('Safety Observation Register'!$I$2:$I$100001,"Unsafe Act",'Safety Observation Register'!$C$2:$C$100001,DashYear,'Safety Observation Register'!$D$2:$D$100001,10,'Safety Observation Register'!$F$2:$F$100001,dCrit)</f>
        <v>0</v>
      </c>
      <c r="K14" s="9">
        <f>COUNTIFS('Safety Observation Register'!$I$2:$I$100001,"Unsafe Condition",'Safety Observation Register'!$C$2:$C$100001,DashYear,'Safety Observation Register'!$D$2:$D$100001,10,'Safety Observation Register'!$F$2:$F$100001,dCrit)</f>
        <v>0</v>
      </c>
      <c r="L14" s="9">
        <f>COUNTIFS('Safety Observation Register'!$C$2:$C$100001,DashYear,'Safety Observation Register'!$D$2:$D$100001,10,'Safety Observation Register'!$F$2:$F$100001,dCrit)</f>
        <v>0</v>
      </c>
      <c r="M14" s="9">
        <f>G14+H14</f>
        <v>0</v>
      </c>
      <c r="N14" s="9">
        <f>SUMIFS('Man-hours Master'!$E$2:$E$100001,'Man-hours Master'!$A$2:$A$100001,DashYear,'Man-hours Master'!$B$2:$B$100001,10,'Man-hours Master'!$D$2:$D$100001,dCrit)</f>
        <v>0</v>
      </c>
      <c r="O14" s="10">
        <f>IFERROR(G14*200000/N14,0)</f>
        <v>0</v>
      </c>
      <c r="P14" s="10">
        <f>IFERROR((COUNTIFS('Incident Register'!$I$2:$I$100001,"Lost Time Injury",'Incident Register'!$C$2:$C$100001,DashYear,'Incident Register'!$D$2:$D$100001,10,'Incident Register'!$F$2:$F$100001,dCrit))*1000000/N14,0)</f>
        <v>0</v>
      </c>
      <c r="Q14" s="11">
        <f>IFERROR(SUMIFS('Training Register'!$I$2:$I$100001,'Training Register'!$C$2:$C$100001,DashYear,'Training Register'!$D$2:$D$100001,10,'Training Register'!$F$2:$F$100001,dCrit)/SUMIFS('Training Register'!$H$2:$H$100001,'Training Register'!$C$2:$C$100001,DashYear,'Training Register'!$D$2:$D$100001,10,'Training Register'!$F$2:$F$100001,dCrit),0)*100</f>
        <v>0</v>
      </c>
      <c r="R14" s="11">
        <f>IFERROR(COUNTIFS('Permit To Work Register'!$K$2:$K$100001,"Compliant",'Permit To Work Register'!$C$2:$C$100001,DashYear,'Permit To Work Register'!$D$2:$D$100001,10,'Permit To Work Register'!$F$2:$F$100001,dCrit)/COUNTIFS('Permit To Work Register'!$C$2:$C$100001,DashYear,'Permit To Work Register'!$D$2:$D$100001,10,'Permit To Work Register'!$F$2:$F$100001,dCrit),0)*100</f>
        <v>0</v>
      </c>
    </row>
    <row r="15" spans="2:18">
      <c r="B15" s="6" t="s">
        <v>6208</v>
      </c>
      <c r="C15" s="13">
        <f>COUNTIFS('Incident Register'!$I$2:$I$100001,"Medical Treatment Case",'Incident Register'!$C$2:$C$100001,yCrit,'Incident Register'!$E$2:$E$100001,mCrit,'Incident Register'!$F$2:$F$100001,dCrit,'Incident Register'!$G$2:$G$100001,aCrit,'Incident Register'!$H$2:$H$100001,sCrit)</f>
        <v>0</v>
      </c>
      <c r="F15" s="8" t="s">
        <v>117</v>
      </c>
      <c r="G15" s="9">
        <f>COUNTIFS('Incident Register'!$I$2:$I$100001,"Lost Time Injury",'Incident Register'!$C$2:$C$100001,DashYear,'Incident Register'!$D$2:$D$100001,11,'Incident Register'!$F$2:$F$100001,dCrit)+COUNTIFS('Incident Register'!$I$2:$I$100001,"Medical Treatment Case",'Incident Register'!$C$2:$C$100001,DashYear,'Incident Register'!$D$2:$D$100001,11,'Incident Register'!$F$2:$F$100001,dCrit)+COUNTIFS('Incident Register'!$I$2:$I$100001,"Restricted Work Case",'Incident Register'!$C$2:$C$100001,DashYear,'Incident Register'!$D$2:$D$100001,11,'Incident Register'!$F$2:$F$100001,dCrit)</f>
        <v>0</v>
      </c>
      <c r="H15" s="9">
        <f>COUNTIFS('First Aid Register'!$C$2:$C$100001,DashYear,'First Aid Register'!$D$2:$D$100001,11,'First Aid Register'!$F$2:$F$100001,dCrit)</f>
        <v>0</v>
      </c>
      <c r="I15" s="9">
        <f>COUNTIFS('Near Miss Register'!$C$2:$C$100001,DashYear,'Near Miss Register'!$D$2:$D$100001,11,'Near Miss Register'!$F$2:$F$100001,dCrit)</f>
        <v>0</v>
      </c>
      <c r="J15" s="9">
        <f>COUNTIFS('Safety Observation Register'!$I$2:$I$100001,"Unsafe Act",'Safety Observation Register'!$C$2:$C$100001,DashYear,'Safety Observation Register'!$D$2:$D$100001,11,'Safety Observation Register'!$F$2:$F$100001,dCrit)</f>
        <v>0</v>
      </c>
      <c r="K15" s="9">
        <f>COUNTIFS('Safety Observation Register'!$I$2:$I$100001,"Unsafe Condition",'Safety Observation Register'!$C$2:$C$100001,DashYear,'Safety Observation Register'!$D$2:$D$100001,11,'Safety Observation Register'!$F$2:$F$100001,dCrit)</f>
        <v>0</v>
      </c>
      <c r="L15" s="9">
        <f>COUNTIFS('Safety Observation Register'!$C$2:$C$100001,DashYear,'Safety Observation Register'!$D$2:$D$100001,11,'Safety Observation Register'!$F$2:$F$100001,dCrit)</f>
        <v>0</v>
      </c>
      <c r="M15" s="9">
        <f>G15+H15</f>
        <v>0</v>
      </c>
      <c r="N15" s="9">
        <f>SUMIFS('Man-hours Master'!$E$2:$E$100001,'Man-hours Master'!$A$2:$A$100001,DashYear,'Man-hours Master'!$B$2:$B$100001,11,'Man-hours Master'!$D$2:$D$100001,dCrit)</f>
        <v>0</v>
      </c>
      <c r="O15" s="10">
        <f>IFERROR(G15*200000/N15,0)</f>
        <v>0</v>
      </c>
      <c r="P15" s="10">
        <f>IFERROR((COUNTIFS('Incident Register'!$I$2:$I$100001,"Lost Time Injury",'Incident Register'!$C$2:$C$100001,DashYear,'Incident Register'!$D$2:$D$100001,11,'Incident Register'!$F$2:$F$100001,dCrit))*1000000/N15,0)</f>
        <v>0</v>
      </c>
      <c r="Q15" s="11">
        <f>IFERROR(SUMIFS('Training Register'!$I$2:$I$100001,'Training Register'!$C$2:$C$100001,DashYear,'Training Register'!$D$2:$D$100001,11,'Training Register'!$F$2:$F$100001,dCrit)/SUMIFS('Training Register'!$H$2:$H$100001,'Training Register'!$C$2:$C$100001,DashYear,'Training Register'!$D$2:$D$100001,11,'Training Register'!$F$2:$F$100001,dCrit),0)*100</f>
        <v>0</v>
      </c>
      <c r="R15" s="11">
        <f>IFERROR(COUNTIFS('Permit To Work Register'!$K$2:$K$100001,"Compliant",'Permit To Work Register'!$C$2:$C$100001,DashYear,'Permit To Work Register'!$D$2:$D$100001,11,'Permit To Work Register'!$F$2:$F$100001,dCrit)/COUNTIFS('Permit To Work Register'!$C$2:$C$100001,DashYear,'Permit To Work Register'!$D$2:$D$100001,11,'Permit To Work Register'!$F$2:$F$100001,dCrit),0)*100</f>
        <v>0</v>
      </c>
    </row>
    <row r="16" spans="2:18">
      <c r="B16" s="6" t="s">
        <v>6209</v>
      </c>
      <c r="C16" s="13">
        <f>COUNTIFS('Incident Register'!$I$2:$I$100001,"Restricted Work Case",'Incident Register'!$C$2:$C$100001,yCrit,'Incident Register'!$E$2:$E$100001,mCrit,'Incident Register'!$F$2:$F$100001,dCrit,'Incident Register'!$G$2:$G$100001,aCrit,'Incident Register'!$H$2:$H$100001,sCrit)</f>
        <v>0</v>
      </c>
      <c r="F16" s="8" t="s">
        <v>124</v>
      </c>
      <c r="G16" s="9">
        <f>COUNTIFS('Incident Register'!$I$2:$I$100001,"Lost Time Injury",'Incident Register'!$C$2:$C$100001,DashYear,'Incident Register'!$D$2:$D$100001,12,'Incident Register'!$F$2:$F$100001,dCrit)+COUNTIFS('Incident Register'!$I$2:$I$100001,"Medical Treatment Case",'Incident Register'!$C$2:$C$100001,DashYear,'Incident Register'!$D$2:$D$100001,12,'Incident Register'!$F$2:$F$100001,dCrit)+COUNTIFS('Incident Register'!$I$2:$I$100001,"Restricted Work Case",'Incident Register'!$C$2:$C$100001,DashYear,'Incident Register'!$D$2:$D$100001,12,'Incident Register'!$F$2:$F$100001,dCrit)</f>
        <v>0</v>
      </c>
      <c r="H16" s="9">
        <f>COUNTIFS('First Aid Register'!$C$2:$C$100001,DashYear,'First Aid Register'!$D$2:$D$100001,12,'First Aid Register'!$F$2:$F$100001,dCrit)</f>
        <v>0</v>
      </c>
      <c r="I16" s="9">
        <f>COUNTIFS('Near Miss Register'!$C$2:$C$100001,DashYear,'Near Miss Register'!$D$2:$D$100001,12,'Near Miss Register'!$F$2:$F$100001,dCrit)</f>
        <v>0</v>
      </c>
      <c r="J16" s="9">
        <f>COUNTIFS('Safety Observation Register'!$I$2:$I$100001,"Unsafe Act",'Safety Observation Register'!$C$2:$C$100001,DashYear,'Safety Observation Register'!$D$2:$D$100001,12,'Safety Observation Register'!$F$2:$F$100001,dCrit)</f>
        <v>0</v>
      </c>
      <c r="K16" s="9">
        <f>COUNTIFS('Safety Observation Register'!$I$2:$I$100001,"Unsafe Condition",'Safety Observation Register'!$C$2:$C$100001,DashYear,'Safety Observation Register'!$D$2:$D$100001,12,'Safety Observation Register'!$F$2:$F$100001,dCrit)</f>
        <v>0</v>
      </c>
      <c r="L16" s="9">
        <f>COUNTIFS('Safety Observation Register'!$C$2:$C$100001,DashYear,'Safety Observation Register'!$D$2:$D$100001,12,'Safety Observation Register'!$F$2:$F$100001,dCrit)</f>
        <v>0</v>
      </c>
      <c r="M16" s="9">
        <f>G16+H16</f>
        <v>0</v>
      </c>
      <c r="N16" s="9">
        <f>SUMIFS('Man-hours Master'!$E$2:$E$100001,'Man-hours Master'!$A$2:$A$100001,DashYear,'Man-hours Master'!$B$2:$B$100001,12,'Man-hours Master'!$D$2:$D$100001,dCrit)</f>
        <v>0</v>
      </c>
      <c r="O16" s="10">
        <f>IFERROR(G16*200000/N16,0)</f>
        <v>0</v>
      </c>
      <c r="P16" s="10">
        <f>IFERROR((COUNTIFS('Incident Register'!$I$2:$I$100001,"Lost Time Injury",'Incident Register'!$C$2:$C$100001,DashYear,'Incident Register'!$D$2:$D$100001,12,'Incident Register'!$F$2:$F$100001,dCrit))*1000000/N16,0)</f>
        <v>0</v>
      </c>
      <c r="Q16" s="11">
        <f>IFERROR(SUMIFS('Training Register'!$I$2:$I$100001,'Training Register'!$C$2:$C$100001,DashYear,'Training Register'!$D$2:$D$100001,12,'Training Register'!$F$2:$F$100001,dCrit)/SUMIFS('Training Register'!$H$2:$H$100001,'Training Register'!$C$2:$C$100001,DashYear,'Training Register'!$D$2:$D$100001,12,'Training Register'!$F$2:$F$100001,dCrit),0)*100</f>
        <v>0</v>
      </c>
      <c r="R16" s="11">
        <f>IFERROR(COUNTIFS('Permit To Work Register'!$K$2:$K$100001,"Compliant",'Permit To Work Register'!$C$2:$C$100001,DashYear,'Permit To Work Register'!$D$2:$D$100001,12,'Permit To Work Register'!$F$2:$F$100001,dCrit)/COUNTIFS('Permit To Work Register'!$C$2:$C$100001,DashYear,'Permit To Work Register'!$D$2:$D$100001,12,'Permit To Work Register'!$F$2:$F$100001,dCrit),0)*100</f>
        <v>0</v>
      </c>
    </row>
    <row r="17" spans="2:11">
      <c r="B17" s="6" t="s">
        <v>6210</v>
      </c>
      <c r="C17" s="13">
        <f>LTI+MTC+RWC</f>
        <v>0</v>
      </c>
    </row>
    <row r="18" spans="2:11">
      <c r="B18" s="6" t="s">
        <v>6211</v>
      </c>
      <c r="C18" s="13">
        <f>COUNTIFS('First Aid Register'!$C$2:$C$100001,yCrit,'First Aid Register'!$E$2:$E$100001,mCrit,'First Aid Register'!$F$2:$F$100001,dCrit,'First Aid Register'!$G$2:$G$100001,aCrit,'First Aid Register'!$H$2:$H$100001,sCrit)</f>
        <v>0</v>
      </c>
    </row>
    <row r="19" spans="2:11">
      <c r="B19" s="6" t="s">
        <v>6212</v>
      </c>
      <c r="C19" s="13">
        <f>COUNTIFS('Near Miss Register'!$C$2:$C$100001,yCrit,'Near Miss Register'!$E$2:$E$100001,mCrit,'Near Miss Register'!$F$2:$F$100001,dCrit,'Near Miss Register'!$G$2:$G$100001,aCrit,'Near Miss Register'!$H$2:$H$100001,sCrit)</f>
        <v>0</v>
      </c>
    </row>
    <row r="20" spans="2:11">
      <c r="B20" s="6" t="s">
        <v>6213</v>
      </c>
      <c r="C20" s="13">
        <f>COUNTIFS('Near Miss Register'!$J$2:$J$100001,"High Potential",'Near Miss Register'!$C$2:$C$100001,yCrit,'Near Miss Register'!$E$2:$E$100001,mCrit,'Near Miss Register'!$F$2:$F$100001,dCrit,'Near Miss Register'!$G$2:$G$100001,aCrit,'Near Miss Register'!$H$2:$H$100001,sCrit)</f>
        <v>0</v>
      </c>
      <c r="F20" s="4" t="s">
        <v>6240</v>
      </c>
      <c r="G20" s="4" t="s">
        <v>6241</v>
      </c>
    </row>
    <row r="21" spans="2:11">
      <c r="B21" s="6" t="s">
        <v>6214</v>
      </c>
      <c r="C21" s="13">
        <f>COUNTIFS('Safety Observation Register'!$C$2:$C$100001,yCrit,'Safety Observation Register'!$E$2:$E$100001,mCrit,'Safety Observation Register'!$F$2:$F$100001,dCrit,'Safety Observation Register'!$G$2:$G$100001,aCrit,'Safety Observation Register'!$H$2:$H$100001,sCrit)</f>
        <v>0</v>
      </c>
      <c r="F21" s="5" t="s">
        <v>5</v>
      </c>
      <c r="G21" s="9">
        <f>COUNTIFS('Incident Register'!$I$2:$I$100001,"First Aid Case",'Incident Register'!$C$2:$C$100001,yCrit,'Incident Register'!$E$2:$E$100001,mCrit,'Incident Register'!$F$2:$F$100001,dCrit,'Incident Register'!$G$2:$G$100001,aCrit,'Incident Register'!$H$2:$H$100001,sCrit)</f>
        <v>0</v>
      </c>
    </row>
    <row r="22" spans="2:11">
      <c r="B22" s="6" t="s">
        <v>6215</v>
      </c>
      <c r="C22" s="13">
        <f>COUNTIFS('Safety Observation Register'!$I$2:$I$100001,"Unsafe Act",'Safety Observation Register'!$C$2:$C$100001,yCrit,'Safety Observation Register'!$E$2:$E$100001,mCrit,'Safety Observation Register'!$F$2:$F$100001,dCrit,'Safety Observation Register'!$G$2:$G$100001,aCrit,'Safety Observation Register'!$H$2:$H$100001,sCrit)</f>
        <v>0</v>
      </c>
      <c r="F22" s="5" t="s">
        <v>45</v>
      </c>
      <c r="G22" s="9">
        <f>COUNTIFS('Incident Register'!$I$2:$I$100001,"Medical Treatment Case",'Incident Register'!$C$2:$C$100001,yCrit,'Incident Register'!$E$2:$E$100001,mCrit,'Incident Register'!$F$2:$F$100001,dCrit,'Incident Register'!$G$2:$G$100001,aCrit,'Incident Register'!$H$2:$H$100001,sCrit)</f>
        <v>0</v>
      </c>
    </row>
    <row r="23" spans="2:11">
      <c r="B23" s="6" t="s">
        <v>6216</v>
      </c>
      <c r="C23" s="13">
        <f>COUNTIFS('Safety Observation Register'!$I$2:$I$100001,"Unsafe Condition",'Safety Observation Register'!$C$2:$C$100001,yCrit,'Safety Observation Register'!$E$2:$E$100001,mCrit,'Safety Observation Register'!$F$2:$F$100001,dCrit,'Safety Observation Register'!$G$2:$G$100001,aCrit,'Safety Observation Register'!$H$2:$H$100001,sCrit)</f>
        <v>0</v>
      </c>
      <c r="F23" s="5" t="s">
        <v>28</v>
      </c>
      <c r="G23" s="9">
        <f>COUNTIFS('Incident Register'!$I$2:$I$100001,"Lost Time Injury",'Incident Register'!$C$2:$C$100001,yCrit,'Incident Register'!$E$2:$E$100001,mCrit,'Incident Register'!$F$2:$F$100001,dCrit,'Incident Register'!$G$2:$G$100001,aCrit,'Incident Register'!$H$2:$H$100001,sCrit)</f>
        <v>0</v>
      </c>
    </row>
    <row r="24" spans="2:11">
      <c r="B24" s="6" t="s">
        <v>6217</v>
      </c>
      <c r="C24" s="13">
        <f>COUNTIFS('Safety Observation Register'!$I$2:$I$100001,"Good Catch",'Safety Observation Register'!$C$2:$C$100001,yCrit,'Safety Observation Register'!$E$2:$E$100001,mCrit,'Safety Observation Register'!$F$2:$F$100001,dCrit,'Safety Observation Register'!$G$2:$G$100001,aCrit,'Safety Observation Register'!$H$2:$H$100001,sCrit)</f>
        <v>0</v>
      </c>
      <c r="F24" s="5" t="s">
        <v>99</v>
      </c>
      <c r="G24" s="9">
        <f>COUNTIFS('Incident Register'!$I$2:$I$100001,"Restricted Work Case",'Incident Register'!$C$2:$C$100001,yCrit,'Incident Register'!$E$2:$E$100001,mCrit,'Incident Register'!$F$2:$F$100001,dCrit,'Incident Register'!$G$2:$G$100001,aCrit,'Incident Register'!$H$2:$H$100001,sCrit)</f>
        <v>0</v>
      </c>
    </row>
    <row r="25" spans="2:11">
      <c r="B25" s="6" t="s">
        <v>6218</v>
      </c>
      <c r="C25" s="13">
        <f>SUMIFS('Incident Register'!$O$2:$O$100001,'Incident Register'!$C$2:$C$100001,yCrit,'Incident Register'!$E$2:$E$100001,mCrit,'Incident Register'!$F$2:$F$100001,dCrit,'Incident Register'!$G$2:$G$100001,aCrit,'Incident Register'!$H$2:$H$100001,sCrit)</f>
        <v>0</v>
      </c>
      <c r="F25" s="5" t="s">
        <v>62</v>
      </c>
      <c r="G25" s="9">
        <f>COUNTIFS('Incident Register'!$I$2:$I$100001,"Property Damage",'Incident Register'!$C$2:$C$100001,yCrit,'Incident Register'!$E$2:$E$100001,mCrit,'Incident Register'!$F$2:$F$100001,dCrit,'Incident Register'!$G$2:$G$100001,aCrit,'Incident Register'!$H$2:$H$100001,sCrit)</f>
        <v>0</v>
      </c>
    </row>
    <row r="26" spans="2:11">
      <c r="B26" s="6" t="s">
        <v>6219</v>
      </c>
      <c r="C26" s="7">
        <f>IFERROR(Recordable*200000/Manhours,0)</f>
        <v>0</v>
      </c>
      <c r="F26" s="5" t="s">
        <v>65</v>
      </c>
      <c r="G26" s="9">
        <f>COUNTIFS('Incident Register'!$I$2:$I$100001,"Fire",'Incident Register'!$C$2:$C$100001,yCrit,'Incident Register'!$E$2:$E$100001,mCrit,'Incident Register'!$F$2:$F$100001,dCrit,'Incident Register'!$G$2:$G$100001,aCrit,'Incident Register'!$H$2:$H$100001,sCrit)</f>
        <v>0</v>
      </c>
    </row>
    <row r="27" spans="2:11">
      <c r="B27" s="6" t="s">
        <v>6220</v>
      </c>
      <c r="C27" s="7">
        <f>IFERROR(LTI*1000000/Manhours,0)</f>
        <v>0</v>
      </c>
      <c r="F27" s="5" t="s">
        <v>49</v>
      </c>
      <c r="G27" s="9">
        <f>COUNTIFS('Incident Register'!$I$2:$I$100001,"Environmental Spill",'Incident Register'!$C$2:$C$100001,yCrit,'Incident Register'!$E$2:$E$100001,mCrit,'Incident Register'!$F$2:$F$100001,dCrit,'Incident Register'!$G$2:$G$100001,aCrit,'Incident Register'!$H$2:$H$100001,sCrit)</f>
        <v>0</v>
      </c>
    </row>
    <row r="28" spans="2:11">
      <c r="B28" s="6" t="s">
        <v>6221</v>
      </c>
      <c r="C28" s="7">
        <f>IFERROR(LostDays*1000000/Manhours,0)</f>
        <v>0</v>
      </c>
    </row>
    <row r="29" spans="2:11">
      <c r="B29" s="6" t="s">
        <v>6222</v>
      </c>
      <c r="C29" s="7">
        <f>IFERROR((LTI+RWC)*1000000/Manhours,0)</f>
        <v>0</v>
      </c>
    </row>
    <row r="30" spans="2:11">
      <c r="B30" s="6" t="s">
        <v>6223</v>
      </c>
      <c r="C30" s="7">
        <f>IFERROR(NearMiss*200000/Manhours,0)</f>
        <v>0</v>
      </c>
    </row>
    <row r="31" spans="2:11">
      <c r="B31" s="6" t="s">
        <v>6224</v>
      </c>
      <c r="C31" s="14">
        <f>IFERROR(COUNTIFS('Permit To Work Register'!$K$2:$K$100001,"Compliant",'Permit To Work Register'!$C$2:$C$100001,yCrit,'Permit To Work Register'!$E$2:$E$100001,mCrit,'Permit To Work Register'!$F$2:$F$100001,dCrit,'Permit To Work Register'!$G$2:$G$100001,aCrit,'Permit To Work Register'!$J$2:$J$100001,sCrit)/COUNTIFS('Permit To Work Register'!$C$2:$C$100001,yCrit,'Permit To Work Register'!$E$2:$E$100001,mCrit,'Permit To Work Register'!$F$2:$F$100001,dCrit,'Permit To Work Register'!$G$2:$G$100001,aCrit,'Permit To Work Register'!$J$2:$J$100001,sCrit),0)*100</f>
        <v>0</v>
      </c>
      <c r="F31" s="1" t="s">
        <v>6242</v>
      </c>
    </row>
    <row r="32" spans="2:11">
      <c r="B32" s="6" t="s">
        <v>6225</v>
      </c>
      <c r="C32" s="14">
        <f>IFERROR(SUMIFS('Inspection Register'!$J$2:$J$100001,'Inspection Register'!$C$2:$C$100001,yCrit,'Inspection Register'!$E$2:$E$100001,mCrit,'Inspection Register'!$F$2:$F$100001,dCrit,'Inspection Register'!$G$2:$G$100001,aCrit)/SUMIFS('Inspection Register'!$I$2:$I$100001,'Inspection Register'!$C$2:$C$100001,yCrit,'Inspection Register'!$E$2:$E$100001,mCrit,'Inspection Register'!$F$2:$F$100001,dCrit,'Inspection Register'!$G$2:$G$100001,aCrit),0)*100</f>
        <v>0</v>
      </c>
      <c r="F32" s="4" t="s">
        <v>197</v>
      </c>
      <c r="G32" s="4" t="s">
        <v>6241</v>
      </c>
      <c r="H32" s="4" t="s">
        <v>6243</v>
      </c>
      <c r="I32" s="4" t="s">
        <v>6244</v>
      </c>
      <c r="J32" s="4" t="s">
        <v>6245</v>
      </c>
      <c r="K32" s="4" t="s">
        <v>6246</v>
      </c>
    </row>
    <row r="33" spans="2:11">
      <c r="B33" s="6" t="s">
        <v>6226</v>
      </c>
      <c r="C33" s="14">
        <f>IFERROR(AVERAGEIFS('Audit Register'!$H$2:$H$100001,'Audit Register'!$C$2:$C$100001,yCrit,'Audit Register'!$E$2:$E$100001,mCrit,'Audit Register'!$F$2:$F$100001,dCrit),0)</f>
        <v>0</v>
      </c>
      <c r="F33" s="5" t="s">
        <v>14</v>
      </c>
      <c r="G33" s="9">
        <f>COUNTIFS('Incident Register'!$L$2:$L$100001,"Slip/Trip/Fall",'Incident Register'!$C$2:$C$100001,yCrit,'Incident Register'!$E$2:$E$100001,mCrit,'Incident Register'!$F$2:$F$100001,dCrit,'Incident Register'!$G$2:$G$100001,aCrit,'Incident Register'!$H$2:$H$100001,sCrit)</f>
        <v>0</v>
      </c>
      <c r="H33" s="15">
        <f>G33+ROW()/100000</f>
        <v>0</v>
      </c>
      <c r="I33" s="5">
        <f>INDEX($F$33:$F$42,MATCH(LARGE($H$33:$H$42,1),$H$33:$H$42,0))</f>
        <v>0</v>
      </c>
      <c r="J33" s="9">
        <f>INT(LARGE($H$33:$H$42,1))</f>
        <v>0</v>
      </c>
      <c r="K33" s="11">
        <f>IFERROR(SUM($J$33:J$33)/SUM($G$33:$G$42)*100,0)</f>
        <v>0</v>
      </c>
    </row>
    <row r="34" spans="2:11">
      <c r="B34" s="6" t="s">
        <v>6227</v>
      </c>
      <c r="C34" s="14">
        <f>IFERROR(SUMIFS('Training Register'!$I$2:$I$100001,'Training Register'!$C$2:$C$100001,yCrit,'Training Register'!$E$2:$E$100001,mCrit,'Training Register'!$F$2:$F$100001,dCrit)/SUMIFS('Training Register'!$H$2:$H$100001,'Training Register'!$C$2:$C$100001,yCrit,'Training Register'!$E$2:$E$100001,mCrit,'Training Register'!$F$2:$F$100001,dCrit),0)*100</f>
        <v>0</v>
      </c>
      <c r="F34" s="5" t="s">
        <v>71</v>
      </c>
      <c r="G34" s="9">
        <f>COUNTIFS('Incident Register'!$L$2:$L$100001,"Caught In/Between",'Incident Register'!$C$2:$C$100001,yCrit,'Incident Register'!$E$2:$E$100001,mCrit,'Incident Register'!$F$2:$F$100001,dCrit,'Incident Register'!$G$2:$G$100001,aCrit,'Incident Register'!$H$2:$H$100001,sCrit)</f>
        <v>0</v>
      </c>
      <c r="H34" s="15">
        <f>G34+ROW()/100000</f>
        <v>0</v>
      </c>
      <c r="I34" s="5">
        <f>INDEX($F$33:$F$42,MATCH(LARGE($H$33:$H$42,2),$H$33:$H$42,0))</f>
        <v>0</v>
      </c>
      <c r="J34" s="9">
        <f>INT(LARGE($H$33:$H$42,2))</f>
        <v>0</v>
      </c>
      <c r="K34" s="11">
        <f>IFERROR(SUM($J$33:J$34)/SUM($G$33:$G$42)*100,0)</f>
        <v>0</v>
      </c>
    </row>
    <row r="35" spans="2:11">
      <c r="B35" s="6" t="s">
        <v>6228</v>
      </c>
      <c r="C35" s="14">
        <f>IFERROR(SUMIFS('PPE Compliance Register'!$I$2:$I$100001,'PPE Compliance Register'!$C$2:$C$100001,yCrit,'PPE Compliance Register'!$E$2:$E$100001,mCrit,'PPE Compliance Register'!$F$2:$F$100001,dCrit,'PPE Compliance Register'!$G$2:$G$100001,aCrit)/SUMIFS('PPE Compliance Register'!$H$2:$H$100001,'PPE Compliance Register'!$C$2:$C$100001,yCrit,'PPE Compliance Register'!$E$2:$E$100001,mCrit,'PPE Compliance Register'!$F$2:$F$100001,dCrit,'PPE Compliance Register'!$G$2:$G$100001,aCrit),0)*100</f>
        <v>0</v>
      </c>
      <c r="F35" s="5" t="s">
        <v>21</v>
      </c>
      <c r="G35" s="9">
        <f>COUNTIFS('Incident Register'!$L$2:$L$100001,"Struck by Object",'Incident Register'!$C$2:$C$100001,yCrit,'Incident Register'!$E$2:$E$100001,mCrit,'Incident Register'!$F$2:$F$100001,dCrit,'Incident Register'!$G$2:$G$100001,aCrit,'Incident Register'!$H$2:$H$100001,sCrit)</f>
        <v>0</v>
      </c>
      <c r="H35" s="15">
        <f>G35+ROW()/100000</f>
        <v>0</v>
      </c>
      <c r="I35" s="5">
        <f>INDEX($F$33:$F$42,MATCH(LARGE($H$33:$H$42,3),$H$33:$H$42,0))</f>
        <v>0</v>
      </c>
      <c r="J35" s="9">
        <f>INT(LARGE($H$33:$H$42,3))</f>
        <v>0</v>
      </c>
      <c r="K35" s="11">
        <f>IFERROR(SUM($J$33:J$35)/SUM($G$33:$G$42)*100,0)</f>
        <v>0</v>
      </c>
    </row>
    <row r="36" spans="2:11">
      <c r="B36" s="6" t="s">
        <v>6229</v>
      </c>
      <c r="C36" s="14">
        <f>IFERROR(COUNTIFS('Statutory Compliance Register'!$F$2:$F$100001,"Compliant",'Statutory Compliance Register'!$C$2:$C$100001,dCrit)/COUNTIFS('Statutory Compliance Register'!$C$2:$C$100001,dCrit),0)*100</f>
        <v>0</v>
      </c>
      <c r="F36" s="5" t="s">
        <v>107</v>
      </c>
      <c r="G36" s="9">
        <f>COUNTIFS('Incident Register'!$L$2:$L$100001,"Chemical Exposure",'Incident Register'!$C$2:$C$100001,yCrit,'Incident Register'!$E$2:$E$100001,mCrit,'Incident Register'!$F$2:$F$100001,dCrit,'Incident Register'!$G$2:$G$100001,aCrit,'Incident Register'!$H$2:$H$100001,sCrit)</f>
        <v>0</v>
      </c>
      <c r="H36" s="15">
        <f>G36+ROW()/100000</f>
        <v>0</v>
      </c>
      <c r="I36" s="5">
        <f>INDEX($F$33:$F$42,MATCH(LARGE($H$33:$H$42,4),$H$33:$H$42,0))</f>
        <v>0</v>
      </c>
      <c r="J36" s="9">
        <f>INT(LARGE($H$33:$H$42,4))</f>
        <v>0</v>
      </c>
      <c r="K36" s="11">
        <f>IFERROR(SUM($J$33:J$36)/SUM($G$33:$G$42)*100,0)</f>
        <v>0</v>
      </c>
    </row>
    <row r="37" spans="2:11">
      <c r="B37" s="6" t="s">
        <v>6230</v>
      </c>
      <c r="C37" s="14">
        <f>IFERROR(COUNTIFS('CAPA Tracker'!$L$2:$L$100001,"Closed",'CAPA Tracker'!$C$2:$C$100001,yCrit,'CAPA Tracker'!$E$2:$E$100001,mCrit,'CAPA Tracker'!$G$2:$G$100001,dCrit)/COUNTIFS('CAPA Tracker'!$C$2:$C$100001,yCrit,'CAPA Tracker'!$E$2:$E$100001,mCrit,'CAPA Tracker'!$G$2:$G$100001,dCrit),0)*100</f>
        <v>0</v>
      </c>
      <c r="F37" s="5" t="s">
        <v>58</v>
      </c>
      <c r="G37" s="9">
        <f>COUNTIFS('Incident Register'!$L$2:$L$100001,"Ergonomic Strain",'Incident Register'!$C$2:$C$100001,yCrit,'Incident Register'!$E$2:$E$100001,mCrit,'Incident Register'!$F$2:$F$100001,dCrit,'Incident Register'!$G$2:$G$100001,aCrit,'Incident Register'!$H$2:$H$100001,sCrit)</f>
        <v>0</v>
      </c>
      <c r="H37" s="15">
        <f>G37+ROW()/100000</f>
        <v>0</v>
      </c>
      <c r="I37" s="5">
        <f>INDEX($F$33:$F$42,MATCH(LARGE($H$33:$H$42,5),$H$33:$H$42,0))</f>
        <v>0</v>
      </c>
      <c r="J37" s="9">
        <f>INT(LARGE($H$33:$H$42,5))</f>
        <v>0</v>
      </c>
      <c r="K37" s="11">
        <f>IFERROR(SUM($J$33:J$37)/SUM($G$33:$G$42)*100,0)</f>
        <v>0</v>
      </c>
    </row>
    <row r="38" spans="2:11">
      <c r="B38" s="6" t="s">
        <v>6231</v>
      </c>
      <c r="C38" s="14">
        <f>IFERROR(COUNTIFS('Safety Observation Register'!$M$2:$M$100001,"Closed",'Safety Observation Register'!$C$2:$C$100001,yCrit,'Safety Observation Register'!$E$2:$E$100001,mCrit,'Safety Observation Register'!$F$2:$F$100001,dCrit,'Safety Observation Register'!$G$2:$G$100001,aCrit,'Safety Observation Register'!$H$2:$H$100001,sCrit)/COUNTIFS('Safety Observation Register'!$C$2:$C$100001,yCrit,'Safety Observation Register'!$E$2:$E$100001,mCrit,'Safety Observation Register'!$F$2:$F$100001,dCrit,'Safety Observation Register'!$G$2:$G$100001,aCrit,'Safety Observation Register'!$H$2:$H$100001,sCrit),0)*100</f>
        <v>0</v>
      </c>
      <c r="F38" s="5" t="s">
        <v>51</v>
      </c>
      <c r="G38" s="9">
        <f>COUNTIFS('Incident Register'!$L$2:$L$100001,"Electrical",'Incident Register'!$C$2:$C$100001,yCrit,'Incident Register'!$E$2:$E$100001,mCrit,'Incident Register'!$F$2:$F$100001,dCrit,'Incident Register'!$G$2:$G$100001,aCrit,'Incident Register'!$H$2:$H$100001,sCrit)</f>
        <v>0</v>
      </c>
      <c r="H38" s="15">
        <f>G38+ROW()/100000</f>
        <v>0</v>
      </c>
      <c r="I38" s="5">
        <f>INDEX($F$33:$F$42,MATCH(LARGE($H$33:$H$42,6),$H$33:$H$42,0))</f>
        <v>0</v>
      </c>
      <c r="J38" s="9">
        <f>INT(LARGE($H$33:$H$42,6))</f>
        <v>0</v>
      </c>
      <c r="K38" s="11">
        <f>IFERROR(SUM($J$33:J$38)/SUM($G$33:$G$42)*100,0)</f>
        <v>0</v>
      </c>
    </row>
    <row r="39" spans="2:11">
      <c r="B39" s="6" t="s">
        <v>6232</v>
      </c>
      <c r="C39" s="13">
        <f>ROUND(PTWComp*0.18+InspComp*0.15+AuditComp*0.12+TrainComp*0.15+PPEComp*0.15+StatComp*0.10+ActionClosure*0.15,0)</f>
        <v>0</v>
      </c>
      <c r="F39" s="5" t="s">
        <v>56</v>
      </c>
      <c r="G39" s="9">
        <f>COUNTIFS('Incident Register'!$L$2:$L$100001,"Machine Guarding",'Incident Register'!$C$2:$C$100001,yCrit,'Incident Register'!$E$2:$E$100001,mCrit,'Incident Register'!$F$2:$F$100001,dCrit,'Incident Register'!$G$2:$G$100001,aCrit,'Incident Register'!$H$2:$H$100001,sCrit)</f>
        <v>0</v>
      </c>
      <c r="H39" s="15">
        <f>G39+ROW()/100000</f>
        <v>0</v>
      </c>
      <c r="I39" s="5">
        <f>INDEX($F$33:$F$42,MATCH(LARGE($H$33:$H$42,7),$H$33:$H$42,0))</f>
        <v>0</v>
      </c>
      <c r="J39" s="9">
        <f>INT(LARGE($H$33:$H$42,7))</f>
        <v>0</v>
      </c>
      <c r="K39" s="11">
        <f>IFERROR(SUM($J$33:J$39)/SUM($G$33:$G$42)*100,0)</f>
        <v>0</v>
      </c>
    </row>
    <row r="40" spans="2:11">
      <c r="B40" s="6" t="s">
        <v>6233</v>
      </c>
      <c r="C40" s="13">
        <f>MAX(0,MIN(100,ROUND(100-TRIR*6-LTIFR*4-(SafetyObs=0)*0,0)))</f>
        <v>0</v>
      </c>
      <c r="F40" s="5" t="s">
        <v>41</v>
      </c>
      <c r="G40" s="9">
        <f>COUNTIFS('Incident Register'!$L$2:$L$100001,"PPE Non-Use",'Incident Register'!$C$2:$C$100001,yCrit,'Incident Register'!$E$2:$E$100001,mCrit,'Incident Register'!$F$2:$F$100001,dCrit,'Incident Register'!$G$2:$G$100001,aCrit,'Incident Register'!$H$2:$H$100001,sCrit)</f>
        <v>0</v>
      </c>
      <c r="H40" s="15">
        <f>G40+ROW()/100000</f>
        <v>0</v>
      </c>
      <c r="I40" s="5">
        <f>INDEX($F$33:$F$42,MATCH(LARGE($H$33:$H$42,8),$H$33:$H$42,0))</f>
        <v>0</v>
      </c>
      <c r="J40" s="9">
        <f>INT(LARGE($H$33:$H$42,8))</f>
        <v>0</v>
      </c>
      <c r="K40" s="11">
        <f>IFERROR(SUM($J$33:J$40)/SUM($G$33:$G$42)*100,0)</f>
        <v>0</v>
      </c>
    </row>
    <row r="41" spans="2:11">
      <c r="F41" s="5" t="s">
        <v>7</v>
      </c>
      <c r="G41" s="9">
        <f>COUNTIFS('Incident Register'!$L$2:$L$100001,"Procedure Not Followed",'Incident Register'!$C$2:$C$100001,yCrit,'Incident Register'!$E$2:$E$100001,mCrit,'Incident Register'!$F$2:$F$100001,dCrit,'Incident Register'!$G$2:$G$100001,aCrit,'Incident Register'!$H$2:$H$100001,sCrit)</f>
        <v>0</v>
      </c>
      <c r="H41" s="15">
        <f>G41+ROW()/100000</f>
        <v>0</v>
      </c>
      <c r="I41" s="5">
        <f>INDEX($F$33:$F$42,MATCH(LARGE($H$33:$H$42,9),$H$33:$H$42,0))</f>
        <v>0</v>
      </c>
      <c r="J41" s="9">
        <f>INT(LARGE($H$33:$H$42,9))</f>
        <v>0</v>
      </c>
      <c r="K41" s="11">
        <f>IFERROR(SUM($J$33:J$41)/SUM($G$33:$G$42)*100,0)</f>
        <v>0</v>
      </c>
    </row>
    <row r="42" spans="2:11">
      <c r="F42" s="5" t="s">
        <v>84</v>
      </c>
      <c r="G42" s="9">
        <f>COUNTIFS('Incident Register'!$L$2:$L$100001,"Poor Housekeeping",'Incident Register'!$C$2:$C$100001,yCrit,'Incident Register'!$E$2:$E$100001,mCrit,'Incident Register'!$F$2:$F$100001,dCrit,'Incident Register'!$G$2:$G$100001,aCrit,'Incident Register'!$H$2:$H$100001,sCrit)</f>
        <v>0</v>
      </c>
      <c r="H42" s="15">
        <f>G42+ROW()/100000</f>
        <v>0</v>
      </c>
      <c r="I42" s="5">
        <f>INDEX($F$33:$F$42,MATCH(LARGE($H$33:$H$42,10),$H$33:$H$42,0))</f>
        <v>0</v>
      </c>
      <c r="J42" s="9">
        <f>INT(LARGE($H$33:$H$42,10))</f>
        <v>0</v>
      </c>
      <c r="K42" s="11">
        <f>IFERROR(SUM($J$33:J$42)/SUM($G$33:$G$42)*100,0)</f>
        <v>0</v>
      </c>
    </row>
    <row r="44" spans="2:11">
      <c r="F44" s="1" t="s">
        <v>6247</v>
      </c>
    </row>
    <row r="45" spans="2:11">
      <c r="F45" s="4" t="s">
        <v>191</v>
      </c>
      <c r="G45" s="4" t="s">
        <v>2963</v>
      </c>
      <c r="H45" s="4" t="s">
        <v>6210</v>
      </c>
      <c r="I45" s="4" t="s">
        <v>5942</v>
      </c>
    </row>
    <row r="46" spans="2:11">
      <c r="F46" s="5" t="s">
        <v>26</v>
      </c>
      <c r="G46" s="9">
        <f>MAX(45,MIN(100,ROUND(100-H46*8-COUNTIFS('First Aid Register'!$C$2:$C$100001,DashYear,'First Aid Register'!$F$2:$F$100001,"Production-CSD")*1.5,0)))</f>
        <v>0</v>
      </c>
      <c r="H46" s="9">
        <f>COUNTIFS('Incident Register'!$I$2:$I$100001,"Lost Time Injury",'Incident Register'!$C$2:$C$100001,DashYear,'Incident Register'!$F$2:$F$100001,"Production-CSD")+COUNTIFS('Incident Register'!$I$2:$I$100001,"Medical Treatment Case",'Incident Register'!$C$2:$C$100001,DashYear,'Incident Register'!$F$2:$F$100001,"Production-CSD")+COUNTIFS('Incident Register'!$I$2:$I$100001,"Restricted Work Case",'Incident Register'!$C$2:$C$100001,DashYear,'Incident Register'!$F$2:$F$100001,"Production-CSD")</f>
        <v>0</v>
      </c>
      <c r="I46" s="9">
        <f>COUNTIFS('Near Miss Register'!$C$2:$C$100001,DashYear,'Near Miss Register'!$F$2:$F$100001,"Production-CSD")</f>
        <v>0</v>
      </c>
    </row>
    <row r="47" spans="2:11">
      <c r="F47" s="5" t="s">
        <v>31</v>
      </c>
      <c r="G47" s="9">
        <f>MAX(45,MIN(100,ROUND(100-H47*8-COUNTIFS('First Aid Register'!$C$2:$C$100001,DashYear,'First Aid Register'!$F$2:$F$100001,"Production-Blowing")*1.5,0)))</f>
        <v>0</v>
      </c>
      <c r="H47" s="9">
        <f>COUNTIFS('Incident Register'!$I$2:$I$100001,"Lost Time Injury",'Incident Register'!$C$2:$C$100001,DashYear,'Incident Register'!$F$2:$F$100001,"Production-Blowing")+COUNTIFS('Incident Register'!$I$2:$I$100001,"Medical Treatment Case",'Incident Register'!$C$2:$C$100001,DashYear,'Incident Register'!$F$2:$F$100001,"Production-Blowing")+COUNTIFS('Incident Register'!$I$2:$I$100001,"Restricted Work Case",'Incident Register'!$C$2:$C$100001,DashYear,'Incident Register'!$F$2:$F$100001,"Production-Blowing")</f>
        <v>0</v>
      </c>
      <c r="I47" s="9">
        <f>COUNTIFS('Near Miss Register'!$C$2:$C$100001,DashYear,'Near Miss Register'!$F$2:$F$100001,"Production-Blowing")</f>
        <v>0</v>
      </c>
    </row>
    <row r="48" spans="2:11">
      <c r="F48" s="5" t="s">
        <v>47</v>
      </c>
      <c r="G48" s="9">
        <f>MAX(45,MIN(100,ROUND(100-H48*8-COUNTIFS('First Aid Register'!$C$2:$C$100001,DashYear,'First Aid Register'!$F$2:$F$100001,"Utilities")*1.5,0)))</f>
        <v>0</v>
      </c>
      <c r="H48" s="9">
        <f>COUNTIFS('Incident Register'!$I$2:$I$100001,"Lost Time Injury",'Incident Register'!$C$2:$C$100001,DashYear,'Incident Register'!$F$2:$F$100001,"Utilities")+COUNTIFS('Incident Register'!$I$2:$I$100001,"Medical Treatment Case",'Incident Register'!$C$2:$C$100001,DashYear,'Incident Register'!$F$2:$F$100001,"Utilities")+COUNTIFS('Incident Register'!$I$2:$I$100001,"Restricted Work Case",'Incident Register'!$C$2:$C$100001,DashYear,'Incident Register'!$F$2:$F$100001,"Utilities")</f>
        <v>0</v>
      </c>
      <c r="I48" s="9">
        <f>COUNTIFS('Near Miss Register'!$C$2:$C$100001,DashYear,'Near Miss Register'!$F$2:$F$100001,"Utilities")</f>
        <v>0</v>
      </c>
    </row>
    <row r="49" spans="6:18">
      <c r="F49" s="5" t="s">
        <v>40</v>
      </c>
      <c r="G49" s="9">
        <f>MAX(45,MIN(100,ROUND(100-H49*8-COUNTIFS('First Aid Register'!$C$2:$C$100001,DashYear,'First Aid Register'!$F$2:$F$100001,"Warehouse")*1.5,0)))</f>
        <v>0</v>
      </c>
      <c r="H49" s="9">
        <f>COUNTIFS('Incident Register'!$I$2:$I$100001,"Lost Time Injury",'Incident Register'!$C$2:$C$100001,DashYear,'Incident Register'!$F$2:$F$100001,"Warehouse")+COUNTIFS('Incident Register'!$I$2:$I$100001,"Medical Treatment Case",'Incident Register'!$C$2:$C$100001,DashYear,'Incident Register'!$F$2:$F$100001,"Warehouse")+COUNTIFS('Incident Register'!$I$2:$I$100001,"Restricted Work Case",'Incident Register'!$C$2:$C$100001,DashYear,'Incident Register'!$F$2:$F$100001,"Warehouse")</f>
        <v>0</v>
      </c>
      <c r="I49" s="9">
        <f>COUNTIFS('Near Miss Register'!$C$2:$C$100001,DashYear,'Near Miss Register'!$F$2:$F$100001,"Warehouse")</f>
        <v>0</v>
      </c>
    </row>
    <row r="50" spans="6:18">
      <c r="F50" s="5" t="s">
        <v>54</v>
      </c>
      <c r="G50" s="9">
        <f>MAX(45,MIN(100,ROUND(100-H50*8-COUNTIFS('First Aid Register'!$C$2:$C$100001,DashYear,'First Aid Register'!$F$2:$F$100001,"Quality")*1.5,0)))</f>
        <v>0</v>
      </c>
      <c r="H50" s="9">
        <f>COUNTIFS('Incident Register'!$I$2:$I$100001,"Lost Time Injury",'Incident Register'!$C$2:$C$100001,DashYear,'Incident Register'!$F$2:$F$100001,"Quality")+COUNTIFS('Incident Register'!$I$2:$I$100001,"Medical Treatment Case",'Incident Register'!$C$2:$C$100001,DashYear,'Incident Register'!$F$2:$F$100001,"Quality")+COUNTIFS('Incident Register'!$I$2:$I$100001,"Restricted Work Case",'Incident Register'!$C$2:$C$100001,DashYear,'Incident Register'!$F$2:$F$100001,"Quality")</f>
        <v>0</v>
      </c>
      <c r="I50" s="9">
        <f>COUNTIFS('Near Miss Register'!$C$2:$C$100001,DashYear,'Near Miss Register'!$F$2:$F$100001,"Quality")</f>
        <v>0</v>
      </c>
    </row>
    <row r="51" spans="6:18">
      <c r="F51" s="5" t="s">
        <v>67</v>
      </c>
      <c r="G51" s="9">
        <f>MAX(45,MIN(100,ROUND(100-H51*8-COUNTIFS('First Aid Register'!$C$2:$C$100001,DashYear,'First Aid Register'!$F$2:$F$100001,"Engineering")*1.5,0)))</f>
        <v>0</v>
      </c>
      <c r="H51" s="9">
        <f>COUNTIFS('Incident Register'!$I$2:$I$100001,"Lost Time Injury",'Incident Register'!$C$2:$C$100001,DashYear,'Incident Register'!$F$2:$F$100001,"Engineering")+COUNTIFS('Incident Register'!$I$2:$I$100001,"Medical Treatment Case",'Incident Register'!$C$2:$C$100001,DashYear,'Incident Register'!$F$2:$F$100001,"Engineering")+COUNTIFS('Incident Register'!$I$2:$I$100001,"Restricted Work Case",'Incident Register'!$C$2:$C$100001,DashYear,'Incident Register'!$F$2:$F$100001,"Engineering")</f>
        <v>0</v>
      </c>
      <c r="I51" s="9">
        <f>COUNTIFS('Near Miss Register'!$C$2:$C$100001,DashYear,'Near Miss Register'!$F$2:$F$100001,"Engineering")</f>
        <v>0</v>
      </c>
    </row>
    <row r="52" spans="6:18">
      <c r="F52" s="5" t="s">
        <v>19</v>
      </c>
      <c r="G52" s="9">
        <f>MAX(45,MIN(100,ROUND(100-H52*8-COUNTIFS('First Aid Register'!$C$2:$C$100001,DashYear,'First Aid Register'!$F$2:$F$100001,"Water Treatment")*1.5,0)))</f>
        <v>0</v>
      </c>
      <c r="H52" s="9">
        <f>COUNTIFS('Incident Register'!$I$2:$I$100001,"Lost Time Injury",'Incident Register'!$C$2:$C$100001,DashYear,'Incident Register'!$F$2:$F$100001,"Water Treatment")+COUNTIFS('Incident Register'!$I$2:$I$100001,"Medical Treatment Case",'Incident Register'!$C$2:$C$100001,DashYear,'Incident Register'!$F$2:$F$100001,"Water Treatment")+COUNTIFS('Incident Register'!$I$2:$I$100001,"Restricted Work Case",'Incident Register'!$C$2:$C$100001,DashYear,'Incident Register'!$F$2:$F$100001,"Water Treatment")</f>
        <v>0</v>
      </c>
      <c r="I52" s="9">
        <f>COUNTIFS('Near Miss Register'!$C$2:$C$100001,DashYear,'Near Miss Register'!$F$2:$F$100001,"Water Treatment")</f>
        <v>0</v>
      </c>
    </row>
    <row r="53" spans="6:18">
      <c r="F53" s="5" t="s">
        <v>38</v>
      </c>
      <c r="G53" s="9">
        <f>MAX(45,MIN(100,ROUND(100-H53*8-COUNTIFS('First Aid Register'!$C$2:$C$100001,DashYear,'First Aid Register'!$F$2:$F$100001,"Syrup Room")*1.5,0)))</f>
        <v>0</v>
      </c>
      <c r="H53" s="9">
        <f>COUNTIFS('Incident Register'!$I$2:$I$100001,"Lost Time Injury",'Incident Register'!$C$2:$C$100001,DashYear,'Incident Register'!$F$2:$F$100001,"Syrup Room")+COUNTIFS('Incident Register'!$I$2:$I$100001,"Medical Treatment Case",'Incident Register'!$C$2:$C$100001,DashYear,'Incident Register'!$F$2:$F$100001,"Syrup Room")+COUNTIFS('Incident Register'!$I$2:$I$100001,"Restricted Work Case",'Incident Register'!$C$2:$C$100001,DashYear,'Incident Register'!$F$2:$F$100001,"Syrup Room")</f>
        <v>0</v>
      </c>
      <c r="I53" s="9">
        <f>COUNTIFS('Near Miss Register'!$C$2:$C$100001,DashYear,'Near Miss Register'!$F$2:$F$100001,"Syrup Room")</f>
        <v>0</v>
      </c>
    </row>
    <row r="54" spans="6:18">
      <c r="F54" s="5" t="s">
        <v>2</v>
      </c>
      <c r="G54" s="9">
        <f>MAX(45,MIN(100,ROUND(100-H54*8-COUNTIFS('First Aid Register'!$C$2:$C$100001,DashYear,'First Aid Register'!$F$2:$F$100001,"Packaging")*1.5,0)))</f>
        <v>0</v>
      </c>
      <c r="H54" s="9">
        <f>COUNTIFS('Incident Register'!$I$2:$I$100001,"Lost Time Injury",'Incident Register'!$C$2:$C$100001,DashYear,'Incident Register'!$F$2:$F$100001,"Packaging")+COUNTIFS('Incident Register'!$I$2:$I$100001,"Medical Treatment Case",'Incident Register'!$C$2:$C$100001,DashYear,'Incident Register'!$F$2:$F$100001,"Packaging")+COUNTIFS('Incident Register'!$I$2:$I$100001,"Restricted Work Case",'Incident Register'!$C$2:$C$100001,DashYear,'Incident Register'!$F$2:$F$100001,"Packaging")</f>
        <v>0</v>
      </c>
      <c r="I54" s="9">
        <f>COUNTIFS('Near Miss Register'!$C$2:$C$100001,DashYear,'Near Miss Register'!$F$2:$F$100001,"Packaging")</f>
        <v>0</v>
      </c>
    </row>
    <row r="55" spans="6:18">
      <c r="F55" s="5" t="s">
        <v>78</v>
      </c>
      <c r="G55" s="9">
        <f>MAX(45,MIN(100,ROUND(100-H55*8-COUNTIFS('First Aid Register'!$C$2:$C$100001,DashYear,'First Aid Register'!$F$2:$F$100001,"Logistics")*1.5,0)))</f>
        <v>0</v>
      </c>
      <c r="H55" s="9">
        <f>COUNTIFS('Incident Register'!$I$2:$I$100001,"Lost Time Injury",'Incident Register'!$C$2:$C$100001,DashYear,'Incident Register'!$F$2:$F$100001,"Logistics")+COUNTIFS('Incident Register'!$I$2:$I$100001,"Medical Treatment Case",'Incident Register'!$C$2:$C$100001,DashYear,'Incident Register'!$F$2:$F$100001,"Logistics")+COUNTIFS('Incident Register'!$I$2:$I$100001,"Restricted Work Case",'Incident Register'!$C$2:$C$100001,DashYear,'Incident Register'!$F$2:$F$100001,"Logistics")</f>
        <v>0</v>
      </c>
      <c r="I55" s="9">
        <f>COUNTIFS('Near Miss Register'!$C$2:$C$100001,DashYear,'Near Miss Register'!$F$2:$F$100001,"Logistics")</f>
        <v>0</v>
      </c>
    </row>
    <row r="58" spans="6:18">
      <c r="F58" s="1" t="s">
        <v>6248</v>
      </c>
      <c r="J58" s="1" t="s">
        <v>6251</v>
      </c>
      <c r="N58" s="1" t="s">
        <v>6252</v>
      </c>
    </row>
    <row r="59" spans="6:18">
      <c r="F59" s="4" t="s">
        <v>1026</v>
      </c>
      <c r="G59" s="4" t="s">
        <v>6241</v>
      </c>
      <c r="H59" s="4" t="s">
        <v>6243</v>
      </c>
      <c r="I59" s="4" t="s">
        <v>6249</v>
      </c>
      <c r="J59" s="4" t="s">
        <v>1029</v>
      </c>
      <c r="K59" s="4" t="s">
        <v>6241</v>
      </c>
      <c r="L59" s="4" t="s">
        <v>6243</v>
      </c>
      <c r="M59" s="4" t="s">
        <v>6249</v>
      </c>
      <c r="N59" s="4" t="s">
        <v>192</v>
      </c>
      <c r="O59" s="4" t="s">
        <v>4655</v>
      </c>
      <c r="P59" s="4" t="s">
        <v>6243</v>
      </c>
      <c r="Q59" s="4" t="s">
        <v>6253</v>
      </c>
      <c r="R59" s="4" t="s">
        <v>6250</v>
      </c>
    </row>
    <row r="60" spans="6:18">
      <c r="F60" s="5" t="s">
        <v>460</v>
      </c>
      <c r="G60" s="9">
        <f>COUNTIFS('Unsafe Act Register'!$H$2:$H$100001,"Bypassing Safety Device",'Unsafe Act Register'!$C$2:$C$100001,DashYear,'Unsafe Act Register'!$F$2:$F$100001,dCrit)</f>
        <v>0</v>
      </c>
      <c r="H60" s="15">
        <f>G60+ROW()/100000</f>
        <v>0</v>
      </c>
      <c r="I60" s="5">
        <f>INDEX($F$60:$F$69,MATCH(LARGE($H$60:$H$69,1),$H$60:$H$69,0))</f>
        <v>0</v>
      </c>
      <c r="J60" s="5" t="s">
        <v>431</v>
      </c>
      <c r="K60" s="9">
        <f>COUNTIFS('Unsafe Condition Register'!$H$2:$H$100001,"Slippery Floor",'Unsafe Condition Register'!$C$2:$C$100001,DashYear,'Unsafe Condition Register'!$F$2:$F$100001,dCrit)</f>
        <v>0</v>
      </c>
      <c r="L60" s="15">
        <f>K60+ROW()/100000</f>
        <v>0</v>
      </c>
      <c r="M60" s="5">
        <f>INDEX($J$60:$J$69,MATCH(LARGE($L$60:$L$69,1),$L$60:$L$69,0))</f>
        <v>0</v>
      </c>
      <c r="N60" s="5" t="s">
        <v>27</v>
      </c>
      <c r="O60" s="9">
        <f>COUNTIFS('Incident Register'!$G$2:$G$100001,"Filling Line 1",'Incident Register'!$C$2:$C$100001,DashYear,'Incident Register'!$F$2:$F$100001,dCrit)</f>
        <v>0</v>
      </c>
      <c r="P60" s="15">
        <f>O60+ROW()/100000</f>
        <v>0</v>
      </c>
      <c r="Q60" s="5">
        <f>INDEX($N$60:$N$71,MATCH(LARGE($P$60:$P$71,1),$P$60:$P$71,0))</f>
        <v>0</v>
      </c>
      <c r="R60" s="9">
        <f>INT(LARGE($P$60:$P$71,1))</f>
        <v>0</v>
      </c>
    </row>
    <row r="61" spans="6:18">
      <c r="F61" s="5" t="s">
        <v>470</v>
      </c>
      <c r="G61" s="9">
        <f>COUNTIFS('Unsafe Act Register'!$H$2:$H$100001,"Not Using PPE",'Unsafe Act Register'!$C$2:$C$100001,DashYear,'Unsafe Act Register'!$F$2:$F$100001,dCrit)</f>
        <v>0</v>
      </c>
      <c r="H61" s="15">
        <f>G61+ROW()/100000</f>
        <v>0</v>
      </c>
      <c r="I61" s="5">
        <f>INDEX($F$60:$F$69,MATCH(LARGE($H$60:$H$69,2),$H$60:$H$69,0))</f>
        <v>0</v>
      </c>
      <c r="J61" s="5" t="s">
        <v>84</v>
      </c>
      <c r="K61" s="9">
        <f>COUNTIFS('Unsafe Condition Register'!$H$2:$H$100001,"Poor Housekeeping",'Unsafe Condition Register'!$C$2:$C$100001,DashYear,'Unsafe Condition Register'!$F$2:$F$100001,dCrit)</f>
        <v>0</v>
      </c>
      <c r="L61" s="15">
        <f>K61+ROW()/100000</f>
        <v>0</v>
      </c>
      <c r="M61" s="5">
        <f>INDEX($J$60:$J$69,MATCH(LARGE($L$60:$L$69,2),$L$60:$L$69,0))</f>
        <v>0</v>
      </c>
      <c r="N61" s="5" t="s">
        <v>48</v>
      </c>
      <c r="O61" s="9">
        <f>COUNTIFS('Incident Register'!$G$2:$G$100001,"Filling Line 2",'Incident Register'!$C$2:$C$100001,DashYear,'Incident Register'!$F$2:$F$100001,dCrit)</f>
        <v>0</v>
      </c>
      <c r="P61" s="15">
        <f>O61+ROW()/100000</f>
        <v>0</v>
      </c>
      <c r="Q61" s="5">
        <f>INDEX($N$60:$N$71,MATCH(LARGE($P$60:$P$71,2),$P$60:$P$71,0))</f>
        <v>0</v>
      </c>
      <c r="R61" s="9">
        <f>INT(LARGE($P$60:$P$71,2))</f>
        <v>0</v>
      </c>
    </row>
    <row r="62" spans="6:18">
      <c r="F62" s="5" t="s">
        <v>494</v>
      </c>
      <c r="G62" s="9">
        <f>COUNTIFS('Unsafe Act Register'!$H$2:$H$100001,"Improper Lifting",'Unsafe Act Register'!$C$2:$C$100001,DashYear,'Unsafe Act Register'!$F$2:$F$100001,dCrit)</f>
        <v>0</v>
      </c>
      <c r="H62" s="15">
        <f>G62+ROW()/100000</f>
        <v>0</v>
      </c>
      <c r="I62" s="5">
        <f>INDEX($F$60:$F$69,MATCH(LARGE($H$60:$H$69,3),$H$60:$H$69,0))</f>
        <v>0</v>
      </c>
      <c r="J62" s="5" t="s">
        <v>464</v>
      </c>
      <c r="K62" s="9">
        <f>COUNTIFS('Unsafe Condition Register'!$H$2:$H$100001,"Inadequate Lighting",'Unsafe Condition Register'!$C$2:$C$100001,DashYear,'Unsafe Condition Register'!$F$2:$F$100001,dCrit)</f>
        <v>0</v>
      </c>
      <c r="L62" s="15">
        <f>K62+ROW()/100000</f>
        <v>0</v>
      </c>
      <c r="M62" s="5">
        <f>INDEX($J$60:$J$69,MATCH(LARGE($L$60:$L$69,3),$L$60:$L$69,0))</f>
        <v>0</v>
      </c>
      <c r="N62" s="5" t="s">
        <v>32</v>
      </c>
      <c r="O62" s="9">
        <f>COUNTIFS('Incident Register'!$G$2:$G$100001,"Blow Molding",'Incident Register'!$C$2:$C$100001,DashYear,'Incident Register'!$F$2:$F$100001,dCrit)</f>
        <v>0</v>
      </c>
      <c r="P62" s="15">
        <f>O62+ROW()/100000</f>
        <v>0</v>
      </c>
      <c r="Q62" s="5">
        <f>INDEX($N$60:$N$71,MATCH(LARGE($P$60:$P$71,3),$P$60:$P$71,0))</f>
        <v>0</v>
      </c>
      <c r="R62" s="9">
        <f>INT(LARGE($P$60:$P$71,3))</f>
        <v>0</v>
      </c>
    </row>
    <row r="63" spans="6:18">
      <c r="F63" s="5" t="s">
        <v>446</v>
      </c>
      <c r="G63" s="9">
        <f>COUNTIFS('Unsafe Act Register'!$H$2:$H$100001,"Working Without Permit",'Unsafe Act Register'!$C$2:$C$100001,DashYear,'Unsafe Act Register'!$F$2:$F$100001,dCrit)</f>
        <v>0</v>
      </c>
      <c r="H63" s="15">
        <f>G63+ROW()/100000</f>
        <v>0</v>
      </c>
      <c r="I63" s="5">
        <f>INDEX($F$60:$F$69,MATCH(LARGE($H$60:$H$69,4),$H$60:$H$69,0))</f>
        <v>0</v>
      </c>
      <c r="J63" s="5" t="s">
        <v>462</v>
      </c>
      <c r="K63" s="9">
        <f>COUNTIFS('Unsafe Condition Register'!$H$2:$H$100001,"Damaged Machine Guard",'Unsafe Condition Register'!$C$2:$C$100001,DashYear,'Unsafe Condition Register'!$F$2:$F$100001,dCrit)</f>
        <v>0</v>
      </c>
      <c r="L63" s="15">
        <f>K63+ROW()/100000</f>
        <v>0</v>
      </c>
      <c r="M63" s="5">
        <f>INDEX($J$60:$J$69,MATCH(LARGE($L$60:$L$69,4),$L$60:$L$69,0))</f>
        <v>0</v>
      </c>
      <c r="N63" s="5" t="s">
        <v>38</v>
      </c>
      <c r="O63" s="9">
        <f>COUNTIFS('Incident Register'!$G$2:$G$100001,"Syrup Room",'Incident Register'!$C$2:$C$100001,DashYear,'Incident Register'!$F$2:$F$100001,dCrit)</f>
        <v>0</v>
      </c>
      <c r="P63" s="15">
        <f>O63+ROW()/100000</f>
        <v>0</v>
      </c>
      <c r="Q63" s="5">
        <f>INDEX($N$60:$N$71,MATCH(LARGE($P$60:$P$71,4),$P$60:$P$71,0))</f>
        <v>0</v>
      </c>
      <c r="R63" s="9">
        <f>INT(LARGE($P$60:$P$71,4))</f>
        <v>0</v>
      </c>
    </row>
    <row r="64" spans="6:18">
      <c r="F64" s="5" t="s">
        <v>428</v>
      </c>
      <c r="G64" s="9">
        <f>COUNTIFS('Unsafe Act Register'!$H$2:$H$100001,"Operating Without Authority",'Unsafe Act Register'!$C$2:$C$100001,DashYear,'Unsafe Act Register'!$F$2:$F$100001,dCrit)</f>
        <v>0</v>
      </c>
      <c r="H64" s="15">
        <f>G64+ROW()/100000</f>
        <v>0</v>
      </c>
      <c r="I64" s="5">
        <f>INDEX($F$60:$F$69,MATCH(LARGE($H$60:$H$69,5),$H$60:$H$69,0))</f>
        <v>0</v>
      </c>
      <c r="J64" s="5" t="s">
        <v>442</v>
      </c>
      <c r="K64" s="9">
        <f>COUNTIFS('Unsafe Condition Register'!$H$2:$H$100001,"Exposed Wiring",'Unsafe Condition Register'!$C$2:$C$100001,DashYear,'Unsafe Condition Register'!$F$2:$F$100001,dCrit)</f>
        <v>0</v>
      </c>
      <c r="L64" s="15">
        <f>K64+ROW()/100000</f>
        <v>0</v>
      </c>
      <c r="M64" s="5">
        <f>INDEX($J$60:$J$69,MATCH(LARGE($L$60:$L$69,5),$L$60:$L$69,0))</f>
        <v>0</v>
      </c>
      <c r="N64" s="5" t="s">
        <v>94</v>
      </c>
      <c r="O64" s="9">
        <f>COUNTIFS('Incident Register'!$G$2:$G$100001,"Boiler House",'Incident Register'!$C$2:$C$100001,DashYear,'Incident Register'!$F$2:$F$100001,dCrit)</f>
        <v>0</v>
      </c>
      <c r="P64" s="15">
        <f>O64+ROW()/100000</f>
        <v>0</v>
      </c>
      <c r="Q64" s="5">
        <f>INDEX($N$60:$N$71,MATCH(LARGE($P$60:$P$71,5),$P$60:$P$71,0))</f>
        <v>0</v>
      </c>
      <c r="R64" s="9">
        <f>INT(LARGE($P$60:$P$71,5))</f>
        <v>0</v>
      </c>
    </row>
    <row r="65" spans="6:18">
      <c r="F65" s="5" t="s">
        <v>454</v>
      </c>
      <c r="G65" s="9">
        <f>COUNTIFS('Unsafe Act Register'!$H$2:$H$100001,"Using Defective Equipment",'Unsafe Act Register'!$C$2:$C$100001,DashYear,'Unsafe Act Register'!$F$2:$F$100001,dCrit)</f>
        <v>0</v>
      </c>
      <c r="H65" s="15">
        <f>G65+ROW()/100000</f>
        <v>0</v>
      </c>
      <c r="I65" s="5">
        <f>INDEX($F$60:$F$69,MATCH(LARGE($H$60:$H$69,6),$H$60:$H$69,0))</f>
        <v>0</v>
      </c>
      <c r="J65" s="5" t="s">
        <v>440</v>
      </c>
      <c r="K65" s="9">
        <f>COUNTIFS('Unsafe Condition Register'!$H$2:$H$100001,"Blocked Walkway",'Unsafe Condition Register'!$C$2:$C$100001,DashYear,'Unsafe Condition Register'!$F$2:$F$100001,dCrit)</f>
        <v>0</v>
      </c>
      <c r="L65" s="15">
        <f>K65+ROW()/100000</f>
        <v>0</v>
      </c>
      <c r="M65" s="5">
        <f>INDEX($J$60:$J$69,MATCH(LARGE($L$60:$L$69,6),$L$60:$L$69,0))</f>
        <v>0</v>
      </c>
      <c r="N65" s="5" t="s">
        <v>3</v>
      </c>
      <c r="O65" s="9">
        <f>COUNTIFS('Incident Register'!$G$2:$G$100001,"ETP/WTP",'Incident Register'!$C$2:$C$100001,DashYear,'Incident Register'!$F$2:$F$100001,dCrit)</f>
        <v>0</v>
      </c>
      <c r="P65" s="15">
        <f>O65+ROW()/100000</f>
        <v>0</v>
      </c>
      <c r="Q65" s="5">
        <f>INDEX($N$60:$N$71,MATCH(LARGE($P$60:$P$71,6),$P$60:$P$71,0))</f>
        <v>0</v>
      </c>
      <c r="R65" s="9">
        <f>INT(LARGE($P$60:$P$71,6))</f>
        <v>0</v>
      </c>
    </row>
    <row r="66" spans="6:18">
      <c r="F66" s="5" t="s">
        <v>519</v>
      </c>
      <c r="G66" s="9">
        <f>COUNTIFS('Unsafe Act Register'!$H$2:$H$100001,"Horseplay",'Unsafe Act Register'!$C$2:$C$100001,DashYear,'Unsafe Act Register'!$F$2:$F$100001,dCrit)</f>
        <v>0</v>
      </c>
      <c r="H66" s="15">
        <f>G66+ROW()/100000</f>
        <v>0</v>
      </c>
      <c r="I66" s="5">
        <f>INDEX($F$60:$F$69,MATCH(LARGE($H$60:$H$69,7),$H$60:$H$69,0))</f>
        <v>0</v>
      </c>
      <c r="J66" s="5" t="s">
        <v>473</v>
      </c>
      <c r="K66" s="9">
        <f>COUNTIFS('Unsafe Condition Register'!$H$2:$H$100001,"Missing Signage",'Unsafe Condition Register'!$C$2:$C$100001,DashYear,'Unsafe Condition Register'!$F$2:$F$100001,dCrit)</f>
        <v>0</v>
      </c>
      <c r="L66" s="15">
        <f>K66+ROW()/100000</f>
        <v>0</v>
      </c>
      <c r="M66" s="5">
        <f>INDEX($J$60:$J$69,MATCH(LARGE($L$60:$L$69,7),$L$60:$L$69,0))</f>
        <v>0</v>
      </c>
      <c r="N66" s="5" t="s">
        <v>61</v>
      </c>
      <c r="O66" s="9">
        <f>COUNTIFS('Incident Register'!$G$2:$G$100001,"RM Warehouse",'Incident Register'!$C$2:$C$100001,DashYear,'Incident Register'!$F$2:$F$100001,dCrit)</f>
        <v>0</v>
      </c>
      <c r="P66" s="15">
        <f>O66+ROW()/100000</f>
        <v>0</v>
      </c>
      <c r="Q66" s="5">
        <f>INDEX($N$60:$N$71,MATCH(LARGE($P$60:$P$71,7),$P$60:$P$71,0))</f>
        <v>0</v>
      </c>
      <c r="R66" s="9">
        <f>INT(LARGE($P$60:$P$71,7))</f>
        <v>0</v>
      </c>
    </row>
    <row r="67" spans="6:18">
      <c r="F67" s="5" t="s">
        <v>444</v>
      </c>
      <c r="G67" s="9">
        <f>COUNTIFS('Unsafe Act Register'!$H$2:$H$100001,"Wrong Tool Use",'Unsafe Act Register'!$C$2:$C$100001,DashYear,'Unsafe Act Register'!$F$2:$F$100001,dCrit)</f>
        <v>0</v>
      </c>
      <c r="H67" s="15">
        <f>G67+ROW()/100000</f>
        <v>0</v>
      </c>
      <c r="I67" s="5">
        <f>INDEX($F$60:$F$69,MATCH(LARGE($H$60:$H$69,8),$H$60:$H$69,0))</f>
        <v>0</v>
      </c>
      <c r="J67" s="5" t="s">
        <v>435</v>
      </c>
      <c r="K67" s="9">
        <f>COUNTIFS('Unsafe Condition Register'!$H$2:$H$100001,"Chemical Leak",'Unsafe Condition Register'!$C$2:$C$100001,DashYear,'Unsafe Condition Register'!$F$2:$F$100001,dCrit)</f>
        <v>0</v>
      </c>
      <c r="L67" s="15">
        <f>K67+ROW()/100000</f>
        <v>0</v>
      </c>
      <c r="M67" s="5">
        <f>INDEX($J$60:$J$69,MATCH(LARGE($L$60:$L$69,8),$L$60:$L$69,0))</f>
        <v>0</v>
      </c>
      <c r="N67" s="5" t="s">
        <v>69</v>
      </c>
      <c r="O67" s="9">
        <f>COUNTIFS('Incident Register'!$G$2:$G$100001,"FG Warehouse",'Incident Register'!$C$2:$C$100001,DashYear,'Incident Register'!$F$2:$F$100001,dCrit)</f>
        <v>0</v>
      </c>
      <c r="P67" s="15">
        <f>O67+ROW()/100000</f>
        <v>0</v>
      </c>
      <c r="Q67" s="5">
        <f>INDEX($N$60:$N$71,MATCH(LARGE($P$60:$P$71,8),$P$60:$P$71,0))</f>
        <v>0</v>
      </c>
      <c r="R67" s="9">
        <f>INT(LARGE($P$60:$P$71,8))</f>
        <v>0</v>
      </c>
    </row>
    <row r="68" spans="6:18">
      <c r="F68" s="5" t="s">
        <v>466</v>
      </c>
      <c r="G68" s="9">
        <f>COUNTIFS('Unsafe Act Register'!$H$2:$H$100001,"LOTO Not Followed",'Unsafe Act Register'!$C$2:$C$100001,DashYear,'Unsafe Act Register'!$F$2:$F$100001,dCrit)</f>
        <v>0</v>
      </c>
      <c r="H68" s="15">
        <f>G68+ROW()/100000</f>
        <v>0</v>
      </c>
      <c r="I68" s="5">
        <f>INDEX($F$60:$F$69,MATCH(LARGE($H$60:$H$69,9),$H$60:$H$69,0))</f>
        <v>0</v>
      </c>
      <c r="J68" s="5" t="s">
        <v>438</v>
      </c>
      <c r="K68" s="9">
        <f>COUNTIFS('Unsafe Condition Register'!$H$2:$H$100001,"Faulty Ladder",'Unsafe Condition Register'!$C$2:$C$100001,DashYear,'Unsafe Condition Register'!$F$2:$F$100001,dCrit)</f>
        <v>0</v>
      </c>
      <c r="L68" s="15">
        <f>K68+ROW()/100000</f>
        <v>0</v>
      </c>
      <c r="M68" s="5">
        <f>INDEX($J$60:$J$69,MATCH(LARGE($L$60:$L$69,9),$L$60:$L$69,0))</f>
        <v>0</v>
      </c>
      <c r="N68" s="5" t="s">
        <v>74</v>
      </c>
      <c r="O68" s="9">
        <f>COUNTIFS('Incident Register'!$G$2:$G$100001,"Compressor Room",'Incident Register'!$C$2:$C$100001,DashYear,'Incident Register'!$F$2:$F$100001,dCrit)</f>
        <v>0</v>
      </c>
      <c r="P68" s="15">
        <f>O68+ROW()/100000</f>
        <v>0</v>
      </c>
      <c r="Q68" s="5">
        <f>INDEX($N$60:$N$71,MATCH(LARGE($P$60:$P$71,9),$P$60:$P$71,0))</f>
        <v>0</v>
      </c>
      <c r="R68" s="9">
        <f>INT(LARGE($P$60:$P$71,9))</f>
        <v>0</v>
      </c>
    </row>
    <row r="69" spans="6:18">
      <c r="F69" s="5" t="s">
        <v>457</v>
      </c>
      <c r="G69" s="9">
        <f>COUNTIFS('Unsafe Act Register'!$H$2:$H$100001,"Forklift Overspeeding",'Unsafe Act Register'!$C$2:$C$100001,DashYear,'Unsafe Act Register'!$F$2:$F$100001,dCrit)</f>
        <v>0</v>
      </c>
      <c r="H69" s="15">
        <f>G69+ROW()/100000</f>
        <v>0</v>
      </c>
      <c r="I69" s="5">
        <f>INDEX($F$60:$F$69,MATCH(LARGE($H$60:$H$69,10),$H$60:$H$69,0))</f>
        <v>0</v>
      </c>
      <c r="J69" s="5" t="s">
        <v>452</v>
      </c>
      <c r="K69" s="9">
        <f>COUNTIFS('Unsafe Condition Register'!$H$2:$H$100001,"Blocked Fire Exit",'Unsafe Condition Register'!$C$2:$C$100001,DashYear,'Unsafe Condition Register'!$F$2:$F$100001,dCrit)</f>
        <v>0</v>
      </c>
      <c r="L69" s="15">
        <f>K69+ROW()/100000</f>
        <v>0</v>
      </c>
      <c r="M69" s="5">
        <f>INDEX($J$60:$J$69,MATCH(LARGE($L$60:$L$69,10),$L$60:$L$69,0))</f>
        <v>0</v>
      </c>
      <c r="N69" s="5" t="s">
        <v>55</v>
      </c>
      <c r="O69" s="9">
        <f>COUNTIFS('Incident Register'!$G$2:$G$100001,"QC Lab",'Incident Register'!$C$2:$C$100001,DashYear,'Incident Register'!$F$2:$F$100001,dCrit)</f>
        <v>0</v>
      </c>
      <c r="P69" s="15">
        <f>O69+ROW()/100000</f>
        <v>0</v>
      </c>
      <c r="Q69" s="5">
        <f>INDEX($N$60:$N$71,MATCH(LARGE($P$60:$P$71,10),$P$60:$P$71,0))</f>
        <v>0</v>
      </c>
      <c r="R69" s="9">
        <f>INT(LARGE($P$60:$P$71,10))</f>
        <v>0</v>
      </c>
    </row>
    <row r="70" spans="6:18">
      <c r="N70" s="5" t="s">
        <v>20</v>
      </c>
      <c r="O70" s="9">
        <f>COUNTIFS('Incident Register'!$G$2:$G$100001,"Workshop",'Incident Register'!$C$2:$C$100001,DashYear,'Incident Register'!$F$2:$F$100001,dCrit)</f>
        <v>0</v>
      </c>
      <c r="P70" s="15">
        <f>O70+ROW()/100000</f>
        <v>0</v>
      </c>
    </row>
    <row r="71" spans="6:18">
      <c r="N71" s="5" t="s">
        <v>64</v>
      </c>
      <c r="O71" s="9">
        <f>COUNTIFS('Incident Register'!$G$2:$G$100001,"Loading Bay",'Incident Register'!$C$2:$C$100001,DashYear,'Incident Register'!$F$2:$F$100001,dCrit)</f>
        <v>0</v>
      </c>
      <c r="P71" s="15">
        <f>O71+ROW()/100000</f>
        <v>0</v>
      </c>
    </row>
    <row r="74" spans="6:18">
      <c r="F74" s="1" t="s">
        <v>6254</v>
      </c>
    </row>
    <row r="75" spans="6:18">
      <c r="F75" s="16" t="s">
        <v>6255</v>
      </c>
      <c r="G75" s="16" t="s">
        <v>6256</v>
      </c>
      <c r="H75" s="16" t="s">
        <v>6257</v>
      </c>
      <c r="I75" s="16" t="s">
        <v>6258</v>
      </c>
      <c r="J75" s="16" t="s">
        <v>6259</v>
      </c>
      <c r="K75" s="16" t="s">
        <v>6260</v>
      </c>
    </row>
    <row r="76" spans="6:18">
      <c r="F76" s="16" t="s">
        <v>6261</v>
      </c>
      <c r="G76" s="17">
        <f>COUNTIFS('Risk Assessment Register'!$I$2:$I$100001,1,'Risk Assessment Register'!$J$2:$J$100001,1,'Risk Assessment Register'!$C$2:$C$100001,DashYear,'Risk Assessment Register'!$F$2:$F$100001,dCrit)</f>
        <v>0</v>
      </c>
      <c r="H76" s="17">
        <f>COUNTIFS('Risk Assessment Register'!$I$2:$I$100001,1,'Risk Assessment Register'!$J$2:$J$100001,2,'Risk Assessment Register'!$C$2:$C$100001,DashYear,'Risk Assessment Register'!$F$2:$F$100001,dCrit)</f>
        <v>0</v>
      </c>
      <c r="I76" s="17">
        <f>COUNTIFS('Risk Assessment Register'!$I$2:$I$100001,1,'Risk Assessment Register'!$J$2:$J$100001,3,'Risk Assessment Register'!$C$2:$C$100001,DashYear,'Risk Assessment Register'!$F$2:$F$100001,dCrit)</f>
        <v>0</v>
      </c>
      <c r="J76" s="17">
        <f>COUNTIFS('Risk Assessment Register'!$I$2:$I$100001,1,'Risk Assessment Register'!$J$2:$J$100001,4,'Risk Assessment Register'!$C$2:$C$100001,DashYear,'Risk Assessment Register'!$F$2:$F$100001,dCrit)</f>
        <v>0</v>
      </c>
      <c r="K76" s="17">
        <f>COUNTIFS('Risk Assessment Register'!$I$2:$I$100001,1,'Risk Assessment Register'!$J$2:$J$100001,5,'Risk Assessment Register'!$C$2:$C$100001,DashYear,'Risk Assessment Register'!$F$2:$F$100001,dCrit)</f>
        <v>0</v>
      </c>
    </row>
    <row r="77" spans="6:18">
      <c r="F77" s="16" t="s">
        <v>6262</v>
      </c>
      <c r="G77" s="17">
        <f>COUNTIFS('Risk Assessment Register'!$I$2:$I$100001,2,'Risk Assessment Register'!$J$2:$J$100001,1,'Risk Assessment Register'!$C$2:$C$100001,DashYear,'Risk Assessment Register'!$F$2:$F$100001,dCrit)</f>
        <v>0</v>
      </c>
      <c r="H77" s="17">
        <f>COUNTIFS('Risk Assessment Register'!$I$2:$I$100001,2,'Risk Assessment Register'!$J$2:$J$100001,2,'Risk Assessment Register'!$C$2:$C$100001,DashYear,'Risk Assessment Register'!$F$2:$F$100001,dCrit)</f>
        <v>0</v>
      </c>
      <c r="I77" s="17">
        <f>COUNTIFS('Risk Assessment Register'!$I$2:$I$100001,2,'Risk Assessment Register'!$J$2:$J$100001,3,'Risk Assessment Register'!$C$2:$C$100001,DashYear,'Risk Assessment Register'!$F$2:$F$100001,dCrit)</f>
        <v>0</v>
      </c>
      <c r="J77" s="17">
        <f>COUNTIFS('Risk Assessment Register'!$I$2:$I$100001,2,'Risk Assessment Register'!$J$2:$J$100001,4,'Risk Assessment Register'!$C$2:$C$100001,DashYear,'Risk Assessment Register'!$F$2:$F$100001,dCrit)</f>
        <v>0</v>
      </c>
      <c r="K77" s="17">
        <f>COUNTIFS('Risk Assessment Register'!$I$2:$I$100001,2,'Risk Assessment Register'!$J$2:$J$100001,5,'Risk Assessment Register'!$C$2:$C$100001,DashYear,'Risk Assessment Register'!$F$2:$F$100001,dCrit)</f>
        <v>0</v>
      </c>
    </row>
    <row r="78" spans="6:18">
      <c r="F78" s="16" t="s">
        <v>6263</v>
      </c>
      <c r="G78" s="17">
        <f>COUNTIFS('Risk Assessment Register'!$I$2:$I$100001,3,'Risk Assessment Register'!$J$2:$J$100001,1,'Risk Assessment Register'!$C$2:$C$100001,DashYear,'Risk Assessment Register'!$F$2:$F$100001,dCrit)</f>
        <v>0</v>
      </c>
      <c r="H78" s="17">
        <f>COUNTIFS('Risk Assessment Register'!$I$2:$I$100001,3,'Risk Assessment Register'!$J$2:$J$100001,2,'Risk Assessment Register'!$C$2:$C$100001,DashYear,'Risk Assessment Register'!$F$2:$F$100001,dCrit)</f>
        <v>0</v>
      </c>
      <c r="I78" s="17">
        <f>COUNTIFS('Risk Assessment Register'!$I$2:$I$100001,3,'Risk Assessment Register'!$J$2:$J$100001,3,'Risk Assessment Register'!$C$2:$C$100001,DashYear,'Risk Assessment Register'!$F$2:$F$100001,dCrit)</f>
        <v>0</v>
      </c>
      <c r="J78" s="17">
        <f>COUNTIFS('Risk Assessment Register'!$I$2:$I$100001,3,'Risk Assessment Register'!$J$2:$J$100001,4,'Risk Assessment Register'!$C$2:$C$100001,DashYear,'Risk Assessment Register'!$F$2:$F$100001,dCrit)</f>
        <v>0</v>
      </c>
      <c r="K78" s="17">
        <f>COUNTIFS('Risk Assessment Register'!$I$2:$I$100001,3,'Risk Assessment Register'!$J$2:$J$100001,5,'Risk Assessment Register'!$C$2:$C$100001,DashYear,'Risk Assessment Register'!$F$2:$F$100001,dCrit)</f>
        <v>0</v>
      </c>
    </row>
    <row r="79" spans="6:18">
      <c r="F79" s="16" t="s">
        <v>6264</v>
      </c>
      <c r="G79" s="17">
        <f>COUNTIFS('Risk Assessment Register'!$I$2:$I$100001,4,'Risk Assessment Register'!$J$2:$J$100001,1,'Risk Assessment Register'!$C$2:$C$100001,DashYear,'Risk Assessment Register'!$F$2:$F$100001,dCrit)</f>
        <v>0</v>
      </c>
      <c r="H79" s="17">
        <f>COUNTIFS('Risk Assessment Register'!$I$2:$I$100001,4,'Risk Assessment Register'!$J$2:$J$100001,2,'Risk Assessment Register'!$C$2:$C$100001,DashYear,'Risk Assessment Register'!$F$2:$F$100001,dCrit)</f>
        <v>0</v>
      </c>
      <c r="I79" s="17">
        <f>COUNTIFS('Risk Assessment Register'!$I$2:$I$100001,4,'Risk Assessment Register'!$J$2:$J$100001,3,'Risk Assessment Register'!$C$2:$C$100001,DashYear,'Risk Assessment Register'!$F$2:$F$100001,dCrit)</f>
        <v>0</v>
      </c>
      <c r="J79" s="17">
        <f>COUNTIFS('Risk Assessment Register'!$I$2:$I$100001,4,'Risk Assessment Register'!$J$2:$J$100001,4,'Risk Assessment Register'!$C$2:$C$100001,DashYear,'Risk Assessment Register'!$F$2:$F$100001,dCrit)</f>
        <v>0</v>
      </c>
      <c r="K79" s="17">
        <f>COUNTIFS('Risk Assessment Register'!$I$2:$I$100001,4,'Risk Assessment Register'!$J$2:$J$100001,5,'Risk Assessment Register'!$C$2:$C$100001,DashYear,'Risk Assessment Register'!$F$2:$F$100001,dCrit)</f>
        <v>0</v>
      </c>
    </row>
    <row r="80" spans="6:18">
      <c r="F80" s="16" t="s">
        <v>6265</v>
      </c>
      <c r="G80" s="17">
        <f>COUNTIFS('Risk Assessment Register'!$I$2:$I$100001,5,'Risk Assessment Register'!$J$2:$J$100001,1,'Risk Assessment Register'!$C$2:$C$100001,DashYear,'Risk Assessment Register'!$F$2:$F$100001,dCrit)</f>
        <v>0</v>
      </c>
      <c r="H80" s="17">
        <f>COUNTIFS('Risk Assessment Register'!$I$2:$I$100001,5,'Risk Assessment Register'!$J$2:$J$100001,2,'Risk Assessment Register'!$C$2:$C$100001,DashYear,'Risk Assessment Register'!$F$2:$F$100001,dCrit)</f>
        <v>0</v>
      </c>
      <c r="I80" s="17">
        <f>COUNTIFS('Risk Assessment Register'!$I$2:$I$100001,5,'Risk Assessment Register'!$J$2:$J$100001,3,'Risk Assessment Register'!$C$2:$C$100001,DashYear,'Risk Assessment Register'!$F$2:$F$100001,dCrit)</f>
        <v>0</v>
      </c>
      <c r="J80" s="17">
        <f>COUNTIFS('Risk Assessment Register'!$I$2:$I$100001,5,'Risk Assessment Register'!$J$2:$J$100001,4,'Risk Assessment Register'!$C$2:$C$100001,DashYear,'Risk Assessment Register'!$F$2:$F$100001,dCrit)</f>
        <v>0</v>
      </c>
      <c r="K80" s="17">
        <f>COUNTIFS('Risk Assessment Register'!$I$2:$I$100001,5,'Risk Assessment Register'!$J$2:$J$100001,5,'Risk Assessment Register'!$C$2:$C$100001,DashYear,'Risk Assessment Register'!$F$2:$F$100001,dCrit)</f>
        <v>0</v>
      </c>
    </row>
    <row r="86" spans="6:7">
      <c r="F86" s="1" t="s">
        <v>6266</v>
      </c>
    </row>
    <row r="87" spans="6:7">
      <c r="F87" s="4" t="s">
        <v>6267</v>
      </c>
      <c r="G87" s="4" t="s">
        <v>6268</v>
      </c>
    </row>
    <row r="88" spans="6:7">
      <c r="F88" s="5" t="s">
        <v>6269</v>
      </c>
      <c r="G88" s="11">
        <f>PTWComp</f>
        <v>0</v>
      </c>
    </row>
    <row r="89" spans="6:7">
      <c r="F89" s="5" t="s">
        <v>5918</v>
      </c>
      <c r="G89" s="11">
        <f>InspComp</f>
        <v>0</v>
      </c>
    </row>
    <row r="90" spans="6:7">
      <c r="F90" s="5" t="s">
        <v>5922</v>
      </c>
      <c r="G90" s="11">
        <f>AuditComp</f>
        <v>0</v>
      </c>
    </row>
    <row r="91" spans="6:7">
      <c r="F91" s="5" t="s">
        <v>6270</v>
      </c>
      <c r="G91" s="11">
        <f>TrainComp</f>
        <v>0</v>
      </c>
    </row>
    <row r="92" spans="6:7">
      <c r="F92" s="5" t="s">
        <v>6271</v>
      </c>
      <c r="G92" s="11">
        <f>PPEComp</f>
        <v>0</v>
      </c>
    </row>
    <row r="93" spans="6:7">
      <c r="F93" s="5" t="s">
        <v>2979</v>
      </c>
      <c r="G93" s="11">
        <f>StatComp</f>
        <v>0</v>
      </c>
    </row>
    <row r="94" spans="6:7">
      <c r="F94" s="5" t="s">
        <v>6272</v>
      </c>
      <c r="G94" s="11">
        <f>ActionClosure</f>
        <v>0</v>
      </c>
    </row>
    <row r="98" spans="6:10">
      <c r="F98" s="1" t="s">
        <v>6273</v>
      </c>
    </row>
    <row r="99" spans="6:10">
      <c r="F99" s="4" t="s">
        <v>6274</v>
      </c>
      <c r="G99" s="4" t="s">
        <v>6268</v>
      </c>
      <c r="H99" s="4" t="s">
        <v>6275</v>
      </c>
      <c r="I99" s="4" t="s">
        <v>6276</v>
      </c>
    </row>
    <row r="100" spans="6:10">
      <c r="F100" s="5" t="s">
        <v>6270</v>
      </c>
      <c r="G100" s="18">
        <f>MIN(100,TrainComp)/2</f>
        <v>0</v>
      </c>
      <c r="H100" s="18">
        <f>50-G100</f>
        <v>0</v>
      </c>
      <c r="I100" s="18">
        <v>50</v>
      </c>
    </row>
    <row r="101" spans="6:10">
      <c r="F101" s="5" t="s">
        <v>6269</v>
      </c>
      <c r="G101" s="18">
        <f>MIN(100,PTWComp)/2</f>
        <v>0</v>
      </c>
      <c r="H101" s="18">
        <f>50-G101</f>
        <v>0</v>
      </c>
      <c r="I101" s="18">
        <v>50</v>
      </c>
    </row>
    <row r="102" spans="6:10">
      <c r="F102" s="5" t="s">
        <v>2979</v>
      </c>
      <c r="G102" s="18">
        <f>MIN(100,StatComp)/2</f>
        <v>0</v>
      </c>
      <c r="H102" s="18">
        <f>50-G102</f>
        <v>0</v>
      </c>
      <c r="I102" s="18">
        <v>50</v>
      </c>
    </row>
    <row r="103" spans="6:10">
      <c r="F103" s="5" t="s">
        <v>6272</v>
      </c>
      <c r="G103" s="18">
        <f>MIN(100,ActionClosure)/2</f>
        <v>0</v>
      </c>
      <c r="H103" s="18">
        <f>50-G103</f>
        <v>0</v>
      </c>
      <c r="I103" s="18">
        <v>50</v>
      </c>
    </row>
    <row r="104" spans="6:10">
      <c r="F104" s="5" t="s">
        <v>5918</v>
      </c>
      <c r="G104" s="18">
        <f>MIN(100,InspComp)/2</f>
        <v>0</v>
      </c>
      <c r="H104" s="18">
        <f>50-G104</f>
        <v>0</v>
      </c>
      <c r="I104" s="18">
        <v>50</v>
      </c>
    </row>
    <row r="105" spans="6:10">
      <c r="F105" s="5" t="s">
        <v>5922</v>
      </c>
      <c r="G105" s="18">
        <f>MIN(100,AuditComp)/2</f>
        <v>0</v>
      </c>
      <c r="H105" s="18">
        <f>50-G105</f>
        <v>0</v>
      </c>
      <c r="I105" s="18">
        <v>50</v>
      </c>
    </row>
    <row r="108" spans="6:10">
      <c r="F108" s="1" t="s">
        <v>6277</v>
      </c>
    </row>
    <row r="109" spans="6:10">
      <c r="F109" s="4" t="s">
        <v>201</v>
      </c>
      <c r="G109" s="4" t="s">
        <v>6241</v>
      </c>
      <c r="I109" s="4" t="s">
        <v>6186</v>
      </c>
      <c r="J109" s="4" t="s">
        <v>6241</v>
      </c>
    </row>
    <row r="110" spans="6:10">
      <c r="F110" s="5" t="s">
        <v>17</v>
      </c>
      <c r="G110" s="9">
        <f>COUNTIFS('CAPA Tracker'!$L$2:$L$100001,"Open",'CAPA Tracker'!$C$2:$C$100001,yCrit,'CAPA Tracker'!$E$2:$E$100001,mCrit,'CAPA Tracker'!$G$2:$G$100001,dCrit)</f>
        <v>0</v>
      </c>
      <c r="I110" s="5" t="s">
        <v>5928</v>
      </c>
      <c r="J110" s="9">
        <f>COUNTIFS('CAPA Tracker'!$F$2:$F$100001,"Incident",'CAPA Tracker'!$C$2:$C$100001,yCrit,'CAPA Tracker'!$E$2:$E$100001,mCrit,'CAPA Tracker'!$G$2:$G$100001,dCrit)</f>
        <v>0</v>
      </c>
    </row>
    <row r="111" spans="6:10">
      <c r="F111" s="5" t="s">
        <v>23</v>
      </c>
      <c r="G111" s="9">
        <f>COUNTIFS('CAPA Tracker'!$L$2:$L$100001,"In Progress",'CAPA Tracker'!$C$2:$C$100001,yCrit,'CAPA Tracker'!$E$2:$E$100001,mCrit,'CAPA Tracker'!$G$2:$G$100001,dCrit)</f>
        <v>0</v>
      </c>
      <c r="I111" s="5" t="s">
        <v>5922</v>
      </c>
      <c r="J111" s="9">
        <f>COUNTIFS('CAPA Tracker'!$F$2:$F$100001,"Audit",'CAPA Tracker'!$C$2:$C$100001,yCrit,'CAPA Tracker'!$E$2:$E$100001,mCrit,'CAPA Tracker'!$G$2:$G$100001,dCrit)</f>
        <v>0</v>
      </c>
    </row>
    <row r="112" spans="6:10">
      <c r="F112" s="5" t="s">
        <v>10</v>
      </c>
      <c r="G112" s="9">
        <f>COUNTIFS('CAPA Tracker'!$L$2:$L$100001,"Closed",'CAPA Tracker'!$C$2:$C$100001,yCrit,'CAPA Tracker'!$E$2:$E$100001,mCrit,'CAPA Tracker'!$G$2:$G$100001,dCrit)</f>
        <v>0</v>
      </c>
      <c r="I112" s="5" t="s">
        <v>5918</v>
      </c>
      <c r="J112" s="9">
        <f>COUNTIFS('CAPA Tracker'!$F$2:$F$100001,"Inspection",'CAPA Tracker'!$C$2:$C$100001,yCrit,'CAPA Tracker'!$E$2:$E$100001,mCrit,'CAPA Tracker'!$G$2:$G$100001,dCrit)</f>
        <v>0</v>
      </c>
    </row>
    <row r="113" spans="6:14">
      <c r="F113" s="5" t="s">
        <v>5939</v>
      </c>
      <c r="G113" s="9">
        <f>COUNTIFS('CAPA Tracker'!$L$2:$L$100001,"Overdue",'CAPA Tracker'!$C$2:$C$100001,yCrit,'CAPA Tracker'!$E$2:$E$100001,mCrit,'CAPA Tracker'!$G$2:$G$100001,dCrit)</f>
        <v>0</v>
      </c>
      <c r="I113" s="5" t="s">
        <v>5942</v>
      </c>
      <c r="J113" s="9">
        <f>COUNTIFS('CAPA Tracker'!$F$2:$F$100001,"Near Miss",'CAPA Tracker'!$C$2:$C$100001,yCrit,'CAPA Tracker'!$E$2:$E$100001,mCrit,'CAPA Tracker'!$G$2:$G$100001,dCrit)</f>
        <v>0</v>
      </c>
    </row>
    <row r="114" spans="6:14">
      <c r="I114" s="5" t="s">
        <v>5945</v>
      </c>
      <c r="J114" s="9">
        <f>COUNTIFS('CAPA Tracker'!$F$2:$F$100001,"Observation",'CAPA Tracker'!$C$2:$C$100001,yCrit,'CAPA Tracker'!$E$2:$E$100001,mCrit,'CAPA Tracker'!$G$2:$G$100001,dCrit)</f>
        <v>0</v>
      </c>
    </row>
    <row r="115" spans="6:14">
      <c r="I115" s="5" t="s">
        <v>5931</v>
      </c>
      <c r="J115" s="9">
        <f>COUNTIFS('CAPA Tracker'!$F$2:$F$100001,"Drill",'CAPA Tracker'!$C$2:$C$100001,yCrit,'CAPA Tracker'!$E$2:$E$100001,mCrit,'CAPA Tracker'!$G$2:$G$100001,dCrit)</f>
        <v>0</v>
      </c>
    </row>
    <row r="120" spans="6:14">
      <c r="F120" s="1" t="s">
        <v>6278</v>
      </c>
    </row>
    <row r="121" spans="6:14">
      <c r="F121" s="4" t="s">
        <v>6279</v>
      </c>
      <c r="G121" s="4" t="s">
        <v>2890</v>
      </c>
      <c r="H121" s="4" t="s">
        <v>2891</v>
      </c>
      <c r="I121" s="4" t="s">
        <v>6280</v>
      </c>
      <c r="K121" s="4" t="s">
        <v>2962</v>
      </c>
      <c r="L121" s="4" t="s">
        <v>6281</v>
      </c>
      <c r="M121" s="4" t="s">
        <v>10</v>
      </c>
      <c r="N121" s="4" t="s">
        <v>17</v>
      </c>
    </row>
    <row r="122" spans="6:14">
      <c r="F122" s="5" t="s">
        <v>2657</v>
      </c>
      <c r="G122" s="9">
        <f>SUMIFS('Inspection Register'!$I$2:$I$100001,'Inspection Register'!$H$2:$H$100001,"Workplace Inspection",'Inspection Register'!$C$2:$C$100001,DashYear,'Inspection Register'!$F$2:$F$100001,dCrit)</f>
        <v>0</v>
      </c>
      <c r="H122" s="9">
        <f>SUMIFS('Inspection Register'!$J$2:$J$100001,'Inspection Register'!$H$2:$H$100001,"Workplace Inspection",'Inspection Register'!$C$2:$C$100001,DashYear,'Inspection Register'!$F$2:$F$100001,dCrit)</f>
        <v>0</v>
      </c>
      <c r="I122" s="9">
        <f>G122-H122</f>
        <v>0</v>
      </c>
      <c r="K122" s="5" t="s">
        <v>2899</v>
      </c>
      <c r="L122" s="9">
        <f>SUMIFS('Audit Register'!$I$2:$I$100001,'Audit Register'!$G$2:$G$100001,"Internal EHS Audit",'Audit Register'!$C$2:$C$100001,DashYear,'Audit Register'!$F$2:$F$100001,dCrit)</f>
        <v>0</v>
      </c>
      <c r="M122" s="9">
        <f>SUMIFS('Audit Register'!$J$2:$J$100001,'Audit Register'!$G$2:$G$100001,"Internal EHS Audit",'Audit Register'!$C$2:$C$100001,DashYear,'Audit Register'!$F$2:$F$100001,dCrit)</f>
        <v>0</v>
      </c>
      <c r="N122" s="9">
        <f>L122-M122</f>
        <v>0</v>
      </c>
    </row>
    <row r="123" spans="6:14">
      <c r="F123" s="5" t="s">
        <v>2663</v>
      </c>
      <c r="G123" s="9">
        <f>SUMIFS('Inspection Register'!$I$2:$I$100001,'Inspection Register'!$H$2:$H$100001,"Fire Equipment",'Inspection Register'!$C$2:$C$100001,DashYear,'Inspection Register'!$F$2:$F$100001,dCrit)</f>
        <v>0</v>
      </c>
      <c r="H123" s="9">
        <f>SUMIFS('Inspection Register'!$J$2:$J$100001,'Inspection Register'!$H$2:$H$100001,"Fire Equipment",'Inspection Register'!$C$2:$C$100001,DashYear,'Inspection Register'!$F$2:$F$100001,dCrit)</f>
        <v>0</v>
      </c>
      <c r="I123" s="9">
        <f>G123-H123</f>
        <v>0</v>
      </c>
      <c r="K123" s="5" t="s">
        <v>2910</v>
      </c>
      <c r="L123" s="9">
        <f>SUMIFS('Audit Register'!$I$2:$I$100001,'Audit Register'!$G$2:$G$100001,"External Audit",'Audit Register'!$C$2:$C$100001,DashYear,'Audit Register'!$F$2:$F$100001,dCrit)</f>
        <v>0</v>
      </c>
      <c r="M123" s="9">
        <f>SUMIFS('Audit Register'!$J$2:$J$100001,'Audit Register'!$G$2:$G$100001,"External Audit",'Audit Register'!$C$2:$C$100001,DashYear,'Audit Register'!$F$2:$F$100001,dCrit)</f>
        <v>0</v>
      </c>
      <c r="N123" s="9">
        <f>L123-M123</f>
        <v>0</v>
      </c>
    </row>
    <row r="124" spans="6:14">
      <c r="F124" s="5" t="s">
        <v>2651</v>
      </c>
      <c r="G124" s="9">
        <f>SUMIFS('Inspection Register'!$I$2:$I$100001,'Inspection Register'!$H$2:$H$100001,"Electrical Safety",'Inspection Register'!$C$2:$C$100001,DashYear,'Inspection Register'!$F$2:$F$100001,dCrit)</f>
        <v>0</v>
      </c>
      <c r="H124" s="9">
        <f>SUMIFS('Inspection Register'!$J$2:$J$100001,'Inspection Register'!$H$2:$H$100001,"Electrical Safety",'Inspection Register'!$C$2:$C$100001,DashYear,'Inspection Register'!$F$2:$F$100001,dCrit)</f>
        <v>0</v>
      </c>
      <c r="I124" s="9">
        <f>G124-H124</f>
        <v>0</v>
      </c>
      <c r="K124" s="5" t="s">
        <v>2903</v>
      </c>
      <c r="L124" s="9">
        <f>SUMIFS('Audit Register'!$I$2:$I$100001,'Audit Register'!$G$2:$G$100001,"ISO 45001",'Audit Register'!$C$2:$C$100001,DashYear,'Audit Register'!$F$2:$F$100001,dCrit)</f>
        <v>0</v>
      </c>
      <c r="M124" s="9">
        <f>SUMIFS('Audit Register'!$J$2:$J$100001,'Audit Register'!$G$2:$G$100001,"ISO 45001",'Audit Register'!$C$2:$C$100001,DashYear,'Audit Register'!$F$2:$F$100001,dCrit)</f>
        <v>0</v>
      </c>
      <c r="N124" s="9">
        <f>L124-M124</f>
        <v>0</v>
      </c>
    </row>
    <row r="125" spans="6:14">
      <c r="F125" s="5" t="s">
        <v>56</v>
      </c>
      <c r="G125" s="9">
        <f>SUMIFS('Inspection Register'!$I$2:$I$100001,'Inspection Register'!$H$2:$H$100001,"Machine Guarding",'Inspection Register'!$C$2:$C$100001,DashYear,'Inspection Register'!$F$2:$F$100001,dCrit)</f>
        <v>0</v>
      </c>
      <c r="H125" s="9">
        <f>SUMIFS('Inspection Register'!$J$2:$J$100001,'Inspection Register'!$H$2:$H$100001,"Machine Guarding",'Inspection Register'!$C$2:$C$100001,DashYear,'Inspection Register'!$F$2:$F$100001,dCrit)</f>
        <v>0</v>
      </c>
      <c r="I125" s="9">
        <f>G125-H125</f>
        <v>0</v>
      </c>
      <c r="K125" s="5" t="s">
        <v>2897</v>
      </c>
      <c r="L125" s="9">
        <f>SUMIFS('Audit Register'!$I$2:$I$100001,'Audit Register'!$G$2:$G$100001,"FSSAI Safety",'Audit Register'!$C$2:$C$100001,DashYear,'Audit Register'!$F$2:$F$100001,dCrit)</f>
        <v>0</v>
      </c>
      <c r="M125" s="9">
        <f>SUMIFS('Audit Register'!$J$2:$J$100001,'Audit Register'!$G$2:$G$100001,"FSSAI Safety",'Audit Register'!$C$2:$C$100001,DashYear,'Audit Register'!$F$2:$F$100001,dCrit)</f>
        <v>0</v>
      </c>
      <c r="N125" s="9">
        <f>L125-M125</f>
        <v>0</v>
      </c>
    </row>
    <row r="126" spans="6:14">
      <c r="F126" s="5" t="s">
        <v>2660</v>
      </c>
      <c r="G126" s="9">
        <f>SUMIFS('Inspection Register'!$I$2:$I$100001,'Inspection Register'!$H$2:$H$100001,"PPE Inspection",'Inspection Register'!$C$2:$C$100001,DashYear,'Inspection Register'!$F$2:$F$100001,dCrit)</f>
        <v>0</v>
      </c>
      <c r="H126" s="9">
        <f>SUMIFS('Inspection Register'!$J$2:$J$100001,'Inspection Register'!$H$2:$H$100001,"PPE Inspection",'Inspection Register'!$C$2:$C$100001,DashYear,'Inspection Register'!$F$2:$F$100001,dCrit)</f>
        <v>0</v>
      </c>
      <c r="I126" s="9">
        <f>G126-H126</f>
        <v>0</v>
      </c>
      <c r="K126" s="5" t="s">
        <v>2906</v>
      </c>
      <c r="L126" s="9">
        <f>SUMIFS('Audit Register'!$I$2:$I$100001,'Audit Register'!$G$2:$G$100001,"Legal Compliance",'Audit Register'!$C$2:$C$100001,DashYear,'Audit Register'!$F$2:$F$100001,dCrit)</f>
        <v>0</v>
      </c>
      <c r="M126" s="9">
        <f>SUMIFS('Audit Register'!$J$2:$J$100001,'Audit Register'!$G$2:$G$100001,"Legal Compliance",'Audit Register'!$C$2:$C$100001,DashYear,'Audit Register'!$F$2:$F$100001,dCrit)</f>
        <v>0</v>
      </c>
      <c r="N126" s="9">
        <f>L126-M126</f>
        <v>0</v>
      </c>
    </row>
    <row r="127" spans="6:14">
      <c r="F127" s="5" t="s">
        <v>2653</v>
      </c>
      <c r="G127" s="9">
        <f>SUMIFS('Inspection Register'!$I$2:$I$100001,'Inspection Register'!$H$2:$H$100001,"Housekeeping",'Inspection Register'!$C$2:$C$100001,DashYear,'Inspection Register'!$F$2:$F$100001,dCrit)</f>
        <v>0</v>
      </c>
      <c r="H127" s="9">
        <f>SUMIFS('Inspection Register'!$J$2:$J$100001,'Inspection Register'!$H$2:$H$100001,"Housekeeping",'Inspection Register'!$C$2:$C$100001,DashYear,'Inspection Register'!$F$2:$F$100001,dCrit)</f>
        <v>0</v>
      </c>
      <c r="I127" s="9">
        <f>G127-H127</f>
        <v>0</v>
      </c>
      <c r="K127" s="5" t="s">
        <v>2901</v>
      </c>
      <c r="L127" s="9">
        <f>SUMIFS('Audit Register'!$I$2:$I$100001,'Audit Register'!$G$2:$G$100001,"Fire Safety Audit",'Audit Register'!$C$2:$C$100001,DashYear,'Audit Register'!$F$2:$F$100001,dCrit)</f>
        <v>0</v>
      </c>
      <c r="M127" s="9">
        <f>SUMIFS('Audit Register'!$J$2:$J$100001,'Audit Register'!$G$2:$G$100001,"Fire Safety Audit",'Audit Register'!$C$2:$C$100001,DashYear,'Audit Register'!$F$2:$F$100001,dCrit)</f>
        <v>0</v>
      </c>
      <c r="N127" s="9">
        <f>L127-M127</f>
        <v>0</v>
      </c>
    </row>
    <row r="128" spans="6:14">
      <c r="F128" s="5" t="s">
        <v>2666</v>
      </c>
      <c r="G128" s="9">
        <f>SUMIFS('Inspection Register'!$I$2:$I$100001,'Inspection Register'!$H$2:$H$100001,"Ladder/Scaffold",'Inspection Register'!$C$2:$C$100001,DashYear,'Inspection Register'!$F$2:$F$100001,dCrit)</f>
        <v>0</v>
      </c>
      <c r="H128" s="9">
        <f>SUMIFS('Inspection Register'!$J$2:$J$100001,'Inspection Register'!$H$2:$H$100001,"Ladder/Scaffold",'Inspection Register'!$C$2:$C$100001,DashYear,'Inspection Register'!$F$2:$F$100001,dCrit)</f>
        <v>0</v>
      </c>
      <c r="I128" s="9">
        <f>G128-H128</f>
        <v>0</v>
      </c>
      <c r="K128" s="5" t="s">
        <v>2895</v>
      </c>
      <c r="L128" s="9">
        <f>SUMIFS('Audit Register'!$I$2:$I$100001,'Audit Register'!$G$2:$G$100001,"Management Walkthrough",'Audit Register'!$C$2:$C$100001,DashYear,'Audit Register'!$F$2:$F$100001,dCrit)</f>
        <v>0</v>
      </c>
      <c r="M128" s="9">
        <f>SUMIFS('Audit Register'!$J$2:$J$100001,'Audit Register'!$G$2:$G$100001,"Management Walkthrough",'Audit Register'!$C$2:$C$100001,DashYear,'Audit Register'!$F$2:$F$100001,dCrit)</f>
        <v>0</v>
      </c>
      <c r="N128" s="9">
        <f>L128-M128</f>
        <v>0</v>
      </c>
    </row>
  </sheetData>
  <mergeCells count="1">
    <mergeCell ref="B2:H2"/>
  </mergeCells>
  <conditionalFormatting sqref="G46:G55">
    <cfRule type="iconSet" priority="1">
      <iconSet>
        <cfvo type="percent" val="0"/>
        <cfvo type="num" val="70"/>
        <cfvo type="num" val="85"/>
      </iconSet>
    </cfRule>
  </conditionalFormatting>
  <conditionalFormatting sqref="G5:I16">
    <cfRule type="dataBar" priority="2">
      <dataBar>
        <cfvo type="min" val="0"/>
        <cfvo type="max" val="0"/>
        <color rgb="FF0B6EA8"/>
      </dataBar>
    </cfRule>
  </conditionalFormatting>
  <conditionalFormatting sqref="G76:K80">
    <cfRule type="colorScale" priority="4">
      <colorScale>
        <cfvo type="num" val="0"/>
        <cfvo type="percentile" val="50"/>
        <cfvo type="num" val="8"/>
        <color rgb="FFDCFCE7"/>
        <color rgb="FFFEF08A"/>
        <color rgb="FFDC2626"/>
      </colorScale>
    </cfRule>
  </conditionalFormatting>
  <conditionalFormatting sqref="O5:P16">
    <cfRule type="colorScale" priority="3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0F4C81"/>
  </sheetPr>
  <dimension ref="A2:M30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10" customHeight="1"/>
    <row r="3" spans="2:13">
      <c r="B3" s="19" t="s">
        <v>6288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2:1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</row>
    <row r="5" spans="2:1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2:13">
      <c r="B6" s="20" t="s">
        <v>6289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2:13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</row>
    <row r="8" spans="2:13" ht="4" customHeight="1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10" spans="2:13">
      <c r="B10" s="22" t="s">
        <v>6291</v>
      </c>
      <c r="C10" s="22"/>
      <c r="D10" s="22"/>
      <c r="E10" s="22"/>
      <c r="F10" s="22"/>
      <c r="G10" s="22"/>
      <c r="H10" s="22"/>
      <c r="I10" s="23" t="s">
        <v>6290</v>
      </c>
      <c r="K10" s="24">
        <v>46212.83937274788</v>
      </c>
    </row>
    <row r="12" spans="2:13">
      <c r="B12" s="3" t="s">
        <v>6292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4" spans="2:13">
      <c r="B14" s="25" t="s">
        <v>6293</v>
      </c>
      <c r="C14" s="25"/>
      <c r="D14" s="25"/>
      <c r="E14" s="25"/>
      <c r="F14" s="25" t="s">
        <v>6294</v>
      </c>
      <c r="G14" s="25"/>
      <c r="H14" s="25"/>
      <c r="I14" s="25"/>
      <c r="J14" s="25" t="s">
        <v>6295</v>
      </c>
      <c r="K14" s="25"/>
      <c r="L14" s="25"/>
      <c r="M14" s="25"/>
    </row>
    <row r="15" spans="2:13"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</row>
    <row r="17" spans="2:13">
      <c r="B17" s="25" t="s">
        <v>6296</v>
      </c>
      <c r="C17" s="25"/>
      <c r="D17" s="25"/>
      <c r="E17" s="25"/>
      <c r="F17" s="25" t="s">
        <v>6297</v>
      </c>
      <c r="G17" s="25"/>
      <c r="H17" s="25"/>
      <c r="I17" s="25"/>
      <c r="J17" s="25" t="s">
        <v>6269</v>
      </c>
      <c r="K17" s="25"/>
      <c r="L17" s="25"/>
      <c r="M17" s="25"/>
    </row>
    <row r="18" spans="2:13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</row>
    <row r="20" spans="2:13">
      <c r="B20" s="25" t="s">
        <v>6298</v>
      </c>
      <c r="C20" s="25"/>
      <c r="D20" s="25"/>
      <c r="E20" s="25"/>
      <c r="F20" s="25" t="s">
        <v>6299</v>
      </c>
      <c r="G20" s="25"/>
      <c r="H20" s="25"/>
      <c r="I20" s="25"/>
      <c r="J20" s="25" t="s">
        <v>6300</v>
      </c>
      <c r="K20" s="25"/>
      <c r="L20" s="25"/>
      <c r="M20" s="25"/>
    </row>
    <row r="21" spans="2:13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</row>
    <row r="23" spans="2:13">
      <c r="B23" s="3" t="s">
        <v>6301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5" spans="2:13">
      <c r="B25" s="26" t="s">
        <v>6302</v>
      </c>
      <c r="C25" s="26"/>
      <c r="D25" s="26"/>
      <c r="E25" s="26" t="s">
        <v>6303</v>
      </c>
      <c r="F25" s="26"/>
      <c r="G25" s="26"/>
      <c r="H25" s="26" t="s">
        <v>6304</v>
      </c>
      <c r="I25" s="26"/>
      <c r="J25" s="26"/>
      <c r="K25" s="26" t="s">
        <v>6305</v>
      </c>
      <c r="L25" s="26"/>
      <c r="M25" s="26"/>
    </row>
    <row r="26" spans="2:13">
      <c r="B26" s="26" t="s">
        <v>6306</v>
      </c>
      <c r="C26" s="26"/>
      <c r="D26" s="26"/>
      <c r="E26" s="26" t="s">
        <v>6307</v>
      </c>
      <c r="F26" s="26"/>
      <c r="G26" s="26"/>
      <c r="H26" s="26" t="s">
        <v>6308</v>
      </c>
      <c r="I26" s="26"/>
      <c r="J26" s="26"/>
      <c r="K26" s="26" t="s">
        <v>6309</v>
      </c>
      <c r="L26" s="26"/>
      <c r="M26" s="26"/>
    </row>
    <row r="28" spans="2:13">
      <c r="B28" s="22" t="s">
        <v>6310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2:13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2:13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</sheetData>
  <mergeCells count="24">
    <mergeCell ref="B3:M5"/>
    <mergeCell ref="B6:M7"/>
    <mergeCell ref="B8:M8"/>
    <mergeCell ref="B10:H10"/>
    <mergeCell ref="B12:M12"/>
    <mergeCell ref="B14:E15"/>
    <mergeCell ref="F14:I15"/>
    <mergeCell ref="J14:M15"/>
    <mergeCell ref="B17:E18"/>
    <mergeCell ref="F17:I18"/>
    <mergeCell ref="J17:M18"/>
    <mergeCell ref="B20:E21"/>
    <mergeCell ref="F20:I21"/>
    <mergeCell ref="J20:M21"/>
    <mergeCell ref="B23:M23"/>
    <mergeCell ref="B25:D25"/>
    <mergeCell ref="E25:G25"/>
    <mergeCell ref="H25:J25"/>
    <mergeCell ref="K25:M25"/>
    <mergeCell ref="B26:D26"/>
    <mergeCell ref="E26:G26"/>
    <mergeCell ref="H26:J26"/>
    <mergeCell ref="K26:M26"/>
    <mergeCell ref="B28:M30"/>
  </mergeCells>
  <hyperlinks>
    <hyperlink ref="B14" location="'Executive Dashboard'!A1" display="EXECUTIVE"/>
    <hyperlink ref="F14" location="'Incident Dashboard'!A1" display="INCIDENT"/>
    <hyperlink ref="J14" location="'Inspection Dashboard'!A1" display="INSPECTION"/>
    <hyperlink ref="B17" location="'Audit Dashboard'!A1" display="AUDIT"/>
    <hyperlink ref="F17" location="'Training Dashboard'!A1" display="TRAINING"/>
    <hyperlink ref="J17" location="'PTW Dashboard'!A1" display="PTW"/>
    <hyperlink ref="B20" location="'Statutory Dashboard'!A1" display="STATUTORY"/>
    <hyperlink ref="F20" location="'CAPA Dashboard'!A1" display="CAPA"/>
    <hyperlink ref="J20" location="'Department Dashboard'!A1" display="DEPARTMENT"/>
    <hyperlink ref="B25" location="'Calculations'!A1" display="Calculations"/>
    <hyperlink ref="E25" location="'Master Data'!A1" display="Master Data"/>
    <hyperlink ref="H25" location="'Documentation'!A1" display="Documentation"/>
    <hyperlink ref="K25" location="'Instructions'!A1" display="Instructions"/>
    <hyperlink ref="B26" location="'Formula Sheet'!A1" display="Formula Sheet"/>
    <hyperlink ref="E26" location="'Incident Register'!A1" display="Incident Register"/>
    <hyperlink ref="H26" location="'CAPA Tracker'!A1" display="CAPA Tracker"/>
    <hyperlink ref="K26" location="'Audit Register'!A1" display="Audit Register"/>
  </hyperlink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0F4C81"/>
  </sheetPr>
  <dimension ref="A1:S98"/>
  <sheetViews>
    <sheetView showGridLines="0" zoomScale="80" zoomScaleNormal="80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6312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6316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>
      <c r="B12" s="31" t="s">
        <v>188</v>
      </c>
      <c r="C12" s="32" t="s">
        <v>6283</v>
      </c>
      <c r="D12" s="32"/>
      <c r="E12" s="31" t="s">
        <v>189</v>
      </c>
      <c r="F12" s="32" t="s">
        <v>6283</v>
      </c>
      <c r="G12" s="32"/>
      <c r="H12" s="31" t="s">
        <v>191</v>
      </c>
      <c r="I12" s="32" t="s">
        <v>6283</v>
      </c>
      <c r="J12" s="32"/>
      <c r="K12" s="31" t="s">
        <v>192</v>
      </c>
      <c r="L12" s="32" t="s">
        <v>6283</v>
      </c>
      <c r="M12" s="32"/>
      <c r="N12" s="31" t="s">
        <v>193</v>
      </c>
      <c r="O12" s="32" t="s">
        <v>6283</v>
      </c>
      <c r="P12" s="32"/>
    </row>
    <row r="14" spans="1:19">
      <c r="B14" s="3" t="s">
        <v>6317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ht="4" customHeight="1">
      <c r="B15" s="33"/>
      <c r="C15" s="33"/>
      <c r="D15" s="33"/>
      <c r="E15" s="34"/>
      <c r="F15" s="34"/>
      <c r="G15" s="34"/>
      <c r="H15" s="34"/>
      <c r="I15" s="34"/>
      <c r="J15" s="34"/>
      <c r="K15" s="34"/>
      <c r="L15" s="34"/>
      <c r="M15" s="34"/>
      <c r="N15" s="35"/>
      <c r="O15" s="35"/>
      <c r="P15" s="35"/>
    </row>
    <row r="16" spans="1:19">
      <c r="B16" s="36" t="s">
        <v>6318</v>
      </c>
      <c r="C16" s="36"/>
      <c r="D16" s="36"/>
      <c r="E16" s="36" t="s">
        <v>6219</v>
      </c>
      <c r="F16" s="36"/>
      <c r="G16" s="36"/>
      <c r="H16" s="36" t="s">
        <v>6220</v>
      </c>
      <c r="I16" s="36"/>
      <c r="J16" s="36"/>
      <c r="K16" s="36" t="s">
        <v>6320</v>
      </c>
      <c r="L16" s="36"/>
      <c r="M16" s="36"/>
      <c r="N16" s="36" t="s">
        <v>6321</v>
      </c>
      <c r="O16" s="36"/>
      <c r="P16" s="36"/>
    </row>
    <row r="17" spans="2:16">
      <c r="B17" s="37">
        <f>Manhours</f>
        <v>0</v>
      </c>
      <c r="C17" s="37"/>
      <c r="D17" s="37"/>
      <c r="E17" s="38">
        <f>TRIR</f>
        <v>0</v>
      </c>
      <c r="F17" s="38"/>
      <c r="G17" s="38"/>
      <c r="H17" s="38">
        <f>LTIFR</f>
        <v>0</v>
      </c>
      <c r="I17" s="38"/>
      <c r="J17" s="38"/>
      <c r="K17" s="37">
        <f>LTI</f>
        <v>0</v>
      </c>
      <c r="L17" s="37"/>
      <c r="M17" s="37"/>
      <c r="N17" s="37">
        <f>MTC</f>
        <v>0</v>
      </c>
      <c r="O17" s="37"/>
      <c r="P17" s="37"/>
    </row>
    <row r="18" spans="2:16">
      <c r="B18" s="37"/>
      <c r="C18" s="37"/>
      <c r="D18" s="37"/>
      <c r="E18" s="38"/>
      <c r="F18" s="38"/>
      <c r="G18" s="38"/>
      <c r="H18" s="38"/>
      <c r="I18" s="38"/>
      <c r="J18" s="38"/>
      <c r="K18" s="37"/>
      <c r="L18" s="37"/>
      <c r="M18" s="37"/>
      <c r="N18" s="37"/>
      <c r="O18" s="37"/>
      <c r="P18" s="37"/>
    </row>
    <row r="19" spans="2:16">
      <c r="B19" s="39" t="s">
        <v>6319</v>
      </c>
      <c r="C19" s="39"/>
      <c r="D19" s="39"/>
      <c r="E19" s="39" t="s">
        <v>6319</v>
      </c>
      <c r="F19" s="39"/>
      <c r="G19" s="39"/>
      <c r="H19" s="39" t="s">
        <v>6319</v>
      </c>
      <c r="I19" s="39"/>
      <c r="J19" s="39"/>
      <c r="K19" s="39" t="s">
        <v>6319</v>
      </c>
      <c r="L19" s="39"/>
      <c r="M19" s="39"/>
      <c r="N19" s="39" t="s">
        <v>6319</v>
      </c>
      <c r="O19" s="39"/>
      <c r="P19" s="39"/>
    </row>
    <row r="21" spans="2:16" ht="4" customHeight="1">
      <c r="B21" s="35"/>
      <c r="C21" s="35"/>
      <c r="D21" s="35"/>
      <c r="E21" s="33"/>
      <c r="F21" s="33"/>
      <c r="G21" s="33"/>
      <c r="H21" s="34"/>
      <c r="I21" s="34"/>
      <c r="J21" s="34"/>
      <c r="K21" s="40"/>
      <c r="L21" s="40"/>
      <c r="M21" s="40"/>
      <c r="N21" s="35"/>
      <c r="O21" s="35"/>
      <c r="P21" s="35"/>
    </row>
    <row r="22" spans="2:16">
      <c r="B22" s="36" t="s">
        <v>6322</v>
      </c>
      <c r="C22" s="36"/>
      <c r="D22" s="36"/>
      <c r="E22" s="36" t="s">
        <v>6323</v>
      </c>
      <c r="F22" s="36"/>
      <c r="G22" s="36"/>
      <c r="H22" s="36" t="s">
        <v>6324</v>
      </c>
      <c r="I22" s="36"/>
      <c r="J22" s="36"/>
      <c r="K22" s="36" t="s">
        <v>6325</v>
      </c>
      <c r="L22" s="36"/>
      <c r="M22" s="36"/>
      <c r="N22" s="36" t="s">
        <v>6326</v>
      </c>
      <c r="O22" s="36"/>
      <c r="P22" s="36"/>
    </row>
    <row r="23" spans="2:16">
      <c r="B23" s="37">
        <f>FirstAid</f>
        <v>0</v>
      </c>
      <c r="C23" s="37"/>
      <c r="D23" s="37"/>
      <c r="E23" s="37">
        <f>NearMiss</f>
        <v>0</v>
      </c>
      <c r="F23" s="37"/>
      <c r="G23" s="37"/>
      <c r="H23" s="37">
        <f>HiPoNM</f>
        <v>0</v>
      </c>
      <c r="I23" s="37"/>
      <c r="J23" s="37"/>
      <c r="K23" s="37">
        <f>SafetyObs</f>
        <v>0</v>
      </c>
      <c r="L23" s="37"/>
      <c r="M23" s="37"/>
      <c r="N23" s="37">
        <f>UnsafeActs</f>
        <v>0</v>
      </c>
      <c r="O23" s="37"/>
      <c r="P23" s="37"/>
    </row>
    <row r="24" spans="2:16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</row>
    <row r="25" spans="2:16">
      <c r="B25" s="39" t="s">
        <v>6319</v>
      </c>
      <c r="C25" s="39"/>
      <c r="D25" s="39"/>
      <c r="E25" s="39" t="s">
        <v>6319</v>
      </c>
      <c r="F25" s="39"/>
      <c r="G25" s="39"/>
      <c r="H25" s="39" t="s">
        <v>6319</v>
      </c>
      <c r="I25" s="39"/>
      <c r="J25" s="39"/>
      <c r="K25" s="39" t="s">
        <v>6319</v>
      </c>
      <c r="L25" s="39"/>
      <c r="M25" s="39"/>
      <c r="N25" s="39" t="s">
        <v>6319</v>
      </c>
      <c r="O25" s="39"/>
      <c r="P25" s="39"/>
    </row>
    <row r="27" spans="2:16" ht="4" customHeight="1">
      <c r="B27" s="35"/>
      <c r="C27" s="35"/>
      <c r="D27" s="35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</row>
    <row r="28" spans="2:16">
      <c r="B28" s="36" t="s">
        <v>6327</v>
      </c>
      <c r="C28" s="36"/>
      <c r="D28" s="36"/>
      <c r="E28" s="36" t="s">
        <v>6328</v>
      </c>
      <c r="F28" s="36"/>
      <c r="G28" s="36"/>
      <c r="H28" s="36" t="s">
        <v>6329</v>
      </c>
      <c r="I28" s="36"/>
      <c r="J28" s="36"/>
      <c r="K28" s="36" t="s">
        <v>6330</v>
      </c>
      <c r="L28" s="36"/>
      <c r="M28" s="36"/>
      <c r="N28" s="36" t="s">
        <v>6331</v>
      </c>
      <c r="O28" s="36"/>
      <c r="P28" s="36"/>
    </row>
    <row r="29" spans="2:16">
      <c r="B29" s="37">
        <f>UnsafeConds</f>
        <v>0</v>
      </c>
      <c r="C29" s="37"/>
      <c r="D29" s="37"/>
      <c r="E29" s="37">
        <f>GoodCatch</f>
        <v>0</v>
      </c>
      <c r="F29" s="37"/>
      <c r="G29" s="37"/>
      <c r="H29" s="41">
        <f>PTWComp</f>
        <v>0</v>
      </c>
      <c r="I29" s="41"/>
      <c r="J29" s="41"/>
      <c r="K29" s="41">
        <f>InspComp</f>
        <v>0</v>
      </c>
      <c r="L29" s="41"/>
      <c r="M29" s="41"/>
      <c r="N29" s="41">
        <f>AuditComp</f>
        <v>0</v>
      </c>
      <c r="O29" s="41"/>
      <c r="P29" s="41"/>
    </row>
    <row r="30" spans="2:16">
      <c r="B30" s="37"/>
      <c r="C30" s="37"/>
      <c r="D30" s="37"/>
      <c r="E30" s="37"/>
      <c r="F30" s="37"/>
      <c r="G30" s="37"/>
      <c r="H30" s="41"/>
      <c r="I30" s="41"/>
      <c r="J30" s="41"/>
      <c r="K30" s="41"/>
      <c r="L30" s="41"/>
      <c r="M30" s="41"/>
      <c r="N30" s="41"/>
      <c r="O30" s="41"/>
      <c r="P30" s="41"/>
    </row>
    <row r="31" spans="2:16">
      <c r="B31" s="39" t="s">
        <v>6319</v>
      </c>
      <c r="C31" s="39"/>
      <c r="D31" s="39"/>
      <c r="E31" s="39" t="s">
        <v>6319</v>
      </c>
      <c r="F31" s="39"/>
      <c r="G31" s="39"/>
      <c r="H31" s="39" t="s">
        <v>6319</v>
      </c>
      <c r="I31" s="39"/>
      <c r="J31" s="39"/>
      <c r="K31" s="39" t="s">
        <v>6319</v>
      </c>
      <c r="L31" s="39"/>
      <c r="M31" s="39"/>
      <c r="N31" s="39" t="s">
        <v>6319</v>
      </c>
      <c r="O31" s="39"/>
      <c r="P31" s="39"/>
    </row>
    <row r="33" spans="2:19" ht="4" customHeight="1">
      <c r="B33" s="40"/>
      <c r="C33" s="40"/>
      <c r="D33" s="40"/>
      <c r="E33" s="40"/>
      <c r="F33" s="40"/>
      <c r="G33" s="40"/>
      <c r="H33" s="33"/>
      <c r="I33" s="33"/>
      <c r="J33" s="33"/>
      <c r="K33" s="40"/>
      <c r="L33" s="40"/>
      <c r="M33" s="40"/>
      <c r="N33" s="33"/>
      <c r="O33" s="33"/>
      <c r="P33" s="33"/>
    </row>
    <row r="34" spans="2:19">
      <c r="B34" s="36" t="s">
        <v>6332</v>
      </c>
      <c r="C34" s="36"/>
      <c r="D34" s="36"/>
      <c r="E34" s="36" t="s">
        <v>6333</v>
      </c>
      <c r="F34" s="36"/>
      <c r="G34" s="36"/>
      <c r="H34" s="36" t="s">
        <v>6334</v>
      </c>
      <c r="I34" s="36"/>
      <c r="J34" s="36"/>
      <c r="K34" s="36" t="s">
        <v>6335</v>
      </c>
      <c r="L34" s="36"/>
      <c r="M34" s="36"/>
      <c r="N34" s="36" t="s">
        <v>6336</v>
      </c>
      <c r="O34" s="36"/>
      <c r="P34" s="36"/>
    </row>
    <row r="35" spans="2:19">
      <c r="B35" s="41">
        <f>TrainComp</f>
        <v>0</v>
      </c>
      <c r="C35" s="41"/>
      <c r="D35" s="41"/>
      <c r="E35" s="41">
        <f>PPEComp</f>
        <v>0</v>
      </c>
      <c r="F35" s="41"/>
      <c r="G35" s="41"/>
      <c r="H35" s="41">
        <f>StatComp</f>
        <v>0</v>
      </c>
      <c r="I35" s="41"/>
      <c r="J35" s="41"/>
      <c r="K35" s="41">
        <f>ActionClosure</f>
        <v>0</v>
      </c>
      <c r="L35" s="41"/>
      <c r="M35" s="41"/>
      <c r="N35" s="37">
        <f>SafetyScore</f>
        <v>0</v>
      </c>
      <c r="O35" s="37"/>
      <c r="P35" s="37"/>
    </row>
    <row r="36" spans="2:19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37"/>
      <c r="O36" s="37"/>
      <c r="P36" s="37"/>
    </row>
    <row r="37" spans="2:19">
      <c r="B37" s="39" t="s">
        <v>6319</v>
      </c>
      <c r="C37" s="39"/>
      <c r="D37" s="39"/>
      <c r="E37" s="39" t="s">
        <v>6319</v>
      </c>
      <c r="F37" s="39"/>
      <c r="G37" s="39"/>
      <c r="H37" s="39" t="s">
        <v>6319</v>
      </c>
      <c r="I37" s="39"/>
      <c r="J37" s="39"/>
      <c r="K37" s="39" t="s">
        <v>6319</v>
      </c>
      <c r="L37" s="39"/>
      <c r="M37" s="39"/>
      <c r="N37" s="39" t="s">
        <v>6319</v>
      </c>
      <c r="O37" s="39"/>
      <c r="P37" s="39"/>
    </row>
    <row r="40" spans="2:19">
      <c r="B40" s="3" t="s">
        <v>6337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88" spans="2:19">
      <c r="B88" s="3" t="s">
        <v>6338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98" spans="3:16">
      <c r="C98" s="42">
        <f>TrainComp</f>
        <v>0</v>
      </c>
      <c r="D98" s="42"/>
      <c r="G98" s="42">
        <f>PTWComp</f>
        <v>0</v>
      </c>
      <c r="H98" s="42"/>
      <c r="K98" s="42">
        <f>StatComp</f>
        <v>0</v>
      </c>
      <c r="L98" s="42"/>
      <c r="O98" s="42">
        <f>ActionClosure</f>
        <v>0</v>
      </c>
      <c r="P98" s="42"/>
    </row>
  </sheetData>
  <mergeCells count="97">
    <mergeCell ref="B2:M4"/>
    <mergeCell ref="B5:M5"/>
    <mergeCell ref="B6:S6"/>
    <mergeCell ref="N2:S5"/>
    <mergeCell ref="B11:S11"/>
    <mergeCell ref="C12:D12"/>
    <mergeCell ref="F12:G12"/>
    <mergeCell ref="I12:J12"/>
    <mergeCell ref="L12:M12"/>
    <mergeCell ref="O12:P12"/>
    <mergeCell ref="B14:S14"/>
    <mergeCell ref="B15:D15"/>
    <mergeCell ref="B16:D16"/>
    <mergeCell ref="B17:D18"/>
    <mergeCell ref="B19:C19"/>
    <mergeCell ref="E15:G15"/>
    <mergeCell ref="E16:G16"/>
    <mergeCell ref="E17:G18"/>
    <mergeCell ref="E19:F19"/>
    <mergeCell ref="H15:J15"/>
    <mergeCell ref="H16:J16"/>
    <mergeCell ref="H17:J18"/>
    <mergeCell ref="H19:I19"/>
    <mergeCell ref="K15:M15"/>
    <mergeCell ref="K16:M16"/>
    <mergeCell ref="K17:M18"/>
    <mergeCell ref="K19:L19"/>
    <mergeCell ref="N15:P15"/>
    <mergeCell ref="N16:P16"/>
    <mergeCell ref="N17:P18"/>
    <mergeCell ref="N19:O19"/>
    <mergeCell ref="B21:D21"/>
    <mergeCell ref="B22:D22"/>
    <mergeCell ref="B23:D24"/>
    <mergeCell ref="B25:C25"/>
    <mergeCell ref="E21:G21"/>
    <mergeCell ref="E22:G22"/>
    <mergeCell ref="E23:G24"/>
    <mergeCell ref="E25:F25"/>
    <mergeCell ref="H21:J21"/>
    <mergeCell ref="H22:J22"/>
    <mergeCell ref="H23:J24"/>
    <mergeCell ref="H25:I25"/>
    <mergeCell ref="K21:M21"/>
    <mergeCell ref="K22:M22"/>
    <mergeCell ref="K23:M24"/>
    <mergeCell ref="K25:L25"/>
    <mergeCell ref="N21:P21"/>
    <mergeCell ref="N22:P22"/>
    <mergeCell ref="N23:P24"/>
    <mergeCell ref="N25:O25"/>
    <mergeCell ref="B27:D27"/>
    <mergeCell ref="B28:D28"/>
    <mergeCell ref="B29:D30"/>
    <mergeCell ref="B31:C31"/>
    <mergeCell ref="E27:G27"/>
    <mergeCell ref="E28:G28"/>
    <mergeCell ref="E29:G30"/>
    <mergeCell ref="E31:F31"/>
    <mergeCell ref="H27:J27"/>
    <mergeCell ref="H28:J28"/>
    <mergeCell ref="H29:J30"/>
    <mergeCell ref="H31:I31"/>
    <mergeCell ref="K27:M27"/>
    <mergeCell ref="K28:M28"/>
    <mergeCell ref="K29:M30"/>
    <mergeCell ref="K31:L31"/>
    <mergeCell ref="N27:P27"/>
    <mergeCell ref="N28:P28"/>
    <mergeCell ref="N29:P30"/>
    <mergeCell ref="N31:O31"/>
    <mergeCell ref="B33:D33"/>
    <mergeCell ref="B34:D34"/>
    <mergeCell ref="B35:D36"/>
    <mergeCell ref="B37:C37"/>
    <mergeCell ref="E33:G33"/>
    <mergeCell ref="E34:G34"/>
    <mergeCell ref="E35:G36"/>
    <mergeCell ref="E37:F37"/>
    <mergeCell ref="H33:J33"/>
    <mergeCell ref="H34:J34"/>
    <mergeCell ref="H35:J36"/>
    <mergeCell ref="H37:I37"/>
    <mergeCell ref="K33:M33"/>
    <mergeCell ref="K34:M34"/>
    <mergeCell ref="K35:M36"/>
    <mergeCell ref="K37:L37"/>
    <mergeCell ref="N33:P33"/>
    <mergeCell ref="N34:P34"/>
    <mergeCell ref="N35:P36"/>
    <mergeCell ref="N37:O37"/>
    <mergeCell ref="B40:S40"/>
    <mergeCell ref="B88:S88"/>
    <mergeCell ref="C98:D98"/>
    <mergeCell ref="G98:H98"/>
    <mergeCell ref="K98:L98"/>
    <mergeCell ref="O98:P98"/>
  </mergeCells>
  <dataValidations count="5">
    <dataValidation type="list" allowBlank="1" showInputMessage="1" showErrorMessage="1" sqref="C12">
      <formula1>'Master Data'!$Q$5:$Q$8</formula1>
    </dataValidation>
    <dataValidation type="list" allowBlank="1" showInputMessage="1" showErrorMessage="1" sqref="F12">
      <formula1>'Master Data'!$R$5:$R$17</formula1>
    </dataValidation>
    <dataValidation type="list" allowBlank="1" showInputMessage="1" showErrorMessage="1" sqref="I12">
      <formula1>'Master Data'!$S$5:$S$15</formula1>
    </dataValidation>
    <dataValidation type="list" allowBlank="1" showInputMessage="1" showErrorMessage="1" sqref="L12">
      <formula1>'Master Data'!$T$5:$T$17</formula1>
    </dataValidation>
    <dataValidation type="list" allowBlank="1" showInputMessage="1" showErrorMessage="1" sqref="O12">
      <formula1>'Master Data'!$U$5:$U$9</formula1>
    </dataValidation>
  </dataValidation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'Calculations'!Q5:Q16</xm:f>
              <xm:sqref>D37</xm:sqref>
            </x14:sparkline>
          </x14:sparklines>
        </x14:sparklineGroup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'Calculations'!R5:R16</xm:f>
              <xm:sqref>J31</xm:sqref>
            </x14:sparkline>
          </x14:sparklines>
        </x14:sparklineGroup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'Calculations'!L5:L16</xm:f>
              <xm:sqref>G31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'Calculations'!K5:K16</xm:f>
              <xm:sqref>D31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'Calculations'!J5:J16</xm:f>
              <xm:sqref>P25</xm:sqref>
            </x14:sparkline>
          </x14:sparklines>
        </x14:sparklineGroup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'Calculations'!L5:L16</xm:f>
              <xm:sqref>M25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'Calculations'!I5:I16</xm:f>
              <xm:sqref>J25</xm:sqref>
            </x14:sparkline>
          </x14:sparklines>
        </x14:sparklineGroup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'Calculations'!I5:I16</xm:f>
              <xm:sqref>G25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'Calculations'!H5:H16</xm:f>
              <xm:sqref>D25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'Calculations'!G5:G16</xm:f>
              <xm:sqref>P19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'Calculations'!G5:G16</xm:f>
              <xm:sqref>M19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'Calculations'!P5:P16</xm:f>
              <xm:sqref>J19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'Calculations'!O5:O16</xm:f>
              <xm:sqref>G19</xm:sqref>
            </x14:sparkline>
          </x14:sparklines>
        </x14:sparklineGroup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'Calculations'!N5:N16</xm:f>
              <xm:sqref>D19</xm:sqref>
            </x14:sparkline>
          </x14:sparklines>
        </x14:sparklineGroup>
      </x14:sparklineGroups>
    </ext>
  </extLst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DC2626"/>
  </sheetPr>
  <dimension ref="A1:S57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6339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6340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34"/>
      <c r="C12" s="34"/>
      <c r="D12" s="34"/>
      <c r="E12" s="34"/>
      <c r="F12" s="34"/>
      <c r="G12" s="34"/>
      <c r="H12" s="34"/>
      <c r="I12" s="34"/>
      <c r="J12" s="34"/>
      <c r="K12" s="35"/>
      <c r="L12" s="35"/>
      <c r="M12" s="35"/>
      <c r="N12" s="34"/>
      <c r="O12" s="34"/>
      <c r="P12" s="34"/>
    </row>
    <row r="13" spans="1:19">
      <c r="B13" s="36" t="s">
        <v>6219</v>
      </c>
      <c r="C13" s="36"/>
      <c r="D13" s="36"/>
      <c r="E13" s="36" t="s">
        <v>6220</v>
      </c>
      <c r="F13" s="36"/>
      <c r="G13" s="36"/>
      <c r="H13" s="36" t="s">
        <v>6320</v>
      </c>
      <c r="I13" s="36"/>
      <c r="J13" s="36"/>
      <c r="K13" s="36" t="s">
        <v>6321</v>
      </c>
      <c r="L13" s="36"/>
      <c r="M13" s="36"/>
      <c r="N13" s="36" t="s">
        <v>6341</v>
      </c>
      <c r="O13" s="36"/>
      <c r="P13" s="36"/>
    </row>
    <row r="14" spans="1:19">
      <c r="B14" s="38">
        <f>TRIR</f>
        <v>0</v>
      </c>
      <c r="C14" s="38"/>
      <c r="D14" s="38"/>
      <c r="E14" s="38">
        <f>LTIFR</f>
        <v>0</v>
      </c>
      <c r="F14" s="38"/>
      <c r="G14" s="38"/>
      <c r="H14" s="37">
        <f>LTI</f>
        <v>0</v>
      </c>
      <c r="I14" s="37"/>
      <c r="J14" s="37"/>
      <c r="K14" s="37">
        <f>MTC</f>
        <v>0</v>
      </c>
      <c r="L14" s="37"/>
      <c r="M14" s="37"/>
      <c r="N14" s="37">
        <f>Recordable</f>
        <v>0</v>
      </c>
      <c r="O14" s="37"/>
      <c r="P14" s="37"/>
    </row>
    <row r="15" spans="1:19">
      <c r="B15" s="38"/>
      <c r="C15" s="38"/>
      <c r="D15" s="38"/>
      <c r="E15" s="38"/>
      <c r="F15" s="38"/>
      <c r="G15" s="38"/>
      <c r="H15" s="37"/>
      <c r="I15" s="37"/>
      <c r="J15" s="37"/>
      <c r="K15" s="37"/>
      <c r="L15" s="37"/>
      <c r="M15" s="37"/>
      <c r="N15" s="37"/>
      <c r="O15" s="37"/>
      <c r="P15" s="37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 ht="4" customHeight="1">
      <c r="B18" s="35"/>
      <c r="C18" s="35"/>
      <c r="D18" s="35"/>
      <c r="E18" s="33"/>
      <c r="F18" s="33"/>
      <c r="G18" s="33"/>
      <c r="H18" s="34"/>
      <c r="I18" s="34"/>
      <c r="J18" s="34"/>
      <c r="K18" s="35"/>
      <c r="L18" s="35"/>
      <c r="M18" s="35"/>
      <c r="N18" s="34"/>
      <c r="O18" s="34"/>
      <c r="P18" s="34"/>
    </row>
    <row r="19" spans="2:19">
      <c r="B19" s="36" t="s">
        <v>6342</v>
      </c>
      <c r="C19" s="36"/>
      <c r="D19" s="36"/>
      <c r="E19" s="36" t="s">
        <v>6343</v>
      </c>
      <c r="F19" s="36"/>
      <c r="G19" s="36"/>
      <c r="H19" s="36" t="s">
        <v>6324</v>
      </c>
      <c r="I19" s="36"/>
      <c r="J19" s="36"/>
      <c r="K19" s="36" t="s">
        <v>6344</v>
      </c>
      <c r="L19" s="36"/>
      <c r="M19" s="36"/>
      <c r="N19" s="36" t="s">
        <v>6345</v>
      </c>
      <c r="O19" s="36"/>
      <c r="P19" s="36"/>
    </row>
    <row r="20" spans="2:19">
      <c r="B20" s="37">
        <f>FirstAid</f>
        <v>0</v>
      </c>
      <c r="C20" s="37"/>
      <c r="D20" s="37"/>
      <c r="E20" s="37">
        <f>NearMiss</f>
        <v>0</v>
      </c>
      <c r="F20" s="37"/>
      <c r="G20" s="37"/>
      <c r="H20" s="37">
        <f>HiPoNM</f>
        <v>0</v>
      </c>
      <c r="I20" s="37"/>
      <c r="J20" s="37"/>
      <c r="K20" s="38">
        <f>SeverityRate</f>
        <v>0</v>
      </c>
      <c r="L20" s="38"/>
      <c r="M20" s="38"/>
      <c r="N20" s="37">
        <f>LostDays</f>
        <v>0</v>
      </c>
      <c r="O20" s="37"/>
      <c r="P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8"/>
      <c r="L21" s="38"/>
      <c r="M21" s="38"/>
      <c r="N21" s="37"/>
      <c r="O21" s="37"/>
      <c r="P21" s="37"/>
    </row>
    <row r="22" spans="2:19">
      <c r="B22" s="39" t="s">
        <v>6319</v>
      </c>
      <c r="C22" s="39"/>
      <c r="D22" s="39"/>
      <c r="E22" s="39" t="s">
        <v>6319</v>
      </c>
      <c r="F22" s="39"/>
      <c r="G22" s="39"/>
      <c r="H22" s="39" t="s">
        <v>6319</v>
      </c>
      <c r="I22" s="39"/>
      <c r="J22" s="39"/>
      <c r="K22" s="39" t="s">
        <v>6319</v>
      </c>
      <c r="L22" s="39"/>
      <c r="M22" s="39"/>
      <c r="N22" s="39" t="s">
        <v>6319</v>
      </c>
      <c r="O22" s="39"/>
      <c r="P22" s="39"/>
    </row>
    <row r="24" spans="2:19">
      <c r="B24" s="3" t="s">
        <v>6346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57" spans="14:19">
      <c r="N57" s="22" t="s">
        <v>6347</v>
      </c>
      <c r="O57" s="22"/>
      <c r="P57" s="22"/>
      <c r="Q57" s="22"/>
      <c r="R57" s="22"/>
      <c r="S57" s="22"/>
    </row>
  </sheetData>
  <mergeCells count="47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D18"/>
    <mergeCell ref="B19:D19"/>
    <mergeCell ref="B20:D21"/>
    <mergeCell ref="B22:C22"/>
    <mergeCell ref="E18:G18"/>
    <mergeCell ref="E19:G19"/>
    <mergeCell ref="E20:G21"/>
    <mergeCell ref="E22:F22"/>
    <mergeCell ref="H18:J18"/>
    <mergeCell ref="H19:J19"/>
    <mergeCell ref="H20:J21"/>
    <mergeCell ref="H22:I22"/>
    <mergeCell ref="K18:M18"/>
    <mergeCell ref="K19:M19"/>
    <mergeCell ref="K20:M21"/>
    <mergeCell ref="K22:L22"/>
    <mergeCell ref="N18:P18"/>
    <mergeCell ref="N19:P19"/>
    <mergeCell ref="N20:P21"/>
    <mergeCell ref="N22:O22"/>
    <mergeCell ref="B24:S24"/>
    <mergeCell ref="N57:S57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'Calculations'!I5:I16</xm:f>
              <xm:sqref>G22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'Calculations'!H5:H16</xm:f>
              <xm:sqref>D22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'Calculations'!G5:G16</xm:f>
              <xm:sqref>J16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'Calculations'!P5:P16</xm:f>
              <xm:sqref>G16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'Calculations'!O5:O16</xm:f>
              <xm:sqref>D16</xm:sqref>
            </x14:sparkline>
          </x14:sparklines>
        </x14:sparklineGroup>
      </x14:sparklineGroups>
    </ext>
  </extLst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6348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6349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40"/>
      <c r="C12" s="40"/>
      <c r="D12" s="40"/>
      <c r="E12" s="40"/>
      <c r="F12" s="40"/>
      <c r="G12" s="40"/>
      <c r="H12" s="40"/>
      <c r="I12" s="40"/>
      <c r="J12" s="40"/>
      <c r="K12" s="33"/>
      <c r="L12" s="33"/>
      <c r="M12" s="33"/>
      <c r="N12" s="40"/>
      <c r="O12" s="40"/>
      <c r="P12" s="40"/>
    </row>
    <row r="13" spans="1:19">
      <c r="B13" s="36" t="s">
        <v>6330</v>
      </c>
      <c r="C13" s="36"/>
      <c r="D13" s="36"/>
      <c r="E13" s="36" t="s">
        <v>6333</v>
      </c>
      <c r="F13" s="36"/>
      <c r="G13" s="36"/>
      <c r="H13" s="36" t="s">
        <v>6350</v>
      </c>
      <c r="I13" s="36"/>
      <c r="J13" s="36"/>
      <c r="K13" s="36" t="s">
        <v>6336</v>
      </c>
      <c r="L13" s="36"/>
      <c r="M13" s="36"/>
      <c r="N13" s="36" t="s">
        <v>6351</v>
      </c>
      <c r="O13" s="36"/>
      <c r="P13" s="36"/>
    </row>
    <row r="14" spans="1:19">
      <c r="B14" s="41">
        <f>InspComp</f>
        <v>0</v>
      </c>
      <c r="C14" s="41"/>
      <c r="D14" s="41"/>
      <c r="E14" s="41">
        <f>PPEComp</f>
        <v>0</v>
      </c>
      <c r="F14" s="41"/>
      <c r="G14" s="41"/>
      <c r="H14" s="41">
        <f>InspComp</f>
        <v>0</v>
      </c>
      <c r="I14" s="41"/>
      <c r="J14" s="41"/>
      <c r="K14" s="37">
        <f>SafetyScore</f>
        <v>0</v>
      </c>
      <c r="L14" s="37"/>
      <c r="M14" s="37"/>
      <c r="N14" s="37">
        <f>SafetyObs</f>
        <v>0</v>
      </c>
      <c r="O14" s="37"/>
      <c r="P14" s="37"/>
    </row>
    <row r="15" spans="1:19">
      <c r="B15" s="41"/>
      <c r="C15" s="41"/>
      <c r="D15" s="41"/>
      <c r="E15" s="41"/>
      <c r="F15" s="41"/>
      <c r="G15" s="41"/>
      <c r="H15" s="41"/>
      <c r="I15" s="41"/>
      <c r="J15" s="41"/>
      <c r="K15" s="37"/>
      <c r="L15" s="37"/>
      <c r="M15" s="37"/>
      <c r="N15" s="37"/>
      <c r="O15" s="37"/>
      <c r="P15" s="37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</sheetData>
  <mergeCells count="26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'Calculations'!L5:L16</xm:f>
              <xm:sqref>P16</xm:sqref>
            </x14:sparkline>
          </x14:sparklines>
        </x14:sparklineGroup>
      </x14:sparklineGroups>
    </ext>
  </extLst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6352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6353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40"/>
      <c r="C12" s="40"/>
      <c r="D12" s="40"/>
      <c r="E12" s="40"/>
      <c r="F12" s="40"/>
      <c r="G12" s="40"/>
      <c r="H12" s="33"/>
      <c r="I12" s="33"/>
      <c r="J12" s="33"/>
      <c r="K12" s="35"/>
      <c r="L12" s="35"/>
      <c r="M12" s="35"/>
      <c r="N12" s="40"/>
      <c r="O12" s="40"/>
      <c r="P12" s="40"/>
    </row>
    <row r="13" spans="1:19">
      <c r="B13" s="36" t="s">
        <v>6331</v>
      </c>
      <c r="C13" s="36"/>
      <c r="D13" s="36"/>
      <c r="E13" s="36" t="s">
        <v>6335</v>
      </c>
      <c r="F13" s="36"/>
      <c r="G13" s="36"/>
      <c r="H13" s="36" t="s">
        <v>6336</v>
      </c>
      <c r="I13" s="36"/>
      <c r="J13" s="36"/>
      <c r="K13" s="36" t="s">
        <v>6334</v>
      </c>
      <c r="L13" s="36"/>
      <c r="M13" s="36"/>
      <c r="N13" s="36" t="s">
        <v>6329</v>
      </c>
      <c r="O13" s="36"/>
      <c r="P13" s="36"/>
    </row>
    <row r="14" spans="1:19">
      <c r="B14" s="41">
        <f>AuditComp</f>
        <v>0</v>
      </c>
      <c r="C14" s="41"/>
      <c r="D14" s="41"/>
      <c r="E14" s="41">
        <f>ActionClosure</f>
        <v>0</v>
      </c>
      <c r="F14" s="41"/>
      <c r="G14" s="41"/>
      <c r="H14" s="37">
        <f>SafetyScore</f>
        <v>0</v>
      </c>
      <c r="I14" s="37"/>
      <c r="J14" s="37"/>
      <c r="K14" s="41">
        <f>StatComp</f>
        <v>0</v>
      </c>
      <c r="L14" s="41"/>
      <c r="M14" s="41"/>
      <c r="N14" s="41">
        <f>PTWComp</f>
        <v>0</v>
      </c>
      <c r="O14" s="41"/>
      <c r="P14" s="41"/>
    </row>
    <row r="15" spans="1:19">
      <c r="B15" s="41"/>
      <c r="C15" s="41"/>
      <c r="D15" s="41"/>
      <c r="E15" s="41"/>
      <c r="F15" s="41"/>
      <c r="G15" s="41"/>
      <c r="H15" s="37"/>
      <c r="I15" s="37"/>
      <c r="J15" s="37"/>
      <c r="K15" s="41"/>
      <c r="L15" s="41"/>
      <c r="M15" s="41"/>
      <c r="N15" s="41"/>
      <c r="O15" s="41"/>
      <c r="P15" s="41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</sheetData>
  <mergeCells count="26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'Calculations'!R5:R16</xm:f>
              <xm:sqref>P16</xm:sqref>
            </x14:sparkline>
          </x14:sparklines>
        </x14:sparklineGroup>
      </x14:sparklineGroups>
    </ext>
  </extLst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6A34A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6354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6355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40"/>
      <c r="C12" s="40"/>
      <c r="D12" s="40"/>
      <c r="E12" s="33"/>
      <c r="F12" s="33"/>
      <c r="G12" s="33"/>
      <c r="H12" s="40"/>
      <c r="I12" s="40"/>
      <c r="J12" s="40"/>
      <c r="K12" s="40"/>
      <c r="L12" s="40"/>
      <c r="M12" s="40"/>
      <c r="N12" s="33"/>
      <c r="O12" s="33"/>
      <c r="P12" s="33"/>
    </row>
    <row r="13" spans="1:19">
      <c r="B13" s="36" t="s">
        <v>6332</v>
      </c>
      <c r="C13" s="36"/>
      <c r="D13" s="36"/>
      <c r="E13" s="36" t="s">
        <v>6336</v>
      </c>
      <c r="F13" s="36"/>
      <c r="G13" s="36"/>
      <c r="H13" s="36" t="s">
        <v>6351</v>
      </c>
      <c r="I13" s="36"/>
      <c r="J13" s="36"/>
      <c r="K13" s="36" t="s">
        <v>6328</v>
      </c>
      <c r="L13" s="36"/>
      <c r="M13" s="36"/>
      <c r="N13" s="36" t="s">
        <v>6356</v>
      </c>
      <c r="O13" s="36"/>
      <c r="P13" s="36"/>
    </row>
    <row r="14" spans="1:19">
      <c r="B14" s="41">
        <f>TrainComp</f>
        <v>0</v>
      </c>
      <c r="C14" s="41"/>
      <c r="D14" s="41"/>
      <c r="E14" s="37">
        <f>SafetyScore</f>
        <v>0</v>
      </c>
      <c r="F14" s="37"/>
      <c r="G14" s="37"/>
      <c r="H14" s="37">
        <f>SafetyObs</f>
        <v>0</v>
      </c>
      <c r="I14" s="37"/>
      <c r="J14" s="37"/>
      <c r="K14" s="37">
        <f>GoodCatch</f>
        <v>0</v>
      </c>
      <c r="L14" s="37"/>
      <c r="M14" s="37"/>
      <c r="N14" s="38">
        <f>NearMissRate</f>
        <v>0</v>
      </c>
      <c r="O14" s="38"/>
      <c r="P14" s="38"/>
    </row>
    <row r="15" spans="1:19">
      <c r="B15" s="41"/>
      <c r="C15" s="41"/>
      <c r="D15" s="41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</sheetData>
  <mergeCells count="26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'Calculations'!L5:L16</xm:f>
              <xm:sqref>J16</xm:sqref>
            </x14:sparkline>
          </x14:sparklines>
        </x14:sparklineGroup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'Calculations'!Q5:Q16</xm:f>
              <xm:sqref>D16</xm:sqref>
            </x14:sparkline>
          </x14:sparklines>
        </x14:sparklineGroup>
      </x14:sparklineGroups>
    </ext>
  </extLst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F59E0B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6357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6358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40"/>
      <c r="C12" s="40"/>
      <c r="D12" s="40"/>
      <c r="E12" s="33"/>
      <c r="F12" s="33"/>
      <c r="G12" s="33"/>
      <c r="H12" s="33"/>
      <c r="I12" s="33"/>
      <c r="J12" s="33"/>
      <c r="K12" s="35"/>
      <c r="L12" s="35"/>
      <c r="M12" s="35"/>
      <c r="N12" s="40"/>
      <c r="O12" s="40"/>
      <c r="P12" s="40"/>
    </row>
    <row r="13" spans="1:19">
      <c r="B13" s="36" t="s">
        <v>6329</v>
      </c>
      <c r="C13" s="36"/>
      <c r="D13" s="36"/>
      <c r="E13" s="36" t="s">
        <v>6336</v>
      </c>
      <c r="F13" s="36"/>
      <c r="G13" s="36"/>
      <c r="H13" s="36" t="s">
        <v>6343</v>
      </c>
      <c r="I13" s="36"/>
      <c r="J13" s="36"/>
      <c r="K13" s="36" t="s">
        <v>6326</v>
      </c>
      <c r="L13" s="36"/>
      <c r="M13" s="36"/>
      <c r="N13" s="36" t="s">
        <v>6335</v>
      </c>
      <c r="O13" s="36"/>
      <c r="P13" s="36"/>
    </row>
    <row r="14" spans="1:19">
      <c r="B14" s="41">
        <f>PTWComp</f>
        <v>0</v>
      </c>
      <c r="C14" s="41"/>
      <c r="D14" s="41"/>
      <c r="E14" s="37">
        <f>SafetyScore</f>
        <v>0</v>
      </c>
      <c r="F14" s="37"/>
      <c r="G14" s="37"/>
      <c r="H14" s="37">
        <f>NearMiss</f>
        <v>0</v>
      </c>
      <c r="I14" s="37"/>
      <c r="J14" s="37"/>
      <c r="K14" s="37">
        <f>UnsafeActs</f>
        <v>0</v>
      </c>
      <c r="L14" s="37"/>
      <c r="M14" s="37"/>
      <c r="N14" s="41">
        <f>ActionClosure</f>
        <v>0</v>
      </c>
      <c r="O14" s="41"/>
      <c r="P14" s="41"/>
    </row>
    <row r="15" spans="1:19">
      <c r="B15" s="41"/>
      <c r="C15" s="41"/>
      <c r="D15" s="41"/>
      <c r="E15" s="37"/>
      <c r="F15" s="37"/>
      <c r="G15" s="37"/>
      <c r="H15" s="37"/>
      <c r="I15" s="37"/>
      <c r="J15" s="37"/>
      <c r="K15" s="37"/>
      <c r="L15" s="37"/>
      <c r="M15" s="37"/>
      <c r="N15" s="41"/>
      <c r="O15" s="41"/>
      <c r="P15" s="41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</sheetData>
  <mergeCells count="26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'Calculations'!J5:J16</xm:f>
              <xm:sqref>M16</xm:sqref>
            </x14:sparkline>
          </x14:sparklines>
        </x14:sparklineGroup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'Calculations'!I5:I16</xm:f>
              <xm:sqref>J16</xm:sqref>
            </x14:sparkline>
          </x14:sparklines>
        </x14:sparklineGroup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'Calculations'!R5:R16</xm:f>
              <xm:sqref>D16</xm:sqref>
            </x14:sparkline>
          </x14:sparklines>
        </x14:sparklineGroup>
      </x14:sparklineGroups>
    </ext>
  </extLst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334155"/>
  </sheetPr>
  <dimension ref="A1:S19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6359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6360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40"/>
      <c r="C12" s="40"/>
      <c r="D12" s="40"/>
      <c r="E12" s="40"/>
      <c r="F12" s="40"/>
      <c r="G12" s="40"/>
      <c r="H12" s="33"/>
      <c r="I12" s="33"/>
      <c r="J12" s="33"/>
      <c r="K12" s="33"/>
      <c r="L12" s="33"/>
      <c r="M12" s="33"/>
      <c r="N12" s="40"/>
      <c r="O12" s="40"/>
      <c r="P12" s="40"/>
    </row>
    <row r="13" spans="1:19">
      <c r="B13" s="36" t="s">
        <v>6334</v>
      </c>
      <c r="C13" s="36"/>
      <c r="D13" s="36"/>
      <c r="E13" s="36" t="s">
        <v>6335</v>
      </c>
      <c r="F13" s="36"/>
      <c r="G13" s="36"/>
      <c r="H13" s="36" t="s">
        <v>6331</v>
      </c>
      <c r="I13" s="36"/>
      <c r="J13" s="36"/>
      <c r="K13" s="36" t="s">
        <v>6336</v>
      </c>
      <c r="L13" s="36"/>
      <c r="M13" s="36"/>
      <c r="N13" s="36" t="s">
        <v>6333</v>
      </c>
      <c r="O13" s="36"/>
      <c r="P13" s="36"/>
    </row>
    <row r="14" spans="1:19">
      <c r="B14" s="41">
        <f>StatComp</f>
        <v>0</v>
      </c>
      <c r="C14" s="41"/>
      <c r="D14" s="41"/>
      <c r="E14" s="41">
        <f>ActionClosure</f>
        <v>0</v>
      </c>
      <c r="F14" s="41"/>
      <c r="G14" s="41"/>
      <c r="H14" s="41">
        <f>AuditComp</f>
        <v>0</v>
      </c>
      <c r="I14" s="41"/>
      <c r="J14" s="41"/>
      <c r="K14" s="37">
        <f>SafetyScore</f>
        <v>0</v>
      </c>
      <c r="L14" s="37"/>
      <c r="M14" s="37"/>
      <c r="N14" s="41">
        <f>PPEComp</f>
        <v>0</v>
      </c>
      <c r="O14" s="41"/>
      <c r="P14" s="41"/>
    </row>
    <row r="15" spans="1:19">
      <c r="B15" s="41"/>
      <c r="C15" s="41"/>
      <c r="D15" s="41"/>
      <c r="E15" s="41"/>
      <c r="F15" s="41"/>
      <c r="G15" s="41"/>
      <c r="H15" s="41"/>
      <c r="I15" s="41"/>
      <c r="J15" s="41"/>
      <c r="K15" s="37"/>
      <c r="L15" s="37"/>
      <c r="M15" s="37"/>
      <c r="N15" s="41"/>
      <c r="O15" s="41"/>
      <c r="P15" s="41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2:19">
      <c r="H19" s="22" t="s">
        <v>6361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</row>
  </sheetData>
  <mergeCells count="27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  <mergeCell ref="H19:S19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DC2626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6362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6363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40"/>
      <c r="C12" s="40"/>
      <c r="D12" s="40"/>
      <c r="E12" s="40"/>
      <c r="F12" s="40"/>
      <c r="G12" s="40"/>
      <c r="H12" s="33"/>
      <c r="I12" s="33"/>
      <c r="J12" s="33"/>
      <c r="K12" s="33"/>
      <c r="L12" s="33"/>
      <c r="M12" s="33"/>
      <c r="N12" s="34"/>
      <c r="O12" s="34"/>
      <c r="P12" s="34"/>
    </row>
    <row r="13" spans="1:19">
      <c r="B13" s="36" t="s">
        <v>6335</v>
      </c>
      <c r="C13" s="36"/>
      <c r="D13" s="36"/>
      <c r="E13" s="36" t="s">
        <v>6364</v>
      </c>
      <c r="F13" s="36"/>
      <c r="G13" s="36"/>
      <c r="H13" s="36" t="s">
        <v>6336</v>
      </c>
      <c r="I13" s="36"/>
      <c r="J13" s="36"/>
      <c r="K13" s="36" t="s">
        <v>6343</v>
      </c>
      <c r="L13" s="36"/>
      <c r="M13" s="36"/>
      <c r="N13" s="36" t="s">
        <v>6324</v>
      </c>
      <c r="O13" s="36"/>
      <c r="P13" s="36"/>
    </row>
    <row r="14" spans="1:19">
      <c r="B14" s="41">
        <f>ActionClosure</f>
        <v>0</v>
      </c>
      <c r="C14" s="41"/>
      <c r="D14" s="41"/>
      <c r="E14" s="41">
        <f>ObsClosure</f>
        <v>0</v>
      </c>
      <c r="F14" s="41"/>
      <c r="G14" s="41"/>
      <c r="H14" s="37">
        <f>SafetyScore</f>
        <v>0</v>
      </c>
      <c r="I14" s="37"/>
      <c r="J14" s="37"/>
      <c r="K14" s="37">
        <f>NearMiss</f>
        <v>0</v>
      </c>
      <c r="L14" s="37"/>
      <c r="M14" s="37"/>
      <c r="N14" s="37">
        <f>HiPoNM</f>
        <v>0</v>
      </c>
      <c r="O14" s="37"/>
      <c r="P14" s="37"/>
    </row>
    <row r="15" spans="1:19">
      <c r="B15" s="41"/>
      <c r="C15" s="41"/>
      <c r="D15" s="41"/>
      <c r="E15" s="41"/>
      <c r="F15" s="41"/>
      <c r="G15" s="41"/>
      <c r="H15" s="37"/>
      <c r="I15" s="37"/>
      <c r="J15" s="37"/>
      <c r="K15" s="37"/>
      <c r="L15" s="37"/>
      <c r="M15" s="37"/>
      <c r="N15" s="37"/>
      <c r="O15" s="37"/>
      <c r="P15" s="37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</sheetData>
  <mergeCells count="26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'Calculations'!I5:I16</xm:f>
              <xm:sqref>M16</xm:sqref>
            </x14:sparkline>
          </x14:sparklines>
        </x14:sparklineGroup>
      </x14:sparklineGroups>
    </ext>
  </extLst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28515625" customWidth="1"/>
  </cols>
  <sheetData>
    <row r="1" spans="1:19" ht="8" customHeight="1"/>
    <row r="2" spans="1:19">
      <c r="B2" s="27" t="s">
        <v>6311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 t="s">
        <v>6313</v>
      </c>
      <c r="O2" s="28"/>
      <c r="P2" s="28"/>
      <c r="Q2" s="28"/>
      <c r="R2" s="28"/>
      <c r="S2" s="28"/>
    </row>
    <row r="3" spans="1:19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8"/>
      <c r="O3" s="28"/>
      <c r="P3" s="28"/>
      <c r="Q3" s="28"/>
      <c r="R3" s="28"/>
      <c r="S3" s="28"/>
    </row>
    <row r="4" spans="1:19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8"/>
      <c r="O4" s="28"/>
      <c r="P4" s="28"/>
      <c r="Q4" s="28"/>
      <c r="R4" s="28"/>
      <c r="S4" s="28"/>
    </row>
    <row r="5" spans="1:19">
      <c r="B5" s="29" t="s">
        <v>6365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8"/>
      <c r="O5" s="28"/>
      <c r="P5" s="28"/>
      <c r="Q5" s="28"/>
      <c r="R5" s="28"/>
      <c r="S5" s="28"/>
    </row>
    <row r="6" spans="1:19" ht="3" customHeight="1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O7" s="23" t="s">
        <v>6290</v>
      </c>
      <c r="Q7" s="24">
        <f>LastRefresh</f>
        <v>0</v>
      </c>
    </row>
    <row r="9" spans="1:19">
      <c r="A9" s="30" t="s">
        <v>6314</v>
      </c>
      <c r="B9" s="30" t="s">
        <v>6315</v>
      </c>
      <c r="C9" s="30" t="s">
        <v>5928</v>
      </c>
      <c r="D9" s="30" t="s">
        <v>5918</v>
      </c>
      <c r="E9" s="30" t="s">
        <v>5922</v>
      </c>
      <c r="F9" s="30" t="s">
        <v>6270</v>
      </c>
      <c r="G9" s="30" t="s">
        <v>6269</v>
      </c>
      <c r="H9" s="30" t="s">
        <v>2979</v>
      </c>
      <c r="I9" s="30" t="s">
        <v>6299</v>
      </c>
      <c r="J9" s="30" t="s">
        <v>191</v>
      </c>
    </row>
    <row r="11" spans="1:19">
      <c r="B11" s="3" t="s">
        <v>6366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4" customHeight="1">
      <c r="B12" s="33"/>
      <c r="C12" s="33"/>
      <c r="D12" s="33"/>
      <c r="E12" s="34"/>
      <c r="F12" s="34"/>
      <c r="G12" s="34"/>
      <c r="H12" s="33"/>
      <c r="I12" s="33"/>
      <c r="J12" s="33"/>
      <c r="K12" s="40"/>
      <c r="L12" s="40"/>
      <c r="M12" s="40"/>
      <c r="N12" s="35"/>
      <c r="O12" s="35"/>
      <c r="P12" s="35"/>
    </row>
    <row r="13" spans="1:19">
      <c r="B13" s="36" t="s">
        <v>6336</v>
      </c>
      <c r="C13" s="36"/>
      <c r="D13" s="36"/>
      <c r="E13" s="36" t="s">
        <v>6341</v>
      </c>
      <c r="F13" s="36"/>
      <c r="G13" s="36"/>
      <c r="H13" s="36" t="s">
        <v>6343</v>
      </c>
      <c r="I13" s="36"/>
      <c r="J13" s="36"/>
      <c r="K13" s="36" t="s">
        <v>6351</v>
      </c>
      <c r="L13" s="36"/>
      <c r="M13" s="36"/>
      <c r="N13" s="36" t="s">
        <v>6326</v>
      </c>
      <c r="O13" s="36"/>
      <c r="P13" s="36"/>
    </row>
    <row r="14" spans="1:19">
      <c r="B14" s="37">
        <f>SafetyScore</f>
        <v>0</v>
      </c>
      <c r="C14" s="37"/>
      <c r="D14" s="37"/>
      <c r="E14" s="37">
        <f>Recordable</f>
        <v>0</v>
      </c>
      <c r="F14" s="37"/>
      <c r="G14" s="37"/>
      <c r="H14" s="37">
        <f>NearMiss</f>
        <v>0</v>
      </c>
      <c r="I14" s="37"/>
      <c r="J14" s="37"/>
      <c r="K14" s="37">
        <f>SafetyObs</f>
        <v>0</v>
      </c>
      <c r="L14" s="37"/>
      <c r="M14" s="37"/>
      <c r="N14" s="37">
        <f>UnsafeActs</f>
        <v>0</v>
      </c>
      <c r="O14" s="37"/>
      <c r="P14" s="37"/>
    </row>
    <row r="15" spans="1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</row>
    <row r="16" spans="1:19">
      <c r="B16" s="39" t="s">
        <v>6319</v>
      </c>
      <c r="C16" s="39"/>
      <c r="D16" s="39"/>
      <c r="E16" s="39" t="s">
        <v>6319</v>
      </c>
      <c r="F16" s="39"/>
      <c r="G16" s="39"/>
      <c r="H16" s="39" t="s">
        <v>6319</v>
      </c>
      <c r="I16" s="39"/>
      <c r="J16" s="39"/>
      <c r="K16" s="39" t="s">
        <v>6319</v>
      </c>
      <c r="L16" s="39"/>
      <c r="M16" s="39"/>
      <c r="N16" s="39" t="s">
        <v>6319</v>
      </c>
      <c r="O16" s="39"/>
      <c r="P16" s="39"/>
    </row>
    <row r="18" spans="2:19">
      <c r="B18" s="3" t="s">
        <v>6346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</sheetData>
  <mergeCells count="26">
    <mergeCell ref="B2:M4"/>
    <mergeCell ref="B5:M5"/>
    <mergeCell ref="B6:S6"/>
    <mergeCell ref="N2:S5"/>
    <mergeCell ref="B11:S11"/>
    <mergeCell ref="B12:D12"/>
    <mergeCell ref="B13:D13"/>
    <mergeCell ref="B14:D15"/>
    <mergeCell ref="B16:C16"/>
    <mergeCell ref="E12:G12"/>
    <mergeCell ref="E13:G13"/>
    <mergeCell ref="E14:G15"/>
    <mergeCell ref="E16:F16"/>
    <mergeCell ref="H12:J12"/>
    <mergeCell ref="H13:J13"/>
    <mergeCell ref="H14:J15"/>
    <mergeCell ref="H16:I16"/>
    <mergeCell ref="K12:M12"/>
    <mergeCell ref="K13:M13"/>
    <mergeCell ref="K14:M15"/>
    <mergeCell ref="K16:L16"/>
    <mergeCell ref="N12:P12"/>
    <mergeCell ref="N13:P13"/>
    <mergeCell ref="N14:P15"/>
    <mergeCell ref="N16:O16"/>
    <mergeCell ref="B18:S18"/>
  </mergeCells>
  <hyperlinks>
    <hyperlink ref="A9" location="'Home'!A1" display="⌂ Home"/>
    <hyperlink ref="B9" location="'Executive Dashboard'!A1" display="Executive"/>
    <hyperlink ref="C9" location="'Incident Dashboard'!A1" display="Incident"/>
    <hyperlink ref="D9" location="'Inspection Dashboard'!A1" display="Inspection"/>
    <hyperlink ref="E9" location="'Audit Dashboard'!A1" display="Audit"/>
    <hyperlink ref="F9" location="'Training Dashboard'!A1" display="Training"/>
    <hyperlink ref="G9" location="'PTW Dashboard'!A1" display="PTW"/>
    <hyperlink ref="H9" location="'Statutory Dashboard'!A1" display="Statutory"/>
    <hyperlink ref="I9" location="'CAPA Dashboard'!A1" display="CAPA"/>
    <hyperlink ref="J9" location="'Department Dashboard'!A1" display="Department"/>
  </hyperlink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'Calculations'!J5:J16</xm:f>
              <xm:sqref>P16</xm:sqref>
            </x14:sparkline>
          </x14:sparklines>
        </x14:sparklineGroup>
        <x14:sparklineGroup displayEmptyCellsAs="gap" high="1" low="1">
          <x14:colorSeries rgb="FF16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'Calculations'!L5:L16</xm:f>
              <xm:sqref>M16</xm:sqref>
            </x14:sparkline>
          </x14:sparklines>
        </x14:sparklineGroup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'Calculations'!I5:I16</xm:f>
              <xm:sqref>J16</xm:sqref>
            </x14:sparkline>
          </x14:sparklines>
        </x14:sparklineGroup>
      </x14:sparklineGroups>
    </ext>
  </extLst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64748B"/>
  </sheetPr>
  <dimension ref="B2:H23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8" width="16.7109375" customWidth="1"/>
  </cols>
  <sheetData>
    <row r="2" spans="2:8">
      <c r="B2" s="43" t="s">
        <v>6367</v>
      </c>
    </row>
    <row r="3" spans="2:8">
      <c r="B3" s="44" t="s">
        <v>6368</v>
      </c>
    </row>
    <row r="5" spans="2:8">
      <c r="B5" s="44" t="s">
        <v>6369</v>
      </c>
    </row>
    <row r="6" spans="2:8" ht="30" customHeight="1">
      <c r="B6" s="45" t="s">
        <v>6370</v>
      </c>
      <c r="C6" s="45"/>
      <c r="D6" s="45"/>
      <c r="E6" s="45"/>
      <c r="F6" s="45"/>
      <c r="G6" s="45"/>
      <c r="H6" s="45"/>
    </row>
    <row r="7" spans="2:8">
      <c r="B7" s="44" t="s">
        <v>6371</v>
      </c>
    </row>
    <row r="8" spans="2:8" ht="30" customHeight="1">
      <c r="B8" s="46" t="s">
        <v>203</v>
      </c>
      <c r="C8" s="45" t="s">
        <v>6372</v>
      </c>
      <c r="D8" s="45"/>
      <c r="E8" s="45"/>
      <c r="F8" s="45"/>
      <c r="G8" s="45"/>
      <c r="H8" s="45"/>
    </row>
    <row r="9" spans="2:8" ht="30" customHeight="1">
      <c r="B9" s="46" t="s">
        <v>6373</v>
      </c>
      <c r="C9" s="45" t="s">
        <v>6374</v>
      </c>
      <c r="D9" s="45"/>
      <c r="E9" s="45"/>
      <c r="F9" s="45"/>
      <c r="G9" s="45"/>
      <c r="H9" s="45"/>
    </row>
    <row r="10" spans="2:8" ht="30" customHeight="1">
      <c r="B10" s="46" t="s">
        <v>6375</v>
      </c>
      <c r="C10" s="45" t="s">
        <v>6376</v>
      </c>
      <c r="D10" s="45"/>
      <c r="E10" s="45"/>
      <c r="F10" s="45"/>
      <c r="G10" s="45"/>
      <c r="H10" s="45"/>
    </row>
    <row r="11" spans="2:8" ht="30" customHeight="1">
      <c r="B11" s="46" t="s">
        <v>6302</v>
      </c>
      <c r="C11" s="45" t="s">
        <v>6377</v>
      </c>
      <c r="D11" s="45"/>
      <c r="E11" s="45"/>
      <c r="F11" s="45"/>
      <c r="G11" s="45"/>
      <c r="H11" s="45"/>
    </row>
    <row r="12" spans="2:8" ht="30" customHeight="1">
      <c r="B12" s="46" t="s">
        <v>6378</v>
      </c>
      <c r="C12" s="45" t="s">
        <v>6379</v>
      </c>
      <c r="D12" s="45"/>
      <c r="E12" s="45"/>
      <c r="F12" s="45"/>
      <c r="G12" s="45"/>
      <c r="H12" s="45"/>
    </row>
    <row r="13" spans="2:8" ht="30" customHeight="1">
      <c r="B13" s="46" t="s">
        <v>6303</v>
      </c>
      <c r="C13" s="45" t="s">
        <v>6380</v>
      </c>
      <c r="D13" s="45"/>
      <c r="E13" s="45"/>
      <c r="F13" s="45"/>
      <c r="G13" s="45"/>
      <c r="H13" s="45"/>
    </row>
    <row r="14" spans="2:8" ht="30" customHeight="1">
      <c r="B14" s="46" t="s">
        <v>6306</v>
      </c>
      <c r="C14" s="45" t="s">
        <v>6381</v>
      </c>
      <c r="D14" s="45"/>
      <c r="E14" s="45"/>
      <c r="F14" s="45"/>
      <c r="G14" s="45"/>
      <c r="H14" s="45"/>
    </row>
    <row r="15" spans="2:8" ht="30" customHeight="1">
      <c r="B15" s="46" t="s">
        <v>6305</v>
      </c>
      <c r="C15" s="45" t="s">
        <v>6382</v>
      </c>
      <c r="D15" s="45"/>
      <c r="E15" s="45"/>
      <c r="F15" s="45"/>
      <c r="G15" s="45"/>
      <c r="H15" s="45"/>
    </row>
    <row r="16" spans="2:8">
      <c r="B16" s="44" t="s">
        <v>6383</v>
      </c>
    </row>
    <row r="17" spans="2:8" ht="28" customHeight="1">
      <c r="B17" s="46" t="s">
        <v>6219</v>
      </c>
      <c r="C17" s="45" t="s">
        <v>6384</v>
      </c>
      <c r="D17" s="45"/>
      <c r="E17" s="45"/>
      <c r="F17" s="45"/>
      <c r="G17" s="45"/>
      <c r="H17" s="45"/>
    </row>
    <row r="18" spans="2:8" ht="28" customHeight="1">
      <c r="B18" s="46" t="s">
        <v>6220</v>
      </c>
      <c r="C18" s="45" t="s">
        <v>6385</v>
      </c>
      <c r="D18" s="45"/>
      <c r="E18" s="45"/>
      <c r="F18" s="45"/>
      <c r="G18" s="45"/>
      <c r="H18" s="45"/>
    </row>
    <row r="19" spans="2:8" ht="28" customHeight="1">
      <c r="B19" s="46" t="s">
        <v>6386</v>
      </c>
      <c r="C19" s="45" t="s">
        <v>6387</v>
      </c>
      <c r="D19" s="45"/>
      <c r="E19" s="45"/>
      <c r="F19" s="45"/>
      <c r="G19" s="45"/>
      <c r="H19" s="45"/>
    </row>
    <row r="20" spans="2:8" ht="28" customHeight="1">
      <c r="B20" s="46" t="s">
        <v>4656</v>
      </c>
      <c r="C20" s="45" t="s">
        <v>6388</v>
      </c>
      <c r="D20" s="45"/>
      <c r="E20" s="45"/>
      <c r="F20" s="45"/>
      <c r="G20" s="45"/>
      <c r="H20" s="45"/>
    </row>
    <row r="21" spans="2:8" ht="28" customHeight="1">
      <c r="B21" s="46" t="s">
        <v>4633</v>
      </c>
      <c r="C21" s="45" t="s">
        <v>6389</v>
      </c>
      <c r="D21" s="45"/>
      <c r="E21" s="45"/>
      <c r="F21" s="45"/>
      <c r="G21" s="45"/>
      <c r="H21" s="45"/>
    </row>
    <row r="22" spans="2:8">
      <c r="B22" s="44" t="s">
        <v>6390</v>
      </c>
    </row>
    <row r="23" spans="2:8" ht="30" customHeight="1">
      <c r="B23" s="45" t="s">
        <v>6391</v>
      </c>
      <c r="C23" s="45"/>
      <c r="D23" s="45"/>
      <c r="E23" s="45"/>
      <c r="F23" s="45"/>
      <c r="G23" s="45"/>
      <c r="H23" s="45"/>
    </row>
  </sheetData>
  <mergeCells count="15">
    <mergeCell ref="B6:H6"/>
    <mergeCell ref="C8:H8"/>
    <mergeCell ref="C9:H9"/>
    <mergeCell ref="C10:H10"/>
    <mergeCell ref="C11:H11"/>
    <mergeCell ref="C12:H12"/>
    <mergeCell ref="C13:H13"/>
    <mergeCell ref="C14:H14"/>
    <mergeCell ref="C15:H15"/>
    <mergeCell ref="C17:H17"/>
    <mergeCell ref="C18:H18"/>
    <mergeCell ref="C19:H19"/>
    <mergeCell ref="C20:H20"/>
    <mergeCell ref="C21:H21"/>
    <mergeCell ref="B23:H23"/>
  </mergeCells>
  <hyperlinks>
    <hyperlink ref="B3" location="'Home'!A1" display="⌂ Back to Home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16A34A"/>
  </sheetPr>
  <dimension ref="B2:J16"/>
  <sheetViews>
    <sheetView showGridLines="0" workbookViewId="0"/>
  </sheetViews>
  <sheetFormatPr defaultRowHeight="15"/>
  <cols>
    <col min="1" max="1" width="2.7109375" customWidth="1"/>
    <col min="2" max="2" width="6.7109375" customWidth="1"/>
    <col min="3" max="10" width="16.7109375" customWidth="1"/>
  </cols>
  <sheetData>
    <row r="2" spans="2:10">
      <c r="B2" s="43" t="s">
        <v>6392</v>
      </c>
    </row>
    <row r="3" spans="2:10">
      <c r="B3" s="44" t="s">
        <v>6368</v>
      </c>
    </row>
    <row r="5" spans="2:10" ht="30" customHeight="1">
      <c r="B5" s="47">
        <v>1</v>
      </c>
      <c r="C5" s="45" t="s">
        <v>6393</v>
      </c>
      <c r="D5" s="45"/>
      <c r="E5" s="45"/>
      <c r="F5" s="45"/>
      <c r="G5" s="45"/>
      <c r="H5" s="45"/>
      <c r="I5" s="45"/>
      <c r="J5" s="45"/>
    </row>
    <row r="6" spans="2:10" ht="30" customHeight="1">
      <c r="B6" s="47">
        <v>2</v>
      </c>
      <c r="C6" s="45" t="s">
        <v>6394</v>
      </c>
      <c r="D6" s="45"/>
      <c r="E6" s="45"/>
      <c r="F6" s="45"/>
      <c r="G6" s="45"/>
      <c r="H6" s="45"/>
      <c r="I6" s="45"/>
      <c r="J6" s="45"/>
    </row>
    <row r="7" spans="2:10" ht="30" customHeight="1">
      <c r="B7" s="47">
        <v>3</v>
      </c>
      <c r="C7" s="45" t="s">
        <v>6395</v>
      </c>
      <c r="D7" s="45"/>
      <c r="E7" s="45"/>
      <c r="F7" s="45"/>
      <c r="G7" s="45"/>
      <c r="H7" s="45"/>
      <c r="I7" s="45"/>
      <c r="J7" s="45"/>
    </row>
    <row r="8" spans="2:10" ht="30" customHeight="1">
      <c r="B8" s="47">
        <v>4</v>
      </c>
      <c r="C8" s="45" t="s">
        <v>6396</v>
      </c>
      <c r="D8" s="45"/>
      <c r="E8" s="45"/>
      <c r="F8" s="45"/>
      <c r="G8" s="45"/>
      <c r="H8" s="45"/>
      <c r="I8" s="45"/>
      <c r="J8" s="45"/>
    </row>
    <row r="9" spans="2:10" ht="30" customHeight="1">
      <c r="B9" s="47">
        <v>5</v>
      </c>
      <c r="C9" s="45" t="s">
        <v>6397</v>
      </c>
      <c r="D9" s="45"/>
      <c r="E9" s="45"/>
      <c r="F9" s="45"/>
      <c r="G9" s="45"/>
      <c r="H9" s="45"/>
      <c r="I9" s="45"/>
      <c r="J9" s="45"/>
    </row>
    <row r="10" spans="2:10" ht="30" customHeight="1">
      <c r="B10" s="47">
        <v>6</v>
      </c>
      <c r="C10" s="45" t="s">
        <v>6398</v>
      </c>
      <c r="D10" s="45"/>
      <c r="E10" s="45"/>
      <c r="F10" s="45"/>
      <c r="G10" s="45"/>
      <c r="H10" s="45"/>
      <c r="I10" s="45"/>
      <c r="J10" s="45"/>
    </row>
    <row r="11" spans="2:10" ht="30" customHeight="1">
      <c r="B11" s="47">
        <v>7</v>
      </c>
      <c r="C11" s="45" t="s">
        <v>6399</v>
      </c>
      <c r="D11" s="45"/>
      <c r="E11" s="45"/>
      <c r="F11" s="45"/>
      <c r="G11" s="45"/>
      <c r="H11" s="45"/>
      <c r="I11" s="45"/>
      <c r="J11" s="45"/>
    </row>
    <row r="12" spans="2:10" ht="30" customHeight="1">
      <c r="B12" s="47">
        <v>8</v>
      </c>
      <c r="C12" s="45" t="s">
        <v>6400</v>
      </c>
      <c r="D12" s="45"/>
      <c r="E12" s="45"/>
      <c r="F12" s="45"/>
      <c r="G12" s="45"/>
      <c r="H12" s="45"/>
      <c r="I12" s="45"/>
      <c r="J12" s="45"/>
    </row>
    <row r="13" spans="2:10" ht="30" customHeight="1">
      <c r="B13" s="47">
        <v>9</v>
      </c>
      <c r="C13" s="45" t="s">
        <v>6401</v>
      </c>
      <c r="D13" s="45"/>
      <c r="E13" s="45"/>
      <c r="F13" s="45"/>
      <c r="G13" s="45"/>
      <c r="H13" s="45"/>
      <c r="I13" s="45"/>
      <c r="J13" s="45"/>
    </row>
    <row r="14" spans="2:10" ht="30" customHeight="1">
      <c r="B14" s="47">
        <v>10</v>
      </c>
      <c r="C14" s="45" t="s">
        <v>6402</v>
      </c>
      <c r="D14" s="45"/>
      <c r="E14" s="45"/>
      <c r="F14" s="45"/>
      <c r="G14" s="45"/>
      <c r="H14" s="45"/>
      <c r="I14" s="45"/>
      <c r="J14" s="45"/>
    </row>
    <row r="16" spans="2:10" ht="44" customHeight="1">
      <c r="B16" s="22" t="s">
        <v>6403</v>
      </c>
      <c r="C16" s="22"/>
      <c r="D16" s="22"/>
      <c r="E16" s="22"/>
      <c r="F16" s="22"/>
      <c r="G16" s="22"/>
      <c r="H16" s="22"/>
      <c r="I16" s="22"/>
      <c r="J16" s="22"/>
    </row>
  </sheetData>
  <mergeCells count="11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  <mergeCell ref="B16:J16"/>
  </mergeCells>
  <hyperlinks>
    <hyperlink ref="B3" location="'Home'!A1" display="⌂ Back to Home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F4C81"/>
  </sheetPr>
  <dimension ref="B2:D22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3" width="44.7109375" customWidth="1"/>
    <col min="4" max="4" width="52.7109375" customWidth="1"/>
  </cols>
  <sheetData>
    <row r="2" spans="2:4">
      <c r="B2" s="43" t="s">
        <v>6404</v>
      </c>
    </row>
    <row r="3" spans="2:4">
      <c r="B3" s="44" t="s">
        <v>6368</v>
      </c>
    </row>
    <row r="5" spans="2:4">
      <c r="B5" s="4" t="s">
        <v>6405</v>
      </c>
      <c r="C5" s="4" t="s">
        <v>6406</v>
      </c>
      <c r="D5" s="4" t="s">
        <v>6407</v>
      </c>
    </row>
    <row r="6" spans="2:4" ht="26" customHeight="1">
      <c r="B6" s="46" t="s">
        <v>6219</v>
      </c>
      <c r="C6" s="5" t="s">
        <v>6408</v>
      </c>
      <c r="D6" s="5" t="s">
        <v>6409</v>
      </c>
    </row>
    <row r="7" spans="2:4" ht="26" customHeight="1">
      <c r="B7" s="46" t="s">
        <v>6220</v>
      </c>
      <c r="C7" s="5" t="s">
        <v>6410</v>
      </c>
      <c r="D7" s="5" t="s">
        <v>6411</v>
      </c>
    </row>
    <row r="8" spans="2:4" ht="26" customHeight="1">
      <c r="B8" s="46" t="s">
        <v>6386</v>
      </c>
      <c r="C8" s="5" t="s">
        <v>6412</v>
      </c>
      <c r="D8" s="5" t="s">
        <v>6413</v>
      </c>
    </row>
    <row r="9" spans="2:4" ht="26" customHeight="1">
      <c r="B9" s="46" t="s">
        <v>6414</v>
      </c>
      <c r="C9" s="5" t="s">
        <v>6415</v>
      </c>
      <c r="D9" s="5" t="s">
        <v>6416</v>
      </c>
    </row>
    <row r="10" spans="2:4" ht="26" customHeight="1">
      <c r="B10" s="46" t="s">
        <v>6417</v>
      </c>
      <c r="C10" s="5" t="s">
        <v>6418</v>
      </c>
      <c r="D10" s="5" t="s">
        <v>6419</v>
      </c>
    </row>
    <row r="11" spans="2:4" ht="26" customHeight="1">
      <c r="B11" s="46" t="s">
        <v>6189</v>
      </c>
      <c r="C11" s="5" t="s">
        <v>6420</v>
      </c>
      <c r="D11" s="5" t="s">
        <v>6421</v>
      </c>
    </row>
    <row r="12" spans="2:4" ht="26" customHeight="1">
      <c r="B12" s="46" t="s">
        <v>6210</v>
      </c>
      <c r="C12" s="5" t="s">
        <v>6422</v>
      </c>
      <c r="D12" s="5" t="s">
        <v>6423</v>
      </c>
    </row>
    <row r="13" spans="2:4" ht="26" customHeight="1">
      <c r="B13" s="46" t="s">
        <v>6424</v>
      </c>
      <c r="C13" s="5" t="s">
        <v>6425</v>
      </c>
      <c r="D13" s="5" t="s">
        <v>6426</v>
      </c>
    </row>
    <row r="14" spans="2:4" ht="26" customHeight="1">
      <c r="B14" s="46" t="s">
        <v>6427</v>
      </c>
      <c r="C14" s="5" t="s">
        <v>6428</v>
      </c>
      <c r="D14" s="5" t="s">
        <v>6429</v>
      </c>
    </row>
    <row r="15" spans="2:4" ht="26" customHeight="1">
      <c r="B15" s="46" t="s">
        <v>6430</v>
      </c>
      <c r="C15" s="5" t="s">
        <v>6431</v>
      </c>
      <c r="D15" s="5" t="s">
        <v>6432</v>
      </c>
    </row>
    <row r="16" spans="2:4" ht="26" customHeight="1">
      <c r="B16" s="46" t="s">
        <v>6433</v>
      </c>
      <c r="C16" s="5" t="s">
        <v>6428</v>
      </c>
      <c r="D16" s="5" t="s">
        <v>6429</v>
      </c>
    </row>
    <row r="17" spans="2:4" ht="26" customHeight="1">
      <c r="B17" s="46" t="s">
        <v>6434</v>
      </c>
      <c r="C17" s="5" t="s">
        <v>6435</v>
      </c>
      <c r="D17" s="5" t="s">
        <v>6436</v>
      </c>
    </row>
    <row r="18" spans="2:4" ht="26" customHeight="1">
      <c r="B18" s="46" t="s">
        <v>6437</v>
      </c>
      <c r="C18" s="5" t="s">
        <v>6438</v>
      </c>
      <c r="D18" s="5" t="s">
        <v>6426</v>
      </c>
    </row>
    <row r="19" spans="2:4" ht="26" customHeight="1">
      <c r="B19" s="46" t="s">
        <v>6439</v>
      </c>
      <c r="C19" s="5" t="s">
        <v>6440</v>
      </c>
      <c r="D19" s="5" t="s">
        <v>6441</v>
      </c>
    </row>
    <row r="20" spans="2:4" ht="26" customHeight="1">
      <c r="B20" s="46" t="s">
        <v>6442</v>
      </c>
      <c r="C20" s="5" t="s">
        <v>6443</v>
      </c>
      <c r="D20" s="5" t="s">
        <v>6441</v>
      </c>
    </row>
    <row r="21" spans="2:4" ht="26" customHeight="1">
      <c r="B21" s="46" t="s">
        <v>4656</v>
      </c>
      <c r="C21" s="5" t="s">
        <v>6444</v>
      </c>
      <c r="D21" s="5" t="s">
        <v>6445</v>
      </c>
    </row>
    <row r="22" spans="2:4" ht="26" customHeight="1">
      <c r="B22" s="46" t="s">
        <v>6446</v>
      </c>
      <c r="C22" s="5" t="s">
        <v>6447</v>
      </c>
      <c r="D22" s="5" t="s">
        <v>6448</v>
      </c>
    </row>
  </sheetData>
  <hyperlinks>
    <hyperlink ref="B3" location="'Home'!A1" display="⌂ Back to Hom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40</vt:i4>
      </vt:variant>
    </vt:vector>
  </HeadingPairs>
  <TitlesOfParts>
    <vt:vector size="75" baseType="lpstr">
      <vt:lpstr>Incident Register</vt:lpstr>
      <vt:lpstr>First Aid Register</vt:lpstr>
      <vt:lpstr>Near Miss Register</vt:lpstr>
      <vt:lpstr>Safety Observation Register</vt:lpstr>
      <vt:lpstr>Unsafe Act Register</vt:lpstr>
      <vt:lpstr>Unsafe Condition Register</vt:lpstr>
      <vt:lpstr>Inspection Register</vt:lpstr>
      <vt:lpstr>Audit Register</vt:lpstr>
      <vt:lpstr>Statutory Compliance Register</vt:lpstr>
      <vt:lpstr>Permit To Work Register</vt:lpstr>
      <vt:lpstr>Training Register</vt:lpstr>
      <vt:lpstr>PPE Compliance Register</vt:lpstr>
      <vt:lpstr>Contractor Safety Register</vt:lpstr>
      <vt:lpstr>Toolbox Talk Register</vt:lpstr>
      <vt:lpstr>BBS Observation Register</vt:lpstr>
      <vt:lpstr>Emergency Drill Register</vt:lpstr>
      <vt:lpstr>Fire Equipment Inspection</vt:lpstr>
      <vt:lpstr>Risk Assessment Register</vt:lpstr>
      <vt:lpstr>CAPA Tracker</vt:lpstr>
      <vt:lpstr>Man-hours Master</vt:lpstr>
      <vt:lpstr>Master Data</vt:lpstr>
      <vt:lpstr>Calculations</vt:lpstr>
      <vt:lpstr>Home</vt:lpstr>
      <vt:lpstr>Executive Dashboard</vt:lpstr>
      <vt:lpstr>Incident Dashboard</vt:lpstr>
      <vt:lpstr>Inspection Dashboard</vt:lpstr>
      <vt:lpstr>Audit Dashboard</vt:lpstr>
      <vt:lpstr>Training Dashboard</vt:lpstr>
      <vt:lpstr>PTW Dashboard</vt:lpstr>
      <vt:lpstr>Statutory Dashboard</vt:lpstr>
      <vt:lpstr>CAPA Dashboard</vt:lpstr>
      <vt:lpstr>Department Dashboard</vt:lpstr>
      <vt:lpstr>Documentation</vt:lpstr>
      <vt:lpstr>Instructions</vt:lpstr>
      <vt:lpstr>Formula Sheet</vt:lpstr>
      <vt:lpstr>aCrit</vt:lpstr>
      <vt:lpstr>ActionClosure</vt:lpstr>
      <vt:lpstr>AuditComp</vt:lpstr>
      <vt:lpstr>DashYear</vt:lpstr>
      <vt:lpstr>dCrit</vt:lpstr>
      <vt:lpstr>FirstAid</vt:lpstr>
      <vt:lpstr>FrequencyRate</vt:lpstr>
      <vt:lpstr>GoodCatch</vt:lpstr>
      <vt:lpstr>HiPoNM</vt:lpstr>
      <vt:lpstr>InspComp</vt:lpstr>
      <vt:lpstr>LastRefresh</vt:lpstr>
      <vt:lpstr>LostDays</vt:lpstr>
      <vt:lpstr>LTI</vt:lpstr>
      <vt:lpstr>LTIFR</vt:lpstr>
      <vt:lpstr>Manhours</vt:lpstr>
      <vt:lpstr>mCrit</vt:lpstr>
      <vt:lpstr>MTC</vt:lpstr>
      <vt:lpstr>NearMiss</vt:lpstr>
      <vt:lpstr>NearMissRate</vt:lpstr>
      <vt:lpstr>ObsClosure</vt:lpstr>
      <vt:lpstr>PPEComp</vt:lpstr>
      <vt:lpstr>PTWComp</vt:lpstr>
      <vt:lpstr>Recordable</vt:lpstr>
      <vt:lpstr>RWC</vt:lpstr>
      <vt:lpstr>SafetyObs</vt:lpstr>
      <vt:lpstr>SafetyPerfIndex</vt:lpstr>
      <vt:lpstr>SafetyScore</vt:lpstr>
      <vt:lpstr>sCrit</vt:lpstr>
      <vt:lpstr>SelArea</vt:lpstr>
      <vt:lpstr>SelDept</vt:lpstr>
      <vt:lpstr>SelMonth</vt:lpstr>
      <vt:lpstr>SelShift</vt:lpstr>
      <vt:lpstr>SelYear</vt:lpstr>
      <vt:lpstr>SeverityRate</vt:lpstr>
      <vt:lpstr>StatComp</vt:lpstr>
      <vt:lpstr>TrainComp</vt:lpstr>
      <vt:lpstr>TRIR</vt:lpstr>
      <vt:lpstr>UnsafeActs</vt:lpstr>
      <vt:lpstr>UnsafeConds</vt:lpstr>
      <vt:lpstr>yCrit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2026-07-09T20:08:42Z</dcterms:created>
  <dcterms:modified xsi:type="dcterms:W3CDTF">2026-07-09T20:08:42Z</dcterms:modified>
</cp:coreProperties>
</file>