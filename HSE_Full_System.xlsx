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worksheets/sheet30.xml" ContentType="application/vnd.openxmlformats-officedocument.spreadsheetml.worksheet+xml"/>
  <Override PartName="/xl/drawings/drawing4.xml" ContentType="application/vnd.openxmlformats-officedocument.drawing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drawings/drawing6.xml" ContentType="application/vnd.openxmlformats-officedocument.drawing+xml"/>
  <Override PartName="/xl/worksheets/sheet33.xml" ContentType="application/vnd.openxmlformats-officedocument.spreadsheetml.worksheet+xml"/>
  <Override PartName="/xl/drawings/drawing7.xml" ContentType="application/vnd.openxmlformats-officedocument.drawing+xml"/>
  <Override PartName="/xl/worksheets/sheet34.xml" ContentType="application/vnd.openxmlformats-officedocument.spreadsheetml.worksheet+xml"/>
  <Override PartName="/xl/drawings/drawing8.xml" ContentType="application/vnd.openxmlformats-officedocument.drawing+xml"/>
  <Override PartName="/xl/worksheets/sheet35.xml" ContentType="application/vnd.openxmlformats-officedocument.spreadsheetml.worksheet+xml"/>
  <Override PartName="/xl/drawings/drawing9.xml" ContentType="application/vnd.openxmlformats-officedocument.drawing+xml"/>
  <Override PartName="/xl/worksheets/sheet36.xml" ContentType="application/vnd.openxmlformats-officedocument.spreadsheetml.worksheet+xml"/>
  <Override PartName="/xl/drawings/drawing10.xml" ContentType="application/vnd.openxmlformats-officedocument.drawing+xml"/>
  <Override PartName="/xl/worksheets/sheet37.xml" ContentType="application/vnd.openxmlformats-officedocument.spreadsheetml.worksheet+xml"/>
  <Override PartName="/xl/drawings/drawing11.xml" ContentType="application/vnd.openxmlformats-officedocument.drawing+xml"/>
  <Override PartName="/xl/worksheets/sheet38.xml" ContentType="application/vnd.openxmlformats-officedocument.spreadsheetml.worksheet+xml"/>
  <Override PartName="/xl/drawings/drawing12.xml" ContentType="application/vnd.openxmlformats-officedocument.drawing+xml"/>
  <Override PartName="/xl/worksheets/sheet39.xml" ContentType="application/vnd.openxmlformats-officedocument.spreadsheetml.worksheet+xml"/>
  <Override PartName="/xl/drawings/drawing13.xml" ContentType="application/vnd.openxmlformats-officedocument.drawing+xml"/>
  <Override PartName="/xl/worksheets/sheet40.xml" ContentType="application/vnd.openxmlformats-officedocument.spreadsheetml.worksheet+xml"/>
  <Override PartName="/xl/drawings/drawing14.xml" ContentType="application/vnd.openxmlformats-officedocument.drawing+xml"/>
  <Override PartName="/xl/worksheets/sheet41.xml" ContentType="application/vnd.openxmlformats-officedocument.spreadsheetml.worksheet+xml"/>
  <Override PartName="/xl/drawings/drawing15.xml" ContentType="application/vnd.openxmlformats-officedocument.drawing+xml"/>
  <Override PartName="/xl/worksheets/sheet42.xml" ContentType="application/vnd.openxmlformats-officedocument.spreadsheetml.worksheet+xml"/>
  <Override PartName="/xl/drawings/drawing16.xml" ContentType="application/vnd.openxmlformats-officedocument.drawing+xml"/>
  <Override PartName="/xl/worksheets/sheet43.xml" ContentType="application/vnd.openxmlformats-officedocument.spreadsheetml.worksheet+xml"/>
  <Override PartName="/xl/drawings/drawing17.xml" ContentType="application/vnd.openxmlformats-officedocument.drawing+xml"/>
  <Override PartName="/xl/worksheets/sheet44.xml" ContentType="application/vnd.openxmlformats-officedocument.spreadsheetml.worksheet+xml"/>
  <Override PartName="/xl/drawings/drawing18.xml" ContentType="application/vnd.openxmlformats-officedocument.drawing+xml"/>
  <Override PartName="/xl/worksheets/sheet45.xml" ContentType="application/vnd.openxmlformats-officedocument.spreadsheetml.worksheet+xml"/>
  <Override PartName="/xl/drawings/drawing19.xml" ContentType="application/vnd.openxmlformats-officedocument.drawing+xml"/>
  <Override PartName="/xl/worksheets/sheet46.xml" ContentType="application/vnd.openxmlformats-officedocument.spreadsheetml.worksheet+xml"/>
  <Override PartName="/xl/drawings/drawing20.xml" ContentType="application/vnd.openxmlformats-officedocument.drawing+xml"/>
  <Override PartName="/xl/worksheets/sheet47.xml" ContentType="application/vnd.openxmlformats-officedocument.spreadsheetml.worksheet+xml"/>
  <Override PartName="/xl/drawings/drawing21.xml" ContentType="application/vnd.openxmlformats-officedocument.drawing+xml"/>
  <Override PartName="/xl/worksheets/sheet48.xml" ContentType="application/vnd.openxmlformats-officedocument.spreadsheetml.worksheet+xml"/>
  <Override PartName="/xl/drawings/drawing22.xml" ContentType="application/vnd.openxmlformats-officedocument.drawing+xml"/>
  <Override PartName="/xl/worksheets/sheet49.xml" ContentType="application/vnd.openxmlformats-officedocument.spreadsheetml.worksheet+xml"/>
  <Override PartName="/xl/drawings/drawing23.xml" ContentType="application/vnd.openxmlformats-officedocument.drawing+xml"/>
  <Override PartName="/xl/worksheets/sheet50.xml" ContentType="application/vnd.openxmlformats-officedocument.spreadsheetml.worksheet+xml"/>
  <Override PartName="/xl/drawings/drawing24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41" activeTab="41" autoFilterDateGrouping="1"/>
  </bookViews>
  <sheets>
    <sheet name="06_Executive_Dashboard" sheetId="1" state="visible" r:id="rId1"/>
    <sheet name="01_Master_Data" sheetId="2" state="visible" r:id="rId2"/>
    <sheet name="08_Settings" sheetId="3" state="visible" r:id="rId3"/>
    <sheet name="09_Help" sheetId="4" state="visible" r:id="rId4"/>
    <sheet name="Toolbox Talks" sheetId="5" state="visible" r:id="rId5"/>
    <sheet name="JSA Risk Assessment" sheetId="6" state="visible" r:id="rId6"/>
    <sheet name="Training" sheetId="7" state="visible" r:id="rId7"/>
    <sheet name="HSE Observations" sheetId="8" state="visible" r:id="rId8"/>
    <sheet name="Workplace Inspections" sheetId="9" state="visible" r:id="rId9"/>
    <sheet name="Equipment Inspections" sheetId="10" state="visible" r:id="rId10"/>
    <sheet name="Safety Walkthroughs" sheetId="11" state="visible" r:id="rId11"/>
    <sheet name="Safety Meetings" sheetId="12" state="visible" r:id="rId12"/>
    <sheet name="Safety Bulletins" sheetId="13" state="visible" r:id="rId13"/>
    <sheet name="Emergency Drills" sheetId="14" state="visible" r:id="rId14"/>
    <sheet name="Internal Audits" sheetId="15" state="visible" r:id="rId15"/>
    <sheet name="External Audits" sheetId="16" state="visible" r:id="rId16"/>
    <sheet name="Management Visits" sheetId="17" state="visible" r:id="rId17"/>
    <sheet name="Management Reviews" sheetId="18" state="visible" r:id="rId18"/>
    <sheet name="Disciplinary Actions" sheetId="19" state="visible" r:id="rId19"/>
    <sheet name="Safety Awards" sheetId="20" state="visible" r:id="rId20"/>
    <sheet name="Stop Work Authority" sheetId="21" state="visible" r:id="rId21"/>
    <sheet name="Alcohol Tests" sheetId="22" state="visible" r:id="rId22"/>
    <sheet name="PTW Audits" sheetId="23" state="visible" r:id="rId23"/>
    <sheet name="Corrective Actions" sheetId="24" state="visible" r:id="rId24"/>
    <sheet name="NC Management" sheetId="25" state="visible" r:id="rId25"/>
    <sheet name="Unsafe Acts" sheetId="26" state="visible" r:id="rId26"/>
    <sheet name="Unsafe Conditions" sheetId="27" state="visible" r:id="rId27"/>
    <sheet name="Dashboard – Training" sheetId="28" state="visible" r:id="rId28"/>
    <sheet name="Dashboard – Toolbox Talks" sheetId="29" state="visible" r:id="rId29"/>
    <sheet name="Dashboard – JSA Risk" sheetId="30" state="visible" r:id="rId30"/>
    <sheet name="Dashboard – HSE Observations" sheetId="31" state="visible" r:id="rId31"/>
    <sheet name="Dashboard – Workplace Insp" sheetId="32" state="visible" r:id="rId32"/>
    <sheet name="Dashboard – Equipment Insp" sheetId="33" state="visible" r:id="rId33"/>
    <sheet name="Dashboard – Walkthroughs" sheetId="34" state="visible" r:id="rId34"/>
    <sheet name="Dashboard – Safety Meetings" sheetId="35" state="visible" r:id="rId35"/>
    <sheet name="Dashboard – Bulletins" sheetId="36" state="visible" r:id="rId36"/>
    <sheet name="Dashboard – Emergency Drills" sheetId="37" state="visible" r:id="rId37"/>
    <sheet name="Dashboard – Internal Audits" sheetId="38" state="visible" r:id="rId38"/>
    <sheet name="Dashboard – External Audits" sheetId="39" state="visible" r:id="rId39"/>
    <sheet name="Dashboard – Mgmt Visits" sheetId="40" state="visible" r:id="rId40"/>
    <sheet name="Dashboard – Mgmt Reviews" sheetId="41" state="visible" r:id="rId41"/>
    <sheet name="Dashboard – Disciplinary" sheetId="42" state="visible" r:id="rId42"/>
    <sheet name="Dashboard – Safety Awards" sheetId="43" state="visible" r:id="rId43"/>
    <sheet name="Dashboard – Stop Work" sheetId="44" state="visible" r:id="rId44"/>
    <sheet name="Dashboard – Alcohol Tests" sheetId="45" state="visible" r:id="rId45"/>
    <sheet name="Dashboard – PTW Audits" sheetId="46" state="visible" r:id="rId46"/>
    <sheet name="Dashboard – Corrective Actions" sheetId="47" state="visible" r:id="rId47"/>
    <sheet name="Dashboard – NC Management" sheetId="48" state="visible" r:id="rId48"/>
    <sheet name="Dashboard – Unsafe Acts" sheetId="49" state="visible" r:id="rId49"/>
    <sheet name="Dashboard – Unsafe Conditions" sheetId="50" state="visible" r:id="rId50"/>
    <sheet name="Incident" sheetId="51" state="visible" r:id="rId51"/>
    <sheet name="Dashboard – Incident" sheetId="52" state="visible" r:id="rId52"/>
  </sheets>
  <definedNames>
    <definedName name="L_Topic">'01_Master_Data'!$A$4:INDEX('01_Master_Data'!$A$4:$A$103,COUNTA('01_Master_Data'!$A$4:$A$103))</definedName>
    <definedName name="L_Department">'01_Master_Data'!$B$4:INDEX('01_Master_Data'!$B$4:$B$103,COUNTA('01_Master_Data'!$B$4:$B$103))</definedName>
    <definedName name="L_Location">'01_Master_Data'!$C$4:INDEX('01_Master_Data'!$C$4:$C$103,COUNTA('01_Master_Data'!$C$4:$C$103))</definedName>
    <definedName name="L_Safety_Category">'01_Master_Data'!$D$4:INDEX('01_Master_Data'!$D$4:$D$103,COUNTA('01_Master_Data'!$D$4:$D$103))</definedName>
    <definedName name="L_Action_Required">'01_Master_Data'!$E$4:INDEX('01_Master_Data'!$E$4:$E$103,COUNTA('01_Master_Data'!$E$4:$E$103))</definedName>
    <definedName name="L_Risk_Level">'01_Master_Data'!$F$4:INDEX('01_Master_Data'!$F$4:$F$103,COUNTA('01_Master_Data'!$F$4:$F$103))</definedName>
    <definedName name="L_Assessment_Type">'01_Master_Data'!$G$4:INDEX('01_Master_Data'!$G$4:$G$103,COUNTA('01_Master_Data'!$G$4:$G$103))</definedName>
    <definedName name="L_Approval_Status">'01_Master_Data'!$H$4:INDEX('01_Master_Data'!$H$4:$H$103,COUNTA('01_Master_Data'!$H$4:$H$103))</definedName>
    <definedName name="L_Training_Type">'01_Master_Data'!$I$4:INDEX('01_Master_Data'!$I$4:$I$103,COUNTA('01_Master_Data'!$I$4:$I$103))</definedName>
    <definedName name="L_Mode">'01_Master_Data'!$J$4:INDEX('01_Master_Data'!$J$4:$J$103,COUNTA('01_Master_Data'!$J$4:$J$103))</definedName>
    <definedName name="L_Status">'01_Master_Data'!$K$4:INDEX('01_Master_Data'!$K$4:$K$103,COUNTA('01_Master_Data'!$K$4:$K$103))</definedName>
    <definedName name="L_Assessment_Result">'01_Master_Data'!$L$4:INDEX('01_Master_Data'!$L$4:$L$103,COUNTA('01_Master_Data'!$L$4:$L$103))</definedName>
    <definedName name="L_Observation_Type">'01_Master_Data'!$M$4:INDEX('01_Master_Data'!$M$4:$M$103,COUNTA('01_Master_Data'!$M$4:$M$103))</definedName>
    <definedName name="L_Category">'01_Master_Data'!$N$4:INDEX('01_Master_Data'!$N$4:$N$103,COUNTA('01_Master_Data'!$N$4:$N$103))</definedName>
    <definedName name="L_Overall_Rating">'01_Master_Data'!$O$4:INDEX('01_Master_Data'!$O$4:$O$103,COUNTA('01_Master_Data'!$O$4:$O$103))</definedName>
    <definedName name="L_Frequency">'01_Master_Data'!$P$4:INDEX('01_Master_Data'!$P$4:$P$103,COUNTA('01_Master_Data'!$P$4:$P$103))</definedName>
    <definedName name="L_Type">'01_Master_Data'!$Q$4:INDEX('01_Master_Data'!$Q$4:$Q$103,COUNTA('01_Master_Data'!$Q$4:$Q$103))</definedName>
    <definedName name="L_Distribution_Method">'01_Master_Data'!$R$4:INDEX('01_Master_Data'!$R$4:$R$103,COUNTA('01_Master_Data'!$R$4:$R$103))</definedName>
    <definedName name="L_Status_2">'01_Master_Data'!$S$4:INDEX('01_Master_Data'!$S$4:$S$103,COUNTA('01_Master_Data'!$S$4:$S$103))</definedName>
    <definedName name="L_Drill_Type">'01_Master_Data'!$T$4:INDEX('01_Master_Data'!$T$4:$T$103,COUNTA('01_Master_Data'!$T$4:$T$103))</definedName>
    <definedName name="L_Overall_Rating_2">'01_Master_Data'!$U$4:INDEX('01_Master_Data'!$U$4:$U$103,COUNTA('01_Master_Data'!$U$4:$U$103))</definedName>
    <definedName name="L_Status_3">'01_Master_Data'!$V$4:INDEX('01_Master_Data'!$V$4:$V$103,COUNTA('01_Master_Data'!$V$4:$V$103))</definedName>
    <definedName name="L_Audit_Type">'01_Master_Data'!$W$4:INDEX('01_Master_Data'!$W$4:$W$103,COUNTA('01_Master_Data'!$W$4:$W$103))</definedName>
    <definedName name="L_Status_4">'01_Master_Data'!$X$4:INDEX('01_Master_Data'!$X$4:$X$103,COUNTA('01_Master_Data'!$X$4:$X$103))</definedName>
    <definedName name="L_Visit_Type">'01_Master_Data'!$Y$4:INDEX('01_Master_Data'!$Y$4:$Y$103,COUNTA('01_Master_Data'!$Y$4:$Y$103))</definedName>
    <definedName name="L_Status_5">'01_Master_Data'!$Z$4:INDEX('01_Master_Data'!$Z$4:$Z$103,COUNTA('01_Master_Data'!$Z$4:$Z$103))</definedName>
    <definedName name="L_Violation_Type">'01_Master_Data'!$AA$4:INDEX('01_Master_Data'!$AA$4:$AA$103,COUNTA('01_Master_Data'!$AA$4:$AA$103))</definedName>
    <definedName name="L_Action_Taken">'01_Master_Data'!$AB$4:INDEX('01_Master_Data'!$AB$4:$AB$103,COUNTA('01_Master_Data'!$AB$4:$AB$103))</definedName>
    <definedName name="L_Offense_Level">'01_Master_Data'!$AC$4:INDEX('01_Master_Data'!$AC$4:$AC$103,COUNTA('01_Master_Data'!$AC$4:$AC$103))</definedName>
    <definedName name="L_Status_6">'01_Master_Data'!$AD$4:INDEX('01_Master_Data'!$AD$4:$AD$103,COUNTA('01_Master_Data'!$AD$4:$AD$103))</definedName>
    <definedName name="L_Award_Category">'01_Master_Data'!$AE$4:INDEX('01_Master_Data'!$AE$4:$AE$103,COUNTA('01_Master_Data'!$AE$4:$AE$103))</definedName>
    <definedName name="L_Reward_Type">'01_Master_Data'!$AF$4:INDEX('01_Master_Data'!$AF$4:$AF$103,COUNTA('01_Master_Data'!$AF$4:$AF$103))</definedName>
    <definedName name="L_Status_7">'01_Master_Data'!$AG$4:INDEX('01_Master_Data'!$AG$4:$AG$103,COUNTA('01_Master_Data'!$AG$4:$AG$103))</definedName>
    <definedName name="L_Severity">'01_Master_Data'!$AH$4:INDEX('01_Master_Data'!$AH$4:$AH$103,COUNTA('01_Master_Data'!$AH$4:$AH$103))</definedName>
    <definedName name="L_Resolution">'01_Master_Data'!$AI$4:INDEX('01_Master_Data'!$AI$4:$AI$103,COUNTA('01_Master_Data'!$AI$4:$AI$103))</definedName>
    <definedName name="L_Test_Type">'01_Master_Data'!$AJ$4:INDEX('01_Master_Data'!$AJ$4:$AJ$103,COUNTA('01_Master_Data'!$AJ$4:$AJ$103))</definedName>
    <definedName name="L_Result">'01_Master_Data'!$AK$4:INDEX('01_Master_Data'!$AK$4:$AK$103,COUNTA('01_Master_Data'!$AK$4:$AK$103))</definedName>
    <definedName name="L_Permit_Type_Audited">'01_Master_Data'!$AL$4:INDEX('01_Master_Data'!$AL$4:$AL$103,COUNTA('01_Master_Data'!$AL$4:$AL$103))</definedName>
    <definedName name="L_Verdict">'01_Master_Data'!$AM$4:INDEX('01_Master_Data'!$AM$4:$AM$103,COUNTA('01_Master_Data'!$AM$4:$AM$103))</definedName>
    <definedName name="L_Source">'01_Master_Data'!$AN$4:INDEX('01_Master_Data'!$AN$4:$AN$103,COUNTA('01_Master_Data'!$AN$4:$AN$103))</definedName>
    <definedName name="L_Source_2">'01_Master_Data'!$AO$4:INDEX('01_Master_Data'!$AO$4:$AO$103,COUNTA('01_Master_Data'!$AO$4:$AO$103))</definedName>
    <definedName name="L_Severity_2">'01_Master_Data'!$AP$4:INDEX('01_Master_Data'!$AP$4:$AP$103,COUNTA('01_Master_Data'!$AP$4:$AP$103))</definedName>
    <definedName name="L_Status_8">'01_Master_Data'!$AQ$4:INDEX('01_Master_Data'!$AQ$4:$AQ$103,COUNTA('01_Master_Data'!$AQ$4:$AQ$103))</definedName>
    <definedName name="L_Immediate_Action">'01_Master_Data'!$AR$4:INDEX('01_Master_Data'!$AR$4:$AR$103,COUNTA('01_Master_Data'!$AR$4:$AR$103))</definedName>
    <definedName name="FY_Start">'08_Settings'!$C$11</definedName>
    <definedName name="Man_Hours">'08_Settings'!$C$12</definedName>
    <definedName name="TRIR_Mult">'08_Settings'!$C$13</definedName>
    <definedName name="LTIFR_Mult">'08_Settings'!$C$14</definedName>
    <definedName name="Tgt_ObsClosure">'08_Settings'!$C$17</definedName>
    <definedName name="Tgt_Training">'08_Settings'!$C$18</definedName>
    <definedName name="Tgt_CAClosure">'08_Settings'!$C$19</definedName>
    <definedName name="Tgt_TRIR">'08_Settings'!$C$20</definedName>
    <definedName name="RAG_Amber">'08_Settings'!$C$21</definedName>
    <definedName name="L_Area">'01_Master_Data'!$AT$4:INDEX('01_Master_Data'!$AT$4:$AT$103,COUNTA('01_Master_Data'!$AT$4:$AT$103))</definedName>
    <definedName name="L_ProdLine">'01_Master_Data'!$AU$4:INDEX('01_Master_Data'!$AU$4:$AU$103,COUNTA('01_Master_Data'!$AU$4:$AU$103))</definedName>
    <definedName name="L_Shift">'01_Master_Data'!$AV$4:INDEX('01_Master_Data'!$AV$4:$AV$103,COUNTA('01_Master_Data'!$AV$4:$AV$103))</definedName>
    <definedName name="L_IncidentType">'01_Master_Data'!$AW$4:INDEX('01_Master_Data'!$AW$4:$AW$103,COUNTA('01_Master_Data'!$AW$4:$AW$103))</definedName>
    <definedName name="L_IncClass">'01_Master_Data'!$AX$4:INDEX('01_Master_Data'!$AX$4:$AX$103,COUNTA('01_Master_Data'!$AX$4:$AX$103))</definedName>
    <definedName name="L_PersonType">'01_Master_Data'!$AY$4:INDEX('01_Master_Data'!$AY$4:$AY$103,COUNTA('01_Master_Data'!$AY$4:$AY$103))</definedName>
    <definedName name="L_BodyPart">'01_Master_Data'!$AZ$4:INDEX('01_Master_Data'!$AZ$4:$AZ$103,COUNTA('01_Master_Data'!$AZ$4:$AZ$103))</definedName>
    <definedName name="L_RootCause">'01_Master_Data'!$BA$4:INDEX('01_Master_Data'!$BA$4:$BA$103,COUNTA('01_Master_Data'!$BA$4:$BA$103))</definedName>
    <definedName name="L_RiskRating">'01_Master_Data'!$BB$4:INDEX('01_Master_Data'!$BB$4:$BB$103,COUNTA('01_Master_Data'!$BB$4:$BB$103))</definedName>
    <definedName name="L_IncStatus">'01_Master_Data'!$BC$4:INDEX('01_Master_Data'!$BC$4:$BC$103,COUNTA('01_Master_Data'!$BC$4:$BC$103))</definedName>
    <definedName name="_xlnm._FilterDatabase" localSheetId="4" hidden="1">'Toolbox Talks'!$A$4:$O$25</definedName>
    <definedName name="_xlnm._FilterDatabase" localSheetId="5" hidden="1">'JSA Risk Assessment'!$A$4:$O$23</definedName>
    <definedName name="_xlnm._FilterDatabase" localSheetId="6" hidden="1">'Training'!$A$4:$P$25</definedName>
    <definedName name="_xlnm._FilterDatabase" localSheetId="7" hidden="1">'HSE Observations'!$A$4:$O$25</definedName>
    <definedName name="_xlnm._FilterDatabase" localSheetId="8" hidden="1">'Workplace Inspections'!$A$4:$O$23</definedName>
    <definedName name="_xlnm._FilterDatabase" localSheetId="9" hidden="1">'Equipment Inspections'!$A$4:$O$23</definedName>
    <definedName name="_xlnm._FilterDatabase" localSheetId="10" hidden="1">'Safety Walkthroughs'!$A$4:$O$20</definedName>
    <definedName name="_xlnm._FilterDatabase" localSheetId="11" hidden="1">'Safety Meetings'!$A$4:$P$23</definedName>
    <definedName name="_xlnm._FilterDatabase" localSheetId="12" hidden="1">'Safety Bulletins'!$A$4:$N$20</definedName>
    <definedName name="_xlnm._FilterDatabase" localSheetId="13" hidden="1">'Emergency Drills'!$A$4:$O$17</definedName>
    <definedName name="_xlnm._FilterDatabase" localSheetId="14" hidden="1">'Internal Audits'!$A$4:$P$17</definedName>
    <definedName name="_xlnm._FilterDatabase" localSheetId="15" hidden="1">'External Audits'!$A$4:$P$13</definedName>
    <definedName name="_xlnm._FilterDatabase" localSheetId="16" hidden="1">'Management Visits'!$A$4:$N$17</definedName>
    <definedName name="_xlnm._FilterDatabase" localSheetId="17" hidden="1">'Management Reviews'!$A$4:$O$13</definedName>
    <definedName name="_xlnm._FilterDatabase" localSheetId="18" hidden="1">'Disciplinary Actions'!$A$4:$K$15</definedName>
    <definedName name="_xlnm._FilterDatabase" localSheetId="19" hidden="1">'Safety Awards'!$A$4:$J$15</definedName>
    <definedName name="_xlnm._FilterDatabase" localSheetId="20" hidden="1">'Stop Work Authority'!$A$4:$M$15</definedName>
    <definedName name="_xlnm._FilterDatabase" localSheetId="21" hidden="1">'Alcohol Tests'!$A$4:$J$20</definedName>
    <definedName name="_xlnm._FilterDatabase" localSheetId="22" hidden="1">'PTW Audits'!$A$4:$N$17</definedName>
    <definedName name="_xlnm._FilterDatabase" localSheetId="23" hidden="1">'Corrective Actions'!$A$4:$O$25</definedName>
    <definedName name="_xlnm._FilterDatabase" localSheetId="24" hidden="1">'NC Management'!$A$4:$N$23</definedName>
    <definedName name="_xlnm._FilterDatabase" localSheetId="25" hidden="1">'Unsafe Acts'!$A$4:$M$23</definedName>
    <definedName name="_xlnm._FilterDatabase" localSheetId="26" hidden="1">'Unsafe Conditions'!$A$4:$M$23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\-mmm\-yyyy"/>
    <numFmt numFmtId="165" formatCode="0.0"/>
    <numFmt numFmtId="166" formatCode="#,##0&quot; hrs&quot;"/>
    <numFmt numFmtId="167" formatCode="0&quot; min&quot;"/>
    <numFmt numFmtId="168" formatCode="#,##0&quot; min&quot;"/>
    <numFmt numFmtId="169" formatCode="dd-mmm-yy"/>
    <numFmt numFmtId="170" formatCode="0.0%"/>
  </numFmts>
  <fonts count="113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color rgb="FF7B1FA2"/>
      <sz val="9"/>
    </font>
    <font>
      <name val="Arial"/>
      <charset val="1"/>
      <b val="1"/>
      <color rgb="FFFFFFFF"/>
      <sz val="8"/>
    </font>
    <font>
      <name val="Arial"/>
      <charset val="1"/>
      <b val="1"/>
      <color rgb="FFFFFFFF"/>
      <sz val="9"/>
    </font>
    <font>
      <name val="Arial"/>
      <charset val="1"/>
      <b val="1"/>
      <color rgb="FF616161"/>
      <sz val="7"/>
    </font>
    <font>
      <name val="Arial"/>
      <charset val="1"/>
      <b val="1"/>
      <color rgb="FF0000FF"/>
      <sz val="7"/>
    </font>
    <font>
      <name val="Arial"/>
      <charset val="1"/>
      <color rgb="FF424242"/>
      <sz val="9"/>
    </font>
    <font>
      <name val="Arial"/>
      <charset val="1"/>
      <color rgb="FF0000FF"/>
      <sz val="9"/>
    </font>
    <font>
      <name val="Arial"/>
      <charset val="1"/>
      <color rgb="FF00695C"/>
      <sz val="9"/>
    </font>
    <font>
      <name val="Arial"/>
      <charset val="1"/>
      <color rgb="FF2E7D32"/>
      <sz val="9"/>
    </font>
    <font>
      <name val="Arial"/>
      <charset val="1"/>
      <color rgb="FFEF6C00"/>
      <sz val="9"/>
    </font>
    <font>
      <name val="Arial"/>
      <charset val="1"/>
      <color rgb="FFE53935"/>
      <sz val="9"/>
    </font>
    <font>
      <name val="Arial"/>
      <charset val="1"/>
      <color rgb="FF455A64"/>
      <sz val="9"/>
    </font>
    <font>
      <name val="Arial"/>
      <charset val="1"/>
      <color rgb="FF283593"/>
      <sz val="9"/>
    </font>
    <font>
      <name val="Arial"/>
      <charset val="1"/>
      <color rgb="FFAD1457"/>
      <sz val="9"/>
    </font>
    <font>
      <name val="Arial"/>
      <charset val="1"/>
      <color rgb="FFFF8F00"/>
      <sz val="9"/>
    </font>
    <font>
      <name val="Arial"/>
      <charset val="1"/>
      <color rgb="FF5D4037"/>
      <sz val="9"/>
    </font>
    <font>
      <name val="Arial"/>
      <charset val="1"/>
      <color rgb="FF00838F"/>
      <sz val="9"/>
    </font>
    <font>
      <name val="Arial"/>
      <charset val="1"/>
      <color rgb="FF558B2F"/>
      <sz val="9"/>
    </font>
    <font>
      <name val="Arial"/>
      <charset val="1"/>
      <color rgb="FF1565C0"/>
      <sz val="9"/>
    </font>
    <font>
      <name val="Calibri"/>
      <charset val="1"/>
      <b val="1"/>
      <color rgb="FFFFFFFF"/>
      <sz val="18"/>
    </font>
    <font>
      <name val="Calibri"/>
      <charset val="1"/>
      <color rgb="FFC8E6C9"/>
      <sz val="9"/>
    </font>
    <font>
      <name val="Calibri"/>
      <charset val="1"/>
      <b val="1"/>
      <color rgb="FFFFFFFF"/>
      <sz val="8"/>
    </font>
    <font>
      <name val="Calibri"/>
      <charset val="1"/>
      <b val="1"/>
      <color rgb="FFFFFFFF"/>
      <sz val="26"/>
    </font>
    <font>
      <name val="Calibri"/>
      <charset val="1"/>
      <b val="1"/>
      <color rgb="FF1B5E20"/>
      <sz val="11"/>
    </font>
    <font>
      <name val="Calibri"/>
      <charset val="1"/>
      <b val="1"/>
      <color rgb="FF9E9E9E"/>
      <sz val="7"/>
    </font>
    <font>
      <name val="Calibri"/>
      <charset val="1"/>
      <color rgb="FF616161"/>
      <sz val="8"/>
    </font>
    <font>
      <name val="Calibri"/>
      <charset val="1"/>
      <color rgb="FF000000"/>
      <sz val="8"/>
    </font>
    <font>
      <name val="Calibri"/>
      <charset val="1"/>
      <color rgb="FF2E7D32"/>
      <sz val="8"/>
    </font>
    <font>
      <name val="Calibri"/>
      <charset val="1"/>
      <b val="1"/>
      <color rgb="FF424242"/>
      <sz val="8"/>
    </font>
    <font>
      <name val="Calibri"/>
      <charset val="1"/>
      <b val="1"/>
      <color rgb="FF000000"/>
      <sz val="8"/>
    </font>
    <font>
      <name val="Calibri"/>
      <charset val="1"/>
      <color rgb="FF424242"/>
      <sz val="8"/>
    </font>
    <font>
      <name val="Calibri"/>
      <charset val="1"/>
      <b val="1"/>
      <color rgb="FF2E7D32"/>
      <sz val="8"/>
    </font>
    <font>
      <name val="Calibri"/>
      <charset val="1"/>
      <b val="1"/>
      <color rgb="FFEF6C00"/>
      <sz val="8"/>
    </font>
    <font>
      <name val="Calibri"/>
      <charset val="1"/>
      <color rgb="FFEF6C00"/>
      <sz val="8"/>
    </font>
    <font>
      <name val="Calibri"/>
      <charset val="1"/>
      <b val="1"/>
      <color rgb="FF1565C0"/>
      <sz val="8"/>
    </font>
    <font>
      <name val="Calibri"/>
      <charset val="1"/>
      <color rgb="FF1565C0"/>
      <sz val="8"/>
    </font>
    <font>
      <name val="Calibri"/>
      <charset val="1"/>
      <b val="1"/>
      <color rgb="FF1B5E20"/>
      <sz val="8"/>
    </font>
    <font>
      <name val="Calibri"/>
      <charset val="1"/>
      <color rgb="FF000000"/>
      <sz val="7"/>
    </font>
    <font>
      <name val="Calibri"/>
      <charset val="1"/>
      <b val="1"/>
      <color rgb="FF424242"/>
      <sz val="7"/>
    </font>
    <font>
      <name val="Calibri"/>
      <charset val="1"/>
      <b val="1"/>
      <color rgb="FF000000"/>
      <sz val="7"/>
    </font>
    <font>
      <name val="Calibri"/>
      <charset val="1"/>
      <color rgb="FF9E9E9E"/>
      <sz val="8"/>
    </font>
    <font>
      <name val="Calibri"/>
      <charset val="1"/>
      <color rgb="FFE1BEE7"/>
      <sz val="9"/>
    </font>
    <font>
      <name val="Calibri"/>
      <charset val="1"/>
      <b val="1"/>
      <color rgb="FF4A148C"/>
      <sz val="11"/>
    </font>
    <font>
      <name val="Calibri"/>
      <charset val="1"/>
      <b val="1"/>
      <color rgb="FFD32F2F"/>
      <sz val="8"/>
    </font>
    <font>
      <name val="Calibri"/>
      <charset val="1"/>
      <color rgb="FFD32F2F"/>
      <sz val="8"/>
    </font>
    <font>
      <name val="Calibri"/>
      <charset val="1"/>
      <color rgb="FFB2DFDB"/>
      <sz val="9"/>
    </font>
    <font>
      <name val="Calibri"/>
      <charset val="1"/>
      <b val="1"/>
      <color rgb="FF004D40"/>
      <sz val="11"/>
    </font>
    <font>
      <name val="Calibri"/>
      <charset val="1"/>
      <b val="1"/>
      <color rgb="FFFF8F00"/>
      <sz val="8"/>
    </font>
    <font>
      <name val="Calibri"/>
      <charset val="1"/>
      <color rgb="FFFF8F00"/>
      <sz val="8"/>
    </font>
    <font>
      <name val="Calibri"/>
      <charset val="1"/>
      <b val="1"/>
      <color rgb="FFB71C1C"/>
      <sz val="8"/>
    </font>
    <font>
      <name val="Calibri"/>
      <charset val="1"/>
      <color rgb="FFB71C1C"/>
      <sz val="8"/>
    </font>
    <font>
      <name val="Calibri"/>
      <charset val="1"/>
      <color rgb="FFFFE0B2"/>
      <sz val="9"/>
    </font>
    <font>
      <name val="Calibri"/>
      <charset val="1"/>
      <b val="1"/>
      <color rgb="FFE65100"/>
      <sz val="11"/>
    </font>
    <font>
      <name val="Calibri"/>
      <charset val="1"/>
      <b val="1"/>
      <color rgb="FF757575"/>
      <sz val="8"/>
    </font>
    <font>
      <name val="Calibri"/>
      <charset val="1"/>
      <color rgb="FF757575"/>
      <sz val="8"/>
    </font>
    <font>
      <name val="Calibri"/>
      <charset val="1"/>
      <b val="1"/>
      <color rgb="FFE65100"/>
      <sz val="8"/>
    </font>
    <font>
      <name val="Calibri"/>
      <charset val="1"/>
      <color rgb="FFFFCDD2"/>
      <sz val="9"/>
    </font>
    <font>
      <name val="Calibri"/>
      <charset val="1"/>
      <b val="1"/>
      <color rgb="FFB71C1C"/>
      <sz val="11"/>
    </font>
    <font>
      <name val="Calibri"/>
      <charset val="1"/>
      <color rgb="FFCFD8DC"/>
      <sz val="9"/>
    </font>
    <font>
      <name val="Calibri"/>
      <charset val="1"/>
      <b val="1"/>
      <color rgb="FF263238"/>
      <sz val="11"/>
    </font>
    <font>
      <name val="Calibri"/>
      <charset val="1"/>
      <b val="1"/>
      <color rgb="FF263238"/>
      <sz val="8"/>
    </font>
    <font>
      <name val="Calibri"/>
      <charset val="1"/>
      <color rgb="FFC5CAE9"/>
      <sz val="9"/>
    </font>
    <font>
      <name val="Calibri"/>
      <charset val="1"/>
      <b val="1"/>
      <color rgb="FF1A237E"/>
      <sz val="11"/>
    </font>
    <font>
      <name val="Calibri"/>
      <charset val="1"/>
      <b val="1"/>
      <color rgb="FF1A237E"/>
      <sz val="8"/>
    </font>
    <font>
      <name val="Calibri"/>
      <charset val="1"/>
      <color rgb="FFF8BBD0"/>
      <sz val="9"/>
    </font>
    <font>
      <name val="Calibri"/>
      <charset val="1"/>
      <b val="1"/>
      <color rgb="FF880E4F"/>
      <sz val="11"/>
    </font>
    <font>
      <name val="Calibri"/>
      <charset val="1"/>
      <color rgb="FFFFECB3"/>
      <sz val="9"/>
    </font>
    <font>
      <name val="Calibri"/>
      <charset val="1"/>
      <b val="1"/>
      <color rgb="FFFF6F00"/>
      <sz val="11"/>
    </font>
    <font>
      <name val="Calibri"/>
      <charset val="1"/>
      <b val="1"/>
      <color rgb="FFFF6F00"/>
      <sz val="8"/>
    </font>
    <font>
      <name val="Calibri"/>
      <charset val="1"/>
      <color rgb="FFD7CCC8"/>
      <sz val="9"/>
    </font>
    <font>
      <name val="Calibri"/>
      <charset val="1"/>
      <b val="1"/>
      <color rgb="FF3E2723"/>
      <sz val="11"/>
    </font>
    <font>
      <name val="Calibri"/>
      <charset val="1"/>
      <b val="1"/>
      <color rgb="FF3E2723"/>
      <sz val="8"/>
    </font>
    <font>
      <name val="Calibri"/>
      <charset val="1"/>
      <color rgb="FFB2EBF2"/>
      <sz val="9"/>
    </font>
    <font>
      <name val="Calibri"/>
      <charset val="1"/>
      <b val="1"/>
      <color rgb="FF006064"/>
      <sz val="11"/>
    </font>
    <font>
      <name val="Calibri"/>
      <charset val="1"/>
      <b val="1"/>
      <color rgb="FF006064"/>
      <sz val="8"/>
    </font>
    <font>
      <name val="Calibri"/>
      <charset val="1"/>
      <color rgb="FFDCEDC8"/>
      <sz val="9"/>
    </font>
    <font>
      <name val="Calibri"/>
      <charset val="1"/>
      <b val="1"/>
      <color rgb="FF33691E"/>
      <sz val="11"/>
    </font>
    <font>
      <name val="Calibri"/>
      <charset val="1"/>
      <color rgb="FF1B5E20"/>
      <sz val="8"/>
    </font>
    <font>
      <name val="Calibri"/>
      <charset val="1"/>
      <color rgb="FFBBDEFB"/>
      <sz val="9"/>
    </font>
    <font>
      <name val="Calibri"/>
      <charset val="1"/>
      <b val="1"/>
      <color rgb="FF0D47A1"/>
      <sz val="11"/>
    </font>
    <font>
      <name val="Calibri"/>
      <charset val="1"/>
      <b val="1"/>
      <color rgb="FF9E9E9E"/>
      <sz val="8"/>
    </font>
    <font>
      <b val="1"/>
      <color rgb="00FFFFFF"/>
      <sz val="13"/>
    </font>
    <font>
      <i val="1"/>
      <color rgb="00555555"/>
      <sz val="9"/>
    </font>
    <font>
      <b val="1"/>
      <color rgb="00FFFFFF"/>
    </font>
    <font>
      <sz val="10"/>
    </font>
    <font>
      <b val="1"/>
      <color rgb="00FFFFFF"/>
      <sz val="14"/>
    </font>
    <font>
      <b val="1"/>
      <color rgb="00FFFFFF"/>
      <sz val="10"/>
    </font>
    <font>
      <b val="1"/>
      <color rgb="00263238"/>
      <sz val="10"/>
    </font>
    <font>
      <b val="1"/>
      <color rgb="000D47A1"/>
      <sz val="10"/>
    </font>
    <font>
      <i val="1"/>
      <color rgb="00777777"/>
      <sz val="8"/>
    </font>
    <font>
      <b val="1"/>
      <color rgb="00FFFFFF"/>
      <sz val="9"/>
    </font>
    <font>
      <b val="1"/>
      <color rgb="00FFFFFF"/>
      <sz val="8"/>
    </font>
    <font>
      <b val="1"/>
      <color rgb="00616161"/>
      <sz val="7"/>
    </font>
    <font>
      <color rgb="00424242"/>
      <sz val="9"/>
    </font>
    <font>
      <b val="1"/>
      <color rgb="00B71C1C"/>
      <sz val="16"/>
    </font>
    <font>
      <i val="1"/>
      <color rgb="00777777"/>
      <sz val="9"/>
    </font>
    <font>
      <b val="1"/>
      <color rgb="0037474F"/>
      <sz val="20"/>
    </font>
    <font>
      <b val="1"/>
      <color rgb="00E65100"/>
      <sz val="20"/>
    </font>
    <font>
      <b val="1"/>
      <color rgb="002E7D32"/>
      <sz val="20"/>
    </font>
    <font>
      <b val="1"/>
      <color rgb="00C62828"/>
      <sz val="20"/>
    </font>
    <font>
      <b val="1"/>
      <color rgb="001565C0"/>
      <sz val="20"/>
    </font>
    <font>
      <b val="1"/>
      <color rgb="006A1B9A"/>
      <sz val="20"/>
    </font>
    <font>
      <b val="1"/>
      <color rgb="00AD1457"/>
      <sz val="20"/>
    </font>
    <font>
      <b val="1"/>
      <color rgb="0000838F"/>
      <sz val="20"/>
    </font>
    <font>
      <sz val="9"/>
    </font>
    <font>
      <b val="1"/>
      <color rgb="000D1B4C"/>
      <sz val="18"/>
    </font>
    <font>
      <b val="1"/>
      <color rgb="000D1B4C"/>
      <sz val="20"/>
    </font>
    <font>
      <b val="1"/>
      <color rgb="00FFFFFF"/>
      <sz val="15"/>
    </font>
    <font>
      <b val="1"/>
      <color rgb="00FFFFFF"/>
      <sz val="11"/>
    </font>
    <font>
      <b val="1"/>
      <color rgb="00004D40"/>
      <sz val="10"/>
    </font>
    <font>
      <color rgb="00333333"/>
      <sz val="10"/>
    </font>
  </fonts>
  <fills count="73">
    <fill>
      <patternFill/>
    </fill>
    <fill>
      <patternFill patternType="gray125"/>
    </fill>
    <fill>
      <patternFill patternType="solid">
        <fgColor rgb="FF4A148C"/>
        <bgColor rgb="FF781EA1"/>
      </patternFill>
    </fill>
    <fill>
      <patternFill patternType="solid">
        <fgColor rgb="FFF3E5F5"/>
        <bgColor rgb="FFFCE4EC"/>
      </patternFill>
    </fill>
    <fill>
      <patternFill patternType="solid">
        <fgColor rgb="FF004D40"/>
        <bgColor rgb="FF006064"/>
      </patternFill>
    </fill>
    <fill>
      <patternFill patternType="solid">
        <fgColor rgb="FFE65100"/>
        <bgColor rgb="FFEF6C00"/>
      </patternFill>
    </fill>
    <fill>
      <patternFill patternType="solid">
        <fgColor rgb="FFC62919"/>
        <bgColor rgb="FFB71C1C"/>
      </patternFill>
    </fill>
    <fill>
      <patternFill patternType="solid">
        <fgColor rgb="FF1B5E20"/>
        <bgColor rgb="FF33691E"/>
      </patternFill>
    </fill>
    <fill>
      <patternFill patternType="solid">
        <fgColor rgb="FF880E4F"/>
        <bgColor rgb="FFAD1457"/>
      </patternFill>
    </fill>
    <fill>
      <patternFill patternType="solid">
        <fgColor rgb="FF1A237E"/>
        <bgColor rgb="FF283593"/>
      </patternFill>
    </fill>
    <fill>
      <patternFill patternType="solid">
        <fgColor rgb="FF781EA1"/>
        <bgColor rgb="FF4A148C"/>
      </patternFill>
    </fill>
    <fill>
      <patternFill patternType="solid">
        <fgColor rgb="FFF5F5F5"/>
        <bgColor rgb="FFF0F2F5"/>
      </patternFill>
    </fill>
    <fill>
      <patternFill patternType="solid">
        <fgColor rgb="FFFFF9C4"/>
        <bgColor rgb="FFFFF8E1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E0F2F1"/>
        <bgColor rgb="FFE3F2FD"/>
      </patternFill>
    </fill>
    <fill>
      <patternFill patternType="solid">
        <fgColor rgb="FF00695C"/>
        <bgColor rgb="FF006064"/>
      </patternFill>
    </fill>
    <fill>
      <patternFill patternType="solid">
        <fgColor rgb="FFE8F5E9"/>
        <bgColor rgb="FFF1F8E9"/>
      </patternFill>
    </fill>
    <fill>
      <patternFill patternType="solid">
        <fgColor rgb="FF2E7D32"/>
        <bgColor rgb="FF33691E"/>
      </patternFill>
    </fill>
    <fill>
      <patternFill patternType="solid">
        <fgColor rgb="FFFFF3E0"/>
        <bgColor rgb="FFFFF8E1"/>
      </patternFill>
    </fill>
    <fill>
      <patternFill patternType="solid">
        <fgColor rgb="FFEF6C00"/>
        <bgColor rgb="FFFF7000"/>
      </patternFill>
    </fill>
    <fill>
      <patternFill patternType="solid">
        <fgColor rgb="FFB71C1C"/>
        <bgColor rgb="FFC62919"/>
      </patternFill>
    </fill>
    <fill>
      <patternFill patternType="solid">
        <fgColor rgb="FFFFEBEE"/>
        <bgColor rgb="FFFCE4EC"/>
      </patternFill>
    </fill>
    <fill>
      <patternFill patternType="solid">
        <fgColor rgb="FFDF3131"/>
        <bgColor rgb="FFC62919"/>
      </patternFill>
    </fill>
    <fill>
      <patternFill patternType="solid">
        <fgColor rgb="FF263238"/>
        <bgColor rgb="FF3E2723"/>
      </patternFill>
    </fill>
    <fill>
      <patternFill patternType="solid">
        <fgColor rgb="FFECEFF1"/>
        <bgColor rgb="FFF0F2F5"/>
      </patternFill>
    </fill>
    <fill>
      <patternFill patternType="solid">
        <fgColor rgb="FF505F66"/>
        <bgColor rgb="FF544139"/>
      </patternFill>
    </fill>
    <fill>
      <patternFill patternType="solid">
        <fgColor rgb="FFE8EAF6"/>
        <bgColor rgb="FFECEFF1"/>
      </patternFill>
    </fill>
    <fill>
      <patternFill patternType="solid">
        <fgColor rgb="FF283593"/>
        <bgColor rgb="FF1A237E"/>
      </patternFill>
    </fill>
    <fill>
      <patternFill patternType="solid">
        <fgColor rgb="FFFCE4EC"/>
        <bgColor rgb="FFFFEBEE"/>
      </patternFill>
    </fill>
    <fill>
      <patternFill patternType="solid">
        <fgColor rgb="FFAD1457"/>
        <bgColor rgb="FF880E4F"/>
      </patternFill>
    </fill>
    <fill>
      <patternFill patternType="solid">
        <fgColor rgb="FFFF7000"/>
        <bgColor rgb="FFEF6C00"/>
      </patternFill>
    </fill>
    <fill>
      <patternFill patternType="solid">
        <fgColor rgb="FFFFF8E1"/>
        <bgColor rgb="FFFFF3E0"/>
      </patternFill>
    </fill>
    <fill>
      <patternFill patternType="solid">
        <fgColor rgb="FFFF9101"/>
        <bgColor rgb="FFFF7000"/>
      </patternFill>
    </fill>
    <fill>
      <patternFill patternType="solid">
        <fgColor rgb="FF3E2723"/>
        <bgColor rgb="FF263238"/>
      </patternFill>
    </fill>
    <fill>
      <patternFill patternType="solid">
        <fgColor rgb="FFEFEBE9"/>
        <bgColor rgb="FFECEFF1"/>
      </patternFill>
    </fill>
    <fill>
      <patternFill patternType="solid">
        <fgColor rgb="FF544139"/>
        <bgColor rgb="FF3E2723"/>
      </patternFill>
    </fill>
    <fill>
      <patternFill patternType="solid">
        <fgColor rgb="FF006064"/>
        <bgColor rgb="FF00695C"/>
      </patternFill>
    </fill>
    <fill>
      <patternFill patternType="solid">
        <fgColor rgb="FFE0F7FA"/>
        <bgColor rgb="FFE3F2FD"/>
      </patternFill>
    </fill>
    <fill>
      <patternFill patternType="solid">
        <fgColor rgb="FF00848B"/>
        <bgColor rgb="FF00695C"/>
      </patternFill>
    </fill>
    <fill>
      <patternFill patternType="solid">
        <fgColor rgb="FF33691E"/>
        <bgColor rgb="FF1B5E20"/>
      </patternFill>
    </fill>
    <fill>
      <patternFill patternType="solid">
        <fgColor rgb="FFF1F8E9"/>
        <bgColor rgb="FFF5F5F5"/>
      </patternFill>
    </fill>
    <fill>
      <patternFill patternType="solid">
        <fgColor rgb="FF558B2F"/>
        <bgColor rgb="FF2E7D32"/>
      </patternFill>
    </fill>
    <fill>
      <patternFill patternType="solid">
        <fgColor rgb="FF0D47A1"/>
        <bgColor rgb="FF283593"/>
      </patternFill>
    </fill>
    <fill>
      <patternFill patternType="solid">
        <fgColor rgb="FFE3F2FD"/>
        <bgColor rgb="FFE0F7FA"/>
      </patternFill>
    </fill>
    <fill>
      <patternFill patternType="solid">
        <fgColor rgb="FF1666C0"/>
        <bgColor rgb="FF1565C0"/>
      </patternFill>
    </fill>
    <fill>
      <patternFill patternType="solid">
        <fgColor rgb="FFF0F2F5"/>
        <bgColor rgb="FFECEFF1"/>
      </patternFill>
    </fill>
    <fill>
      <patternFill patternType="solid">
        <fgColor rgb="FFC62919"/>
        <bgColor rgb="FFB71C1C"/>
      </patternFill>
    </fill>
    <fill>
      <patternFill patternType="darkGray">
        <fgColor rgb="FF781EA1"/>
        <bgColor rgb="FF4A148C"/>
      </patternFill>
    </fill>
    <fill>
      <patternFill patternType="solid">
        <fgColor rgb="FF1565C0"/>
        <bgColor rgb="FF1666C0"/>
      </patternFill>
    </fill>
    <fill>
      <patternFill patternType="solid">
        <fgColor rgb="FFC62919"/>
        <bgColor rgb="FFB71C1C"/>
      </patternFill>
    </fill>
    <fill>
      <patternFill patternType="darkGray">
        <fgColor rgb="FFDF3131"/>
        <bgColor rgb="FFC62919"/>
      </patternFill>
    </fill>
    <fill>
      <patternFill patternType="solid">
        <fgColor rgb="FF558B2F"/>
        <bgColor rgb="FF2E7D3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00838F"/>
      </patternFill>
    </fill>
    <fill>
      <patternFill patternType="solid">
        <fgColor rgb="000D1B4C"/>
      </patternFill>
    </fill>
    <fill>
      <patternFill patternType="solid">
        <fgColor rgb="003949AB"/>
      </patternFill>
    </fill>
    <fill>
      <patternFill patternType="solid">
        <fgColor rgb="0000695C"/>
      </patternFill>
    </fill>
    <fill>
      <patternFill patternType="solid">
        <fgColor rgb="0000897B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2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0" fillId="1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49" fontId="8" fillId="12" borderId="1" applyAlignment="1" pivotButton="0" quotePrefix="0" xfId="0">
      <alignment horizontal="center" vertical="center" wrapText="1"/>
    </xf>
    <xf numFmtId="164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3" fontId="8" fillId="12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49" fontId="8" fillId="14" borderId="1" applyAlignment="1" pivotButton="0" quotePrefix="0" xfId="0">
      <alignment horizontal="center" vertical="center" wrapText="1"/>
    </xf>
    <xf numFmtId="164" fontId="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3" fontId="8" fillId="14" borderId="1" applyAlignment="1" pivotButton="0" quotePrefix="0" xfId="0">
      <alignment horizontal="center" vertical="center" wrapText="1"/>
    </xf>
    <xf numFmtId="9" fontId="7" fillId="1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165" fontId="8" fillId="12" borderId="1" applyAlignment="1" pivotButton="0" quotePrefix="0" xfId="0">
      <alignment horizontal="center" vertical="center" wrapText="1"/>
    </xf>
    <xf numFmtId="165" fontId="8" fillId="14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42" borderId="1" applyAlignment="1" pivotButton="0" quotePrefix="0" xfId="0">
      <alignment horizontal="center" vertical="center" wrapText="1"/>
    </xf>
    <xf numFmtId="0" fontId="4" fillId="45" borderId="1" applyAlignment="1" pivotButton="0" quotePrefix="0" xfId="0">
      <alignment horizontal="center" vertical="center" wrapText="1"/>
    </xf>
    <xf numFmtId="0" fontId="0" fillId="46" borderId="0" pivotButton="0" quotePrefix="0" xfId="0"/>
    <xf numFmtId="0" fontId="26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27" fillId="14" borderId="0" pivotButton="0" quotePrefix="0" xfId="0"/>
    <xf numFmtId="0" fontId="28" fillId="14" borderId="0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30" fillId="14" borderId="2" applyAlignment="1" pivotButton="0" quotePrefix="0" xfId="0">
      <alignment horizontal="left" vertical="center" wrapText="1"/>
    </xf>
    <xf numFmtId="0" fontId="28" fillId="14" borderId="2" applyAlignment="1" pivotButton="0" quotePrefix="0" xfId="0">
      <alignment horizontal="center" vertical="center" wrapText="1"/>
    </xf>
    <xf numFmtId="9" fontId="31" fillId="14" borderId="2" applyAlignment="1" pivotButton="0" quotePrefix="0" xfId="0">
      <alignment horizontal="center" vertical="center" wrapText="1"/>
    </xf>
    <xf numFmtId="9" fontId="28" fillId="14" borderId="2" applyAlignment="1" pivotButton="0" quotePrefix="0" xfId="0">
      <alignment horizontal="center" vertical="center" wrapText="1"/>
    </xf>
    <xf numFmtId="3" fontId="28" fillId="14" borderId="2" applyAlignment="1" pivotButton="0" quotePrefix="0" xfId="0">
      <alignment horizontal="center" vertical="center" wrapText="1"/>
    </xf>
    <xf numFmtId="0" fontId="30" fillId="17" borderId="2" applyAlignment="1" pivotButton="0" quotePrefix="0" xfId="0">
      <alignment horizontal="left" vertical="center" wrapText="1"/>
    </xf>
    <xf numFmtId="0" fontId="28" fillId="17" borderId="2" applyAlignment="1" pivotButton="0" quotePrefix="0" xfId="0">
      <alignment horizontal="center" vertical="center" wrapText="1"/>
    </xf>
    <xf numFmtId="9" fontId="31" fillId="17" borderId="2" applyAlignment="1" pivotButton="0" quotePrefix="0" xfId="0">
      <alignment horizontal="center" vertical="center" wrapText="1"/>
    </xf>
    <xf numFmtId="9" fontId="28" fillId="17" borderId="2" applyAlignment="1" pivotButton="0" quotePrefix="0" xfId="0">
      <alignment horizontal="center" vertical="center" wrapText="1"/>
    </xf>
    <xf numFmtId="3" fontId="28" fillId="17" borderId="2" applyAlignment="1" pivotButton="0" quotePrefix="0" xfId="0">
      <alignment horizontal="center" vertical="center" wrapText="1"/>
    </xf>
    <xf numFmtId="0" fontId="30" fillId="14" borderId="2" pivotButton="0" quotePrefix="0" xfId="0"/>
    <xf numFmtId="0" fontId="32" fillId="14" borderId="2" applyAlignment="1" pivotButton="0" quotePrefix="0" xfId="0">
      <alignment horizontal="center" vertical="center" wrapText="1"/>
    </xf>
    <xf numFmtId="0" fontId="30" fillId="14" borderId="2" applyAlignment="1" pivotButton="0" quotePrefix="0" xfId="0">
      <alignment horizontal="center" vertical="center" wrapText="1"/>
    </xf>
    <xf numFmtId="0" fontId="33" fillId="17" borderId="2" pivotButton="0" quotePrefix="0" xfId="0"/>
    <xf numFmtId="0" fontId="29" fillId="17" borderId="2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center" vertical="center" wrapText="1"/>
    </xf>
    <xf numFmtId="0" fontId="34" fillId="19" borderId="2" pivotButton="0" quotePrefix="0" xfId="0"/>
    <xf numFmtId="0" fontId="35" fillId="19" borderId="2" applyAlignment="1" pivotButton="0" quotePrefix="0" xfId="0">
      <alignment horizontal="center" vertical="center" wrapText="1"/>
    </xf>
    <xf numFmtId="0" fontId="34" fillId="19" borderId="2" applyAlignment="1" pivotButton="0" quotePrefix="0" xfId="0">
      <alignment horizontal="center" vertical="center" wrapText="1"/>
    </xf>
    <xf numFmtId="0" fontId="36" fillId="44" borderId="2" pivotButton="0" quotePrefix="0" xfId="0"/>
    <xf numFmtId="0" fontId="37" fillId="44" borderId="2" applyAlignment="1" pivotButton="0" quotePrefix="0" xfId="0">
      <alignment horizontal="center" vertical="center" wrapText="1"/>
    </xf>
    <xf numFmtId="0" fontId="36" fillId="44" borderId="2" applyAlignment="1" pivotButton="0" quotePrefix="0" xfId="0">
      <alignment horizontal="center" vertical="center" wrapText="1"/>
    </xf>
    <xf numFmtId="0" fontId="38" fillId="17" borderId="2" pivotButton="0" quotePrefix="0" xfId="0"/>
    <xf numFmtId="9" fontId="38" fillId="17" borderId="2" applyAlignment="1" pivotButton="0" quotePrefix="0" xfId="0">
      <alignment horizontal="center" vertical="center" wrapText="1"/>
    </xf>
    <xf numFmtId="0" fontId="39" fillId="14" borderId="0" applyAlignment="1" pivotButton="0" quotePrefix="0" xfId="0">
      <alignment horizontal="center" vertical="center" wrapText="1"/>
    </xf>
    <xf numFmtId="0" fontId="40" fillId="14" borderId="2" applyAlignment="1" pivotButton="0" quotePrefix="0" xfId="0">
      <alignment horizontal="left" vertical="center" wrapText="1"/>
    </xf>
    <xf numFmtId="0" fontId="39" fillId="14" borderId="2" applyAlignment="1" pivotButton="0" quotePrefix="0" xfId="0">
      <alignment horizontal="center" vertical="center" wrapText="1"/>
    </xf>
    <xf numFmtId="9" fontId="41" fillId="14" borderId="2" applyAlignment="1" pivotButton="0" quotePrefix="0" xfId="0">
      <alignment horizontal="center" vertical="center" wrapText="1"/>
    </xf>
    <xf numFmtId="0" fontId="40" fillId="17" borderId="2" applyAlignment="1" pivotButton="0" quotePrefix="0" xfId="0">
      <alignment horizontal="left" vertical="center" wrapText="1"/>
    </xf>
    <xf numFmtId="0" fontId="39" fillId="17" borderId="2" applyAlignment="1" pivotButton="0" quotePrefix="0" xfId="0">
      <alignment horizontal="center" vertical="center" wrapText="1"/>
    </xf>
    <xf numFmtId="9" fontId="41" fillId="17" borderId="2" applyAlignment="1" pivotButton="0" quotePrefix="0" xfId="0">
      <alignment horizontal="center" vertical="center" wrapText="1"/>
    </xf>
    <xf numFmtId="0" fontId="0" fillId="46" borderId="0" pivotButton="0" quotePrefix="0" xfId="0"/>
    <xf numFmtId="0" fontId="0" fillId="14" borderId="0" pivotButton="0" quotePrefix="0" xfId="0"/>
    <xf numFmtId="0" fontId="28" fillId="14" borderId="0" pivotButton="0" quotePrefix="0" xfId="0"/>
    <xf numFmtId="0" fontId="23" fillId="48" borderId="2" applyAlignment="1" pivotButton="0" quotePrefix="0" xfId="0">
      <alignment horizontal="center" vertical="center" wrapText="1"/>
    </xf>
    <xf numFmtId="0" fontId="30" fillId="14" borderId="2" pivotButton="0" quotePrefix="0" xfId="0"/>
    <xf numFmtId="0" fontId="30" fillId="3" borderId="2" pivotButton="0" quotePrefix="0" xfId="0"/>
    <xf numFmtId="0" fontId="28" fillId="3" borderId="2" applyAlignment="1" pivotButton="0" quotePrefix="0" xfId="0">
      <alignment horizontal="center" vertical="center" wrapText="1"/>
    </xf>
    <xf numFmtId="9" fontId="31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3" fillId="44" borderId="2" pivotButton="0" quotePrefix="0" xfId="0"/>
    <xf numFmtId="0" fontId="29" fillId="44" borderId="2" applyAlignment="1" pivotButton="0" quotePrefix="0" xfId="0">
      <alignment horizontal="center" vertical="center" wrapText="1"/>
    </xf>
    <xf numFmtId="0" fontId="33" fillId="44" borderId="2" applyAlignment="1" pivotButton="0" quotePrefix="0" xfId="0">
      <alignment horizontal="center" vertical="center" wrapText="1"/>
    </xf>
    <xf numFmtId="0" fontId="45" fillId="44" borderId="2" pivotButton="0" quotePrefix="0" xfId="0"/>
    <xf numFmtId="0" fontId="46" fillId="44" borderId="2" applyAlignment="1" pivotButton="0" quotePrefix="0" xfId="0">
      <alignment horizontal="center" vertical="center" wrapText="1"/>
    </xf>
    <xf numFmtId="0" fontId="45" fillId="44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30" fillId="15" borderId="2" pivotButton="0" quotePrefix="0" xfId="0"/>
    <xf numFmtId="0" fontId="28" fillId="15" borderId="2" applyAlignment="1" pivotButton="0" quotePrefix="0" xfId="0">
      <alignment horizontal="center" vertical="center" wrapText="1"/>
    </xf>
    <xf numFmtId="9" fontId="31" fillId="15" borderId="2" applyAlignment="1" pivotButton="0" quotePrefix="0" xfId="0">
      <alignment horizontal="center" vertical="center" wrapText="1"/>
    </xf>
    <xf numFmtId="0" fontId="31" fillId="15" borderId="2" applyAlignment="1" pivotButton="0" quotePrefix="0" xfId="0">
      <alignment horizontal="center" vertical="center" wrapText="1"/>
    </xf>
    <xf numFmtId="0" fontId="49" fillId="19" borderId="2" pivotButton="0" quotePrefix="0" xfId="0"/>
    <xf numFmtId="0" fontId="50" fillId="19" borderId="2" applyAlignment="1" pivotButton="0" quotePrefix="0" xfId="0">
      <alignment horizontal="center" vertical="center" wrapText="1"/>
    </xf>
    <xf numFmtId="0" fontId="49" fillId="19" borderId="2" applyAlignment="1" pivotButton="0" quotePrefix="0" xfId="0">
      <alignment horizontal="center" vertical="center" wrapText="1"/>
    </xf>
    <xf numFmtId="0" fontId="51" fillId="22" borderId="2" pivotButton="0" quotePrefix="0" xfId="0"/>
    <xf numFmtId="0" fontId="52" fillId="22" borderId="2" applyAlignment="1" pivotButton="0" quotePrefix="0" xfId="0">
      <alignment horizontal="center" vertical="center" wrapText="1"/>
    </xf>
    <xf numFmtId="0" fontId="51" fillId="22" borderId="2" applyAlignment="1" pivotButton="0" quotePrefix="0" xfId="0">
      <alignment horizontal="center" vertical="center" wrapText="1"/>
    </xf>
    <xf numFmtId="0" fontId="23" fillId="20" borderId="2" applyAlignment="1" pivotButton="0" quotePrefix="0" xfId="0">
      <alignment horizontal="center" vertical="center" wrapText="1"/>
    </xf>
    <xf numFmtId="0" fontId="30" fillId="19" borderId="2" pivotButton="0" quotePrefix="0" xfId="0"/>
    <xf numFmtId="0" fontId="28" fillId="19" borderId="2" applyAlignment="1" pivotButton="0" quotePrefix="0" xfId="0">
      <alignment horizontal="center" vertical="center" wrapText="1"/>
    </xf>
    <xf numFmtId="9" fontId="31" fillId="19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center" vertical="center" wrapText="1"/>
    </xf>
    <xf numFmtId="0" fontId="33" fillId="17" borderId="2" pivotButton="0" quotePrefix="0" xfId="0"/>
    <xf numFmtId="0" fontId="45" fillId="22" borderId="2" pivotButton="0" quotePrefix="0" xfId="0"/>
    <xf numFmtId="0" fontId="46" fillId="22" borderId="2" applyAlignment="1" pivotButton="0" quotePrefix="0" xfId="0">
      <alignment horizontal="center" vertical="center" wrapText="1"/>
    </xf>
    <xf numFmtId="0" fontId="45" fillId="22" borderId="2" applyAlignment="1" pivotButton="0" quotePrefix="0" xfId="0">
      <alignment horizontal="center" vertical="center" wrapText="1"/>
    </xf>
    <xf numFmtId="0" fontId="55" fillId="19" borderId="2" pivotButton="0" quotePrefix="0" xfId="0"/>
    <xf numFmtId="0" fontId="56" fillId="19" borderId="2" applyAlignment="1" pivotButton="0" quotePrefix="0" xfId="0">
      <alignment horizontal="center" vertical="center" wrapText="1"/>
    </xf>
    <xf numFmtId="0" fontId="55" fillId="19" borderId="2" applyAlignment="1" pivotButton="0" quotePrefix="0" xfId="0">
      <alignment horizontal="center" vertical="center" wrapText="1"/>
    </xf>
    <xf numFmtId="0" fontId="57" fillId="19" borderId="2" pivotButton="0" quotePrefix="0" xfId="0"/>
    <xf numFmtId="9" fontId="57" fillId="19" borderId="2" applyAlignment="1" pivotButton="0" quotePrefix="0" xfId="0">
      <alignment horizontal="center" vertical="center" wrapText="1"/>
    </xf>
    <xf numFmtId="0" fontId="23" fillId="51" borderId="2" applyAlignment="1" pivotButton="0" quotePrefix="0" xfId="0">
      <alignment horizontal="center" vertical="center" wrapText="1"/>
    </xf>
    <xf numFmtId="0" fontId="30" fillId="22" borderId="2" pivotButton="0" quotePrefix="0" xfId="0"/>
    <xf numFmtId="0" fontId="28" fillId="22" borderId="2" applyAlignment="1" pivotButton="0" quotePrefix="0" xfId="0">
      <alignment horizontal="center" vertical="center" wrapText="1"/>
    </xf>
    <xf numFmtId="9" fontId="31" fillId="22" borderId="2" applyAlignment="1" pivotButton="0" quotePrefix="0" xfId="0">
      <alignment horizontal="center" vertical="center" wrapText="1"/>
    </xf>
    <xf numFmtId="0" fontId="31" fillId="22" borderId="2" applyAlignment="1" pivotButton="0" quotePrefix="0" xfId="0">
      <alignment horizontal="center" vertical="center" wrapText="1"/>
    </xf>
    <xf numFmtId="9" fontId="51" fillId="22" borderId="2" applyAlignment="1" pivotButton="0" quotePrefix="0" xfId="0">
      <alignment horizontal="center" vertical="center" wrapText="1"/>
    </xf>
    <xf numFmtId="0" fontId="23" fillId="26" borderId="2" applyAlignment="1" pivotButton="0" quotePrefix="0" xfId="0">
      <alignment horizontal="center" vertical="center" wrapText="1"/>
    </xf>
    <xf numFmtId="0" fontId="30" fillId="25" borderId="2" pivotButton="0" quotePrefix="0" xfId="0"/>
    <xf numFmtId="0" fontId="28" fillId="25" borderId="2" applyAlignment="1" pivotButton="0" quotePrefix="0" xfId="0">
      <alignment horizontal="center" vertical="center" wrapText="1"/>
    </xf>
    <xf numFmtId="9" fontId="31" fillId="25" borderId="2" applyAlignment="1" pivotButton="0" quotePrefix="0" xfId="0">
      <alignment horizontal="center" vertical="center" wrapText="1"/>
    </xf>
    <xf numFmtId="0" fontId="31" fillId="25" borderId="2" applyAlignment="1" pivotButton="0" quotePrefix="0" xfId="0">
      <alignment horizontal="center" vertical="center" wrapText="1"/>
    </xf>
    <xf numFmtId="0" fontId="62" fillId="25" borderId="2" pivotButton="0" quotePrefix="0" xfId="0"/>
    <xf numFmtId="9" fontId="62" fillId="25" borderId="2" applyAlignment="1" pivotButton="0" quotePrefix="0" xfId="0">
      <alignment horizontal="center" vertical="center" wrapText="1"/>
    </xf>
    <xf numFmtId="0" fontId="23" fillId="28" borderId="2" applyAlignment="1" pivotButton="0" quotePrefix="0" xfId="0">
      <alignment horizontal="center" vertical="center" wrapText="1"/>
    </xf>
    <xf numFmtId="0" fontId="30" fillId="27" borderId="2" pivotButton="0" quotePrefix="0" xfId="0"/>
    <xf numFmtId="0" fontId="28" fillId="27" borderId="2" applyAlignment="1" pivotButton="0" quotePrefix="0" xfId="0">
      <alignment horizontal="center" vertical="center" wrapText="1"/>
    </xf>
    <xf numFmtId="9" fontId="31" fillId="27" borderId="2" applyAlignment="1" pivotButton="0" quotePrefix="0" xfId="0">
      <alignment horizontal="center" vertical="center" wrapText="1"/>
    </xf>
    <xf numFmtId="0" fontId="31" fillId="27" borderId="2" applyAlignment="1" pivotButton="0" quotePrefix="0" xfId="0">
      <alignment horizontal="center" vertical="center" wrapText="1"/>
    </xf>
    <xf numFmtId="0" fontId="65" fillId="27" borderId="2" pivotButton="0" quotePrefix="0" xfId="0"/>
    <xf numFmtId="9" fontId="65" fillId="27" borderId="2" applyAlignment="1" pivotButton="0" quotePrefix="0" xfId="0">
      <alignment horizontal="center" vertical="center" wrapText="1"/>
    </xf>
    <xf numFmtId="0" fontId="23" fillId="30" borderId="2" applyAlignment="1" pivotButton="0" quotePrefix="0" xfId="0">
      <alignment horizontal="center" vertical="center" wrapText="1"/>
    </xf>
    <xf numFmtId="0" fontId="30" fillId="29" borderId="2" pivotButton="0" quotePrefix="0" xfId="0"/>
    <xf numFmtId="0" fontId="28" fillId="29" borderId="2" applyAlignment="1" pivotButton="0" quotePrefix="0" xfId="0">
      <alignment horizontal="center" vertical="center" wrapText="1"/>
    </xf>
    <xf numFmtId="9" fontId="31" fillId="29" borderId="2" applyAlignment="1" pivotButton="0" quotePrefix="0" xfId="0">
      <alignment horizontal="center" vertical="center" wrapText="1"/>
    </xf>
    <xf numFmtId="0" fontId="31" fillId="29" borderId="2" applyAlignment="1" pivotButton="0" quotePrefix="0" xfId="0">
      <alignment horizontal="center" vertical="center" wrapText="1"/>
    </xf>
    <xf numFmtId="0" fontId="23" fillId="33" borderId="2" applyAlignment="1" pivotButton="0" quotePrefix="0" xfId="0">
      <alignment horizontal="center" vertical="center" wrapText="1"/>
    </xf>
    <xf numFmtId="0" fontId="30" fillId="32" borderId="2" pivotButton="0" quotePrefix="0" xfId="0"/>
    <xf numFmtId="0" fontId="28" fillId="32" borderId="2" applyAlignment="1" pivotButton="0" quotePrefix="0" xfId="0">
      <alignment horizontal="center" vertical="center" wrapText="1"/>
    </xf>
    <xf numFmtId="9" fontId="31" fillId="32" borderId="2" applyAlignment="1" pivotButton="0" quotePrefix="0" xfId="0">
      <alignment horizontal="center" vertical="center" wrapText="1"/>
    </xf>
    <xf numFmtId="0" fontId="31" fillId="32" borderId="2" applyAlignment="1" pivotButton="0" quotePrefix="0" xfId="0">
      <alignment horizontal="center" vertical="center" wrapText="1"/>
    </xf>
    <xf numFmtId="0" fontId="36" fillId="44" borderId="2" pivotButton="0" quotePrefix="0" xfId="0"/>
    <xf numFmtId="0" fontId="70" fillId="32" borderId="2" pivotButton="0" quotePrefix="0" xfId="0"/>
    <xf numFmtId="9" fontId="70" fillId="32" borderId="2" applyAlignment="1" pivotButton="0" quotePrefix="0" xfId="0">
      <alignment horizontal="center" vertical="center" wrapText="1"/>
    </xf>
    <xf numFmtId="0" fontId="23" fillId="50" borderId="2" applyAlignment="1" pivotButton="0" quotePrefix="0" xfId="0">
      <alignment horizontal="center" vertical="center" wrapText="1"/>
    </xf>
    <xf numFmtId="0" fontId="49" fillId="44" borderId="2" pivotButton="0" quotePrefix="0" xfId="0"/>
    <xf numFmtId="0" fontId="50" fillId="44" borderId="2" applyAlignment="1" pivotButton="0" quotePrefix="0" xfId="0">
      <alignment horizontal="center" vertical="center" wrapText="1"/>
    </xf>
    <xf numFmtId="0" fontId="49" fillId="44" borderId="2" applyAlignment="1" pivotButton="0" quotePrefix="0" xfId="0">
      <alignment horizontal="center" vertical="center" wrapText="1"/>
    </xf>
    <xf numFmtId="0" fontId="23" fillId="36" borderId="2" applyAlignment="1" pivotButton="0" quotePrefix="0" xfId="0">
      <alignment horizontal="center" vertical="center" wrapText="1"/>
    </xf>
    <xf numFmtId="0" fontId="30" fillId="35" borderId="2" pivotButton="0" quotePrefix="0" xfId="0"/>
    <xf numFmtId="0" fontId="28" fillId="35" borderId="2" applyAlignment="1" pivotButton="0" quotePrefix="0" xfId="0">
      <alignment horizontal="center" vertical="center" wrapText="1"/>
    </xf>
    <xf numFmtId="9" fontId="31" fillId="35" borderId="2" applyAlignment="1" pivotButton="0" quotePrefix="0" xfId="0">
      <alignment horizontal="center" vertical="center" wrapText="1"/>
    </xf>
    <xf numFmtId="0" fontId="31" fillId="35" borderId="2" applyAlignment="1" pivotButton="0" quotePrefix="0" xfId="0">
      <alignment horizontal="center" vertical="center" wrapText="1"/>
    </xf>
    <xf numFmtId="0" fontId="73" fillId="35" borderId="2" pivotButton="0" quotePrefix="0" xfId="0"/>
    <xf numFmtId="9" fontId="73" fillId="35" borderId="2" applyAlignment="1" pivotButton="0" quotePrefix="0" xfId="0">
      <alignment horizontal="center" vertical="center" wrapText="1"/>
    </xf>
    <xf numFmtId="0" fontId="23" fillId="39" borderId="2" applyAlignment="1" pivotButton="0" quotePrefix="0" xfId="0">
      <alignment horizontal="center" vertical="center" wrapText="1"/>
    </xf>
    <xf numFmtId="0" fontId="30" fillId="38" borderId="2" pivotButton="0" quotePrefix="0" xfId="0"/>
    <xf numFmtId="0" fontId="28" fillId="38" borderId="2" applyAlignment="1" pivotButton="0" quotePrefix="0" xfId="0">
      <alignment horizontal="center" vertical="center" wrapText="1"/>
    </xf>
    <xf numFmtId="9" fontId="31" fillId="38" borderId="2" applyAlignment="1" pivotButton="0" quotePrefix="0" xfId="0">
      <alignment horizontal="center" vertical="center" wrapText="1"/>
    </xf>
    <xf numFmtId="0" fontId="31" fillId="38" borderId="2" applyAlignment="1" pivotButton="0" quotePrefix="0" xfId="0">
      <alignment horizontal="center" vertical="center" wrapText="1"/>
    </xf>
    <xf numFmtId="0" fontId="76" fillId="38" borderId="2" pivotButton="0" quotePrefix="0" xfId="0"/>
    <xf numFmtId="9" fontId="76" fillId="38" borderId="2" applyAlignment="1" pivotButton="0" quotePrefix="0" xfId="0">
      <alignment horizontal="center" vertical="center" wrapText="1"/>
    </xf>
    <xf numFmtId="0" fontId="23" fillId="52" borderId="2" applyAlignment="1" pivotButton="0" quotePrefix="0" xfId="0">
      <alignment horizontal="center" vertical="center" wrapText="1"/>
    </xf>
    <xf numFmtId="0" fontId="30" fillId="41" borderId="2" pivotButton="0" quotePrefix="0" xfId="0"/>
    <xf numFmtId="0" fontId="28" fillId="41" borderId="2" applyAlignment="1" pivotButton="0" quotePrefix="0" xfId="0">
      <alignment horizontal="center" vertical="center" wrapText="1"/>
    </xf>
    <xf numFmtId="9" fontId="31" fillId="41" borderId="2" applyAlignment="1" pivotButton="0" quotePrefix="0" xfId="0">
      <alignment horizontal="center" vertical="center" wrapText="1"/>
    </xf>
    <xf numFmtId="0" fontId="31" fillId="41" borderId="2" applyAlignment="1" pivotButton="0" quotePrefix="0" xfId="0">
      <alignment horizontal="center" vertical="center" wrapText="1"/>
    </xf>
    <xf numFmtId="0" fontId="38" fillId="44" borderId="2" pivotButton="0" quotePrefix="0" xfId="0"/>
    <xf numFmtId="0" fontId="79" fillId="44" borderId="2" applyAlignment="1" pivotButton="0" quotePrefix="0" xfId="0">
      <alignment horizontal="center" vertical="center" wrapText="1"/>
    </xf>
    <xf numFmtId="0" fontId="38" fillId="44" borderId="2" applyAlignment="1" pivotButton="0" quotePrefix="0" xfId="0">
      <alignment horizontal="center" vertical="center" wrapText="1"/>
    </xf>
    <xf numFmtId="0" fontId="23" fillId="49" borderId="2" applyAlignment="1" pivotButton="0" quotePrefix="0" xfId="0">
      <alignment horizontal="center" vertical="center" wrapText="1"/>
    </xf>
    <xf numFmtId="0" fontId="30" fillId="44" borderId="2" pivotButton="0" quotePrefix="0" xfId="0"/>
    <xf numFmtId="0" fontId="28" fillId="44" borderId="2" applyAlignment="1" pivotButton="0" quotePrefix="0" xfId="0">
      <alignment horizontal="center" vertical="center" wrapText="1"/>
    </xf>
    <xf numFmtId="9" fontId="31" fillId="44" borderId="2" applyAlignment="1" pivotButton="0" quotePrefix="0" xfId="0">
      <alignment horizontal="center" vertical="center" wrapText="1"/>
    </xf>
    <xf numFmtId="0" fontId="31" fillId="44" borderId="2" applyAlignment="1" pivotButton="0" quotePrefix="0" xfId="0">
      <alignment horizontal="center" vertical="center" wrapText="1"/>
    </xf>
    <xf numFmtId="0" fontId="82" fillId="22" borderId="2" pivotButton="0" quotePrefix="0" xfId="0"/>
    <xf numFmtId="0" fontId="42" fillId="22" borderId="2" applyAlignment="1" pivotButton="0" quotePrefix="0" xfId="0">
      <alignment horizontal="center" vertical="center" wrapText="1"/>
    </xf>
    <xf numFmtId="0" fontId="82" fillId="22" borderId="2" applyAlignment="1" pivotButton="0" quotePrefix="0" xfId="0">
      <alignment horizontal="center" vertical="center" wrapText="1"/>
    </xf>
    <xf numFmtId="0" fontId="34" fillId="19" borderId="2" pivotButton="0" quotePrefix="0" xfId="0"/>
    <xf numFmtId="0" fontId="11" fillId="19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3" fillId="25" borderId="0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5" fillId="29" borderId="0" applyAlignment="1" pivotButton="0" quotePrefix="0" xfId="0">
      <alignment horizontal="center" vertical="center" wrapText="1"/>
    </xf>
    <xf numFmtId="0" fontId="1" fillId="31" borderId="0" applyAlignment="1" pivotButton="0" quotePrefix="0" xfId="0">
      <alignment horizontal="center" vertical="center" wrapText="1"/>
    </xf>
    <xf numFmtId="0" fontId="16" fillId="32" borderId="0" applyAlignment="1" pivotButton="0" quotePrefix="0" xfId="0">
      <alignment horizontal="center" vertical="center" wrapText="1"/>
    </xf>
    <xf numFmtId="0" fontId="3" fillId="31" borderId="0" applyAlignment="1" pivotButton="0" quotePrefix="0" xfId="0">
      <alignment horizontal="center" vertical="center" wrapText="1"/>
    </xf>
    <xf numFmtId="0" fontId="1" fillId="34" borderId="0" applyAlignment="1" pivotButton="0" quotePrefix="0" xfId="0">
      <alignment horizontal="center" vertical="center" wrapText="1"/>
    </xf>
    <xf numFmtId="0" fontId="17" fillId="35" borderId="0" applyAlignment="1" pivotButton="0" quotePrefix="0" xfId="0">
      <alignment horizontal="center" vertical="center" wrapText="1"/>
    </xf>
    <xf numFmtId="0" fontId="3" fillId="34" borderId="0" applyAlignment="1" pivotButton="0" quotePrefix="0" xfId="0">
      <alignment horizontal="center" vertical="center" wrapText="1"/>
    </xf>
    <xf numFmtId="0" fontId="1" fillId="37" borderId="0" applyAlignment="1" pivotButton="0" quotePrefix="0" xfId="0">
      <alignment horizontal="center" vertical="center" wrapText="1"/>
    </xf>
    <xf numFmtId="0" fontId="18" fillId="38" borderId="0" applyAlignment="1" pivotButton="0" quotePrefix="0" xfId="0">
      <alignment horizontal="center" vertical="center" wrapText="1"/>
    </xf>
    <xf numFmtId="0" fontId="3" fillId="37" borderId="0" applyAlignment="1" pivotButton="0" quotePrefix="0" xfId="0">
      <alignment horizontal="center" vertical="center" wrapText="1"/>
    </xf>
    <xf numFmtId="0" fontId="1" fillId="40" borderId="0" applyAlignment="1" pivotButton="0" quotePrefix="0" xfId="0">
      <alignment horizontal="center" vertical="center" wrapText="1"/>
    </xf>
    <xf numFmtId="0" fontId="19" fillId="41" borderId="0" applyAlignment="1" pivotButton="0" quotePrefix="0" xfId="0">
      <alignment horizontal="center" vertical="center" wrapText="1"/>
    </xf>
    <xf numFmtId="0" fontId="3" fillId="40" borderId="0" applyAlignment="1" pivotButton="0" quotePrefix="0" xfId="0">
      <alignment horizontal="center" vertical="center" wrapText="1"/>
    </xf>
    <xf numFmtId="0" fontId="1" fillId="43" borderId="0" applyAlignment="1" pivotButton="0" quotePrefix="0" xfId="0">
      <alignment horizontal="center" vertical="center" wrapText="1"/>
    </xf>
    <xf numFmtId="0" fontId="20" fillId="44" borderId="0" applyAlignment="1" pivotButton="0" quotePrefix="0" xfId="0">
      <alignment horizontal="center" vertical="center" wrapText="1"/>
    </xf>
    <xf numFmtId="0" fontId="3" fillId="43" borderId="0" applyAlignment="1" pivotButton="0" quotePrefix="0" xfId="0">
      <alignment horizontal="center" vertical="center" wrapText="1"/>
    </xf>
    <xf numFmtId="0" fontId="21" fillId="7" borderId="0" applyAlignment="1" pivotButton="0" quotePrefix="0" xfId="0">
      <alignment horizontal="left" vertical="center" indent="2"/>
    </xf>
    <xf numFmtId="0" fontId="22" fillId="18" borderId="0" applyAlignment="1" pivotButton="0" quotePrefix="0" xfId="0">
      <alignment horizontal="left" vertical="center" indent="2"/>
    </xf>
    <xf numFmtId="0" fontId="23" fillId="7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45" borderId="0" applyAlignment="1" pivotButton="0" quotePrefix="0" xfId="0">
      <alignment horizontal="center" vertical="center" wrapText="1"/>
    </xf>
    <xf numFmtId="3" fontId="24" fillId="7" borderId="0" applyAlignment="1" pivotButton="0" quotePrefix="0" xfId="0">
      <alignment horizontal="center" vertical="center" wrapText="1"/>
    </xf>
    <xf numFmtId="3" fontId="24" fillId="18" borderId="0" applyAlignment="1" pivotButton="0" quotePrefix="0" xfId="0">
      <alignment horizontal="center" vertical="center" wrapText="1"/>
    </xf>
    <xf numFmtId="3" fontId="24" fillId="20" borderId="0" applyAlignment="1" pivotButton="0" quotePrefix="0" xfId="0">
      <alignment horizontal="center" vertical="center" wrapText="1"/>
    </xf>
    <xf numFmtId="3" fontId="24" fillId="45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0" fillId="45" borderId="0" pivotButton="0" quotePrefix="0" xfId="0"/>
    <xf numFmtId="0" fontId="23" fillId="10" borderId="0" applyAlignment="1" pivotButton="0" quotePrefix="0" xfId="0">
      <alignment horizontal="center" vertical="center" wrapText="1"/>
    </xf>
    <xf numFmtId="0" fontId="23" fillId="16" borderId="0" applyAlignment="1" pivotButton="0" quotePrefix="0" xfId="0">
      <alignment horizontal="center" vertical="center" wrapText="1"/>
    </xf>
    <xf numFmtId="0" fontId="23" fillId="47" borderId="0" applyAlignment="1" pivotButton="0" quotePrefix="0" xfId="0">
      <alignment horizontal="center" vertical="center" wrapText="1"/>
    </xf>
    <xf numFmtId="0" fontId="23" fillId="26" borderId="0" applyAlignment="1" pivotButton="0" quotePrefix="0" xfId="0">
      <alignment horizontal="center" vertical="center" wrapText="1"/>
    </xf>
    <xf numFmtId="9" fontId="24" fillId="10" borderId="0" applyAlignment="1" pivotButton="0" quotePrefix="0" xfId="0">
      <alignment horizontal="center" vertical="center" wrapText="1"/>
    </xf>
    <xf numFmtId="166" fontId="24" fillId="16" borderId="0" applyAlignment="1" pivotButton="0" quotePrefix="0" xfId="0">
      <alignment horizontal="center" vertical="center" wrapText="1"/>
    </xf>
    <xf numFmtId="9" fontId="24" fillId="47" borderId="0" applyAlignment="1" pivotButton="0" quotePrefix="0" xfId="0">
      <alignment horizontal="center" vertical="center" wrapText="1"/>
    </xf>
    <xf numFmtId="3" fontId="24" fillId="26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6" borderId="0" pivotButton="0" quotePrefix="0" xfId="0"/>
    <xf numFmtId="0" fontId="0" fillId="47" borderId="0" pivotButton="0" quotePrefix="0" xfId="0"/>
    <xf numFmtId="0" fontId="0" fillId="26" borderId="0" pivotButton="0" quotePrefix="0" xfId="0"/>
    <xf numFmtId="0" fontId="25" fillId="14" borderId="0" applyAlignment="1" pivotButton="0" quotePrefix="0" xfId="0">
      <alignment horizontal="left" vertical="center" wrapText="1"/>
    </xf>
    <xf numFmtId="0" fontId="42" fillId="46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 vertical="center" indent="2"/>
    </xf>
    <xf numFmtId="0" fontId="43" fillId="48" borderId="0" applyAlignment="1" pivotButton="0" quotePrefix="0" xfId="0">
      <alignment horizontal="left" vertical="center" indent="2"/>
    </xf>
    <xf numFmtId="0" fontId="23" fillId="2" borderId="0" applyAlignment="1" pivotButton="0" quotePrefix="0" xfId="0">
      <alignment horizontal="center" vertical="center" wrapText="1"/>
    </xf>
    <xf numFmtId="0" fontId="23" fillId="49" borderId="0" applyAlignment="1" pivotButton="0" quotePrefix="0" xfId="0">
      <alignment horizontal="center" vertical="center" wrapText="1"/>
    </xf>
    <xf numFmtId="3" fontId="24" fillId="2" borderId="0" applyAlignment="1" pivotButton="0" quotePrefix="0" xfId="0">
      <alignment horizontal="center" vertical="center" wrapText="1"/>
    </xf>
    <xf numFmtId="9" fontId="24" fillId="49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0" fillId="49" borderId="0" pivotButton="0" quotePrefix="0" xfId="0"/>
    <xf numFmtId="3" fontId="24" fillId="10" borderId="0" applyAlignment="1" pivotButton="0" quotePrefix="0" xfId="0">
      <alignment horizontal="center" vertical="center" wrapText="1"/>
    </xf>
    <xf numFmtId="3" fontId="24" fillId="16" borderId="0" applyAlignment="1" pivotButton="0" quotePrefix="0" xfId="0">
      <alignment horizontal="center" vertical="center" wrapText="1"/>
    </xf>
    <xf numFmtId="167" fontId="24" fillId="5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6" borderId="0" pivotButton="0" quotePrefix="0" xfId="0"/>
    <xf numFmtId="0" fontId="0" fillId="50" borderId="0" pivotButton="0" quotePrefix="0" xfId="0"/>
    <xf numFmtId="0" fontId="0" fillId="26" borderId="0" pivotButton="0" quotePrefix="0" xfId="0"/>
    <xf numFmtId="0" fontId="44" fillId="14" borderId="0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 indent="2"/>
    </xf>
    <xf numFmtId="0" fontId="47" fillId="16" borderId="0" applyAlignment="1" pivotButton="0" quotePrefix="0" xfId="0">
      <alignment horizontal="left" vertical="center" indent="2"/>
    </xf>
    <xf numFmtId="0" fontId="23" fillId="4" borderId="0" applyAlignment="1" pivotButton="0" quotePrefix="0" xfId="0">
      <alignment horizontal="center" vertical="center" wrapText="1"/>
    </xf>
    <xf numFmtId="3" fontId="24" fillId="4" borderId="0" applyAlignment="1" pivotButton="0" quotePrefix="0" xfId="0">
      <alignment horizontal="center" vertical="center" wrapText="1"/>
    </xf>
    <xf numFmtId="3" fontId="24" fillId="50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8" fillId="14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indent="2"/>
    </xf>
    <xf numFmtId="0" fontId="53" fillId="20" borderId="0" applyAlignment="1" pivotButton="0" quotePrefix="0" xfId="0">
      <alignment horizontal="left" vertical="center" indent="2"/>
    </xf>
    <xf numFmtId="0" fontId="23" fillId="5" borderId="0" applyAlignment="1" pivotButton="0" quotePrefix="0" xfId="0">
      <alignment horizontal="center" vertical="center" wrapText="1"/>
    </xf>
    <xf numFmtId="3" fontId="24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9" fontId="24" fillId="16" borderId="0" applyAlignment="1" pivotButton="0" quotePrefix="0" xfId="0">
      <alignment horizontal="center" vertical="center" wrapText="1"/>
    </xf>
    <xf numFmtId="0" fontId="54" fillId="14" borderId="0" applyAlignment="1" pivotButton="0" quotePrefix="0" xfId="0">
      <alignment horizontal="left" vertical="center" wrapText="1"/>
    </xf>
    <xf numFmtId="0" fontId="21" fillId="21" borderId="0" applyAlignment="1" pivotButton="0" quotePrefix="0" xfId="0">
      <alignment horizontal="left" vertical="center" indent="2"/>
    </xf>
    <xf numFmtId="0" fontId="58" fillId="51" borderId="0" applyAlignment="1" pivotButton="0" quotePrefix="0" xfId="0">
      <alignment horizontal="left" vertical="center" indent="2"/>
    </xf>
    <xf numFmtId="0" fontId="23" fillId="21" borderId="0" applyAlignment="1" pivotButton="0" quotePrefix="0" xfId="0">
      <alignment horizontal="center" vertical="center" wrapText="1"/>
    </xf>
    <xf numFmtId="3" fontId="24" fillId="21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59" fillId="14" borderId="0" applyAlignment="1" pivotButton="0" quotePrefix="0" xfId="0">
      <alignment horizontal="left" vertical="center" wrapText="1"/>
    </xf>
    <xf numFmtId="0" fontId="21" fillId="24" borderId="0" applyAlignment="1" pivotButton="0" quotePrefix="0" xfId="0">
      <alignment horizontal="left" vertical="center" indent="2"/>
    </xf>
    <xf numFmtId="0" fontId="60" fillId="26" borderId="0" applyAlignment="1" pivotButton="0" quotePrefix="0" xfId="0">
      <alignment horizontal="left" vertical="center" indent="2"/>
    </xf>
    <xf numFmtId="0" fontId="23" fillId="24" borderId="0" applyAlignment="1" pivotButton="0" quotePrefix="0" xfId="0">
      <alignment horizontal="center" vertical="center" wrapText="1"/>
    </xf>
    <xf numFmtId="3" fontId="24" fillId="24" borderId="0" applyAlignment="1" pivotButton="0" quotePrefix="0" xfId="0">
      <alignment horizontal="center" vertical="center" wrapText="1"/>
    </xf>
    <xf numFmtId="0" fontId="0" fillId="24" borderId="0" pivotButton="0" quotePrefix="0" xfId="0"/>
    <xf numFmtId="0" fontId="61" fillId="14" borderId="0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left" vertical="center" indent="2"/>
    </xf>
    <xf numFmtId="0" fontId="63" fillId="28" borderId="0" applyAlignment="1" pivotButton="0" quotePrefix="0" xfId="0">
      <alignment horizontal="left" vertical="center" indent="2"/>
    </xf>
    <xf numFmtId="0" fontId="23" fillId="9" borderId="0" applyAlignment="1" pivotButton="0" quotePrefix="0" xfId="0">
      <alignment horizontal="center" vertical="center" wrapText="1"/>
    </xf>
    <xf numFmtId="3" fontId="24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64" fillId="14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left" vertical="center" indent="2"/>
    </xf>
    <xf numFmtId="0" fontId="66" fillId="30" borderId="0" applyAlignment="1" pivotButton="0" quotePrefix="0" xfId="0">
      <alignment horizontal="left" vertical="center" indent="2"/>
    </xf>
    <xf numFmtId="0" fontId="23" fillId="8" borderId="0" applyAlignment="1" pivotButton="0" quotePrefix="0" xfId="0">
      <alignment horizontal="center" vertical="center" wrapText="1"/>
    </xf>
    <xf numFmtId="3" fontId="24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166" fontId="24" fillId="10" borderId="0" applyAlignment="1" pivotButton="0" quotePrefix="0" xfId="0">
      <alignment horizontal="center" vertical="center" wrapText="1"/>
    </xf>
    <xf numFmtId="0" fontId="67" fillId="14" borderId="0" applyAlignment="1" pivotButton="0" quotePrefix="0" xfId="0">
      <alignment horizontal="left" vertical="center" wrapText="1"/>
    </xf>
    <xf numFmtId="0" fontId="21" fillId="31" borderId="0" applyAlignment="1" pivotButton="0" quotePrefix="0" xfId="0">
      <alignment horizontal="left" vertical="center" indent="2"/>
    </xf>
    <xf numFmtId="0" fontId="68" fillId="33" borderId="0" applyAlignment="1" pivotButton="0" quotePrefix="0" xfId="0">
      <alignment horizontal="left" vertical="center" indent="2"/>
    </xf>
    <xf numFmtId="0" fontId="23" fillId="31" borderId="0" applyAlignment="1" pivotButton="0" quotePrefix="0" xfId="0">
      <alignment horizontal="center" vertical="center" wrapText="1"/>
    </xf>
    <xf numFmtId="3" fontId="24" fillId="31" borderId="0" applyAlignment="1" pivotButton="0" quotePrefix="0" xfId="0">
      <alignment horizontal="center" vertical="center" wrapText="1"/>
    </xf>
    <xf numFmtId="3" fontId="24" fillId="49" borderId="0" applyAlignment="1" pivotButton="0" quotePrefix="0" xfId="0">
      <alignment horizontal="center" vertical="center" wrapText="1"/>
    </xf>
    <xf numFmtId="0" fontId="0" fillId="31" borderId="0" pivotButton="0" quotePrefix="0" xfId="0"/>
    <xf numFmtId="9" fontId="24" fillId="18" borderId="0" applyAlignment="1" pivotButton="0" quotePrefix="0" xfId="0">
      <alignment horizontal="center" vertical="center" wrapText="1"/>
    </xf>
    <xf numFmtId="0" fontId="69" fillId="14" borderId="0" applyAlignment="1" pivotButton="0" quotePrefix="0" xfId="0">
      <alignment horizontal="left" vertical="center" wrapText="1"/>
    </xf>
    <xf numFmtId="0" fontId="58" fillId="50" borderId="0" applyAlignment="1" pivotButton="0" quotePrefix="0" xfId="0">
      <alignment horizontal="left" vertical="center" indent="2"/>
    </xf>
    <xf numFmtId="167" fontId="24" fillId="10" borderId="0" applyAlignment="1" pivotButton="0" quotePrefix="0" xfId="0">
      <alignment horizontal="center" vertical="center" wrapText="1"/>
    </xf>
    <xf numFmtId="0" fontId="21" fillId="34" borderId="0" applyAlignment="1" pivotButton="0" quotePrefix="0" xfId="0">
      <alignment horizontal="left" vertical="center" indent="2"/>
    </xf>
    <xf numFmtId="0" fontId="71" fillId="36" borderId="0" applyAlignment="1" pivotButton="0" quotePrefix="0" xfId="0">
      <alignment horizontal="left" vertical="center" indent="2"/>
    </xf>
    <xf numFmtId="0" fontId="23" fillId="34" borderId="0" applyAlignment="1" pivotButton="0" quotePrefix="0" xfId="0">
      <alignment horizontal="center" vertical="center" wrapText="1"/>
    </xf>
    <xf numFmtId="3" fontId="24" fillId="34" borderId="0" applyAlignment="1" pivotButton="0" quotePrefix="0" xfId="0">
      <alignment horizontal="center" vertical="center" wrapText="1"/>
    </xf>
    <xf numFmtId="0" fontId="0" fillId="34" borderId="0" pivotButton="0" quotePrefix="0" xfId="0"/>
    <xf numFmtId="0" fontId="72" fillId="14" borderId="0" applyAlignment="1" pivotButton="0" quotePrefix="0" xfId="0">
      <alignment horizontal="left" vertical="center" wrapText="1"/>
    </xf>
    <xf numFmtId="0" fontId="21" fillId="37" borderId="0" applyAlignment="1" pivotButton="0" quotePrefix="0" xfId="0">
      <alignment horizontal="left" vertical="center" indent="2"/>
    </xf>
    <xf numFmtId="0" fontId="74" fillId="39" borderId="0" applyAlignment="1" pivotButton="0" quotePrefix="0" xfId="0">
      <alignment horizontal="left" vertical="center" indent="2"/>
    </xf>
    <xf numFmtId="0" fontId="23" fillId="37" borderId="0" applyAlignment="1" pivotButton="0" quotePrefix="0" xfId="0">
      <alignment horizontal="center" vertical="center" wrapText="1"/>
    </xf>
    <xf numFmtId="3" fontId="24" fillId="37" borderId="0" applyAlignment="1" pivotButton="0" quotePrefix="0" xfId="0">
      <alignment horizontal="center" vertical="center" wrapText="1"/>
    </xf>
    <xf numFmtId="0" fontId="0" fillId="37" borderId="0" pivotButton="0" quotePrefix="0" xfId="0"/>
    <xf numFmtId="167" fontId="24" fillId="26" borderId="0" applyAlignment="1" pivotButton="0" quotePrefix="0" xfId="0">
      <alignment horizontal="center" vertical="center" wrapText="1"/>
    </xf>
    <xf numFmtId="0" fontId="75" fillId="14" borderId="0" applyAlignment="1" pivotButton="0" quotePrefix="0" xfId="0">
      <alignment horizontal="left" vertical="center" wrapText="1"/>
    </xf>
    <xf numFmtId="0" fontId="21" fillId="40" borderId="0" applyAlignment="1" pivotButton="0" quotePrefix="0" xfId="0">
      <alignment horizontal="left" vertical="center" indent="2"/>
    </xf>
    <xf numFmtId="0" fontId="77" fillId="52" borderId="0" applyAlignment="1" pivotButton="0" quotePrefix="0" xfId="0">
      <alignment horizontal="left" vertical="center" indent="2"/>
    </xf>
    <xf numFmtId="0" fontId="23" fillId="40" borderId="0" applyAlignment="1" pivotButton="0" quotePrefix="0" xfId="0">
      <alignment horizontal="center" vertical="center" wrapText="1"/>
    </xf>
    <xf numFmtId="3" fontId="24" fillId="40" borderId="0" applyAlignment="1" pivotButton="0" quotePrefix="0" xfId="0">
      <alignment horizontal="center" vertical="center" wrapText="1"/>
    </xf>
    <xf numFmtId="0" fontId="0" fillId="40" borderId="0" pivotButton="0" quotePrefix="0" xfId="0"/>
    <xf numFmtId="0" fontId="78" fillId="14" borderId="0" applyAlignment="1" pivotButton="0" quotePrefix="0" xfId="0">
      <alignment horizontal="left" vertical="center" wrapText="1"/>
    </xf>
    <xf numFmtId="168" fontId="24" fillId="10" borderId="0" applyAlignment="1" pivotButton="0" quotePrefix="0" xfId="0">
      <alignment horizontal="center" vertical="center" wrapText="1"/>
    </xf>
    <xf numFmtId="0" fontId="21" fillId="43" borderId="0" applyAlignment="1" pivotButton="0" quotePrefix="0" xfId="0">
      <alignment horizontal="left" vertical="center" indent="2"/>
    </xf>
    <xf numFmtId="0" fontId="80" fillId="49" borderId="0" applyAlignment="1" pivotButton="0" quotePrefix="0" xfId="0">
      <alignment horizontal="left" vertical="center" indent="2"/>
    </xf>
    <xf numFmtId="0" fontId="23" fillId="43" borderId="0" applyAlignment="1" pivotButton="0" quotePrefix="0" xfId="0">
      <alignment horizontal="center" vertical="center" wrapText="1"/>
    </xf>
    <xf numFmtId="3" fontId="24" fillId="43" borderId="0" applyAlignment="1" pivotButton="0" quotePrefix="0" xfId="0">
      <alignment horizontal="center" vertical="center" wrapText="1"/>
    </xf>
    <xf numFmtId="0" fontId="0" fillId="43" borderId="0" pivotButton="0" quotePrefix="0" xfId="0"/>
    <xf numFmtId="0" fontId="81" fillId="14" borderId="0" applyAlignment="1" pivotButton="0" quotePrefix="0" xfId="0">
      <alignment horizontal="left" vertical="center" wrapText="1"/>
    </xf>
    <xf numFmtId="0" fontId="83" fillId="53" borderId="0" pivotButton="0" quotePrefix="0" xfId="0"/>
    <xf numFmtId="0" fontId="84" fillId="0" borderId="0" pivotButton="0" quotePrefix="0" xfId="0"/>
    <xf numFmtId="0" fontId="85" fillId="54" borderId="3" applyAlignment="1" pivotButton="0" quotePrefix="0" xfId="0">
      <alignment horizontal="center" wrapText="1"/>
    </xf>
    <xf numFmtId="0" fontId="86" fillId="0" borderId="3" pivotButton="0" quotePrefix="0" xfId="0"/>
    <xf numFmtId="0" fontId="92" fillId="54" borderId="4" applyAlignment="1" pivotButton="0" quotePrefix="0" xfId="0">
      <alignment horizontal="center" vertical="center" wrapText="1"/>
    </xf>
    <xf numFmtId="0" fontId="86" fillId="0" borderId="4" pivotButton="0" quotePrefix="0" xfId="0"/>
    <xf numFmtId="0" fontId="87" fillId="55" borderId="0" pivotButton="0" quotePrefix="0" xfId="0"/>
    <xf numFmtId="0" fontId="88" fillId="56" borderId="0" pivotButton="0" quotePrefix="0" xfId="0"/>
    <xf numFmtId="0" fontId="89" fillId="57" borderId="4" pivotButton="0" quotePrefix="0" xfId="0"/>
    <xf numFmtId="0" fontId="90" fillId="58" borderId="4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left" vertical="center" wrapText="1"/>
    </xf>
    <xf numFmtId="1" fontId="90" fillId="58" borderId="4" applyAlignment="1" pivotButton="0" quotePrefix="0" xfId="0">
      <alignment horizontal="center" vertical="center" wrapText="1"/>
    </xf>
    <xf numFmtId="3" fontId="90" fillId="58" borderId="4" applyAlignment="1" pivotButton="0" quotePrefix="0" xfId="0">
      <alignment horizontal="center" vertical="center" wrapText="1"/>
    </xf>
    <xf numFmtId="9" fontId="90" fillId="58" borderId="4" applyAlignment="1" pivotButton="0" quotePrefix="0" xfId="0">
      <alignment horizontal="center" vertical="center" wrapText="1"/>
    </xf>
    <xf numFmtId="2" fontId="90" fillId="58" borderId="4" applyAlignment="1" pivotButton="0" quotePrefix="0" xfId="0">
      <alignment horizontal="center" vertical="center" wrapText="1"/>
    </xf>
    <xf numFmtId="0" fontId="87" fillId="59" borderId="0" pivotButton="0" quotePrefix="0" xfId="0"/>
    <xf numFmtId="0" fontId="93" fillId="59" borderId="0" applyAlignment="1" pivotButton="0" quotePrefix="0" xfId="0">
      <alignment horizontal="center" vertical="center" wrapText="1"/>
    </xf>
    <xf numFmtId="0" fontId="0" fillId="59" borderId="0" pivotButton="0" quotePrefix="0" xfId="0"/>
    <xf numFmtId="0" fontId="92" fillId="60" borderId="4" applyAlignment="1" pivotButton="0" quotePrefix="0" xfId="0">
      <alignment horizontal="center" vertical="center" wrapText="1"/>
    </xf>
    <xf numFmtId="0" fontId="94" fillId="61" borderId="0" applyAlignment="1" pivotButton="0" quotePrefix="0" xfId="0">
      <alignment horizontal="center" vertical="center" wrapText="1"/>
    </xf>
    <xf numFmtId="0" fontId="95" fillId="61" borderId="4" pivotButton="0" quotePrefix="0" xfId="0"/>
    <xf numFmtId="0" fontId="95" fillId="58" borderId="4" pivotButton="0" quotePrefix="0" xfId="0"/>
    <xf numFmtId="169" fontId="95" fillId="58" borderId="4" pivotButton="0" quotePrefix="0" xfId="0"/>
    <xf numFmtId="0" fontId="95" fillId="0" borderId="0" pivotButton="0" quotePrefix="0" xfId="0"/>
    <xf numFmtId="169" fontId="95" fillId="0" borderId="0" pivotButton="0" quotePrefix="0" xfId="0"/>
    <xf numFmtId="0" fontId="107" fillId="0" borderId="0" pivotButton="0" quotePrefix="0" xfId="0"/>
    <xf numFmtId="0" fontId="97" fillId="0" borderId="0" pivotButton="0" quotePrefix="0" xfId="0"/>
    <xf numFmtId="0" fontId="92" fillId="69" borderId="0" applyAlignment="1" pivotButton="0" quotePrefix="0" xfId="0">
      <alignment horizontal="center" vertical="center" wrapText="1"/>
    </xf>
    <xf numFmtId="0" fontId="0" fillId="69" borderId="0" pivotButton="0" quotePrefix="0" xfId="0"/>
    <xf numFmtId="0" fontId="92" fillId="66" borderId="0" applyAlignment="1" pivotButton="0" quotePrefix="0" xfId="0">
      <alignment horizontal="center" vertical="center" wrapText="1"/>
    </xf>
    <xf numFmtId="0" fontId="0" fillId="66" borderId="0" pivotButton="0" quotePrefix="0" xfId="0"/>
    <xf numFmtId="0" fontId="92" fillId="60" borderId="0" applyAlignment="1" pivotButton="0" quotePrefix="0" xfId="0">
      <alignment horizontal="center" vertical="center" wrapText="1"/>
    </xf>
    <xf numFmtId="0" fontId="0" fillId="60" borderId="0" pivotButton="0" quotePrefix="0" xfId="0"/>
    <xf numFmtId="0" fontId="92" fillId="65" borderId="0" applyAlignment="1" pivotButton="0" quotePrefix="0" xfId="0">
      <alignment horizontal="center" vertical="center" wrapText="1"/>
    </xf>
    <xf numFmtId="0" fontId="0" fillId="65" borderId="0" pivotButton="0" quotePrefix="0" xfId="0"/>
    <xf numFmtId="2" fontId="108" fillId="62" borderId="4" applyAlignment="1" pivotButton="0" quotePrefix="0" xfId="0">
      <alignment horizontal="center" vertical="center" wrapText="1"/>
    </xf>
    <xf numFmtId="0" fontId="0" fillId="62" borderId="4" pivotButton="0" quotePrefix="0" xfId="0"/>
    <xf numFmtId="2" fontId="103" fillId="62" borderId="4" applyAlignment="1" pivotButton="0" quotePrefix="0" xfId="0">
      <alignment horizontal="center" vertical="center" wrapText="1"/>
    </xf>
    <xf numFmtId="3" fontId="101" fillId="62" borderId="4" applyAlignment="1" pivotButton="0" quotePrefix="0" xfId="0">
      <alignment horizontal="center" vertical="center" wrapText="1"/>
    </xf>
    <xf numFmtId="3" fontId="102" fillId="62" borderId="4" applyAlignment="1" pivotButton="0" quotePrefix="0" xfId="0">
      <alignment horizontal="center" vertical="center" wrapText="1"/>
    </xf>
    <xf numFmtId="0" fontId="92" fillId="64" borderId="0" applyAlignment="1" pivotButton="0" quotePrefix="0" xfId="0">
      <alignment horizontal="center" vertical="center" wrapText="1"/>
    </xf>
    <xf numFmtId="0" fontId="0" fillId="64" borderId="0" pivotButton="0" quotePrefix="0" xfId="0"/>
    <xf numFmtId="0" fontId="92" fillId="68" borderId="0" applyAlignment="1" pivotButton="0" quotePrefix="0" xfId="0">
      <alignment horizontal="center" vertical="center" wrapText="1"/>
    </xf>
    <xf numFmtId="0" fontId="0" fillId="68" borderId="0" pivotButton="0" quotePrefix="0" xfId="0"/>
    <xf numFmtId="0" fontId="92" fillId="63" borderId="0" applyAlignment="1" pivotButton="0" quotePrefix="0" xfId="0">
      <alignment horizontal="center" vertical="center" wrapText="1"/>
    </xf>
    <xf numFmtId="0" fontId="0" fillId="63" borderId="0" pivotButton="0" quotePrefix="0" xfId="0"/>
    <xf numFmtId="0" fontId="92" fillId="67" borderId="0" applyAlignment="1" pivotButton="0" quotePrefix="0" xfId="0">
      <alignment horizontal="center" vertical="center" wrapText="1"/>
    </xf>
    <xf numFmtId="0" fontId="0" fillId="67" borderId="0" pivotButton="0" quotePrefix="0" xfId="0"/>
    <xf numFmtId="170" fontId="100" fillId="62" borderId="4" applyAlignment="1" pivotButton="0" quotePrefix="0" xfId="0">
      <alignment horizontal="center" vertical="center" wrapText="1"/>
    </xf>
    <xf numFmtId="170" fontId="105" fillId="62" borderId="4" applyAlignment="1" pivotButton="0" quotePrefix="0" xfId="0">
      <alignment horizontal="center" vertical="center" wrapText="1"/>
    </xf>
    <xf numFmtId="170" fontId="99" fillId="62" borderId="4" applyAlignment="1" pivotButton="0" quotePrefix="0" xfId="0">
      <alignment horizontal="center" vertical="center" wrapText="1"/>
    </xf>
    <xf numFmtId="3" fontId="104" fillId="62" borderId="4" applyAlignment="1" pivotButton="0" quotePrefix="0" xfId="0">
      <alignment horizontal="center" vertical="center" wrapText="1"/>
    </xf>
    <xf numFmtId="0" fontId="88" fillId="69" borderId="0" applyAlignment="1" pivotButton="0" quotePrefix="0" xfId="0">
      <alignment horizontal="left" vertical="center" wrapText="1"/>
    </xf>
    <xf numFmtId="0" fontId="92" fillId="69" borderId="4" applyAlignment="1" pivotButton="0" quotePrefix="0" xfId="0">
      <alignment horizontal="center" vertical="center" wrapText="1"/>
    </xf>
    <xf numFmtId="0" fontId="106" fillId="0" borderId="4" pivotButton="0" quotePrefix="0" xfId="0"/>
    <xf numFmtId="0" fontId="106" fillId="0" borderId="4" applyAlignment="1" pivotButton="0" quotePrefix="0" xfId="0">
      <alignment horizontal="center" vertical="center" wrapText="1"/>
    </xf>
    <xf numFmtId="0" fontId="88" fillId="69" borderId="0" pivotButton="0" quotePrefix="0" xfId="0"/>
    <xf numFmtId="0" fontId="93" fillId="7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88" fillId="64" borderId="0" applyAlignment="1" pivotButton="0" quotePrefix="0" xfId="0">
      <alignment horizontal="left" vertical="center" wrapText="1"/>
    </xf>
    <xf numFmtId="0" fontId="88" fillId="60" borderId="0" applyAlignment="1" pivotButton="0" quotePrefix="0" xfId="0">
      <alignment horizontal="left" vertical="center" wrapText="1"/>
    </xf>
    <xf numFmtId="0" fontId="92" fillId="64" borderId="4" applyAlignment="1" pivotButton="0" quotePrefix="0" xfId="0">
      <alignment horizontal="center" vertical="center" wrapText="1"/>
    </xf>
    <xf numFmtId="2" fontId="106" fillId="0" borderId="4" applyAlignment="1" pivotButton="0" quotePrefix="0" xfId="0">
      <alignment horizontal="center" vertical="center" wrapText="1"/>
    </xf>
    <xf numFmtId="170" fontId="106" fillId="0" borderId="4" applyAlignment="1" pivotButton="0" quotePrefix="0" xfId="0">
      <alignment horizontal="center" vertical="center" wrapText="1"/>
    </xf>
    <xf numFmtId="0" fontId="109" fillId="71" borderId="0" pivotButton="0" quotePrefix="0" xfId="0"/>
    <xf numFmtId="0" fontId="110" fillId="72" borderId="0" applyAlignment="1" pivotButton="0" quotePrefix="0" xfId="0">
      <alignment horizontal="left" vertical="center" wrapText="1"/>
    </xf>
    <xf numFmtId="0" fontId="111" fillId="0" borderId="0" applyAlignment="1" pivotButton="0" quotePrefix="0" xfId="0">
      <alignment vertical="top" wrapText="1"/>
    </xf>
    <xf numFmtId="0" fontId="112" fillId="0" borderId="0" applyAlignment="1" pivotButton="0" quotePrefix="0" xfId="0">
      <alignment horizontal="left" vertical="center" wrapText="1"/>
    </xf>
    <xf numFmtId="0" fontId="96" fillId="0" borderId="0" pivotButton="0" quotePrefix="0" xfId="0"/>
    <xf numFmtId="0" fontId="92" fillId="55" borderId="0" applyAlignment="1" pivotButton="0" quotePrefix="0" xfId="0">
      <alignment horizontal="center" vertical="center" wrapText="1"/>
    </xf>
    <xf numFmtId="0" fontId="0" fillId="55" borderId="0" pivotButton="0" quotePrefix="0" xfId="0"/>
    <xf numFmtId="3" fontId="98" fillId="62" borderId="4" applyAlignment="1" pivotButton="0" quotePrefix="0" xfId="0">
      <alignment horizontal="center" vertical="center" wrapText="1"/>
    </xf>
    <xf numFmtId="3" fontId="99" fillId="62" borderId="4" applyAlignment="1" pivotButton="0" quotePrefix="0" xfId="0">
      <alignment horizontal="center" vertical="center" wrapText="1"/>
    </xf>
    <xf numFmtId="3" fontId="100" fillId="62" borderId="4" applyAlignment="1" pivotButton="0" quotePrefix="0" xfId="0">
      <alignment horizontal="center" vertical="center" wrapText="1"/>
    </xf>
    <xf numFmtId="3" fontId="103" fillId="62" borderId="4" applyAlignment="1" pivotButton="0" quotePrefix="0" xfId="0">
      <alignment horizontal="center" vertical="center" wrapText="1"/>
    </xf>
    <xf numFmtId="165" fontId="105" fillId="62" borderId="4" applyAlignment="1" pivotButton="0" quotePrefix="0" xfId="0">
      <alignment horizontal="center" vertical="center" wrapText="1"/>
    </xf>
    <xf numFmtId="0" fontId="88" fillId="59" borderId="0" applyAlignment="1" pivotButton="0" quotePrefix="0" xfId="0">
      <alignment horizontal="left" vertical="center" wrapText="1"/>
    </xf>
    <xf numFmtId="0" fontId="92" fillId="59" borderId="4" applyAlignment="1" pivotButton="0" quotePrefix="0" xfId="0">
      <alignment horizontal="center" vertical="center" wrapText="1"/>
    </xf>
    <xf numFmtId="0" fontId="88" fillId="59" borderId="0" pivotButton="0" quotePrefix="0" xfId="0"/>
    <xf numFmtId="0" fontId="93" fillId="60" borderId="0" applyAlignment="1" pivotButton="0" quotePrefix="0" xfId="0">
      <alignment horizontal="center" vertical="center" wrapText="1"/>
    </xf>
    <xf numFmtId="0" fontId="88" fillId="66" borderId="0" applyAlignment="1" pivotButton="0" quotePrefix="0" xfId="0">
      <alignment horizontal="left" vertical="center" wrapText="1"/>
    </xf>
    <xf numFmtId="0" fontId="88" fillId="55" borderId="0" applyAlignment="1" pivotButton="0" quotePrefix="0" xfId="0">
      <alignment horizontal="left" vertical="center" wrapText="1"/>
    </xf>
    <xf numFmtId="0" fontId="92" fillId="66" borderId="4" applyAlignment="1" pivotButton="0" quotePrefix="0" xfId="0">
      <alignment horizontal="center" vertical="center" wrapText="1"/>
    </xf>
    <xf numFmtId="0" fontId="92" fillId="55" borderId="4" applyAlignment="1" pivotButton="0" quotePrefix="0" xfId="0">
      <alignment horizontal="center" vertical="center" wrapText="1"/>
    </xf>
  </cellXfs>
  <cellStyles count="1">
    <cellStyle name="Normal" xfId="0" builtinId="0"/>
  </cellStyles>
  <dxfs count="185"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E65100"/>
        <sz val="8"/>
      </font>
      <fill>
        <patternFill>
          <bgColor rgb="FFFFF9C4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Calibri"/>
        <charset val="1"/>
        <b val="1"/>
        <color rgb="FFB71C1C"/>
        <sz val="8"/>
      </font>
      <fill>
        <patternFill>
          <bgColor rgb="FFFFCDD2"/>
        </patternFill>
      </fill>
    </dxf>
    <dxf>
      <font>
        <name val="Calibri"/>
        <charset val="1"/>
        <b val="1"/>
        <color rgb="FFE65100"/>
        <sz val="8"/>
      </font>
      <fill>
        <patternFill>
          <bgColor rgb="FFFFF9C4"/>
        </patternFill>
      </fill>
    </dxf>
    <dxf>
      <font>
        <name val="Calibri"/>
        <charset val="1"/>
        <b val="1"/>
        <color rgb="FF1B5E20"/>
        <sz val="8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F9C4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b val="1"/>
        <color rgb="FFE65100"/>
        <sz val="9"/>
      </font>
      <fill>
        <patternFill>
          <bgColor rgb="FFFFE0B2"/>
        </patternFill>
      </fill>
    </dxf>
    <dxf>
      <font>
        <name val="Arial"/>
        <charset val="1"/>
        <b val="1"/>
        <color rgb="FFB71C1C"/>
        <sz val="9"/>
      </font>
      <fill>
        <patternFill>
          <bgColor rgb="FFFFCDD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F3131"/>
      <rgbColor rgb="FFF0F2F5"/>
      <rgbColor rgb="FF0000FF"/>
      <rgbColor rgb="FFFFF3E0"/>
      <rgbColor rgb="FFFFEBEE"/>
      <rgbColor rgb="FFE3F2FD"/>
      <rgbColor rgb="FF544139"/>
      <rgbColor rgb="FF1B5E20"/>
      <rgbColor rgb="FF0D47A1"/>
      <rgbColor rgb="FF558B2F"/>
      <rgbColor rgb="FF880E4F"/>
      <rgbColor rgb="FF00848B"/>
      <rgbColor rgb="FFBDBDBD"/>
      <rgbColor rgb="FF4B84C1"/>
      <rgbColor rgb="FFE8EAF6"/>
      <rgbColor rgb="FFAD1457"/>
      <rgbColor rgb="FFFFF9C4"/>
      <rgbColor rgb="FFE0F7FA"/>
      <rgbColor rgb="FF4A148C"/>
      <rgbColor rgb="FFEF6C00"/>
      <rgbColor rgb="FF1565C0"/>
      <rgbColor rgb="FFD8D8DD"/>
      <rgbColor rgb="FF006064"/>
      <rgbColor rgb="FFF5F5F5"/>
      <rgbColor rgb="FFF1F8E9"/>
      <rgbColor rgb="FFE8F5E9"/>
      <rgbColor rgb="FF781EA1"/>
      <rgbColor rgb="FFE65100"/>
      <rgbColor rgb="FF00695C"/>
      <rgbColor rgb="FFFAFAFA"/>
      <rgbColor rgb="FFECEFF1"/>
      <rgbColor rgb="FFE0F2F1"/>
      <rgbColor rgb="FFC8E6CD"/>
      <rgbColor rgb="FFFFF8E1"/>
      <rgbColor rgb="FFE0E0E0"/>
      <rgbColor rgb="FFFFCDD3"/>
      <rgbColor rgb="FFF3E5F5"/>
      <rgbColor rgb="FFFFE1B2"/>
      <rgbColor rgb="FF1666C0"/>
      <rgbColor rgb="FF33691E"/>
      <rgbColor rgb="FFEFEBE9"/>
      <rgbColor rgb="FFFCE4EC"/>
      <rgbColor rgb="FFFF9101"/>
      <rgbColor rgb="FFFF7000"/>
      <rgbColor rgb="FF505F66"/>
      <rgbColor rgb="FFABAEAC"/>
      <rgbColor rgb="FF1A237E"/>
      <rgbColor rgb="FF2E7D32"/>
      <rgbColor rgb="FF004D40"/>
      <rgbColor rgb="FF3E2723"/>
      <rgbColor rgb="FFB71C1C"/>
      <rgbColor rgb="FFC62919"/>
      <rgbColor rgb="FF283593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Incident Pyramid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'06_Executive_Dashboard'!C12</f>
            </strRef>
          </tx>
          <spPr>
            <a:ln>
              <a:prstDash val="solid"/>
            </a:ln>
          </spPr>
          <cat>
            <numRef>
              <f>'06_Executive_Dashboard'!$B$13:$B$19</f>
            </numRef>
          </cat>
          <val>
            <numRef>
              <f>'06_Executive_Dashboard'!$C$13:$C$19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12-Month Incident Trend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'06_Executive_Dashboard'!$B$24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'06_Executive_Dashboard'!$C$24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'06_Executive_Dashboard'!$D$24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'06_Executive_Dashboard'!$E$24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'06_Executive_Dashboard'!$F$24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'06_Executive_Dashboard'!$G$24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'06_Executive_Dashboard'!$H$24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'06_Executive_Dashboard'!$I$24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'06_Executive_Dashboard'!$J$24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'06_Executive_Dashboard'!$K$24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'06_Executive_Dashboard'!$L$24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'06_Executive_Dashboard'!$B$23:$M$23</f>
            </numRef>
          </cat>
          <val>
            <numRef>
              <f>'06_Executive_Dashboard'!$M$24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66BB6A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Training'!$B$13:$M$13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Training'!$B$14:$M$14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3</v>
                </pt>
                <pt idx="3">
                  <v>1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1</v>
                </pt>
                <pt idx="9">
                  <v>0</v>
                </pt>
                <pt idx="10">
                  <v>3</v>
                </pt>
                <pt idx="11">
                  <v>3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Training'!$B$13:$M$13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Training'!$B$15:$M$15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234087"/>
        <axId val="84412283"/>
      </barChart>
      <catAx>
        <axId val="4923408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4412283"/>
        <crosses val="autoZero"/>
        <auto val="1"/>
        <lblAlgn val="ctr"/>
        <lblOffset val="100"/>
        <noMultiLvlLbl val="0"/>
      </catAx>
      <valAx>
        <axId val="84412283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low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923408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1B5E20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43A047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66BB6A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A5D6A7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C8E6C9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0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0"/>
            <showCatName val="1"/>
            <showSerName val="1"/>
            <showPercent val="1"/>
            <showBubbleSize val="1"/>
            <showLeaderLines val="1"/>
          </dLbls>
          <cat>
            <strRef>
              <f>'Dashboard – Training'!$O$13:$O$18</f>
              <strCache>
                <ptCount val="6"/>
                <pt idx="0">
                  <v>Induction</v>
                </pt>
                <pt idx="1">
                  <v>Refresher</v>
                </pt>
                <pt idx="2">
                  <v>Advanced</v>
                </pt>
                <pt idx="3">
                  <v>Certification</v>
                </pt>
                <pt idx="4">
                  <v>Awareness</v>
                </pt>
                <pt idx="5">
                  <v>Competency</v>
                </pt>
              </strCache>
            </strRef>
          </cat>
          <val>
            <numRef>
              <f>'Dashboard – Training'!$P$13:$P$18</f>
              <numCache>
                <formatCode>General</formatCode>
                <ptCount val="6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5</v>
                </pt>
                <pt idx="4">
                  <v>4</v>
                </pt>
                <pt idx="5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00695C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Training'!$O$32:$O$35</f>
              <strCache>
                <ptCount val="4"/>
                <pt idx="0">
                  <v>Internal</v>
                </pt>
                <pt idx="1">
                  <v>External</v>
                </pt>
                <pt idx="2">
                  <v>Online</v>
                </pt>
                <pt idx="3">
                  <v>On-the-Job</v>
                </pt>
              </strCache>
            </strRef>
          </cat>
          <val>
            <numRef>
              <f>'Dashboard – Training'!$P$32:$P$35</f>
              <numCache>
                <formatCode>General</formatCode>
                <ptCount val="4"/>
                <pt idx="0">
                  <v>4</v>
                </pt>
                <pt idx="1">
                  <v>3</v>
                </pt>
                <pt idx="2">
                  <v>4</v>
                </pt>
                <pt idx="3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9E9E9E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Training'!$O$42:$O$44</f>
              <strCache>
                <ptCount val="3"/>
                <pt idx="0">
                  <v>Pass</v>
                </pt>
                <pt idx="1">
                  <v>Fail</v>
                </pt>
                <pt idx="2">
                  <v>N/A</v>
                </pt>
              </strCache>
            </strRef>
          </cat>
          <val>
            <numRef>
              <f>'Dashboard – Training'!$P$42:$P$44</f>
              <numCache>
                <formatCode>General</formatCode>
                <ptCount val="3"/>
                <pt idx="0">
                  <v>9</v>
                </pt>
                <pt idx="1">
                  <v>7</v>
                </pt>
                <pt idx="2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Target</v>
          </tx>
          <spPr>
            <a:solidFill>
              <a:srgbClr val="A5D6A7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Training'!$B$57:$M$57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Course</v>
                </pt>
                <pt idx="9">
                  <v>Count</v>
                </pt>
                <pt idx="10">
                  <v>Hrs</v>
                </pt>
                <pt idx="11">
                  <v>Pass%</v>
                </pt>
              </strCache>
            </strRef>
          </cat>
          <val>
            <numRef>
              <f>'Dashboard – Training'!$B$58:$M$58</f>
              <numCache>
                <formatCode>General</formatCode>
                <ptCount val="12"/>
                <pt idx="0">
                  <v>51</v>
                </pt>
                <pt idx="1">
                  <v>0</v>
                </pt>
                <pt idx="2">
                  <v>59</v>
                </pt>
                <pt idx="3">
                  <v>16</v>
                </pt>
                <pt idx="4">
                  <v>22</v>
                </pt>
                <pt idx="5">
                  <v>54</v>
                </pt>
                <pt idx="6">
                  <v>46</v>
                </pt>
                <pt idx="7">
                  <v>33</v>
                </pt>
                <pt idx="8">
                  <v>0</v>
                </pt>
                <pt idx="9">
                  <v>1</v>
                </pt>
                <pt idx="10">
                  <v>40</v>
                </pt>
                <pt idx="11">
                  <formatCode>0%</formatCode>
                  <v>1</v>
                </pt>
              </numCache>
            </numRef>
          </val>
        </ser>
        <ser>
          <idx val="1"/>
          <order val="1"/>
          <tx>
            <v>Actual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Training'!$B$57:$M$57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Course</v>
                </pt>
                <pt idx="9">
                  <v>Count</v>
                </pt>
                <pt idx="10">
                  <v>Hrs</v>
                </pt>
                <pt idx="11">
                  <v>Pass%</v>
                </pt>
              </strCache>
            </strRef>
          </cat>
          <val>
            <numRef>
              <f>'Dashboard – Training'!$B$59:$M$59</f>
              <numCache>
                <formatCode>General</formatCode>
                <ptCount val="12"/>
                <pt idx="0">
                  <v>33</v>
                </pt>
                <pt idx="1">
                  <v>0</v>
                </pt>
                <pt idx="2">
                  <v>57</v>
                </pt>
                <pt idx="3">
                  <v>8</v>
                </pt>
                <pt idx="4">
                  <v>30</v>
                </pt>
                <pt idx="5">
                  <v>36</v>
                </pt>
                <pt idx="6">
                  <v>54</v>
                </pt>
                <pt idx="7">
                  <v>36</v>
                </pt>
                <pt idx="8">
                  <v>0</v>
                </pt>
                <pt idx="9">
                  <v>5</v>
                </pt>
                <pt idx="10">
                  <v>104</v>
                </pt>
                <pt idx="11">
                  <formatCode>0%</formatCode>
                  <v>0.8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6296074"/>
        <axId val="92773842"/>
      </barChart>
      <catAx>
        <axId val="6629607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2773842"/>
        <crosses val="autoZero"/>
        <auto val="1"/>
        <lblAlgn val="ctr"/>
        <lblOffset val="100"/>
        <noMultiLvlLbl val="0"/>
      </catAx>
      <valAx>
        <axId val="92773842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629607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AB47BC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Toolbox Talks'!$B$13:$M$13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Toolbox Talks'!$B$14:$M$14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1</v>
                </pt>
                <pt idx="3">
                  <v>4</v>
                </pt>
                <pt idx="4">
                  <v>0</v>
                </pt>
                <pt idx="5">
                  <v>2</v>
                </pt>
                <pt idx="6">
                  <v>3</v>
                </pt>
                <pt idx="7">
                  <v>0</v>
                </pt>
                <pt idx="8">
                  <v>3</v>
                </pt>
                <pt idx="9">
                  <v>2</v>
                </pt>
                <pt idx="10">
                  <v>2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9742065"/>
        <axId val="45746559"/>
      </barChart>
      <catAx>
        <axId val="9974206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5746559"/>
        <crosses val="autoZero"/>
        <auto val="1"/>
        <lblAlgn val="ctr"/>
        <lblOffset val="100"/>
        <noMultiLvlLbl val="0"/>
      </catAx>
      <valAx>
        <axId val="4574655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974206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Toolbox Talks'!$O$13:$O$14</f>
              <strCache>
                <ptCount val="2"/>
                <pt idx="0">
                  <v>Yes</v>
                </pt>
                <pt idx="1">
                  <v>No</v>
                </pt>
              </strCache>
            </strRef>
          </cat>
          <val>
            <numRef>
              <f>'Dashboard – Toolbox Talks'!$P$13:$P$14</f>
              <numCache>
                <formatCode>General</formatCode>
                <ptCount val="2"/>
                <pt idx="0">
                  <v>12</v>
                </pt>
                <pt idx="1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Toolbox Talks'!$C$32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6A1B9A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Toolbox Talks'!$B$33:$B$42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Toolbox Talks'!$C$33:$C$42</f>
              <numCache>
                <formatCode>General</formatCode>
                <ptCount val="10"/>
                <pt idx="0">
                  <v>3</v>
                </pt>
                <pt idx="1">
                  <v>0</v>
                </pt>
                <pt idx="2">
                  <v>2</v>
                </pt>
                <pt idx="3">
                  <v>2</v>
                </pt>
                <pt idx="4">
                  <v>3</v>
                </pt>
                <pt idx="5">
                  <v>3</v>
                </pt>
                <pt idx="6">
                  <v>0</v>
                </pt>
                <pt idx="7">
                  <v>1</v>
                </pt>
                <pt idx="8">
                  <v>3</v>
                </pt>
                <pt idx="9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6137050"/>
        <axId val="58747531"/>
      </barChart>
      <catAx>
        <axId val="7613705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8747531"/>
        <crosses val="autoZero"/>
        <auto val="1"/>
        <lblAlgn val="ctr"/>
        <lblOffset val="100"/>
        <noMultiLvlLbl val="0"/>
      </catAx>
      <valAx>
        <axId val="58747531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613705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F57C00"/>
              </a:solidFill>
              <a:ln w="0">
                <a:noFill/>
                <a:prstDash val="solid"/>
              </a:ln>
            </spPr>
          </dPt>
          <dPt>
            <idx val="7"/>
            <bubble3D val="0"/>
            <spPr>
              <a:solidFill>
                <a:srgbClr val="AD1457"/>
              </a:solidFill>
              <a:ln w="0">
                <a:noFill/>
                <a:prstDash val="solid"/>
              </a:ln>
            </spPr>
          </dPt>
          <dPt>
            <idx val="8"/>
            <bubble3D val="0"/>
            <spPr>
              <a:solidFill>
                <a:srgbClr val="303F9F"/>
              </a:solidFill>
              <a:ln w="0">
                <a:noFill/>
                <a:prstDash val="solid"/>
              </a:ln>
            </spPr>
          </dPt>
          <dPt>
            <idx val="9"/>
            <bubble3D val="0"/>
            <spPr>
              <a:solidFill>
                <a:srgbClr val="5D4037"/>
              </a:solidFill>
              <a:ln w="0">
                <a:noFill/>
                <a:prstDash val="solid"/>
              </a:ln>
            </spPr>
          </dPt>
          <dPt>
            <idx val="10"/>
            <bubble3D val="0"/>
            <spPr>
              <a:solidFill>
                <a:srgbClr val="00838F"/>
              </a:solidFill>
              <a:ln w="0">
                <a:noFill/>
                <a:prstDash val="solid"/>
              </a:ln>
            </spPr>
          </dPt>
          <dPt>
            <idx val="11"/>
            <bubble3D val="0"/>
            <spPr>
              <a:solidFill>
                <a:srgbClr val="558B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7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8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9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Toolbox Talks'!$O$32:$O$43</f>
              <strCache>
                <ptCount val="12"/>
                <pt idx="0">
                  <v>PPE Usage</v>
                </pt>
                <pt idx="1">
                  <v>Fire Safety</v>
                </pt>
                <pt idx="2">
                  <v>Working at Heights</v>
                </pt>
                <pt idx="3">
                  <v>Manual Handling</v>
                </pt>
                <pt idx="4">
                  <v>Electrical Safety</v>
                </pt>
                <pt idx="5">
                  <v>Chemical Safety</v>
                </pt>
                <pt idx="6">
                  <v>Housekeeping</v>
                </pt>
                <pt idx="7">
                  <v>Heat Stress</v>
                </pt>
                <pt idx="8">
                  <v>Slip Trip Fall</v>
                </pt>
                <pt idx="9">
                  <v>Confined Space</v>
                </pt>
                <pt idx="10">
                  <v>LOTO</v>
                </pt>
                <pt idx="11">
                  <v>Emergency Procedures</v>
                </pt>
              </strCache>
            </strRef>
          </cat>
          <val>
            <numRef>
              <f>'Dashboard – Toolbox Talks'!$P$32:$P$43</f>
              <numCache>
                <formatCode>General</formatCode>
                <ptCount val="12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3</v>
                </pt>
                <pt idx="8">
                  <v>2</v>
                </pt>
                <pt idx="9">
                  <v>1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26A69A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JSA Risk'!$B$13:$M$13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JSA Risk'!$B$14:$M$14</f>
              <numCache>
                <formatCode>General</formatCode>
                <ptCount val="12"/>
                <pt idx="0">
                  <v>3</v>
                </pt>
                <pt idx="1">
                  <v>1</v>
                </pt>
                <pt idx="2">
                  <v>0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3</v>
                </pt>
                <pt idx="7">
                  <v>0</v>
                </pt>
                <pt idx="8">
                  <v>4</v>
                </pt>
                <pt idx="9">
                  <v>0</v>
                </pt>
                <pt idx="10">
                  <v>2</v>
                </pt>
                <pt idx="1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955565"/>
        <axId val="89198205"/>
      </barChart>
      <catAx>
        <axId val="1595556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9198205"/>
        <crosses val="autoZero"/>
        <auto val="1"/>
        <lblAlgn val="ctr"/>
        <lblOffset val="100"/>
        <noMultiLvlLbl val="0"/>
      </catAx>
      <valAx>
        <axId val="8919820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595556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B71C1C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JSA Risk'!$O$13:$O$16</f>
              <strCache>
                <ptCount val="4"/>
                <pt idx="0">
                  <v>Approved</v>
                </pt>
                <pt idx="1">
                  <v>Pending Review</v>
                </pt>
                <pt idx="2">
                  <v>Revision Required</v>
                </pt>
                <pt idx="3">
                  <v>Rejected</v>
                </pt>
              </strCache>
            </strRef>
          </cat>
          <val>
            <numRef>
              <f>'Dashboard – JSA Risk'!$P$13:$P$16</f>
              <numCache>
                <formatCode>General</formatCode>
                <ptCount val="4"/>
                <pt idx="0">
                  <v>10</v>
                </pt>
                <pt idx="1">
                  <v>6</v>
                </pt>
                <pt idx="2">
                  <v>2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JSA Risk'!$C$32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00695C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JSA Risk'!$B$33:$B$42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JSA Risk'!$C$33:$C$42</f>
              <numCache>
                <formatCode>General</formatCode>
                <ptCount val="10"/>
                <pt idx="0">
                  <v>4</v>
                </pt>
                <pt idx="1">
                  <v>2</v>
                </pt>
                <pt idx="2">
                  <v>0</v>
                </pt>
                <pt idx="3">
                  <v>1</v>
                </pt>
                <pt idx="4">
                  <v>4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8504806"/>
        <axId val="82472742"/>
      </barChart>
      <catAx>
        <axId val="8850480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2472742"/>
        <crosses val="autoZero"/>
        <auto val="1"/>
        <lblAlgn val="ctr"/>
        <lblOffset val="100"/>
        <noMultiLvlLbl val="0"/>
      </catAx>
      <valAx>
        <axId val="8247274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850480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JSA Risk'!$O$32:$O$37</f>
              <strCache>
                <ptCount val="6"/>
                <pt idx="0">
                  <v>HIRA</v>
                </pt>
                <pt idx="1">
                  <v>Task RA</v>
                </pt>
                <pt idx="2">
                  <v>JSA</v>
                </pt>
                <pt idx="3">
                  <v>HAZOP</v>
                </pt>
                <pt idx="4">
                  <v>What-If</v>
                </pt>
                <pt idx="5">
                  <v>Bow Tie</v>
                </pt>
              </strCache>
            </strRef>
          </cat>
          <val>
            <numRef>
              <f>'Dashboard – JSA Risk'!$P$32:$P$37</f>
              <numCache>
                <formatCode>General</formatCode>
                <ptCount val="6"/>
                <pt idx="0">
                  <v>3</v>
                </pt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3</v>
                </pt>
                <pt idx="5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FFA726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HSE Observations'!$B$13:$M$13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HSE Observations'!$B$14:$M$14</f>
              <numCache>
                <formatCode>General</formatCode>
                <ptCount val="12"/>
                <pt idx="0">
                  <v>2</v>
                </pt>
                <pt idx="1">
                  <v>3</v>
                </pt>
                <pt idx="2">
                  <v>3</v>
                </pt>
                <pt idx="3">
                  <v>1</v>
                </pt>
                <pt idx="4">
                  <v>3</v>
                </pt>
                <pt idx="5">
                  <v>0</v>
                </pt>
                <pt idx="6">
                  <v>1</v>
                </pt>
                <pt idx="7">
                  <v>2</v>
                </pt>
                <pt idx="8">
                  <v>1</v>
                </pt>
                <pt idx="9">
                  <v>2</v>
                </pt>
                <pt idx="10">
                  <v>0</v>
                </pt>
                <pt idx="11">
                  <v>2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HSE Observations'!$B$13:$M$13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HSE Observations'!$B$15:$M$15</f>
              <numCache>
                <formatCode>General</formatCode>
                <ptCount val="12"/>
                <pt idx="0">
                  <v>0</v>
                </pt>
                <pt idx="1">
                  <v>2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5471960"/>
        <axId val="21850266"/>
      </barChart>
      <catAx>
        <axId val="554719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1850266"/>
        <crosses val="autoZero"/>
        <auto val="1"/>
        <lblAlgn val="ctr"/>
        <lblOffset val="100"/>
        <noMultiLvlLbl val="0"/>
      </catAx>
      <valAx>
        <axId val="2185026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547196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HSE Observations'!$O$13:$O$16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HSE Observations'!$P$13:$P$16</f>
              <numCache>
                <formatCode>General</formatCode>
                <ptCount val="4"/>
                <pt idx="0">
                  <v>5</v>
                </pt>
                <pt idx="1">
                  <v>3</v>
                </pt>
                <pt idx="2">
                  <v>8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HSE Observations'!$C$32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EF6C0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HSE Observations'!$B$33:$B$42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HSE Observations'!$C$33:$C$42</f>
              <numCache>
                <formatCode>General</formatCode>
                <ptCount val="10"/>
                <pt idx="0">
                  <v>1</v>
                </pt>
                <pt idx="1">
                  <v>3</v>
                </pt>
                <pt idx="2">
                  <v>1</v>
                </pt>
                <pt idx="3">
                  <v>0</v>
                </pt>
                <pt idx="4">
                  <v>5</v>
                </pt>
                <pt idx="5">
                  <v>2</v>
                </pt>
                <pt idx="6">
                  <v>1</v>
                </pt>
                <pt idx="7">
                  <v>2</v>
                </pt>
                <pt idx="8">
                  <v>3</v>
                </pt>
                <pt idx="9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3226405"/>
        <axId val="49088370"/>
      </barChart>
      <catAx>
        <axId val="9322640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9088370"/>
        <crosses val="autoZero"/>
        <auto val="1"/>
        <lblAlgn val="ctr"/>
        <lblOffset val="100"/>
        <noMultiLvlLbl val="0"/>
      </catAx>
      <valAx>
        <axId val="4908837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322640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HSE Observations'!$O$32:$O$36</f>
              <strCache>
                <ptCount val="5"/>
                <pt idx="0">
                  <v>Safe Act</v>
                </pt>
                <pt idx="1">
                  <v>Unsafe Act</v>
                </pt>
                <pt idx="2">
                  <v>Safe Condition</v>
                </pt>
                <pt idx="3">
                  <v>Unsafe Condition</v>
                </pt>
                <pt idx="4">
                  <v>Near Miss</v>
                </pt>
              </strCache>
            </strRef>
          </cat>
          <val>
            <numRef>
              <f>'Dashboard – HSE Observations'!$P$32:$P$36</f>
              <numCache>
                <formatCode>General</formatCode>
                <ptCount val="5"/>
                <pt idx="0">
                  <v>4</v>
                </pt>
                <pt idx="1">
                  <v>5</v>
                </pt>
                <pt idx="2">
                  <v>2</v>
                </pt>
                <pt idx="3">
                  <v>3</v>
                </pt>
                <pt idx="4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Workplace Insp'!$B$13:$M$13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Workplace Insp'!$B$14:$M$14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1</v>
                </pt>
                <pt idx="3">
                  <v>3</v>
                </pt>
                <pt idx="4">
                  <v>2</v>
                </pt>
                <pt idx="5">
                  <v>1</v>
                </pt>
                <pt idx="6">
                  <v>0</v>
                </pt>
                <pt idx="7">
                  <v>2</v>
                </pt>
                <pt idx="8">
                  <v>0</v>
                </pt>
                <pt idx="9">
                  <v>3</v>
                </pt>
                <pt idx="10">
                  <v>3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Workplace Insp'!$B$13:$M$13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Workplace Insp'!$B$15:$M$15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1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5278857"/>
        <axId val="87469320"/>
      </barChart>
      <catAx>
        <axId val="5527885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7469320"/>
        <crosses val="autoZero"/>
        <auto val="1"/>
        <lblAlgn val="ctr"/>
        <lblOffset val="100"/>
        <noMultiLvlLbl val="0"/>
      </catAx>
      <valAx>
        <axId val="87469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527885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Workplace Insp'!$O$13:$O$16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Workplace Insp'!$P$13:$P$16</f>
              <numCache>
                <formatCode>General</formatCode>
                <ptCount val="4"/>
                <pt idx="0">
                  <v>6</v>
                </pt>
                <pt idx="1">
                  <v>8</v>
                </pt>
                <pt idx="2">
                  <v>1</v>
                </pt>
                <pt idx="3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Workplace Insp'!$C$32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D32F2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Workplace Insp'!$B$33:$B$42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Workplace Insp'!$C$33:$C$42</f>
              <numCache>
                <formatCode>General</formatCode>
                <ptCount val="10"/>
                <pt idx="0">
                  <v>1</v>
                </pt>
                <pt idx="1">
                  <v>3</v>
                </pt>
                <pt idx="2">
                  <v>3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5</v>
                </pt>
                <pt idx="7">
                  <v>0</v>
                </pt>
                <pt idx="8">
                  <v>1</v>
                </pt>
                <pt idx="9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5908594"/>
        <axId val="69833121"/>
      </barChart>
      <catAx>
        <axId val="7590859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9833121"/>
        <crosses val="autoZero"/>
        <auto val="1"/>
        <lblAlgn val="ctr"/>
        <lblOffset val="100"/>
        <noMultiLvlLbl val="0"/>
      </catAx>
      <valAx>
        <axId val="69833121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590859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Workplace Insp'!$O$32:$O$36</f>
              <strCache>
                <ptCount val="5"/>
                <pt idx="0">
                  <v>Satisfactory</v>
                </pt>
                <pt idx="1">
                  <v>Good</v>
                </pt>
                <pt idx="2">
                  <v>Excellent</v>
                </pt>
                <pt idx="3">
                  <v>Needs Improvement</v>
                </pt>
                <pt idx="4">
                  <v>Unsatisfactory</v>
                </pt>
              </strCache>
            </strRef>
          </cat>
          <val>
            <numRef>
              <f>'Dashboard – Workplace Insp'!$P$32:$P$36</f>
              <numCache>
                <formatCode>General</formatCode>
                <ptCount val="5"/>
                <pt idx="0">
                  <v>5</v>
                </pt>
                <pt idx="1">
                  <v>3</v>
                </pt>
                <pt idx="2">
                  <v>3</v>
                </pt>
                <pt idx="3">
                  <v>2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78909C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Equipment Insp'!$B$13:$M$13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Equipment Insp'!$B$14:$M$14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1</v>
                </pt>
                <pt idx="4">
                  <v>0</v>
                </pt>
                <pt idx="5">
                  <v>2</v>
                </pt>
                <pt idx="6">
                  <v>2</v>
                </pt>
                <pt idx="7">
                  <v>1</v>
                </pt>
                <pt idx="8">
                  <v>1</v>
                </pt>
                <pt idx="9">
                  <v>2</v>
                </pt>
                <pt idx="10">
                  <v>3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Equipment Insp'!$B$13:$M$13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Equipment Insp'!$B$15:$M$15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1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9173783"/>
        <axId val="3989694"/>
      </barChart>
      <catAx>
        <axId val="991737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989694"/>
        <crosses val="autoZero"/>
        <auto val="1"/>
        <lblAlgn val="ctr"/>
        <lblOffset val="100"/>
        <noMultiLvlLbl val="0"/>
      </catAx>
      <valAx>
        <axId val="398969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917378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Equipment Insp'!$O$13:$O$16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Equipment Insp'!$P$13:$P$16</f>
              <numCache>
                <formatCode>General</formatCode>
                <ptCount val="4"/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Equipment Insp'!$C$32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55A64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Equipment Insp'!$B$33:$B$42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Equipment Insp'!$C$33:$C$42</f>
              <numCache>
                <formatCode>General</formatCode>
                <ptCount val="10"/>
                <pt idx="0">
                  <v>1</v>
                </pt>
                <pt idx="1">
                  <v>3</v>
                </pt>
                <pt idx="2">
                  <v>2</v>
                </pt>
                <pt idx="3">
                  <v>4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3</v>
                </pt>
                <pt idx="9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4550571"/>
        <axId val="28661332"/>
      </barChart>
      <catAx>
        <axId val="5455057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8661332"/>
        <crosses val="autoZero"/>
        <auto val="1"/>
        <lblAlgn val="ctr"/>
        <lblOffset val="100"/>
        <noMultiLvlLbl val="0"/>
      </catAx>
      <valAx>
        <axId val="2866133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4550571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Equipment Insp'!$O$32:$O$36</f>
              <strCache>
                <ptCount val="5"/>
                <pt idx="0">
                  <v>Satisfactory</v>
                </pt>
                <pt idx="1">
                  <v>Good</v>
                </pt>
                <pt idx="2">
                  <v>Excellent</v>
                </pt>
                <pt idx="3">
                  <v>Needs Improvement</v>
                </pt>
                <pt idx="4">
                  <v>Unsatisfactory</v>
                </pt>
              </strCache>
            </strRef>
          </cat>
          <val>
            <numRef>
              <f>'Dashboard – Equipment Insp'!$P$32:$P$36</f>
              <numCache>
                <formatCode>General</formatCode>
                <ptCount val="5"/>
                <pt idx="0">
                  <v>1</v>
                </pt>
                <pt idx="1">
                  <v>8</v>
                </pt>
                <pt idx="2">
                  <v>3</v>
                </pt>
                <pt idx="3">
                  <v>1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5C6BC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Walkthroughs'!$B$13:$M$13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Walkthroughs'!$B$14:$M$14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1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1</v>
                </pt>
                <pt idx="9">
                  <v>2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Walkthroughs'!$B$13:$M$13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Walkthroughs'!$B$15:$M$15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6576146"/>
        <axId val="46051701"/>
      </barChart>
      <catAx>
        <axId val="765761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6051701"/>
        <crosses val="autoZero"/>
        <auto val="1"/>
        <lblAlgn val="ctr"/>
        <lblOffset val="100"/>
        <noMultiLvlLbl val="0"/>
      </catAx>
      <valAx>
        <axId val="4605170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657614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Walkthroughs'!$O$13:$O$16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Walkthroughs'!$P$13:$P$16</f>
              <numCache>
                <formatCode>General</formatCode>
                <ptCount val="4"/>
                <pt idx="0">
                  <v>2</v>
                </pt>
                <pt idx="1">
                  <v>4</v>
                </pt>
                <pt idx="2">
                  <v>0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Walkthroughs'!$C$32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283593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Walkthroughs'!$B$33:$B$42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Walkthroughs'!$C$33:$C$42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2</v>
                </pt>
                <pt idx="6">
                  <v>0</v>
                </pt>
                <pt idx="7">
                  <v>1</v>
                </pt>
                <pt idx="8">
                  <v>4</v>
                </pt>
                <pt idx="9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164657"/>
        <axId val="33346982"/>
      </barChart>
      <catAx>
        <axId val="1316465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3346982"/>
        <crosses val="autoZero"/>
        <auto val="1"/>
        <lblAlgn val="ctr"/>
        <lblOffset val="100"/>
        <noMultiLvlLbl val="0"/>
      </catAx>
      <valAx>
        <axId val="3334698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316465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Walkthroughs'!$O$32:$O$36</f>
              <strCache>
                <ptCount val="5"/>
                <pt idx="0">
                  <v>Satisfactory</v>
                </pt>
                <pt idx="1">
                  <v>Good</v>
                </pt>
                <pt idx="2">
                  <v>Excellent</v>
                </pt>
                <pt idx="3">
                  <v>Needs Improvement</v>
                </pt>
                <pt idx="4">
                  <v>Unsatisfactory</v>
                </pt>
              </strCache>
            </strRef>
          </cat>
          <val>
            <numRef>
              <f>'Dashboard – Walkthroughs'!$P$32:$P$36</f>
              <numCache>
                <formatCode>General</formatCode>
                <ptCount val="5"/>
                <pt idx="0">
                  <v>3</v>
                </pt>
                <pt idx="1">
                  <v>5</v>
                </pt>
                <pt idx="2">
                  <v>2</v>
                </pt>
                <pt idx="3">
                  <v>0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C407A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Safety Meetings'!$B$13:$M$13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Safety Meetings'!$B$14:$M$14</f>
              <numCache>
                <formatCode>General</formatCode>
                <ptCount val="12"/>
                <pt idx="0">
                  <v>3</v>
                </pt>
                <pt idx="1">
                  <v>1</v>
                </pt>
                <pt idx="2">
                  <v>0</v>
                </pt>
                <pt idx="3">
                  <v>2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2</v>
                </pt>
                <pt idx="8">
                  <v>3</v>
                </pt>
                <pt idx="9">
                  <v>2</v>
                </pt>
                <pt idx="10">
                  <v>4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2676040"/>
        <axId val="32530528"/>
      </barChart>
      <catAx>
        <axId val="72676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2530528"/>
        <crosses val="autoZero"/>
        <auto val="1"/>
        <lblAlgn val="ctr"/>
        <lblOffset val="100"/>
        <noMultiLvlLbl val="0"/>
      </catAx>
      <valAx>
        <axId val="325305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267604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Safety Meetings'!$O$13:$O$14</f>
              <strCache>
                <ptCount val="2"/>
                <pt idx="0">
                  <v>Yes</v>
                </pt>
                <pt idx="1">
                  <v>No</v>
                </pt>
              </strCache>
            </strRef>
          </cat>
          <val>
            <numRef>
              <f>'Dashboard – Safety Meetings'!$P$13:$P$14</f>
              <numCache>
                <formatCode>General</formatCode>
                <ptCount val="2"/>
                <pt idx="0">
                  <v>9</v>
                </pt>
                <pt idx="1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Safety Meetings'!$C$32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AD1457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Safety Meetings'!$B$33:$B$42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Safety Meetings'!$C$33:$C$42</f>
              <numCache>
                <formatCode>General</formatCode>
                <ptCount val="10"/>
                <pt idx="0">
                  <v>0</v>
                </pt>
                <pt idx="1">
                  <v>2</v>
                </pt>
                <pt idx="2">
                  <v>3</v>
                </pt>
                <pt idx="3">
                  <v>2</v>
                </pt>
                <pt idx="4">
                  <v>2</v>
                </pt>
                <pt idx="5">
                  <v>0</v>
                </pt>
                <pt idx="6">
                  <v>1</v>
                </pt>
                <pt idx="7">
                  <v>3</v>
                </pt>
                <pt idx="8">
                  <v>4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4100892"/>
        <axId val="82855889"/>
      </barChart>
      <catAx>
        <axId val="241008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2855889"/>
        <crosses val="autoZero"/>
        <auto val="1"/>
        <lblAlgn val="ctr"/>
        <lblOffset val="100"/>
        <noMultiLvlLbl val="0"/>
      </catAx>
      <valAx>
        <axId val="82855889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4100892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Safety Meetings'!$O$32:$O$36</f>
              <strCache>
                <ptCount val="5"/>
                <pt idx="0">
                  <v>Weekly</v>
                </pt>
                <pt idx="1">
                  <v>Monthly</v>
                </pt>
                <pt idx="2">
                  <v>Quarterly</v>
                </pt>
                <pt idx="3">
                  <v>Ad-hoc</v>
                </pt>
                <pt idx="4">
                  <v>Annual</v>
                </pt>
              </strCache>
            </strRef>
          </cat>
          <val>
            <numRef>
              <f>'Dashboard – Safety Meetings'!$P$32:$P$36</f>
              <numCache>
                <formatCode>General</formatCode>
                <ptCount val="5"/>
                <pt idx="0">
                  <v>5</v>
                </pt>
                <pt idx="1">
                  <v>2</v>
                </pt>
                <pt idx="2">
                  <v>6</v>
                </pt>
                <pt idx="3">
                  <v>4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FFCA28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Bulletins'!$B$13:$M$13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Bulletins'!$B$14:$M$14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2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1</v>
                </pt>
                <pt idx="7">
                  <v>3</v>
                </pt>
                <pt idx="8">
                  <v>3</v>
                </pt>
                <pt idx="9">
                  <v>0</v>
                </pt>
                <pt idx="10">
                  <v>2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Closed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Bulletins'!$B$13:$M$13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Bulletins'!$B$15:$M$15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0877649"/>
        <axId val="92525045"/>
      </barChart>
      <catAx>
        <axId val="6087764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2525045"/>
        <crosses val="autoZero"/>
        <auto val="1"/>
        <lblAlgn val="ctr"/>
        <lblOffset val="100"/>
        <noMultiLvlLbl val="0"/>
      </catAx>
      <valAx>
        <axId val="9252504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087764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Bulletins'!$O$13:$O$15</f>
              <strCache>
                <ptCount val="3"/>
                <pt idx="0">
                  <v>Issued</v>
                </pt>
                <pt idx="1">
                  <v>Acknowledged</v>
                </pt>
                <pt idx="2">
                  <v>Closed</v>
                </pt>
              </strCache>
            </strRef>
          </cat>
          <val>
            <numRef>
              <f>'Dashboard – Bulletins'!$P$13:$P$15</f>
              <numCache>
                <formatCode>General</formatCode>
                <ptCount val="3"/>
                <pt idx="0">
                  <v>5</v>
                </pt>
                <pt idx="1">
                  <v>7</v>
                </pt>
                <pt idx="2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Bulletins'!$C$32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FF8F0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Bulletins'!$B$33:$B$42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Bulletins'!$C$33:$C$42</f>
              <numCache>
                <formatCode>General</formatCode>
                <ptCount val="10"/>
                <pt idx="0">
                  <v>3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4</v>
                </pt>
                <pt idx="5">
                  <v>2</v>
                </pt>
                <pt idx="6">
                  <v>2</v>
                </pt>
                <pt idx="7">
                  <v>0</v>
                </pt>
                <pt idx="8">
                  <v>2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0567778"/>
        <axId val="9813430"/>
      </barChart>
      <catAx>
        <axId val="4056777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813430"/>
        <crosses val="autoZero"/>
        <auto val="1"/>
        <lblAlgn val="ctr"/>
        <lblOffset val="100"/>
        <noMultiLvlLbl val="0"/>
      </catAx>
      <valAx>
        <axId val="981343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056777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Bulletins'!$O$32:$O$37</f>
              <strCache>
                <ptCount val="6"/>
                <pt idx="0">
                  <v>Safety Alert</v>
                </pt>
                <pt idx="1">
                  <v>Bulletin</v>
                </pt>
                <pt idx="2">
                  <v>Toolbox Topic</v>
                </pt>
                <pt idx="3">
                  <v>Lesson Learned</v>
                </pt>
                <pt idx="4">
                  <v>Best Practice</v>
                </pt>
                <pt idx="5">
                  <v>Advisory</v>
                </pt>
              </strCache>
            </strRef>
          </cat>
          <val>
            <numRef>
              <f>'Dashboard – Bulletins'!$P$32:$P$37</f>
              <numCache>
                <formatCode>General</formatCode>
                <ptCount val="6"/>
                <pt idx="0">
                  <v>3</v>
                </pt>
                <pt idx="1">
                  <v>1</v>
                </pt>
                <pt idx="2">
                  <v>2</v>
                </pt>
                <pt idx="3">
                  <v>2</v>
                </pt>
                <pt idx="4">
                  <v>6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Emergency Drills'!$B$13:$M$13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Emergency Drills'!$B$14:$M$14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3</v>
                </pt>
                <pt idx="11">
                  <v>3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Emergency Drills'!$B$13:$M$13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Emergency Drills'!$B$15:$M$15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2</v>
                </pt>
                <pt idx="1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9019210"/>
        <axId val="17695282"/>
      </barChart>
      <catAx>
        <axId val="790192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7695282"/>
        <crosses val="autoZero"/>
        <auto val="1"/>
        <lblAlgn val="ctr"/>
        <lblOffset val="100"/>
        <noMultiLvlLbl val="0"/>
      </catAx>
      <valAx>
        <axId val="1769528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901921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Emergency Drills'!$O$13:$O$15</f>
              <strCache>
                <ptCount val="3"/>
                <pt idx="0">
                  <v>Completed</v>
                </pt>
                <pt idx="1">
                  <v>Action Pending</v>
                </pt>
                <pt idx="2">
                  <v>Rescheduled</v>
                </pt>
              </strCache>
            </strRef>
          </cat>
          <val>
            <numRef>
              <f>'Dashboard – Emergency Drills'!$P$13:$P$15</f>
              <numCache>
                <formatCode>General</formatCode>
                <ptCount val="3"/>
                <pt idx="0">
                  <v>5</v>
                </pt>
                <pt idx="1">
                  <v>7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Emergency Drills'!$C$32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C62828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Emergency Drills'!$B$33:$B$42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Emergency Drills'!$C$33:$C$42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528215"/>
        <axId val="89310188"/>
      </barChart>
      <catAx>
        <axId val="1052821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9310188"/>
        <crosses val="autoZero"/>
        <auto val="1"/>
        <lblAlgn val="ctr"/>
        <lblOffset val="100"/>
        <noMultiLvlLbl val="0"/>
      </catAx>
      <valAx>
        <axId val="89310188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052821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F57C00"/>
              </a:solidFill>
              <a:ln w="0">
                <a:noFill/>
                <a:prstDash val="solid"/>
              </a:ln>
            </spPr>
          </dPt>
          <dPt>
            <idx val="7"/>
            <bubble3D val="0"/>
            <spPr>
              <a:solidFill>
                <a:srgbClr val="AD1457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7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Emergency Drills'!$O$32:$O$39</f>
              <strCache>
                <ptCount val="8"/>
                <pt idx="0">
                  <v>Fire Evacuation</v>
                </pt>
                <pt idx="1">
                  <v>Chemical Spill</v>
                </pt>
                <pt idx="2">
                  <v>Medical Emergency</v>
                </pt>
                <pt idx="3">
                  <v>Earthquake</v>
                </pt>
                <pt idx="4">
                  <v>Gas Leak</v>
                </pt>
                <pt idx="5">
                  <v>Confined Space Rescue</v>
                </pt>
                <pt idx="6">
                  <v>Bomb Threat</v>
                </pt>
                <pt idx="7">
                  <v>Natural Disaster</v>
                </pt>
              </strCache>
            </strRef>
          </cat>
          <val>
            <numRef>
              <f>'Dashboard – Emergency Drills'!$P$32:$P$39</f>
              <numCache>
                <formatCode>General</formatCode>
                <ptCount val="8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3</v>
                </pt>
                <pt idx="4">
                  <v>3</v>
                </pt>
                <pt idx="5">
                  <v>0</v>
                </pt>
                <pt idx="6">
                  <v>4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5C6BC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Internal Audits'!$B$13:$M$13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Internal Audits'!$B$14:$M$14</f>
              <numCache>
                <formatCode>General</formatCode>
                <ptCount val="12"/>
                <pt idx="0">
                  <v>1</v>
                </pt>
                <pt idx="1">
                  <v>3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1</v>
                </pt>
                <pt idx="7">
                  <v>0</v>
                </pt>
                <pt idx="8">
                  <v>2</v>
                </pt>
                <pt idx="9">
                  <v>3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Internal Audits'!$B$13:$M$13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Internal Audits'!$B$15:$M$15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2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913885"/>
        <axId val="52799332"/>
      </barChart>
      <catAx>
        <axId val="1791388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2799332"/>
        <crosses val="autoZero"/>
        <auto val="1"/>
        <lblAlgn val="ctr"/>
        <lblOffset val="100"/>
        <noMultiLvlLbl val="0"/>
      </catAx>
      <valAx>
        <axId val="527993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791388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Internal Audits'!$O$13:$O$15</f>
              <strCache>
                <ptCount val="3"/>
                <pt idx="0">
                  <v>Completed</v>
                </pt>
                <pt idx="1">
                  <v>In Progress</v>
                </pt>
                <pt idx="2">
                  <v>Scheduled</v>
                </pt>
              </strCache>
            </strRef>
          </cat>
          <val>
            <numRef>
              <f>'Dashboard – Internal Audits'!$P$13:$P$15</f>
              <numCache>
                <formatCode>General</formatCode>
                <ptCount val="3"/>
                <pt idx="0">
                  <v>5</v>
                </pt>
                <pt idx="1">
                  <v>2</v>
                </pt>
                <pt idx="2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Internal Audits'!$C$32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283593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Internal Audits'!$B$33:$B$42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Internal Audits'!$C$33:$C$42</f>
              <numCache>
                <formatCode>General</formatCode>
                <ptCount val="1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2</v>
                </pt>
                <pt idx="5">
                  <v>1</v>
                </pt>
                <pt idx="6">
                  <v>2</v>
                </pt>
                <pt idx="7">
                  <v>2</v>
                </pt>
                <pt idx="8">
                  <v>1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5506727"/>
        <axId val="74775514"/>
      </barChart>
      <catAx>
        <axId val="9550672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4775514"/>
        <crosses val="autoZero"/>
        <auto val="1"/>
        <lblAlgn val="ctr"/>
        <lblOffset val="100"/>
        <noMultiLvlLbl val="0"/>
      </catAx>
      <valAx>
        <axId val="74775514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550672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Internal Audits'!$O$32:$O$36</f>
              <strCache>
                <ptCount val="5"/>
                <pt idx="0">
                  <v>System Audit</v>
                </pt>
                <pt idx="1">
                  <v>Compliance Audit</v>
                </pt>
                <pt idx="2">
                  <v>Process Audit</v>
                </pt>
                <pt idx="3">
                  <v>Theme Audit</v>
                </pt>
                <pt idx="4">
                  <v>Surveillance</v>
                </pt>
              </strCache>
            </strRef>
          </cat>
          <val>
            <numRef>
              <f>'Dashboard – Internal Audits'!$P$32:$P$36</f>
              <numCache>
                <formatCode>General</formatCode>
                <ptCount val="5"/>
                <pt idx="0">
                  <v>4</v>
                </pt>
                <pt idx="1">
                  <v>0</v>
                </pt>
                <pt idx="2">
                  <v>0</v>
                </pt>
                <pt idx="3">
                  <v>2</v>
                </pt>
                <pt idx="4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8D6E63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External Audits'!$B$13:$M$13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External Audits'!$B$14:$M$14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2</v>
                </pt>
                <pt idx="11">
                  <v>2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External Audits'!$B$13:$M$13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External Audits'!$B$15:$M$15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7187434"/>
        <axId val="75033666"/>
      </barChart>
      <catAx>
        <axId val="3718743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5033666"/>
        <crosses val="autoZero"/>
        <auto val="1"/>
        <lblAlgn val="ctr"/>
        <lblOffset val="100"/>
        <noMultiLvlLbl val="0"/>
      </catAx>
      <valAx>
        <axId val="7503366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718743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External Audits'!$O$13:$O$15</f>
              <strCache>
                <ptCount val="3"/>
                <pt idx="0">
                  <v>Completed</v>
                </pt>
                <pt idx="1">
                  <v>In Progress</v>
                </pt>
                <pt idx="2">
                  <v>Scheduled</v>
                </pt>
              </strCache>
            </strRef>
          </cat>
          <val>
            <numRef>
              <f>'Dashboard – External Audits'!$P$13:$P$15</f>
              <numCache>
                <formatCode>General</formatCode>
                <ptCount val="3"/>
                <pt idx="0">
                  <v>1</v>
                </pt>
                <pt idx="1">
                  <v>4</v>
                </pt>
                <pt idx="2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External Audits'!$C$32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5D4037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External Audits'!$B$33:$B$42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External Audits'!$C$33:$C$42</f>
              <numCache>
                <formatCode>General</formatCode>
                <ptCount val="10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4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5164174"/>
        <axId val="87664790"/>
      </barChart>
      <catAx>
        <axId val="8516417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7664790"/>
        <crosses val="autoZero"/>
        <auto val="1"/>
        <lblAlgn val="ctr"/>
        <lblOffset val="100"/>
        <noMultiLvlLbl val="0"/>
      </catAx>
      <valAx>
        <axId val="8766479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516417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External Audits'!$O$32:$O$36</f>
              <strCache>
                <ptCount val="5"/>
                <pt idx="0">
                  <v>System Audit</v>
                </pt>
                <pt idx="1">
                  <v>Compliance Audit</v>
                </pt>
                <pt idx="2">
                  <v>Process Audit</v>
                </pt>
                <pt idx="3">
                  <v>Theme Audit</v>
                </pt>
                <pt idx="4">
                  <v>Surveillance</v>
                </pt>
              </strCache>
            </strRef>
          </cat>
          <val>
            <numRef>
              <f>'Dashboard – External Audits'!$P$32:$P$36</f>
              <numCache>
                <formatCode>General</formatCode>
                <ptCount val="5"/>
                <pt idx="0">
                  <v>1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26C6DA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Mgmt Visits'!$B$13:$M$13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Mgmt Visits'!$B$14:$M$14</f>
              <numCache>
                <formatCode>General</formatCode>
                <ptCount val="12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2</v>
                </pt>
                <pt idx="9">
                  <v>0</v>
                </pt>
                <pt idx="10">
                  <v>2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Mgmt Visits'!$B$13:$M$13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Mgmt Visits'!$B$15:$M$15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2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4591478"/>
        <axId val="80445253"/>
      </barChart>
      <catAx>
        <axId val="7459147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0445253"/>
        <crosses val="autoZero"/>
        <auto val="1"/>
        <lblAlgn val="ctr"/>
        <lblOffset val="100"/>
        <noMultiLvlLbl val="0"/>
      </catAx>
      <valAx>
        <axId val="8044525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459147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Mgmt Visits'!$O$13:$O$14</f>
              <strCache>
                <ptCount val="2"/>
                <pt idx="0">
                  <v>Completed</v>
                </pt>
                <pt idx="1">
                  <v>Action Pending</v>
                </pt>
              </strCache>
            </strRef>
          </cat>
          <val>
            <numRef>
              <f>'Dashboard – Mgmt Visits'!$P$13:$P$14</f>
              <numCache>
                <formatCode>General</formatCode>
                <ptCount val="2"/>
                <pt idx="0">
                  <v>6</v>
                </pt>
                <pt idx="1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4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Mgmt Visits'!$C$32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00838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Mgmt Visits'!$B$33:$B$42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Mgmt Visits'!$C$33:$C$42</f>
              <numCache>
                <formatCode>General</formatCode>
                <ptCount val="10"/>
                <pt idx="0">
                  <v>3</v>
                </pt>
                <pt idx="1">
                  <v>0</v>
                </pt>
                <pt idx="2">
                  <v>2</v>
                </pt>
                <pt idx="3">
                  <v>3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2</v>
                </pt>
                <pt idx="8">
                  <v>0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0958220"/>
        <axId val="30706660"/>
      </barChart>
      <catAx>
        <axId val="409582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0706660"/>
        <crosses val="autoZero"/>
        <auto val="1"/>
        <lblAlgn val="ctr"/>
        <lblOffset val="100"/>
        <noMultiLvlLbl val="0"/>
      </catAx>
      <valAx>
        <axId val="3070666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4095822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Mgmt Visits'!$O$32:$O$37</f>
              <strCache>
                <ptCount val="6"/>
                <pt idx="0">
                  <v>Site Walk</v>
                </pt>
                <pt idx="1">
                  <v>Plant Visit</v>
                </pt>
                <pt idx="2">
                  <v>Safety Observation</v>
                </pt>
                <pt idx="3">
                  <v>Contractor Review</v>
                </pt>
                <pt idx="4">
                  <v>Project Visit</v>
                </pt>
                <pt idx="5">
                  <v>Emergency Review</v>
                </pt>
              </strCache>
            </strRef>
          </cat>
          <val>
            <numRef>
              <f>'Dashboard – Mgmt Visits'!$P$32:$P$37</f>
              <numCache>
                <formatCode>General</formatCode>
                <ptCount val="6"/>
                <pt idx="0">
                  <v>2</v>
                </pt>
                <pt idx="1">
                  <v>3</v>
                </pt>
                <pt idx="2">
                  <v>0</v>
                </pt>
                <pt idx="3">
                  <v>2</v>
                </pt>
                <pt idx="4">
                  <v>2</v>
                </pt>
                <pt idx="5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78909C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Mgmt Reviews'!$B$13:$M$13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Mgmt Reviews'!$B$14:$M$14</f>
              <numCache>
                <formatCode>General</formatCode>
                <ptCount val="12"/>
                <pt idx="0">
                  <v>0</v>
                </pt>
                <pt idx="1">
                  <v>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Mgmt Reviews'!$B$13:$M$13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Mgmt Reviews'!$B$15:$M$15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5968280"/>
        <axId val="30450187"/>
      </barChart>
      <catAx>
        <axId val="259682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0450187"/>
        <crosses val="autoZero"/>
        <auto val="1"/>
        <lblAlgn val="ctr"/>
        <lblOffset val="100"/>
        <noMultiLvlLbl val="0"/>
      </catAx>
      <valAx>
        <axId val="304501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596828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Mgmt Reviews'!$O$13:$O$15</f>
              <strCache>
                <ptCount val="3"/>
                <pt idx="0">
                  <v>Completed</v>
                </pt>
                <pt idx="1">
                  <v>In Progress</v>
                </pt>
                <pt idx="2">
                  <v>Scheduled</v>
                </pt>
              </strCache>
            </strRef>
          </cat>
          <val>
            <numRef>
              <f>'Dashboard – Mgmt Reviews'!$P$13:$P$15</f>
              <numCache>
                <formatCode>General</formatCode>
                <ptCount val="3"/>
                <pt idx="0">
                  <v>4</v>
                </pt>
                <pt idx="1">
                  <v>4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8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Mgmt Reviews'!$C$32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55A64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Mgmt Reviews'!$B$33:$B$42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Mgmt Reviews'!$C$33:$C$42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3218650"/>
        <axId val="78604134"/>
      </barChart>
      <catAx>
        <axId val="8321865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8604134"/>
        <crosses val="autoZero"/>
        <auto val="1"/>
        <lblAlgn val="ctr"/>
        <lblOffset val="100"/>
        <noMultiLvlLbl val="0"/>
      </catAx>
      <valAx>
        <axId val="78604134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321865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Mgmt Reviews'!$O$32:$O$37</f>
              <strCache>
                <ptCount val="6"/>
                <pt idx="0">
                  <v>Quarterly HSE Review</v>
                </pt>
                <pt idx="1">
                  <v>Annual Management Review</v>
                </pt>
                <pt idx="2">
                  <v>KPI Performance Review</v>
                </pt>
                <pt idx="3">
                  <v>Incident Trend Review</v>
                </pt>
                <pt idx="4">
                  <v>Compliance Review</v>
                </pt>
                <pt idx="5">
                  <v>Budget Review</v>
                </pt>
              </strCache>
            </strRef>
          </cat>
          <val>
            <numRef>
              <f>'Dashboard – Mgmt Reviews'!$P$32:$P$37</f>
              <numCache>
                <formatCode>General</formatCode>
                <ptCount val="6"/>
                <pt idx="0">
                  <v>2</v>
                </pt>
                <pt idx="1">
                  <v>1</v>
                </pt>
                <pt idx="2">
                  <v>2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0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Disciplinary'!$B$13:$M$13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Disciplinary'!$B$14:$M$14</f>
              <numCache>
                <formatCode>General</formatCode>
                <ptCount val="12"/>
                <pt idx="0">
                  <v>1</v>
                </pt>
                <pt idx="1">
                  <v>0</v>
                </pt>
                <pt idx="2">
                  <v>3</v>
                </pt>
                <pt idx="3">
                  <v>0</v>
                </pt>
                <pt idx="4">
                  <v>3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2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Disciplinary'!$B$13:$M$13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Disciplinary'!$B$15:$M$15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6432313"/>
        <axId val="13132474"/>
      </barChart>
      <catAx>
        <axId val="3643231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3132474"/>
        <crosses val="autoZero"/>
        <auto val="1"/>
        <lblAlgn val="ctr"/>
        <lblOffset val="100"/>
        <noMultiLvlLbl val="0"/>
      </catAx>
      <valAx>
        <axId val="1313247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643231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Disciplinary'!$O$13:$O$15</f>
              <strCache>
                <ptCount val="3"/>
                <pt idx="0">
                  <v>Completed</v>
                </pt>
                <pt idx="1">
                  <v>Under Review</v>
                </pt>
                <pt idx="2">
                  <v>Appealed</v>
                </pt>
              </strCache>
            </strRef>
          </cat>
          <val>
            <numRef>
              <f>'Dashboard – Disciplinary'!$P$13:$P$15</f>
              <numCache>
                <formatCode>General</formatCode>
                <ptCount val="3"/>
                <pt idx="0">
                  <v>1</v>
                </pt>
                <pt idx="1">
                  <v>6</v>
                </pt>
                <pt idx="2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2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Disciplinary'!$C$32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D32F2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Disciplinary'!$B$33:$B$42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Disciplinary'!$C$33:$C$42</f>
              <numCache>
                <formatCode>General</formatCode>
                <ptCount val="10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3</v>
                </pt>
                <pt idx="5">
                  <v>0</v>
                </pt>
                <pt idx="6">
                  <v>1</v>
                </pt>
                <pt idx="7">
                  <v>1</v>
                </pt>
                <pt idx="8">
                  <v>2</v>
                </pt>
                <pt idx="9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6777234"/>
        <axId val="94492208"/>
      </barChart>
      <catAx>
        <axId val="7677723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4492208"/>
        <crosses val="autoZero"/>
        <auto val="1"/>
        <lblAlgn val="ctr"/>
        <lblOffset val="100"/>
        <noMultiLvlLbl val="0"/>
      </catAx>
      <valAx>
        <axId val="94492208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677723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F57C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Disciplinary'!$O$32:$O$38</f>
              <strCache>
                <ptCount val="7"/>
                <pt idx="0">
                  <v>PPE Violation</v>
                </pt>
                <pt idx="1">
                  <v>Safety Rule Breach</v>
                </pt>
                <pt idx="2">
                  <v>Permit Violation</v>
                </pt>
                <pt idx="3">
                  <v>Substance Abuse</v>
                </pt>
                <pt idx="4">
                  <v>Reckless Behavior</v>
                </pt>
                <pt idx="5">
                  <v>Unauthorized Work</v>
                </pt>
                <pt idx="6">
                  <v>Tampering</v>
                </pt>
              </strCache>
            </strRef>
          </cat>
          <val>
            <numRef>
              <f>'Dashboard – Disciplinary'!$P$32:$P$38</f>
              <numCache>
                <formatCode>General</formatCode>
                <ptCount val="7"/>
                <pt idx="0">
                  <v>1</v>
                </pt>
                <pt idx="1">
                  <v>1</v>
                </pt>
                <pt idx="2">
                  <v>4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9CCC65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Safety Awards'!$B$13:$M$13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Safety Awards'!$B$14:$M$14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0</v>
                </pt>
                <pt idx="3">
                  <v>2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</v>
                </pt>
                <pt idx="9">
                  <v>3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5307294"/>
        <axId val="23611146"/>
      </barChart>
      <catAx>
        <axId val="9530729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3611146"/>
        <crosses val="autoZero"/>
        <auto val="1"/>
        <lblAlgn val="ctr"/>
        <lblOffset val="100"/>
        <noMultiLvlLbl val="0"/>
      </catAx>
      <valAx>
        <axId val="2361114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530729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1565C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Safety Awards'!$O$13:$O$15</f>
              <strCache>
                <ptCount val="3"/>
                <pt idx="0">
                  <v>Presented</v>
                </pt>
                <pt idx="1">
                  <v>Scheduled</v>
                </pt>
                <pt idx="2">
                  <v>Nominated</v>
                </pt>
              </strCache>
            </strRef>
          </cat>
          <val>
            <numRef>
              <f>'Dashboard – Safety Awards'!$P$13:$P$15</f>
              <numCache>
                <formatCode>General</formatCode>
                <ptCount val="3"/>
                <pt idx="0">
                  <v>3</v>
                </pt>
                <pt idx="1">
                  <v>3</v>
                </pt>
                <pt idx="2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6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Safety Awards'!$C$32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558B2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Safety Awards'!$B$33:$B$42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Safety Awards'!$C$33:$C$42</f>
              <numCache>
                <formatCode>General</formatCode>
                <ptCount val="10"/>
                <pt idx="0">
                  <v>1</v>
                </pt>
                <pt idx="1">
                  <v>0</v>
                </pt>
                <pt idx="2">
                  <v>2</v>
                </pt>
                <pt idx="3">
                  <v>0</v>
                </pt>
                <pt idx="4">
                  <v>0</v>
                </pt>
                <pt idx="5">
                  <v>3</v>
                </pt>
                <pt idx="6">
                  <v>2</v>
                </pt>
                <pt idx="7">
                  <v>0</v>
                </pt>
                <pt idx="8">
                  <v>2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1082167"/>
        <axId val="94562808"/>
      </barChart>
      <catAx>
        <axId val="8108216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4562808"/>
        <crosses val="autoZero"/>
        <auto val="1"/>
        <lblAlgn val="ctr"/>
        <lblOffset val="100"/>
        <noMultiLvlLbl val="0"/>
      </catAx>
      <valAx>
        <axId val="94562808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108216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F57C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Safety Awards'!$O$32:$O$38</f>
              <strCache>
                <ptCount val="7"/>
                <pt idx="0">
                  <v>Safe Worker of Month</v>
                </pt>
                <pt idx="1">
                  <v>Best Safety Suggestion</v>
                </pt>
                <pt idx="2">
                  <v>Zero Incident Award</v>
                </pt>
                <pt idx="3">
                  <v>HSE Champion</v>
                </pt>
                <pt idx="4">
                  <v>Best Department</v>
                </pt>
                <pt idx="5">
                  <v>Safety Innovation</v>
                </pt>
                <pt idx="6">
                  <v>Observation Champion</v>
                </pt>
              </strCache>
            </strRef>
          </cat>
          <val>
            <numRef>
              <f>'Dashboard – Safety Awards'!$P$32:$P$38</f>
              <numCache>
                <formatCode>General</formatCode>
                <ptCount val="7"/>
                <pt idx="0">
                  <v>0</v>
                </pt>
                <pt idx="1">
                  <v>1</v>
                </pt>
                <pt idx="2">
                  <v>3</v>
                </pt>
                <pt idx="3">
                  <v>2</v>
                </pt>
                <pt idx="4">
                  <v>1</v>
                </pt>
                <pt idx="5">
                  <v>2</v>
                </pt>
                <pt idx="6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Stop Work'!$B$13:$M$13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Stop Work'!$B$14:$M$14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2</v>
                </pt>
                <pt idx="9">
                  <v>1</v>
                </pt>
                <pt idx="10">
                  <v>2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v>Resolved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Stop Work'!$B$13:$M$13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Stop Work'!$B$15:$M$15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3585709"/>
        <axId val="97195626"/>
      </barChart>
      <catAx>
        <axId val="6358570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7195626"/>
        <crosses val="autoZero"/>
        <auto val="1"/>
        <lblAlgn val="ctr"/>
        <lblOffset val="100"/>
        <noMultiLvlLbl val="0"/>
      </catAx>
      <valAx>
        <axId val="9719562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358570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1B5E2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Stop Work'!$O$13:$O$15</f>
              <strCache>
                <ptCount val="3"/>
                <pt idx="0">
                  <v>Resolved</v>
                </pt>
                <pt idx="1">
                  <v>Under Investigation</v>
                </pt>
                <pt idx="2">
                  <v>Permanent Fix Applied</v>
                </pt>
              </strCache>
            </strRef>
          </cat>
          <val>
            <numRef>
              <f>'Dashboard – Stop Work'!$P$13:$P$15</f>
              <numCache>
                <formatCode>General</formatCode>
                <ptCount val="3"/>
                <pt idx="0">
                  <v>0</v>
                </pt>
                <pt idx="1">
                  <v>5</v>
                </pt>
                <pt idx="2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0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Stop Work'!$C$32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C62828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Stop Work'!$B$33:$B$42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Stop Work'!$C$33:$C$42</f>
              <numCache>
                <formatCode>General</formatCode>
                <ptCount val="10"/>
                <pt idx="0">
                  <v>0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1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396889"/>
        <axId val="22609560"/>
      </barChart>
      <catAx>
        <axId val="1939688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2609560"/>
        <crosses val="autoZero"/>
        <auto val="1"/>
        <lblAlgn val="ctr"/>
        <lblOffset val="100"/>
        <noMultiLvlLbl val="0"/>
      </catAx>
      <valAx>
        <axId val="2260956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939688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Stop Work'!$O$32:$O$35</f>
              <strCache>
                <ptCount val="4"/>
                <pt idx="0">
                  <v>Critical</v>
                </pt>
                <pt idx="1">
                  <v>High</v>
                </pt>
                <pt idx="2">
                  <v>Medium</v>
                </pt>
                <pt idx="3">
                  <v>Low</v>
                </pt>
              </strCache>
            </strRef>
          </cat>
          <val>
            <numRef>
              <f>'Dashboard – Stop Work'!$P$32:$P$35</f>
              <numCache>
                <formatCode>General</formatCode>
                <ptCount val="4"/>
                <pt idx="0">
                  <v>4</v>
                </pt>
                <pt idx="1">
                  <v>3</v>
                </pt>
                <pt idx="2">
                  <v>3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8D6E63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Alcohol Tests'!$B$13:$M$13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Alcohol Tests'!$B$14:$M$14</f>
              <numCache>
                <formatCode>General</formatCode>
                <ptCount val="12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2</v>
                </pt>
                <pt idx="4">
                  <v>3</v>
                </pt>
                <pt idx="5">
                  <v>0</v>
                </pt>
                <pt idx="6">
                  <v>2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281286"/>
        <axId val="8869056"/>
      </barChart>
      <catAx>
        <axId val="928128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869056"/>
        <crosses val="autoZero"/>
        <auto val="1"/>
        <lblAlgn val="ctr"/>
        <lblOffset val="100"/>
        <noMultiLvlLbl val="0"/>
      </catAx>
      <valAx>
        <axId val="886905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28128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Alcohol Tests'!$O$13:$O$14</f>
              <strCache>
                <ptCount val="2"/>
                <pt idx="0">
                  <v>Negative</v>
                </pt>
                <pt idx="1">
                  <v>Positive</v>
                </pt>
              </strCache>
            </strRef>
          </cat>
          <val>
            <numRef>
              <f>'Dashboard – Alcohol Tests'!$P$13:$P$14</f>
              <numCache>
                <formatCode>General</formatCode>
                <ptCount val="2"/>
                <pt idx="0">
                  <v>13</v>
                </pt>
                <pt idx="1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4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Alcohol Tests'!$C$32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5D4037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Alcohol Tests'!$B$33:$B$42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Alcohol Tests'!$C$33:$C$42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2</v>
                </pt>
                <pt idx="4">
                  <v>1</v>
                </pt>
                <pt idx="5">
                  <v>0</v>
                </pt>
                <pt idx="6">
                  <v>2</v>
                </pt>
                <pt idx="7">
                  <v>1</v>
                </pt>
                <pt idx="8">
                  <v>2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954054"/>
        <axId val="73976905"/>
      </barChart>
      <catAx>
        <axId val="1795405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3976905"/>
        <crosses val="autoZero"/>
        <auto val="1"/>
        <lblAlgn val="ctr"/>
        <lblOffset val="100"/>
        <noMultiLvlLbl val="0"/>
      </catAx>
      <valAx>
        <axId val="73976905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795405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Alcohol Tests'!$O$32:$O$35</f>
              <strCache>
                <ptCount val="4"/>
                <pt idx="0">
                  <v>Pre-Shift</v>
                </pt>
                <pt idx="1">
                  <v>Random</v>
                </pt>
                <pt idx="2">
                  <v>Post-Incident</v>
                </pt>
                <pt idx="3">
                  <v>Reasonable Suspicion</v>
                </pt>
              </strCache>
            </strRef>
          </cat>
          <val>
            <numRef>
              <f>'Dashboard – Alcohol Tests'!$P$32:$P$35</f>
              <numCache>
                <formatCode>General</formatCode>
                <ptCount val="4"/>
                <pt idx="0">
                  <v>2</v>
                </pt>
                <pt idx="1">
                  <v>6</v>
                </pt>
                <pt idx="2">
                  <v>4</v>
                </pt>
                <pt idx="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6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42A5F5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– PTW Audits'!$B$13:$M$13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PTW Audits'!$B$14:$M$14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</v>
                </pt>
                <pt idx="4">
                  <v>0</v>
                </pt>
                <pt idx="5">
                  <v>2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3</v>
                </pt>
                <pt idx="11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50"/>
        <axId val="74399133"/>
        <axId val="56938081"/>
      </barChart>
      <catAx>
        <axId val="7439913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56938081"/>
        <crosses val="autoZero"/>
        <auto val="1"/>
        <lblAlgn val="ctr"/>
        <lblOffset val="100"/>
        <noMultiLvlLbl val="0"/>
      </catAx>
      <valAx>
        <axId val="5693808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7439913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'Dashboard – PTW Audits'!$O$13:$O$15</f>
              <strCache>
                <ptCount val="3"/>
                <pt idx="0">
                  <v>Compliant</v>
                </pt>
                <pt idx="1">
                  <v>Non-Compliant</v>
                </pt>
                <pt idx="2">
                  <v>Partially Compliant</v>
                </pt>
              </strCache>
            </strRef>
          </cat>
          <val>
            <numRef>
              <f>'Dashboard – PTW Audits'!$P$13:$P$15</f>
              <numCache>
                <formatCode>General</formatCode>
                <ptCount val="3"/>
                <pt idx="0">
                  <v>3</v>
                </pt>
                <pt idx="1">
                  <v>4</v>
                </pt>
                <pt idx="2">
                  <v>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8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PTW Audits'!$C$32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1565C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PTW Audits'!$B$33:$B$42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PTW Audits'!$C$33:$C$42</f>
              <numCache>
                <formatCode>General</formatCode>
                <ptCount val="10"/>
                <pt idx="0">
                  <v>2</v>
                </pt>
                <pt idx="1">
                  <v>5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9250705"/>
        <axId val="65189300"/>
      </barChart>
      <catAx>
        <axId val="6925070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5189300"/>
        <crosses val="autoZero"/>
        <auto val="1"/>
        <lblAlgn val="ctr"/>
        <lblOffset val="100"/>
        <noMultiLvlLbl val="0"/>
      </catAx>
      <valAx>
        <axId val="65189300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6925070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F57C00"/>
              </a:solidFill>
              <a:ln w="0"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'Dashboard – PTW Audits'!$O$32:$O$38</f>
              <strCache>
                <ptCount val="7"/>
                <pt idx="0">
                  <v>Hot Work</v>
                </pt>
                <pt idx="1">
                  <v>Confined Space</v>
                </pt>
                <pt idx="2">
                  <v>Working at Height</v>
                </pt>
                <pt idx="3">
                  <v>Excavation</v>
                </pt>
                <pt idx="4">
                  <v>Electrical</v>
                </pt>
                <pt idx="5">
                  <v>Cold Work</v>
                </pt>
                <pt idx="6">
                  <v>Lifting</v>
                </pt>
              </strCache>
            </strRef>
          </cat>
          <val>
            <numRef>
              <f>'Dashboard – PTW Audits'!$P$32:$P$38</f>
              <numCache>
                <formatCode>General</formatCode>
                <ptCount val="7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3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0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FFA726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Corrective Actions'!$B$13:$M$13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Corrective Actions'!$B$14:$M$14</f>
              <numCache>
                <formatCode>General</formatCode>
                <ptCount val="12"/>
                <pt idx="0">
                  <v>1</v>
                </pt>
                <pt idx="1">
                  <v>3</v>
                </pt>
                <pt idx="2">
                  <v>1</v>
                </pt>
                <pt idx="3">
                  <v>2</v>
                </pt>
                <pt idx="4">
                  <v>3</v>
                </pt>
                <pt idx="5">
                  <v>1</v>
                </pt>
                <pt idx="6">
                  <v>3</v>
                </pt>
                <pt idx="7">
                  <v>1</v>
                </pt>
                <pt idx="8">
                  <v>2</v>
                </pt>
                <pt idx="9">
                  <v>2</v>
                </pt>
                <pt idx="10">
                  <v>0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Corrective Actions'!$B$13:$M$13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Corrective Actions'!$B$15:$M$15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2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4007254"/>
        <axId val="91590863"/>
      </barChart>
      <catAx>
        <axId val="2400725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1590863"/>
        <crosses val="autoZero"/>
        <auto val="1"/>
        <lblAlgn val="ctr"/>
        <lblOffset val="100"/>
        <noMultiLvlLbl val="0"/>
      </catAx>
      <valAx>
        <axId val="9159086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400725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9E9E9E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Corrective Actions'!$O$13:$O$17</f>
              <strCache>
                <ptCount val="5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  <pt idx="4">
                  <v>Cancelled</v>
                </pt>
              </strCache>
            </strRef>
          </cat>
          <val>
            <numRef>
              <f>'Dashboard – Corrective Actions'!$P$13:$P$17</f>
              <numCache>
                <formatCode>General</formatCode>
                <ptCount val="5"/>
                <pt idx="0">
                  <v>6</v>
                </pt>
                <pt idx="1">
                  <v>5</v>
                </pt>
                <pt idx="2">
                  <v>6</v>
                </pt>
                <pt idx="3">
                  <v>3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2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Corrective Actions'!$C$32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EF6C0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Corrective Actions'!$B$33:$B$42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Corrective Actions'!$C$33:$C$42</f>
              <numCache>
                <formatCode>General</formatCode>
                <ptCount val="10"/>
                <pt idx="0">
                  <v>2</v>
                </pt>
                <pt idx="1">
                  <v>3</v>
                </pt>
                <pt idx="2">
                  <v>2</v>
                </pt>
                <pt idx="3">
                  <v>2</v>
                </pt>
                <pt idx="4">
                  <v>3</v>
                </pt>
                <pt idx="5">
                  <v>1</v>
                </pt>
                <pt idx="6">
                  <v>4</v>
                </pt>
                <pt idx="7">
                  <v>1</v>
                </pt>
                <pt idx="8">
                  <v>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646095"/>
        <axId val="34623805"/>
      </barChart>
      <catAx>
        <axId val="1964609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4623805"/>
        <crosses val="autoZero"/>
        <auto val="1"/>
        <lblAlgn val="ctr"/>
        <lblOffset val="100"/>
        <noMultiLvlLbl val="0"/>
      </catAx>
      <valAx>
        <axId val="34623805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964609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7B1FA2"/>
              </a:solidFill>
              <a:ln w="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00897B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Corrective Actions'!$O$32:$O$37</f>
              <strCache>
                <ptCount val="6"/>
                <pt idx="0">
                  <v>Audit Finding</v>
                </pt>
                <pt idx="1">
                  <v>Inspection Finding</v>
                </pt>
                <pt idx="2">
                  <v>Incident Follow-up</v>
                </pt>
                <pt idx="3">
                  <v>Observation Follow-up</v>
                </pt>
                <pt idx="4">
                  <v>Management Review</v>
                </pt>
                <pt idx="5">
                  <v>Drill Finding</v>
                </pt>
              </strCache>
            </strRef>
          </cat>
          <val>
            <numRef>
              <f>'Dashboard – Corrective Actions'!$P$32:$P$37</f>
              <numCache>
                <formatCode>General</formatCode>
                <ptCount val="6"/>
                <pt idx="0">
                  <v>2</v>
                </pt>
                <pt idx="1">
                  <v>7</v>
                </pt>
                <pt idx="2">
                  <v>0</v>
                </pt>
                <pt idx="3">
                  <v>2</v>
                </pt>
                <pt idx="4">
                  <v>4</v>
                </pt>
                <pt idx="5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4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NC Management'!$B$13:$M$13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NC Management'!$B$14:$M$14</f>
              <numCache>
                <formatCode>General</formatCode>
                <ptCount val="12"/>
                <pt idx="0">
                  <v>3</v>
                </pt>
                <pt idx="1">
                  <v>0</v>
                </pt>
                <pt idx="2">
                  <v>4</v>
                </pt>
                <pt idx="3">
                  <v>0</v>
                </pt>
                <pt idx="4">
                  <v>2</v>
                </pt>
                <pt idx="5">
                  <v>1</v>
                </pt>
                <pt idx="6">
                  <v>0</v>
                </pt>
                <pt idx="7">
                  <v>0</v>
                </pt>
                <pt idx="8">
                  <v>1</v>
                </pt>
                <pt idx="9">
                  <v>0</v>
                </pt>
                <pt idx="10">
                  <v>5</v>
                </pt>
                <pt idx="11">
                  <v>2</v>
                </pt>
              </numCache>
            </numRef>
          </val>
        </ser>
        <ser>
          <idx val="1"/>
          <order val="1"/>
          <tx>
            <v>Closed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NC Management'!$B$13:$M$13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NC Management'!$B$15:$M$15</f>
              <numCache>
                <formatCode>General</formatCode>
                <ptCount val="12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321375"/>
        <axId val="83995509"/>
      </barChart>
      <catAx>
        <axId val="203213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3995509"/>
        <crosses val="autoZero"/>
        <auto val="1"/>
        <lblAlgn val="ctr"/>
        <lblOffset val="100"/>
        <noMultiLvlLbl val="0"/>
      </catAx>
      <valAx>
        <axId val="8399550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032137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NC Management'!$O$13:$O$16</f>
              <strCache>
                <ptCount val="4"/>
                <pt idx="0">
                  <v>Closed</v>
                </pt>
                <pt idx="1">
                  <v>Open</v>
                </pt>
                <pt idx="2">
                  <v>Under Review</v>
                </pt>
                <pt idx="3">
                  <v>Overdue</v>
                </pt>
              </strCache>
            </strRef>
          </cat>
          <val>
            <numRef>
              <f>'Dashboard – NC Management'!$P$13:$P$16</f>
              <numCache>
                <formatCode>General</formatCode>
                <ptCount val="4"/>
                <pt idx="0">
                  <v>4</v>
                </pt>
                <pt idx="1">
                  <v>5</v>
                </pt>
                <pt idx="2">
                  <v>6</v>
                </pt>
                <pt idx="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6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NC Management'!$C$32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D32F2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NC Management'!$B$33:$B$42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NC Management'!$C$33:$C$42</f>
              <numCache>
                <formatCode>General</formatCode>
                <ptCount val="10"/>
                <pt idx="0">
                  <v>4</v>
                </pt>
                <pt idx="1">
                  <v>3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2</v>
                </pt>
                <pt idx="8">
                  <v>1</v>
                </pt>
                <pt idx="9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868246"/>
        <axId val="12250334"/>
      </barChart>
      <catAx>
        <axId val="1586824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2250334"/>
        <crosses val="autoZero"/>
        <auto val="1"/>
        <lblAlgn val="ctr"/>
        <lblOffset val="100"/>
        <noMultiLvlLbl val="0"/>
      </catAx>
      <valAx>
        <axId val="12250334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5868246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7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NC Management'!$O$32:$O$34</f>
              <strCache>
                <ptCount val="3"/>
                <pt idx="0">
                  <v>Major</v>
                </pt>
                <pt idx="1">
                  <v>Minor</v>
                </pt>
                <pt idx="2">
                  <v>Observation</v>
                </pt>
              </strCache>
            </strRef>
          </cat>
          <val>
            <numRef>
              <f>'Dashboard – NC Management'!$P$32:$P$34</f>
              <numCache>
                <formatCode>General</formatCode>
                <ptCount val="3"/>
                <pt idx="0">
                  <v>8</v>
                </pt>
                <pt idx="1">
                  <v>6</v>
                </pt>
                <pt idx="2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8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EF535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Unsafe Acts'!$B$13:$M$13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Unsafe Acts'!$B$14:$M$14</f>
              <numCache>
                <formatCode>General</formatCode>
                <ptCount val="12"/>
                <pt idx="0">
                  <v>2</v>
                </pt>
                <pt idx="1">
                  <v>2</v>
                </pt>
                <pt idx="2">
                  <v>1</v>
                </pt>
                <pt idx="3">
                  <v>2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2</v>
                </pt>
                <pt idx="8">
                  <v>0</v>
                </pt>
                <pt idx="9">
                  <v>1</v>
                </pt>
                <pt idx="10">
                  <v>3</v>
                </pt>
                <pt idx="11">
                  <v>2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Unsafe Acts'!$B$13:$M$13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Unsafe Acts'!$B$15:$M$15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2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3880753"/>
        <axId val="20432266"/>
      </barChart>
      <catAx>
        <axId val="9388075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0432266"/>
        <crosses val="autoZero"/>
        <auto val="1"/>
        <lblAlgn val="ctr"/>
        <lblOffset val="100"/>
        <noMultiLvlLbl val="0"/>
      </catAx>
      <valAx>
        <axId val="2043226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388075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9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Unsafe Acts'!$O$13:$O$16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Unsafe Acts'!$P$13:$P$16</f>
              <numCache>
                <formatCode>General</formatCode>
                <ptCount val="4"/>
                <pt idx="0">
                  <v>5</v>
                </pt>
                <pt idx="1">
                  <v>2</v>
                </pt>
                <pt idx="2">
                  <v>4</v>
                </pt>
                <pt idx="3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0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Unsafe Acts'!$C$32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D32F2F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Unsafe Acts'!$B$33:$B$42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Unsafe Acts'!$C$33:$C$42</f>
              <numCache>
                <formatCode>General</formatCode>
                <ptCount val="10"/>
                <pt idx="0">
                  <v>2</v>
                </pt>
                <pt idx="1">
                  <v>0</v>
                </pt>
                <pt idx="2">
                  <v>3</v>
                </pt>
                <pt idx="3">
                  <v>2</v>
                </pt>
                <pt idx="4">
                  <v>5</v>
                </pt>
                <pt idx="5">
                  <v>1</v>
                </pt>
                <pt idx="6">
                  <v>2</v>
                </pt>
                <pt idx="7">
                  <v>0</v>
                </pt>
                <pt idx="8">
                  <v>1</v>
                </pt>
                <pt idx="9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3893453"/>
        <axId val="26700917"/>
      </barChart>
      <catAx>
        <axId val="8389345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6700917"/>
        <crosses val="autoZero"/>
        <auto val="1"/>
        <lblAlgn val="ctr"/>
        <lblOffset val="100"/>
        <noMultiLvlLbl val="0"/>
      </catAx>
      <valAx>
        <axId val="26700917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389345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1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Unsafe Acts'!$O$32:$O$34</f>
              <strCache>
                <ptCount val="3"/>
                <pt idx="0">
                  <v>High</v>
                </pt>
                <pt idx="1">
                  <v>Medium</v>
                </pt>
                <pt idx="2">
                  <v>Low</v>
                </pt>
              </strCache>
            </strRef>
          </cat>
          <val>
            <numRef>
              <f>'Dashboard – Unsafe Acts'!$P$32:$P$34</f>
              <numCache>
                <formatCode>General</formatCode>
                <ptCount val="3"/>
                <pt idx="0">
                  <v>4</v>
                </pt>
                <pt idx="1">
                  <v>6</v>
                </pt>
                <pt idx="2">
                  <v>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Total</v>
          </tx>
          <spPr>
            <a:solidFill>
              <a:srgbClr val="FFA726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'Dashboard – Unsafe Conditions'!$B$13:$M$13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Unsafe Conditions'!$B$14:$M$14</f>
              <numCache>
                <formatCode>General</formatCode>
                <ptCount val="12"/>
                <pt idx="0">
                  <v>2</v>
                </pt>
                <pt idx="1">
                  <v>2</v>
                </pt>
                <pt idx="2">
                  <v>4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2</v>
                </pt>
                <pt idx="8">
                  <v>1</v>
                </pt>
                <pt idx="9">
                  <v>1</v>
                </pt>
                <pt idx="10">
                  <v>0</v>
                </pt>
                <pt idx="11">
                  <v>2</v>
                </pt>
              </numCache>
            </numRef>
          </val>
        </ser>
        <ser>
          <idx val="1"/>
          <order val="1"/>
          <tx>
            <v>Completed</v>
          </tx>
          <spPr>
            <a:solidFill>
              <a:srgbClr val="2E7D32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Unsafe Conditions'!$B$13:$M$13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'Dashboard – Unsafe Conditions'!$B$15:$M$15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7438313"/>
        <axId val="31296747"/>
      </barChart>
      <catAx>
        <axId val="9743831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1296747"/>
        <crosses val="autoZero"/>
        <auto val="1"/>
        <lblAlgn val="ctr"/>
        <lblOffset val="100"/>
        <noMultiLvlLbl val="0"/>
      </catAx>
      <valAx>
        <axId val="3129674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743831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3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FF8F00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D32F2F"/>
              </a:solidFill>
              <a:ln w="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57575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Unsafe Conditions'!$O$13:$O$16</f>
              <strCache>
                <ptCount val="4"/>
                <pt idx="0">
                  <v>Completed</v>
                </pt>
                <pt idx="1">
                  <v>In Progress</v>
                </pt>
                <pt idx="2">
                  <v>Overdue</v>
                </pt>
                <pt idx="3">
                  <v>Pending</v>
                </pt>
              </strCache>
            </strRef>
          </cat>
          <val>
            <numRef>
              <f>'Dashboard – Unsafe Conditions'!$P$13:$P$16</f>
              <numCache>
                <formatCode>General</formatCode>
                <ptCount val="4"/>
                <pt idx="0">
                  <v>6</v>
                </pt>
                <pt idx="1">
                  <v>3</v>
                </pt>
                <pt idx="2">
                  <v>5</v>
                </pt>
                <pt idx="3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4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'Dashboard – Unsafe Conditions'!$C$32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EF6C00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'Dashboard – Unsafe Conditions'!$B$33:$B$42</f>
              <strCache>
                <ptCount val="10"/>
                <pt idx="0">
                  <v>Operations</v>
                </pt>
                <pt idx="1">
                  <v>Maintenance</v>
                </pt>
                <pt idx="2">
                  <v>Engineering</v>
                </pt>
                <pt idx="3">
                  <v>Construction</v>
                </pt>
                <pt idx="4">
                  <v>Safety</v>
                </pt>
                <pt idx="5">
                  <v>Logistics</v>
                </pt>
                <pt idx="6">
                  <v>Quality</v>
                </pt>
                <pt idx="7">
                  <v>Admin</v>
                </pt>
                <pt idx="8">
                  <v>Projects</v>
                </pt>
                <pt idx="9">
                  <v>Contractor</v>
                </pt>
              </strCache>
            </strRef>
          </cat>
          <val>
            <numRef>
              <f>'Dashboard – Unsafe Conditions'!$C$33:$C$42</f>
              <numCache>
                <formatCode>General</formatCode>
                <ptCount val="10"/>
                <pt idx="0">
                  <v>3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2</v>
                </pt>
                <pt idx="5">
                  <v>4</v>
                </pt>
                <pt idx="6">
                  <v>3</v>
                </pt>
                <pt idx="7">
                  <v>1</v>
                </pt>
                <pt idx="8">
                  <v>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3981211"/>
        <axId val="33541712"/>
      </barChart>
      <catAx>
        <axId val="2398121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3541712"/>
        <crosses val="autoZero"/>
        <auto val="1"/>
        <lblAlgn val="ctr"/>
        <lblOffset val="100"/>
        <noMultiLvlLbl val="0"/>
      </catAx>
      <valAx>
        <axId val="3354171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23981211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5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spPr>
            <a:solidFill>
              <a:srgbClr val="4F81BD"/>
            </a:solidFill>
            <a:ln w="0">
              <a:noFill/>
              <a:prstDash val="solid"/>
            </a:ln>
          </spPr>
          <dPt>
            <idx val="0"/>
            <bubble3D val="0"/>
            <spPr>
              <a:solidFill>
                <a:srgbClr val="0D47A1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2E7D32"/>
              </a:solidFill>
              <a:ln w="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EF6C00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'Dashboard – Unsafe Conditions'!$O$32:$O$34</f>
              <strCache>
                <ptCount val="3"/>
                <pt idx="0">
                  <v>High</v>
                </pt>
                <pt idx="1">
                  <v>Medium</v>
                </pt>
                <pt idx="2">
                  <v>Low</v>
                </pt>
              </strCache>
            </strRef>
          </cat>
          <val>
            <numRef>
              <f>'Dashboard – Unsafe Conditions'!$P$32:$P$34</f>
              <numCache>
                <formatCode>General</formatCode>
                <ptCount val="3"/>
                <pt idx="0">
                  <v>6</v>
                </pt>
                <pt idx="1">
                  <v>10</v>
                </pt>
                <pt idx="2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Incident Pyramid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– Incident'!C12</f>
            </strRef>
          </tx>
          <spPr>
            <a:ln>
              <a:prstDash val="solid"/>
            </a:ln>
          </spPr>
          <cat>
            <numRef>
              <f>'Dashboard – Incident'!$B$13:$B$18</f>
            </numRef>
          </cat>
          <val>
            <numRef>
              <f>'Dashboard – Incident'!$C$13:$C$18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Incident Trend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Incident'!$B$23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Incident'!$C$23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Incident'!$D$23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Incident'!$E$23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Incident'!$F$23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Incident'!$G$23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Incident'!$H$23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Incident'!$I$23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Incident'!$J$23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Incident'!$K$23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Incident'!$L$23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– Incident'!$B$22:$M$22</f>
            </numRef>
          </cat>
          <val>
            <numRef>
              <f>'Dashboard – Incident'!$M$23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Classification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– Incident'!C42</f>
            </strRef>
          </tx>
          <spPr>
            <a:ln>
              <a:prstDash val="solid"/>
            </a:ln>
          </spPr>
          <cat>
            <numRef>
              <f>'Dashboard – Incident'!$B$43:$B$48</f>
            </numRef>
          </cat>
          <val>
            <numRef>
              <f>'Dashboard – Incident'!$C$43:$C$48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Relationship Type="http://schemas.openxmlformats.org/officeDocument/2006/relationships/chart" Target="/xl/charts/chart11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Relationship Type="http://schemas.openxmlformats.org/officeDocument/2006/relationships/chart" Target="/xl/charts/chart22.xml" Id="rId3" /><Relationship Type="http://schemas.openxmlformats.org/officeDocument/2006/relationships/chart" Target="/xl/charts/chart23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Relationship Type="http://schemas.openxmlformats.org/officeDocument/2006/relationships/chart" Target="/xl/charts/chart31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2.xml" Id="rId1" /><Relationship Type="http://schemas.openxmlformats.org/officeDocument/2006/relationships/chart" Target="/xl/charts/chart33.xml" Id="rId2" /><Relationship Type="http://schemas.openxmlformats.org/officeDocument/2006/relationships/chart" Target="/xl/charts/chart34.xml" Id="rId3" /><Relationship Type="http://schemas.openxmlformats.org/officeDocument/2006/relationships/chart" Target="/xl/charts/chart35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6.xml" Id="rId1" /><Relationship Type="http://schemas.openxmlformats.org/officeDocument/2006/relationships/chart" Target="/xl/charts/chart37.xml" Id="rId2" /><Relationship Type="http://schemas.openxmlformats.org/officeDocument/2006/relationships/chart" Target="/xl/charts/chart38.xml" Id="rId3" /><Relationship Type="http://schemas.openxmlformats.org/officeDocument/2006/relationships/chart" Target="/xl/charts/chart39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0.xml" Id="rId1" /><Relationship Type="http://schemas.openxmlformats.org/officeDocument/2006/relationships/chart" Target="/xl/charts/chart41.xml" Id="rId2" /><Relationship Type="http://schemas.openxmlformats.org/officeDocument/2006/relationships/chart" Target="/xl/charts/chart42.xml" Id="rId3" /><Relationship Type="http://schemas.openxmlformats.org/officeDocument/2006/relationships/chart" Target="/xl/charts/chart43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4.xml" Id="rId1" /><Relationship Type="http://schemas.openxmlformats.org/officeDocument/2006/relationships/chart" Target="/xl/charts/chart45.xml" Id="rId2" /><Relationship Type="http://schemas.openxmlformats.org/officeDocument/2006/relationships/chart" Target="/xl/charts/chart46.xml" Id="rId3" /><Relationship Type="http://schemas.openxmlformats.org/officeDocument/2006/relationships/chart" Target="/xl/charts/chart47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8.xml" Id="rId1" /><Relationship Type="http://schemas.openxmlformats.org/officeDocument/2006/relationships/chart" Target="/xl/charts/chart49.xml" Id="rId2" /><Relationship Type="http://schemas.openxmlformats.org/officeDocument/2006/relationships/chart" Target="/xl/charts/chart50.xml" Id="rId3" /><Relationship Type="http://schemas.openxmlformats.org/officeDocument/2006/relationships/chart" Target="/xl/charts/chart51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2.xml" Id="rId1" /><Relationship Type="http://schemas.openxmlformats.org/officeDocument/2006/relationships/chart" Target="/xl/charts/chart53.xml" Id="rId2" /><Relationship Type="http://schemas.openxmlformats.org/officeDocument/2006/relationships/chart" Target="/xl/charts/chart54.xml" Id="rId3" /><Relationship Type="http://schemas.openxmlformats.org/officeDocument/2006/relationships/chart" Target="/xl/charts/chart55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6.xml" Id="rId1" /><Relationship Type="http://schemas.openxmlformats.org/officeDocument/2006/relationships/chart" Target="/xl/charts/chart57.xml" Id="rId2" /><Relationship Type="http://schemas.openxmlformats.org/officeDocument/2006/relationships/chart" Target="/xl/charts/chart58.xml" Id="rId3" /><Relationship Type="http://schemas.openxmlformats.org/officeDocument/2006/relationships/chart" Target="/xl/charts/chart59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0.xml" Id="rId1" /><Relationship Type="http://schemas.openxmlformats.org/officeDocument/2006/relationships/chart" Target="/xl/charts/chart61.xml" Id="rId2" /><Relationship Type="http://schemas.openxmlformats.org/officeDocument/2006/relationships/chart" Target="/xl/charts/chart62.xml" Id="rId3" /><Relationship Type="http://schemas.openxmlformats.org/officeDocument/2006/relationships/chart" Target="/xl/charts/chart63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4.xml" Id="rId1" /><Relationship Type="http://schemas.openxmlformats.org/officeDocument/2006/relationships/chart" Target="/xl/charts/chart65.xml" Id="rId2" /><Relationship Type="http://schemas.openxmlformats.org/officeDocument/2006/relationships/chart" Target="/xl/charts/chart66.xml" Id="rId3" /><Relationship Type="http://schemas.openxmlformats.org/officeDocument/2006/relationships/chart" Target="/xl/charts/chart67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8.xml" Id="rId1" /><Relationship Type="http://schemas.openxmlformats.org/officeDocument/2006/relationships/chart" Target="/xl/charts/chart69.xml" Id="rId2" /><Relationship Type="http://schemas.openxmlformats.org/officeDocument/2006/relationships/chart" Target="/xl/charts/chart70.xml" Id="rId3" /><Relationship Type="http://schemas.openxmlformats.org/officeDocument/2006/relationships/chart" Target="/xl/charts/chart71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2.xml" Id="rId1" /><Relationship Type="http://schemas.openxmlformats.org/officeDocument/2006/relationships/chart" Target="/xl/charts/chart73.xml" Id="rId2" /><Relationship Type="http://schemas.openxmlformats.org/officeDocument/2006/relationships/chart" Target="/xl/charts/chart74.xml" Id="rId3" /><Relationship Type="http://schemas.openxmlformats.org/officeDocument/2006/relationships/chart" Target="/xl/charts/chart75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6.xml" Id="rId1" /><Relationship Type="http://schemas.openxmlformats.org/officeDocument/2006/relationships/chart" Target="/xl/charts/chart77.xml" Id="rId2" /><Relationship Type="http://schemas.openxmlformats.org/officeDocument/2006/relationships/chart" Target="/xl/charts/chart78.xml" Id="rId3" /><Relationship Type="http://schemas.openxmlformats.org/officeDocument/2006/relationships/chart" Target="/xl/charts/chart79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0.xml" Id="rId1" /><Relationship Type="http://schemas.openxmlformats.org/officeDocument/2006/relationships/chart" Target="/xl/charts/chart81.xml" Id="rId2" /><Relationship Type="http://schemas.openxmlformats.org/officeDocument/2006/relationships/chart" Target="/xl/charts/chart82.xml" Id="rId3" /><Relationship Type="http://schemas.openxmlformats.org/officeDocument/2006/relationships/chart" Target="/xl/charts/chart83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4.xml" Id="rId1" /><Relationship Type="http://schemas.openxmlformats.org/officeDocument/2006/relationships/chart" Target="/xl/charts/chart85.xml" Id="rId2" /><Relationship Type="http://schemas.openxmlformats.org/officeDocument/2006/relationships/chart" Target="/xl/charts/chart86.xml" Id="rId3" /><Relationship Type="http://schemas.openxmlformats.org/officeDocument/2006/relationships/chart" Target="/xl/charts/chart87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8.xml" Id="rId1" /><Relationship Type="http://schemas.openxmlformats.org/officeDocument/2006/relationships/chart" Target="/xl/charts/chart89.xml" Id="rId2" /><Relationship Type="http://schemas.openxmlformats.org/officeDocument/2006/relationships/chart" Target="/xl/charts/chart90.xml" Id="rId3" /><Relationship Type="http://schemas.openxmlformats.org/officeDocument/2006/relationships/chart" Target="/xl/charts/chart91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2.xml" Id="rId1" /><Relationship Type="http://schemas.openxmlformats.org/officeDocument/2006/relationships/chart" Target="/xl/charts/chart93.xml" Id="rId2" /><Relationship Type="http://schemas.openxmlformats.org/officeDocument/2006/relationships/chart" Target="/xl/charts/chart94.xml" Id="rId3" /><Relationship Type="http://schemas.openxmlformats.org/officeDocument/2006/relationships/chart" Target="/xl/charts/chart95.xml" Id="rId4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6.xml" Id="rId1" /><Relationship Type="http://schemas.openxmlformats.org/officeDocument/2006/relationships/chart" Target="/xl/charts/chart97.xml" Id="rId2" /><Relationship Type="http://schemas.openxmlformats.org/officeDocument/2006/relationships/chart" Target="/xl/charts/chart9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25</row>
      <rowOff>0</rowOff>
    </from>
    <ext cx="648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590040</colOff>
      <row>32</row>
      <rowOff>335520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661680</colOff>
      <row>32</row>
      <rowOff>335520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9</col>
      <colOff>0</colOff>
      <row>30</row>
      <rowOff>153720</rowOff>
    </from>
    <to>
      <col>14</col>
      <colOff>357120</colOff>
      <row>38</row>
      <rowOff>3600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35</row>
      <rowOff>192960</rowOff>
    </from>
    <to>
      <col>14</col>
      <colOff>357120</colOff>
      <row>43</row>
      <rowOff>42480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0</colOff>
      <row>45</row>
      <rowOff>211320</rowOff>
    </from>
    <to>
      <col>10</col>
      <colOff>590040</colOff>
      <row>61</row>
      <rowOff>155520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41</row>
      <rowOff>23760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41</row>
      <rowOff>23760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40</row>
      <rowOff>288720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40</row>
      <rowOff>288720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296280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296280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173160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173160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46</row>
      <rowOff>31680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46</row>
      <rowOff>31680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46</row>
      <rowOff>154800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46</row>
      <rowOff>154800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41</row>
      <rowOff>23760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41</row>
      <rowOff>23760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46</row>
      <rowOff>154800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46</row>
      <rowOff>154800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48</row>
      <rowOff>143280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48</row>
      <rowOff>143280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43</row>
      <rowOff>184680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43</row>
      <rowOff>184680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47</row>
      <rowOff>87480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47</row>
      <rowOff>87480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173160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173160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48</row>
      <rowOff>143280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48</row>
      <rowOff>143280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48</row>
      <rowOff>20160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48</row>
      <rowOff>20160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43</row>
      <rowOff>61200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43</row>
      <rowOff>61200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48</row>
      <rowOff>143280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48</row>
      <rowOff>143280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32</row>
      <rowOff>459000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32</row>
      <rowOff>459000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40</row>
      <rowOff>288720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40</row>
      <rowOff>288720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16</row>
      <rowOff>66675</rowOff>
    </from>
    <to>
      <col>8</col>
      <colOff>66675</colOff>
      <row>28</row>
      <rowOff>104775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8</col>
      <colOff>200025</colOff>
      <row>16</row>
      <rowOff>76200</rowOff>
    </from>
    <to>
      <col>12</col>
      <colOff>123825</colOff>
      <row>24</row>
      <rowOff>114300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104775</colOff>
      <row>30</row>
      <rowOff>47626</rowOff>
    </from>
    <to>
      <col>9</col>
      <colOff>9524</colOff>
      <row>37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66675</colOff>
      <row>31</row>
      <rowOff>57150</rowOff>
    </from>
    <to>
      <col>13</col>
      <colOff>504825</colOff>
      <row>37</row>
      <rowOff>95250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173160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173160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70920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70920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46</row>
      <rowOff>31680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46</row>
      <rowOff>31680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194040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194040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296280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296280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14</row>
      <rowOff>153720</rowOff>
    </from>
    <to>
      <col>10</col>
      <colOff>590400</colOff>
      <row>33</row>
      <rowOff>70920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14</row>
      <rowOff>153720</rowOff>
    </from>
    <to>
      <col>15</col>
      <colOff>662040</colOff>
      <row>33</row>
      <rowOff>70920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30</row>
      <rowOff>153720</rowOff>
    </from>
    <to>
      <col>11</col>
      <colOff>302040</colOff>
      <row>45</row>
      <rowOff>296280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9</col>
      <colOff>0</colOff>
      <row>30</row>
      <rowOff>153720</rowOff>
    </from>
    <to>
      <col>15</col>
      <colOff>662040</colOff>
      <row>45</row>
      <rowOff>296280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24</row>
      <rowOff>0</rowOff>
    </from>
    <ext cx="648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40</row>
      <rowOff>0</rowOff>
    </from>
    <ext cx="32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tabColor rgb="000D1B4C"/>
    <outlinePr summaryBelow="1" summaryRight="1"/>
    <pageSetUpPr/>
  </sheetPr>
  <dimension ref="A1:Q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22" customWidth="1" style="15" min="2" max="2"/>
    <col width="11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  <col width="11" customWidth="1" style="15" min="8" max="8"/>
    <col width="11" customWidth="1" style="15" min="9" max="9"/>
    <col width="11" customWidth="1" style="15" min="10" max="10"/>
    <col width="11" customWidth="1" style="15" min="11" max="11"/>
    <col width="11" customWidth="1" style="15" min="12" max="12"/>
    <col width="11" customWidth="1" style="15" min="13" max="13"/>
    <col width="11" customWidth="1" style="15" min="14" max="14"/>
    <col width="11" customWidth="1" style="15" min="15" max="15"/>
    <col width="11" customWidth="1" style="15" min="16" max="16"/>
    <col width="11" customWidth="1" style="15" min="17" max="17"/>
  </cols>
  <sheetData>
    <row r="1">
      <c r="A1" s="373" t="inlineStr">
        <is>
          <t>🏆  EXECUTIVE EHS DASHBOARD</t>
        </is>
      </c>
    </row>
    <row r="2">
      <c r="A2" s="374" t="inlineStr">
        <is>
          <t>Corporate leading &amp; lagging indicators · TRIR / LTIFR / Incident Pyramid / RAG · auto-calculated from all registers</t>
        </is>
      </c>
    </row>
    <row r="4">
      <c r="B4" s="375" t="inlineStr">
        <is>
          <t>🎯 TRIR</t>
        </is>
      </c>
      <c r="C4" s="376" t="n"/>
      <c r="D4" s="376" t="n"/>
      <c r="E4" s="376" t="n"/>
      <c r="F4" s="377" t="inlineStr">
        <is>
          <t>📉 LTIFR</t>
        </is>
      </c>
      <c r="G4" s="378" t="n"/>
      <c r="H4" s="378" t="n"/>
      <c r="I4" s="378" t="n"/>
      <c r="J4" s="379" t="inlineStr">
        <is>
          <t>🚨 TOTAL INCIDENTS</t>
        </is>
      </c>
      <c r="K4" s="380" t="n"/>
      <c r="L4" s="380" t="n"/>
      <c r="M4" s="380" t="n"/>
      <c r="N4" s="381" t="inlineStr">
        <is>
          <t>👀 NEAR MISS</t>
        </is>
      </c>
      <c r="O4" s="382" t="n"/>
      <c r="P4" s="382" t="n"/>
      <c r="Q4" s="382" t="n"/>
    </row>
    <row r="5" ht="30" customHeight="1" s="15">
      <c r="B5" s="383">
        <f>IFERROR((COUNTIF('Incident'!N$6:N$506,"Medical Treatment")+COUNTIF('Incident'!N$6:N$506,"Restricted Work")+COUNTIF('Incident'!N$6:N$506,"Lost Time Injury")+COUNTIF('Incident'!N$6:N$506,"Fatality"))*TRIR_Mult/Man_Hours,0)</f>
        <v/>
      </c>
      <c r="C5" s="384" t="n"/>
      <c r="D5" s="384" t="n"/>
      <c r="E5" s="384" t="n"/>
      <c r="F5" s="385">
        <f>IFERROR((COUNTIF('Incident'!N$6:N$506,"Lost Time Injury")+COUNTIF('Incident'!N$6:N$506,"Fatality"))*LTIFR_Mult/Man_Hours,0)</f>
        <v/>
      </c>
      <c r="G5" s="384" t="n"/>
      <c r="H5" s="384" t="n"/>
      <c r="I5" s="384" t="n"/>
      <c r="J5" s="386">
        <f>COUNTA('Incident'!B$6:B$506)</f>
        <v/>
      </c>
      <c r="K5" s="384" t="n"/>
      <c r="L5" s="384" t="n"/>
      <c r="M5" s="384" t="n"/>
      <c r="N5" s="387">
        <f>COUNTIF('Incident'!N$6:N$506,"Near Miss")</f>
        <v/>
      </c>
      <c r="O5" s="384" t="n"/>
      <c r="P5" s="384" t="n"/>
      <c r="Q5" s="384" t="n"/>
    </row>
    <row r="7">
      <c r="B7" s="388" t="inlineStr">
        <is>
          <t>✅ OBS CLOSURE</t>
        </is>
      </c>
      <c r="C7" s="389" t="n"/>
      <c r="D7" s="389" t="n"/>
      <c r="E7" s="389" t="n"/>
      <c r="F7" s="390" t="inlineStr">
        <is>
          <t>🎓 TRAINING COMPL.</t>
        </is>
      </c>
      <c r="G7" s="391" t="n"/>
      <c r="H7" s="391" t="n"/>
      <c r="I7" s="391" t="n"/>
      <c r="J7" s="392" t="inlineStr">
        <is>
          <t>🛠️ CA CLOSURE</t>
        </is>
      </c>
      <c r="K7" s="393" t="n"/>
      <c r="L7" s="393" t="n"/>
      <c r="M7" s="393" t="n"/>
      <c r="N7" s="394" t="inlineStr">
        <is>
          <t>📅 LOST DAYS</t>
        </is>
      </c>
      <c r="O7" s="395" t="n"/>
      <c r="P7" s="395" t="n"/>
      <c r="Q7" s="395" t="n"/>
    </row>
    <row r="8" ht="30" customHeight="1" s="15">
      <c r="B8" s="396">
        <f>IFERROR(COUNTIF('HSE Observations'!M$6:M$506,"Completed")/COUNTA('HSE Observations'!B$6:B$506),0)</f>
        <v/>
      </c>
      <c r="C8" s="384" t="n"/>
      <c r="D8" s="384" t="n"/>
      <c r="E8" s="384" t="n"/>
      <c r="F8" s="397">
        <f>IFERROR(COUNTIF('Training'!N$6:N$506,"Completed")/COUNTA('Training'!B$6:B$506),0)</f>
        <v/>
      </c>
      <c r="G8" s="384" t="n"/>
      <c r="H8" s="384" t="n"/>
      <c r="I8" s="384" t="n"/>
      <c r="J8" s="398">
        <f>IFERROR(COUNTIF('Corrective Actions'!N$6:N$506,"Completed")/COUNTA('Corrective Actions'!B$6:B$506),0)</f>
        <v/>
      </c>
      <c r="K8" s="384" t="n"/>
      <c r="L8" s="384" t="n"/>
      <c r="M8" s="384" t="n"/>
      <c r="N8" s="399">
        <f>SUM('Incident'!V$6:V$506)</f>
        <v/>
      </c>
      <c r="O8" s="384" t="n"/>
      <c r="P8" s="384" t="n"/>
      <c r="Q8" s="384" t="n"/>
    </row>
    <row r="11">
      <c r="B11" s="400" t="inlineStr">
        <is>
          <t>🔺 Incident Pyramid (Heinrich)</t>
        </is>
      </c>
    </row>
    <row r="12">
      <c r="B12" s="401" t="inlineStr">
        <is>
          <t>Level</t>
        </is>
      </c>
      <c r="C12" s="401" t="inlineStr">
        <is>
          <t>Count</t>
        </is>
      </c>
    </row>
    <row r="13">
      <c r="B13" s="402" t="inlineStr">
        <is>
          <t>Fatality</t>
        </is>
      </c>
      <c r="C13" s="403">
        <f>COUNTIF('Incident'!N$6:N$506,"Fatality")</f>
        <v/>
      </c>
    </row>
    <row r="14">
      <c r="B14" s="402" t="inlineStr">
        <is>
          <t>Lost Time Injury</t>
        </is>
      </c>
      <c r="C14" s="403">
        <f>COUNTIF('Incident'!N$6:N$506,"Lost Time Injury")</f>
        <v/>
      </c>
    </row>
    <row r="15">
      <c r="B15" s="402" t="inlineStr">
        <is>
          <t>Restricted Work</t>
        </is>
      </c>
      <c r="C15" s="403">
        <f>COUNTIF('Incident'!N$6:N$506,"Restricted Work")</f>
        <v/>
      </c>
    </row>
    <row r="16">
      <c r="B16" s="402" t="inlineStr">
        <is>
          <t>Medical Treatment</t>
        </is>
      </c>
      <c r="C16" s="403">
        <f>COUNTIF('Incident'!N$6:N$506,"Medical Treatment")</f>
        <v/>
      </c>
    </row>
    <row r="17">
      <c r="B17" s="402" t="inlineStr">
        <is>
          <t>First Aid</t>
        </is>
      </c>
      <c r="C17" s="403">
        <f>COUNTIF('Incident'!N$6:N$506,"First Aid")</f>
        <v/>
      </c>
    </row>
    <row r="18">
      <c r="B18" s="402" t="inlineStr">
        <is>
          <t>Near Miss</t>
        </is>
      </c>
      <c r="C18" s="403">
        <f>COUNTIF('Incident'!N$6:N$506,"Near Miss")</f>
        <v/>
      </c>
    </row>
    <row r="19">
      <c r="B19" s="402" t="inlineStr">
        <is>
          <t>At-Risk Observations</t>
        </is>
      </c>
      <c r="C19" s="403">
        <f>COUNTIF('HSE Observations'!E$6:E$506,"Unsafe Act")+COUNTIF('HSE Observations'!E$6:E$506,"Unsafe Condition")+COUNTA('Unsafe Acts'!B$6:B$506)+COUNTA('Unsafe Conditions'!B$6:B$506)</f>
        <v/>
      </c>
    </row>
    <row r="22">
      <c r="B22" s="404" t="inlineStr">
        <is>
          <t>📈 12-Month Incident Trend</t>
        </is>
      </c>
    </row>
    <row r="23">
      <c r="B23" s="405" t="inlineStr">
        <is>
          <t>Jan</t>
        </is>
      </c>
      <c r="C23" s="405" t="inlineStr">
        <is>
          <t>Feb</t>
        </is>
      </c>
      <c r="D23" s="405" t="inlineStr">
        <is>
          <t>Mar</t>
        </is>
      </c>
      <c r="E23" s="405" t="inlineStr">
        <is>
          <t>Apr</t>
        </is>
      </c>
      <c r="F23" s="405" t="inlineStr">
        <is>
          <t>May</t>
        </is>
      </c>
      <c r="G23" s="405" t="inlineStr">
        <is>
          <t>Jun</t>
        </is>
      </c>
      <c r="H23" s="405" t="inlineStr">
        <is>
          <t>Jul</t>
        </is>
      </c>
      <c r="I23" s="405" t="inlineStr">
        <is>
          <t>Aug</t>
        </is>
      </c>
      <c r="J23" s="405" t="inlineStr">
        <is>
          <t>Sep</t>
        </is>
      </c>
      <c r="K23" s="405" t="inlineStr">
        <is>
          <t>Oct</t>
        </is>
      </c>
      <c r="L23" s="405" t="inlineStr">
        <is>
          <t>Nov</t>
        </is>
      </c>
      <c r="M23" s="405" t="inlineStr">
        <is>
          <t>Dec</t>
        </is>
      </c>
    </row>
    <row r="24">
      <c r="B24" s="406">
        <f>COUNTIF('Incident'!D$6:D$506,"Jan")</f>
        <v/>
      </c>
      <c r="C24" s="406">
        <f>COUNTIF('Incident'!D$6:D$506,"Feb")</f>
        <v/>
      </c>
      <c r="D24" s="406">
        <f>COUNTIF('Incident'!D$6:D$506,"Mar")</f>
        <v/>
      </c>
      <c r="E24" s="406">
        <f>COUNTIF('Incident'!D$6:D$506,"Apr")</f>
        <v/>
      </c>
      <c r="F24" s="406">
        <f>COUNTIF('Incident'!D$6:D$506,"May")</f>
        <v/>
      </c>
      <c r="G24" s="406">
        <f>COUNTIF('Incident'!D$6:D$506,"Jun")</f>
        <v/>
      </c>
      <c r="H24" s="406">
        <f>COUNTIF('Incident'!D$6:D$506,"Jul")</f>
        <v/>
      </c>
      <c r="I24" s="406">
        <f>COUNTIF('Incident'!D$6:D$506,"Aug")</f>
        <v/>
      </c>
      <c r="J24" s="406">
        <f>COUNTIF('Incident'!D$6:D$506,"Sep")</f>
        <v/>
      </c>
      <c r="K24" s="406">
        <f>COUNTIF('Incident'!D$6:D$506,"Oct")</f>
        <v/>
      </c>
      <c r="L24" s="406">
        <f>COUNTIF('Incident'!D$6:D$506,"Nov")</f>
        <v/>
      </c>
      <c r="M24" s="406">
        <f>COUNTIF('Incident'!D$6:D$506,"Dec")</f>
        <v/>
      </c>
    </row>
    <row r="42">
      <c r="B42" s="407" t="inlineStr">
        <is>
          <t>🟢 Leading Indicators (Activity)</t>
        </is>
      </c>
      <c r="F42" s="408" t="inlineStr">
        <is>
          <t>🔴 Lagging Indicators (Outcome)</t>
        </is>
      </c>
      <c r="K42" s="400" t="inlineStr">
        <is>
          <t>🚦 RAG Compliance Scorecard</t>
        </is>
      </c>
    </row>
    <row r="43">
      <c r="B43" s="409" t="inlineStr">
        <is>
          <t>Indicator</t>
        </is>
      </c>
      <c r="C43" s="409" t="inlineStr">
        <is>
          <t>Count</t>
        </is>
      </c>
      <c r="F43" s="366" t="inlineStr">
        <is>
          <t>Indicator</t>
        </is>
      </c>
      <c r="G43" s="366" t="inlineStr">
        <is>
          <t>Count</t>
        </is>
      </c>
      <c r="K43" s="401" t="inlineStr">
        <is>
          <t>Metric</t>
        </is>
      </c>
      <c r="L43" s="401" t="inlineStr">
        <is>
          <t>Actual</t>
        </is>
      </c>
      <c r="M43" s="401" t="inlineStr">
        <is>
          <t>Target</t>
        </is>
      </c>
      <c r="N43" s="401" t="inlineStr">
        <is>
          <t>Status</t>
        </is>
      </c>
    </row>
    <row r="44">
      <c r="B44" s="402" t="inlineStr">
        <is>
          <t>Observations</t>
        </is>
      </c>
      <c r="C44" s="403">
        <f>COUNTA('HSE Observations'!B$6:B$506)</f>
        <v/>
      </c>
      <c r="F44" s="402" t="inlineStr">
        <is>
          <t>Fatality</t>
        </is>
      </c>
      <c r="G44" s="403">
        <f>COUNTIF('Incident'!N$6:N$506,"Fatality")</f>
        <v/>
      </c>
      <c r="K44" s="402" t="inlineStr">
        <is>
          <t>TRIR</t>
        </is>
      </c>
      <c r="L44" s="410">
        <f>IFERROR((COUNTIF('Incident'!N$6:N$506,"Medical Treatment")+COUNTIF('Incident'!N$6:N$506,"Restricted Work")+COUNTIF('Incident'!N$6:N$506,"Lost Time Injury")+COUNTIF('Incident'!N$6:N$506,"Fatality"))*TRIR_Mult/Man_Hours,0)</f>
        <v/>
      </c>
      <c r="M44" s="410">
        <f>Tgt_TRIR</f>
        <v/>
      </c>
      <c r="N44" s="403">
        <f>IF(IFERROR((COUNTIF('Incident'!N$6:N$506,"Medical Treatment")+COUNTIF('Incident'!N$6:N$506,"Restricted Work")+COUNTIF('Incident'!N$6:N$506,"Lost Time Injury")+COUNTIF('Incident'!N$6:N$506,"Fatality"))*TRIR_Mult/Man_Hours,0)&lt;=Tgt_TRIR,"🟢 GREEN",IF(IFERROR((COUNTIF('Incident'!N$6:N$506,"Medical Treatment")+COUNTIF('Incident'!N$6:N$506,"Restricted Work")+COUNTIF('Incident'!N$6:N$506,"Lost Time Injury")+COUNTIF('Incident'!N$6:N$506,"Fatality"))*TRIR_Mult/Man_Hours,0)&lt;=Tgt_TRIR/RAG_Amber,"🟡 AMBER","🔴 RED"))</f>
        <v/>
      </c>
    </row>
    <row r="45">
      <c r="B45" s="402" t="inlineStr">
        <is>
          <t>Toolbox Talks</t>
        </is>
      </c>
      <c r="C45" s="403">
        <f>COUNTA('Toolbox Talks'!B$6:B$506)</f>
        <v/>
      </c>
      <c r="F45" s="402" t="inlineStr">
        <is>
          <t>Lost Time Injury</t>
        </is>
      </c>
      <c r="G45" s="403">
        <f>COUNTIF('Incident'!N$6:N$506,"Lost Time Injury")</f>
        <v/>
      </c>
      <c r="K45" s="402" t="inlineStr">
        <is>
          <t>Observation Closure</t>
        </is>
      </c>
      <c r="L45" s="411">
        <f>IFERROR(COUNTIF('HSE Observations'!M$6:M$506,"Completed")/COUNTA('HSE Observations'!B$6:B$506),0)</f>
        <v/>
      </c>
      <c r="M45" s="411">
        <f>Tgt_ObsClosure</f>
        <v/>
      </c>
      <c r="N45" s="403">
        <f>IF(IFERROR(COUNTIF('HSE Observations'!M$6:M$506,"Completed")/COUNTA('HSE Observations'!B$6:B$506),0)&gt;=Tgt_ObsClosure,"🟢 GREEN",IF(IFERROR(COUNTIF('HSE Observations'!M$6:M$506,"Completed")/COUNTA('HSE Observations'!B$6:B$506),0)&gt;=Tgt_ObsClosure*RAG_Amber,"🟡 AMBER","🔴 RED"))</f>
        <v/>
      </c>
    </row>
    <row r="46">
      <c r="B46" s="402" t="inlineStr">
        <is>
          <t>Trainings</t>
        </is>
      </c>
      <c r="C46" s="403">
        <f>COUNTA('Training'!B$6:B$506)</f>
        <v/>
      </c>
      <c r="F46" s="402" t="inlineStr">
        <is>
          <t>Restricted Work</t>
        </is>
      </c>
      <c r="G46" s="403">
        <f>COUNTIF('Incident'!N$6:N$506,"Restricted Work")</f>
        <v/>
      </c>
      <c r="K46" s="402" t="inlineStr">
        <is>
          <t>Training Compliance</t>
        </is>
      </c>
      <c r="L46" s="411">
        <f>IFERROR(COUNTIF('Training'!N$6:N$506,"Completed")/COUNTA('Training'!B$6:B$506),0)</f>
        <v/>
      </c>
      <c r="M46" s="411">
        <f>Tgt_Training</f>
        <v/>
      </c>
      <c r="N46" s="403">
        <f>IF(IFERROR(COUNTIF('Training'!N$6:N$506,"Completed")/COUNTA('Training'!B$6:B$506),0)&gt;=Tgt_Training,"🟢 GREEN",IF(IFERROR(COUNTIF('Training'!N$6:N$506,"Completed")/COUNTA('Training'!B$6:B$506),0)&gt;=Tgt_Training*RAG_Amber,"🟡 AMBER","🔴 RED"))</f>
        <v/>
      </c>
    </row>
    <row r="47">
      <c r="B47" s="402" t="inlineStr">
        <is>
          <t>Inspections</t>
        </is>
      </c>
      <c r="C47" s="403">
        <f>COUNTA('Workplace Inspections'!B$6:B$506)+COUNTA('Equipment Inspections'!B$6:B$506)+COUNTA('Safety Walkthroughs'!B$6:B$506)</f>
        <v/>
      </c>
      <c r="F47" s="402" t="inlineStr">
        <is>
          <t>Medical Treatment</t>
        </is>
      </c>
      <c r="G47" s="403">
        <f>COUNTIF('Incident'!N$6:N$506,"Medical Treatment")</f>
        <v/>
      </c>
      <c r="K47" s="402" t="inlineStr">
        <is>
          <t>CA Closure</t>
        </is>
      </c>
      <c r="L47" s="411">
        <f>IFERROR(COUNTIF('Corrective Actions'!N$6:N$506,"Completed")/COUNTA('Corrective Actions'!B$6:B$506),0)</f>
        <v/>
      </c>
      <c r="M47" s="411">
        <f>Tgt_CAClosure</f>
        <v/>
      </c>
      <c r="N47" s="403">
        <f>IF(IFERROR(COUNTIF('Corrective Actions'!N$6:N$506,"Completed")/COUNTA('Corrective Actions'!B$6:B$506),0)&gt;=Tgt_CAClosure,"🟢 GREEN",IF(IFERROR(COUNTIF('Corrective Actions'!N$6:N$506,"Completed")/COUNTA('Corrective Actions'!B$6:B$506),0)&gt;=Tgt_CAClosure*RAG_Amber,"🟡 AMBER","🔴 RED"))</f>
        <v/>
      </c>
    </row>
    <row r="48">
      <c r="B48" s="402" t="inlineStr">
        <is>
          <t>Audits</t>
        </is>
      </c>
      <c r="C48" s="403">
        <f>COUNTA('Internal Audits'!B$6:B$506)+COUNTA('External Audits'!B$6:B$506)</f>
        <v/>
      </c>
      <c r="F48" s="402" t="inlineStr">
        <is>
          <t>First Aid</t>
        </is>
      </c>
      <c r="G48" s="403">
        <f>COUNTIF('Incident'!N$6:N$506,"First Aid")</f>
        <v/>
      </c>
    </row>
    <row r="49">
      <c r="B49" s="402" t="inlineStr">
        <is>
          <t>Emergency Drills</t>
        </is>
      </c>
      <c r="C49" s="403">
        <f>COUNTA('Emergency Drills'!B$6:B$506)</f>
        <v/>
      </c>
      <c r="F49" s="402" t="inlineStr">
        <is>
          <t>Near Miss</t>
        </is>
      </c>
      <c r="G49" s="403">
        <f>COUNTIF('Incident'!N$6:N$506,"Near Miss")</f>
        <v/>
      </c>
    </row>
    <row r="50">
      <c r="B50" s="402" t="inlineStr">
        <is>
          <t>PTW Audits</t>
        </is>
      </c>
      <c r="C50" s="403">
        <f>COUNTA('PTW Audits'!B$6:B$506)</f>
        <v/>
      </c>
    </row>
  </sheetData>
  <mergeCells count="21">
    <mergeCell ref="K42:N42"/>
    <mergeCell ref="B5:E5"/>
    <mergeCell ref="B4:E4"/>
    <mergeCell ref="B11:C11"/>
    <mergeCell ref="F4:I4"/>
    <mergeCell ref="J8:M8"/>
    <mergeCell ref="B42:C42"/>
    <mergeCell ref="N4:Q4"/>
    <mergeCell ref="B7:E7"/>
    <mergeCell ref="F42:G42"/>
    <mergeCell ref="J5:M5"/>
    <mergeCell ref="N7:Q7"/>
    <mergeCell ref="F7:I7"/>
    <mergeCell ref="F5:I5"/>
    <mergeCell ref="N5:Q5"/>
    <mergeCell ref="B8:E8"/>
    <mergeCell ref="N8:Q8"/>
    <mergeCell ref="F8:I8"/>
    <mergeCell ref="J4:M4"/>
    <mergeCell ref="B22:M22"/>
    <mergeCell ref="J7:M7"/>
  </mergeCells>
  <conditionalFormatting sqref="N44:N47">
    <cfRule type="expression" priority="1" dxfId="182">
      <formula>ISNUMBER(SEARCH("GREEN",N44))</formula>
    </cfRule>
    <cfRule type="expression" priority="2" dxfId="183">
      <formula>ISNUMBER(SEARCH("AMBER",N44))</formula>
    </cfRule>
    <cfRule type="expression" priority="3" dxfId="184">
      <formula>ISNUMBER(SEARCH("RED",N44))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B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15" min="1" max="1"/>
    <col width="14" customWidth="1" style="15" min="2" max="2"/>
    <col width="14" customWidth="1" style="15" min="3" max="3"/>
    <col width="13" customWidth="1" style="15" min="4" max="4"/>
    <col width="12" customWidth="1" style="15" min="5" max="5"/>
    <col width="12" customWidth="1" style="15" min="6" max="6"/>
    <col width="12" customWidth="1" style="15" min="7" max="7"/>
    <col width="19" customWidth="1" style="15" min="8" max="8"/>
    <col width="15" customWidth="1" style="15" min="9" max="9"/>
    <col width="12" customWidth="1" style="15" min="10" max="10"/>
    <col width="13" customWidth="1" style="15" min="11" max="11"/>
    <col width="12" customWidth="1" style="15" min="12" max="12"/>
    <col width="18" customWidth="1" style="15" min="13" max="13"/>
    <col width="14" customWidth="1" style="15" min="14" max="14"/>
    <col width="19" customWidth="1" style="15" min="15" max="15"/>
    <col width="12" customWidth="1" style="15" min="16" max="16"/>
    <col width="16" customWidth="1" style="15" min="17" max="17"/>
    <col width="18" customWidth="1" style="15" min="18" max="18"/>
    <col width="14" customWidth="1" style="15" min="19" max="19"/>
    <col width="23" customWidth="1" style="15" min="20" max="20"/>
    <col width="19" customWidth="1" style="15" min="21" max="21"/>
    <col width="16" customWidth="1" style="15" min="22" max="22"/>
    <col width="18" customWidth="1" style="15" min="23" max="23"/>
    <col width="13" customWidth="1" style="15" min="24" max="24"/>
    <col width="20" customWidth="1" style="15" min="25" max="25"/>
    <col width="16" customWidth="1" style="15" min="26" max="26"/>
    <col width="20" customWidth="1" style="15" min="27" max="27"/>
    <col width="17" customWidth="1" style="15" min="28" max="28"/>
    <col width="13" customWidth="1" style="15" min="29" max="29"/>
    <col width="14" customWidth="1" style="15" min="30" max="30"/>
    <col width="24" customWidth="1" style="15" min="31" max="31"/>
    <col width="20" customWidth="1" style="15" min="32" max="32"/>
    <col width="12" customWidth="1" style="15" min="33" max="33"/>
    <col width="12" customWidth="1" style="15" min="34" max="34"/>
    <col width="23" customWidth="1" style="15" min="35" max="35"/>
    <col width="22" customWidth="1" style="15" min="36" max="36"/>
    <col width="12" customWidth="1" style="15" min="37" max="37"/>
    <col width="19" customWidth="1" style="15" min="38" max="38"/>
    <col width="21" customWidth="1" style="15" min="39" max="39"/>
    <col width="23" customWidth="1" style="15" min="40" max="40"/>
    <col width="23" customWidth="1" style="15" min="41" max="41"/>
    <col width="13" customWidth="1" style="15" min="42" max="42"/>
    <col width="14" customWidth="1" style="15" min="43" max="43"/>
    <col width="23" customWidth="1" style="15" min="44" max="44"/>
    <col width="14" customWidth="1" style="15" min="46" max="46"/>
    <col width="14" customWidth="1" style="15" min="47" max="47"/>
    <col width="12" customWidth="1" style="15" min="48" max="48"/>
    <col width="17" customWidth="1" style="15" min="49" max="49"/>
    <col width="19" customWidth="1" style="15" min="50" max="50"/>
    <col width="13" customWidth="1" style="15" min="51" max="51"/>
    <col width="13" customWidth="1" style="15" min="52" max="52"/>
    <col width="24" customWidth="1" style="15" min="53" max="53"/>
    <col width="12" customWidth="1" style="15" min="54" max="54"/>
    <col width="13" customWidth="1" style="15" min="55" max="55"/>
  </cols>
  <sheetData>
    <row r="1">
      <c r="A1" s="348" t="inlineStr">
        <is>
          <t>📚  MASTER DATA  —  Single source of truth for all dropdown lists</t>
        </is>
      </c>
    </row>
    <row r="2">
      <c r="A2" s="349" t="inlineStr">
        <is>
          <t>Add / edit items directly under each heading. Dropdowns update automatically (up to 100 items per list).</t>
        </is>
      </c>
    </row>
    <row r="3">
      <c r="A3" s="350" t="inlineStr">
        <is>
          <t>Topic</t>
        </is>
      </c>
      <c r="B3" s="350" t="inlineStr">
        <is>
          <t>Department</t>
        </is>
      </c>
      <c r="C3" s="350" t="inlineStr">
        <is>
          <t>Location</t>
        </is>
      </c>
      <c r="D3" s="350" t="inlineStr">
        <is>
          <t>Safety_Category</t>
        </is>
      </c>
      <c r="E3" s="350" t="inlineStr">
        <is>
          <t>Action_Required</t>
        </is>
      </c>
      <c r="F3" s="350" t="inlineStr">
        <is>
          <t>Risk_Level</t>
        </is>
      </c>
      <c r="G3" s="350" t="inlineStr">
        <is>
          <t>Assessment_Type</t>
        </is>
      </c>
      <c r="H3" s="350" t="inlineStr">
        <is>
          <t>Approval_Status</t>
        </is>
      </c>
      <c r="I3" s="350" t="inlineStr">
        <is>
          <t>Training_Type</t>
        </is>
      </c>
      <c r="J3" s="350" t="inlineStr">
        <is>
          <t>Mode</t>
        </is>
      </c>
      <c r="K3" s="350" t="inlineStr">
        <is>
          <t>Status</t>
        </is>
      </c>
      <c r="L3" s="350" t="inlineStr">
        <is>
          <t>Assessment_Result</t>
        </is>
      </c>
      <c r="M3" s="350" t="inlineStr">
        <is>
          <t>Observation_Type</t>
        </is>
      </c>
      <c r="N3" s="350" t="inlineStr">
        <is>
          <t>Category</t>
        </is>
      </c>
      <c r="O3" s="350" t="inlineStr">
        <is>
          <t>Overall_Rating</t>
        </is>
      </c>
      <c r="P3" s="350" t="inlineStr">
        <is>
          <t>Frequency</t>
        </is>
      </c>
      <c r="Q3" s="350" t="inlineStr">
        <is>
          <t>Type</t>
        </is>
      </c>
      <c r="R3" s="350" t="inlineStr">
        <is>
          <t>Distribution_Method</t>
        </is>
      </c>
      <c r="S3" s="350" t="inlineStr">
        <is>
          <t>Status_2</t>
        </is>
      </c>
      <c r="T3" s="350" t="inlineStr">
        <is>
          <t>Drill_Type</t>
        </is>
      </c>
      <c r="U3" s="350" t="inlineStr">
        <is>
          <t>Overall_Rating_2</t>
        </is>
      </c>
      <c r="V3" s="350" t="inlineStr">
        <is>
          <t>Status_3</t>
        </is>
      </c>
      <c r="W3" s="350" t="inlineStr">
        <is>
          <t>Audit_Type</t>
        </is>
      </c>
      <c r="X3" s="350" t="inlineStr">
        <is>
          <t>Status_4</t>
        </is>
      </c>
      <c r="Y3" s="350" t="inlineStr">
        <is>
          <t>Visit_Type</t>
        </is>
      </c>
      <c r="Z3" s="350" t="inlineStr">
        <is>
          <t>Status_5</t>
        </is>
      </c>
      <c r="AA3" s="350" t="inlineStr">
        <is>
          <t>Violation_Type</t>
        </is>
      </c>
      <c r="AB3" s="350" t="inlineStr">
        <is>
          <t>Action_Taken</t>
        </is>
      </c>
      <c r="AC3" s="350" t="inlineStr">
        <is>
          <t>Offense_Level</t>
        </is>
      </c>
      <c r="AD3" s="350" t="inlineStr">
        <is>
          <t>Status_6</t>
        </is>
      </c>
      <c r="AE3" s="350" t="inlineStr">
        <is>
          <t>Award_Category</t>
        </is>
      </c>
      <c r="AF3" s="350" t="inlineStr">
        <is>
          <t>Reward_Type</t>
        </is>
      </c>
      <c r="AG3" s="350" t="inlineStr">
        <is>
          <t>Status_7</t>
        </is>
      </c>
      <c r="AH3" s="350" t="inlineStr">
        <is>
          <t>Severity</t>
        </is>
      </c>
      <c r="AI3" s="350" t="inlineStr">
        <is>
          <t>Resolution</t>
        </is>
      </c>
      <c r="AJ3" s="350" t="inlineStr">
        <is>
          <t>Test_Type</t>
        </is>
      </c>
      <c r="AK3" s="350" t="inlineStr">
        <is>
          <t>Result</t>
        </is>
      </c>
      <c r="AL3" s="350" t="inlineStr">
        <is>
          <t>Permit_Type_Audited</t>
        </is>
      </c>
      <c r="AM3" s="350" t="inlineStr">
        <is>
          <t>Verdict</t>
        </is>
      </c>
      <c r="AN3" s="350" t="inlineStr">
        <is>
          <t>Source</t>
        </is>
      </c>
      <c r="AO3" s="350" t="inlineStr">
        <is>
          <t>Source_2</t>
        </is>
      </c>
      <c r="AP3" s="350" t="inlineStr">
        <is>
          <t>Severity_2</t>
        </is>
      </c>
      <c r="AQ3" s="350" t="inlineStr">
        <is>
          <t>Status_8</t>
        </is>
      </c>
      <c r="AR3" s="350" t="inlineStr">
        <is>
          <t>Immediate_Action</t>
        </is>
      </c>
      <c r="AT3" s="352" t="inlineStr">
        <is>
          <t>Area</t>
        </is>
      </c>
      <c r="AU3" s="352" t="inlineStr">
        <is>
          <t>ProdLine</t>
        </is>
      </c>
      <c r="AV3" s="352" t="inlineStr">
        <is>
          <t>Shift</t>
        </is>
      </c>
      <c r="AW3" s="352" t="inlineStr">
        <is>
          <t>IncidentType</t>
        </is>
      </c>
      <c r="AX3" s="352" t="inlineStr">
        <is>
          <t>IncClass</t>
        </is>
      </c>
      <c r="AY3" s="352" t="inlineStr">
        <is>
          <t>PersonType</t>
        </is>
      </c>
      <c r="AZ3" s="352" t="inlineStr">
        <is>
          <t>BodyPart</t>
        </is>
      </c>
      <c r="BA3" s="352" t="inlineStr">
        <is>
          <t>RootCause</t>
        </is>
      </c>
      <c r="BB3" s="352" t="inlineStr">
        <is>
          <t>RiskRating</t>
        </is>
      </c>
      <c r="BC3" s="352" t="inlineStr">
        <is>
          <t>IncStatus</t>
        </is>
      </c>
    </row>
    <row r="4">
      <c r="A4" s="351" t="inlineStr">
        <is>
          <t>PPE Usage</t>
        </is>
      </c>
      <c r="B4" s="351" t="inlineStr">
        <is>
          <t>Operations</t>
        </is>
      </c>
      <c r="C4" s="351" t="inlineStr">
        <is>
          <t>Plant A</t>
        </is>
      </c>
      <c r="D4" s="351" t="inlineStr">
        <is>
          <t>BBS</t>
        </is>
      </c>
      <c r="E4" s="351" t="inlineStr">
        <is>
          <t>Yes</t>
        </is>
      </c>
      <c r="F4" s="351" t="inlineStr">
        <is>
          <t>High</t>
        </is>
      </c>
      <c r="G4" s="351" t="inlineStr">
        <is>
          <t>HIRA</t>
        </is>
      </c>
      <c r="H4" s="351" t="inlineStr">
        <is>
          <t>Approved</t>
        </is>
      </c>
      <c r="I4" s="351" t="inlineStr">
        <is>
          <t>Induction</t>
        </is>
      </c>
      <c r="J4" s="351" t="inlineStr">
        <is>
          <t>Internal</t>
        </is>
      </c>
      <c r="K4" s="351" t="inlineStr">
        <is>
          <t>Completed</t>
        </is>
      </c>
      <c r="L4" s="351" t="inlineStr">
        <is>
          <t>Pass</t>
        </is>
      </c>
      <c r="M4" s="351" t="inlineStr">
        <is>
          <t>Safe Act</t>
        </is>
      </c>
      <c r="N4" s="351" t="inlineStr">
        <is>
          <t>BBS</t>
        </is>
      </c>
      <c r="O4" s="351" t="inlineStr">
        <is>
          <t>Satisfactory</t>
        </is>
      </c>
      <c r="P4" s="351" t="inlineStr">
        <is>
          <t>Weekly</t>
        </is>
      </c>
      <c r="Q4" s="351" t="inlineStr">
        <is>
          <t>Safety Alert</t>
        </is>
      </c>
      <c r="R4" s="351" t="inlineStr">
        <is>
          <t>Email</t>
        </is>
      </c>
      <c r="S4" s="351" t="inlineStr">
        <is>
          <t>Issued</t>
        </is>
      </c>
      <c r="T4" s="351" t="inlineStr">
        <is>
          <t>Fire Evacuation</t>
        </is>
      </c>
      <c r="U4" s="351" t="inlineStr">
        <is>
          <t>Satisfactory</t>
        </is>
      </c>
      <c r="V4" s="351" t="inlineStr">
        <is>
          <t>Completed</t>
        </is>
      </c>
      <c r="W4" s="351" t="inlineStr">
        <is>
          <t>System Audit</t>
        </is>
      </c>
      <c r="X4" s="351" t="inlineStr">
        <is>
          <t>Completed</t>
        </is>
      </c>
      <c r="Y4" s="351" t="inlineStr">
        <is>
          <t>Site Walk</t>
        </is>
      </c>
      <c r="Z4" s="351" t="inlineStr">
        <is>
          <t>Completed</t>
        </is>
      </c>
      <c r="AA4" s="351" t="inlineStr">
        <is>
          <t>PPE Violation</t>
        </is>
      </c>
      <c r="AB4" s="351" t="inlineStr">
        <is>
          <t>Verbal Warning</t>
        </is>
      </c>
      <c r="AC4" s="351" t="inlineStr">
        <is>
          <t>1st Offense</t>
        </is>
      </c>
      <c r="AD4" s="351" t="inlineStr">
        <is>
          <t>Completed</t>
        </is>
      </c>
      <c r="AE4" s="351" t="inlineStr">
        <is>
          <t>Safe Worker of Month</t>
        </is>
      </c>
      <c r="AF4" s="351" t="inlineStr">
        <is>
          <t>Certificate</t>
        </is>
      </c>
      <c r="AG4" s="351" t="inlineStr">
        <is>
          <t>Presented</t>
        </is>
      </c>
      <c r="AH4" s="351" t="inlineStr">
        <is>
          <t>Critical</t>
        </is>
      </c>
      <c r="AI4" s="351" t="inlineStr">
        <is>
          <t>Resolved</t>
        </is>
      </c>
      <c r="AJ4" s="351" t="inlineStr">
        <is>
          <t>Pre-Shift</t>
        </is>
      </c>
      <c r="AK4" s="351" t="inlineStr">
        <is>
          <t>Negative</t>
        </is>
      </c>
      <c r="AL4" s="351" t="inlineStr">
        <is>
          <t>Hot Work</t>
        </is>
      </c>
      <c r="AM4" s="351" t="inlineStr">
        <is>
          <t>Compliant</t>
        </is>
      </c>
      <c r="AN4" s="351" t="inlineStr">
        <is>
          <t>Audit Finding</t>
        </is>
      </c>
      <c r="AO4" s="351" t="inlineStr">
        <is>
          <t>Internal Audit</t>
        </is>
      </c>
      <c r="AP4" s="351" t="inlineStr">
        <is>
          <t>Major</t>
        </is>
      </c>
      <c r="AQ4" s="351" t="inlineStr">
        <is>
          <t>Closed</t>
        </is>
      </c>
      <c r="AR4" s="351" t="inlineStr">
        <is>
          <t>Corrected Immediately</t>
        </is>
      </c>
      <c r="AT4" s="353" t="inlineStr">
        <is>
          <t>Production</t>
        </is>
      </c>
      <c r="AU4" s="353" t="inlineStr">
        <is>
          <t>Line 1</t>
        </is>
      </c>
      <c r="AV4" s="353" t="inlineStr">
        <is>
          <t>Shift A</t>
        </is>
      </c>
      <c r="AW4" s="353" t="inlineStr">
        <is>
          <t>Injury/Illness</t>
        </is>
      </c>
      <c r="AX4" s="353" t="inlineStr">
        <is>
          <t>Near Miss</t>
        </is>
      </c>
      <c r="AY4" s="353" t="inlineStr">
        <is>
          <t>Employee</t>
        </is>
      </c>
      <c r="AZ4" s="353" t="inlineStr">
        <is>
          <t>Head</t>
        </is>
      </c>
      <c r="BA4" s="353" t="inlineStr">
        <is>
          <t>Human Error</t>
        </is>
      </c>
      <c r="BB4" s="353" t="inlineStr">
        <is>
          <t>Critical</t>
        </is>
      </c>
      <c r="BC4" s="353" t="inlineStr">
        <is>
          <t>Open</t>
        </is>
      </c>
    </row>
    <row r="5">
      <c r="A5" s="351" t="inlineStr">
        <is>
          <t>Fire Safety</t>
        </is>
      </c>
      <c r="B5" s="351" t="inlineStr">
        <is>
          <t>Maintenance</t>
        </is>
      </c>
      <c r="C5" s="351" t="inlineStr">
        <is>
          <t>Plant B</t>
        </is>
      </c>
      <c r="D5" s="351" t="inlineStr">
        <is>
          <t>HIRA</t>
        </is>
      </c>
      <c r="E5" s="351" t="inlineStr">
        <is>
          <t>No</t>
        </is>
      </c>
      <c r="F5" s="351" t="inlineStr">
        <is>
          <t>Medium</t>
        </is>
      </c>
      <c r="G5" s="351" t="inlineStr">
        <is>
          <t>Task RA</t>
        </is>
      </c>
      <c r="H5" s="351" t="inlineStr">
        <is>
          <t>Pending Review</t>
        </is>
      </c>
      <c r="I5" s="351" t="inlineStr">
        <is>
          <t>Refresher</t>
        </is>
      </c>
      <c r="J5" s="351" t="inlineStr">
        <is>
          <t>External</t>
        </is>
      </c>
      <c r="K5" s="351" t="inlineStr">
        <is>
          <t>In Progress</t>
        </is>
      </c>
      <c r="L5" s="351" t="inlineStr">
        <is>
          <t>Fail</t>
        </is>
      </c>
      <c r="M5" s="351" t="inlineStr">
        <is>
          <t>Unsafe Act</t>
        </is>
      </c>
      <c r="N5" s="351" t="inlineStr">
        <is>
          <t>General</t>
        </is>
      </c>
      <c r="O5" s="351" t="inlineStr">
        <is>
          <t>Needs Improvement</t>
        </is>
      </c>
      <c r="P5" s="351" t="inlineStr">
        <is>
          <t>Monthly</t>
        </is>
      </c>
      <c r="Q5" s="351" t="inlineStr">
        <is>
          <t>Bulletin</t>
        </is>
      </c>
      <c r="R5" s="351" t="inlineStr">
        <is>
          <t>Notice Board</t>
        </is>
      </c>
      <c r="S5" s="351" t="inlineStr">
        <is>
          <t>Acknowledged</t>
        </is>
      </c>
      <c r="T5" s="351" t="inlineStr">
        <is>
          <t>Chemical Spill</t>
        </is>
      </c>
      <c r="U5" s="351" t="inlineStr">
        <is>
          <t>Good</t>
        </is>
      </c>
      <c r="V5" s="351" t="inlineStr">
        <is>
          <t>Action Pending</t>
        </is>
      </c>
      <c r="W5" s="351" t="inlineStr">
        <is>
          <t>Compliance Audit</t>
        </is>
      </c>
      <c r="X5" s="351" t="inlineStr">
        <is>
          <t>In Progress</t>
        </is>
      </c>
      <c r="Y5" s="351" t="inlineStr">
        <is>
          <t>Plant Visit</t>
        </is>
      </c>
      <c r="Z5" s="351" t="inlineStr">
        <is>
          <t>Action Pending</t>
        </is>
      </c>
      <c r="AA5" s="351" t="inlineStr">
        <is>
          <t>Safety Rule Breach</t>
        </is>
      </c>
      <c r="AB5" s="351" t="inlineStr">
        <is>
          <t>Written Warning</t>
        </is>
      </c>
      <c r="AC5" s="351" t="inlineStr">
        <is>
          <t>2nd Offense</t>
        </is>
      </c>
      <c r="AD5" s="351" t="inlineStr">
        <is>
          <t>Under Review</t>
        </is>
      </c>
      <c r="AE5" s="351" t="inlineStr">
        <is>
          <t>Best Safety Suggestion</t>
        </is>
      </c>
      <c r="AF5" s="351" t="inlineStr">
        <is>
          <t>Trophy</t>
        </is>
      </c>
      <c r="AG5" s="351" t="inlineStr">
        <is>
          <t>Scheduled</t>
        </is>
      </c>
      <c r="AH5" s="351" t="inlineStr">
        <is>
          <t>High</t>
        </is>
      </c>
      <c r="AI5" s="351" t="inlineStr">
        <is>
          <t>Under Investigation</t>
        </is>
      </c>
      <c r="AJ5" s="351" t="inlineStr">
        <is>
          <t>Random</t>
        </is>
      </c>
      <c r="AK5" s="351" t="inlineStr">
        <is>
          <t>Positive</t>
        </is>
      </c>
      <c r="AL5" s="351" t="inlineStr">
        <is>
          <t>Confined Space</t>
        </is>
      </c>
      <c r="AM5" s="351" t="inlineStr">
        <is>
          <t>Non-Compliant</t>
        </is>
      </c>
      <c r="AN5" s="351" t="inlineStr">
        <is>
          <t>Inspection Finding</t>
        </is>
      </c>
      <c r="AO5" s="351" t="inlineStr">
        <is>
          <t>External Audit</t>
        </is>
      </c>
      <c r="AP5" s="351" t="inlineStr">
        <is>
          <t>Minor</t>
        </is>
      </c>
      <c r="AQ5" s="351" t="inlineStr">
        <is>
          <t>Open</t>
        </is>
      </c>
      <c r="AR5" s="351" t="inlineStr">
        <is>
          <t>Action Raised</t>
        </is>
      </c>
      <c r="AT5" s="353" t="inlineStr">
        <is>
          <t>Warehouse</t>
        </is>
      </c>
      <c r="AU5" s="353" t="inlineStr">
        <is>
          <t>Line 2</t>
        </is>
      </c>
      <c r="AV5" s="353" t="inlineStr">
        <is>
          <t>Shift B</t>
        </is>
      </c>
      <c r="AW5" s="353" t="inlineStr">
        <is>
          <t>Property Damage</t>
        </is>
      </c>
      <c r="AX5" s="353" t="inlineStr">
        <is>
          <t>First Aid</t>
        </is>
      </c>
      <c r="AY5" s="353" t="inlineStr">
        <is>
          <t>Contractor</t>
        </is>
      </c>
      <c r="AZ5" s="353" t="inlineStr">
        <is>
          <t>Eye</t>
        </is>
      </c>
      <c r="BA5" s="353" t="inlineStr">
        <is>
          <t>Unsafe Act</t>
        </is>
      </c>
      <c r="BB5" s="353" t="inlineStr">
        <is>
          <t>High</t>
        </is>
      </c>
      <c r="BC5" s="353" t="inlineStr">
        <is>
          <t>In Progress</t>
        </is>
      </c>
    </row>
    <row r="6">
      <c r="A6" s="351" t="inlineStr">
        <is>
          <t>Working at Heights</t>
        </is>
      </c>
      <c r="B6" s="351" t="inlineStr">
        <is>
          <t>Engineering</t>
        </is>
      </c>
      <c r="C6" s="351" t="inlineStr">
        <is>
          <t>Warehouse</t>
        </is>
      </c>
      <c r="D6" s="351" t="inlineStr">
        <is>
          <t>Training</t>
        </is>
      </c>
      <c r="F6" s="351" t="inlineStr">
        <is>
          <t>Low</t>
        </is>
      </c>
      <c r="G6" s="351" t="inlineStr">
        <is>
          <t>JSA</t>
        </is>
      </c>
      <c r="H6" s="351" t="inlineStr">
        <is>
          <t>Revision Required</t>
        </is>
      </c>
      <c r="I6" s="351" t="inlineStr">
        <is>
          <t>Advanced</t>
        </is>
      </c>
      <c r="J6" s="351" t="inlineStr">
        <is>
          <t>Online</t>
        </is>
      </c>
      <c r="K6" s="351" t="inlineStr">
        <is>
          <t>Overdue</t>
        </is>
      </c>
      <c r="L6" s="351" t="inlineStr">
        <is>
          <t>N/A</t>
        </is>
      </c>
      <c r="M6" s="351" t="inlineStr">
        <is>
          <t>Safe Condition</t>
        </is>
      </c>
      <c r="N6" s="351" t="inlineStr">
        <is>
          <t>PPE</t>
        </is>
      </c>
      <c r="O6" s="351" t="inlineStr">
        <is>
          <t>Unsatisfactory</t>
        </is>
      </c>
      <c r="P6" s="351" t="inlineStr">
        <is>
          <t>Quarterly</t>
        </is>
      </c>
      <c r="Q6" s="351" t="inlineStr">
        <is>
          <t>Toolbox Topic</t>
        </is>
      </c>
      <c r="R6" s="351" t="inlineStr">
        <is>
          <t>Toolbox Talk</t>
        </is>
      </c>
      <c r="S6" s="351" t="inlineStr">
        <is>
          <t>Closed</t>
        </is>
      </c>
      <c r="T6" s="351" t="inlineStr">
        <is>
          <t>Medical Emergency</t>
        </is>
      </c>
      <c r="U6" s="351" t="inlineStr">
        <is>
          <t>Excellent</t>
        </is>
      </c>
      <c r="V6" s="351" t="inlineStr">
        <is>
          <t>Rescheduled</t>
        </is>
      </c>
      <c r="W6" s="351" t="inlineStr">
        <is>
          <t>Process Audit</t>
        </is>
      </c>
      <c r="X6" s="351" t="inlineStr">
        <is>
          <t>Scheduled</t>
        </is>
      </c>
      <c r="Y6" s="351" t="inlineStr">
        <is>
          <t>Safety Observation</t>
        </is>
      </c>
      <c r="AA6" s="351" t="inlineStr">
        <is>
          <t>Permit Violation</t>
        </is>
      </c>
      <c r="AB6" s="351" t="inlineStr">
        <is>
          <t>Suspension</t>
        </is>
      </c>
      <c r="AC6" s="351" t="inlineStr">
        <is>
          <t>3rd Offense</t>
        </is>
      </c>
      <c r="AD6" s="351" t="inlineStr">
        <is>
          <t>Appealed</t>
        </is>
      </c>
      <c r="AE6" s="351" t="inlineStr">
        <is>
          <t>Zero Incident Award</t>
        </is>
      </c>
      <c r="AF6" s="351" t="inlineStr">
        <is>
          <t>Cash Bonus</t>
        </is>
      </c>
      <c r="AG6" s="351" t="inlineStr">
        <is>
          <t>Nominated</t>
        </is>
      </c>
      <c r="AH6" s="351" t="inlineStr">
        <is>
          <t>Medium</t>
        </is>
      </c>
      <c r="AI6" s="351" t="inlineStr">
        <is>
          <t>Permanent Fix Applied</t>
        </is>
      </c>
      <c r="AJ6" s="351" t="inlineStr">
        <is>
          <t>Post-Incident</t>
        </is>
      </c>
      <c r="AL6" s="351" t="inlineStr">
        <is>
          <t>Working at Height</t>
        </is>
      </c>
      <c r="AM6" s="351" t="inlineStr">
        <is>
          <t>Partially Compliant</t>
        </is>
      </c>
      <c r="AN6" s="351" t="inlineStr">
        <is>
          <t>Incident Follow-up</t>
        </is>
      </c>
      <c r="AO6" s="351" t="inlineStr">
        <is>
          <t>PTW Audit</t>
        </is>
      </c>
      <c r="AP6" s="351" t="inlineStr">
        <is>
          <t>Observation</t>
        </is>
      </c>
      <c r="AQ6" s="351" t="inlineStr">
        <is>
          <t>Under Review</t>
        </is>
      </c>
      <c r="AR6" s="351" t="inlineStr">
        <is>
          <t>Under Review</t>
        </is>
      </c>
      <c r="AT6" s="353" t="inlineStr">
        <is>
          <t>Utilities</t>
        </is>
      </c>
      <c r="AU6" s="353" t="inlineStr">
        <is>
          <t>Line 3</t>
        </is>
      </c>
      <c r="AV6" s="353" t="inlineStr">
        <is>
          <t>Shift C</t>
        </is>
      </c>
      <c r="AW6" s="353" t="inlineStr">
        <is>
          <t>Environmental</t>
        </is>
      </c>
      <c r="AX6" s="353" t="inlineStr">
        <is>
          <t>Medical Treatment</t>
        </is>
      </c>
      <c r="AY6" s="353" t="inlineStr">
        <is>
          <t>Visitor</t>
        </is>
      </c>
      <c r="AZ6" s="353" t="inlineStr">
        <is>
          <t>Hand/Finger</t>
        </is>
      </c>
      <c r="BA6" s="353" t="inlineStr">
        <is>
          <t>Unsafe Condition</t>
        </is>
      </c>
      <c r="BB6" s="353" t="inlineStr">
        <is>
          <t>Medium</t>
        </is>
      </c>
      <c r="BC6" s="353" t="inlineStr">
        <is>
          <t>Closed</t>
        </is>
      </c>
    </row>
    <row r="7">
      <c r="A7" s="351" t="inlineStr">
        <is>
          <t>Manual Handling</t>
        </is>
      </c>
      <c r="B7" s="351" t="inlineStr">
        <is>
          <t>Construction</t>
        </is>
      </c>
      <c r="C7" s="351" t="inlineStr">
        <is>
          <t>Workshop</t>
        </is>
      </c>
      <c r="D7" s="351" t="inlineStr">
        <is>
          <t>Audit</t>
        </is>
      </c>
      <c r="G7" s="351" t="inlineStr">
        <is>
          <t>HAZOP</t>
        </is>
      </c>
      <c r="H7" s="351" t="inlineStr">
        <is>
          <t>Rejected</t>
        </is>
      </c>
      <c r="I7" s="351" t="inlineStr">
        <is>
          <t>Certification</t>
        </is>
      </c>
      <c r="J7" s="351" t="inlineStr">
        <is>
          <t>On-the-Job</t>
        </is>
      </c>
      <c r="K7" s="351" t="inlineStr">
        <is>
          <t>Pending</t>
        </is>
      </c>
      <c r="M7" s="351" t="inlineStr">
        <is>
          <t>Unsafe Condition</t>
        </is>
      </c>
      <c r="N7" s="351" t="inlineStr">
        <is>
          <t>Housekeeping</t>
        </is>
      </c>
      <c r="O7" s="351" t="inlineStr">
        <is>
          <t>Good</t>
        </is>
      </c>
      <c r="P7" s="351" t="inlineStr">
        <is>
          <t>Ad-hoc</t>
        </is>
      </c>
      <c r="Q7" s="351" t="inlineStr">
        <is>
          <t>Lesson Learned</t>
        </is>
      </c>
      <c r="R7" s="351" t="inlineStr">
        <is>
          <t>App Notification</t>
        </is>
      </c>
      <c r="T7" s="351" t="inlineStr">
        <is>
          <t>Earthquake</t>
        </is>
      </c>
      <c r="U7" s="351" t="inlineStr">
        <is>
          <t>Needs Improvement</t>
        </is>
      </c>
      <c r="W7" s="351" t="inlineStr">
        <is>
          <t>Theme Audit</t>
        </is>
      </c>
      <c r="Y7" s="351" t="inlineStr">
        <is>
          <t>Contractor Review</t>
        </is>
      </c>
      <c r="AA7" s="351" t="inlineStr">
        <is>
          <t>Substance Abuse</t>
        </is>
      </c>
      <c r="AB7" s="351" t="inlineStr">
        <is>
          <t>Termination</t>
        </is>
      </c>
      <c r="AC7" s="351" t="inlineStr">
        <is>
          <t>Repeat</t>
        </is>
      </c>
      <c r="AE7" s="351" t="inlineStr">
        <is>
          <t>HSE Champion</t>
        </is>
      </c>
      <c r="AF7" s="351" t="inlineStr">
        <is>
          <t>Gift Voucher</t>
        </is>
      </c>
      <c r="AH7" s="351" t="inlineStr">
        <is>
          <t>Low</t>
        </is>
      </c>
      <c r="AJ7" s="351" t="inlineStr">
        <is>
          <t>Reasonable Suspicion</t>
        </is>
      </c>
      <c r="AL7" s="351" t="inlineStr">
        <is>
          <t>Excavation</t>
        </is>
      </c>
      <c r="AN7" s="351" t="inlineStr">
        <is>
          <t>Observation Follow-up</t>
        </is>
      </c>
      <c r="AO7" s="351" t="inlineStr">
        <is>
          <t>Workplace Inspection</t>
        </is>
      </c>
      <c r="AQ7" s="351" t="inlineStr">
        <is>
          <t>Overdue</t>
        </is>
      </c>
      <c r="AR7" s="351" t="inlineStr">
        <is>
          <t>Pending</t>
        </is>
      </c>
      <c r="AT7" s="353" t="inlineStr">
        <is>
          <t>QC Lab</t>
        </is>
      </c>
      <c r="AU7" s="353" t="inlineStr">
        <is>
          <t>Line 4</t>
        </is>
      </c>
      <c r="AV7" s="353" t="inlineStr">
        <is>
          <t>General</t>
        </is>
      </c>
      <c r="AW7" s="353" t="inlineStr">
        <is>
          <t>Fire</t>
        </is>
      </c>
      <c r="AX7" s="353" t="inlineStr">
        <is>
          <t>Restricted Work</t>
        </is>
      </c>
      <c r="AY7" s="353" t="inlineStr">
        <is>
          <t>Third Party</t>
        </is>
      </c>
      <c r="AZ7" s="353" t="inlineStr">
        <is>
          <t>Arm</t>
        </is>
      </c>
      <c r="BA7" s="353" t="inlineStr">
        <is>
          <t>Inadequate Procedure</t>
        </is>
      </c>
      <c r="BB7" s="353" t="inlineStr">
        <is>
          <t>Low</t>
        </is>
      </c>
      <c r="BC7" s="353" t="inlineStr">
        <is>
          <t>Overdue</t>
        </is>
      </c>
    </row>
    <row r="8">
      <c r="A8" s="351" t="inlineStr">
        <is>
          <t>Electrical Safety</t>
        </is>
      </c>
      <c r="B8" s="351" t="inlineStr">
        <is>
          <t>Safety</t>
        </is>
      </c>
      <c r="C8" s="351" t="inlineStr">
        <is>
          <t>Field Site</t>
        </is>
      </c>
      <c r="D8" s="351" t="inlineStr">
        <is>
          <t>General</t>
        </is>
      </c>
      <c r="G8" s="351" t="inlineStr">
        <is>
          <t>What-If</t>
        </is>
      </c>
      <c r="I8" s="351" t="inlineStr">
        <is>
          <t>Awareness</t>
        </is>
      </c>
      <c r="K8" s="351" t="inlineStr">
        <is>
          <t>Cancelled</t>
        </is>
      </c>
      <c r="M8" s="351" t="inlineStr">
        <is>
          <t>Near Miss</t>
        </is>
      </c>
      <c r="N8" s="351" t="inlineStr">
        <is>
          <t>Ergonomics</t>
        </is>
      </c>
      <c r="O8" s="351" t="inlineStr">
        <is>
          <t>Excellent</t>
        </is>
      </c>
      <c r="P8" s="351" t="inlineStr">
        <is>
          <t>Annual</t>
        </is>
      </c>
      <c r="Q8" s="351" t="inlineStr">
        <is>
          <t>Best Practice</t>
        </is>
      </c>
      <c r="R8" s="351" t="inlineStr">
        <is>
          <t>All Channels</t>
        </is>
      </c>
      <c r="T8" s="351" t="inlineStr">
        <is>
          <t>Gas Leak</t>
        </is>
      </c>
      <c r="W8" s="351" t="inlineStr">
        <is>
          <t>Surveillance</t>
        </is>
      </c>
      <c r="Y8" s="351" t="inlineStr">
        <is>
          <t>Project Visit</t>
        </is>
      </c>
      <c r="AA8" s="351" t="inlineStr">
        <is>
          <t>Reckless Behavior</t>
        </is>
      </c>
      <c r="AB8" s="351" t="inlineStr">
        <is>
          <t>Retraining</t>
        </is>
      </c>
      <c r="AE8" s="351" t="inlineStr">
        <is>
          <t>Best Department</t>
        </is>
      </c>
      <c r="AF8" s="351" t="inlineStr">
        <is>
          <t>Recognition Letter</t>
        </is>
      </c>
      <c r="AL8" s="351" t="inlineStr">
        <is>
          <t>Electrical</t>
        </is>
      </c>
      <c r="AN8" s="351" t="inlineStr">
        <is>
          <t>Management Review</t>
        </is>
      </c>
      <c r="AO8" s="351" t="inlineStr">
        <is>
          <t>Customer Audit</t>
        </is>
      </c>
      <c r="AT8" s="353" t="inlineStr">
        <is>
          <t>Admin Block</t>
        </is>
      </c>
      <c r="AU8" s="353" t="inlineStr">
        <is>
          <t>PET Line</t>
        </is>
      </c>
      <c r="AW8" s="353" t="inlineStr">
        <is>
          <t>Chemical Spill</t>
        </is>
      </c>
      <c r="AX8" s="353" t="inlineStr">
        <is>
          <t>Lost Time Injury</t>
        </is>
      </c>
      <c r="AZ8" s="353" t="inlineStr">
        <is>
          <t>Foot/Leg</t>
        </is>
      </c>
      <c r="BA8" s="353" t="inlineStr">
        <is>
          <t>Lack of Training</t>
        </is>
      </c>
    </row>
    <row r="9">
      <c r="A9" s="351" t="inlineStr">
        <is>
          <t>Chemical Safety</t>
        </is>
      </c>
      <c r="B9" s="351" t="inlineStr">
        <is>
          <t>Logistics</t>
        </is>
      </c>
      <c r="C9" s="351" t="inlineStr">
        <is>
          <t>Control Room</t>
        </is>
      </c>
      <c r="D9" s="351" t="inlineStr">
        <is>
          <t>Emergency</t>
        </is>
      </c>
      <c r="G9" s="351" t="inlineStr">
        <is>
          <t>Bow Tie</t>
        </is>
      </c>
      <c r="I9" s="351" t="inlineStr">
        <is>
          <t>Competency</t>
        </is>
      </c>
      <c r="N9" s="351" t="inlineStr">
        <is>
          <t>Fire Safety</t>
        </is>
      </c>
      <c r="Q9" s="351" t="inlineStr">
        <is>
          <t>Advisory</t>
        </is>
      </c>
      <c r="T9" s="351" t="inlineStr">
        <is>
          <t>Confined Space Rescue</t>
        </is>
      </c>
      <c r="Y9" s="351" t="inlineStr">
        <is>
          <t>Emergency Review</t>
        </is>
      </c>
      <c r="AA9" s="351" t="inlineStr">
        <is>
          <t>Unauthorized Work</t>
        </is>
      </c>
      <c r="AB9" s="351" t="inlineStr">
        <is>
          <t>Fine</t>
        </is>
      </c>
      <c r="AE9" s="351" t="inlineStr">
        <is>
          <t>Safety Innovation</t>
        </is>
      </c>
      <c r="AF9" s="351" t="inlineStr">
        <is>
          <t>Team Lunch</t>
        </is>
      </c>
      <c r="AL9" s="351" t="inlineStr">
        <is>
          <t>Cold Work</t>
        </is>
      </c>
      <c r="AN9" s="351" t="inlineStr">
        <is>
          <t>Drill Finding</t>
        </is>
      </c>
      <c r="AO9" s="351" t="inlineStr">
        <is>
          <t>Regulatory Inspection</t>
        </is>
      </c>
      <c r="AT9" s="353" t="inlineStr">
        <is>
          <t>Loading Bay</t>
        </is>
      </c>
      <c r="AU9" s="353" t="inlineStr">
        <is>
          <t>Can Line</t>
        </is>
      </c>
      <c r="AW9" s="353" t="inlineStr">
        <is>
          <t>Vehicle</t>
        </is>
      </c>
      <c r="AX9" s="353" t="inlineStr">
        <is>
          <t>Fatality</t>
        </is>
      </c>
      <c r="AZ9" s="353" t="inlineStr">
        <is>
          <t>Back</t>
        </is>
      </c>
      <c r="BA9" s="353" t="inlineStr">
        <is>
          <t>Equipment Failure</t>
        </is>
      </c>
    </row>
    <row r="10">
      <c r="A10" s="351" t="inlineStr">
        <is>
          <t>Housekeeping</t>
        </is>
      </c>
      <c r="B10" s="351" t="inlineStr">
        <is>
          <t>Quality</t>
        </is>
      </c>
      <c r="C10" s="351" t="inlineStr">
        <is>
          <t>Office</t>
        </is>
      </c>
      <c r="D10" s="351" t="inlineStr">
        <is>
          <t>PPE</t>
        </is>
      </c>
      <c r="N10" s="351" t="inlineStr">
        <is>
          <t>Environment</t>
        </is>
      </c>
      <c r="T10" s="351" t="inlineStr">
        <is>
          <t>Bomb Threat</t>
        </is>
      </c>
      <c r="AA10" s="351" t="inlineStr">
        <is>
          <t>Tampering</t>
        </is>
      </c>
      <c r="AE10" s="351" t="inlineStr">
        <is>
          <t>Observation Champion</t>
        </is>
      </c>
      <c r="AL10" s="351" t="inlineStr">
        <is>
          <t>Lifting</t>
        </is>
      </c>
      <c r="AT10" s="353" t="inlineStr">
        <is>
          <t>Tank Farm</t>
        </is>
      </c>
      <c r="AU10" s="353" t="inlineStr">
        <is>
          <t>Syrup Room</t>
        </is>
      </c>
      <c r="AW10" s="353" t="inlineStr">
        <is>
          <t>Process Safety</t>
        </is>
      </c>
      <c r="AZ10" s="353" t="inlineStr">
        <is>
          <t>Torso</t>
        </is>
      </c>
      <c r="BA10" s="353" t="inlineStr">
        <is>
          <t>PPE Not Used</t>
        </is>
      </c>
    </row>
    <row r="11">
      <c r="A11" s="351" t="inlineStr">
        <is>
          <t>Heat Stress</t>
        </is>
      </c>
      <c r="B11" s="351" t="inlineStr">
        <is>
          <t>Admin</t>
        </is>
      </c>
      <c r="C11" s="351" t="inlineStr">
        <is>
          <t>Tank Farm</t>
        </is>
      </c>
      <c r="D11" s="351" t="inlineStr">
        <is>
          <t>Environment</t>
        </is>
      </c>
      <c r="T11" s="351" t="inlineStr">
        <is>
          <t>Natural Disaster</t>
        </is>
      </c>
      <c r="AT11" s="353" t="inlineStr">
        <is>
          <t>ETP Plant</t>
        </is>
      </c>
      <c r="AU11" s="353" t="inlineStr">
        <is>
          <t>CIP System</t>
        </is>
      </c>
      <c r="AW11" s="353" t="inlineStr">
        <is>
          <t>Security</t>
        </is>
      </c>
      <c r="AZ11" s="353" t="inlineStr">
        <is>
          <t>Multiple</t>
        </is>
      </c>
      <c r="BA11" s="353" t="inlineStr">
        <is>
          <t>Poor Housekeeping</t>
        </is>
      </c>
    </row>
    <row r="12">
      <c r="A12" s="351" t="inlineStr">
        <is>
          <t>Slip Trip Fall</t>
        </is>
      </c>
      <c r="B12" s="351" t="inlineStr">
        <is>
          <t>Projects</t>
        </is>
      </c>
      <c r="AT12" s="353" t="inlineStr">
        <is>
          <t>Boiler House</t>
        </is>
      </c>
      <c r="AU12" s="353" t="inlineStr">
        <is>
          <t>Blow Molding</t>
        </is>
      </c>
      <c r="AZ12" s="353" t="inlineStr">
        <is>
          <t>None / NA</t>
        </is>
      </c>
      <c r="BA12" s="353" t="inlineStr">
        <is>
          <t>Design Flaw</t>
        </is>
      </c>
    </row>
    <row r="13">
      <c r="A13" s="351" t="inlineStr">
        <is>
          <t>Confined Space</t>
        </is>
      </c>
      <c r="B13" s="351" t="inlineStr">
        <is>
          <t>Contractor</t>
        </is>
      </c>
      <c r="AT13" s="353" t="inlineStr">
        <is>
          <t>Workshop</t>
        </is>
      </c>
      <c r="AU13" s="353" t="inlineStr">
        <is>
          <t>Packaging</t>
        </is>
      </c>
      <c r="BA13" s="353" t="inlineStr">
        <is>
          <t>Inadequate Supervision</t>
        </is>
      </c>
    </row>
    <row r="14">
      <c r="A14" s="351" t="inlineStr">
        <is>
          <t>LOTO</t>
        </is>
      </c>
    </row>
    <row r="15">
      <c r="A15" s="351" t="inlineStr">
        <is>
          <t>Emergency Procedures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474F"/>
    <outlinePr summaryBelow="1" summaryRight="1"/>
    <pageSetUpPr/>
  </sheetPr>
  <dimension ref="B1:D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style="15" min="1" max="1"/>
    <col width="38" customWidth="1" style="15" min="2" max="2"/>
    <col width="20" customWidth="1" style="15" min="3" max="3"/>
    <col width="46" customWidth="1" style="15" min="4" max="4"/>
  </cols>
  <sheetData>
    <row r="1">
      <c r="B1" s="354" t="inlineStr">
        <is>
          <t>⚙️  SYSTEM SETTINGS</t>
        </is>
      </c>
    </row>
    <row r="2">
      <c r="B2" s="349" t="inlineStr">
        <is>
          <t>Central configuration — edit the blue cells. KPIs &amp; the Executive Dashboard read these automatically.</t>
        </is>
      </c>
    </row>
    <row r="4">
      <c r="B4" s="355" t="inlineStr">
        <is>
          <t>ORGANISATION</t>
        </is>
      </c>
    </row>
    <row r="5">
      <c r="B5" s="356" t="inlineStr">
        <is>
          <t>Company Name</t>
        </is>
      </c>
      <c r="C5" s="357" t="inlineStr">
        <is>
          <t>RCPL — Campa Cola</t>
        </is>
      </c>
      <c r="D5" s="358" t="inlineStr"/>
    </row>
    <row r="6">
      <c r="B6" s="356" t="inlineStr">
        <is>
          <t>Plant / Site</t>
        </is>
      </c>
      <c r="C6" s="357" t="inlineStr">
        <is>
          <t>Manufacturing Plant 1</t>
        </is>
      </c>
      <c r="D6" s="358" t="inlineStr"/>
    </row>
    <row r="7">
      <c r="B7" s="356" t="inlineStr">
        <is>
          <t>Location</t>
        </is>
      </c>
      <c r="C7" s="357" t="inlineStr">
        <is>
          <t>India</t>
        </is>
      </c>
      <c r="D7" s="358" t="inlineStr"/>
    </row>
    <row r="8">
      <c r="B8" s="356" t="inlineStr">
        <is>
          <t>Reporting Year</t>
        </is>
      </c>
      <c r="C8" s="359" t="n">
        <v>2026</v>
      </c>
      <c r="D8" s="358" t="inlineStr"/>
    </row>
    <row r="10">
      <c r="B10" s="355" t="inlineStr">
        <is>
          <t>EHS CALCULATION PARAMETERS</t>
        </is>
      </c>
    </row>
    <row r="11">
      <c r="B11" s="356" t="inlineStr">
        <is>
          <t>Financial Year Start Month (1-12)</t>
        </is>
      </c>
      <c r="C11" s="359" t="n">
        <v>4</v>
      </c>
      <c r="D11" s="358" t="inlineStr">
        <is>
          <t>e.g. 4 = April</t>
        </is>
      </c>
    </row>
    <row r="12">
      <c r="B12" s="356" t="inlineStr">
        <is>
          <t>Total Man-Hours Worked (annual)</t>
        </is>
      </c>
      <c r="C12" s="360" t="n">
        <v>1000000</v>
      </c>
      <c r="D12" s="358" t="inlineStr">
        <is>
          <t>Avg employees × hours worked</t>
        </is>
      </c>
    </row>
    <row r="13">
      <c r="B13" s="356" t="inlineStr">
        <is>
          <t>TRIR Multiplier</t>
        </is>
      </c>
      <c r="C13" s="360" t="n">
        <v>200000</v>
      </c>
      <c r="D13" s="358" t="inlineStr">
        <is>
          <t>OSHA standard = 200,000</t>
        </is>
      </c>
    </row>
    <row r="14">
      <c r="B14" s="356" t="inlineStr">
        <is>
          <t>LTIFR Multiplier</t>
        </is>
      </c>
      <c r="C14" s="360" t="n">
        <v>1000000</v>
      </c>
      <c r="D14" s="358" t="inlineStr">
        <is>
          <t>Per million man-hours</t>
        </is>
      </c>
    </row>
    <row r="16">
      <c r="B16" s="355" t="inlineStr">
        <is>
          <t>TARGETS / RAG THRESHOLDS</t>
        </is>
      </c>
    </row>
    <row r="17">
      <c r="B17" s="356" t="inlineStr">
        <is>
          <t>Observation Closure Target %</t>
        </is>
      </c>
      <c r="C17" s="361" t="n">
        <v>0.9</v>
      </c>
      <c r="D17" s="358" t="inlineStr">
        <is>
          <t>Green if ≥ target</t>
        </is>
      </c>
    </row>
    <row r="18">
      <c r="B18" s="356" t="inlineStr">
        <is>
          <t>Training Compliance Target %</t>
        </is>
      </c>
      <c r="C18" s="361" t="n">
        <v>0.95</v>
      </c>
      <c r="D18" s="358" t="inlineStr"/>
    </row>
    <row r="19">
      <c r="B19" s="356" t="inlineStr">
        <is>
          <t>Corrective Action Closure Target %</t>
        </is>
      </c>
      <c r="C19" s="361" t="n">
        <v>0.9</v>
      </c>
      <c r="D19" s="358" t="inlineStr"/>
    </row>
    <row r="20">
      <c r="B20" s="356" t="inlineStr">
        <is>
          <t>TRIR Target (max acceptable)</t>
        </is>
      </c>
      <c r="C20" s="362" t="n">
        <v>1</v>
      </c>
      <c r="D20" s="358" t="inlineStr">
        <is>
          <t>Green if actual ≤ target</t>
        </is>
      </c>
    </row>
    <row r="21">
      <c r="B21" s="356" t="inlineStr">
        <is>
          <t>RAG Amber band (% of target)</t>
        </is>
      </c>
      <c r="C21" s="361" t="n">
        <v>0.8</v>
      </c>
      <c r="D21" s="358" t="inlineStr">
        <is>
          <t>Below this vs target = Red</t>
        </is>
      </c>
    </row>
  </sheetData>
  <mergeCells count="4">
    <mergeCell ref="B10:D10"/>
    <mergeCell ref="B1:D1"/>
    <mergeCell ref="B16:D16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95C"/>
    <outlinePr summaryBelow="1" summaryRight="1"/>
    <pageSetUpPr/>
  </sheetPr>
  <dimension ref="B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style="15" min="1" max="1"/>
    <col width="30" customWidth="1" style="15" min="2" max="2"/>
    <col width="95" customWidth="1" style="15" min="3" max="3"/>
  </cols>
  <sheetData>
    <row r="1">
      <c r="B1" s="412" t="inlineStr">
        <is>
          <t>❓  HELP &amp; USER GUIDE</t>
        </is>
      </c>
    </row>
    <row r="3">
      <c r="B3" s="413" t="inlineStr">
        <is>
          <t>Enterprise Integrated EHS Management System</t>
        </is>
      </c>
    </row>
    <row r="4">
      <c r="B4" s="414" t="inlineStr">
        <is>
          <t>Purpose</t>
        </is>
      </c>
      <c r="C4" s="415" t="inlineStr">
        <is>
          <t>Single-workbook EHS system: 24 data registers, per-register dashboards, and one Executive Dashboard with corporate KPIs.</t>
        </is>
      </c>
    </row>
    <row r="5">
      <c r="B5" s="413" t="inlineStr">
        <is>
          <t>How to enter data</t>
        </is>
      </c>
    </row>
    <row r="6">
      <c r="B6" s="414" t="inlineStr">
        <is>
          <t>Registers</t>
        </is>
      </c>
      <c r="C6" s="415" t="inlineStr">
        <is>
          <t>Open any register (colored tabs). Fill the 🔵 blue INPUT columns only. ⚫ Gray AUTO columns (S.No, Month, Week, Quarter, FY, Ageing, %) calculate themselves.</t>
        </is>
      </c>
    </row>
    <row r="7">
      <c r="B7" s="414" t="inlineStr">
        <is>
          <t>Dropdowns</t>
        </is>
      </c>
      <c r="C7" s="415" t="inlineStr">
        <is>
          <t>All dropdowns are driven by 01_Master_Data. To add a Department, Location, etc., add it once there and every register updates automatically.</t>
        </is>
      </c>
    </row>
    <row r="8">
      <c r="B8" s="414" t="inlineStr">
        <is>
          <t>Scalability</t>
        </is>
      </c>
      <c r="C8" s="415" t="inlineStr">
        <is>
          <t>Each register + dashboard supports up to ~500 records. Just keep typing below the sample rows — dashboards expand automatically.</t>
        </is>
      </c>
    </row>
    <row r="9">
      <c r="B9" s="413" t="inlineStr">
        <is>
          <t>Dashboards</t>
        </is>
      </c>
    </row>
    <row r="10">
      <c r="B10" s="414" t="inlineStr">
        <is>
          <t>Per-register</t>
        </is>
      </c>
      <c r="C10" s="415" t="inlineStr">
        <is>
          <t>Each "Dashboard – …" tab auto-summarises its register (KPI cards, trends, breakdowns, charts). No manual refresh needed.</t>
        </is>
      </c>
    </row>
    <row r="11">
      <c r="B11" s="414" t="inlineStr">
        <is>
          <t>Executive</t>
        </is>
      </c>
      <c r="C11" s="415" t="inlineStr">
        <is>
          <t>06_Executive_Dashboard aggregates ALL registers: TRIR, LTIFR, Incident Pyramid, Leading vs Lagging indicators, and a RAG compliance scorecard.</t>
        </is>
      </c>
    </row>
    <row r="12">
      <c r="B12" s="413" t="inlineStr">
        <is>
          <t>Key formulas &amp; settings</t>
        </is>
      </c>
    </row>
    <row r="13">
      <c r="B13" s="414" t="inlineStr">
        <is>
          <t>TRIR</t>
        </is>
      </c>
      <c r="C13" s="415">
        <f> Recordable Cases × TRIR Multiplier ÷ Man-Hours. Recordable = Medical Treatment + Restricted Work + Lost Time Injury + Fatality.</f>
        <v/>
      </c>
    </row>
    <row r="14">
      <c r="B14" s="414" t="inlineStr">
        <is>
          <t>LTIFR</t>
        </is>
      </c>
      <c r="C14" s="415">
        <f> (Lost Time Injuries + Fatalities) × LTIFR Multiplier ÷ Man-Hours.</f>
        <v/>
      </c>
    </row>
    <row r="15">
      <c r="B15" s="414" t="inlineStr">
        <is>
          <t>Settings</t>
        </is>
      </c>
      <c r="C15" s="415" t="inlineStr">
        <is>
          <t>08_Settings holds Man-Hours, multipliers, FY start month, and RAG targets. Edit the blue cells to match your plant.</t>
        </is>
      </c>
    </row>
    <row r="16">
      <c r="B16" s="414" t="inlineStr">
        <is>
          <t>RAG logic</t>
        </is>
      </c>
      <c r="C16" s="415" t="inlineStr">
        <is>
          <t>🟢 Green = meets target · 🟡 Amber = within the amber band · 🔴 Red = below. Bands are set in 08_Settings.</t>
        </is>
      </c>
    </row>
    <row r="17">
      <c r="B17" s="413" t="inlineStr">
        <is>
          <t>Maintenance tips</t>
        </is>
      </c>
    </row>
    <row r="18">
      <c r="B18" s="414" t="inlineStr">
        <is>
          <t>Recalculate</t>
        </is>
      </c>
      <c r="C18" s="415" t="inlineStr">
        <is>
          <t>Press F9 (or enable automatic calculation) if figures look stale. The file is set to full-recalculate on open.</t>
        </is>
      </c>
    </row>
    <row r="19">
      <c r="B19" s="414" t="inlineStr">
        <is>
          <t>Backup</t>
        </is>
      </c>
      <c r="C19" s="415" t="inlineStr">
        <is>
          <t>Save a dated copy monthly. Never delete the 01_Master_Data or 08_Settings sheets — dropdowns and KPIs depend on them.</t>
        </is>
      </c>
    </row>
    <row r="20">
      <c r="B20" s="414" t="inlineStr">
        <is>
          <t>Extending</t>
        </is>
      </c>
      <c r="C20" s="415" t="inlineStr">
        <is>
          <t>New registers follow the same pattern: register sheet + matching "Dashboard – …" sheet, lists in 01_Master_Data, KPIs wired to the Executive Dashboard.</t>
        </is>
      </c>
    </row>
  </sheetData>
  <mergeCells count="6">
    <mergeCell ref="B3:C3"/>
    <mergeCell ref="B5:C5"/>
    <mergeCell ref="B17:C17"/>
    <mergeCell ref="B9:C9"/>
    <mergeCell ref="B1:C1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A148C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:O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8"/>
    <col width="12" customWidth="1" style="15" min="9" max="10"/>
    <col width="10" customWidth="1" style="15" min="11" max="12"/>
    <col width="16" customWidth="1" style="15" min="13" max="13"/>
    <col width="10" customWidth="1" style="15" min="14" max="14"/>
    <col width="14" customWidth="1" style="15" min="15" max="15"/>
  </cols>
  <sheetData>
    <row r="1" ht="42" customHeight="1" s="15">
      <c r="A1" s="14" t="inlineStr">
        <is>
          <t>🗣️  TOOLBOX TALKS — DATA ENTRY</t>
        </is>
      </c>
    </row>
    <row r="2" ht="21.75" customHeight="1" s="15">
      <c r="A2" s="13" t="inlineStr">
        <is>
          <t>🔵 Blue = User Input  |  ⚫ Gray = Auto-Calculated  |  Use dropdowns where available</t>
        </is>
      </c>
    </row>
    <row r="3" ht="19.5" customHeight="1" s="15">
      <c r="A3" s="17" t="inlineStr">
        <is>
          <t>IDENTIFICATION</t>
        </is>
      </c>
      <c r="E3" s="16" t="inlineStr">
        <is>
          <t>CONTENT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ATTENDANCE</t>
        </is>
      </c>
      <c r="L3" s="18" t="inlineStr">
        <is>
          <t>TIMING</t>
        </is>
      </c>
      <c r="M3" s="19" t="inlineStr">
        <is>
          <t>CLASSIFICATION</t>
        </is>
      </c>
      <c r="N3" s="20" t="inlineStr">
        <is>
          <t>FOLLOW-UP</t>
        </is>
      </c>
      <c r="O3" s="17" t="inlineStr">
        <is>
          <t>QUALITY</t>
        </is>
      </c>
    </row>
    <row r="4" ht="31.5" customHeight="1" s="15">
      <c r="A4" s="21" t="inlineStr">
        <is>
          <t>S.No</t>
        </is>
      </c>
      <c r="B4" s="21" t="inlineStr">
        <is>
          <t>Ref No.</t>
        </is>
      </c>
      <c r="C4" s="21" t="inlineStr">
        <is>
          <t>Date</t>
        </is>
      </c>
      <c r="D4" s="21" t="inlineStr">
        <is>
          <t>Month</t>
        </is>
      </c>
      <c r="E4" s="21" t="inlineStr">
        <is>
          <t>Topic</t>
        </is>
      </c>
      <c r="F4" s="21" t="inlineStr">
        <is>
          <t>Department</t>
        </is>
      </c>
      <c r="G4" s="21" t="inlineStr">
        <is>
          <t>Location</t>
        </is>
      </c>
      <c r="H4" s="21" t="inlineStr">
        <is>
          <t>Conducted By</t>
        </is>
      </c>
      <c r="I4" s="21" t="inlineStr">
        <is>
          <t>Target Attendees</t>
        </is>
      </c>
      <c r="J4" s="21" t="inlineStr">
        <is>
          <t>Actual Attendees</t>
        </is>
      </c>
      <c r="K4" s="21" t="inlineStr">
        <is>
          <t>Attendance %</t>
        </is>
      </c>
      <c r="L4" s="21" t="inlineStr">
        <is>
          <t>Duration (min)</t>
        </is>
      </c>
      <c r="M4" s="21" t="inlineStr">
        <is>
          <t>Safety Category</t>
        </is>
      </c>
      <c r="N4" s="21" t="inlineStr">
        <is>
          <t>Action Required</t>
        </is>
      </c>
      <c r="O4" s="21" t="inlineStr">
        <is>
          <t>Effectiveness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2" t="inlineStr">
        <is>
          <t>⚙️ AUTO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TBT-001</t>
        </is>
      </c>
      <c r="C6" s="26" t="n">
        <v>46330</v>
      </c>
      <c r="D6" s="24">
        <f>IF(C6="","",TEXT(C6,"MMM"))</f>
        <v/>
      </c>
      <c r="E6" s="27" t="inlineStr">
        <is>
          <t>PPE Usage</t>
        </is>
      </c>
      <c r="F6" s="28" t="inlineStr">
        <is>
          <t>Safety</t>
        </is>
      </c>
      <c r="G6" s="28" t="inlineStr">
        <is>
          <t>Workshop</t>
        </is>
      </c>
      <c r="H6" s="27" t="inlineStr">
        <is>
          <t>Maria Garcia</t>
        </is>
      </c>
      <c r="I6" s="29" t="n">
        <v>12</v>
      </c>
      <c r="J6" s="29" t="n">
        <v>8</v>
      </c>
      <c r="K6" s="30">
        <f>IF(I6=0,0,J6/I6)</f>
        <v/>
      </c>
      <c r="L6" s="29" t="n">
        <v>27</v>
      </c>
      <c r="M6" s="27" t="inlineStr">
        <is>
          <t>HIRA</t>
        </is>
      </c>
      <c r="N6" s="28" t="inlineStr">
        <is>
          <t>No</t>
        </is>
      </c>
      <c r="O6" s="28" t="inlineStr">
        <is>
          <t>Good</t>
        </is>
      </c>
    </row>
    <row r="7" ht="21.75" customHeight="1" s="15">
      <c r="A7" s="31" t="n">
        <v>2</v>
      </c>
      <c r="B7" s="32" t="inlineStr">
        <is>
          <t>TBT-002</t>
        </is>
      </c>
      <c r="C7" s="33" t="n">
        <v>46025</v>
      </c>
      <c r="D7" s="31">
        <f>IF(C7="","",TEXT(C7,"MMM"))</f>
        <v/>
      </c>
      <c r="E7" s="34" t="inlineStr">
        <is>
          <t>Manual Handling</t>
        </is>
      </c>
      <c r="F7" s="35" t="inlineStr">
        <is>
          <t>Construction</t>
        </is>
      </c>
      <c r="G7" s="35" t="inlineStr">
        <is>
          <t>Plant A</t>
        </is>
      </c>
      <c r="H7" s="34" t="inlineStr">
        <is>
          <t>Tom Brown</t>
        </is>
      </c>
      <c r="I7" s="36" t="n">
        <v>14</v>
      </c>
      <c r="J7" s="36" t="n">
        <v>25</v>
      </c>
      <c r="K7" s="37">
        <f>IF(I7=0,0,J7/I7)</f>
        <v/>
      </c>
      <c r="L7" s="36" t="n">
        <v>27</v>
      </c>
      <c r="M7" s="34" t="inlineStr">
        <is>
          <t>PPE</t>
        </is>
      </c>
      <c r="N7" s="35" t="inlineStr">
        <is>
          <t>Yes</t>
        </is>
      </c>
      <c r="O7" s="35" t="inlineStr">
        <is>
          <t>Needs Improvement</t>
        </is>
      </c>
    </row>
    <row r="8" ht="15" customHeight="1" s="15">
      <c r="A8" s="24" t="n">
        <v>3</v>
      </c>
      <c r="B8" s="25" t="inlineStr">
        <is>
          <t>TBT-003</t>
        </is>
      </c>
      <c r="C8" s="26" t="n">
        <v>46304</v>
      </c>
      <c r="D8" s="24">
        <f>IF(C8="","",TEXT(C8,"MMM"))</f>
        <v/>
      </c>
      <c r="E8" s="27" t="inlineStr">
        <is>
          <t>PPE Usage</t>
        </is>
      </c>
      <c r="F8" s="28" t="inlineStr">
        <is>
          <t>Engineering</t>
        </is>
      </c>
      <c r="G8" s="28" t="inlineStr">
        <is>
          <t>Office</t>
        </is>
      </c>
      <c r="H8" s="27" t="inlineStr">
        <is>
          <t>Fatima Al-Said</t>
        </is>
      </c>
      <c r="I8" s="29" t="n">
        <v>16</v>
      </c>
      <c r="J8" s="29" t="n">
        <v>9</v>
      </c>
      <c r="K8" s="30">
        <f>IF(I8=0,0,J8/I8)</f>
        <v/>
      </c>
      <c r="L8" s="29" t="n">
        <v>16</v>
      </c>
      <c r="M8" s="27" t="inlineStr">
        <is>
          <t>Emergency</t>
        </is>
      </c>
      <c r="N8" s="28" t="inlineStr">
        <is>
          <t>Yes</t>
        </is>
      </c>
      <c r="O8" s="28" t="inlineStr">
        <is>
          <t>Good</t>
        </is>
      </c>
    </row>
    <row r="9" ht="15" customHeight="1" s="15">
      <c r="A9" s="31" t="n">
        <v>4</v>
      </c>
      <c r="B9" s="32" t="inlineStr">
        <is>
          <t>TBT-004</t>
        </is>
      </c>
      <c r="C9" s="33" t="n">
        <v>46207</v>
      </c>
      <c r="D9" s="31">
        <f>IF(C9="","",TEXT(C9,"MMM"))</f>
        <v/>
      </c>
      <c r="E9" s="34" t="inlineStr">
        <is>
          <t>Chemical Safety</t>
        </is>
      </c>
      <c r="F9" s="35" t="inlineStr">
        <is>
          <t>Logistics</t>
        </is>
      </c>
      <c r="G9" s="35" t="inlineStr">
        <is>
          <t>Field Site</t>
        </is>
      </c>
      <c r="H9" s="34" t="inlineStr">
        <is>
          <t>Ahmed Khan</t>
        </is>
      </c>
      <c r="I9" s="36" t="n">
        <v>22</v>
      </c>
      <c r="J9" s="36" t="n">
        <v>22</v>
      </c>
      <c r="K9" s="37">
        <f>IF(I9=0,0,J9/I9)</f>
        <v/>
      </c>
      <c r="L9" s="36" t="n">
        <v>13</v>
      </c>
      <c r="M9" s="34" t="inlineStr">
        <is>
          <t>PPE</t>
        </is>
      </c>
      <c r="N9" s="35" t="inlineStr">
        <is>
          <t>Yes</t>
        </is>
      </c>
      <c r="O9" s="35" t="inlineStr">
        <is>
          <t>Excellent</t>
        </is>
      </c>
    </row>
    <row r="10" ht="15" customHeight="1" s="15">
      <c r="A10" s="24" t="n">
        <v>5</v>
      </c>
      <c r="B10" s="25" t="inlineStr">
        <is>
          <t>TBT-005</t>
        </is>
      </c>
      <c r="C10" s="26" t="n">
        <v>46346</v>
      </c>
      <c r="D10" s="24">
        <f>IF(C10="","",TEXT(C10,"MMM"))</f>
        <v/>
      </c>
      <c r="E10" s="27" t="inlineStr">
        <is>
          <t>Chemical Safety</t>
        </is>
      </c>
      <c r="F10" s="28" t="inlineStr">
        <is>
          <t>Contractor</t>
        </is>
      </c>
      <c r="G10" s="28" t="inlineStr">
        <is>
          <t>Workshop</t>
        </is>
      </c>
      <c r="H10" s="27" t="inlineStr">
        <is>
          <t>Sarah Wilson</t>
        </is>
      </c>
      <c r="I10" s="29" t="n">
        <v>9</v>
      </c>
      <c r="J10" s="29" t="n">
        <v>12</v>
      </c>
      <c r="K10" s="30">
        <f>IF(I10=0,0,J10/I10)</f>
        <v/>
      </c>
      <c r="L10" s="29" t="n">
        <v>19</v>
      </c>
      <c r="M10" s="27" t="inlineStr">
        <is>
          <t>HIRA</t>
        </is>
      </c>
      <c r="N10" s="28" t="inlineStr">
        <is>
          <t>Yes</t>
        </is>
      </c>
      <c r="O10" s="28" t="inlineStr">
        <is>
          <t>Good</t>
        </is>
      </c>
    </row>
    <row r="11" ht="15" customHeight="1" s="15">
      <c r="A11" s="31" t="n">
        <v>6</v>
      </c>
      <c r="B11" s="32" t="inlineStr">
        <is>
          <t>TBT-006</t>
        </is>
      </c>
      <c r="C11" s="33" t="n">
        <v>46212</v>
      </c>
      <c r="D11" s="31">
        <f>IF(C11="","",TEXT(C11,"MMM"))</f>
        <v/>
      </c>
      <c r="E11" s="34" t="inlineStr">
        <is>
          <t>Heat Stress</t>
        </is>
      </c>
      <c r="F11" s="35" t="inlineStr">
        <is>
          <t>Logistics</t>
        </is>
      </c>
      <c r="G11" s="35" t="inlineStr">
        <is>
          <t>Warehouse</t>
        </is>
      </c>
      <c r="H11" s="34" t="inlineStr">
        <is>
          <t>Fatima Al-Said</t>
        </is>
      </c>
      <c r="I11" s="36" t="n">
        <v>19</v>
      </c>
      <c r="J11" s="36" t="n">
        <v>11</v>
      </c>
      <c r="K11" s="37">
        <f>IF(I11=0,0,J11/I11)</f>
        <v/>
      </c>
      <c r="L11" s="36" t="n">
        <v>18</v>
      </c>
      <c r="M11" s="34" t="inlineStr">
        <is>
          <t>HIRA</t>
        </is>
      </c>
      <c r="N11" s="35" t="inlineStr">
        <is>
          <t>Yes</t>
        </is>
      </c>
      <c r="O11" s="35" t="inlineStr">
        <is>
          <t>Average</t>
        </is>
      </c>
    </row>
    <row r="12" ht="15" customHeight="1" s="15">
      <c r="A12" s="24" t="n">
        <v>7</v>
      </c>
      <c r="B12" s="25" t="inlineStr">
        <is>
          <t>TBT-007</t>
        </is>
      </c>
      <c r="C12" s="26" t="n">
        <v>46096</v>
      </c>
      <c r="D12" s="24">
        <f>IF(C12="","",TEXT(C12,"MMM"))</f>
        <v/>
      </c>
      <c r="E12" s="27" t="inlineStr">
        <is>
          <t>Housekeeping</t>
        </is>
      </c>
      <c r="F12" s="28" t="inlineStr">
        <is>
          <t>Safety</t>
        </is>
      </c>
      <c r="G12" s="28" t="inlineStr">
        <is>
          <t>Workshop</t>
        </is>
      </c>
      <c r="H12" s="27" t="inlineStr">
        <is>
          <t>Fatima Al-Said</t>
        </is>
      </c>
      <c r="I12" s="29" t="n">
        <v>9</v>
      </c>
      <c r="J12" s="29" t="n">
        <v>12</v>
      </c>
      <c r="K12" s="30">
        <f>IF(I12=0,0,J12/I12)</f>
        <v/>
      </c>
      <c r="L12" s="29" t="n">
        <v>11</v>
      </c>
      <c r="M12" s="27" t="inlineStr">
        <is>
          <t>Emergency</t>
        </is>
      </c>
      <c r="N12" s="28" t="inlineStr">
        <is>
          <t>No</t>
        </is>
      </c>
      <c r="O12" s="28" t="inlineStr">
        <is>
          <t>Excellent</t>
        </is>
      </c>
    </row>
    <row r="13" ht="15" customHeight="1" s="15">
      <c r="A13" s="31" t="n">
        <v>8</v>
      </c>
      <c r="B13" s="32" t="inlineStr">
        <is>
          <t>TBT-008</t>
        </is>
      </c>
      <c r="C13" s="33" t="n">
        <v>46060</v>
      </c>
      <c r="D13" s="31">
        <f>IF(C13="","",TEXT(C13,"MMM"))</f>
        <v/>
      </c>
      <c r="E13" s="34" t="inlineStr">
        <is>
          <t>Confined Space</t>
        </is>
      </c>
      <c r="F13" s="35" t="inlineStr">
        <is>
          <t>Logistics</t>
        </is>
      </c>
      <c r="G13" s="35" t="inlineStr">
        <is>
          <t>Workshop</t>
        </is>
      </c>
      <c r="H13" s="34" t="inlineStr">
        <is>
          <t>Priya Sharma</t>
        </is>
      </c>
      <c r="I13" s="36" t="n">
        <v>20</v>
      </c>
      <c r="J13" s="36" t="n">
        <v>25</v>
      </c>
      <c r="K13" s="37">
        <f>IF(I13=0,0,J13/I13)</f>
        <v/>
      </c>
      <c r="L13" s="36" t="n">
        <v>24</v>
      </c>
      <c r="M13" s="34" t="inlineStr">
        <is>
          <t>Training</t>
        </is>
      </c>
      <c r="N13" s="35" t="inlineStr">
        <is>
          <t>No</t>
        </is>
      </c>
      <c r="O13" s="35" t="inlineStr">
        <is>
          <t>Average</t>
        </is>
      </c>
    </row>
    <row r="14" ht="15" customHeight="1" s="15">
      <c r="A14" s="24" t="n">
        <v>9</v>
      </c>
      <c r="B14" s="25" t="inlineStr">
        <is>
          <t>TBT-009</t>
        </is>
      </c>
      <c r="C14" s="26" t="n">
        <v>46136</v>
      </c>
      <c r="D14" s="24">
        <f>IF(C14="","",TEXT(C14,"MMM"))</f>
        <v/>
      </c>
      <c r="E14" s="27" t="inlineStr">
        <is>
          <t>Slip Trip Fall</t>
        </is>
      </c>
      <c r="F14" s="28" t="inlineStr">
        <is>
          <t>Projects</t>
        </is>
      </c>
      <c r="G14" s="28" t="inlineStr">
        <is>
          <t>Field Site</t>
        </is>
      </c>
      <c r="H14" s="27" t="inlineStr">
        <is>
          <t>Lisa Park</t>
        </is>
      </c>
      <c r="I14" s="29" t="n">
        <v>21</v>
      </c>
      <c r="J14" s="29" t="n">
        <v>23</v>
      </c>
      <c r="K14" s="30">
        <f>IF(I14=0,0,J14/I14)</f>
        <v/>
      </c>
      <c r="L14" s="29" t="n">
        <v>22</v>
      </c>
      <c r="M14" s="27" t="inlineStr">
        <is>
          <t>Emergency</t>
        </is>
      </c>
      <c r="N14" s="28" t="inlineStr">
        <is>
          <t>Yes</t>
        </is>
      </c>
      <c r="O14" s="28" t="inlineStr">
        <is>
          <t>Average</t>
        </is>
      </c>
    </row>
    <row r="15" ht="21.75" customHeight="1" s="15">
      <c r="A15" s="31" t="n">
        <v>10</v>
      </c>
      <c r="B15" s="32" t="inlineStr">
        <is>
          <t>TBT-010</t>
        </is>
      </c>
      <c r="C15" s="33" t="n">
        <v>46281</v>
      </c>
      <c r="D15" s="31">
        <f>IF(C15="","",TEXT(C15,"MMM"))</f>
        <v/>
      </c>
      <c r="E15" s="34" t="inlineStr">
        <is>
          <t>Fire Safety</t>
        </is>
      </c>
      <c r="F15" s="35" t="inlineStr">
        <is>
          <t>Operations</t>
        </is>
      </c>
      <c r="G15" s="35" t="inlineStr">
        <is>
          <t>Plant B</t>
        </is>
      </c>
      <c r="H15" s="34" t="inlineStr">
        <is>
          <t>Raj Patel</t>
        </is>
      </c>
      <c r="I15" s="36" t="n">
        <v>13</v>
      </c>
      <c r="J15" s="36" t="n">
        <v>18</v>
      </c>
      <c r="K15" s="37">
        <f>IF(I15=0,0,J15/I15)</f>
        <v/>
      </c>
      <c r="L15" s="36" t="n">
        <v>29</v>
      </c>
      <c r="M15" s="34" t="inlineStr">
        <is>
          <t>HIRA</t>
        </is>
      </c>
      <c r="N15" s="35" t="inlineStr">
        <is>
          <t>No</t>
        </is>
      </c>
      <c r="O15" s="35" t="inlineStr">
        <is>
          <t>Needs Improvement</t>
        </is>
      </c>
    </row>
    <row r="16" ht="15" customHeight="1" s="15">
      <c r="A16" s="24" t="n">
        <v>11</v>
      </c>
      <c r="B16" s="25" t="inlineStr">
        <is>
          <t>TBT-011</t>
        </is>
      </c>
      <c r="C16" s="26" t="n">
        <v>46310</v>
      </c>
      <c r="D16" s="24">
        <f>IF(C16="","",TEXT(C16,"MMM"))</f>
        <v/>
      </c>
      <c r="E16" s="27" t="inlineStr">
        <is>
          <t>Slip Trip Fall</t>
        </is>
      </c>
      <c r="F16" s="28" t="inlineStr">
        <is>
          <t>Safety</t>
        </is>
      </c>
      <c r="G16" s="28" t="inlineStr">
        <is>
          <t>Plant A</t>
        </is>
      </c>
      <c r="H16" s="27" t="inlineStr">
        <is>
          <t>Sarah Wilson</t>
        </is>
      </c>
      <c r="I16" s="29" t="n">
        <v>25</v>
      </c>
      <c r="J16" s="29" t="n">
        <v>13</v>
      </c>
      <c r="K16" s="30">
        <f>IF(I16=0,0,J16/I16)</f>
        <v/>
      </c>
      <c r="L16" s="29" t="n">
        <v>30</v>
      </c>
      <c r="M16" s="27" t="inlineStr">
        <is>
          <t>Emergency</t>
        </is>
      </c>
      <c r="N16" s="28" t="inlineStr">
        <is>
          <t>Yes</t>
        </is>
      </c>
      <c r="O16" s="28" t="inlineStr">
        <is>
          <t>Excellent</t>
        </is>
      </c>
    </row>
    <row r="17" ht="15" customHeight="1" s="15">
      <c r="A17" s="31" t="n">
        <v>12</v>
      </c>
      <c r="B17" s="32" t="inlineStr">
        <is>
          <t>TBT-012</t>
        </is>
      </c>
      <c r="C17" s="33" t="n">
        <v>46209</v>
      </c>
      <c r="D17" s="31">
        <f>IF(C17="","",TEXT(C17,"MMM"))</f>
        <v/>
      </c>
      <c r="E17" s="34" t="inlineStr">
        <is>
          <t>Heat Stress</t>
        </is>
      </c>
      <c r="F17" s="35" t="inlineStr">
        <is>
          <t>Operations</t>
        </is>
      </c>
      <c r="G17" s="35" t="inlineStr">
        <is>
          <t>Field Site</t>
        </is>
      </c>
      <c r="H17" s="34" t="inlineStr">
        <is>
          <t>Tom Brown</t>
        </is>
      </c>
      <c r="I17" s="36" t="n">
        <v>13</v>
      </c>
      <c r="J17" s="36" t="n">
        <v>21</v>
      </c>
      <c r="K17" s="37">
        <f>IF(I17=0,0,J17/I17)</f>
        <v/>
      </c>
      <c r="L17" s="36" t="n">
        <v>13</v>
      </c>
      <c r="M17" s="34" t="inlineStr">
        <is>
          <t>General</t>
        </is>
      </c>
      <c r="N17" s="35" t="inlineStr">
        <is>
          <t>Yes</t>
        </is>
      </c>
      <c r="O17" s="35" t="inlineStr">
        <is>
          <t>Average</t>
        </is>
      </c>
    </row>
    <row r="18" ht="15" customHeight="1" s="15">
      <c r="A18" s="24" t="n">
        <v>13</v>
      </c>
      <c r="B18" s="25" t="inlineStr">
        <is>
          <t>TBT-013</t>
        </is>
      </c>
      <c r="C18" s="26" t="n">
        <v>46198</v>
      </c>
      <c r="D18" s="24">
        <f>IF(C18="","",TEXT(C18,"MMM"))</f>
        <v/>
      </c>
      <c r="E18" s="27" t="inlineStr">
        <is>
          <t>Working at Heights</t>
        </is>
      </c>
      <c r="F18" s="28" t="inlineStr">
        <is>
          <t>Projects</t>
        </is>
      </c>
      <c r="G18" s="28" t="inlineStr">
        <is>
          <t>Plant A</t>
        </is>
      </c>
      <c r="H18" s="27" t="inlineStr">
        <is>
          <t>Lisa Park</t>
        </is>
      </c>
      <c r="I18" s="29" t="n">
        <v>18</v>
      </c>
      <c r="J18" s="29" t="n">
        <v>20</v>
      </c>
      <c r="K18" s="30">
        <f>IF(I18=0,0,J18/I18)</f>
        <v/>
      </c>
      <c r="L18" s="29" t="n">
        <v>10</v>
      </c>
      <c r="M18" s="27" t="inlineStr">
        <is>
          <t>HIRA</t>
        </is>
      </c>
      <c r="N18" s="28" t="inlineStr">
        <is>
          <t>No</t>
        </is>
      </c>
      <c r="O18" s="28" t="inlineStr">
        <is>
          <t>Excellent</t>
        </is>
      </c>
    </row>
    <row r="19" ht="21.75" customHeight="1" s="15">
      <c r="A19" s="31" t="n">
        <v>14</v>
      </c>
      <c r="B19" s="32" t="inlineStr">
        <is>
          <t>TBT-014</t>
        </is>
      </c>
      <c r="C19" s="33" t="n">
        <v>46114</v>
      </c>
      <c r="D19" s="31">
        <f>IF(C19="","",TEXT(C19,"MMM"))</f>
        <v/>
      </c>
      <c r="E19" s="34" t="inlineStr">
        <is>
          <t>Manual Handling</t>
        </is>
      </c>
      <c r="F19" s="35" t="inlineStr">
        <is>
          <t>Contractor</t>
        </is>
      </c>
      <c r="G19" s="35" t="inlineStr">
        <is>
          <t>Plant B</t>
        </is>
      </c>
      <c r="H19" s="34" t="inlineStr">
        <is>
          <t>Sarah Wilson</t>
        </is>
      </c>
      <c r="I19" s="36" t="n">
        <v>23</v>
      </c>
      <c r="J19" s="36" t="n">
        <v>7</v>
      </c>
      <c r="K19" s="37">
        <f>IF(I19=0,0,J19/I19)</f>
        <v/>
      </c>
      <c r="L19" s="36" t="n">
        <v>27</v>
      </c>
      <c r="M19" s="34" t="inlineStr">
        <is>
          <t>Training</t>
        </is>
      </c>
      <c r="N19" s="35" t="inlineStr">
        <is>
          <t>Yes</t>
        </is>
      </c>
      <c r="O19" s="35" t="inlineStr">
        <is>
          <t>Needs Improvement</t>
        </is>
      </c>
    </row>
    <row r="20" ht="21.75" customHeight="1" s="15">
      <c r="A20" s="24" t="n">
        <v>15</v>
      </c>
      <c r="B20" s="25" t="inlineStr">
        <is>
          <t>TBT-015</t>
        </is>
      </c>
      <c r="C20" s="26" t="n">
        <v>46271</v>
      </c>
      <c r="D20" s="24">
        <f>IF(C20="","",TEXT(C20,"MMM"))</f>
        <v/>
      </c>
      <c r="E20" s="27" t="inlineStr">
        <is>
          <t>Electrical Safety</t>
        </is>
      </c>
      <c r="F20" s="28" t="inlineStr">
        <is>
          <t>Projects</t>
        </is>
      </c>
      <c r="G20" s="28" t="inlineStr">
        <is>
          <t>Office</t>
        </is>
      </c>
      <c r="H20" s="27" t="inlineStr">
        <is>
          <t>Maria Garcia</t>
        </is>
      </c>
      <c r="I20" s="29" t="n">
        <v>25</v>
      </c>
      <c r="J20" s="29" t="n">
        <v>11</v>
      </c>
      <c r="K20" s="30">
        <f>IF(I20=0,0,J20/I20)</f>
        <v/>
      </c>
      <c r="L20" s="29" t="n">
        <v>19</v>
      </c>
      <c r="M20" s="27" t="inlineStr">
        <is>
          <t>PPE</t>
        </is>
      </c>
      <c r="N20" s="28" t="inlineStr">
        <is>
          <t>No</t>
        </is>
      </c>
      <c r="O20" s="28" t="inlineStr">
        <is>
          <t>Needs Improvement</t>
        </is>
      </c>
    </row>
    <row r="21" ht="15" customHeight="1" s="15">
      <c r="A21" s="31" t="n">
        <v>16</v>
      </c>
      <c r="B21" s="32" t="inlineStr">
        <is>
          <t>TBT-016</t>
        </is>
      </c>
      <c r="C21" s="33" t="n">
        <v>46280</v>
      </c>
      <c r="D21" s="31">
        <f>IF(C21="","",TEXT(C21,"MMM"))</f>
        <v/>
      </c>
      <c r="E21" s="34" t="inlineStr">
        <is>
          <t>Fire Safety</t>
        </is>
      </c>
      <c r="F21" s="35" t="inlineStr">
        <is>
          <t>Construction</t>
        </is>
      </c>
      <c r="G21" s="35" t="inlineStr">
        <is>
          <t>Workshop</t>
        </is>
      </c>
      <c r="H21" s="34" t="inlineStr">
        <is>
          <t>Sarah Wilson</t>
        </is>
      </c>
      <c r="I21" s="36" t="n">
        <v>18</v>
      </c>
      <c r="J21" s="36" t="n">
        <v>5</v>
      </c>
      <c r="K21" s="37">
        <f>IF(I21=0,0,J21/I21)</f>
        <v/>
      </c>
      <c r="L21" s="36" t="n">
        <v>28</v>
      </c>
      <c r="M21" s="34" t="inlineStr">
        <is>
          <t>Audit</t>
        </is>
      </c>
      <c r="N21" s="35" t="inlineStr">
        <is>
          <t>Yes</t>
        </is>
      </c>
      <c r="O21" s="35" t="inlineStr">
        <is>
          <t>Good</t>
        </is>
      </c>
    </row>
    <row r="22" ht="21.75" customHeight="1" s="15">
      <c r="A22" s="24" t="n">
        <v>17</v>
      </c>
      <c r="B22" s="25" t="inlineStr">
        <is>
          <t>TBT-017</t>
        </is>
      </c>
      <c r="C22" s="26" t="n">
        <v>46076</v>
      </c>
      <c r="D22" s="24">
        <f>IF(C22="","",TEXT(C22,"MMM"))</f>
        <v/>
      </c>
      <c r="E22" s="27" t="inlineStr">
        <is>
          <t>LOTO</t>
        </is>
      </c>
      <c r="F22" s="28" t="inlineStr">
        <is>
          <t>Operations</t>
        </is>
      </c>
      <c r="G22" s="28" t="inlineStr">
        <is>
          <t>Workshop</t>
        </is>
      </c>
      <c r="H22" s="27" t="inlineStr">
        <is>
          <t>Sarah Wilson</t>
        </is>
      </c>
      <c r="I22" s="29" t="n">
        <v>9</v>
      </c>
      <c r="J22" s="29" t="n">
        <v>15</v>
      </c>
      <c r="K22" s="30">
        <f>IF(I22=0,0,J22/I22)</f>
        <v/>
      </c>
      <c r="L22" s="29" t="n">
        <v>12</v>
      </c>
      <c r="M22" s="27" t="inlineStr">
        <is>
          <t>Audit</t>
        </is>
      </c>
      <c r="N22" s="28" t="inlineStr">
        <is>
          <t>No</t>
        </is>
      </c>
      <c r="O22" s="28" t="inlineStr">
        <is>
          <t>Needs Improvement</t>
        </is>
      </c>
    </row>
    <row r="23" ht="21.75" customHeight="1" s="15">
      <c r="A23" s="31" t="n">
        <v>18</v>
      </c>
      <c r="B23" s="32" t="inlineStr">
        <is>
          <t>TBT-018</t>
        </is>
      </c>
      <c r="C23" s="33" t="n">
        <v>46130</v>
      </c>
      <c r="D23" s="31">
        <f>IF(C23="","",TEXT(C23,"MMM"))</f>
        <v/>
      </c>
      <c r="E23" s="34" t="inlineStr">
        <is>
          <t>Working at Heights</t>
        </is>
      </c>
      <c r="F23" s="35" t="inlineStr">
        <is>
          <t>Contractor</t>
        </is>
      </c>
      <c r="G23" s="35" t="inlineStr">
        <is>
          <t>Tank Farm</t>
        </is>
      </c>
      <c r="H23" s="34" t="inlineStr">
        <is>
          <t>Maria Garcia</t>
        </is>
      </c>
      <c r="I23" s="36" t="n">
        <v>23</v>
      </c>
      <c r="J23" s="36" t="n">
        <v>18</v>
      </c>
      <c r="K23" s="37">
        <f>IF(I23=0,0,J23/I23)</f>
        <v/>
      </c>
      <c r="L23" s="36" t="n">
        <v>16</v>
      </c>
      <c r="M23" s="34" t="inlineStr">
        <is>
          <t>HIRA</t>
        </is>
      </c>
      <c r="N23" s="35" t="inlineStr">
        <is>
          <t>Yes</t>
        </is>
      </c>
      <c r="O23" s="35" t="inlineStr">
        <is>
          <t>Needs Improvement</t>
        </is>
      </c>
    </row>
    <row r="24" ht="15" customHeight="1" s="15">
      <c r="A24" s="24" t="n">
        <v>19</v>
      </c>
      <c r="B24" s="25" t="inlineStr">
        <is>
          <t>TBT-019</t>
        </is>
      </c>
      <c r="C24" s="26" t="n">
        <v>46187</v>
      </c>
      <c r="D24" s="24">
        <f>IF(C24="","",TEXT(C24,"MMM"))</f>
        <v/>
      </c>
      <c r="E24" s="27" t="inlineStr">
        <is>
          <t>Housekeeping</t>
        </is>
      </c>
      <c r="F24" s="28" t="inlineStr">
        <is>
          <t>Admin</t>
        </is>
      </c>
      <c r="G24" s="28" t="inlineStr">
        <is>
          <t>Plant A</t>
        </is>
      </c>
      <c r="H24" s="27" t="inlineStr">
        <is>
          <t>Sarah Wilson</t>
        </is>
      </c>
      <c r="I24" s="29" t="n">
        <v>9</v>
      </c>
      <c r="J24" s="29" t="n">
        <v>17</v>
      </c>
      <c r="K24" s="30">
        <f>IF(I24=0,0,J24/I24)</f>
        <v/>
      </c>
      <c r="L24" s="29" t="n">
        <v>20</v>
      </c>
      <c r="M24" s="27" t="inlineStr">
        <is>
          <t>HIRA</t>
        </is>
      </c>
      <c r="N24" s="28" t="inlineStr">
        <is>
          <t>Yes</t>
        </is>
      </c>
      <c r="O24" s="28" t="inlineStr">
        <is>
          <t>Average</t>
        </is>
      </c>
    </row>
    <row r="25" ht="15" customHeight="1" s="15">
      <c r="A25" s="31" t="n">
        <v>20</v>
      </c>
      <c r="B25" s="32" t="inlineStr">
        <is>
          <t>TBT-020</t>
        </is>
      </c>
      <c r="C25" s="33" t="n">
        <v>46130</v>
      </c>
      <c r="D25" s="31">
        <f>IF(C25="","",TEXT(C25,"MMM"))</f>
        <v/>
      </c>
      <c r="E25" s="34" t="inlineStr">
        <is>
          <t>Heat Stress</t>
        </is>
      </c>
      <c r="F25" s="35" t="inlineStr">
        <is>
          <t>Engineering</t>
        </is>
      </c>
      <c r="G25" s="35" t="inlineStr">
        <is>
          <t>Office</t>
        </is>
      </c>
      <c r="H25" s="34" t="inlineStr">
        <is>
          <t>Raj Patel</t>
        </is>
      </c>
      <c r="I25" s="36" t="n">
        <v>16</v>
      </c>
      <c r="J25" s="36" t="n">
        <v>19</v>
      </c>
      <c r="K25" s="37">
        <f>IF(I25=0,0,J25/I25)</f>
        <v/>
      </c>
      <c r="L25" s="36" t="n">
        <v>17</v>
      </c>
      <c r="M25" s="34" t="inlineStr">
        <is>
          <t>HIRA</t>
        </is>
      </c>
      <c r="N25" s="35" t="inlineStr">
        <is>
          <t>No</t>
        </is>
      </c>
      <c r="O25" s="35" t="inlineStr">
        <is>
          <t>Good</t>
        </is>
      </c>
    </row>
    <row r="26">
      <c r="A26">
        <f>IF($B26="","",ROW()-5)</f>
        <v/>
      </c>
      <c r="D26">
        <f>IF($B26="","",IF(C26="","",TEXT(C26,"MMM")))</f>
        <v/>
      </c>
      <c r="K26">
        <f>IF($B26="","",IF(I26=0,0,J26/I26))</f>
        <v/>
      </c>
    </row>
    <row r="27">
      <c r="A27">
        <f>IF($B27="","",ROW()-5)</f>
        <v/>
      </c>
      <c r="D27">
        <f>IF($B27="","",IF(C27="","",TEXT(C27,"MMM")))</f>
        <v/>
      </c>
      <c r="K27">
        <f>IF($B27="","",IF(I27=0,0,J27/I27))</f>
        <v/>
      </c>
    </row>
    <row r="28">
      <c r="A28">
        <f>IF($B28="","",ROW()-5)</f>
        <v/>
      </c>
      <c r="D28">
        <f>IF($B28="","",IF(C28="","",TEXT(C28,"MMM")))</f>
        <v/>
      </c>
      <c r="K28">
        <f>IF($B28="","",IF(I28=0,0,J28/I28))</f>
        <v/>
      </c>
    </row>
    <row r="29">
      <c r="A29">
        <f>IF($B29="","",ROW()-5)</f>
        <v/>
      </c>
      <c r="D29">
        <f>IF($B29="","",IF(C29="","",TEXT(C29,"MMM")))</f>
        <v/>
      </c>
      <c r="K29">
        <f>IF($B29="","",IF(I29=0,0,J29/I29))</f>
        <v/>
      </c>
    </row>
    <row r="30">
      <c r="A30">
        <f>IF($B30="","",ROW()-5)</f>
        <v/>
      </c>
      <c r="D30">
        <f>IF($B30="","",IF(C30="","",TEXT(C30,"MMM")))</f>
        <v/>
      </c>
      <c r="K30">
        <f>IF($B30="","",IF(I30=0,0,J30/I30))</f>
        <v/>
      </c>
    </row>
    <row r="31">
      <c r="A31">
        <f>IF($B31="","",ROW()-5)</f>
        <v/>
      </c>
      <c r="D31">
        <f>IF($B31="","",IF(C31="","",TEXT(C31,"MMM")))</f>
        <v/>
      </c>
      <c r="K31">
        <f>IF($B31="","",IF(I31=0,0,J31/I31))</f>
        <v/>
      </c>
    </row>
    <row r="32">
      <c r="A32">
        <f>IF($B32="","",ROW()-5)</f>
        <v/>
      </c>
      <c r="D32">
        <f>IF($B32="","",IF(C32="","",TEXT(C32,"MMM")))</f>
        <v/>
      </c>
      <c r="K32">
        <f>IF($B32="","",IF(I32=0,0,J32/I32))</f>
        <v/>
      </c>
    </row>
    <row r="33">
      <c r="A33">
        <f>IF($B33="","",ROW()-5)</f>
        <v/>
      </c>
      <c r="D33">
        <f>IF($B33="","",IF(C33="","",TEXT(C33,"MMM")))</f>
        <v/>
      </c>
      <c r="K33">
        <f>IF($B33="","",IF(I33=0,0,J33/I33))</f>
        <v/>
      </c>
    </row>
    <row r="34">
      <c r="A34">
        <f>IF($B34="","",ROW()-5)</f>
        <v/>
      </c>
      <c r="D34">
        <f>IF($B34="","",IF(C34="","",TEXT(C34,"MMM")))</f>
        <v/>
      </c>
      <c r="K34">
        <f>IF($B34="","",IF(I34=0,0,J34/I34))</f>
        <v/>
      </c>
    </row>
    <row r="35">
      <c r="A35">
        <f>IF($B35="","",ROW()-5)</f>
        <v/>
      </c>
      <c r="D35">
        <f>IF($B35="","",IF(C35="","",TEXT(C35,"MMM")))</f>
        <v/>
      </c>
      <c r="K35">
        <f>IF($B35="","",IF(I35=0,0,J35/I35))</f>
        <v/>
      </c>
    </row>
    <row r="36">
      <c r="A36">
        <f>IF($B36="","",ROW()-5)</f>
        <v/>
      </c>
      <c r="D36">
        <f>IF($B36="","",IF(C36="","",TEXT(C36,"MMM")))</f>
        <v/>
      </c>
      <c r="K36">
        <f>IF($B36="","",IF(I36=0,0,J36/I36))</f>
        <v/>
      </c>
    </row>
    <row r="37">
      <c r="A37">
        <f>IF($B37="","",ROW()-5)</f>
        <v/>
      </c>
      <c r="D37">
        <f>IF($B37="","",IF(C37="","",TEXT(C37,"MMM")))</f>
        <v/>
      </c>
      <c r="K37">
        <f>IF($B37="","",IF(I37=0,0,J37/I37))</f>
        <v/>
      </c>
    </row>
    <row r="38">
      <c r="A38">
        <f>IF($B38="","",ROW()-5)</f>
        <v/>
      </c>
      <c r="D38">
        <f>IF($B38="","",IF(C38="","",TEXT(C38,"MMM")))</f>
        <v/>
      </c>
      <c r="K38">
        <f>IF($B38="","",IF(I38=0,0,J38/I38))</f>
        <v/>
      </c>
    </row>
    <row r="39">
      <c r="A39">
        <f>IF($B39="","",ROW()-5)</f>
        <v/>
      </c>
      <c r="D39">
        <f>IF($B39="","",IF(C39="","",TEXT(C39,"MMM")))</f>
        <v/>
      </c>
      <c r="K39">
        <f>IF($B39="","",IF(I39=0,0,J39/I39))</f>
        <v/>
      </c>
    </row>
    <row r="40">
      <c r="A40">
        <f>IF($B40="","",ROW()-5)</f>
        <v/>
      </c>
      <c r="D40">
        <f>IF($B40="","",IF(C40="","",TEXT(C40,"MMM")))</f>
        <v/>
      </c>
      <c r="K40">
        <f>IF($B40="","",IF(I40=0,0,J40/I40))</f>
        <v/>
      </c>
    </row>
    <row r="41">
      <c r="A41">
        <f>IF($B41="","",ROW()-5)</f>
        <v/>
      </c>
      <c r="D41">
        <f>IF($B41="","",IF(C41="","",TEXT(C41,"MMM")))</f>
        <v/>
      </c>
      <c r="K41">
        <f>IF($B41="","",IF(I41=0,0,J41/I41))</f>
        <v/>
      </c>
    </row>
    <row r="42">
      <c r="A42">
        <f>IF($B42="","",ROW()-5)</f>
        <v/>
      </c>
      <c r="D42">
        <f>IF($B42="","",IF(C42="","",TEXT(C42,"MMM")))</f>
        <v/>
      </c>
      <c r="K42">
        <f>IF($B42="","",IF(I42=0,0,J42/I42))</f>
        <v/>
      </c>
    </row>
    <row r="43">
      <c r="A43">
        <f>IF($B43="","",ROW()-5)</f>
        <v/>
      </c>
      <c r="D43">
        <f>IF($B43="","",IF(C43="","",TEXT(C43,"MMM")))</f>
        <v/>
      </c>
      <c r="K43">
        <f>IF($B43="","",IF(I43=0,0,J43/I43))</f>
        <v/>
      </c>
    </row>
    <row r="44">
      <c r="A44">
        <f>IF($B44="","",ROW()-5)</f>
        <v/>
      </c>
      <c r="D44">
        <f>IF($B44="","",IF(C44="","",TEXT(C44,"MMM")))</f>
        <v/>
      </c>
      <c r="K44">
        <f>IF($B44="","",IF(I44=0,0,J44/I44))</f>
        <v/>
      </c>
    </row>
    <row r="45">
      <c r="A45">
        <f>IF($B45="","",ROW()-5)</f>
        <v/>
      </c>
      <c r="D45">
        <f>IF($B45="","",IF(C45="","",TEXT(C45,"MMM")))</f>
        <v/>
      </c>
      <c r="K45">
        <f>IF($B45="","",IF(I45=0,0,J45/I45))</f>
        <v/>
      </c>
    </row>
    <row r="46">
      <c r="A46">
        <f>IF($B46="","",ROW()-5)</f>
        <v/>
      </c>
      <c r="D46">
        <f>IF($B46="","",IF(C46="","",TEXT(C46,"MMM")))</f>
        <v/>
      </c>
      <c r="K46">
        <f>IF($B46="","",IF(I46=0,0,J46/I46))</f>
        <v/>
      </c>
    </row>
    <row r="47">
      <c r="A47">
        <f>IF($B47="","",ROW()-5)</f>
        <v/>
      </c>
      <c r="D47">
        <f>IF($B47="","",IF(C47="","",TEXT(C47,"MMM")))</f>
        <v/>
      </c>
      <c r="K47">
        <f>IF($B47="","",IF(I47=0,0,J47/I47))</f>
        <v/>
      </c>
    </row>
    <row r="48">
      <c r="A48">
        <f>IF($B48="","",ROW()-5)</f>
        <v/>
      </c>
      <c r="D48">
        <f>IF($B48="","",IF(C48="","",TEXT(C48,"MMM")))</f>
        <v/>
      </c>
      <c r="K48">
        <f>IF($B48="","",IF(I48=0,0,J48/I48))</f>
        <v/>
      </c>
    </row>
    <row r="49">
      <c r="A49">
        <f>IF($B49="","",ROW()-5)</f>
        <v/>
      </c>
      <c r="D49">
        <f>IF($B49="","",IF(C49="","",TEXT(C49,"MMM")))</f>
        <v/>
      </c>
      <c r="K49">
        <f>IF($B49="","",IF(I49=0,0,J49/I49))</f>
        <v/>
      </c>
    </row>
    <row r="50">
      <c r="A50">
        <f>IF($B50="","",ROW()-5)</f>
        <v/>
      </c>
      <c r="D50">
        <f>IF($B50="","",IF(C50="","",TEXT(C50,"MMM")))</f>
        <v/>
      </c>
      <c r="K50">
        <f>IF($B50="","",IF(I50=0,0,J50/I50))</f>
        <v/>
      </c>
    </row>
    <row r="51">
      <c r="A51">
        <f>IF($B51="","",ROW()-5)</f>
        <v/>
      </c>
      <c r="D51">
        <f>IF($B51="","",IF(C51="","",TEXT(C51,"MMM")))</f>
        <v/>
      </c>
      <c r="K51">
        <f>IF($B51="","",IF(I51=0,0,J51/I51))</f>
        <v/>
      </c>
    </row>
    <row r="52">
      <c r="A52">
        <f>IF($B52="","",ROW()-5)</f>
        <v/>
      </c>
      <c r="D52">
        <f>IF($B52="","",IF(C52="","",TEXT(C52,"MMM")))</f>
        <v/>
      </c>
      <c r="K52">
        <f>IF($B52="","",IF(I52=0,0,J52/I52))</f>
        <v/>
      </c>
    </row>
    <row r="53">
      <c r="A53">
        <f>IF($B53="","",ROW()-5)</f>
        <v/>
      </c>
      <c r="D53">
        <f>IF($B53="","",IF(C53="","",TEXT(C53,"MMM")))</f>
        <v/>
      </c>
      <c r="K53">
        <f>IF($B53="","",IF(I53=0,0,J53/I53))</f>
        <v/>
      </c>
    </row>
    <row r="54">
      <c r="A54">
        <f>IF($B54="","",ROW()-5)</f>
        <v/>
      </c>
      <c r="D54">
        <f>IF($B54="","",IF(C54="","",TEXT(C54,"MMM")))</f>
        <v/>
      </c>
      <c r="K54">
        <f>IF($B54="","",IF(I54=0,0,J54/I54))</f>
        <v/>
      </c>
    </row>
    <row r="55">
      <c r="A55">
        <f>IF($B55="","",ROW()-5)</f>
        <v/>
      </c>
      <c r="D55">
        <f>IF($B55="","",IF(C55="","",TEXT(C55,"MMM")))</f>
        <v/>
      </c>
      <c r="K55">
        <f>IF($B55="","",IF(I55=0,0,J55/I55))</f>
        <v/>
      </c>
    </row>
    <row r="56">
      <c r="A56">
        <f>IF($B56="","",ROW()-5)</f>
        <v/>
      </c>
      <c r="D56">
        <f>IF($B56="","",IF(C56="","",TEXT(C56,"MMM")))</f>
        <v/>
      </c>
      <c r="K56">
        <f>IF($B56="","",IF(I56=0,0,J56/I56))</f>
        <v/>
      </c>
    </row>
    <row r="57">
      <c r="A57">
        <f>IF($B57="","",ROW()-5)</f>
        <v/>
      </c>
      <c r="D57">
        <f>IF($B57="","",IF(C57="","",TEXT(C57,"MMM")))</f>
        <v/>
      </c>
      <c r="K57">
        <f>IF($B57="","",IF(I57=0,0,J57/I57))</f>
        <v/>
      </c>
    </row>
    <row r="58">
      <c r="A58">
        <f>IF($B58="","",ROW()-5)</f>
        <v/>
      </c>
      <c r="D58">
        <f>IF($B58="","",IF(C58="","",TEXT(C58,"MMM")))</f>
        <v/>
      </c>
      <c r="K58">
        <f>IF($B58="","",IF(I58=0,0,J58/I58))</f>
        <v/>
      </c>
    </row>
    <row r="59">
      <c r="A59">
        <f>IF($B59="","",ROW()-5)</f>
        <v/>
      </c>
      <c r="D59">
        <f>IF($B59="","",IF(C59="","",TEXT(C59,"MMM")))</f>
        <v/>
      </c>
      <c r="K59">
        <f>IF($B59="","",IF(I59=0,0,J59/I59))</f>
        <v/>
      </c>
    </row>
    <row r="60">
      <c r="A60">
        <f>IF($B60="","",ROW()-5)</f>
        <v/>
      </c>
      <c r="D60">
        <f>IF($B60="","",IF(C60="","",TEXT(C60,"MMM")))</f>
        <v/>
      </c>
      <c r="K60">
        <f>IF($B60="","",IF(I60=0,0,J60/I60))</f>
        <v/>
      </c>
    </row>
    <row r="61">
      <c r="A61">
        <f>IF($B61="","",ROW()-5)</f>
        <v/>
      </c>
      <c r="D61">
        <f>IF($B61="","",IF(C61="","",TEXT(C61,"MMM")))</f>
        <v/>
      </c>
      <c r="K61">
        <f>IF($B61="","",IF(I61=0,0,J61/I61))</f>
        <v/>
      </c>
    </row>
    <row r="62">
      <c r="A62">
        <f>IF($B62="","",ROW()-5)</f>
        <v/>
      </c>
      <c r="D62">
        <f>IF($B62="","",IF(C62="","",TEXT(C62,"MMM")))</f>
        <v/>
      </c>
      <c r="K62">
        <f>IF($B62="","",IF(I62=0,0,J62/I62))</f>
        <v/>
      </c>
    </row>
    <row r="63">
      <c r="A63">
        <f>IF($B63="","",ROW()-5)</f>
        <v/>
      </c>
      <c r="D63">
        <f>IF($B63="","",IF(C63="","",TEXT(C63,"MMM")))</f>
        <v/>
      </c>
      <c r="K63">
        <f>IF($B63="","",IF(I63=0,0,J63/I63))</f>
        <v/>
      </c>
    </row>
    <row r="64">
      <c r="A64">
        <f>IF($B64="","",ROW()-5)</f>
        <v/>
      </c>
      <c r="D64">
        <f>IF($B64="","",IF(C64="","",TEXT(C64,"MMM")))</f>
        <v/>
      </c>
      <c r="K64">
        <f>IF($B64="","",IF(I64=0,0,J64/I64))</f>
        <v/>
      </c>
    </row>
    <row r="65">
      <c r="A65">
        <f>IF($B65="","",ROW()-5)</f>
        <v/>
      </c>
      <c r="D65">
        <f>IF($B65="","",IF(C65="","",TEXT(C65,"MMM")))</f>
        <v/>
      </c>
      <c r="K65">
        <f>IF($B65="","",IF(I65=0,0,J65/I65))</f>
        <v/>
      </c>
    </row>
    <row r="66">
      <c r="A66">
        <f>IF($B66="","",ROW()-5)</f>
        <v/>
      </c>
      <c r="D66">
        <f>IF($B66="","",IF(C66="","",TEXT(C66,"MMM")))</f>
        <v/>
      </c>
      <c r="K66">
        <f>IF($B66="","",IF(I66=0,0,J66/I66))</f>
        <v/>
      </c>
    </row>
    <row r="67">
      <c r="A67">
        <f>IF($B67="","",ROW()-5)</f>
        <v/>
      </c>
      <c r="D67">
        <f>IF($B67="","",IF(C67="","",TEXT(C67,"MMM")))</f>
        <v/>
      </c>
      <c r="K67">
        <f>IF($B67="","",IF(I67=0,0,J67/I67))</f>
        <v/>
      </c>
    </row>
    <row r="68">
      <c r="A68">
        <f>IF($B68="","",ROW()-5)</f>
        <v/>
      </c>
      <c r="D68">
        <f>IF($B68="","",IF(C68="","",TEXT(C68,"MMM")))</f>
        <v/>
      </c>
      <c r="K68">
        <f>IF($B68="","",IF(I68=0,0,J68/I68))</f>
        <v/>
      </c>
    </row>
    <row r="69">
      <c r="A69">
        <f>IF($B69="","",ROW()-5)</f>
        <v/>
      </c>
      <c r="D69">
        <f>IF($B69="","",IF(C69="","",TEXT(C69,"MMM")))</f>
        <v/>
      </c>
      <c r="K69">
        <f>IF($B69="","",IF(I69=0,0,J69/I69))</f>
        <v/>
      </c>
    </row>
    <row r="70">
      <c r="A70">
        <f>IF($B70="","",ROW()-5)</f>
        <v/>
      </c>
      <c r="D70">
        <f>IF($B70="","",IF(C70="","",TEXT(C70,"MMM")))</f>
        <v/>
      </c>
      <c r="K70">
        <f>IF($B70="","",IF(I70=0,0,J70/I70))</f>
        <v/>
      </c>
    </row>
    <row r="71">
      <c r="A71">
        <f>IF($B71="","",ROW()-5)</f>
        <v/>
      </c>
      <c r="D71">
        <f>IF($B71="","",IF(C71="","",TEXT(C71,"MMM")))</f>
        <v/>
      </c>
      <c r="K71">
        <f>IF($B71="","",IF(I71=0,0,J71/I71))</f>
        <v/>
      </c>
    </row>
    <row r="72">
      <c r="A72">
        <f>IF($B72="","",ROW()-5)</f>
        <v/>
      </c>
      <c r="D72">
        <f>IF($B72="","",IF(C72="","",TEXT(C72,"MMM")))</f>
        <v/>
      </c>
      <c r="K72">
        <f>IF($B72="","",IF(I72=0,0,J72/I72))</f>
        <v/>
      </c>
    </row>
    <row r="73">
      <c r="A73">
        <f>IF($B73="","",ROW()-5)</f>
        <v/>
      </c>
      <c r="D73">
        <f>IF($B73="","",IF(C73="","",TEXT(C73,"MMM")))</f>
        <v/>
      </c>
      <c r="K73">
        <f>IF($B73="","",IF(I73=0,0,J73/I73))</f>
        <v/>
      </c>
    </row>
    <row r="74">
      <c r="A74">
        <f>IF($B74="","",ROW()-5)</f>
        <v/>
      </c>
      <c r="D74">
        <f>IF($B74="","",IF(C74="","",TEXT(C74,"MMM")))</f>
        <v/>
      </c>
      <c r="K74">
        <f>IF($B74="","",IF(I74=0,0,J74/I74))</f>
        <v/>
      </c>
    </row>
    <row r="75">
      <c r="A75">
        <f>IF($B75="","",ROW()-5)</f>
        <v/>
      </c>
      <c r="D75">
        <f>IF($B75="","",IF(C75="","",TEXT(C75,"MMM")))</f>
        <v/>
      </c>
      <c r="K75">
        <f>IF($B75="","",IF(I75=0,0,J75/I75))</f>
        <v/>
      </c>
    </row>
    <row r="76">
      <c r="A76">
        <f>IF($B76="","",ROW()-5)</f>
        <v/>
      </c>
      <c r="D76">
        <f>IF($B76="","",IF(C76="","",TEXT(C76,"MMM")))</f>
        <v/>
      </c>
      <c r="K76">
        <f>IF($B76="","",IF(I76=0,0,J76/I76))</f>
        <v/>
      </c>
    </row>
    <row r="77">
      <c r="A77">
        <f>IF($B77="","",ROW()-5)</f>
        <v/>
      </c>
      <c r="D77">
        <f>IF($B77="","",IF(C77="","",TEXT(C77,"MMM")))</f>
        <v/>
      </c>
      <c r="K77">
        <f>IF($B77="","",IF(I77=0,0,J77/I77))</f>
        <v/>
      </c>
    </row>
    <row r="78">
      <c r="A78">
        <f>IF($B78="","",ROW()-5)</f>
        <v/>
      </c>
      <c r="D78">
        <f>IF($B78="","",IF(C78="","",TEXT(C78,"MMM")))</f>
        <v/>
      </c>
      <c r="K78">
        <f>IF($B78="","",IF(I78=0,0,J78/I78))</f>
        <v/>
      </c>
    </row>
    <row r="79">
      <c r="A79">
        <f>IF($B79="","",ROW()-5)</f>
        <v/>
      </c>
      <c r="D79">
        <f>IF($B79="","",IF(C79="","",TEXT(C79,"MMM")))</f>
        <v/>
      </c>
      <c r="K79">
        <f>IF($B79="","",IF(I79=0,0,J79/I79))</f>
        <v/>
      </c>
    </row>
    <row r="80">
      <c r="A80">
        <f>IF($B80="","",ROW()-5)</f>
        <v/>
      </c>
      <c r="D80">
        <f>IF($B80="","",IF(C80="","",TEXT(C80,"MMM")))</f>
        <v/>
      </c>
      <c r="K80">
        <f>IF($B80="","",IF(I80=0,0,J80/I80))</f>
        <v/>
      </c>
    </row>
    <row r="81">
      <c r="A81">
        <f>IF($B81="","",ROW()-5)</f>
        <v/>
      </c>
      <c r="D81">
        <f>IF($B81="","",IF(C81="","",TEXT(C81,"MMM")))</f>
        <v/>
      </c>
      <c r="K81">
        <f>IF($B81="","",IF(I81=0,0,J81/I81))</f>
        <v/>
      </c>
    </row>
    <row r="82">
      <c r="A82">
        <f>IF($B82="","",ROW()-5)</f>
        <v/>
      </c>
      <c r="D82">
        <f>IF($B82="","",IF(C82="","",TEXT(C82,"MMM")))</f>
        <v/>
      </c>
      <c r="K82">
        <f>IF($B82="","",IF(I82=0,0,J82/I82))</f>
        <v/>
      </c>
    </row>
    <row r="83">
      <c r="A83">
        <f>IF($B83="","",ROW()-5)</f>
        <v/>
      </c>
      <c r="D83">
        <f>IF($B83="","",IF(C83="","",TEXT(C83,"MMM")))</f>
        <v/>
      </c>
      <c r="K83">
        <f>IF($B83="","",IF(I83=0,0,J83/I83))</f>
        <v/>
      </c>
    </row>
    <row r="84">
      <c r="A84">
        <f>IF($B84="","",ROW()-5)</f>
        <v/>
      </c>
      <c r="D84">
        <f>IF($B84="","",IF(C84="","",TEXT(C84,"MMM")))</f>
        <v/>
      </c>
      <c r="K84">
        <f>IF($B84="","",IF(I84=0,0,J84/I84))</f>
        <v/>
      </c>
    </row>
    <row r="85">
      <c r="A85">
        <f>IF($B85="","",ROW()-5)</f>
        <v/>
      </c>
      <c r="D85">
        <f>IF($B85="","",IF(C85="","",TEXT(C85,"MMM")))</f>
        <v/>
      </c>
      <c r="K85">
        <f>IF($B85="","",IF(I85=0,0,J85/I85))</f>
        <v/>
      </c>
    </row>
    <row r="86">
      <c r="A86">
        <f>IF($B86="","",ROW()-5)</f>
        <v/>
      </c>
      <c r="D86">
        <f>IF($B86="","",IF(C86="","",TEXT(C86,"MMM")))</f>
        <v/>
      </c>
      <c r="K86">
        <f>IF($B86="","",IF(I86=0,0,J86/I86))</f>
        <v/>
      </c>
    </row>
    <row r="87">
      <c r="A87">
        <f>IF($B87="","",ROW()-5)</f>
        <v/>
      </c>
      <c r="D87">
        <f>IF($B87="","",IF(C87="","",TEXT(C87,"MMM")))</f>
        <v/>
      </c>
      <c r="K87">
        <f>IF($B87="","",IF(I87=0,0,J87/I87))</f>
        <v/>
      </c>
    </row>
    <row r="88">
      <c r="A88">
        <f>IF($B88="","",ROW()-5)</f>
        <v/>
      </c>
      <c r="D88">
        <f>IF($B88="","",IF(C88="","",TEXT(C88,"MMM")))</f>
        <v/>
      </c>
      <c r="K88">
        <f>IF($B88="","",IF(I88=0,0,J88/I88))</f>
        <v/>
      </c>
    </row>
    <row r="89">
      <c r="A89">
        <f>IF($B89="","",ROW()-5)</f>
        <v/>
      </c>
      <c r="D89">
        <f>IF($B89="","",IF(C89="","",TEXT(C89,"MMM")))</f>
        <v/>
      </c>
      <c r="K89">
        <f>IF($B89="","",IF(I89=0,0,J89/I89))</f>
        <v/>
      </c>
    </row>
    <row r="90">
      <c r="A90">
        <f>IF($B90="","",ROW()-5)</f>
        <v/>
      </c>
      <c r="D90">
        <f>IF($B90="","",IF(C90="","",TEXT(C90,"MMM")))</f>
        <v/>
      </c>
      <c r="K90">
        <f>IF($B90="","",IF(I90=0,0,J90/I90))</f>
        <v/>
      </c>
    </row>
    <row r="91">
      <c r="A91">
        <f>IF($B91="","",ROW()-5)</f>
        <v/>
      </c>
      <c r="D91">
        <f>IF($B91="","",IF(C91="","",TEXT(C91,"MMM")))</f>
        <v/>
      </c>
      <c r="K91">
        <f>IF($B91="","",IF(I91=0,0,J91/I91))</f>
        <v/>
      </c>
    </row>
    <row r="92">
      <c r="A92">
        <f>IF($B92="","",ROW()-5)</f>
        <v/>
      </c>
      <c r="D92">
        <f>IF($B92="","",IF(C92="","",TEXT(C92,"MMM")))</f>
        <v/>
      </c>
      <c r="K92">
        <f>IF($B92="","",IF(I92=0,0,J92/I92))</f>
        <v/>
      </c>
    </row>
    <row r="93">
      <c r="A93">
        <f>IF($B93="","",ROW()-5)</f>
        <v/>
      </c>
      <c r="D93">
        <f>IF($B93="","",IF(C93="","",TEXT(C93,"MMM")))</f>
        <v/>
      </c>
      <c r="K93">
        <f>IF($B93="","",IF(I93=0,0,J93/I93))</f>
        <v/>
      </c>
    </row>
    <row r="94">
      <c r="A94">
        <f>IF($B94="","",ROW()-5)</f>
        <v/>
      </c>
      <c r="D94">
        <f>IF($B94="","",IF(C94="","",TEXT(C94,"MMM")))</f>
        <v/>
      </c>
      <c r="K94">
        <f>IF($B94="","",IF(I94=0,0,J94/I94))</f>
        <v/>
      </c>
    </row>
    <row r="95">
      <c r="A95">
        <f>IF($B95="","",ROW()-5)</f>
        <v/>
      </c>
      <c r="D95">
        <f>IF($B95="","",IF(C95="","",TEXT(C95,"MMM")))</f>
        <v/>
      </c>
      <c r="K95">
        <f>IF($B95="","",IF(I95=0,0,J95/I95))</f>
        <v/>
      </c>
    </row>
    <row r="96">
      <c r="A96">
        <f>IF($B96="","",ROW()-5)</f>
        <v/>
      </c>
      <c r="D96">
        <f>IF($B96="","",IF(C96="","",TEXT(C96,"MMM")))</f>
        <v/>
      </c>
      <c r="K96">
        <f>IF($B96="","",IF(I96=0,0,J96/I96))</f>
        <v/>
      </c>
    </row>
    <row r="97">
      <c r="A97">
        <f>IF($B97="","",ROW()-5)</f>
        <v/>
      </c>
      <c r="D97">
        <f>IF($B97="","",IF(C97="","",TEXT(C97,"MMM")))</f>
        <v/>
      </c>
      <c r="K97">
        <f>IF($B97="","",IF(I97=0,0,J97/I97))</f>
        <v/>
      </c>
    </row>
    <row r="98">
      <c r="A98">
        <f>IF($B98="","",ROW()-5)</f>
        <v/>
      </c>
      <c r="D98">
        <f>IF($B98="","",IF(C98="","",TEXT(C98,"MMM")))</f>
        <v/>
      </c>
      <c r="K98">
        <f>IF($B98="","",IF(I98=0,0,J98/I98))</f>
        <v/>
      </c>
    </row>
    <row r="99">
      <c r="A99">
        <f>IF($B99="","",ROW()-5)</f>
        <v/>
      </c>
      <c r="D99">
        <f>IF($B99="","",IF(C99="","",TEXT(C99,"MMM")))</f>
        <v/>
      </c>
      <c r="K99">
        <f>IF($B99="","",IF(I99=0,0,J99/I99))</f>
        <v/>
      </c>
    </row>
    <row r="100">
      <c r="A100">
        <f>IF($B100="","",ROW()-5)</f>
        <v/>
      </c>
      <c r="D100">
        <f>IF($B100="","",IF(C100="","",TEXT(C100,"MMM")))</f>
        <v/>
      </c>
      <c r="K100">
        <f>IF($B100="","",IF(I100=0,0,J100/I100))</f>
        <v/>
      </c>
    </row>
    <row r="101">
      <c r="A101">
        <f>IF($B101="","",ROW()-5)</f>
        <v/>
      </c>
      <c r="D101">
        <f>IF($B101="","",IF(C101="","",TEXT(C101,"MMM")))</f>
        <v/>
      </c>
      <c r="K101">
        <f>IF($B101="","",IF(I101=0,0,J101/I101))</f>
        <v/>
      </c>
    </row>
    <row r="102">
      <c r="A102">
        <f>IF($B102="","",ROW()-5)</f>
        <v/>
      </c>
      <c r="D102">
        <f>IF($B102="","",IF(C102="","",TEXT(C102,"MMM")))</f>
        <v/>
      </c>
      <c r="K102">
        <f>IF($B102="","",IF(I102=0,0,J102/I102))</f>
        <v/>
      </c>
    </row>
    <row r="103">
      <c r="A103">
        <f>IF($B103="","",ROW()-5)</f>
        <v/>
      </c>
      <c r="D103">
        <f>IF($B103="","",IF(C103="","",TEXT(C103,"MMM")))</f>
        <v/>
      </c>
      <c r="K103">
        <f>IF($B103="","",IF(I103=0,0,J103/I103))</f>
        <v/>
      </c>
    </row>
    <row r="104">
      <c r="A104">
        <f>IF($B104="","",ROW()-5)</f>
        <v/>
      </c>
      <c r="D104">
        <f>IF($B104="","",IF(C104="","",TEXT(C104,"MMM")))</f>
        <v/>
      </c>
      <c r="K104">
        <f>IF($B104="","",IF(I104=0,0,J104/I104))</f>
        <v/>
      </c>
    </row>
    <row r="105">
      <c r="A105">
        <f>IF($B105="","",ROW()-5)</f>
        <v/>
      </c>
      <c r="D105">
        <f>IF($B105="","",IF(C105="","",TEXT(C105,"MMM")))</f>
        <v/>
      </c>
      <c r="K105">
        <f>IF($B105="","",IF(I105=0,0,J105/I105))</f>
        <v/>
      </c>
    </row>
    <row r="106">
      <c r="A106">
        <f>IF($B106="","",ROW()-5)</f>
        <v/>
      </c>
      <c r="D106">
        <f>IF($B106="","",IF(C106="","",TEXT(C106,"MMM")))</f>
        <v/>
      </c>
      <c r="K106">
        <f>IF($B106="","",IF(I106=0,0,J106/I106))</f>
        <v/>
      </c>
    </row>
    <row r="107">
      <c r="A107">
        <f>IF($B107="","",ROW()-5)</f>
        <v/>
      </c>
      <c r="D107">
        <f>IF($B107="","",IF(C107="","",TEXT(C107,"MMM")))</f>
        <v/>
      </c>
      <c r="K107">
        <f>IF($B107="","",IF(I107=0,0,J107/I107))</f>
        <v/>
      </c>
    </row>
    <row r="108">
      <c r="A108">
        <f>IF($B108="","",ROW()-5)</f>
        <v/>
      </c>
      <c r="D108">
        <f>IF($B108="","",IF(C108="","",TEXT(C108,"MMM")))</f>
        <v/>
      </c>
      <c r="K108">
        <f>IF($B108="","",IF(I108=0,0,J108/I108))</f>
        <v/>
      </c>
    </row>
    <row r="109">
      <c r="A109">
        <f>IF($B109="","",ROW()-5)</f>
        <v/>
      </c>
      <c r="D109">
        <f>IF($B109="","",IF(C109="","",TEXT(C109,"MMM")))</f>
        <v/>
      </c>
      <c r="K109">
        <f>IF($B109="","",IF(I109=0,0,J109/I109))</f>
        <v/>
      </c>
    </row>
    <row r="110">
      <c r="A110">
        <f>IF($B110="","",ROW()-5)</f>
        <v/>
      </c>
      <c r="D110">
        <f>IF($B110="","",IF(C110="","",TEXT(C110,"MMM")))</f>
        <v/>
      </c>
      <c r="K110">
        <f>IF($B110="","",IF(I110=0,0,J110/I110))</f>
        <v/>
      </c>
    </row>
    <row r="111">
      <c r="A111">
        <f>IF($B111="","",ROW()-5)</f>
        <v/>
      </c>
      <c r="D111">
        <f>IF($B111="","",IF(C111="","",TEXT(C111,"MMM")))</f>
        <v/>
      </c>
      <c r="K111">
        <f>IF($B111="","",IF(I111=0,0,J111/I111))</f>
        <v/>
      </c>
    </row>
    <row r="112">
      <c r="A112">
        <f>IF($B112="","",ROW()-5)</f>
        <v/>
      </c>
      <c r="D112">
        <f>IF($B112="","",IF(C112="","",TEXT(C112,"MMM")))</f>
        <v/>
      </c>
      <c r="K112">
        <f>IF($B112="","",IF(I112=0,0,J112/I112))</f>
        <v/>
      </c>
    </row>
    <row r="113">
      <c r="A113">
        <f>IF($B113="","",ROW()-5)</f>
        <v/>
      </c>
      <c r="D113">
        <f>IF($B113="","",IF(C113="","",TEXT(C113,"MMM")))</f>
        <v/>
      </c>
      <c r="K113">
        <f>IF($B113="","",IF(I113=0,0,J113/I113))</f>
        <v/>
      </c>
    </row>
    <row r="114">
      <c r="A114">
        <f>IF($B114="","",ROW()-5)</f>
        <v/>
      </c>
      <c r="D114">
        <f>IF($B114="","",IF(C114="","",TEXT(C114,"MMM")))</f>
        <v/>
      </c>
      <c r="K114">
        <f>IF($B114="","",IF(I114=0,0,J114/I114))</f>
        <v/>
      </c>
    </row>
    <row r="115">
      <c r="A115">
        <f>IF($B115="","",ROW()-5)</f>
        <v/>
      </c>
      <c r="D115">
        <f>IF($B115="","",IF(C115="","",TEXT(C115,"MMM")))</f>
        <v/>
      </c>
      <c r="K115">
        <f>IF($B115="","",IF(I115=0,0,J115/I115))</f>
        <v/>
      </c>
    </row>
    <row r="116">
      <c r="A116">
        <f>IF($B116="","",ROW()-5)</f>
        <v/>
      </c>
      <c r="D116">
        <f>IF($B116="","",IF(C116="","",TEXT(C116,"MMM")))</f>
        <v/>
      </c>
      <c r="K116">
        <f>IF($B116="","",IF(I116=0,0,J116/I116))</f>
        <v/>
      </c>
    </row>
    <row r="117">
      <c r="A117">
        <f>IF($B117="","",ROW()-5)</f>
        <v/>
      </c>
      <c r="D117">
        <f>IF($B117="","",IF(C117="","",TEXT(C117,"MMM")))</f>
        <v/>
      </c>
      <c r="K117">
        <f>IF($B117="","",IF(I117=0,0,J117/I117))</f>
        <v/>
      </c>
    </row>
    <row r="118">
      <c r="A118">
        <f>IF($B118="","",ROW()-5)</f>
        <v/>
      </c>
      <c r="D118">
        <f>IF($B118="","",IF(C118="","",TEXT(C118,"MMM")))</f>
        <v/>
      </c>
      <c r="K118">
        <f>IF($B118="","",IF(I118=0,0,J118/I118))</f>
        <v/>
      </c>
    </row>
    <row r="119">
      <c r="A119">
        <f>IF($B119="","",ROW()-5)</f>
        <v/>
      </c>
      <c r="D119">
        <f>IF($B119="","",IF(C119="","",TEXT(C119,"MMM")))</f>
        <v/>
      </c>
      <c r="K119">
        <f>IF($B119="","",IF(I119=0,0,J119/I119))</f>
        <v/>
      </c>
    </row>
    <row r="120">
      <c r="A120">
        <f>IF($B120="","",ROW()-5)</f>
        <v/>
      </c>
      <c r="D120">
        <f>IF($B120="","",IF(C120="","",TEXT(C120,"MMM")))</f>
        <v/>
      </c>
      <c r="K120">
        <f>IF($B120="","",IF(I120=0,0,J120/I120))</f>
        <v/>
      </c>
    </row>
    <row r="121">
      <c r="A121">
        <f>IF($B121="","",ROW()-5)</f>
        <v/>
      </c>
      <c r="D121">
        <f>IF($B121="","",IF(C121="","",TEXT(C121,"MMM")))</f>
        <v/>
      </c>
      <c r="K121">
        <f>IF($B121="","",IF(I121=0,0,J121/I121))</f>
        <v/>
      </c>
    </row>
    <row r="122">
      <c r="A122">
        <f>IF($B122="","",ROW()-5)</f>
        <v/>
      </c>
      <c r="D122">
        <f>IF($B122="","",IF(C122="","",TEXT(C122,"MMM")))</f>
        <v/>
      </c>
      <c r="K122">
        <f>IF($B122="","",IF(I122=0,0,J122/I122))</f>
        <v/>
      </c>
    </row>
    <row r="123">
      <c r="A123">
        <f>IF($B123="","",ROW()-5)</f>
        <v/>
      </c>
      <c r="D123">
        <f>IF($B123="","",IF(C123="","",TEXT(C123,"MMM")))</f>
        <v/>
      </c>
      <c r="K123">
        <f>IF($B123="","",IF(I123=0,0,J123/I123))</f>
        <v/>
      </c>
    </row>
    <row r="124">
      <c r="A124">
        <f>IF($B124="","",ROW()-5)</f>
        <v/>
      </c>
      <c r="D124">
        <f>IF($B124="","",IF(C124="","",TEXT(C124,"MMM")))</f>
        <v/>
      </c>
      <c r="K124">
        <f>IF($B124="","",IF(I124=0,0,J124/I124))</f>
        <v/>
      </c>
    </row>
    <row r="125">
      <c r="A125">
        <f>IF($B125="","",ROW()-5)</f>
        <v/>
      </c>
      <c r="D125">
        <f>IF($B125="","",IF(C125="","",TEXT(C125,"MMM")))</f>
        <v/>
      </c>
      <c r="K125">
        <f>IF($B125="","",IF(I125=0,0,J125/I125))</f>
        <v/>
      </c>
    </row>
    <row r="126">
      <c r="A126">
        <f>IF($B126="","",ROW()-5)</f>
        <v/>
      </c>
      <c r="D126">
        <f>IF($B126="","",IF(C126="","",TEXT(C126,"MMM")))</f>
        <v/>
      </c>
      <c r="K126">
        <f>IF($B126="","",IF(I126=0,0,J126/I126))</f>
        <v/>
      </c>
    </row>
    <row r="127">
      <c r="A127">
        <f>IF($B127="","",ROW()-5)</f>
        <v/>
      </c>
      <c r="D127">
        <f>IF($B127="","",IF(C127="","",TEXT(C127,"MMM")))</f>
        <v/>
      </c>
      <c r="K127">
        <f>IF($B127="","",IF(I127=0,0,J127/I127))</f>
        <v/>
      </c>
    </row>
    <row r="128">
      <c r="A128">
        <f>IF($B128="","",ROW()-5)</f>
        <v/>
      </c>
      <c r="D128">
        <f>IF($B128="","",IF(C128="","",TEXT(C128,"MMM")))</f>
        <v/>
      </c>
      <c r="K128">
        <f>IF($B128="","",IF(I128=0,0,J128/I128))</f>
        <v/>
      </c>
    </row>
    <row r="129">
      <c r="A129">
        <f>IF($B129="","",ROW()-5)</f>
        <v/>
      </c>
      <c r="D129">
        <f>IF($B129="","",IF(C129="","",TEXT(C129,"MMM")))</f>
        <v/>
      </c>
      <c r="K129">
        <f>IF($B129="","",IF(I129=0,0,J129/I129))</f>
        <v/>
      </c>
    </row>
    <row r="130">
      <c r="A130">
        <f>IF($B130="","",ROW()-5)</f>
        <v/>
      </c>
      <c r="D130">
        <f>IF($B130="","",IF(C130="","",TEXT(C130,"MMM")))</f>
        <v/>
      </c>
      <c r="K130">
        <f>IF($B130="","",IF(I130=0,0,J130/I130))</f>
        <v/>
      </c>
    </row>
    <row r="131">
      <c r="A131">
        <f>IF($B131="","",ROW()-5)</f>
        <v/>
      </c>
      <c r="D131">
        <f>IF($B131="","",IF(C131="","",TEXT(C131,"MMM")))</f>
        <v/>
      </c>
      <c r="K131">
        <f>IF($B131="","",IF(I131=0,0,J131/I131))</f>
        <v/>
      </c>
    </row>
    <row r="132">
      <c r="A132">
        <f>IF($B132="","",ROW()-5)</f>
        <v/>
      </c>
      <c r="D132">
        <f>IF($B132="","",IF(C132="","",TEXT(C132,"MMM")))</f>
        <v/>
      </c>
      <c r="K132">
        <f>IF($B132="","",IF(I132=0,0,J132/I132))</f>
        <v/>
      </c>
    </row>
    <row r="133">
      <c r="A133">
        <f>IF($B133="","",ROW()-5)</f>
        <v/>
      </c>
      <c r="D133">
        <f>IF($B133="","",IF(C133="","",TEXT(C133,"MMM")))</f>
        <v/>
      </c>
      <c r="K133">
        <f>IF($B133="","",IF(I133=0,0,J133/I133))</f>
        <v/>
      </c>
    </row>
    <row r="134">
      <c r="A134">
        <f>IF($B134="","",ROW()-5)</f>
        <v/>
      </c>
      <c r="D134">
        <f>IF($B134="","",IF(C134="","",TEXT(C134,"MMM")))</f>
        <v/>
      </c>
      <c r="K134">
        <f>IF($B134="","",IF(I134=0,0,J134/I134))</f>
        <v/>
      </c>
    </row>
    <row r="135">
      <c r="A135">
        <f>IF($B135="","",ROW()-5)</f>
        <v/>
      </c>
      <c r="D135">
        <f>IF($B135="","",IF(C135="","",TEXT(C135,"MMM")))</f>
        <v/>
      </c>
      <c r="K135">
        <f>IF($B135="","",IF(I135=0,0,J135/I135))</f>
        <v/>
      </c>
    </row>
    <row r="136">
      <c r="A136">
        <f>IF($B136="","",ROW()-5)</f>
        <v/>
      </c>
      <c r="D136">
        <f>IF($B136="","",IF(C136="","",TEXT(C136,"MMM")))</f>
        <v/>
      </c>
      <c r="K136">
        <f>IF($B136="","",IF(I136=0,0,J136/I136))</f>
        <v/>
      </c>
    </row>
    <row r="137">
      <c r="A137">
        <f>IF($B137="","",ROW()-5)</f>
        <v/>
      </c>
      <c r="D137">
        <f>IF($B137="","",IF(C137="","",TEXT(C137,"MMM")))</f>
        <v/>
      </c>
      <c r="K137">
        <f>IF($B137="","",IF(I137=0,0,J137/I137))</f>
        <v/>
      </c>
    </row>
    <row r="138">
      <c r="A138">
        <f>IF($B138="","",ROW()-5)</f>
        <v/>
      </c>
      <c r="D138">
        <f>IF($B138="","",IF(C138="","",TEXT(C138,"MMM")))</f>
        <v/>
      </c>
      <c r="K138">
        <f>IF($B138="","",IF(I138=0,0,J138/I138))</f>
        <v/>
      </c>
    </row>
    <row r="139">
      <c r="A139">
        <f>IF($B139="","",ROW()-5)</f>
        <v/>
      </c>
      <c r="D139">
        <f>IF($B139="","",IF(C139="","",TEXT(C139,"MMM")))</f>
        <v/>
      </c>
      <c r="K139">
        <f>IF($B139="","",IF(I139=0,0,J139/I139))</f>
        <v/>
      </c>
    </row>
    <row r="140">
      <c r="A140">
        <f>IF($B140="","",ROW()-5)</f>
        <v/>
      </c>
      <c r="D140">
        <f>IF($B140="","",IF(C140="","",TEXT(C140,"MMM")))</f>
        <v/>
      </c>
      <c r="K140">
        <f>IF($B140="","",IF(I140=0,0,J140/I140))</f>
        <v/>
      </c>
    </row>
    <row r="141">
      <c r="A141">
        <f>IF($B141="","",ROW()-5)</f>
        <v/>
      </c>
      <c r="D141">
        <f>IF($B141="","",IF(C141="","",TEXT(C141,"MMM")))</f>
        <v/>
      </c>
      <c r="K141">
        <f>IF($B141="","",IF(I141=0,0,J141/I141))</f>
        <v/>
      </c>
    </row>
    <row r="142">
      <c r="A142">
        <f>IF($B142="","",ROW()-5)</f>
        <v/>
      </c>
      <c r="D142">
        <f>IF($B142="","",IF(C142="","",TEXT(C142,"MMM")))</f>
        <v/>
      </c>
      <c r="K142">
        <f>IF($B142="","",IF(I142=0,0,J142/I142))</f>
        <v/>
      </c>
    </row>
    <row r="143">
      <c r="A143">
        <f>IF($B143="","",ROW()-5)</f>
        <v/>
      </c>
      <c r="D143">
        <f>IF($B143="","",IF(C143="","",TEXT(C143,"MMM")))</f>
        <v/>
      </c>
      <c r="K143">
        <f>IF($B143="","",IF(I143=0,0,J143/I143))</f>
        <v/>
      </c>
    </row>
    <row r="144">
      <c r="A144">
        <f>IF($B144="","",ROW()-5)</f>
        <v/>
      </c>
      <c r="D144">
        <f>IF($B144="","",IF(C144="","",TEXT(C144,"MMM")))</f>
        <v/>
      </c>
      <c r="K144">
        <f>IF($B144="","",IF(I144=0,0,J144/I144))</f>
        <v/>
      </c>
    </row>
    <row r="145">
      <c r="A145">
        <f>IF($B145="","",ROW()-5)</f>
        <v/>
      </c>
      <c r="D145">
        <f>IF($B145="","",IF(C145="","",TEXT(C145,"MMM")))</f>
        <v/>
      </c>
      <c r="K145">
        <f>IF($B145="","",IF(I145=0,0,J145/I145))</f>
        <v/>
      </c>
    </row>
    <row r="146">
      <c r="A146">
        <f>IF($B146="","",ROW()-5)</f>
        <v/>
      </c>
      <c r="D146">
        <f>IF($B146="","",IF(C146="","",TEXT(C146,"MMM")))</f>
        <v/>
      </c>
      <c r="K146">
        <f>IF($B146="","",IF(I146=0,0,J146/I146))</f>
        <v/>
      </c>
    </row>
    <row r="147">
      <c r="A147">
        <f>IF($B147="","",ROW()-5)</f>
        <v/>
      </c>
      <c r="D147">
        <f>IF($B147="","",IF(C147="","",TEXT(C147,"MMM")))</f>
        <v/>
      </c>
      <c r="K147">
        <f>IF($B147="","",IF(I147=0,0,J147/I147))</f>
        <v/>
      </c>
    </row>
    <row r="148">
      <c r="A148">
        <f>IF($B148="","",ROW()-5)</f>
        <v/>
      </c>
      <c r="D148">
        <f>IF($B148="","",IF(C148="","",TEXT(C148,"MMM")))</f>
        <v/>
      </c>
      <c r="K148">
        <f>IF($B148="","",IF(I148=0,0,J148/I148))</f>
        <v/>
      </c>
    </row>
    <row r="149">
      <c r="A149">
        <f>IF($B149="","",ROW()-5)</f>
        <v/>
      </c>
      <c r="D149">
        <f>IF($B149="","",IF(C149="","",TEXT(C149,"MMM")))</f>
        <v/>
      </c>
      <c r="K149">
        <f>IF($B149="","",IF(I149=0,0,J149/I149))</f>
        <v/>
      </c>
    </row>
    <row r="150">
      <c r="A150">
        <f>IF($B150="","",ROW()-5)</f>
        <v/>
      </c>
      <c r="D150">
        <f>IF($B150="","",IF(C150="","",TEXT(C150,"MMM")))</f>
        <v/>
      </c>
      <c r="K150">
        <f>IF($B150="","",IF(I150=0,0,J150/I150))</f>
        <v/>
      </c>
    </row>
    <row r="151">
      <c r="A151">
        <f>IF($B151="","",ROW()-5)</f>
        <v/>
      </c>
      <c r="D151">
        <f>IF($B151="","",IF(C151="","",TEXT(C151,"MMM")))</f>
        <v/>
      </c>
      <c r="K151">
        <f>IF($B151="","",IF(I151=0,0,J151/I151))</f>
        <v/>
      </c>
    </row>
    <row r="152">
      <c r="A152">
        <f>IF($B152="","",ROW()-5)</f>
        <v/>
      </c>
      <c r="D152">
        <f>IF($B152="","",IF(C152="","",TEXT(C152,"MMM")))</f>
        <v/>
      </c>
      <c r="K152">
        <f>IF($B152="","",IF(I152=0,0,J152/I152))</f>
        <v/>
      </c>
    </row>
    <row r="153">
      <c r="A153">
        <f>IF($B153="","",ROW()-5)</f>
        <v/>
      </c>
      <c r="D153">
        <f>IF($B153="","",IF(C153="","",TEXT(C153,"MMM")))</f>
        <v/>
      </c>
      <c r="K153">
        <f>IF($B153="","",IF(I153=0,0,J153/I153))</f>
        <v/>
      </c>
    </row>
    <row r="154">
      <c r="A154">
        <f>IF($B154="","",ROW()-5)</f>
        <v/>
      </c>
      <c r="D154">
        <f>IF($B154="","",IF(C154="","",TEXT(C154,"MMM")))</f>
        <v/>
      </c>
      <c r="K154">
        <f>IF($B154="","",IF(I154=0,0,J154/I154))</f>
        <v/>
      </c>
    </row>
    <row r="155">
      <c r="A155">
        <f>IF($B155="","",ROW()-5)</f>
        <v/>
      </c>
      <c r="D155">
        <f>IF($B155="","",IF(C155="","",TEXT(C155,"MMM")))</f>
        <v/>
      </c>
      <c r="K155">
        <f>IF($B155="","",IF(I155=0,0,J155/I155))</f>
        <v/>
      </c>
    </row>
    <row r="156">
      <c r="A156">
        <f>IF($B156="","",ROW()-5)</f>
        <v/>
      </c>
      <c r="D156">
        <f>IF($B156="","",IF(C156="","",TEXT(C156,"MMM")))</f>
        <v/>
      </c>
      <c r="K156">
        <f>IF($B156="","",IF(I156=0,0,J156/I156))</f>
        <v/>
      </c>
    </row>
    <row r="157">
      <c r="A157">
        <f>IF($B157="","",ROW()-5)</f>
        <v/>
      </c>
      <c r="D157">
        <f>IF($B157="","",IF(C157="","",TEXT(C157,"MMM")))</f>
        <v/>
      </c>
      <c r="K157">
        <f>IF($B157="","",IF(I157=0,0,J157/I157))</f>
        <v/>
      </c>
    </row>
    <row r="158">
      <c r="A158">
        <f>IF($B158="","",ROW()-5)</f>
        <v/>
      </c>
      <c r="D158">
        <f>IF($B158="","",IF(C158="","",TEXT(C158,"MMM")))</f>
        <v/>
      </c>
      <c r="K158">
        <f>IF($B158="","",IF(I158=0,0,J158/I158))</f>
        <v/>
      </c>
    </row>
    <row r="159">
      <c r="A159">
        <f>IF($B159="","",ROW()-5)</f>
        <v/>
      </c>
      <c r="D159">
        <f>IF($B159="","",IF(C159="","",TEXT(C159,"MMM")))</f>
        <v/>
      </c>
      <c r="K159">
        <f>IF($B159="","",IF(I159=0,0,J159/I159))</f>
        <v/>
      </c>
    </row>
    <row r="160">
      <c r="A160">
        <f>IF($B160="","",ROW()-5)</f>
        <v/>
      </c>
      <c r="D160">
        <f>IF($B160="","",IF(C160="","",TEXT(C160,"MMM")))</f>
        <v/>
      </c>
      <c r="K160">
        <f>IF($B160="","",IF(I160=0,0,J160/I160))</f>
        <v/>
      </c>
    </row>
    <row r="161">
      <c r="A161">
        <f>IF($B161="","",ROW()-5)</f>
        <v/>
      </c>
      <c r="D161">
        <f>IF($B161="","",IF(C161="","",TEXT(C161,"MMM")))</f>
        <v/>
      </c>
      <c r="K161">
        <f>IF($B161="","",IF(I161=0,0,J161/I161))</f>
        <v/>
      </c>
    </row>
    <row r="162">
      <c r="A162">
        <f>IF($B162="","",ROW()-5)</f>
        <v/>
      </c>
      <c r="D162">
        <f>IF($B162="","",IF(C162="","",TEXT(C162,"MMM")))</f>
        <v/>
      </c>
      <c r="K162">
        <f>IF($B162="","",IF(I162=0,0,J162/I162))</f>
        <v/>
      </c>
    </row>
    <row r="163">
      <c r="A163">
        <f>IF($B163="","",ROW()-5)</f>
        <v/>
      </c>
      <c r="D163">
        <f>IF($B163="","",IF(C163="","",TEXT(C163,"MMM")))</f>
        <v/>
      </c>
      <c r="K163">
        <f>IF($B163="","",IF(I163=0,0,J163/I163))</f>
        <v/>
      </c>
    </row>
    <row r="164">
      <c r="A164">
        <f>IF($B164="","",ROW()-5)</f>
        <v/>
      </c>
      <c r="D164">
        <f>IF($B164="","",IF(C164="","",TEXT(C164,"MMM")))</f>
        <v/>
      </c>
      <c r="K164">
        <f>IF($B164="","",IF(I164=0,0,J164/I164))</f>
        <v/>
      </c>
    </row>
    <row r="165">
      <c r="A165">
        <f>IF($B165="","",ROW()-5)</f>
        <v/>
      </c>
      <c r="D165">
        <f>IF($B165="","",IF(C165="","",TEXT(C165,"MMM")))</f>
        <v/>
      </c>
      <c r="K165">
        <f>IF($B165="","",IF(I165=0,0,J165/I165))</f>
        <v/>
      </c>
    </row>
    <row r="166">
      <c r="A166">
        <f>IF($B166="","",ROW()-5)</f>
        <v/>
      </c>
      <c r="D166">
        <f>IF($B166="","",IF(C166="","",TEXT(C166,"MMM")))</f>
        <v/>
      </c>
      <c r="K166">
        <f>IF($B166="","",IF(I166=0,0,J166/I166))</f>
        <v/>
      </c>
    </row>
    <row r="167">
      <c r="A167">
        <f>IF($B167="","",ROW()-5)</f>
        <v/>
      </c>
      <c r="D167">
        <f>IF($B167="","",IF(C167="","",TEXT(C167,"MMM")))</f>
        <v/>
      </c>
      <c r="K167">
        <f>IF($B167="","",IF(I167=0,0,J167/I167))</f>
        <v/>
      </c>
    </row>
    <row r="168">
      <c r="A168">
        <f>IF($B168="","",ROW()-5)</f>
        <v/>
      </c>
      <c r="D168">
        <f>IF($B168="","",IF(C168="","",TEXT(C168,"MMM")))</f>
        <v/>
      </c>
      <c r="K168">
        <f>IF($B168="","",IF(I168=0,0,J168/I168))</f>
        <v/>
      </c>
    </row>
    <row r="169">
      <c r="A169">
        <f>IF($B169="","",ROW()-5)</f>
        <v/>
      </c>
      <c r="D169">
        <f>IF($B169="","",IF(C169="","",TEXT(C169,"MMM")))</f>
        <v/>
      </c>
      <c r="K169">
        <f>IF($B169="","",IF(I169=0,0,J169/I169))</f>
        <v/>
      </c>
    </row>
    <row r="170">
      <c r="A170">
        <f>IF($B170="","",ROW()-5)</f>
        <v/>
      </c>
      <c r="D170">
        <f>IF($B170="","",IF(C170="","",TEXT(C170,"MMM")))</f>
        <v/>
      </c>
      <c r="K170">
        <f>IF($B170="","",IF(I170=0,0,J170/I170))</f>
        <v/>
      </c>
    </row>
    <row r="171">
      <c r="A171">
        <f>IF($B171="","",ROW()-5)</f>
        <v/>
      </c>
      <c r="D171">
        <f>IF($B171="","",IF(C171="","",TEXT(C171,"MMM")))</f>
        <v/>
      </c>
      <c r="K171">
        <f>IF($B171="","",IF(I171=0,0,J171/I171))</f>
        <v/>
      </c>
    </row>
    <row r="172">
      <c r="A172">
        <f>IF($B172="","",ROW()-5)</f>
        <v/>
      </c>
      <c r="D172">
        <f>IF($B172="","",IF(C172="","",TEXT(C172,"MMM")))</f>
        <v/>
      </c>
      <c r="K172">
        <f>IF($B172="","",IF(I172=0,0,J172/I172))</f>
        <v/>
      </c>
    </row>
    <row r="173">
      <c r="A173">
        <f>IF($B173="","",ROW()-5)</f>
        <v/>
      </c>
      <c r="D173">
        <f>IF($B173="","",IF(C173="","",TEXT(C173,"MMM")))</f>
        <v/>
      </c>
      <c r="K173">
        <f>IF($B173="","",IF(I173=0,0,J173/I173))</f>
        <v/>
      </c>
    </row>
    <row r="174">
      <c r="A174">
        <f>IF($B174="","",ROW()-5)</f>
        <v/>
      </c>
      <c r="D174">
        <f>IF($B174="","",IF(C174="","",TEXT(C174,"MMM")))</f>
        <v/>
      </c>
      <c r="K174">
        <f>IF($B174="","",IF(I174=0,0,J174/I174))</f>
        <v/>
      </c>
    </row>
    <row r="175">
      <c r="A175">
        <f>IF($B175="","",ROW()-5)</f>
        <v/>
      </c>
      <c r="D175">
        <f>IF($B175="","",IF(C175="","",TEXT(C175,"MMM")))</f>
        <v/>
      </c>
      <c r="K175">
        <f>IF($B175="","",IF(I175=0,0,J175/I175))</f>
        <v/>
      </c>
    </row>
    <row r="176">
      <c r="A176">
        <f>IF($B176="","",ROW()-5)</f>
        <v/>
      </c>
      <c r="D176">
        <f>IF($B176="","",IF(C176="","",TEXT(C176,"MMM")))</f>
        <v/>
      </c>
      <c r="K176">
        <f>IF($B176="","",IF(I176=0,0,J176/I176))</f>
        <v/>
      </c>
    </row>
    <row r="177">
      <c r="A177">
        <f>IF($B177="","",ROW()-5)</f>
        <v/>
      </c>
      <c r="D177">
        <f>IF($B177="","",IF(C177="","",TEXT(C177,"MMM")))</f>
        <v/>
      </c>
      <c r="K177">
        <f>IF($B177="","",IF(I177=0,0,J177/I177))</f>
        <v/>
      </c>
    </row>
    <row r="178">
      <c r="A178">
        <f>IF($B178="","",ROW()-5)</f>
        <v/>
      </c>
      <c r="D178">
        <f>IF($B178="","",IF(C178="","",TEXT(C178,"MMM")))</f>
        <v/>
      </c>
      <c r="K178">
        <f>IF($B178="","",IF(I178=0,0,J178/I178))</f>
        <v/>
      </c>
    </row>
    <row r="179">
      <c r="A179">
        <f>IF($B179="","",ROW()-5)</f>
        <v/>
      </c>
      <c r="D179">
        <f>IF($B179="","",IF(C179="","",TEXT(C179,"MMM")))</f>
        <v/>
      </c>
      <c r="K179">
        <f>IF($B179="","",IF(I179=0,0,J179/I179))</f>
        <v/>
      </c>
    </row>
    <row r="180">
      <c r="A180">
        <f>IF($B180="","",ROW()-5)</f>
        <v/>
      </c>
      <c r="D180">
        <f>IF($B180="","",IF(C180="","",TEXT(C180,"MMM")))</f>
        <v/>
      </c>
      <c r="K180">
        <f>IF($B180="","",IF(I180=0,0,J180/I180))</f>
        <v/>
      </c>
    </row>
    <row r="181">
      <c r="A181">
        <f>IF($B181="","",ROW()-5)</f>
        <v/>
      </c>
      <c r="D181">
        <f>IF($B181="","",IF(C181="","",TEXT(C181,"MMM")))</f>
        <v/>
      </c>
      <c r="K181">
        <f>IF($B181="","",IF(I181=0,0,J181/I181))</f>
        <v/>
      </c>
    </row>
    <row r="182">
      <c r="A182">
        <f>IF($B182="","",ROW()-5)</f>
        <v/>
      </c>
      <c r="D182">
        <f>IF($B182="","",IF(C182="","",TEXT(C182,"MMM")))</f>
        <v/>
      </c>
      <c r="K182">
        <f>IF($B182="","",IF(I182=0,0,J182/I182))</f>
        <v/>
      </c>
    </row>
    <row r="183">
      <c r="A183">
        <f>IF($B183="","",ROW()-5)</f>
        <v/>
      </c>
      <c r="D183">
        <f>IF($B183="","",IF(C183="","",TEXT(C183,"MMM")))</f>
        <v/>
      </c>
      <c r="K183">
        <f>IF($B183="","",IF(I183=0,0,J183/I183))</f>
        <v/>
      </c>
    </row>
    <row r="184">
      <c r="A184">
        <f>IF($B184="","",ROW()-5)</f>
        <v/>
      </c>
      <c r="D184">
        <f>IF($B184="","",IF(C184="","",TEXT(C184,"MMM")))</f>
        <v/>
      </c>
      <c r="K184">
        <f>IF($B184="","",IF(I184=0,0,J184/I184))</f>
        <v/>
      </c>
    </row>
    <row r="185">
      <c r="A185">
        <f>IF($B185="","",ROW()-5)</f>
        <v/>
      </c>
      <c r="D185">
        <f>IF($B185="","",IF(C185="","",TEXT(C185,"MMM")))</f>
        <v/>
      </c>
      <c r="K185">
        <f>IF($B185="","",IF(I185=0,0,J185/I185))</f>
        <v/>
      </c>
    </row>
    <row r="186">
      <c r="A186">
        <f>IF($B186="","",ROW()-5)</f>
        <v/>
      </c>
      <c r="D186">
        <f>IF($B186="","",IF(C186="","",TEXT(C186,"MMM")))</f>
        <v/>
      </c>
      <c r="K186">
        <f>IF($B186="","",IF(I186=0,0,J186/I186))</f>
        <v/>
      </c>
    </row>
    <row r="187">
      <c r="A187">
        <f>IF($B187="","",ROW()-5)</f>
        <v/>
      </c>
      <c r="D187">
        <f>IF($B187="","",IF(C187="","",TEXT(C187,"MMM")))</f>
        <v/>
      </c>
      <c r="K187">
        <f>IF($B187="","",IF(I187=0,0,J187/I187))</f>
        <v/>
      </c>
    </row>
    <row r="188">
      <c r="A188">
        <f>IF($B188="","",ROW()-5)</f>
        <v/>
      </c>
      <c r="D188">
        <f>IF($B188="","",IF(C188="","",TEXT(C188,"MMM")))</f>
        <v/>
      </c>
      <c r="K188">
        <f>IF($B188="","",IF(I188=0,0,J188/I188))</f>
        <v/>
      </c>
    </row>
    <row r="189">
      <c r="A189">
        <f>IF($B189="","",ROW()-5)</f>
        <v/>
      </c>
      <c r="D189">
        <f>IF($B189="","",IF(C189="","",TEXT(C189,"MMM")))</f>
        <v/>
      </c>
      <c r="K189">
        <f>IF($B189="","",IF(I189=0,0,J189/I189))</f>
        <v/>
      </c>
    </row>
    <row r="190">
      <c r="A190">
        <f>IF($B190="","",ROW()-5)</f>
        <v/>
      </c>
      <c r="D190">
        <f>IF($B190="","",IF(C190="","",TEXT(C190,"MMM")))</f>
        <v/>
      </c>
      <c r="K190">
        <f>IF($B190="","",IF(I190=0,0,J190/I190))</f>
        <v/>
      </c>
    </row>
    <row r="191">
      <c r="A191">
        <f>IF($B191="","",ROW()-5)</f>
        <v/>
      </c>
      <c r="D191">
        <f>IF($B191="","",IF(C191="","",TEXT(C191,"MMM")))</f>
        <v/>
      </c>
      <c r="K191">
        <f>IF($B191="","",IF(I191=0,0,J191/I191))</f>
        <v/>
      </c>
    </row>
    <row r="192">
      <c r="A192">
        <f>IF($B192="","",ROW()-5)</f>
        <v/>
      </c>
      <c r="D192">
        <f>IF($B192="","",IF(C192="","",TEXT(C192,"MMM")))</f>
        <v/>
      </c>
      <c r="K192">
        <f>IF($B192="","",IF(I192=0,0,J192/I192))</f>
        <v/>
      </c>
    </row>
    <row r="193">
      <c r="A193">
        <f>IF($B193="","",ROW()-5)</f>
        <v/>
      </c>
      <c r="D193">
        <f>IF($B193="","",IF(C193="","",TEXT(C193,"MMM")))</f>
        <v/>
      </c>
      <c r="K193">
        <f>IF($B193="","",IF(I193=0,0,J193/I193))</f>
        <v/>
      </c>
    </row>
    <row r="194">
      <c r="A194">
        <f>IF($B194="","",ROW()-5)</f>
        <v/>
      </c>
      <c r="D194">
        <f>IF($B194="","",IF(C194="","",TEXT(C194,"MMM")))</f>
        <v/>
      </c>
      <c r="K194">
        <f>IF($B194="","",IF(I194=0,0,J194/I194))</f>
        <v/>
      </c>
    </row>
    <row r="195">
      <c r="A195">
        <f>IF($B195="","",ROW()-5)</f>
        <v/>
      </c>
      <c r="D195">
        <f>IF($B195="","",IF(C195="","",TEXT(C195,"MMM")))</f>
        <v/>
      </c>
      <c r="K195">
        <f>IF($B195="","",IF(I195=0,0,J195/I195))</f>
        <v/>
      </c>
    </row>
    <row r="196">
      <c r="A196">
        <f>IF($B196="","",ROW()-5)</f>
        <v/>
      </c>
      <c r="D196">
        <f>IF($B196="","",IF(C196="","",TEXT(C196,"MMM")))</f>
        <v/>
      </c>
      <c r="K196">
        <f>IF($B196="","",IF(I196=0,0,J196/I196))</f>
        <v/>
      </c>
    </row>
    <row r="197">
      <c r="A197">
        <f>IF($B197="","",ROW()-5)</f>
        <v/>
      </c>
      <c r="D197">
        <f>IF($B197="","",IF(C197="","",TEXT(C197,"MMM")))</f>
        <v/>
      </c>
      <c r="K197">
        <f>IF($B197="","",IF(I197=0,0,J197/I197))</f>
        <v/>
      </c>
    </row>
    <row r="198">
      <c r="A198">
        <f>IF($B198="","",ROW()-5)</f>
        <v/>
      </c>
      <c r="D198">
        <f>IF($B198="","",IF(C198="","",TEXT(C198,"MMM")))</f>
        <v/>
      </c>
      <c r="K198">
        <f>IF($B198="","",IF(I198=0,0,J198/I198))</f>
        <v/>
      </c>
    </row>
    <row r="199">
      <c r="A199">
        <f>IF($B199="","",ROW()-5)</f>
        <v/>
      </c>
      <c r="D199">
        <f>IF($B199="","",IF(C199="","",TEXT(C199,"MMM")))</f>
        <v/>
      </c>
      <c r="K199">
        <f>IF($B199="","",IF(I199=0,0,J199/I199))</f>
        <v/>
      </c>
    </row>
    <row r="200">
      <c r="A200">
        <f>IF($B200="","",ROW()-5)</f>
        <v/>
      </c>
      <c r="D200">
        <f>IF($B200="","",IF(C200="","",TEXT(C200,"MMM")))</f>
        <v/>
      </c>
      <c r="K200">
        <f>IF($B200="","",IF(I200=0,0,J200/I200))</f>
        <v/>
      </c>
    </row>
    <row r="201">
      <c r="A201">
        <f>IF($B201="","",ROW()-5)</f>
        <v/>
      </c>
      <c r="D201">
        <f>IF($B201="","",IF(C201="","",TEXT(C201,"MMM")))</f>
        <v/>
      </c>
      <c r="K201">
        <f>IF($B201="","",IF(I201=0,0,J201/I201))</f>
        <v/>
      </c>
    </row>
    <row r="202">
      <c r="A202">
        <f>IF($B202="","",ROW()-5)</f>
        <v/>
      </c>
      <c r="D202">
        <f>IF($B202="","",IF(C202="","",TEXT(C202,"MMM")))</f>
        <v/>
      </c>
      <c r="K202">
        <f>IF($B202="","",IF(I202=0,0,J202/I202))</f>
        <v/>
      </c>
    </row>
    <row r="203">
      <c r="A203">
        <f>IF($B203="","",ROW()-5)</f>
        <v/>
      </c>
      <c r="D203">
        <f>IF($B203="","",IF(C203="","",TEXT(C203,"MMM")))</f>
        <v/>
      </c>
      <c r="K203">
        <f>IF($B203="","",IF(I203=0,0,J203/I203))</f>
        <v/>
      </c>
    </row>
    <row r="204">
      <c r="A204">
        <f>IF($B204="","",ROW()-5)</f>
        <v/>
      </c>
      <c r="D204">
        <f>IF($B204="","",IF(C204="","",TEXT(C204,"MMM")))</f>
        <v/>
      </c>
      <c r="K204">
        <f>IF($B204="","",IF(I204=0,0,J204/I204))</f>
        <v/>
      </c>
    </row>
    <row r="205">
      <c r="A205">
        <f>IF($B205="","",ROW()-5)</f>
        <v/>
      </c>
      <c r="D205">
        <f>IF($B205="","",IF(C205="","",TEXT(C205,"MMM")))</f>
        <v/>
      </c>
      <c r="K205">
        <f>IF($B205="","",IF(I205=0,0,J205/I205))</f>
        <v/>
      </c>
    </row>
    <row r="206">
      <c r="A206">
        <f>IF($B206="","",ROW()-5)</f>
        <v/>
      </c>
      <c r="D206">
        <f>IF($B206="","",IF(C206="","",TEXT(C206,"MMM")))</f>
        <v/>
      </c>
      <c r="K206">
        <f>IF($B206="","",IF(I206=0,0,J206/I206))</f>
        <v/>
      </c>
    </row>
    <row r="207">
      <c r="A207">
        <f>IF($B207="","",ROW()-5)</f>
        <v/>
      </c>
      <c r="D207">
        <f>IF($B207="","",IF(C207="","",TEXT(C207,"MMM")))</f>
        <v/>
      </c>
      <c r="K207">
        <f>IF($B207="","",IF(I207=0,0,J207/I207))</f>
        <v/>
      </c>
    </row>
    <row r="208">
      <c r="A208">
        <f>IF($B208="","",ROW()-5)</f>
        <v/>
      </c>
      <c r="D208">
        <f>IF($B208="","",IF(C208="","",TEXT(C208,"MMM")))</f>
        <v/>
      </c>
      <c r="K208">
        <f>IF($B208="","",IF(I208=0,0,J208/I208))</f>
        <v/>
      </c>
    </row>
    <row r="209">
      <c r="A209">
        <f>IF($B209="","",ROW()-5)</f>
        <v/>
      </c>
      <c r="D209">
        <f>IF($B209="","",IF(C209="","",TEXT(C209,"MMM")))</f>
        <v/>
      </c>
      <c r="K209">
        <f>IF($B209="","",IF(I209=0,0,J209/I209))</f>
        <v/>
      </c>
    </row>
    <row r="210">
      <c r="A210">
        <f>IF($B210="","",ROW()-5)</f>
        <v/>
      </c>
      <c r="D210">
        <f>IF($B210="","",IF(C210="","",TEXT(C210,"MMM")))</f>
        <v/>
      </c>
      <c r="K210">
        <f>IF($B210="","",IF(I210=0,0,J210/I210))</f>
        <v/>
      </c>
    </row>
    <row r="211">
      <c r="A211">
        <f>IF($B211="","",ROW()-5)</f>
        <v/>
      </c>
      <c r="D211">
        <f>IF($B211="","",IF(C211="","",TEXT(C211,"MMM")))</f>
        <v/>
      </c>
      <c r="K211">
        <f>IF($B211="","",IF(I211=0,0,J211/I211))</f>
        <v/>
      </c>
    </row>
    <row r="212">
      <c r="A212">
        <f>IF($B212="","",ROW()-5)</f>
        <v/>
      </c>
      <c r="D212">
        <f>IF($B212="","",IF(C212="","",TEXT(C212,"MMM")))</f>
        <v/>
      </c>
      <c r="K212">
        <f>IF($B212="","",IF(I212=0,0,J212/I212))</f>
        <v/>
      </c>
    </row>
    <row r="213">
      <c r="A213">
        <f>IF($B213="","",ROW()-5)</f>
        <v/>
      </c>
      <c r="D213">
        <f>IF($B213="","",IF(C213="","",TEXT(C213,"MMM")))</f>
        <v/>
      </c>
      <c r="K213">
        <f>IF($B213="","",IF(I213=0,0,J213/I213))</f>
        <v/>
      </c>
    </row>
    <row r="214">
      <c r="A214">
        <f>IF($B214="","",ROW()-5)</f>
        <v/>
      </c>
      <c r="D214">
        <f>IF($B214="","",IF(C214="","",TEXT(C214,"MMM")))</f>
        <v/>
      </c>
      <c r="K214">
        <f>IF($B214="","",IF(I214=0,0,J214/I214))</f>
        <v/>
      </c>
    </row>
    <row r="215">
      <c r="A215">
        <f>IF($B215="","",ROW()-5)</f>
        <v/>
      </c>
      <c r="D215">
        <f>IF($B215="","",IF(C215="","",TEXT(C215,"MMM")))</f>
        <v/>
      </c>
      <c r="K215">
        <f>IF($B215="","",IF(I215=0,0,J215/I215))</f>
        <v/>
      </c>
    </row>
    <row r="216">
      <c r="A216">
        <f>IF($B216="","",ROW()-5)</f>
        <v/>
      </c>
      <c r="D216">
        <f>IF($B216="","",IF(C216="","",TEXT(C216,"MMM")))</f>
        <v/>
      </c>
      <c r="K216">
        <f>IF($B216="","",IF(I216=0,0,J216/I216))</f>
        <v/>
      </c>
    </row>
    <row r="217">
      <c r="A217">
        <f>IF($B217="","",ROW()-5)</f>
        <v/>
      </c>
      <c r="D217">
        <f>IF($B217="","",IF(C217="","",TEXT(C217,"MMM")))</f>
        <v/>
      </c>
      <c r="K217">
        <f>IF($B217="","",IF(I217=0,0,J217/I217))</f>
        <v/>
      </c>
    </row>
    <row r="218">
      <c r="A218">
        <f>IF($B218="","",ROW()-5)</f>
        <v/>
      </c>
      <c r="D218">
        <f>IF($B218="","",IF(C218="","",TEXT(C218,"MMM")))</f>
        <v/>
      </c>
      <c r="K218">
        <f>IF($B218="","",IF(I218=0,0,J218/I218))</f>
        <v/>
      </c>
    </row>
    <row r="219">
      <c r="A219">
        <f>IF($B219="","",ROW()-5)</f>
        <v/>
      </c>
      <c r="D219">
        <f>IF($B219="","",IF(C219="","",TEXT(C219,"MMM")))</f>
        <v/>
      </c>
      <c r="K219">
        <f>IF($B219="","",IF(I219=0,0,J219/I219))</f>
        <v/>
      </c>
    </row>
    <row r="220">
      <c r="A220">
        <f>IF($B220="","",ROW()-5)</f>
        <v/>
      </c>
      <c r="D220">
        <f>IF($B220="","",IF(C220="","",TEXT(C220,"MMM")))</f>
        <v/>
      </c>
      <c r="K220">
        <f>IF($B220="","",IF(I220=0,0,J220/I220))</f>
        <v/>
      </c>
    </row>
    <row r="221">
      <c r="A221">
        <f>IF($B221="","",ROW()-5)</f>
        <v/>
      </c>
      <c r="D221">
        <f>IF($B221="","",IF(C221="","",TEXT(C221,"MMM")))</f>
        <v/>
      </c>
      <c r="K221">
        <f>IF($B221="","",IF(I221=0,0,J221/I221))</f>
        <v/>
      </c>
    </row>
    <row r="222">
      <c r="A222">
        <f>IF($B222="","",ROW()-5)</f>
        <v/>
      </c>
      <c r="D222">
        <f>IF($B222="","",IF(C222="","",TEXT(C222,"MMM")))</f>
        <v/>
      </c>
      <c r="K222">
        <f>IF($B222="","",IF(I222=0,0,J222/I222))</f>
        <v/>
      </c>
    </row>
    <row r="223">
      <c r="A223">
        <f>IF($B223="","",ROW()-5)</f>
        <v/>
      </c>
      <c r="D223">
        <f>IF($B223="","",IF(C223="","",TEXT(C223,"MMM")))</f>
        <v/>
      </c>
      <c r="K223">
        <f>IF($B223="","",IF(I223=0,0,J223/I223))</f>
        <v/>
      </c>
    </row>
    <row r="224">
      <c r="A224">
        <f>IF($B224="","",ROW()-5)</f>
        <v/>
      </c>
      <c r="D224">
        <f>IF($B224="","",IF(C224="","",TEXT(C224,"MMM")))</f>
        <v/>
      </c>
      <c r="K224">
        <f>IF($B224="","",IF(I224=0,0,J224/I224))</f>
        <v/>
      </c>
    </row>
    <row r="225">
      <c r="A225">
        <f>IF($B225="","",ROW()-5)</f>
        <v/>
      </c>
      <c r="D225">
        <f>IF($B225="","",IF(C225="","",TEXT(C225,"MMM")))</f>
        <v/>
      </c>
      <c r="K225">
        <f>IF($B225="","",IF(I225=0,0,J225/I225))</f>
        <v/>
      </c>
    </row>
    <row r="226">
      <c r="A226">
        <f>IF($B226="","",ROW()-5)</f>
        <v/>
      </c>
      <c r="D226">
        <f>IF($B226="","",IF(C226="","",TEXT(C226,"MMM")))</f>
        <v/>
      </c>
      <c r="K226">
        <f>IF($B226="","",IF(I226=0,0,J226/I226))</f>
        <v/>
      </c>
    </row>
    <row r="227">
      <c r="A227">
        <f>IF($B227="","",ROW()-5)</f>
        <v/>
      </c>
      <c r="D227">
        <f>IF($B227="","",IF(C227="","",TEXT(C227,"MMM")))</f>
        <v/>
      </c>
      <c r="K227">
        <f>IF($B227="","",IF(I227=0,0,J227/I227))</f>
        <v/>
      </c>
    </row>
    <row r="228">
      <c r="A228">
        <f>IF($B228="","",ROW()-5)</f>
        <v/>
      </c>
      <c r="D228">
        <f>IF($B228="","",IF(C228="","",TEXT(C228,"MMM")))</f>
        <v/>
      </c>
      <c r="K228">
        <f>IF($B228="","",IF(I228=0,0,J228/I228))</f>
        <v/>
      </c>
    </row>
    <row r="229">
      <c r="A229">
        <f>IF($B229="","",ROW()-5)</f>
        <v/>
      </c>
      <c r="D229">
        <f>IF($B229="","",IF(C229="","",TEXT(C229,"MMM")))</f>
        <v/>
      </c>
      <c r="K229">
        <f>IF($B229="","",IF(I229=0,0,J229/I229))</f>
        <v/>
      </c>
    </row>
    <row r="230">
      <c r="A230">
        <f>IF($B230="","",ROW()-5)</f>
        <v/>
      </c>
      <c r="D230">
        <f>IF($B230="","",IF(C230="","",TEXT(C230,"MMM")))</f>
        <v/>
      </c>
      <c r="K230">
        <f>IF($B230="","",IF(I230=0,0,J230/I230))</f>
        <v/>
      </c>
    </row>
    <row r="231">
      <c r="A231">
        <f>IF($B231="","",ROW()-5)</f>
        <v/>
      </c>
      <c r="D231">
        <f>IF($B231="","",IF(C231="","",TEXT(C231,"MMM")))</f>
        <v/>
      </c>
      <c r="K231">
        <f>IF($B231="","",IF(I231=0,0,J231/I231))</f>
        <v/>
      </c>
    </row>
    <row r="232">
      <c r="A232">
        <f>IF($B232="","",ROW()-5)</f>
        <v/>
      </c>
      <c r="D232">
        <f>IF($B232="","",IF(C232="","",TEXT(C232,"MMM")))</f>
        <v/>
      </c>
      <c r="K232">
        <f>IF($B232="","",IF(I232=0,0,J232/I232))</f>
        <v/>
      </c>
    </row>
    <row r="233">
      <c r="A233">
        <f>IF($B233="","",ROW()-5)</f>
        <v/>
      </c>
      <c r="D233">
        <f>IF($B233="","",IF(C233="","",TEXT(C233,"MMM")))</f>
        <v/>
      </c>
      <c r="K233">
        <f>IF($B233="","",IF(I233=0,0,J233/I233))</f>
        <v/>
      </c>
    </row>
    <row r="234">
      <c r="A234">
        <f>IF($B234="","",ROW()-5)</f>
        <v/>
      </c>
      <c r="D234">
        <f>IF($B234="","",IF(C234="","",TEXT(C234,"MMM")))</f>
        <v/>
      </c>
      <c r="K234">
        <f>IF($B234="","",IF(I234=0,0,J234/I234))</f>
        <v/>
      </c>
    </row>
    <row r="235">
      <c r="A235">
        <f>IF($B235="","",ROW()-5)</f>
        <v/>
      </c>
      <c r="D235">
        <f>IF($B235="","",IF(C235="","",TEXT(C235,"MMM")))</f>
        <v/>
      </c>
      <c r="K235">
        <f>IF($B235="","",IF(I235=0,0,J235/I235))</f>
        <v/>
      </c>
    </row>
    <row r="236">
      <c r="A236">
        <f>IF($B236="","",ROW()-5)</f>
        <v/>
      </c>
      <c r="D236">
        <f>IF($B236="","",IF(C236="","",TEXT(C236,"MMM")))</f>
        <v/>
      </c>
      <c r="K236">
        <f>IF($B236="","",IF(I236=0,0,J236/I236))</f>
        <v/>
      </c>
    </row>
    <row r="237">
      <c r="A237">
        <f>IF($B237="","",ROW()-5)</f>
        <v/>
      </c>
      <c r="D237">
        <f>IF($B237="","",IF(C237="","",TEXT(C237,"MMM")))</f>
        <v/>
      </c>
      <c r="K237">
        <f>IF($B237="","",IF(I237=0,0,J237/I237))</f>
        <v/>
      </c>
    </row>
    <row r="238">
      <c r="A238">
        <f>IF($B238="","",ROW()-5)</f>
        <v/>
      </c>
      <c r="D238">
        <f>IF($B238="","",IF(C238="","",TEXT(C238,"MMM")))</f>
        <v/>
      </c>
      <c r="K238">
        <f>IF($B238="","",IF(I238=0,0,J238/I238))</f>
        <v/>
      </c>
    </row>
    <row r="239">
      <c r="A239">
        <f>IF($B239="","",ROW()-5)</f>
        <v/>
      </c>
      <c r="D239">
        <f>IF($B239="","",IF(C239="","",TEXT(C239,"MMM")))</f>
        <v/>
      </c>
      <c r="K239">
        <f>IF($B239="","",IF(I239=0,0,J239/I239))</f>
        <v/>
      </c>
    </row>
    <row r="240">
      <c r="A240">
        <f>IF($B240="","",ROW()-5)</f>
        <v/>
      </c>
      <c r="D240">
        <f>IF($B240="","",IF(C240="","",TEXT(C240,"MMM")))</f>
        <v/>
      </c>
      <c r="K240">
        <f>IF($B240="","",IF(I240=0,0,J240/I240))</f>
        <v/>
      </c>
    </row>
    <row r="241">
      <c r="A241">
        <f>IF($B241="","",ROW()-5)</f>
        <v/>
      </c>
      <c r="D241">
        <f>IF($B241="","",IF(C241="","",TEXT(C241,"MMM")))</f>
        <v/>
      </c>
      <c r="K241">
        <f>IF($B241="","",IF(I241=0,0,J241/I241))</f>
        <v/>
      </c>
    </row>
    <row r="242">
      <c r="A242">
        <f>IF($B242="","",ROW()-5)</f>
        <v/>
      </c>
      <c r="D242">
        <f>IF($B242="","",IF(C242="","",TEXT(C242,"MMM")))</f>
        <v/>
      </c>
      <c r="K242">
        <f>IF($B242="","",IF(I242=0,0,J242/I242))</f>
        <v/>
      </c>
    </row>
    <row r="243">
      <c r="A243">
        <f>IF($B243="","",ROW()-5)</f>
        <v/>
      </c>
      <c r="D243">
        <f>IF($B243="","",IF(C243="","",TEXT(C243,"MMM")))</f>
        <v/>
      </c>
      <c r="K243">
        <f>IF($B243="","",IF(I243=0,0,J243/I243))</f>
        <v/>
      </c>
    </row>
    <row r="244">
      <c r="A244">
        <f>IF($B244="","",ROW()-5)</f>
        <v/>
      </c>
      <c r="D244">
        <f>IF($B244="","",IF(C244="","",TEXT(C244,"MMM")))</f>
        <v/>
      </c>
      <c r="K244">
        <f>IF($B244="","",IF(I244=0,0,J244/I244))</f>
        <v/>
      </c>
    </row>
    <row r="245">
      <c r="A245">
        <f>IF($B245="","",ROW()-5)</f>
        <v/>
      </c>
      <c r="D245">
        <f>IF($B245="","",IF(C245="","",TEXT(C245,"MMM")))</f>
        <v/>
      </c>
      <c r="K245">
        <f>IF($B245="","",IF(I245=0,0,J245/I245))</f>
        <v/>
      </c>
    </row>
    <row r="246">
      <c r="A246">
        <f>IF($B246="","",ROW()-5)</f>
        <v/>
      </c>
      <c r="D246">
        <f>IF($B246="","",IF(C246="","",TEXT(C246,"MMM")))</f>
        <v/>
      </c>
      <c r="K246">
        <f>IF($B246="","",IF(I246=0,0,J246/I246))</f>
        <v/>
      </c>
    </row>
    <row r="247">
      <c r="A247">
        <f>IF($B247="","",ROW()-5)</f>
        <v/>
      </c>
      <c r="D247">
        <f>IF($B247="","",IF(C247="","",TEXT(C247,"MMM")))</f>
        <v/>
      </c>
      <c r="K247">
        <f>IF($B247="","",IF(I247=0,0,J247/I247))</f>
        <v/>
      </c>
    </row>
    <row r="248">
      <c r="A248">
        <f>IF($B248="","",ROW()-5)</f>
        <v/>
      </c>
      <c r="D248">
        <f>IF($B248="","",IF(C248="","",TEXT(C248,"MMM")))</f>
        <v/>
      </c>
      <c r="K248">
        <f>IF($B248="","",IF(I248=0,0,J248/I248))</f>
        <v/>
      </c>
    </row>
    <row r="249">
      <c r="A249">
        <f>IF($B249="","",ROW()-5)</f>
        <v/>
      </c>
      <c r="D249">
        <f>IF($B249="","",IF(C249="","",TEXT(C249,"MMM")))</f>
        <v/>
      </c>
      <c r="K249">
        <f>IF($B249="","",IF(I249=0,0,J249/I249))</f>
        <v/>
      </c>
    </row>
    <row r="250">
      <c r="A250">
        <f>IF($B250="","",ROW()-5)</f>
        <v/>
      </c>
      <c r="D250">
        <f>IF($B250="","",IF(C250="","",TEXT(C250,"MMM")))</f>
        <v/>
      </c>
      <c r="K250">
        <f>IF($B250="","",IF(I250=0,0,J250/I250))</f>
        <v/>
      </c>
    </row>
    <row r="251">
      <c r="A251">
        <f>IF($B251="","",ROW()-5)</f>
        <v/>
      </c>
      <c r="D251">
        <f>IF($B251="","",IF(C251="","",TEXT(C251,"MMM")))</f>
        <v/>
      </c>
      <c r="K251">
        <f>IF($B251="","",IF(I251=0,0,J251/I251))</f>
        <v/>
      </c>
    </row>
    <row r="252">
      <c r="A252">
        <f>IF($B252="","",ROW()-5)</f>
        <v/>
      </c>
      <c r="D252">
        <f>IF($B252="","",IF(C252="","",TEXT(C252,"MMM")))</f>
        <v/>
      </c>
      <c r="K252">
        <f>IF($B252="","",IF(I252=0,0,J252/I252))</f>
        <v/>
      </c>
    </row>
    <row r="253">
      <c r="A253">
        <f>IF($B253="","",ROW()-5)</f>
        <v/>
      </c>
      <c r="D253">
        <f>IF($B253="","",IF(C253="","",TEXT(C253,"MMM")))</f>
        <v/>
      </c>
      <c r="K253">
        <f>IF($B253="","",IF(I253=0,0,J253/I253))</f>
        <v/>
      </c>
    </row>
    <row r="254">
      <c r="A254">
        <f>IF($B254="","",ROW()-5)</f>
        <v/>
      </c>
      <c r="D254">
        <f>IF($B254="","",IF(C254="","",TEXT(C254,"MMM")))</f>
        <v/>
      </c>
      <c r="K254">
        <f>IF($B254="","",IF(I254=0,0,J254/I254))</f>
        <v/>
      </c>
    </row>
    <row r="255">
      <c r="A255">
        <f>IF($B255="","",ROW()-5)</f>
        <v/>
      </c>
      <c r="D255">
        <f>IF($B255="","",IF(C255="","",TEXT(C255,"MMM")))</f>
        <v/>
      </c>
      <c r="K255">
        <f>IF($B255="","",IF(I255=0,0,J255/I255))</f>
        <v/>
      </c>
    </row>
    <row r="256">
      <c r="A256">
        <f>IF($B256="","",ROW()-5)</f>
        <v/>
      </c>
      <c r="D256">
        <f>IF($B256="","",IF(C256="","",TEXT(C256,"MMM")))</f>
        <v/>
      </c>
      <c r="K256">
        <f>IF($B256="","",IF(I256=0,0,J256/I256))</f>
        <v/>
      </c>
    </row>
    <row r="257">
      <c r="A257">
        <f>IF($B257="","",ROW()-5)</f>
        <v/>
      </c>
      <c r="D257">
        <f>IF($B257="","",IF(C257="","",TEXT(C257,"MMM")))</f>
        <v/>
      </c>
      <c r="K257">
        <f>IF($B257="","",IF(I257=0,0,J257/I257))</f>
        <v/>
      </c>
    </row>
    <row r="258">
      <c r="A258">
        <f>IF($B258="","",ROW()-5)</f>
        <v/>
      </c>
      <c r="D258">
        <f>IF($B258="","",IF(C258="","",TEXT(C258,"MMM")))</f>
        <v/>
      </c>
      <c r="K258">
        <f>IF($B258="","",IF(I258=0,0,J258/I258))</f>
        <v/>
      </c>
    </row>
    <row r="259">
      <c r="A259">
        <f>IF($B259="","",ROW()-5)</f>
        <v/>
      </c>
      <c r="D259">
        <f>IF($B259="","",IF(C259="","",TEXT(C259,"MMM")))</f>
        <v/>
      </c>
      <c r="K259">
        <f>IF($B259="","",IF(I259=0,0,J259/I259))</f>
        <v/>
      </c>
    </row>
    <row r="260">
      <c r="A260">
        <f>IF($B260="","",ROW()-5)</f>
        <v/>
      </c>
      <c r="D260">
        <f>IF($B260="","",IF(C260="","",TEXT(C260,"MMM")))</f>
        <v/>
      </c>
      <c r="K260">
        <f>IF($B260="","",IF(I260=0,0,J260/I260))</f>
        <v/>
      </c>
    </row>
    <row r="261">
      <c r="A261">
        <f>IF($B261="","",ROW()-5)</f>
        <v/>
      </c>
      <c r="D261">
        <f>IF($B261="","",IF(C261="","",TEXT(C261,"MMM")))</f>
        <v/>
      </c>
      <c r="K261">
        <f>IF($B261="","",IF(I261=0,0,J261/I261))</f>
        <v/>
      </c>
    </row>
    <row r="262">
      <c r="A262">
        <f>IF($B262="","",ROW()-5)</f>
        <v/>
      </c>
      <c r="D262">
        <f>IF($B262="","",IF(C262="","",TEXT(C262,"MMM")))</f>
        <v/>
      </c>
      <c r="K262">
        <f>IF($B262="","",IF(I262=0,0,J262/I262))</f>
        <v/>
      </c>
    </row>
    <row r="263">
      <c r="A263">
        <f>IF($B263="","",ROW()-5)</f>
        <v/>
      </c>
      <c r="D263">
        <f>IF($B263="","",IF(C263="","",TEXT(C263,"MMM")))</f>
        <v/>
      </c>
      <c r="K263">
        <f>IF($B263="","",IF(I263=0,0,J263/I263))</f>
        <v/>
      </c>
    </row>
    <row r="264">
      <c r="A264">
        <f>IF($B264="","",ROW()-5)</f>
        <v/>
      </c>
      <c r="D264">
        <f>IF($B264="","",IF(C264="","",TEXT(C264,"MMM")))</f>
        <v/>
      </c>
      <c r="K264">
        <f>IF($B264="","",IF(I264=0,0,J264/I264))</f>
        <v/>
      </c>
    </row>
    <row r="265">
      <c r="A265">
        <f>IF($B265="","",ROW()-5)</f>
        <v/>
      </c>
      <c r="D265">
        <f>IF($B265="","",IF(C265="","",TEXT(C265,"MMM")))</f>
        <v/>
      </c>
      <c r="K265">
        <f>IF($B265="","",IF(I265=0,0,J265/I265))</f>
        <v/>
      </c>
    </row>
    <row r="266">
      <c r="A266">
        <f>IF($B266="","",ROW()-5)</f>
        <v/>
      </c>
      <c r="D266">
        <f>IF($B266="","",IF(C266="","",TEXT(C266,"MMM")))</f>
        <v/>
      </c>
      <c r="K266">
        <f>IF($B266="","",IF(I266=0,0,J266/I266))</f>
        <v/>
      </c>
    </row>
    <row r="267">
      <c r="A267">
        <f>IF($B267="","",ROW()-5)</f>
        <v/>
      </c>
      <c r="D267">
        <f>IF($B267="","",IF(C267="","",TEXT(C267,"MMM")))</f>
        <v/>
      </c>
      <c r="K267">
        <f>IF($B267="","",IF(I267=0,0,J267/I267))</f>
        <v/>
      </c>
    </row>
    <row r="268">
      <c r="A268">
        <f>IF($B268="","",ROW()-5)</f>
        <v/>
      </c>
      <c r="D268">
        <f>IF($B268="","",IF(C268="","",TEXT(C268,"MMM")))</f>
        <v/>
      </c>
      <c r="K268">
        <f>IF($B268="","",IF(I268=0,0,J268/I268))</f>
        <v/>
      </c>
    </row>
    <row r="269">
      <c r="A269">
        <f>IF($B269="","",ROW()-5)</f>
        <v/>
      </c>
      <c r="D269">
        <f>IF($B269="","",IF(C269="","",TEXT(C269,"MMM")))</f>
        <v/>
      </c>
      <c r="K269">
        <f>IF($B269="","",IF(I269=0,0,J269/I269))</f>
        <v/>
      </c>
    </row>
    <row r="270">
      <c r="A270">
        <f>IF($B270="","",ROW()-5)</f>
        <v/>
      </c>
      <c r="D270">
        <f>IF($B270="","",IF(C270="","",TEXT(C270,"MMM")))</f>
        <v/>
      </c>
      <c r="K270">
        <f>IF($B270="","",IF(I270=0,0,J270/I270))</f>
        <v/>
      </c>
    </row>
    <row r="271">
      <c r="A271">
        <f>IF($B271="","",ROW()-5)</f>
        <v/>
      </c>
      <c r="D271">
        <f>IF($B271="","",IF(C271="","",TEXT(C271,"MMM")))</f>
        <v/>
      </c>
      <c r="K271">
        <f>IF($B271="","",IF(I271=0,0,J271/I271))</f>
        <v/>
      </c>
    </row>
    <row r="272">
      <c r="A272">
        <f>IF($B272="","",ROW()-5)</f>
        <v/>
      </c>
      <c r="D272">
        <f>IF($B272="","",IF(C272="","",TEXT(C272,"MMM")))</f>
        <v/>
      </c>
      <c r="K272">
        <f>IF($B272="","",IF(I272=0,0,J272/I272))</f>
        <v/>
      </c>
    </row>
    <row r="273">
      <c r="A273">
        <f>IF($B273="","",ROW()-5)</f>
        <v/>
      </c>
      <c r="D273">
        <f>IF($B273="","",IF(C273="","",TEXT(C273,"MMM")))</f>
        <v/>
      </c>
      <c r="K273">
        <f>IF($B273="","",IF(I273=0,0,J273/I273))</f>
        <v/>
      </c>
    </row>
    <row r="274">
      <c r="A274">
        <f>IF($B274="","",ROW()-5)</f>
        <v/>
      </c>
      <c r="D274">
        <f>IF($B274="","",IF(C274="","",TEXT(C274,"MMM")))</f>
        <v/>
      </c>
      <c r="K274">
        <f>IF($B274="","",IF(I274=0,0,J274/I274))</f>
        <v/>
      </c>
    </row>
    <row r="275">
      <c r="A275">
        <f>IF($B275="","",ROW()-5)</f>
        <v/>
      </c>
      <c r="D275">
        <f>IF($B275="","",IF(C275="","",TEXT(C275,"MMM")))</f>
        <v/>
      </c>
      <c r="K275">
        <f>IF($B275="","",IF(I275=0,0,J275/I275))</f>
        <v/>
      </c>
    </row>
    <row r="276">
      <c r="A276">
        <f>IF($B276="","",ROW()-5)</f>
        <v/>
      </c>
      <c r="D276">
        <f>IF($B276="","",IF(C276="","",TEXT(C276,"MMM")))</f>
        <v/>
      </c>
      <c r="K276">
        <f>IF($B276="","",IF(I276=0,0,J276/I276))</f>
        <v/>
      </c>
    </row>
    <row r="277">
      <c r="A277">
        <f>IF($B277="","",ROW()-5)</f>
        <v/>
      </c>
      <c r="D277">
        <f>IF($B277="","",IF(C277="","",TEXT(C277,"MMM")))</f>
        <v/>
      </c>
      <c r="K277">
        <f>IF($B277="","",IF(I277=0,0,J277/I277))</f>
        <v/>
      </c>
    </row>
    <row r="278">
      <c r="A278">
        <f>IF($B278="","",ROW()-5)</f>
        <v/>
      </c>
      <c r="D278">
        <f>IF($B278="","",IF(C278="","",TEXT(C278,"MMM")))</f>
        <v/>
      </c>
      <c r="K278">
        <f>IF($B278="","",IF(I278=0,0,J278/I278))</f>
        <v/>
      </c>
    </row>
    <row r="279">
      <c r="A279">
        <f>IF($B279="","",ROW()-5)</f>
        <v/>
      </c>
      <c r="D279">
        <f>IF($B279="","",IF(C279="","",TEXT(C279,"MMM")))</f>
        <v/>
      </c>
      <c r="K279">
        <f>IF($B279="","",IF(I279=0,0,J279/I279))</f>
        <v/>
      </c>
    </row>
    <row r="280">
      <c r="A280">
        <f>IF($B280="","",ROW()-5)</f>
        <v/>
      </c>
      <c r="D280">
        <f>IF($B280="","",IF(C280="","",TEXT(C280,"MMM")))</f>
        <v/>
      </c>
      <c r="K280">
        <f>IF($B280="","",IF(I280=0,0,J280/I280))</f>
        <v/>
      </c>
    </row>
    <row r="281">
      <c r="A281">
        <f>IF($B281="","",ROW()-5)</f>
        <v/>
      </c>
      <c r="D281">
        <f>IF($B281="","",IF(C281="","",TEXT(C281,"MMM")))</f>
        <v/>
      </c>
      <c r="K281">
        <f>IF($B281="","",IF(I281=0,0,J281/I281))</f>
        <v/>
      </c>
    </row>
    <row r="282">
      <c r="A282">
        <f>IF($B282="","",ROW()-5)</f>
        <v/>
      </c>
      <c r="D282">
        <f>IF($B282="","",IF(C282="","",TEXT(C282,"MMM")))</f>
        <v/>
      </c>
      <c r="K282">
        <f>IF($B282="","",IF(I282=0,0,J282/I282))</f>
        <v/>
      </c>
    </row>
    <row r="283">
      <c r="A283">
        <f>IF($B283="","",ROW()-5)</f>
        <v/>
      </c>
      <c r="D283">
        <f>IF($B283="","",IF(C283="","",TEXT(C283,"MMM")))</f>
        <v/>
      </c>
      <c r="K283">
        <f>IF($B283="","",IF(I283=0,0,J283/I283))</f>
        <v/>
      </c>
    </row>
    <row r="284">
      <c r="A284">
        <f>IF($B284="","",ROW()-5)</f>
        <v/>
      </c>
      <c r="D284">
        <f>IF($B284="","",IF(C284="","",TEXT(C284,"MMM")))</f>
        <v/>
      </c>
      <c r="K284">
        <f>IF($B284="","",IF(I284=0,0,J284/I284))</f>
        <v/>
      </c>
    </row>
    <row r="285">
      <c r="A285">
        <f>IF($B285="","",ROW()-5)</f>
        <v/>
      </c>
      <c r="D285">
        <f>IF($B285="","",IF(C285="","",TEXT(C285,"MMM")))</f>
        <v/>
      </c>
      <c r="K285">
        <f>IF($B285="","",IF(I285=0,0,J285/I285))</f>
        <v/>
      </c>
    </row>
    <row r="286">
      <c r="A286">
        <f>IF($B286="","",ROW()-5)</f>
        <v/>
      </c>
      <c r="D286">
        <f>IF($B286="","",IF(C286="","",TEXT(C286,"MMM")))</f>
        <v/>
      </c>
      <c r="K286">
        <f>IF($B286="","",IF(I286=0,0,J286/I286))</f>
        <v/>
      </c>
    </row>
    <row r="287">
      <c r="A287">
        <f>IF($B287="","",ROW()-5)</f>
        <v/>
      </c>
      <c r="D287">
        <f>IF($B287="","",IF(C287="","",TEXT(C287,"MMM")))</f>
        <v/>
      </c>
      <c r="K287">
        <f>IF($B287="","",IF(I287=0,0,J287/I287))</f>
        <v/>
      </c>
    </row>
    <row r="288">
      <c r="A288">
        <f>IF($B288="","",ROW()-5)</f>
        <v/>
      </c>
      <c r="D288">
        <f>IF($B288="","",IF(C288="","",TEXT(C288,"MMM")))</f>
        <v/>
      </c>
      <c r="K288">
        <f>IF($B288="","",IF(I288=0,0,J288/I288))</f>
        <v/>
      </c>
    </row>
    <row r="289">
      <c r="A289">
        <f>IF($B289="","",ROW()-5)</f>
        <v/>
      </c>
      <c r="D289">
        <f>IF($B289="","",IF(C289="","",TEXT(C289,"MMM")))</f>
        <v/>
      </c>
      <c r="K289">
        <f>IF($B289="","",IF(I289=0,0,J289/I289))</f>
        <v/>
      </c>
    </row>
    <row r="290">
      <c r="A290">
        <f>IF($B290="","",ROW()-5)</f>
        <v/>
      </c>
      <c r="D290">
        <f>IF($B290="","",IF(C290="","",TEXT(C290,"MMM")))</f>
        <v/>
      </c>
      <c r="K290">
        <f>IF($B290="","",IF(I290=0,0,J290/I290))</f>
        <v/>
      </c>
    </row>
    <row r="291">
      <c r="A291">
        <f>IF($B291="","",ROW()-5)</f>
        <v/>
      </c>
      <c r="D291">
        <f>IF($B291="","",IF(C291="","",TEXT(C291,"MMM")))</f>
        <v/>
      </c>
      <c r="K291">
        <f>IF($B291="","",IF(I291=0,0,J291/I291))</f>
        <v/>
      </c>
    </row>
    <row r="292">
      <c r="A292">
        <f>IF($B292="","",ROW()-5)</f>
        <v/>
      </c>
      <c r="D292">
        <f>IF($B292="","",IF(C292="","",TEXT(C292,"MMM")))</f>
        <v/>
      </c>
      <c r="K292">
        <f>IF($B292="","",IF(I292=0,0,J292/I292))</f>
        <v/>
      </c>
    </row>
    <row r="293">
      <c r="A293">
        <f>IF($B293="","",ROW()-5)</f>
        <v/>
      </c>
      <c r="D293">
        <f>IF($B293="","",IF(C293="","",TEXT(C293,"MMM")))</f>
        <v/>
      </c>
      <c r="K293">
        <f>IF($B293="","",IF(I293=0,0,J293/I293))</f>
        <v/>
      </c>
    </row>
    <row r="294">
      <c r="A294">
        <f>IF($B294="","",ROW()-5)</f>
        <v/>
      </c>
      <c r="D294">
        <f>IF($B294="","",IF(C294="","",TEXT(C294,"MMM")))</f>
        <v/>
      </c>
      <c r="K294">
        <f>IF($B294="","",IF(I294=0,0,J294/I294))</f>
        <v/>
      </c>
    </row>
    <row r="295">
      <c r="A295">
        <f>IF($B295="","",ROW()-5)</f>
        <v/>
      </c>
      <c r="D295">
        <f>IF($B295="","",IF(C295="","",TEXT(C295,"MMM")))</f>
        <v/>
      </c>
      <c r="K295">
        <f>IF($B295="","",IF(I295=0,0,J295/I295))</f>
        <v/>
      </c>
    </row>
    <row r="296">
      <c r="A296">
        <f>IF($B296="","",ROW()-5)</f>
        <v/>
      </c>
      <c r="D296">
        <f>IF($B296="","",IF(C296="","",TEXT(C296,"MMM")))</f>
        <v/>
      </c>
      <c r="K296">
        <f>IF($B296="","",IF(I296=0,0,J296/I296))</f>
        <v/>
      </c>
    </row>
    <row r="297">
      <c r="A297">
        <f>IF($B297="","",ROW()-5)</f>
        <v/>
      </c>
      <c r="D297">
        <f>IF($B297="","",IF(C297="","",TEXT(C297,"MMM")))</f>
        <v/>
      </c>
      <c r="K297">
        <f>IF($B297="","",IF(I297=0,0,J297/I297))</f>
        <v/>
      </c>
    </row>
    <row r="298">
      <c r="A298">
        <f>IF($B298="","",ROW()-5)</f>
        <v/>
      </c>
      <c r="D298">
        <f>IF($B298="","",IF(C298="","",TEXT(C298,"MMM")))</f>
        <v/>
      </c>
      <c r="K298">
        <f>IF($B298="","",IF(I298=0,0,J298/I298))</f>
        <v/>
      </c>
    </row>
    <row r="299">
      <c r="A299">
        <f>IF($B299="","",ROW()-5)</f>
        <v/>
      </c>
      <c r="D299">
        <f>IF($B299="","",IF(C299="","",TEXT(C299,"MMM")))</f>
        <v/>
      </c>
      <c r="K299">
        <f>IF($B299="","",IF(I299=0,0,J299/I299))</f>
        <v/>
      </c>
    </row>
    <row r="300">
      <c r="A300">
        <f>IF($B300="","",ROW()-5)</f>
        <v/>
      </c>
      <c r="D300">
        <f>IF($B300="","",IF(C300="","",TEXT(C300,"MMM")))</f>
        <v/>
      </c>
      <c r="K300">
        <f>IF($B300="","",IF(I300=0,0,J300/I300))</f>
        <v/>
      </c>
    </row>
    <row r="301">
      <c r="A301">
        <f>IF($B301="","",ROW()-5)</f>
        <v/>
      </c>
      <c r="D301">
        <f>IF($B301="","",IF(C301="","",TEXT(C301,"MMM")))</f>
        <v/>
      </c>
      <c r="K301">
        <f>IF($B301="","",IF(I301=0,0,J301/I301))</f>
        <v/>
      </c>
    </row>
    <row r="302">
      <c r="A302">
        <f>IF($B302="","",ROW()-5)</f>
        <v/>
      </c>
      <c r="D302">
        <f>IF($B302="","",IF(C302="","",TEXT(C302,"MMM")))</f>
        <v/>
      </c>
      <c r="K302">
        <f>IF($B302="","",IF(I302=0,0,J302/I302))</f>
        <v/>
      </c>
    </row>
    <row r="303">
      <c r="A303">
        <f>IF($B303="","",ROW()-5)</f>
        <v/>
      </c>
      <c r="D303">
        <f>IF($B303="","",IF(C303="","",TEXT(C303,"MMM")))</f>
        <v/>
      </c>
      <c r="K303">
        <f>IF($B303="","",IF(I303=0,0,J303/I303))</f>
        <v/>
      </c>
    </row>
    <row r="304">
      <c r="A304">
        <f>IF($B304="","",ROW()-5)</f>
        <v/>
      </c>
      <c r="D304">
        <f>IF($B304="","",IF(C304="","",TEXT(C304,"MMM")))</f>
        <v/>
      </c>
      <c r="K304">
        <f>IF($B304="","",IF(I304=0,0,J304/I304))</f>
        <v/>
      </c>
    </row>
    <row r="305">
      <c r="A305">
        <f>IF($B305="","",ROW()-5)</f>
        <v/>
      </c>
      <c r="D305">
        <f>IF($B305="","",IF(C305="","",TEXT(C305,"MMM")))</f>
        <v/>
      </c>
      <c r="K305">
        <f>IF($B305="","",IF(I305=0,0,J305/I305))</f>
        <v/>
      </c>
    </row>
    <row r="306">
      <c r="A306">
        <f>IF($B306="","",ROW()-5)</f>
        <v/>
      </c>
      <c r="D306">
        <f>IF($B306="","",IF(C306="","",TEXT(C306,"MMM")))</f>
        <v/>
      </c>
      <c r="K306">
        <f>IF($B306="","",IF(I306=0,0,J306/I306))</f>
        <v/>
      </c>
    </row>
    <row r="307">
      <c r="A307">
        <f>IF($B307="","",ROW()-5)</f>
        <v/>
      </c>
      <c r="D307">
        <f>IF($B307="","",IF(C307="","",TEXT(C307,"MMM")))</f>
        <v/>
      </c>
      <c r="K307">
        <f>IF($B307="","",IF(I307=0,0,J307/I307))</f>
        <v/>
      </c>
    </row>
    <row r="308">
      <c r="A308">
        <f>IF($B308="","",ROW()-5)</f>
        <v/>
      </c>
      <c r="D308">
        <f>IF($B308="","",IF(C308="","",TEXT(C308,"MMM")))</f>
        <v/>
      </c>
      <c r="K308">
        <f>IF($B308="","",IF(I308=0,0,J308/I308))</f>
        <v/>
      </c>
    </row>
    <row r="309">
      <c r="A309">
        <f>IF($B309="","",ROW()-5)</f>
        <v/>
      </c>
      <c r="D309">
        <f>IF($B309="","",IF(C309="","",TEXT(C309,"MMM")))</f>
        <v/>
      </c>
      <c r="K309">
        <f>IF($B309="","",IF(I309=0,0,J309/I309))</f>
        <v/>
      </c>
    </row>
    <row r="310">
      <c r="A310">
        <f>IF($B310="","",ROW()-5)</f>
        <v/>
      </c>
      <c r="D310">
        <f>IF($B310="","",IF(C310="","",TEXT(C310,"MMM")))</f>
        <v/>
      </c>
      <c r="K310">
        <f>IF($B310="","",IF(I310=0,0,J310/I310))</f>
        <v/>
      </c>
    </row>
    <row r="311">
      <c r="A311">
        <f>IF($B311="","",ROW()-5)</f>
        <v/>
      </c>
      <c r="D311">
        <f>IF($B311="","",IF(C311="","",TEXT(C311,"MMM")))</f>
        <v/>
      </c>
      <c r="K311">
        <f>IF($B311="","",IF(I311=0,0,J311/I311))</f>
        <v/>
      </c>
    </row>
    <row r="312">
      <c r="A312">
        <f>IF($B312="","",ROW()-5)</f>
        <v/>
      </c>
      <c r="D312">
        <f>IF($B312="","",IF(C312="","",TEXT(C312,"MMM")))</f>
        <v/>
      </c>
      <c r="K312">
        <f>IF($B312="","",IF(I312=0,0,J312/I312))</f>
        <v/>
      </c>
    </row>
    <row r="313">
      <c r="A313">
        <f>IF($B313="","",ROW()-5)</f>
        <v/>
      </c>
      <c r="D313">
        <f>IF($B313="","",IF(C313="","",TEXT(C313,"MMM")))</f>
        <v/>
      </c>
      <c r="K313">
        <f>IF($B313="","",IF(I313=0,0,J313/I313))</f>
        <v/>
      </c>
    </row>
    <row r="314">
      <c r="A314">
        <f>IF($B314="","",ROW()-5)</f>
        <v/>
      </c>
      <c r="D314">
        <f>IF($B314="","",IF(C314="","",TEXT(C314,"MMM")))</f>
        <v/>
      </c>
      <c r="K314">
        <f>IF($B314="","",IF(I314=0,0,J314/I314))</f>
        <v/>
      </c>
    </row>
    <row r="315">
      <c r="A315">
        <f>IF($B315="","",ROW()-5)</f>
        <v/>
      </c>
      <c r="D315">
        <f>IF($B315="","",IF(C315="","",TEXT(C315,"MMM")))</f>
        <v/>
      </c>
      <c r="K315">
        <f>IF($B315="","",IF(I315=0,0,J315/I315))</f>
        <v/>
      </c>
    </row>
    <row r="316">
      <c r="A316">
        <f>IF($B316="","",ROW()-5)</f>
        <v/>
      </c>
      <c r="D316">
        <f>IF($B316="","",IF(C316="","",TEXT(C316,"MMM")))</f>
        <v/>
      </c>
      <c r="K316">
        <f>IF($B316="","",IF(I316=0,0,J316/I316))</f>
        <v/>
      </c>
    </row>
    <row r="317">
      <c r="A317">
        <f>IF($B317="","",ROW()-5)</f>
        <v/>
      </c>
      <c r="D317">
        <f>IF($B317="","",IF(C317="","",TEXT(C317,"MMM")))</f>
        <v/>
      </c>
      <c r="K317">
        <f>IF($B317="","",IF(I317=0,0,J317/I317))</f>
        <v/>
      </c>
    </row>
    <row r="318">
      <c r="A318">
        <f>IF($B318="","",ROW()-5)</f>
        <v/>
      </c>
      <c r="D318">
        <f>IF($B318="","",IF(C318="","",TEXT(C318,"MMM")))</f>
        <v/>
      </c>
      <c r="K318">
        <f>IF($B318="","",IF(I318=0,0,J318/I318))</f>
        <v/>
      </c>
    </row>
    <row r="319">
      <c r="A319">
        <f>IF($B319="","",ROW()-5)</f>
        <v/>
      </c>
      <c r="D319">
        <f>IF($B319="","",IF(C319="","",TEXT(C319,"MMM")))</f>
        <v/>
      </c>
      <c r="K319">
        <f>IF($B319="","",IF(I319=0,0,J319/I319))</f>
        <v/>
      </c>
    </row>
    <row r="320">
      <c r="A320">
        <f>IF($B320="","",ROW()-5)</f>
        <v/>
      </c>
      <c r="D320">
        <f>IF($B320="","",IF(C320="","",TEXT(C320,"MMM")))</f>
        <v/>
      </c>
      <c r="K320">
        <f>IF($B320="","",IF(I320=0,0,J320/I320))</f>
        <v/>
      </c>
    </row>
    <row r="321">
      <c r="A321">
        <f>IF($B321="","",ROW()-5)</f>
        <v/>
      </c>
      <c r="D321">
        <f>IF($B321="","",IF(C321="","",TEXT(C321,"MMM")))</f>
        <v/>
      </c>
      <c r="K321">
        <f>IF($B321="","",IF(I321=0,0,J321/I321))</f>
        <v/>
      </c>
    </row>
    <row r="322">
      <c r="A322">
        <f>IF($B322="","",ROW()-5)</f>
        <v/>
      </c>
      <c r="D322">
        <f>IF($B322="","",IF(C322="","",TEXT(C322,"MMM")))</f>
        <v/>
      </c>
      <c r="K322">
        <f>IF($B322="","",IF(I322=0,0,J322/I322))</f>
        <v/>
      </c>
    </row>
    <row r="323">
      <c r="A323">
        <f>IF($B323="","",ROW()-5)</f>
        <v/>
      </c>
      <c r="D323">
        <f>IF($B323="","",IF(C323="","",TEXT(C323,"MMM")))</f>
        <v/>
      </c>
      <c r="K323">
        <f>IF($B323="","",IF(I323=0,0,J323/I323))</f>
        <v/>
      </c>
    </row>
    <row r="324">
      <c r="A324">
        <f>IF($B324="","",ROW()-5)</f>
        <v/>
      </c>
      <c r="D324">
        <f>IF($B324="","",IF(C324="","",TEXT(C324,"MMM")))</f>
        <v/>
      </c>
      <c r="K324">
        <f>IF($B324="","",IF(I324=0,0,J324/I324))</f>
        <v/>
      </c>
    </row>
    <row r="325">
      <c r="A325">
        <f>IF($B325="","",ROW()-5)</f>
        <v/>
      </c>
      <c r="D325">
        <f>IF($B325="","",IF(C325="","",TEXT(C325,"MMM")))</f>
        <v/>
      </c>
      <c r="K325">
        <f>IF($B325="","",IF(I325=0,0,J325/I325))</f>
        <v/>
      </c>
    </row>
    <row r="326">
      <c r="A326">
        <f>IF($B326="","",ROW()-5)</f>
        <v/>
      </c>
      <c r="D326">
        <f>IF($B326="","",IF(C326="","",TEXT(C326,"MMM")))</f>
        <v/>
      </c>
      <c r="K326">
        <f>IF($B326="","",IF(I326=0,0,J326/I326))</f>
        <v/>
      </c>
    </row>
    <row r="327">
      <c r="A327">
        <f>IF($B327="","",ROW()-5)</f>
        <v/>
      </c>
      <c r="D327">
        <f>IF($B327="","",IF(C327="","",TEXT(C327,"MMM")))</f>
        <v/>
      </c>
      <c r="K327">
        <f>IF($B327="","",IF(I327=0,0,J327/I327))</f>
        <v/>
      </c>
    </row>
    <row r="328">
      <c r="A328">
        <f>IF($B328="","",ROW()-5)</f>
        <v/>
      </c>
      <c r="D328">
        <f>IF($B328="","",IF(C328="","",TEXT(C328,"MMM")))</f>
        <v/>
      </c>
      <c r="K328">
        <f>IF($B328="","",IF(I328=0,0,J328/I328))</f>
        <v/>
      </c>
    </row>
    <row r="329">
      <c r="A329">
        <f>IF($B329="","",ROW()-5)</f>
        <v/>
      </c>
      <c r="D329">
        <f>IF($B329="","",IF(C329="","",TEXT(C329,"MMM")))</f>
        <v/>
      </c>
      <c r="K329">
        <f>IF($B329="","",IF(I329=0,0,J329/I329))</f>
        <v/>
      </c>
    </row>
    <row r="330">
      <c r="A330">
        <f>IF($B330="","",ROW()-5)</f>
        <v/>
      </c>
      <c r="D330">
        <f>IF($B330="","",IF(C330="","",TEXT(C330,"MMM")))</f>
        <v/>
      </c>
      <c r="K330">
        <f>IF($B330="","",IF(I330=0,0,J330/I330))</f>
        <v/>
      </c>
    </row>
    <row r="331">
      <c r="A331">
        <f>IF($B331="","",ROW()-5)</f>
        <v/>
      </c>
      <c r="D331">
        <f>IF($B331="","",IF(C331="","",TEXT(C331,"MMM")))</f>
        <v/>
      </c>
      <c r="K331">
        <f>IF($B331="","",IF(I331=0,0,J331/I331))</f>
        <v/>
      </c>
    </row>
    <row r="332">
      <c r="A332">
        <f>IF($B332="","",ROW()-5)</f>
        <v/>
      </c>
      <c r="D332">
        <f>IF($B332="","",IF(C332="","",TEXT(C332,"MMM")))</f>
        <v/>
      </c>
      <c r="K332">
        <f>IF($B332="","",IF(I332=0,0,J332/I332))</f>
        <v/>
      </c>
    </row>
    <row r="333">
      <c r="A333">
        <f>IF($B333="","",ROW()-5)</f>
        <v/>
      </c>
      <c r="D333">
        <f>IF($B333="","",IF(C333="","",TEXT(C333,"MMM")))</f>
        <v/>
      </c>
      <c r="K333">
        <f>IF($B333="","",IF(I333=0,0,J333/I333))</f>
        <v/>
      </c>
    </row>
    <row r="334">
      <c r="A334">
        <f>IF($B334="","",ROW()-5)</f>
        <v/>
      </c>
      <c r="D334">
        <f>IF($B334="","",IF(C334="","",TEXT(C334,"MMM")))</f>
        <v/>
      </c>
      <c r="K334">
        <f>IF($B334="","",IF(I334=0,0,J334/I334))</f>
        <v/>
      </c>
    </row>
    <row r="335">
      <c r="A335">
        <f>IF($B335="","",ROW()-5)</f>
        <v/>
      </c>
      <c r="D335">
        <f>IF($B335="","",IF(C335="","",TEXT(C335,"MMM")))</f>
        <v/>
      </c>
      <c r="K335">
        <f>IF($B335="","",IF(I335=0,0,J335/I335))</f>
        <v/>
      </c>
    </row>
    <row r="336">
      <c r="A336">
        <f>IF($B336="","",ROW()-5)</f>
        <v/>
      </c>
      <c r="D336">
        <f>IF($B336="","",IF(C336="","",TEXT(C336,"MMM")))</f>
        <v/>
      </c>
      <c r="K336">
        <f>IF($B336="","",IF(I336=0,0,J336/I336))</f>
        <v/>
      </c>
    </row>
    <row r="337">
      <c r="A337">
        <f>IF($B337="","",ROW()-5)</f>
        <v/>
      </c>
      <c r="D337">
        <f>IF($B337="","",IF(C337="","",TEXT(C337,"MMM")))</f>
        <v/>
      </c>
      <c r="K337">
        <f>IF($B337="","",IF(I337=0,0,J337/I337))</f>
        <v/>
      </c>
    </row>
    <row r="338">
      <c r="A338">
        <f>IF($B338="","",ROW()-5)</f>
        <v/>
      </c>
      <c r="D338">
        <f>IF($B338="","",IF(C338="","",TEXT(C338,"MMM")))</f>
        <v/>
      </c>
      <c r="K338">
        <f>IF($B338="","",IF(I338=0,0,J338/I338))</f>
        <v/>
      </c>
    </row>
    <row r="339">
      <c r="A339">
        <f>IF($B339="","",ROW()-5)</f>
        <v/>
      </c>
      <c r="D339">
        <f>IF($B339="","",IF(C339="","",TEXT(C339,"MMM")))</f>
        <v/>
      </c>
      <c r="K339">
        <f>IF($B339="","",IF(I339=0,0,J339/I339))</f>
        <v/>
      </c>
    </row>
    <row r="340">
      <c r="A340">
        <f>IF($B340="","",ROW()-5)</f>
        <v/>
      </c>
      <c r="D340">
        <f>IF($B340="","",IF(C340="","",TEXT(C340,"MMM")))</f>
        <v/>
      </c>
      <c r="K340">
        <f>IF($B340="","",IF(I340=0,0,J340/I340))</f>
        <v/>
      </c>
    </row>
    <row r="341">
      <c r="A341">
        <f>IF($B341="","",ROW()-5)</f>
        <v/>
      </c>
      <c r="D341">
        <f>IF($B341="","",IF(C341="","",TEXT(C341,"MMM")))</f>
        <v/>
      </c>
      <c r="K341">
        <f>IF($B341="","",IF(I341=0,0,J341/I341))</f>
        <v/>
      </c>
    </row>
    <row r="342">
      <c r="A342">
        <f>IF($B342="","",ROW()-5)</f>
        <v/>
      </c>
      <c r="D342">
        <f>IF($B342="","",IF(C342="","",TEXT(C342,"MMM")))</f>
        <v/>
      </c>
      <c r="K342">
        <f>IF($B342="","",IF(I342=0,0,J342/I342))</f>
        <v/>
      </c>
    </row>
    <row r="343">
      <c r="A343">
        <f>IF($B343="","",ROW()-5)</f>
        <v/>
      </c>
      <c r="D343">
        <f>IF($B343="","",IF(C343="","",TEXT(C343,"MMM")))</f>
        <v/>
      </c>
      <c r="K343">
        <f>IF($B343="","",IF(I343=0,0,J343/I343))</f>
        <v/>
      </c>
    </row>
    <row r="344">
      <c r="A344">
        <f>IF($B344="","",ROW()-5)</f>
        <v/>
      </c>
      <c r="D344">
        <f>IF($B344="","",IF(C344="","",TEXT(C344,"MMM")))</f>
        <v/>
      </c>
      <c r="K344">
        <f>IF($B344="","",IF(I344=0,0,J344/I344))</f>
        <v/>
      </c>
    </row>
    <row r="345">
      <c r="A345">
        <f>IF($B345="","",ROW()-5)</f>
        <v/>
      </c>
      <c r="D345">
        <f>IF($B345="","",IF(C345="","",TEXT(C345,"MMM")))</f>
        <v/>
      </c>
      <c r="K345">
        <f>IF($B345="","",IF(I345=0,0,J345/I345))</f>
        <v/>
      </c>
    </row>
    <row r="346">
      <c r="A346">
        <f>IF($B346="","",ROW()-5)</f>
        <v/>
      </c>
      <c r="D346">
        <f>IF($B346="","",IF(C346="","",TEXT(C346,"MMM")))</f>
        <v/>
      </c>
      <c r="K346">
        <f>IF($B346="","",IF(I346=0,0,J346/I346))</f>
        <v/>
      </c>
    </row>
    <row r="347">
      <c r="A347">
        <f>IF($B347="","",ROW()-5)</f>
        <v/>
      </c>
      <c r="D347">
        <f>IF($B347="","",IF(C347="","",TEXT(C347,"MMM")))</f>
        <v/>
      </c>
      <c r="K347">
        <f>IF($B347="","",IF(I347=0,0,J347/I347))</f>
        <v/>
      </c>
    </row>
    <row r="348">
      <c r="A348">
        <f>IF($B348="","",ROW()-5)</f>
        <v/>
      </c>
      <c r="D348">
        <f>IF($B348="","",IF(C348="","",TEXT(C348,"MMM")))</f>
        <v/>
      </c>
      <c r="K348">
        <f>IF($B348="","",IF(I348=0,0,J348/I348))</f>
        <v/>
      </c>
    </row>
    <row r="349">
      <c r="A349">
        <f>IF($B349="","",ROW()-5)</f>
        <v/>
      </c>
      <c r="D349">
        <f>IF($B349="","",IF(C349="","",TEXT(C349,"MMM")))</f>
        <v/>
      </c>
      <c r="K349">
        <f>IF($B349="","",IF(I349=0,0,J349/I349))</f>
        <v/>
      </c>
    </row>
    <row r="350">
      <c r="A350">
        <f>IF($B350="","",ROW()-5)</f>
        <v/>
      </c>
      <c r="D350">
        <f>IF($B350="","",IF(C350="","",TEXT(C350,"MMM")))</f>
        <v/>
      </c>
      <c r="K350">
        <f>IF($B350="","",IF(I350=0,0,J350/I350))</f>
        <v/>
      </c>
    </row>
    <row r="351">
      <c r="A351">
        <f>IF($B351="","",ROW()-5)</f>
        <v/>
      </c>
      <c r="D351">
        <f>IF($B351="","",IF(C351="","",TEXT(C351,"MMM")))</f>
        <v/>
      </c>
      <c r="K351">
        <f>IF($B351="","",IF(I351=0,0,J351/I351))</f>
        <v/>
      </c>
    </row>
    <row r="352">
      <c r="A352">
        <f>IF($B352="","",ROW()-5)</f>
        <v/>
      </c>
      <c r="D352">
        <f>IF($B352="","",IF(C352="","",TEXT(C352,"MMM")))</f>
        <v/>
      </c>
      <c r="K352">
        <f>IF($B352="","",IF(I352=0,0,J352/I352))</f>
        <v/>
      </c>
    </row>
    <row r="353">
      <c r="A353">
        <f>IF($B353="","",ROW()-5)</f>
        <v/>
      </c>
      <c r="D353">
        <f>IF($B353="","",IF(C353="","",TEXT(C353,"MMM")))</f>
        <v/>
      </c>
      <c r="K353">
        <f>IF($B353="","",IF(I353=0,0,J353/I353))</f>
        <v/>
      </c>
    </row>
    <row r="354">
      <c r="A354">
        <f>IF($B354="","",ROW()-5)</f>
        <v/>
      </c>
      <c r="D354">
        <f>IF($B354="","",IF(C354="","",TEXT(C354,"MMM")))</f>
        <v/>
      </c>
      <c r="K354">
        <f>IF($B354="","",IF(I354=0,0,J354/I354))</f>
        <v/>
      </c>
    </row>
    <row r="355">
      <c r="A355">
        <f>IF($B355="","",ROW()-5)</f>
        <v/>
      </c>
      <c r="D355">
        <f>IF($B355="","",IF(C355="","",TEXT(C355,"MMM")))</f>
        <v/>
      </c>
      <c r="K355">
        <f>IF($B355="","",IF(I355=0,0,J355/I355))</f>
        <v/>
      </c>
    </row>
    <row r="356">
      <c r="A356">
        <f>IF($B356="","",ROW()-5)</f>
        <v/>
      </c>
      <c r="D356">
        <f>IF($B356="","",IF(C356="","",TEXT(C356,"MMM")))</f>
        <v/>
      </c>
      <c r="K356">
        <f>IF($B356="","",IF(I356=0,0,J356/I356))</f>
        <v/>
      </c>
    </row>
    <row r="357">
      <c r="A357">
        <f>IF($B357="","",ROW()-5)</f>
        <v/>
      </c>
      <c r="D357">
        <f>IF($B357="","",IF(C357="","",TEXT(C357,"MMM")))</f>
        <v/>
      </c>
      <c r="K357">
        <f>IF($B357="","",IF(I357=0,0,J357/I357))</f>
        <v/>
      </c>
    </row>
    <row r="358">
      <c r="A358">
        <f>IF($B358="","",ROW()-5)</f>
        <v/>
      </c>
      <c r="D358">
        <f>IF($B358="","",IF(C358="","",TEXT(C358,"MMM")))</f>
        <v/>
      </c>
      <c r="K358">
        <f>IF($B358="","",IF(I358=0,0,J358/I358))</f>
        <v/>
      </c>
    </row>
    <row r="359">
      <c r="A359">
        <f>IF($B359="","",ROW()-5)</f>
        <v/>
      </c>
      <c r="D359">
        <f>IF($B359="","",IF(C359="","",TEXT(C359,"MMM")))</f>
        <v/>
      </c>
      <c r="K359">
        <f>IF($B359="","",IF(I359=0,0,J359/I359))</f>
        <v/>
      </c>
    </row>
    <row r="360">
      <c r="A360">
        <f>IF($B360="","",ROW()-5)</f>
        <v/>
      </c>
      <c r="D360">
        <f>IF($B360="","",IF(C360="","",TEXT(C360,"MMM")))</f>
        <v/>
      </c>
      <c r="K360">
        <f>IF($B360="","",IF(I360=0,0,J360/I360))</f>
        <v/>
      </c>
    </row>
    <row r="361">
      <c r="A361">
        <f>IF($B361="","",ROW()-5)</f>
        <v/>
      </c>
      <c r="D361">
        <f>IF($B361="","",IF(C361="","",TEXT(C361,"MMM")))</f>
        <v/>
      </c>
      <c r="K361">
        <f>IF($B361="","",IF(I361=0,0,J361/I361))</f>
        <v/>
      </c>
    </row>
    <row r="362">
      <c r="A362">
        <f>IF($B362="","",ROW()-5)</f>
        <v/>
      </c>
      <c r="D362">
        <f>IF($B362="","",IF(C362="","",TEXT(C362,"MMM")))</f>
        <v/>
      </c>
      <c r="K362">
        <f>IF($B362="","",IF(I362=0,0,J362/I362))</f>
        <v/>
      </c>
    </row>
    <row r="363">
      <c r="A363">
        <f>IF($B363="","",ROW()-5)</f>
        <v/>
      </c>
      <c r="D363">
        <f>IF($B363="","",IF(C363="","",TEXT(C363,"MMM")))</f>
        <v/>
      </c>
      <c r="K363">
        <f>IF($B363="","",IF(I363=0,0,J363/I363))</f>
        <v/>
      </c>
    </row>
    <row r="364">
      <c r="A364">
        <f>IF($B364="","",ROW()-5)</f>
        <v/>
      </c>
      <c r="D364">
        <f>IF($B364="","",IF(C364="","",TEXT(C364,"MMM")))</f>
        <v/>
      </c>
      <c r="K364">
        <f>IF($B364="","",IF(I364=0,0,J364/I364))</f>
        <v/>
      </c>
    </row>
    <row r="365">
      <c r="A365">
        <f>IF($B365="","",ROW()-5)</f>
        <v/>
      </c>
      <c r="D365">
        <f>IF($B365="","",IF(C365="","",TEXT(C365,"MMM")))</f>
        <v/>
      </c>
      <c r="K365">
        <f>IF($B365="","",IF(I365=0,0,J365/I365))</f>
        <v/>
      </c>
    </row>
    <row r="366">
      <c r="A366">
        <f>IF($B366="","",ROW()-5)</f>
        <v/>
      </c>
      <c r="D366">
        <f>IF($B366="","",IF(C366="","",TEXT(C366,"MMM")))</f>
        <v/>
      </c>
      <c r="K366">
        <f>IF($B366="","",IF(I366=0,0,J366/I366))</f>
        <v/>
      </c>
    </row>
    <row r="367">
      <c r="A367">
        <f>IF($B367="","",ROW()-5)</f>
        <v/>
      </c>
      <c r="D367">
        <f>IF($B367="","",IF(C367="","",TEXT(C367,"MMM")))</f>
        <v/>
      </c>
      <c r="K367">
        <f>IF($B367="","",IF(I367=0,0,J367/I367))</f>
        <v/>
      </c>
    </row>
    <row r="368">
      <c r="A368">
        <f>IF($B368="","",ROW()-5)</f>
        <v/>
      </c>
      <c r="D368">
        <f>IF($B368="","",IF(C368="","",TEXT(C368,"MMM")))</f>
        <v/>
      </c>
      <c r="K368">
        <f>IF($B368="","",IF(I368=0,0,J368/I368))</f>
        <v/>
      </c>
    </row>
    <row r="369">
      <c r="A369">
        <f>IF($B369="","",ROW()-5)</f>
        <v/>
      </c>
      <c r="D369">
        <f>IF($B369="","",IF(C369="","",TEXT(C369,"MMM")))</f>
        <v/>
      </c>
      <c r="K369">
        <f>IF($B369="","",IF(I369=0,0,J369/I369))</f>
        <v/>
      </c>
    </row>
    <row r="370">
      <c r="A370">
        <f>IF($B370="","",ROW()-5)</f>
        <v/>
      </c>
      <c r="D370">
        <f>IF($B370="","",IF(C370="","",TEXT(C370,"MMM")))</f>
        <v/>
      </c>
      <c r="K370">
        <f>IF($B370="","",IF(I370=0,0,J370/I370))</f>
        <v/>
      </c>
    </row>
    <row r="371">
      <c r="A371">
        <f>IF($B371="","",ROW()-5)</f>
        <v/>
      </c>
      <c r="D371">
        <f>IF($B371="","",IF(C371="","",TEXT(C371,"MMM")))</f>
        <v/>
      </c>
      <c r="K371">
        <f>IF($B371="","",IF(I371=0,0,J371/I371))</f>
        <v/>
      </c>
    </row>
    <row r="372">
      <c r="A372">
        <f>IF($B372="","",ROW()-5)</f>
        <v/>
      </c>
      <c r="D372">
        <f>IF($B372="","",IF(C372="","",TEXT(C372,"MMM")))</f>
        <v/>
      </c>
      <c r="K372">
        <f>IF($B372="","",IF(I372=0,0,J372/I372))</f>
        <v/>
      </c>
    </row>
    <row r="373">
      <c r="A373">
        <f>IF($B373="","",ROW()-5)</f>
        <v/>
      </c>
      <c r="D373">
        <f>IF($B373="","",IF(C373="","",TEXT(C373,"MMM")))</f>
        <v/>
      </c>
      <c r="K373">
        <f>IF($B373="","",IF(I373=0,0,J373/I373))</f>
        <v/>
      </c>
    </row>
    <row r="374">
      <c r="A374">
        <f>IF($B374="","",ROW()-5)</f>
        <v/>
      </c>
      <c r="D374">
        <f>IF($B374="","",IF(C374="","",TEXT(C374,"MMM")))</f>
        <v/>
      </c>
      <c r="K374">
        <f>IF($B374="","",IF(I374=0,0,J374/I374))</f>
        <v/>
      </c>
    </row>
    <row r="375">
      <c r="A375">
        <f>IF($B375="","",ROW()-5)</f>
        <v/>
      </c>
      <c r="D375">
        <f>IF($B375="","",IF(C375="","",TEXT(C375,"MMM")))</f>
        <v/>
      </c>
      <c r="K375">
        <f>IF($B375="","",IF(I375=0,0,J375/I375))</f>
        <v/>
      </c>
    </row>
    <row r="376">
      <c r="A376">
        <f>IF($B376="","",ROW()-5)</f>
        <v/>
      </c>
      <c r="D376">
        <f>IF($B376="","",IF(C376="","",TEXT(C376,"MMM")))</f>
        <v/>
      </c>
      <c r="K376">
        <f>IF($B376="","",IF(I376=0,0,J376/I376))</f>
        <v/>
      </c>
    </row>
    <row r="377">
      <c r="A377">
        <f>IF($B377="","",ROW()-5)</f>
        <v/>
      </c>
      <c r="D377">
        <f>IF($B377="","",IF(C377="","",TEXT(C377,"MMM")))</f>
        <v/>
      </c>
      <c r="K377">
        <f>IF($B377="","",IF(I377=0,0,J377/I377))</f>
        <v/>
      </c>
    </row>
    <row r="378">
      <c r="A378">
        <f>IF($B378="","",ROW()-5)</f>
        <v/>
      </c>
      <c r="D378">
        <f>IF($B378="","",IF(C378="","",TEXT(C378,"MMM")))</f>
        <v/>
      </c>
      <c r="K378">
        <f>IF($B378="","",IF(I378=0,0,J378/I378))</f>
        <v/>
      </c>
    </row>
    <row r="379">
      <c r="A379">
        <f>IF($B379="","",ROW()-5)</f>
        <v/>
      </c>
      <c r="D379">
        <f>IF($B379="","",IF(C379="","",TEXT(C379,"MMM")))</f>
        <v/>
      </c>
      <c r="K379">
        <f>IF($B379="","",IF(I379=0,0,J379/I379))</f>
        <v/>
      </c>
    </row>
    <row r="380">
      <c r="A380">
        <f>IF($B380="","",ROW()-5)</f>
        <v/>
      </c>
      <c r="D380">
        <f>IF($B380="","",IF(C380="","",TEXT(C380,"MMM")))</f>
        <v/>
      </c>
      <c r="K380">
        <f>IF($B380="","",IF(I380=0,0,J380/I380))</f>
        <v/>
      </c>
    </row>
    <row r="381">
      <c r="A381">
        <f>IF($B381="","",ROW()-5)</f>
        <v/>
      </c>
      <c r="D381">
        <f>IF($B381="","",IF(C381="","",TEXT(C381,"MMM")))</f>
        <v/>
      </c>
      <c r="K381">
        <f>IF($B381="","",IF(I381=0,0,J381/I381))</f>
        <v/>
      </c>
    </row>
    <row r="382">
      <c r="A382">
        <f>IF($B382="","",ROW()-5)</f>
        <v/>
      </c>
      <c r="D382">
        <f>IF($B382="","",IF(C382="","",TEXT(C382,"MMM")))</f>
        <v/>
      </c>
      <c r="K382">
        <f>IF($B382="","",IF(I382=0,0,J382/I382))</f>
        <v/>
      </c>
    </row>
    <row r="383">
      <c r="A383">
        <f>IF($B383="","",ROW()-5)</f>
        <v/>
      </c>
      <c r="D383">
        <f>IF($B383="","",IF(C383="","",TEXT(C383,"MMM")))</f>
        <v/>
      </c>
      <c r="K383">
        <f>IF($B383="","",IF(I383=0,0,J383/I383))</f>
        <v/>
      </c>
    </row>
    <row r="384">
      <c r="A384">
        <f>IF($B384="","",ROW()-5)</f>
        <v/>
      </c>
      <c r="D384">
        <f>IF($B384="","",IF(C384="","",TEXT(C384,"MMM")))</f>
        <v/>
      </c>
      <c r="K384">
        <f>IF($B384="","",IF(I384=0,0,J384/I384))</f>
        <v/>
      </c>
    </row>
    <row r="385">
      <c r="A385">
        <f>IF($B385="","",ROW()-5)</f>
        <v/>
      </c>
      <c r="D385">
        <f>IF($B385="","",IF(C385="","",TEXT(C385,"MMM")))</f>
        <v/>
      </c>
      <c r="K385">
        <f>IF($B385="","",IF(I385=0,0,J385/I385))</f>
        <v/>
      </c>
    </row>
    <row r="386">
      <c r="A386">
        <f>IF($B386="","",ROW()-5)</f>
        <v/>
      </c>
      <c r="D386">
        <f>IF($B386="","",IF(C386="","",TEXT(C386,"MMM")))</f>
        <v/>
      </c>
      <c r="K386">
        <f>IF($B386="","",IF(I386=0,0,J386/I386))</f>
        <v/>
      </c>
    </row>
    <row r="387">
      <c r="A387">
        <f>IF($B387="","",ROW()-5)</f>
        <v/>
      </c>
      <c r="D387">
        <f>IF($B387="","",IF(C387="","",TEXT(C387,"MMM")))</f>
        <v/>
      </c>
      <c r="K387">
        <f>IF($B387="","",IF(I387=0,0,J387/I387))</f>
        <v/>
      </c>
    </row>
    <row r="388">
      <c r="A388">
        <f>IF($B388="","",ROW()-5)</f>
        <v/>
      </c>
      <c r="D388">
        <f>IF($B388="","",IF(C388="","",TEXT(C388,"MMM")))</f>
        <v/>
      </c>
      <c r="K388">
        <f>IF($B388="","",IF(I388=0,0,J388/I388))</f>
        <v/>
      </c>
    </row>
    <row r="389">
      <c r="A389">
        <f>IF($B389="","",ROW()-5)</f>
        <v/>
      </c>
      <c r="D389">
        <f>IF($B389="","",IF(C389="","",TEXT(C389,"MMM")))</f>
        <v/>
      </c>
      <c r="K389">
        <f>IF($B389="","",IF(I389=0,0,J389/I389))</f>
        <v/>
      </c>
    </row>
    <row r="390">
      <c r="A390">
        <f>IF($B390="","",ROW()-5)</f>
        <v/>
      </c>
      <c r="D390">
        <f>IF($B390="","",IF(C390="","",TEXT(C390,"MMM")))</f>
        <v/>
      </c>
      <c r="K390">
        <f>IF($B390="","",IF(I390=0,0,J390/I390))</f>
        <v/>
      </c>
    </row>
    <row r="391">
      <c r="A391">
        <f>IF($B391="","",ROW()-5)</f>
        <v/>
      </c>
      <c r="D391">
        <f>IF($B391="","",IF(C391="","",TEXT(C391,"MMM")))</f>
        <v/>
      </c>
      <c r="K391">
        <f>IF($B391="","",IF(I391=0,0,J391/I391))</f>
        <v/>
      </c>
    </row>
    <row r="392">
      <c r="A392">
        <f>IF($B392="","",ROW()-5)</f>
        <v/>
      </c>
      <c r="D392">
        <f>IF($B392="","",IF(C392="","",TEXT(C392,"MMM")))</f>
        <v/>
      </c>
      <c r="K392">
        <f>IF($B392="","",IF(I392=0,0,J392/I392))</f>
        <v/>
      </c>
    </row>
    <row r="393">
      <c r="A393">
        <f>IF($B393="","",ROW()-5)</f>
        <v/>
      </c>
      <c r="D393">
        <f>IF($B393="","",IF(C393="","",TEXT(C393,"MMM")))</f>
        <v/>
      </c>
      <c r="K393">
        <f>IF($B393="","",IF(I393=0,0,J393/I393))</f>
        <v/>
      </c>
    </row>
    <row r="394">
      <c r="A394">
        <f>IF($B394="","",ROW()-5)</f>
        <v/>
      </c>
      <c r="D394">
        <f>IF($B394="","",IF(C394="","",TEXT(C394,"MMM")))</f>
        <v/>
      </c>
      <c r="K394">
        <f>IF($B394="","",IF(I394=0,0,J394/I394))</f>
        <v/>
      </c>
    </row>
    <row r="395">
      <c r="A395">
        <f>IF($B395="","",ROW()-5)</f>
        <v/>
      </c>
      <c r="D395">
        <f>IF($B395="","",IF(C395="","",TEXT(C395,"MMM")))</f>
        <v/>
      </c>
      <c r="K395">
        <f>IF($B395="","",IF(I395=0,0,J395/I395))</f>
        <v/>
      </c>
    </row>
    <row r="396">
      <c r="A396">
        <f>IF($B396="","",ROW()-5)</f>
        <v/>
      </c>
      <c r="D396">
        <f>IF($B396="","",IF(C396="","",TEXT(C396,"MMM")))</f>
        <v/>
      </c>
      <c r="K396">
        <f>IF($B396="","",IF(I396=0,0,J396/I396))</f>
        <v/>
      </c>
    </row>
    <row r="397">
      <c r="A397">
        <f>IF($B397="","",ROW()-5)</f>
        <v/>
      </c>
      <c r="D397">
        <f>IF($B397="","",IF(C397="","",TEXT(C397,"MMM")))</f>
        <v/>
      </c>
      <c r="K397">
        <f>IF($B397="","",IF(I397=0,0,J397/I397))</f>
        <v/>
      </c>
    </row>
    <row r="398">
      <c r="A398">
        <f>IF($B398="","",ROW()-5)</f>
        <v/>
      </c>
      <c r="D398">
        <f>IF($B398="","",IF(C398="","",TEXT(C398,"MMM")))</f>
        <v/>
      </c>
      <c r="K398">
        <f>IF($B398="","",IF(I398=0,0,J398/I398))</f>
        <v/>
      </c>
    </row>
    <row r="399">
      <c r="A399">
        <f>IF($B399="","",ROW()-5)</f>
        <v/>
      </c>
      <c r="D399">
        <f>IF($B399="","",IF(C399="","",TEXT(C399,"MMM")))</f>
        <v/>
      </c>
      <c r="K399">
        <f>IF($B399="","",IF(I399=0,0,J399/I399))</f>
        <v/>
      </c>
    </row>
    <row r="400">
      <c r="A400">
        <f>IF($B400="","",ROW()-5)</f>
        <v/>
      </c>
      <c r="D400">
        <f>IF($B400="","",IF(C400="","",TEXT(C400,"MMM")))</f>
        <v/>
      </c>
      <c r="K400">
        <f>IF($B400="","",IF(I400=0,0,J400/I400))</f>
        <v/>
      </c>
    </row>
    <row r="401">
      <c r="A401">
        <f>IF($B401="","",ROW()-5)</f>
        <v/>
      </c>
      <c r="D401">
        <f>IF($B401="","",IF(C401="","",TEXT(C401,"MMM")))</f>
        <v/>
      </c>
      <c r="K401">
        <f>IF($B401="","",IF(I401=0,0,J401/I401))</f>
        <v/>
      </c>
    </row>
    <row r="402">
      <c r="A402">
        <f>IF($B402="","",ROW()-5)</f>
        <v/>
      </c>
      <c r="D402">
        <f>IF($B402="","",IF(C402="","",TEXT(C402,"MMM")))</f>
        <v/>
      </c>
      <c r="K402">
        <f>IF($B402="","",IF(I402=0,0,J402/I402))</f>
        <v/>
      </c>
    </row>
    <row r="403">
      <c r="A403">
        <f>IF($B403="","",ROW()-5)</f>
        <v/>
      </c>
      <c r="D403">
        <f>IF($B403="","",IF(C403="","",TEXT(C403,"MMM")))</f>
        <v/>
      </c>
      <c r="K403">
        <f>IF($B403="","",IF(I403=0,0,J403/I403))</f>
        <v/>
      </c>
    </row>
    <row r="404">
      <c r="A404">
        <f>IF($B404="","",ROW()-5)</f>
        <v/>
      </c>
      <c r="D404">
        <f>IF($B404="","",IF(C404="","",TEXT(C404,"MMM")))</f>
        <v/>
      </c>
      <c r="K404">
        <f>IF($B404="","",IF(I404=0,0,J404/I404))</f>
        <v/>
      </c>
    </row>
    <row r="405">
      <c r="A405">
        <f>IF($B405="","",ROW()-5)</f>
        <v/>
      </c>
      <c r="D405">
        <f>IF($B405="","",IF(C405="","",TEXT(C405,"MMM")))</f>
        <v/>
      </c>
      <c r="K405">
        <f>IF($B405="","",IF(I405=0,0,J405/I405))</f>
        <v/>
      </c>
    </row>
    <row r="406">
      <c r="A406">
        <f>IF($B406="","",ROW()-5)</f>
        <v/>
      </c>
      <c r="D406">
        <f>IF($B406="","",IF(C406="","",TEXT(C406,"MMM")))</f>
        <v/>
      </c>
      <c r="K406">
        <f>IF($B406="","",IF(I406=0,0,J406/I406))</f>
        <v/>
      </c>
    </row>
    <row r="407">
      <c r="A407">
        <f>IF($B407="","",ROW()-5)</f>
        <v/>
      </c>
      <c r="D407">
        <f>IF($B407="","",IF(C407="","",TEXT(C407,"MMM")))</f>
        <v/>
      </c>
      <c r="K407">
        <f>IF($B407="","",IF(I407=0,0,J407/I407))</f>
        <v/>
      </c>
    </row>
    <row r="408">
      <c r="A408">
        <f>IF($B408="","",ROW()-5)</f>
        <v/>
      </c>
      <c r="D408">
        <f>IF($B408="","",IF(C408="","",TEXT(C408,"MMM")))</f>
        <v/>
      </c>
      <c r="K408">
        <f>IF($B408="","",IF(I408=0,0,J408/I408))</f>
        <v/>
      </c>
    </row>
    <row r="409">
      <c r="A409">
        <f>IF($B409="","",ROW()-5)</f>
        <v/>
      </c>
      <c r="D409">
        <f>IF($B409="","",IF(C409="","",TEXT(C409,"MMM")))</f>
        <v/>
      </c>
      <c r="K409">
        <f>IF($B409="","",IF(I409=0,0,J409/I409))</f>
        <v/>
      </c>
    </row>
    <row r="410">
      <c r="A410">
        <f>IF($B410="","",ROW()-5)</f>
        <v/>
      </c>
      <c r="D410">
        <f>IF($B410="","",IF(C410="","",TEXT(C410,"MMM")))</f>
        <v/>
      </c>
      <c r="K410">
        <f>IF($B410="","",IF(I410=0,0,J410/I410))</f>
        <v/>
      </c>
    </row>
    <row r="411">
      <c r="A411">
        <f>IF($B411="","",ROW()-5)</f>
        <v/>
      </c>
      <c r="D411">
        <f>IF($B411="","",IF(C411="","",TEXT(C411,"MMM")))</f>
        <v/>
      </c>
      <c r="K411">
        <f>IF($B411="","",IF(I411=0,0,J411/I411))</f>
        <v/>
      </c>
    </row>
    <row r="412">
      <c r="A412">
        <f>IF($B412="","",ROW()-5)</f>
        <v/>
      </c>
      <c r="D412">
        <f>IF($B412="","",IF(C412="","",TEXT(C412,"MMM")))</f>
        <v/>
      </c>
      <c r="K412">
        <f>IF($B412="","",IF(I412=0,0,J412/I412))</f>
        <v/>
      </c>
    </row>
    <row r="413">
      <c r="A413">
        <f>IF($B413="","",ROW()-5)</f>
        <v/>
      </c>
      <c r="D413">
        <f>IF($B413="","",IF(C413="","",TEXT(C413,"MMM")))</f>
        <v/>
      </c>
      <c r="K413">
        <f>IF($B413="","",IF(I413=0,0,J413/I413))</f>
        <v/>
      </c>
    </row>
    <row r="414">
      <c r="A414">
        <f>IF($B414="","",ROW()-5)</f>
        <v/>
      </c>
      <c r="D414">
        <f>IF($B414="","",IF(C414="","",TEXT(C414,"MMM")))</f>
        <v/>
      </c>
      <c r="K414">
        <f>IF($B414="","",IF(I414=0,0,J414/I414))</f>
        <v/>
      </c>
    </row>
    <row r="415">
      <c r="A415">
        <f>IF($B415="","",ROW()-5)</f>
        <v/>
      </c>
      <c r="D415">
        <f>IF($B415="","",IF(C415="","",TEXT(C415,"MMM")))</f>
        <v/>
      </c>
      <c r="K415">
        <f>IF($B415="","",IF(I415=0,0,J415/I415))</f>
        <v/>
      </c>
    </row>
    <row r="416">
      <c r="A416">
        <f>IF($B416="","",ROW()-5)</f>
        <v/>
      </c>
      <c r="D416">
        <f>IF($B416="","",IF(C416="","",TEXT(C416,"MMM")))</f>
        <v/>
      </c>
      <c r="K416">
        <f>IF($B416="","",IF(I416=0,0,J416/I416))</f>
        <v/>
      </c>
    </row>
    <row r="417">
      <c r="A417">
        <f>IF($B417="","",ROW()-5)</f>
        <v/>
      </c>
      <c r="D417">
        <f>IF($B417="","",IF(C417="","",TEXT(C417,"MMM")))</f>
        <v/>
      </c>
      <c r="K417">
        <f>IF($B417="","",IF(I417=0,0,J417/I417))</f>
        <v/>
      </c>
    </row>
    <row r="418">
      <c r="A418">
        <f>IF($B418="","",ROW()-5)</f>
        <v/>
      </c>
      <c r="D418">
        <f>IF($B418="","",IF(C418="","",TEXT(C418,"MMM")))</f>
        <v/>
      </c>
      <c r="K418">
        <f>IF($B418="","",IF(I418=0,0,J418/I418))</f>
        <v/>
      </c>
    </row>
    <row r="419">
      <c r="A419">
        <f>IF($B419="","",ROW()-5)</f>
        <v/>
      </c>
      <c r="D419">
        <f>IF($B419="","",IF(C419="","",TEXT(C419,"MMM")))</f>
        <v/>
      </c>
      <c r="K419">
        <f>IF($B419="","",IF(I419=0,0,J419/I419))</f>
        <v/>
      </c>
    </row>
    <row r="420">
      <c r="A420">
        <f>IF($B420="","",ROW()-5)</f>
        <v/>
      </c>
      <c r="D420">
        <f>IF($B420="","",IF(C420="","",TEXT(C420,"MMM")))</f>
        <v/>
      </c>
      <c r="K420">
        <f>IF($B420="","",IF(I420=0,0,J420/I420))</f>
        <v/>
      </c>
    </row>
    <row r="421">
      <c r="A421">
        <f>IF($B421="","",ROW()-5)</f>
        <v/>
      </c>
      <c r="D421">
        <f>IF($B421="","",IF(C421="","",TEXT(C421,"MMM")))</f>
        <v/>
      </c>
      <c r="K421">
        <f>IF($B421="","",IF(I421=0,0,J421/I421))</f>
        <v/>
      </c>
    </row>
    <row r="422">
      <c r="A422">
        <f>IF($B422="","",ROW()-5)</f>
        <v/>
      </c>
      <c r="D422">
        <f>IF($B422="","",IF(C422="","",TEXT(C422,"MMM")))</f>
        <v/>
      </c>
      <c r="K422">
        <f>IF($B422="","",IF(I422=0,0,J422/I422))</f>
        <v/>
      </c>
    </row>
    <row r="423">
      <c r="A423">
        <f>IF($B423="","",ROW()-5)</f>
        <v/>
      </c>
      <c r="D423">
        <f>IF($B423="","",IF(C423="","",TEXT(C423,"MMM")))</f>
        <v/>
      </c>
      <c r="K423">
        <f>IF($B423="","",IF(I423=0,0,J423/I423))</f>
        <v/>
      </c>
    </row>
    <row r="424">
      <c r="A424">
        <f>IF($B424="","",ROW()-5)</f>
        <v/>
      </c>
      <c r="D424">
        <f>IF($B424="","",IF(C424="","",TEXT(C424,"MMM")))</f>
        <v/>
      </c>
      <c r="K424">
        <f>IF($B424="","",IF(I424=0,0,J424/I424))</f>
        <v/>
      </c>
    </row>
    <row r="425">
      <c r="A425">
        <f>IF($B425="","",ROW()-5)</f>
        <v/>
      </c>
      <c r="D425">
        <f>IF($B425="","",IF(C425="","",TEXT(C425,"MMM")))</f>
        <v/>
      </c>
      <c r="K425">
        <f>IF($B425="","",IF(I425=0,0,J425/I425))</f>
        <v/>
      </c>
    </row>
    <row r="426">
      <c r="A426">
        <f>IF($B426="","",ROW()-5)</f>
        <v/>
      </c>
      <c r="D426">
        <f>IF($B426="","",IF(C426="","",TEXT(C426,"MMM")))</f>
        <v/>
      </c>
      <c r="K426">
        <f>IF($B426="","",IF(I426=0,0,J426/I426))</f>
        <v/>
      </c>
    </row>
    <row r="427">
      <c r="A427">
        <f>IF($B427="","",ROW()-5)</f>
        <v/>
      </c>
      <c r="D427">
        <f>IF($B427="","",IF(C427="","",TEXT(C427,"MMM")))</f>
        <v/>
      </c>
      <c r="K427">
        <f>IF($B427="","",IF(I427=0,0,J427/I427))</f>
        <v/>
      </c>
    </row>
    <row r="428">
      <c r="A428">
        <f>IF($B428="","",ROW()-5)</f>
        <v/>
      </c>
      <c r="D428">
        <f>IF($B428="","",IF(C428="","",TEXT(C428,"MMM")))</f>
        <v/>
      </c>
      <c r="K428">
        <f>IF($B428="","",IF(I428=0,0,J428/I428))</f>
        <v/>
      </c>
    </row>
    <row r="429">
      <c r="A429">
        <f>IF($B429="","",ROW()-5)</f>
        <v/>
      </c>
      <c r="D429">
        <f>IF($B429="","",IF(C429="","",TEXT(C429,"MMM")))</f>
        <v/>
      </c>
      <c r="K429">
        <f>IF($B429="","",IF(I429=0,0,J429/I429))</f>
        <v/>
      </c>
    </row>
    <row r="430">
      <c r="A430">
        <f>IF($B430="","",ROW()-5)</f>
        <v/>
      </c>
      <c r="D430">
        <f>IF($B430="","",IF(C430="","",TEXT(C430,"MMM")))</f>
        <v/>
      </c>
      <c r="K430">
        <f>IF($B430="","",IF(I430=0,0,J430/I430))</f>
        <v/>
      </c>
    </row>
    <row r="431">
      <c r="A431">
        <f>IF($B431="","",ROW()-5)</f>
        <v/>
      </c>
      <c r="D431">
        <f>IF($B431="","",IF(C431="","",TEXT(C431,"MMM")))</f>
        <v/>
      </c>
      <c r="K431">
        <f>IF($B431="","",IF(I431=0,0,J431/I431))</f>
        <v/>
      </c>
    </row>
    <row r="432">
      <c r="A432">
        <f>IF($B432="","",ROW()-5)</f>
        <v/>
      </c>
      <c r="D432">
        <f>IF($B432="","",IF(C432="","",TEXT(C432,"MMM")))</f>
        <v/>
      </c>
      <c r="K432">
        <f>IF($B432="","",IF(I432=0,0,J432/I432))</f>
        <v/>
      </c>
    </row>
    <row r="433">
      <c r="A433">
        <f>IF($B433="","",ROW()-5)</f>
        <v/>
      </c>
      <c r="D433">
        <f>IF($B433="","",IF(C433="","",TEXT(C433,"MMM")))</f>
        <v/>
      </c>
      <c r="K433">
        <f>IF($B433="","",IF(I433=0,0,J433/I433))</f>
        <v/>
      </c>
    </row>
    <row r="434">
      <c r="A434">
        <f>IF($B434="","",ROW()-5)</f>
        <v/>
      </c>
      <c r="D434">
        <f>IF($B434="","",IF(C434="","",TEXT(C434,"MMM")))</f>
        <v/>
      </c>
      <c r="K434">
        <f>IF($B434="","",IF(I434=0,0,J434/I434))</f>
        <v/>
      </c>
    </row>
    <row r="435">
      <c r="A435">
        <f>IF($B435="","",ROW()-5)</f>
        <v/>
      </c>
      <c r="D435">
        <f>IF($B435="","",IF(C435="","",TEXT(C435,"MMM")))</f>
        <v/>
      </c>
      <c r="K435">
        <f>IF($B435="","",IF(I435=0,0,J435/I435))</f>
        <v/>
      </c>
    </row>
    <row r="436">
      <c r="A436">
        <f>IF($B436="","",ROW()-5)</f>
        <v/>
      </c>
      <c r="D436">
        <f>IF($B436="","",IF(C436="","",TEXT(C436,"MMM")))</f>
        <v/>
      </c>
      <c r="K436">
        <f>IF($B436="","",IF(I436=0,0,J436/I436))</f>
        <v/>
      </c>
    </row>
    <row r="437">
      <c r="A437">
        <f>IF($B437="","",ROW()-5)</f>
        <v/>
      </c>
      <c r="D437">
        <f>IF($B437="","",IF(C437="","",TEXT(C437,"MMM")))</f>
        <v/>
      </c>
      <c r="K437">
        <f>IF($B437="","",IF(I437=0,0,J437/I437))</f>
        <v/>
      </c>
    </row>
    <row r="438">
      <c r="A438">
        <f>IF($B438="","",ROW()-5)</f>
        <v/>
      </c>
      <c r="D438">
        <f>IF($B438="","",IF(C438="","",TEXT(C438,"MMM")))</f>
        <v/>
      </c>
      <c r="K438">
        <f>IF($B438="","",IF(I438=0,0,J438/I438))</f>
        <v/>
      </c>
    </row>
    <row r="439">
      <c r="A439">
        <f>IF($B439="","",ROW()-5)</f>
        <v/>
      </c>
      <c r="D439">
        <f>IF($B439="","",IF(C439="","",TEXT(C439,"MMM")))</f>
        <v/>
      </c>
      <c r="K439">
        <f>IF($B439="","",IF(I439=0,0,J439/I439))</f>
        <v/>
      </c>
    </row>
    <row r="440">
      <c r="A440">
        <f>IF($B440="","",ROW()-5)</f>
        <v/>
      </c>
      <c r="D440">
        <f>IF($B440="","",IF(C440="","",TEXT(C440,"MMM")))</f>
        <v/>
      </c>
      <c r="K440">
        <f>IF($B440="","",IF(I440=0,0,J440/I440))</f>
        <v/>
      </c>
    </row>
    <row r="441">
      <c r="A441">
        <f>IF($B441="","",ROW()-5)</f>
        <v/>
      </c>
      <c r="D441">
        <f>IF($B441="","",IF(C441="","",TEXT(C441,"MMM")))</f>
        <v/>
      </c>
      <c r="K441">
        <f>IF($B441="","",IF(I441=0,0,J441/I441))</f>
        <v/>
      </c>
    </row>
    <row r="442">
      <c r="A442">
        <f>IF($B442="","",ROW()-5)</f>
        <v/>
      </c>
      <c r="D442">
        <f>IF($B442="","",IF(C442="","",TEXT(C442,"MMM")))</f>
        <v/>
      </c>
      <c r="K442">
        <f>IF($B442="","",IF(I442=0,0,J442/I442))</f>
        <v/>
      </c>
    </row>
    <row r="443">
      <c r="A443">
        <f>IF($B443="","",ROW()-5)</f>
        <v/>
      </c>
      <c r="D443">
        <f>IF($B443="","",IF(C443="","",TEXT(C443,"MMM")))</f>
        <v/>
      </c>
      <c r="K443">
        <f>IF($B443="","",IF(I443=0,0,J443/I443))</f>
        <v/>
      </c>
    </row>
    <row r="444">
      <c r="A444">
        <f>IF($B444="","",ROW()-5)</f>
        <v/>
      </c>
      <c r="D444">
        <f>IF($B444="","",IF(C444="","",TEXT(C444,"MMM")))</f>
        <v/>
      </c>
      <c r="K444">
        <f>IF($B444="","",IF(I444=0,0,J444/I444))</f>
        <v/>
      </c>
    </row>
    <row r="445">
      <c r="A445">
        <f>IF($B445="","",ROW()-5)</f>
        <v/>
      </c>
      <c r="D445">
        <f>IF($B445="","",IF(C445="","",TEXT(C445,"MMM")))</f>
        <v/>
      </c>
      <c r="K445">
        <f>IF($B445="","",IF(I445=0,0,J445/I445))</f>
        <v/>
      </c>
    </row>
    <row r="446">
      <c r="A446">
        <f>IF($B446="","",ROW()-5)</f>
        <v/>
      </c>
      <c r="D446">
        <f>IF($B446="","",IF(C446="","",TEXT(C446,"MMM")))</f>
        <v/>
      </c>
      <c r="K446">
        <f>IF($B446="","",IF(I446=0,0,J446/I446))</f>
        <v/>
      </c>
    </row>
    <row r="447">
      <c r="A447">
        <f>IF($B447="","",ROW()-5)</f>
        <v/>
      </c>
      <c r="D447">
        <f>IF($B447="","",IF(C447="","",TEXT(C447,"MMM")))</f>
        <v/>
      </c>
      <c r="K447">
        <f>IF($B447="","",IF(I447=0,0,J447/I447))</f>
        <v/>
      </c>
    </row>
    <row r="448">
      <c r="A448">
        <f>IF($B448="","",ROW()-5)</f>
        <v/>
      </c>
      <c r="D448">
        <f>IF($B448="","",IF(C448="","",TEXT(C448,"MMM")))</f>
        <v/>
      </c>
      <c r="K448">
        <f>IF($B448="","",IF(I448=0,0,J448/I448))</f>
        <v/>
      </c>
    </row>
    <row r="449">
      <c r="A449">
        <f>IF($B449="","",ROW()-5)</f>
        <v/>
      </c>
      <c r="D449">
        <f>IF($B449="","",IF(C449="","",TEXT(C449,"MMM")))</f>
        <v/>
      </c>
      <c r="K449">
        <f>IF($B449="","",IF(I449=0,0,J449/I449))</f>
        <v/>
      </c>
    </row>
    <row r="450">
      <c r="A450">
        <f>IF($B450="","",ROW()-5)</f>
        <v/>
      </c>
      <c r="D450">
        <f>IF($B450="","",IF(C450="","",TEXT(C450,"MMM")))</f>
        <v/>
      </c>
      <c r="K450">
        <f>IF($B450="","",IF(I450=0,0,J450/I450))</f>
        <v/>
      </c>
    </row>
    <row r="451">
      <c r="A451">
        <f>IF($B451="","",ROW()-5)</f>
        <v/>
      </c>
      <c r="D451">
        <f>IF($B451="","",IF(C451="","",TEXT(C451,"MMM")))</f>
        <v/>
      </c>
      <c r="K451">
        <f>IF($B451="","",IF(I451=0,0,J451/I451))</f>
        <v/>
      </c>
    </row>
    <row r="452">
      <c r="A452">
        <f>IF($B452="","",ROW()-5)</f>
        <v/>
      </c>
      <c r="D452">
        <f>IF($B452="","",IF(C452="","",TEXT(C452,"MMM")))</f>
        <v/>
      </c>
      <c r="K452">
        <f>IF($B452="","",IF(I452=0,0,J452/I452))</f>
        <v/>
      </c>
    </row>
    <row r="453">
      <c r="A453">
        <f>IF($B453="","",ROW()-5)</f>
        <v/>
      </c>
      <c r="D453">
        <f>IF($B453="","",IF(C453="","",TEXT(C453,"MMM")))</f>
        <v/>
      </c>
      <c r="K453">
        <f>IF($B453="","",IF(I453=0,0,J453/I453))</f>
        <v/>
      </c>
    </row>
    <row r="454">
      <c r="A454">
        <f>IF($B454="","",ROW()-5)</f>
        <v/>
      </c>
      <c r="D454">
        <f>IF($B454="","",IF(C454="","",TEXT(C454,"MMM")))</f>
        <v/>
      </c>
      <c r="K454">
        <f>IF($B454="","",IF(I454=0,0,J454/I454))</f>
        <v/>
      </c>
    </row>
    <row r="455">
      <c r="A455">
        <f>IF($B455="","",ROW()-5)</f>
        <v/>
      </c>
      <c r="D455">
        <f>IF($B455="","",IF(C455="","",TEXT(C455,"MMM")))</f>
        <v/>
      </c>
      <c r="K455">
        <f>IF($B455="","",IF(I455=0,0,J455/I455))</f>
        <v/>
      </c>
    </row>
    <row r="456">
      <c r="A456">
        <f>IF($B456="","",ROW()-5)</f>
        <v/>
      </c>
      <c r="D456">
        <f>IF($B456="","",IF(C456="","",TEXT(C456,"MMM")))</f>
        <v/>
      </c>
      <c r="K456">
        <f>IF($B456="","",IF(I456=0,0,J456/I456))</f>
        <v/>
      </c>
    </row>
    <row r="457">
      <c r="A457">
        <f>IF($B457="","",ROW()-5)</f>
        <v/>
      </c>
      <c r="D457">
        <f>IF($B457="","",IF(C457="","",TEXT(C457,"MMM")))</f>
        <v/>
      </c>
      <c r="K457">
        <f>IF($B457="","",IF(I457=0,0,J457/I457))</f>
        <v/>
      </c>
    </row>
    <row r="458">
      <c r="A458">
        <f>IF($B458="","",ROW()-5)</f>
        <v/>
      </c>
      <c r="D458">
        <f>IF($B458="","",IF(C458="","",TEXT(C458,"MMM")))</f>
        <v/>
      </c>
      <c r="K458">
        <f>IF($B458="","",IF(I458=0,0,J458/I458))</f>
        <v/>
      </c>
    </row>
    <row r="459">
      <c r="A459">
        <f>IF($B459="","",ROW()-5)</f>
        <v/>
      </c>
      <c r="D459">
        <f>IF($B459="","",IF(C459="","",TEXT(C459,"MMM")))</f>
        <v/>
      </c>
      <c r="K459">
        <f>IF($B459="","",IF(I459=0,0,J459/I459))</f>
        <v/>
      </c>
    </row>
    <row r="460">
      <c r="A460">
        <f>IF($B460="","",ROW()-5)</f>
        <v/>
      </c>
      <c r="D460">
        <f>IF($B460="","",IF(C460="","",TEXT(C460,"MMM")))</f>
        <v/>
      </c>
      <c r="K460">
        <f>IF($B460="","",IF(I460=0,0,J460/I460))</f>
        <v/>
      </c>
    </row>
    <row r="461">
      <c r="A461">
        <f>IF($B461="","",ROW()-5)</f>
        <v/>
      </c>
      <c r="D461">
        <f>IF($B461="","",IF(C461="","",TEXT(C461,"MMM")))</f>
        <v/>
      </c>
      <c r="K461">
        <f>IF($B461="","",IF(I461=0,0,J461/I461))</f>
        <v/>
      </c>
    </row>
    <row r="462">
      <c r="A462">
        <f>IF($B462="","",ROW()-5)</f>
        <v/>
      </c>
      <c r="D462">
        <f>IF($B462="","",IF(C462="","",TEXT(C462,"MMM")))</f>
        <v/>
      </c>
      <c r="K462">
        <f>IF($B462="","",IF(I462=0,0,J462/I462))</f>
        <v/>
      </c>
    </row>
    <row r="463">
      <c r="A463">
        <f>IF($B463="","",ROW()-5)</f>
        <v/>
      </c>
      <c r="D463">
        <f>IF($B463="","",IF(C463="","",TEXT(C463,"MMM")))</f>
        <v/>
      </c>
      <c r="K463">
        <f>IF($B463="","",IF(I463=0,0,J463/I463))</f>
        <v/>
      </c>
    </row>
    <row r="464">
      <c r="A464">
        <f>IF($B464="","",ROW()-5)</f>
        <v/>
      </c>
      <c r="D464">
        <f>IF($B464="","",IF(C464="","",TEXT(C464,"MMM")))</f>
        <v/>
      </c>
      <c r="K464">
        <f>IF($B464="","",IF(I464=0,0,J464/I464))</f>
        <v/>
      </c>
    </row>
    <row r="465">
      <c r="A465">
        <f>IF($B465="","",ROW()-5)</f>
        <v/>
      </c>
      <c r="D465">
        <f>IF($B465="","",IF(C465="","",TEXT(C465,"MMM")))</f>
        <v/>
      </c>
      <c r="K465">
        <f>IF($B465="","",IF(I465=0,0,J465/I465))</f>
        <v/>
      </c>
    </row>
    <row r="466">
      <c r="A466">
        <f>IF($B466="","",ROW()-5)</f>
        <v/>
      </c>
      <c r="D466">
        <f>IF($B466="","",IF(C466="","",TEXT(C466,"MMM")))</f>
        <v/>
      </c>
      <c r="K466">
        <f>IF($B466="","",IF(I466=0,0,J466/I466))</f>
        <v/>
      </c>
    </row>
    <row r="467">
      <c r="A467">
        <f>IF($B467="","",ROW()-5)</f>
        <v/>
      </c>
      <c r="D467">
        <f>IF($B467="","",IF(C467="","",TEXT(C467,"MMM")))</f>
        <v/>
      </c>
      <c r="K467">
        <f>IF($B467="","",IF(I467=0,0,J467/I467))</f>
        <v/>
      </c>
    </row>
    <row r="468">
      <c r="A468">
        <f>IF($B468="","",ROW()-5)</f>
        <v/>
      </c>
      <c r="D468">
        <f>IF($B468="","",IF(C468="","",TEXT(C468,"MMM")))</f>
        <v/>
      </c>
      <c r="K468">
        <f>IF($B468="","",IF(I468=0,0,J468/I468))</f>
        <v/>
      </c>
    </row>
    <row r="469">
      <c r="A469">
        <f>IF($B469="","",ROW()-5)</f>
        <v/>
      </c>
      <c r="D469">
        <f>IF($B469="","",IF(C469="","",TEXT(C469,"MMM")))</f>
        <v/>
      </c>
      <c r="K469">
        <f>IF($B469="","",IF(I469=0,0,J469/I469))</f>
        <v/>
      </c>
    </row>
    <row r="470">
      <c r="A470">
        <f>IF($B470="","",ROW()-5)</f>
        <v/>
      </c>
      <c r="D470">
        <f>IF($B470="","",IF(C470="","",TEXT(C470,"MMM")))</f>
        <v/>
      </c>
      <c r="K470">
        <f>IF($B470="","",IF(I470=0,0,J470/I470))</f>
        <v/>
      </c>
    </row>
    <row r="471">
      <c r="A471">
        <f>IF($B471="","",ROW()-5)</f>
        <v/>
      </c>
      <c r="D471">
        <f>IF($B471="","",IF(C471="","",TEXT(C471,"MMM")))</f>
        <v/>
      </c>
      <c r="K471">
        <f>IF($B471="","",IF(I471=0,0,J471/I471))</f>
        <v/>
      </c>
    </row>
    <row r="472">
      <c r="A472">
        <f>IF($B472="","",ROW()-5)</f>
        <v/>
      </c>
      <c r="D472">
        <f>IF($B472="","",IF(C472="","",TEXT(C472,"MMM")))</f>
        <v/>
      </c>
      <c r="K472">
        <f>IF($B472="","",IF(I472=0,0,J472/I472))</f>
        <v/>
      </c>
    </row>
    <row r="473">
      <c r="A473">
        <f>IF($B473="","",ROW()-5)</f>
        <v/>
      </c>
      <c r="D473">
        <f>IF($B473="","",IF(C473="","",TEXT(C473,"MMM")))</f>
        <v/>
      </c>
      <c r="K473">
        <f>IF($B473="","",IF(I473=0,0,J473/I473))</f>
        <v/>
      </c>
    </row>
    <row r="474">
      <c r="A474">
        <f>IF($B474="","",ROW()-5)</f>
        <v/>
      </c>
      <c r="D474">
        <f>IF($B474="","",IF(C474="","",TEXT(C474,"MMM")))</f>
        <v/>
      </c>
      <c r="K474">
        <f>IF($B474="","",IF(I474=0,0,J474/I474))</f>
        <v/>
      </c>
    </row>
    <row r="475">
      <c r="A475">
        <f>IF($B475="","",ROW()-5)</f>
        <v/>
      </c>
      <c r="D475">
        <f>IF($B475="","",IF(C475="","",TEXT(C475,"MMM")))</f>
        <v/>
      </c>
      <c r="K475">
        <f>IF($B475="","",IF(I475=0,0,J475/I475))</f>
        <v/>
      </c>
    </row>
    <row r="476">
      <c r="A476">
        <f>IF($B476="","",ROW()-5)</f>
        <v/>
      </c>
      <c r="D476">
        <f>IF($B476="","",IF(C476="","",TEXT(C476,"MMM")))</f>
        <v/>
      </c>
      <c r="K476">
        <f>IF($B476="","",IF(I476=0,0,J476/I476))</f>
        <v/>
      </c>
    </row>
    <row r="477">
      <c r="A477">
        <f>IF($B477="","",ROW()-5)</f>
        <v/>
      </c>
      <c r="D477">
        <f>IF($B477="","",IF(C477="","",TEXT(C477,"MMM")))</f>
        <v/>
      </c>
      <c r="K477">
        <f>IF($B477="","",IF(I477=0,0,J477/I477))</f>
        <v/>
      </c>
    </row>
    <row r="478">
      <c r="A478">
        <f>IF($B478="","",ROW()-5)</f>
        <v/>
      </c>
      <c r="D478">
        <f>IF($B478="","",IF(C478="","",TEXT(C478,"MMM")))</f>
        <v/>
      </c>
      <c r="K478">
        <f>IF($B478="","",IF(I478=0,0,J478/I478))</f>
        <v/>
      </c>
    </row>
    <row r="479">
      <c r="A479">
        <f>IF($B479="","",ROW()-5)</f>
        <v/>
      </c>
      <c r="D479">
        <f>IF($B479="","",IF(C479="","",TEXT(C479,"MMM")))</f>
        <v/>
      </c>
      <c r="K479">
        <f>IF($B479="","",IF(I479=0,0,J479/I479))</f>
        <v/>
      </c>
    </row>
    <row r="480">
      <c r="A480">
        <f>IF($B480="","",ROW()-5)</f>
        <v/>
      </c>
      <c r="D480">
        <f>IF($B480="","",IF(C480="","",TEXT(C480,"MMM")))</f>
        <v/>
      </c>
      <c r="K480">
        <f>IF($B480="","",IF(I480=0,0,J480/I480))</f>
        <v/>
      </c>
    </row>
    <row r="481">
      <c r="A481">
        <f>IF($B481="","",ROW()-5)</f>
        <v/>
      </c>
      <c r="D481">
        <f>IF($B481="","",IF(C481="","",TEXT(C481,"MMM")))</f>
        <v/>
      </c>
      <c r="K481">
        <f>IF($B481="","",IF(I481=0,0,J481/I481))</f>
        <v/>
      </c>
    </row>
    <row r="482">
      <c r="A482">
        <f>IF($B482="","",ROW()-5)</f>
        <v/>
      </c>
      <c r="D482">
        <f>IF($B482="","",IF(C482="","",TEXT(C482,"MMM")))</f>
        <v/>
      </c>
      <c r="K482">
        <f>IF($B482="","",IF(I482=0,0,J482/I482))</f>
        <v/>
      </c>
    </row>
    <row r="483">
      <c r="A483">
        <f>IF($B483="","",ROW()-5)</f>
        <v/>
      </c>
      <c r="D483">
        <f>IF($B483="","",IF(C483="","",TEXT(C483,"MMM")))</f>
        <v/>
      </c>
      <c r="K483">
        <f>IF($B483="","",IF(I483=0,0,J483/I483))</f>
        <v/>
      </c>
    </row>
    <row r="484">
      <c r="A484">
        <f>IF($B484="","",ROW()-5)</f>
        <v/>
      </c>
      <c r="D484">
        <f>IF($B484="","",IF(C484="","",TEXT(C484,"MMM")))</f>
        <v/>
      </c>
      <c r="K484">
        <f>IF($B484="","",IF(I484=0,0,J484/I484))</f>
        <v/>
      </c>
    </row>
    <row r="485">
      <c r="A485">
        <f>IF($B485="","",ROW()-5)</f>
        <v/>
      </c>
      <c r="D485">
        <f>IF($B485="","",IF(C485="","",TEXT(C485,"MMM")))</f>
        <v/>
      </c>
      <c r="K485">
        <f>IF($B485="","",IF(I485=0,0,J485/I485))</f>
        <v/>
      </c>
    </row>
    <row r="486">
      <c r="A486">
        <f>IF($B486="","",ROW()-5)</f>
        <v/>
      </c>
      <c r="D486">
        <f>IF($B486="","",IF(C486="","",TEXT(C486,"MMM")))</f>
        <v/>
      </c>
      <c r="K486">
        <f>IF($B486="","",IF(I486=0,0,J486/I486))</f>
        <v/>
      </c>
    </row>
    <row r="487">
      <c r="A487">
        <f>IF($B487="","",ROW()-5)</f>
        <v/>
      </c>
      <c r="D487">
        <f>IF($B487="","",IF(C487="","",TEXT(C487,"MMM")))</f>
        <v/>
      </c>
      <c r="K487">
        <f>IF($B487="","",IF(I487=0,0,J487/I487))</f>
        <v/>
      </c>
    </row>
    <row r="488">
      <c r="A488">
        <f>IF($B488="","",ROW()-5)</f>
        <v/>
      </c>
      <c r="D488">
        <f>IF($B488="","",IF(C488="","",TEXT(C488,"MMM")))</f>
        <v/>
      </c>
      <c r="K488">
        <f>IF($B488="","",IF(I488=0,0,J488/I488))</f>
        <v/>
      </c>
    </row>
    <row r="489">
      <c r="A489">
        <f>IF($B489="","",ROW()-5)</f>
        <v/>
      </c>
      <c r="D489">
        <f>IF($B489="","",IF(C489="","",TEXT(C489,"MMM")))</f>
        <v/>
      </c>
      <c r="K489">
        <f>IF($B489="","",IF(I489=0,0,J489/I489))</f>
        <v/>
      </c>
    </row>
    <row r="490">
      <c r="A490">
        <f>IF($B490="","",ROW()-5)</f>
        <v/>
      </c>
      <c r="D490">
        <f>IF($B490="","",IF(C490="","",TEXT(C490,"MMM")))</f>
        <v/>
      </c>
      <c r="K490">
        <f>IF($B490="","",IF(I490=0,0,J490/I490))</f>
        <v/>
      </c>
    </row>
    <row r="491">
      <c r="A491">
        <f>IF($B491="","",ROW()-5)</f>
        <v/>
      </c>
      <c r="D491">
        <f>IF($B491="","",IF(C491="","",TEXT(C491,"MMM")))</f>
        <v/>
      </c>
      <c r="K491">
        <f>IF($B491="","",IF(I491=0,0,J491/I491))</f>
        <v/>
      </c>
    </row>
    <row r="492">
      <c r="A492">
        <f>IF($B492="","",ROW()-5)</f>
        <v/>
      </c>
      <c r="D492">
        <f>IF($B492="","",IF(C492="","",TEXT(C492,"MMM")))</f>
        <v/>
      </c>
      <c r="K492">
        <f>IF($B492="","",IF(I492=0,0,J492/I492))</f>
        <v/>
      </c>
    </row>
    <row r="493">
      <c r="A493">
        <f>IF($B493="","",ROW()-5)</f>
        <v/>
      </c>
      <c r="D493">
        <f>IF($B493="","",IF(C493="","",TEXT(C493,"MMM")))</f>
        <v/>
      </c>
      <c r="K493">
        <f>IF($B493="","",IF(I493=0,0,J493/I493))</f>
        <v/>
      </c>
    </row>
    <row r="494">
      <c r="A494">
        <f>IF($B494="","",ROW()-5)</f>
        <v/>
      </c>
      <c r="D494">
        <f>IF($B494="","",IF(C494="","",TEXT(C494,"MMM")))</f>
        <v/>
      </c>
      <c r="K494">
        <f>IF($B494="","",IF(I494=0,0,J494/I494))</f>
        <v/>
      </c>
    </row>
    <row r="495">
      <c r="A495">
        <f>IF($B495="","",ROW()-5)</f>
        <v/>
      </c>
      <c r="D495">
        <f>IF($B495="","",IF(C495="","",TEXT(C495,"MMM")))</f>
        <v/>
      </c>
      <c r="K495">
        <f>IF($B495="","",IF(I495=0,0,J495/I495))</f>
        <v/>
      </c>
    </row>
    <row r="496">
      <c r="A496">
        <f>IF($B496="","",ROW()-5)</f>
        <v/>
      </c>
      <c r="D496">
        <f>IF($B496="","",IF(C496="","",TEXT(C496,"MMM")))</f>
        <v/>
      </c>
      <c r="K496">
        <f>IF($B496="","",IF(I496=0,0,J496/I496))</f>
        <v/>
      </c>
    </row>
    <row r="497">
      <c r="A497">
        <f>IF($B497="","",ROW()-5)</f>
        <v/>
      </c>
      <c r="D497">
        <f>IF($B497="","",IF(C497="","",TEXT(C497,"MMM")))</f>
        <v/>
      </c>
      <c r="K497">
        <f>IF($B497="","",IF(I497=0,0,J497/I497))</f>
        <v/>
      </c>
    </row>
    <row r="498">
      <c r="A498">
        <f>IF($B498="","",ROW()-5)</f>
        <v/>
      </c>
      <c r="D498">
        <f>IF($B498="","",IF(C498="","",TEXT(C498,"MMM")))</f>
        <v/>
      </c>
      <c r="K498">
        <f>IF($B498="","",IF(I498=0,0,J498/I498))</f>
        <v/>
      </c>
    </row>
    <row r="499">
      <c r="A499">
        <f>IF($B499="","",ROW()-5)</f>
        <v/>
      </c>
      <c r="D499">
        <f>IF($B499="","",IF(C499="","",TEXT(C499,"MMM")))</f>
        <v/>
      </c>
      <c r="K499">
        <f>IF($B499="","",IF(I499=0,0,J499/I499))</f>
        <v/>
      </c>
    </row>
    <row r="500">
      <c r="A500">
        <f>IF($B500="","",ROW()-5)</f>
        <v/>
      </c>
      <c r="D500">
        <f>IF($B500="","",IF(C500="","",TEXT(C500,"MMM")))</f>
        <v/>
      </c>
      <c r="K500">
        <f>IF($B500="","",IF(I500=0,0,J500/I500))</f>
        <v/>
      </c>
    </row>
    <row r="501">
      <c r="A501">
        <f>IF($B501="","",ROW()-5)</f>
        <v/>
      </c>
      <c r="D501">
        <f>IF($B501="","",IF(C501="","",TEXT(C501,"MMM")))</f>
        <v/>
      </c>
      <c r="K501">
        <f>IF($B501="","",IF(I501=0,0,J501/I501))</f>
        <v/>
      </c>
    </row>
    <row r="502">
      <c r="A502">
        <f>IF($B502="","",ROW()-5)</f>
        <v/>
      </c>
      <c r="D502">
        <f>IF($B502="","",IF(C502="","",TEXT(C502,"MMM")))</f>
        <v/>
      </c>
      <c r="K502">
        <f>IF($B502="","",IF(I502=0,0,J502/I502))</f>
        <v/>
      </c>
    </row>
    <row r="503">
      <c r="A503">
        <f>IF($B503="","",ROW()-5)</f>
        <v/>
      </c>
      <c r="D503">
        <f>IF($B503="","",IF(C503="","",TEXT(C503,"MMM")))</f>
        <v/>
      </c>
      <c r="K503">
        <f>IF($B503="","",IF(I503=0,0,J503/I503))</f>
        <v/>
      </c>
    </row>
    <row r="504">
      <c r="A504">
        <f>IF($B504="","",ROW()-5)</f>
        <v/>
      </c>
      <c r="D504">
        <f>IF($B504="","",IF(C504="","",TEXT(C504,"MMM")))</f>
        <v/>
      </c>
      <c r="K504">
        <f>IF($B504="","",IF(I504=0,0,J504/I504))</f>
        <v/>
      </c>
    </row>
    <row r="505">
      <c r="A505">
        <f>IF($B505="","",ROW()-5)</f>
        <v/>
      </c>
      <c r="D505">
        <f>IF($B505="","",IF(C505="","",TEXT(C505,"MMM")))</f>
        <v/>
      </c>
      <c r="K505">
        <f>IF($B505="","",IF(I505=0,0,J505/I505))</f>
        <v/>
      </c>
    </row>
    <row r="506">
      <c r="A506">
        <f>IF($B506="","",ROW()-5)</f>
        <v/>
      </c>
      <c r="D506">
        <f>IF($B506="","",IF(C506="","",TEXT(C506,"MMM")))</f>
        <v/>
      </c>
      <c r="K506">
        <f>IF($B506="","",IF(I506=0,0,J506/I506))</f>
        <v/>
      </c>
    </row>
  </sheetData>
  <autoFilter ref="A4:O25"/>
  <mergeCells count="5">
    <mergeCell ref="F3:G3"/>
    <mergeCell ref="A2:O2"/>
    <mergeCell ref="A3:D3"/>
    <mergeCell ref="A1:O1"/>
    <mergeCell ref="I3:K3"/>
  </mergeCells>
  <dataValidations count="5">
    <dataValidation sqref="E6:E506" showDropDown="0" showInputMessage="0" showErrorMessage="0" allowBlank="1" type="list">
      <formula1>L_Topic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M6:M506" showDropDown="0" showInputMessage="0" showErrorMessage="0" allowBlank="1" type="list">
      <formula1>L_Safety_Category</formula1>
      <formula2>0</formula2>
    </dataValidation>
    <dataValidation sqref="N6:N506" showDropDown="0" showInputMessage="0" showErrorMessage="0" allowBlank="1" type="list">
      <formula1>L_Action_Required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04D40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4" customWidth="1" style="15" min="5" max="5"/>
    <col width="14" customWidth="1" style="15" min="6" max="7"/>
    <col width="16" customWidth="1" style="15" min="8" max="9"/>
    <col width="10" customWidth="1" style="15" min="10" max="10"/>
    <col width="12" customWidth="1" style="15" min="11" max="11"/>
    <col width="14" customWidth="1" style="15" min="12" max="13"/>
    <col width="10" customWidth="1" style="15" min="14" max="14"/>
    <col width="14" customWidth="1" style="15" min="15" max="15"/>
  </cols>
  <sheetData>
    <row r="1" ht="42" customHeight="1" s="15">
      <c r="A1" s="9" t="inlineStr">
        <is>
          <t>📝  JSA / RISK ASSESSMENT — DATA ENTRY</t>
        </is>
      </c>
    </row>
    <row r="2" ht="21.75" customHeight="1" s="15">
      <c r="A2" s="8" t="inlineStr">
        <is>
          <t>🔵 Blue = User Input  |  ⚫ Gray = Auto-Calculated  |  Use dropdowns where available</t>
        </is>
      </c>
    </row>
    <row r="3" ht="19.5" customHeight="1" s="15">
      <c r="A3" s="16" t="inlineStr">
        <is>
          <t>IDENTIFICATION</t>
        </is>
      </c>
      <c r="E3" s="16" t="inlineStr">
        <is>
          <t>ASSESSMENT</t>
        </is>
      </c>
      <c r="F3" s="39" t="inlineStr">
        <is>
          <t>ORGANIZATIONAL</t>
        </is>
      </c>
      <c r="H3" s="17" t="inlineStr">
        <is>
          <t>PEOPLE</t>
        </is>
      </c>
      <c r="J3" s="40" t="inlineStr">
        <is>
          <t>RISK</t>
        </is>
      </c>
      <c r="L3" s="18" t="inlineStr">
        <is>
          <t>CLASSIFICATION</t>
        </is>
      </c>
      <c r="M3" s="19" t="inlineStr">
        <is>
          <t>STATUS</t>
        </is>
      </c>
      <c r="N3" s="20" t="inlineStr">
        <is>
          <t>COMPLIANCE</t>
        </is>
      </c>
    </row>
    <row r="4" ht="31.5" customHeight="1" s="15">
      <c r="A4" s="38" t="inlineStr">
        <is>
          <t>S.No</t>
        </is>
      </c>
      <c r="B4" s="38" t="inlineStr">
        <is>
          <t>JSA No.</t>
        </is>
      </c>
      <c r="C4" s="38" t="inlineStr">
        <is>
          <t>Date</t>
        </is>
      </c>
      <c r="D4" s="38" t="inlineStr">
        <is>
          <t>Month</t>
        </is>
      </c>
      <c r="E4" s="38" t="inlineStr">
        <is>
          <t>Task/Activity</t>
        </is>
      </c>
      <c r="F4" s="38" t="inlineStr">
        <is>
          <t>Department</t>
        </is>
      </c>
      <c r="G4" s="38" t="inlineStr">
        <is>
          <t>Location</t>
        </is>
      </c>
      <c r="H4" s="38" t="inlineStr">
        <is>
          <t>Assessed By</t>
        </is>
      </c>
      <c r="I4" s="38" t="inlineStr">
        <is>
          <t>Approved By</t>
        </is>
      </c>
      <c r="J4" s="38" t="inlineStr">
        <is>
          <t>Risk Level</t>
        </is>
      </c>
      <c r="K4" s="38" t="inlineStr">
        <is>
          <t>Hazards Identified</t>
        </is>
      </c>
      <c r="L4" s="38" t="inlineStr">
        <is>
          <t>Assessment Type</t>
        </is>
      </c>
      <c r="M4" s="38" t="inlineStr">
        <is>
          <t>Approval Status</t>
        </is>
      </c>
      <c r="N4" s="38" t="inlineStr">
        <is>
          <t>Controls Implemented</t>
        </is>
      </c>
      <c r="O4" s="38" t="inlineStr">
        <is>
          <t>Compliance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2" t="inlineStr">
        <is>
          <t>⚙️ AUTO</t>
        </is>
      </c>
    </row>
    <row r="6" ht="21.75" customHeight="1" s="15">
      <c r="A6" s="24" t="n">
        <v>1</v>
      </c>
      <c r="B6" s="25" t="inlineStr">
        <is>
          <t>JSA-001</t>
        </is>
      </c>
      <c r="C6" s="26" t="n">
        <v>46043</v>
      </c>
      <c r="D6" s="24">
        <f>IF(C6="","",TEXT(C6,"MMM"))</f>
        <v/>
      </c>
      <c r="E6" s="27" t="inlineStr">
        <is>
          <t>Hot Tapping</t>
        </is>
      </c>
      <c r="F6" s="28" t="inlineStr">
        <is>
          <t>Operations</t>
        </is>
      </c>
      <c r="G6" s="28" t="inlineStr">
        <is>
          <t>Plant B</t>
        </is>
      </c>
      <c r="H6" s="27" t="inlineStr">
        <is>
          <t>Maria Garcia</t>
        </is>
      </c>
      <c r="I6" s="27" t="inlineStr">
        <is>
          <t>Raj Patel</t>
        </is>
      </c>
      <c r="J6" s="28" t="inlineStr">
        <is>
          <t>Low</t>
        </is>
      </c>
      <c r="K6" s="29" t="n">
        <v>10</v>
      </c>
      <c r="L6" s="28" t="inlineStr">
        <is>
          <t>HAZOP</t>
        </is>
      </c>
      <c r="M6" s="28" t="inlineStr">
        <is>
          <t>Approved</t>
        </is>
      </c>
      <c r="N6" s="28" t="inlineStr">
        <is>
          <t>No</t>
        </is>
      </c>
      <c r="O6" s="24">
        <f>IF(N6="Yes",IF(M6="Approved","✅ Compliant","⚠️ Pending"),"❌ Non-Compliant")</f>
        <v/>
      </c>
    </row>
    <row r="7" ht="21.75" customHeight="1" s="15">
      <c r="A7" s="31" t="n">
        <v>2</v>
      </c>
      <c r="B7" s="32" t="inlineStr">
        <is>
          <t>JSA-002</t>
        </is>
      </c>
      <c r="C7" s="33" t="n">
        <v>46028</v>
      </c>
      <c r="D7" s="31">
        <f>IF(C7="","",TEXT(C7,"MMM"))</f>
        <v/>
      </c>
      <c r="E7" s="34" t="inlineStr">
        <is>
          <t>Tank Cleaning</t>
        </is>
      </c>
      <c r="F7" s="35" t="inlineStr">
        <is>
          <t>Operations</t>
        </is>
      </c>
      <c r="G7" s="35" t="inlineStr">
        <is>
          <t>Office</t>
        </is>
      </c>
      <c r="H7" s="34" t="inlineStr">
        <is>
          <t>John Smith</t>
        </is>
      </c>
      <c r="I7" s="34" t="inlineStr">
        <is>
          <t>Priya Sharma</t>
        </is>
      </c>
      <c r="J7" s="35" t="inlineStr">
        <is>
          <t>Medium</t>
        </is>
      </c>
      <c r="K7" s="36" t="n">
        <v>9</v>
      </c>
      <c r="L7" s="35" t="inlineStr">
        <is>
          <t>Bow Tie</t>
        </is>
      </c>
      <c r="M7" s="35" t="inlineStr">
        <is>
          <t>Revision Required</t>
        </is>
      </c>
      <c r="N7" s="35" t="inlineStr">
        <is>
          <t>Yes</t>
        </is>
      </c>
      <c r="O7" s="31">
        <f>IF(N7="Yes",IF(M7="Approved","✅ Compliant","⚠️ Pending"),"❌ Non-Compliant")</f>
        <v/>
      </c>
    </row>
    <row r="8" ht="15" customHeight="1" s="15">
      <c r="A8" s="24" t="n">
        <v>3</v>
      </c>
      <c r="B8" s="25" t="inlineStr">
        <is>
          <t>JSA-003</t>
        </is>
      </c>
      <c r="C8" s="26" t="n">
        <v>46122</v>
      </c>
      <c r="D8" s="24">
        <f>IF(C8="","",TEXT(C8,"MMM"))</f>
        <v/>
      </c>
      <c r="E8" s="27" t="inlineStr">
        <is>
          <t>Excavation Work</t>
        </is>
      </c>
      <c r="F8" s="28" t="inlineStr">
        <is>
          <t>Operations</t>
        </is>
      </c>
      <c r="G8" s="28" t="inlineStr">
        <is>
          <t>Plant A</t>
        </is>
      </c>
      <c r="H8" s="27" t="inlineStr">
        <is>
          <t>Fatima Al-Said</t>
        </is>
      </c>
      <c r="I8" s="27" t="inlineStr">
        <is>
          <t>Ahmed Khan</t>
        </is>
      </c>
      <c r="J8" s="28" t="inlineStr">
        <is>
          <t>High</t>
        </is>
      </c>
      <c r="K8" s="29" t="n">
        <v>12</v>
      </c>
      <c r="L8" s="28" t="inlineStr">
        <is>
          <t>HAZOP</t>
        </is>
      </c>
      <c r="M8" s="28" t="inlineStr">
        <is>
          <t>Approved</t>
        </is>
      </c>
      <c r="N8" s="28" t="inlineStr">
        <is>
          <t>Yes</t>
        </is>
      </c>
      <c r="O8" s="24">
        <f>IF(N8="Yes",IF(M8="Approved","✅ Compliant","⚠️ Pending"),"❌ Non-Compliant")</f>
        <v/>
      </c>
    </row>
    <row r="9" ht="15" customHeight="1" s="15">
      <c r="A9" s="31" t="n">
        <v>4</v>
      </c>
      <c r="B9" s="32" t="inlineStr">
        <is>
          <t>JSA-004</t>
        </is>
      </c>
      <c r="C9" s="33" t="n">
        <v>46268</v>
      </c>
      <c r="D9" s="31">
        <f>IF(C9="","",TEXT(C9,"MMM"))</f>
        <v/>
      </c>
      <c r="E9" s="34" t="inlineStr">
        <is>
          <t>Scaffold Erection</t>
        </is>
      </c>
      <c r="F9" s="35" t="inlineStr">
        <is>
          <t>Maintenance</t>
        </is>
      </c>
      <c r="G9" s="35" t="inlineStr">
        <is>
          <t>Plant B</t>
        </is>
      </c>
      <c r="H9" s="34" t="inlineStr">
        <is>
          <t>Maria Garcia</t>
        </is>
      </c>
      <c r="I9" s="34" t="inlineStr">
        <is>
          <t>David Chen</t>
        </is>
      </c>
      <c r="J9" s="35" t="inlineStr">
        <is>
          <t>High</t>
        </is>
      </c>
      <c r="K9" s="36" t="n">
        <v>12</v>
      </c>
      <c r="L9" s="35" t="inlineStr">
        <is>
          <t>Task RA</t>
        </is>
      </c>
      <c r="M9" s="35" t="inlineStr">
        <is>
          <t>Approved</t>
        </is>
      </c>
      <c r="N9" s="35" t="inlineStr">
        <is>
          <t>Yes</t>
        </is>
      </c>
      <c r="O9" s="31">
        <f>IF(N9="Yes",IF(M9="Approved","✅ Compliant","⚠️ Pending"),"❌ Non-Compliant")</f>
        <v/>
      </c>
    </row>
    <row r="10" ht="21.75" customHeight="1" s="15">
      <c r="A10" s="24" t="n">
        <v>5</v>
      </c>
      <c r="B10" s="25" t="inlineStr">
        <is>
          <t>JSA-005</t>
        </is>
      </c>
      <c r="C10" s="26" t="n">
        <v>46225</v>
      </c>
      <c r="D10" s="24">
        <f>IF(C10="","",TEXT(C10,"MMM"))</f>
        <v/>
      </c>
      <c r="E10" s="27" t="inlineStr">
        <is>
          <t>Cable Pulling</t>
        </is>
      </c>
      <c r="F10" s="28" t="inlineStr">
        <is>
          <t>Contractor</t>
        </is>
      </c>
      <c r="G10" s="28" t="inlineStr">
        <is>
          <t>Control Room</t>
        </is>
      </c>
      <c r="H10" s="27" t="inlineStr">
        <is>
          <t>John Smith</t>
        </is>
      </c>
      <c r="I10" s="27" t="inlineStr">
        <is>
          <t>Maria Garcia</t>
        </is>
      </c>
      <c r="J10" s="28" t="inlineStr">
        <is>
          <t>Medium</t>
        </is>
      </c>
      <c r="K10" s="29" t="n">
        <v>6</v>
      </c>
      <c r="L10" s="28" t="inlineStr">
        <is>
          <t>JSA</t>
        </is>
      </c>
      <c r="M10" s="28" t="inlineStr">
        <is>
          <t>Revision Required</t>
        </is>
      </c>
      <c r="N10" s="28" t="inlineStr">
        <is>
          <t>Yes</t>
        </is>
      </c>
      <c r="O10" s="24">
        <f>IF(N10="Yes",IF(M10="Approved","✅ Compliant","⚠️ Pending"),"❌ Non-Compliant")</f>
        <v/>
      </c>
    </row>
    <row r="11" ht="15" customHeight="1" s="15">
      <c r="A11" s="31" t="n">
        <v>6</v>
      </c>
      <c r="B11" s="32" t="inlineStr">
        <is>
          <t>JSA-006</t>
        </is>
      </c>
      <c r="C11" s="33" t="n">
        <v>46347</v>
      </c>
      <c r="D11" s="31">
        <f>IF(C11="","",TEXT(C11,"MMM"))</f>
        <v/>
      </c>
      <c r="E11" s="34" t="inlineStr">
        <is>
          <t>Electrical Work</t>
        </is>
      </c>
      <c r="F11" s="35" t="inlineStr">
        <is>
          <t>Admin</t>
        </is>
      </c>
      <c r="G11" s="35" t="inlineStr">
        <is>
          <t>Control Room</t>
        </is>
      </c>
      <c r="H11" s="34" t="inlineStr">
        <is>
          <t>Sarah Wilson</t>
        </is>
      </c>
      <c r="I11" s="34" t="inlineStr">
        <is>
          <t>Ahmed Khan</t>
        </is>
      </c>
      <c r="J11" s="35" t="inlineStr">
        <is>
          <t>Low</t>
        </is>
      </c>
      <c r="K11" s="36" t="n">
        <v>12</v>
      </c>
      <c r="L11" s="35" t="inlineStr">
        <is>
          <t>What-If</t>
        </is>
      </c>
      <c r="M11" s="35" t="inlineStr">
        <is>
          <t>Approved</t>
        </is>
      </c>
      <c r="N11" s="35" t="inlineStr">
        <is>
          <t>Yes</t>
        </is>
      </c>
      <c r="O11" s="31">
        <f>IF(N11="Yes",IF(M11="Approved","✅ Compliant","⚠️ Pending"),"❌ Non-Compliant")</f>
        <v/>
      </c>
    </row>
    <row r="12" ht="21.75" customHeight="1" s="15">
      <c r="A12" s="24" t="n">
        <v>7</v>
      </c>
      <c r="B12" s="25" t="inlineStr">
        <is>
          <t>JSA-007</t>
        </is>
      </c>
      <c r="C12" s="26" t="n">
        <v>46272</v>
      </c>
      <c r="D12" s="24">
        <f>IF(C12="","",TEXT(C12,"MMM"))</f>
        <v/>
      </c>
      <c r="E12" s="27" t="inlineStr">
        <is>
          <t>Hot Tapping</t>
        </is>
      </c>
      <c r="F12" s="28" t="inlineStr">
        <is>
          <t>Safety</t>
        </is>
      </c>
      <c r="G12" s="28" t="inlineStr">
        <is>
          <t>Warehouse</t>
        </is>
      </c>
      <c r="H12" s="27" t="inlineStr">
        <is>
          <t>Fatima Al-Said</t>
        </is>
      </c>
      <c r="I12" s="27" t="inlineStr">
        <is>
          <t>Sarah Wilson</t>
        </is>
      </c>
      <c r="J12" s="28" t="inlineStr">
        <is>
          <t>Medium</t>
        </is>
      </c>
      <c r="K12" s="29" t="n">
        <v>8</v>
      </c>
      <c r="L12" s="28" t="inlineStr">
        <is>
          <t>JSA</t>
        </is>
      </c>
      <c r="M12" s="28" t="inlineStr">
        <is>
          <t>Approved</t>
        </is>
      </c>
      <c r="N12" s="28" t="inlineStr">
        <is>
          <t>No</t>
        </is>
      </c>
      <c r="O12" s="24">
        <f>IF(N12="Yes",IF(M12="Approved","✅ Compliant","⚠️ Pending"),"❌ Non-Compliant")</f>
        <v/>
      </c>
    </row>
    <row r="13" ht="15" customHeight="1" s="15">
      <c r="A13" s="31" t="n">
        <v>8</v>
      </c>
      <c r="B13" s="32" t="inlineStr">
        <is>
          <t>JSA-008</t>
        </is>
      </c>
      <c r="C13" s="33" t="n">
        <v>46288</v>
      </c>
      <c r="D13" s="31">
        <f>IF(C13="","",TEXT(C13,"MMM"))</f>
        <v/>
      </c>
      <c r="E13" s="34" t="inlineStr">
        <is>
          <t>Electrical Work</t>
        </is>
      </c>
      <c r="F13" s="35" t="inlineStr">
        <is>
          <t>Contractor</t>
        </is>
      </c>
      <c r="G13" s="35" t="inlineStr">
        <is>
          <t>Plant A</t>
        </is>
      </c>
      <c r="H13" s="34" t="inlineStr">
        <is>
          <t>Tom Brown</t>
        </is>
      </c>
      <c r="I13" s="34" t="inlineStr">
        <is>
          <t>John Smith</t>
        </is>
      </c>
      <c r="J13" s="35" t="inlineStr">
        <is>
          <t>High</t>
        </is>
      </c>
      <c r="K13" s="36" t="n">
        <v>5</v>
      </c>
      <c r="L13" s="35" t="inlineStr">
        <is>
          <t>JSA</t>
        </is>
      </c>
      <c r="M13" s="35" t="inlineStr">
        <is>
          <t>Approved</t>
        </is>
      </c>
      <c r="N13" s="35" t="inlineStr">
        <is>
          <t>Yes</t>
        </is>
      </c>
      <c r="O13" s="31">
        <f>IF(N13="Yes",IF(M13="Approved","✅ Compliant","⚠️ Pending"),"❌ Non-Compliant")</f>
        <v/>
      </c>
    </row>
    <row r="14" ht="21.75" customHeight="1" s="15">
      <c r="A14" s="24" t="n">
        <v>9</v>
      </c>
      <c r="B14" s="25" t="inlineStr">
        <is>
          <t>JSA-009</t>
        </is>
      </c>
      <c r="C14" s="26" t="n">
        <v>46374</v>
      </c>
      <c r="D14" s="24">
        <f>IF(C14="","",TEXT(C14,"MMM"))</f>
        <v/>
      </c>
      <c r="E14" s="27" t="inlineStr">
        <is>
          <t>Scaffold Erection</t>
        </is>
      </c>
      <c r="F14" s="28" t="inlineStr">
        <is>
          <t>Safety</t>
        </is>
      </c>
      <c r="G14" s="28" t="inlineStr">
        <is>
          <t>Field Site</t>
        </is>
      </c>
      <c r="H14" s="27" t="inlineStr">
        <is>
          <t>Lisa Park</t>
        </is>
      </c>
      <c r="I14" s="27" t="inlineStr">
        <is>
          <t>Maria Garcia</t>
        </is>
      </c>
      <c r="J14" s="28" t="inlineStr">
        <is>
          <t>Medium</t>
        </is>
      </c>
      <c r="K14" s="29" t="n">
        <v>6</v>
      </c>
      <c r="L14" s="28" t="inlineStr">
        <is>
          <t>Bow Tie</t>
        </is>
      </c>
      <c r="M14" s="28" t="inlineStr">
        <is>
          <t>Pending Review</t>
        </is>
      </c>
      <c r="N14" s="28" t="inlineStr">
        <is>
          <t>No</t>
        </is>
      </c>
      <c r="O14" s="24">
        <f>IF(N14="Yes",IF(M14="Approved","✅ Compliant","⚠️ Pending"),"❌ Non-Compliant")</f>
        <v/>
      </c>
    </row>
    <row r="15" ht="15" customHeight="1" s="15">
      <c r="A15" s="31" t="n">
        <v>10</v>
      </c>
      <c r="B15" s="32" t="inlineStr">
        <is>
          <t>JSA-010</t>
        </is>
      </c>
      <c r="C15" s="33" t="n">
        <v>46170</v>
      </c>
      <c r="D15" s="31">
        <f>IF(C15="","",TEXT(C15,"MMM"))</f>
        <v/>
      </c>
      <c r="E15" s="34" t="inlineStr">
        <is>
          <t>Welding Operation</t>
        </is>
      </c>
      <c r="F15" s="35" t="inlineStr">
        <is>
          <t>Maintenance</t>
        </is>
      </c>
      <c r="G15" s="35" t="inlineStr">
        <is>
          <t>Office</t>
        </is>
      </c>
      <c r="H15" s="34" t="inlineStr">
        <is>
          <t>John Smith</t>
        </is>
      </c>
      <c r="I15" s="34" t="inlineStr">
        <is>
          <t>Ahmed Khan</t>
        </is>
      </c>
      <c r="J15" s="35" t="inlineStr">
        <is>
          <t>High</t>
        </is>
      </c>
      <c r="K15" s="36" t="n">
        <v>8</v>
      </c>
      <c r="L15" s="35" t="inlineStr">
        <is>
          <t>Task RA</t>
        </is>
      </c>
      <c r="M15" s="35" t="inlineStr">
        <is>
          <t>Pending Review</t>
        </is>
      </c>
      <c r="N15" s="35" t="inlineStr">
        <is>
          <t>Yes</t>
        </is>
      </c>
      <c r="O15" s="31">
        <f>IF(N15="Yes",IF(M15="Approved","✅ Compliant","⚠️ Pending"),"❌ Non-Compliant")</f>
        <v/>
      </c>
    </row>
    <row r="16" ht="15" customHeight="1" s="15">
      <c r="A16" s="24" t="n">
        <v>11</v>
      </c>
      <c r="B16" s="25" t="inlineStr">
        <is>
          <t>JSA-011</t>
        </is>
      </c>
      <c r="C16" s="26" t="n">
        <v>46371</v>
      </c>
      <c r="D16" s="24">
        <f>IF(C16="","",TEXT(C16,"MMM"))</f>
        <v/>
      </c>
      <c r="E16" s="27" t="inlineStr">
        <is>
          <t>Hot Tapping</t>
        </is>
      </c>
      <c r="F16" s="28" t="inlineStr">
        <is>
          <t>Quality</t>
        </is>
      </c>
      <c r="G16" s="28" t="inlineStr">
        <is>
          <t>Plant A</t>
        </is>
      </c>
      <c r="H16" s="27" t="inlineStr">
        <is>
          <t>Sarah Wilson</t>
        </is>
      </c>
      <c r="I16" s="27" t="inlineStr">
        <is>
          <t>Sarah Wilson</t>
        </is>
      </c>
      <c r="J16" s="28" t="inlineStr">
        <is>
          <t>Medium</t>
        </is>
      </c>
      <c r="K16" s="29" t="n">
        <v>11</v>
      </c>
      <c r="L16" s="28" t="inlineStr">
        <is>
          <t>HIRA</t>
        </is>
      </c>
      <c r="M16" s="28" t="inlineStr">
        <is>
          <t>Pending Review</t>
        </is>
      </c>
      <c r="N16" s="28" t="inlineStr">
        <is>
          <t>Yes</t>
        </is>
      </c>
      <c r="O16" s="24">
        <f>IF(N16="Yes",IF(M16="Approved","✅ Compliant","⚠️ Pending"),"❌ Non-Compliant")</f>
        <v/>
      </c>
    </row>
    <row r="17" ht="15" customHeight="1" s="15">
      <c r="A17" s="31" t="n">
        <v>12</v>
      </c>
      <c r="B17" s="32" t="inlineStr">
        <is>
          <t>JSA-012</t>
        </is>
      </c>
      <c r="C17" s="33" t="n">
        <v>46208</v>
      </c>
      <c r="D17" s="31">
        <f>IF(C17="","",TEXT(C17,"MMM"))</f>
        <v/>
      </c>
      <c r="E17" s="34" t="inlineStr">
        <is>
          <t>Welding Operation</t>
        </is>
      </c>
      <c r="F17" s="35" t="inlineStr">
        <is>
          <t>Safety</t>
        </is>
      </c>
      <c r="G17" s="35" t="inlineStr">
        <is>
          <t>Control Room</t>
        </is>
      </c>
      <c r="H17" s="34" t="inlineStr">
        <is>
          <t>Ahmed Khan</t>
        </is>
      </c>
      <c r="I17" s="34" t="inlineStr">
        <is>
          <t>Fatima Al-Said</t>
        </is>
      </c>
      <c r="J17" s="35" t="inlineStr">
        <is>
          <t>Medium</t>
        </is>
      </c>
      <c r="K17" s="36" t="n">
        <v>6</v>
      </c>
      <c r="L17" s="35" t="inlineStr">
        <is>
          <t>Bow Tie</t>
        </is>
      </c>
      <c r="M17" s="35" t="inlineStr">
        <is>
          <t>Approved</t>
        </is>
      </c>
      <c r="N17" s="35" t="inlineStr">
        <is>
          <t>Yes</t>
        </is>
      </c>
      <c r="O17" s="31">
        <f>IF(N17="Yes",IF(M17="Approved","✅ Compliant","⚠️ Pending"),"❌ Non-Compliant")</f>
        <v/>
      </c>
    </row>
    <row r="18" ht="15" customHeight="1" s="15">
      <c r="A18" s="24" t="n">
        <v>13</v>
      </c>
      <c r="B18" s="25" t="inlineStr">
        <is>
          <t>JSA-013</t>
        </is>
      </c>
      <c r="C18" s="26" t="n">
        <v>46293</v>
      </c>
      <c r="D18" s="24">
        <f>IF(C18="","",TEXT(C18,"MMM"))</f>
        <v/>
      </c>
      <c r="E18" s="27" t="inlineStr">
        <is>
          <t>Tank Cleaning</t>
        </is>
      </c>
      <c r="F18" s="28" t="inlineStr">
        <is>
          <t>Contractor</t>
        </is>
      </c>
      <c r="G18" s="28" t="inlineStr">
        <is>
          <t>Warehouse</t>
        </is>
      </c>
      <c r="H18" s="27" t="inlineStr">
        <is>
          <t>Maria Garcia</t>
        </is>
      </c>
      <c r="I18" s="27" t="inlineStr">
        <is>
          <t>Raj Patel</t>
        </is>
      </c>
      <c r="J18" s="28" t="inlineStr">
        <is>
          <t>Medium</t>
        </is>
      </c>
      <c r="K18" s="29" t="n">
        <v>9</v>
      </c>
      <c r="L18" s="28" t="inlineStr">
        <is>
          <t>HIRA</t>
        </is>
      </c>
      <c r="M18" s="28" t="inlineStr">
        <is>
          <t>Approved</t>
        </is>
      </c>
      <c r="N18" s="28" t="inlineStr">
        <is>
          <t>Yes</t>
        </is>
      </c>
      <c r="O18" s="24">
        <f>IF(N18="Yes",IF(M18="Approved","✅ Compliant","⚠️ Pending"),"❌ Non-Compliant")</f>
        <v/>
      </c>
    </row>
    <row r="19" ht="21.75" customHeight="1" s="15">
      <c r="A19" s="31" t="n">
        <v>14</v>
      </c>
      <c r="B19" s="32" t="inlineStr">
        <is>
          <t>JSA-014</t>
        </is>
      </c>
      <c r="C19" s="33" t="n">
        <v>46229</v>
      </c>
      <c r="D19" s="31">
        <f>IF(C19="","",TEXT(C19,"MMM"))</f>
        <v/>
      </c>
      <c r="E19" s="34" t="inlineStr">
        <is>
          <t>Excavation Work</t>
        </is>
      </c>
      <c r="F19" s="35" t="inlineStr">
        <is>
          <t>Safety</t>
        </is>
      </c>
      <c r="G19" s="35" t="inlineStr">
        <is>
          <t>Warehouse</t>
        </is>
      </c>
      <c r="H19" s="34" t="inlineStr">
        <is>
          <t>Sarah Wilson</t>
        </is>
      </c>
      <c r="I19" s="34" t="inlineStr">
        <is>
          <t>David Chen</t>
        </is>
      </c>
      <c r="J19" s="35" t="inlineStr">
        <is>
          <t>High</t>
        </is>
      </c>
      <c r="K19" s="36" t="n">
        <v>10</v>
      </c>
      <c r="L19" s="35" t="inlineStr">
        <is>
          <t>Task RA</t>
        </is>
      </c>
      <c r="M19" s="35" t="inlineStr">
        <is>
          <t>Approved</t>
        </is>
      </c>
      <c r="N19" s="35" t="inlineStr">
        <is>
          <t>No</t>
        </is>
      </c>
      <c r="O19" s="31">
        <f>IF(N19="Yes",IF(M19="Approved","✅ Compliant","⚠️ Pending"),"❌ Non-Compliant")</f>
        <v/>
      </c>
    </row>
    <row r="20" ht="15" customHeight="1" s="15">
      <c r="A20" s="24" t="n">
        <v>15</v>
      </c>
      <c r="B20" s="25" t="inlineStr">
        <is>
          <t>JSA-015</t>
        </is>
      </c>
      <c r="C20" s="26" t="n">
        <v>46183</v>
      </c>
      <c r="D20" s="24">
        <f>IF(C20="","",TEXT(C20,"MMM"))</f>
        <v/>
      </c>
      <c r="E20" s="27" t="inlineStr">
        <is>
          <t>Excavation Work</t>
        </is>
      </c>
      <c r="F20" s="28" t="inlineStr">
        <is>
          <t>Construction</t>
        </is>
      </c>
      <c r="G20" s="28" t="inlineStr">
        <is>
          <t>Plant A</t>
        </is>
      </c>
      <c r="H20" s="27" t="inlineStr">
        <is>
          <t>Maria Garcia</t>
        </is>
      </c>
      <c r="I20" s="27" t="inlineStr">
        <is>
          <t>David Chen</t>
        </is>
      </c>
      <c r="J20" s="28" t="inlineStr">
        <is>
          <t>Medium</t>
        </is>
      </c>
      <c r="K20" s="29" t="n">
        <v>7</v>
      </c>
      <c r="L20" s="28" t="inlineStr">
        <is>
          <t>HIRA</t>
        </is>
      </c>
      <c r="M20" s="28" t="inlineStr">
        <is>
          <t>Pending Review</t>
        </is>
      </c>
      <c r="N20" s="28" t="inlineStr">
        <is>
          <t>Yes</t>
        </is>
      </c>
      <c r="O20" s="24">
        <f>IF(N20="Yes",IF(M20="Approved","✅ Compliant","⚠️ Pending"),"❌ Non-Compliant")</f>
        <v/>
      </c>
    </row>
    <row r="21" ht="15" customHeight="1" s="15">
      <c r="A21" s="31" t="n">
        <v>16</v>
      </c>
      <c r="B21" s="32" t="inlineStr">
        <is>
          <t>JSA-016</t>
        </is>
      </c>
      <c r="C21" s="33" t="n">
        <v>46343</v>
      </c>
      <c r="D21" s="31">
        <f>IF(C21="","",TEXT(C21,"MMM"))</f>
        <v/>
      </c>
      <c r="E21" s="34" t="inlineStr">
        <is>
          <t>Tank Cleaning</t>
        </is>
      </c>
      <c r="F21" s="35" t="inlineStr">
        <is>
          <t>Projects</t>
        </is>
      </c>
      <c r="G21" s="35" t="inlineStr">
        <is>
          <t>Control Room</t>
        </is>
      </c>
      <c r="H21" s="34" t="inlineStr">
        <is>
          <t>Ahmed Khan</t>
        </is>
      </c>
      <c r="I21" s="34" t="inlineStr">
        <is>
          <t>Sarah Wilson</t>
        </is>
      </c>
      <c r="J21" s="35" t="inlineStr">
        <is>
          <t>Medium</t>
        </is>
      </c>
      <c r="K21" s="36" t="n">
        <v>5</v>
      </c>
      <c r="L21" s="35" t="inlineStr">
        <is>
          <t>What-If</t>
        </is>
      </c>
      <c r="M21" s="35" t="inlineStr">
        <is>
          <t>Pending Review</t>
        </is>
      </c>
      <c r="N21" s="35" t="inlineStr">
        <is>
          <t>Yes</t>
        </is>
      </c>
      <c r="O21" s="31">
        <f>IF(N21="Yes",IF(M21="Approved","✅ Compliant","⚠️ Pending"),"❌ Non-Compliant")</f>
        <v/>
      </c>
    </row>
    <row r="22" ht="15" customHeight="1" s="15">
      <c r="A22" s="24" t="n">
        <v>17</v>
      </c>
      <c r="B22" s="25" t="inlineStr">
        <is>
          <t>JSA-017</t>
        </is>
      </c>
      <c r="C22" s="26" t="n">
        <v>46073</v>
      </c>
      <c r="D22" s="24">
        <f>IF(C22="","",TEXT(C22,"MMM"))</f>
        <v/>
      </c>
      <c r="E22" s="27" t="inlineStr">
        <is>
          <t>Tank Cleaning</t>
        </is>
      </c>
      <c r="F22" s="28" t="inlineStr">
        <is>
          <t>Logistics</t>
        </is>
      </c>
      <c r="G22" s="28" t="inlineStr">
        <is>
          <t>Control Room</t>
        </is>
      </c>
      <c r="H22" s="27" t="inlineStr">
        <is>
          <t>David Chen</t>
        </is>
      </c>
      <c r="I22" s="27" t="inlineStr">
        <is>
          <t>Lisa Park</t>
        </is>
      </c>
      <c r="J22" s="28" t="inlineStr">
        <is>
          <t>High</t>
        </is>
      </c>
      <c r="K22" s="29" t="n">
        <v>4</v>
      </c>
      <c r="L22" s="28" t="inlineStr">
        <is>
          <t>HAZOP</t>
        </is>
      </c>
      <c r="M22" s="28" t="inlineStr">
        <is>
          <t>Approved</t>
        </is>
      </c>
      <c r="N22" s="28" t="inlineStr">
        <is>
          <t>Yes</t>
        </is>
      </c>
      <c r="O22" s="24">
        <f>IF(N22="Yes",IF(M22="Approved","✅ Compliant","⚠️ Pending"),"❌ Non-Compliant")</f>
        <v/>
      </c>
    </row>
    <row r="23" ht="15" customHeight="1" s="15">
      <c r="A23" s="31" t="n">
        <v>18</v>
      </c>
      <c r="B23" s="32" t="inlineStr">
        <is>
          <t>JSA-018</t>
        </is>
      </c>
      <c r="C23" s="33" t="n">
        <v>46045</v>
      </c>
      <c r="D23" s="31">
        <f>IF(C23="","",TEXT(C23,"MMM"))</f>
        <v/>
      </c>
      <c r="E23" s="34" t="inlineStr">
        <is>
          <t>Tank Cleaning</t>
        </is>
      </c>
      <c r="F23" s="35" t="inlineStr">
        <is>
          <t>Operations</t>
        </is>
      </c>
      <c r="G23" s="35" t="inlineStr">
        <is>
          <t>Workshop</t>
        </is>
      </c>
      <c r="H23" s="34" t="inlineStr">
        <is>
          <t>Fatima Al-Said</t>
        </is>
      </c>
      <c r="I23" s="34" t="inlineStr">
        <is>
          <t>David Chen</t>
        </is>
      </c>
      <c r="J23" s="35" t="inlineStr">
        <is>
          <t>High</t>
        </is>
      </c>
      <c r="K23" s="36" t="n">
        <v>8</v>
      </c>
      <c r="L23" s="35" t="inlineStr">
        <is>
          <t>What-If</t>
        </is>
      </c>
      <c r="M23" s="35" t="inlineStr">
        <is>
          <t>Pending Review</t>
        </is>
      </c>
      <c r="N23" s="35" t="inlineStr">
        <is>
          <t>Yes</t>
        </is>
      </c>
      <c r="O23" s="31">
        <f>IF(N23="Yes",IF(M23="Approved","✅ Compliant","⚠️ Pending"),"❌ Non-Compliant")</f>
        <v/>
      </c>
    </row>
    <row r="24">
      <c r="A24">
        <f>IF($B24="","",ROW()-5)</f>
        <v/>
      </c>
      <c r="D24">
        <f>IF($B24="","",IF(C24="","",TEXT(C24,"MMM")))</f>
        <v/>
      </c>
      <c r="O24">
        <f>IF($B24="","",IF(N24="Yes",IF(M24="Approved","✅ Compliant","⚠️ Pending"),"❌ Non-Compliant"))</f>
        <v/>
      </c>
    </row>
    <row r="25">
      <c r="A25">
        <f>IF($B25="","",ROW()-5)</f>
        <v/>
      </c>
      <c r="D25">
        <f>IF($B25="","",IF(C25="","",TEXT(C25,"MMM")))</f>
        <v/>
      </c>
      <c r="O25">
        <f>IF($B25="","",IF(N25="Yes",IF(M25="Approved","✅ Compliant","⚠️ Pending"),"❌ Non-Compliant"))</f>
        <v/>
      </c>
    </row>
    <row r="26">
      <c r="A26">
        <f>IF($B26="","",ROW()-5)</f>
        <v/>
      </c>
      <c r="D26">
        <f>IF($B26="","",IF(C26="","",TEXT(C26,"MMM")))</f>
        <v/>
      </c>
      <c r="O26">
        <f>IF($B26="","",IF(N26="Yes",IF(M26="Approved","✅ Compliant","⚠️ Pending"),"❌ Non-Compliant"))</f>
        <v/>
      </c>
    </row>
    <row r="27">
      <c r="A27">
        <f>IF($B27="","",ROW()-5)</f>
        <v/>
      </c>
      <c r="D27">
        <f>IF($B27="","",IF(C27="","",TEXT(C27,"MMM")))</f>
        <v/>
      </c>
      <c r="O27">
        <f>IF($B27="","",IF(N27="Yes",IF(M27="Approved","✅ Compliant","⚠️ Pending"),"❌ Non-Compliant"))</f>
        <v/>
      </c>
    </row>
    <row r="28">
      <c r="A28">
        <f>IF($B28="","",ROW()-5)</f>
        <v/>
      </c>
      <c r="D28">
        <f>IF($B28="","",IF(C28="","",TEXT(C28,"MMM")))</f>
        <v/>
      </c>
      <c r="O28">
        <f>IF($B28="","",IF(N28="Yes",IF(M28="Approved","✅ Compliant","⚠️ Pending"),"❌ Non-Compliant"))</f>
        <v/>
      </c>
    </row>
    <row r="29">
      <c r="A29">
        <f>IF($B29="","",ROW()-5)</f>
        <v/>
      </c>
      <c r="D29">
        <f>IF($B29="","",IF(C29="","",TEXT(C29,"MMM")))</f>
        <v/>
      </c>
      <c r="O29">
        <f>IF($B29="","",IF(N29="Yes",IF(M29="Approved","✅ Compliant","⚠️ Pending"),"❌ Non-Compliant"))</f>
        <v/>
      </c>
    </row>
    <row r="30">
      <c r="A30">
        <f>IF($B30="","",ROW()-5)</f>
        <v/>
      </c>
      <c r="D30">
        <f>IF($B30="","",IF(C30="","",TEXT(C30,"MMM")))</f>
        <v/>
      </c>
      <c r="O30">
        <f>IF($B30="","",IF(N30="Yes",IF(M30="Approved","✅ Compliant","⚠️ Pending"),"❌ Non-Compliant"))</f>
        <v/>
      </c>
    </row>
    <row r="31">
      <c r="A31">
        <f>IF($B31="","",ROW()-5)</f>
        <v/>
      </c>
      <c r="D31">
        <f>IF($B31="","",IF(C31="","",TEXT(C31,"MMM")))</f>
        <v/>
      </c>
      <c r="O31">
        <f>IF($B31="","",IF(N31="Yes",IF(M31="Approved","✅ Compliant","⚠️ Pending"),"❌ Non-Compliant"))</f>
        <v/>
      </c>
    </row>
    <row r="32">
      <c r="A32">
        <f>IF($B32="","",ROW()-5)</f>
        <v/>
      </c>
      <c r="D32">
        <f>IF($B32="","",IF(C32="","",TEXT(C32,"MMM")))</f>
        <v/>
      </c>
      <c r="O32">
        <f>IF($B32="","",IF(N32="Yes",IF(M32="Approved","✅ Compliant","⚠️ Pending"),"❌ Non-Compliant"))</f>
        <v/>
      </c>
    </row>
    <row r="33">
      <c r="A33">
        <f>IF($B33="","",ROW()-5)</f>
        <v/>
      </c>
      <c r="D33">
        <f>IF($B33="","",IF(C33="","",TEXT(C33,"MMM")))</f>
        <v/>
      </c>
      <c r="O33">
        <f>IF($B33="","",IF(N33="Yes",IF(M33="Approved","✅ Compliant","⚠️ Pending"),"❌ Non-Compliant"))</f>
        <v/>
      </c>
    </row>
    <row r="34">
      <c r="A34">
        <f>IF($B34="","",ROW()-5)</f>
        <v/>
      </c>
      <c r="D34">
        <f>IF($B34="","",IF(C34="","",TEXT(C34,"MMM")))</f>
        <v/>
      </c>
      <c r="O34">
        <f>IF($B34="","",IF(N34="Yes",IF(M34="Approved","✅ Compliant","⚠️ Pending"),"❌ Non-Compliant"))</f>
        <v/>
      </c>
    </row>
    <row r="35">
      <c r="A35">
        <f>IF($B35="","",ROW()-5)</f>
        <v/>
      </c>
      <c r="D35">
        <f>IF($B35="","",IF(C35="","",TEXT(C35,"MMM")))</f>
        <v/>
      </c>
      <c r="O35">
        <f>IF($B35="","",IF(N35="Yes",IF(M35="Approved","✅ Compliant","⚠️ Pending"),"❌ Non-Compliant"))</f>
        <v/>
      </c>
    </row>
    <row r="36">
      <c r="A36">
        <f>IF($B36="","",ROW()-5)</f>
        <v/>
      </c>
      <c r="D36">
        <f>IF($B36="","",IF(C36="","",TEXT(C36,"MMM")))</f>
        <v/>
      </c>
      <c r="O36">
        <f>IF($B36="","",IF(N36="Yes",IF(M36="Approved","✅ Compliant","⚠️ Pending"),"❌ Non-Compliant"))</f>
        <v/>
      </c>
    </row>
    <row r="37">
      <c r="A37">
        <f>IF($B37="","",ROW()-5)</f>
        <v/>
      </c>
      <c r="D37">
        <f>IF($B37="","",IF(C37="","",TEXT(C37,"MMM")))</f>
        <v/>
      </c>
      <c r="O37">
        <f>IF($B37="","",IF(N37="Yes",IF(M37="Approved","✅ Compliant","⚠️ Pending"),"❌ Non-Compliant"))</f>
        <v/>
      </c>
    </row>
    <row r="38">
      <c r="A38">
        <f>IF($B38="","",ROW()-5)</f>
        <v/>
      </c>
      <c r="D38">
        <f>IF($B38="","",IF(C38="","",TEXT(C38,"MMM")))</f>
        <v/>
      </c>
      <c r="O38">
        <f>IF($B38="","",IF(N38="Yes",IF(M38="Approved","✅ Compliant","⚠️ Pending"),"❌ Non-Compliant"))</f>
        <v/>
      </c>
    </row>
    <row r="39">
      <c r="A39">
        <f>IF($B39="","",ROW()-5)</f>
        <v/>
      </c>
      <c r="D39">
        <f>IF($B39="","",IF(C39="","",TEXT(C39,"MMM")))</f>
        <v/>
      </c>
      <c r="O39">
        <f>IF($B39="","",IF(N39="Yes",IF(M39="Approved","✅ Compliant","⚠️ Pending"),"❌ Non-Compliant"))</f>
        <v/>
      </c>
    </row>
    <row r="40">
      <c r="A40">
        <f>IF($B40="","",ROW()-5)</f>
        <v/>
      </c>
      <c r="D40">
        <f>IF($B40="","",IF(C40="","",TEXT(C40,"MMM")))</f>
        <v/>
      </c>
      <c r="O40">
        <f>IF($B40="","",IF(N40="Yes",IF(M40="Approved","✅ Compliant","⚠️ Pending"),"❌ Non-Compliant"))</f>
        <v/>
      </c>
    </row>
    <row r="41">
      <c r="A41">
        <f>IF($B41="","",ROW()-5)</f>
        <v/>
      </c>
      <c r="D41">
        <f>IF($B41="","",IF(C41="","",TEXT(C41,"MMM")))</f>
        <v/>
      </c>
      <c r="O41">
        <f>IF($B41="","",IF(N41="Yes",IF(M41="Approved","✅ Compliant","⚠️ Pending"),"❌ Non-Compliant"))</f>
        <v/>
      </c>
    </row>
    <row r="42">
      <c r="A42">
        <f>IF($B42="","",ROW()-5)</f>
        <v/>
      </c>
      <c r="D42">
        <f>IF($B42="","",IF(C42="","",TEXT(C42,"MMM")))</f>
        <v/>
      </c>
      <c r="O42">
        <f>IF($B42="","",IF(N42="Yes",IF(M42="Approved","✅ Compliant","⚠️ Pending"),"❌ Non-Compliant"))</f>
        <v/>
      </c>
    </row>
    <row r="43">
      <c r="A43">
        <f>IF($B43="","",ROW()-5)</f>
        <v/>
      </c>
      <c r="D43">
        <f>IF($B43="","",IF(C43="","",TEXT(C43,"MMM")))</f>
        <v/>
      </c>
      <c r="O43">
        <f>IF($B43="","",IF(N43="Yes",IF(M43="Approved","✅ Compliant","⚠️ Pending"),"❌ Non-Compliant"))</f>
        <v/>
      </c>
    </row>
    <row r="44">
      <c r="A44">
        <f>IF($B44="","",ROW()-5)</f>
        <v/>
      </c>
      <c r="D44">
        <f>IF($B44="","",IF(C44="","",TEXT(C44,"MMM")))</f>
        <v/>
      </c>
      <c r="O44">
        <f>IF($B44="","",IF(N44="Yes",IF(M44="Approved","✅ Compliant","⚠️ Pending"),"❌ Non-Compliant"))</f>
        <v/>
      </c>
    </row>
    <row r="45">
      <c r="A45">
        <f>IF($B45="","",ROW()-5)</f>
        <v/>
      </c>
      <c r="D45">
        <f>IF($B45="","",IF(C45="","",TEXT(C45,"MMM")))</f>
        <v/>
      </c>
      <c r="O45">
        <f>IF($B45="","",IF(N45="Yes",IF(M45="Approved","✅ Compliant","⚠️ Pending"),"❌ Non-Compliant"))</f>
        <v/>
      </c>
    </row>
    <row r="46">
      <c r="A46">
        <f>IF($B46="","",ROW()-5)</f>
        <v/>
      </c>
      <c r="D46">
        <f>IF($B46="","",IF(C46="","",TEXT(C46,"MMM")))</f>
        <v/>
      </c>
      <c r="O46">
        <f>IF($B46="","",IF(N46="Yes",IF(M46="Approved","✅ Compliant","⚠️ Pending"),"❌ Non-Compliant"))</f>
        <v/>
      </c>
    </row>
    <row r="47">
      <c r="A47">
        <f>IF($B47="","",ROW()-5)</f>
        <v/>
      </c>
      <c r="D47">
        <f>IF($B47="","",IF(C47="","",TEXT(C47,"MMM")))</f>
        <v/>
      </c>
      <c r="O47">
        <f>IF($B47="","",IF(N47="Yes",IF(M47="Approved","✅ Compliant","⚠️ Pending"),"❌ Non-Compliant"))</f>
        <v/>
      </c>
    </row>
    <row r="48">
      <c r="A48">
        <f>IF($B48="","",ROW()-5)</f>
        <v/>
      </c>
      <c r="D48">
        <f>IF($B48="","",IF(C48="","",TEXT(C48,"MMM")))</f>
        <v/>
      </c>
      <c r="O48">
        <f>IF($B48="","",IF(N48="Yes",IF(M48="Approved","✅ Compliant","⚠️ Pending"),"❌ Non-Compliant"))</f>
        <v/>
      </c>
    </row>
    <row r="49">
      <c r="A49">
        <f>IF($B49="","",ROW()-5)</f>
        <v/>
      </c>
      <c r="D49">
        <f>IF($B49="","",IF(C49="","",TEXT(C49,"MMM")))</f>
        <v/>
      </c>
      <c r="O49">
        <f>IF($B49="","",IF(N49="Yes",IF(M49="Approved","✅ Compliant","⚠️ Pending"),"❌ Non-Compliant"))</f>
        <v/>
      </c>
    </row>
    <row r="50">
      <c r="A50">
        <f>IF($B50="","",ROW()-5)</f>
        <v/>
      </c>
      <c r="D50">
        <f>IF($B50="","",IF(C50="","",TEXT(C50,"MMM")))</f>
        <v/>
      </c>
      <c r="O50">
        <f>IF($B50="","",IF(N50="Yes",IF(M50="Approved","✅ Compliant","⚠️ Pending"),"❌ Non-Compliant"))</f>
        <v/>
      </c>
    </row>
    <row r="51">
      <c r="A51">
        <f>IF($B51="","",ROW()-5)</f>
        <v/>
      </c>
      <c r="D51">
        <f>IF($B51="","",IF(C51="","",TEXT(C51,"MMM")))</f>
        <v/>
      </c>
      <c r="O51">
        <f>IF($B51="","",IF(N51="Yes",IF(M51="Approved","✅ Compliant","⚠️ Pending"),"❌ Non-Compliant"))</f>
        <v/>
      </c>
    </row>
    <row r="52">
      <c r="A52">
        <f>IF($B52="","",ROW()-5)</f>
        <v/>
      </c>
      <c r="D52">
        <f>IF($B52="","",IF(C52="","",TEXT(C52,"MMM")))</f>
        <v/>
      </c>
      <c r="O52">
        <f>IF($B52="","",IF(N52="Yes",IF(M52="Approved","✅ Compliant","⚠️ Pending"),"❌ Non-Compliant"))</f>
        <v/>
      </c>
    </row>
    <row r="53">
      <c r="A53">
        <f>IF($B53="","",ROW()-5)</f>
        <v/>
      </c>
      <c r="D53">
        <f>IF($B53="","",IF(C53="","",TEXT(C53,"MMM")))</f>
        <v/>
      </c>
      <c r="O53">
        <f>IF($B53="","",IF(N53="Yes",IF(M53="Approved","✅ Compliant","⚠️ Pending"),"❌ Non-Compliant"))</f>
        <v/>
      </c>
    </row>
    <row r="54">
      <c r="A54">
        <f>IF($B54="","",ROW()-5)</f>
        <v/>
      </c>
      <c r="D54">
        <f>IF($B54="","",IF(C54="","",TEXT(C54,"MMM")))</f>
        <v/>
      </c>
      <c r="O54">
        <f>IF($B54="","",IF(N54="Yes",IF(M54="Approved","✅ Compliant","⚠️ Pending"),"❌ Non-Compliant"))</f>
        <v/>
      </c>
    </row>
    <row r="55">
      <c r="A55">
        <f>IF($B55="","",ROW()-5)</f>
        <v/>
      </c>
      <c r="D55">
        <f>IF($B55="","",IF(C55="","",TEXT(C55,"MMM")))</f>
        <v/>
      </c>
      <c r="O55">
        <f>IF($B55="","",IF(N55="Yes",IF(M55="Approved","✅ Compliant","⚠️ Pending"),"❌ Non-Compliant"))</f>
        <v/>
      </c>
    </row>
    <row r="56">
      <c r="A56">
        <f>IF($B56="","",ROW()-5)</f>
        <v/>
      </c>
      <c r="D56">
        <f>IF($B56="","",IF(C56="","",TEXT(C56,"MMM")))</f>
        <v/>
      </c>
      <c r="O56">
        <f>IF($B56="","",IF(N56="Yes",IF(M56="Approved","✅ Compliant","⚠️ Pending"),"❌ Non-Compliant"))</f>
        <v/>
      </c>
    </row>
    <row r="57">
      <c r="A57">
        <f>IF($B57="","",ROW()-5)</f>
        <v/>
      </c>
      <c r="D57">
        <f>IF($B57="","",IF(C57="","",TEXT(C57,"MMM")))</f>
        <v/>
      </c>
      <c r="O57">
        <f>IF($B57="","",IF(N57="Yes",IF(M57="Approved","✅ Compliant","⚠️ Pending"),"❌ Non-Compliant"))</f>
        <v/>
      </c>
    </row>
    <row r="58">
      <c r="A58">
        <f>IF($B58="","",ROW()-5)</f>
        <v/>
      </c>
      <c r="D58">
        <f>IF($B58="","",IF(C58="","",TEXT(C58,"MMM")))</f>
        <v/>
      </c>
      <c r="O58">
        <f>IF($B58="","",IF(N58="Yes",IF(M58="Approved","✅ Compliant","⚠️ Pending"),"❌ Non-Compliant"))</f>
        <v/>
      </c>
    </row>
    <row r="59">
      <c r="A59">
        <f>IF($B59="","",ROW()-5)</f>
        <v/>
      </c>
      <c r="D59">
        <f>IF($B59="","",IF(C59="","",TEXT(C59,"MMM")))</f>
        <v/>
      </c>
      <c r="O59">
        <f>IF($B59="","",IF(N59="Yes",IF(M59="Approved","✅ Compliant","⚠️ Pending"),"❌ Non-Compliant"))</f>
        <v/>
      </c>
    </row>
    <row r="60">
      <c r="A60">
        <f>IF($B60="","",ROW()-5)</f>
        <v/>
      </c>
      <c r="D60">
        <f>IF($B60="","",IF(C60="","",TEXT(C60,"MMM")))</f>
        <v/>
      </c>
      <c r="O60">
        <f>IF($B60="","",IF(N60="Yes",IF(M60="Approved","✅ Compliant","⚠️ Pending"),"❌ Non-Compliant"))</f>
        <v/>
      </c>
    </row>
    <row r="61">
      <c r="A61">
        <f>IF($B61="","",ROW()-5)</f>
        <v/>
      </c>
      <c r="D61">
        <f>IF($B61="","",IF(C61="","",TEXT(C61,"MMM")))</f>
        <v/>
      </c>
      <c r="O61">
        <f>IF($B61="","",IF(N61="Yes",IF(M61="Approved","✅ Compliant","⚠️ Pending"),"❌ Non-Compliant"))</f>
        <v/>
      </c>
    </row>
    <row r="62">
      <c r="A62">
        <f>IF($B62="","",ROW()-5)</f>
        <v/>
      </c>
      <c r="D62">
        <f>IF($B62="","",IF(C62="","",TEXT(C62,"MMM")))</f>
        <v/>
      </c>
      <c r="O62">
        <f>IF($B62="","",IF(N62="Yes",IF(M62="Approved","✅ Compliant","⚠️ Pending"),"❌ Non-Compliant"))</f>
        <v/>
      </c>
    </row>
    <row r="63">
      <c r="A63">
        <f>IF($B63="","",ROW()-5)</f>
        <v/>
      </c>
      <c r="D63">
        <f>IF($B63="","",IF(C63="","",TEXT(C63,"MMM")))</f>
        <v/>
      </c>
      <c r="O63">
        <f>IF($B63="","",IF(N63="Yes",IF(M63="Approved","✅ Compliant","⚠️ Pending"),"❌ Non-Compliant"))</f>
        <v/>
      </c>
    </row>
    <row r="64">
      <c r="A64">
        <f>IF($B64="","",ROW()-5)</f>
        <v/>
      </c>
      <c r="D64">
        <f>IF($B64="","",IF(C64="","",TEXT(C64,"MMM")))</f>
        <v/>
      </c>
      <c r="O64">
        <f>IF($B64="","",IF(N64="Yes",IF(M64="Approved","✅ Compliant","⚠️ Pending"),"❌ Non-Compliant"))</f>
        <v/>
      </c>
    </row>
    <row r="65">
      <c r="A65">
        <f>IF($B65="","",ROW()-5)</f>
        <v/>
      </c>
      <c r="D65">
        <f>IF($B65="","",IF(C65="","",TEXT(C65,"MMM")))</f>
        <v/>
      </c>
      <c r="O65">
        <f>IF($B65="","",IF(N65="Yes",IF(M65="Approved","✅ Compliant","⚠️ Pending"),"❌ Non-Compliant"))</f>
        <v/>
      </c>
    </row>
    <row r="66">
      <c r="A66">
        <f>IF($B66="","",ROW()-5)</f>
        <v/>
      </c>
      <c r="D66">
        <f>IF($B66="","",IF(C66="","",TEXT(C66,"MMM")))</f>
        <v/>
      </c>
      <c r="O66">
        <f>IF($B66="","",IF(N66="Yes",IF(M66="Approved","✅ Compliant","⚠️ Pending"),"❌ Non-Compliant"))</f>
        <v/>
      </c>
    </row>
    <row r="67">
      <c r="A67">
        <f>IF($B67="","",ROW()-5)</f>
        <v/>
      </c>
      <c r="D67">
        <f>IF($B67="","",IF(C67="","",TEXT(C67,"MMM")))</f>
        <v/>
      </c>
      <c r="O67">
        <f>IF($B67="","",IF(N67="Yes",IF(M67="Approved","✅ Compliant","⚠️ Pending"),"❌ Non-Compliant"))</f>
        <v/>
      </c>
    </row>
    <row r="68">
      <c r="A68">
        <f>IF($B68="","",ROW()-5)</f>
        <v/>
      </c>
      <c r="D68">
        <f>IF($B68="","",IF(C68="","",TEXT(C68,"MMM")))</f>
        <v/>
      </c>
      <c r="O68">
        <f>IF($B68="","",IF(N68="Yes",IF(M68="Approved","✅ Compliant","⚠️ Pending"),"❌ Non-Compliant"))</f>
        <v/>
      </c>
    </row>
    <row r="69">
      <c r="A69">
        <f>IF($B69="","",ROW()-5)</f>
        <v/>
      </c>
      <c r="D69">
        <f>IF($B69="","",IF(C69="","",TEXT(C69,"MMM")))</f>
        <v/>
      </c>
      <c r="O69">
        <f>IF($B69="","",IF(N69="Yes",IF(M69="Approved","✅ Compliant","⚠️ Pending"),"❌ Non-Compliant"))</f>
        <v/>
      </c>
    </row>
    <row r="70">
      <c r="A70">
        <f>IF($B70="","",ROW()-5)</f>
        <v/>
      </c>
      <c r="D70">
        <f>IF($B70="","",IF(C70="","",TEXT(C70,"MMM")))</f>
        <v/>
      </c>
      <c r="O70">
        <f>IF($B70="","",IF(N70="Yes",IF(M70="Approved","✅ Compliant","⚠️ Pending"),"❌ Non-Compliant"))</f>
        <v/>
      </c>
    </row>
    <row r="71">
      <c r="A71">
        <f>IF($B71="","",ROW()-5)</f>
        <v/>
      </c>
      <c r="D71">
        <f>IF($B71="","",IF(C71="","",TEXT(C71,"MMM")))</f>
        <v/>
      </c>
      <c r="O71">
        <f>IF($B71="","",IF(N71="Yes",IF(M71="Approved","✅ Compliant","⚠️ Pending"),"❌ Non-Compliant"))</f>
        <v/>
      </c>
    </row>
    <row r="72">
      <c r="A72">
        <f>IF($B72="","",ROW()-5)</f>
        <v/>
      </c>
      <c r="D72">
        <f>IF($B72="","",IF(C72="","",TEXT(C72,"MMM")))</f>
        <v/>
      </c>
      <c r="O72">
        <f>IF($B72="","",IF(N72="Yes",IF(M72="Approved","✅ Compliant","⚠️ Pending"),"❌ Non-Compliant"))</f>
        <v/>
      </c>
    </row>
    <row r="73">
      <c r="A73">
        <f>IF($B73="","",ROW()-5)</f>
        <v/>
      </c>
      <c r="D73">
        <f>IF($B73="","",IF(C73="","",TEXT(C73,"MMM")))</f>
        <v/>
      </c>
      <c r="O73">
        <f>IF($B73="","",IF(N73="Yes",IF(M73="Approved","✅ Compliant","⚠️ Pending"),"❌ Non-Compliant"))</f>
        <v/>
      </c>
    </row>
    <row r="74">
      <c r="A74">
        <f>IF($B74="","",ROW()-5)</f>
        <v/>
      </c>
      <c r="D74">
        <f>IF($B74="","",IF(C74="","",TEXT(C74,"MMM")))</f>
        <v/>
      </c>
      <c r="O74">
        <f>IF($B74="","",IF(N74="Yes",IF(M74="Approved","✅ Compliant","⚠️ Pending"),"❌ Non-Compliant"))</f>
        <v/>
      </c>
    </row>
    <row r="75">
      <c r="A75">
        <f>IF($B75="","",ROW()-5)</f>
        <v/>
      </c>
      <c r="D75">
        <f>IF($B75="","",IF(C75="","",TEXT(C75,"MMM")))</f>
        <v/>
      </c>
      <c r="O75">
        <f>IF($B75="","",IF(N75="Yes",IF(M75="Approved","✅ Compliant","⚠️ Pending"),"❌ Non-Compliant"))</f>
        <v/>
      </c>
    </row>
    <row r="76">
      <c r="A76">
        <f>IF($B76="","",ROW()-5)</f>
        <v/>
      </c>
      <c r="D76">
        <f>IF($B76="","",IF(C76="","",TEXT(C76,"MMM")))</f>
        <v/>
      </c>
      <c r="O76">
        <f>IF($B76="","",IF(N76="Yes",IF(M76="Approved","✅ Compliant","⚠️ Pending"),"❌ Non-Compliant"))</f>
        <v/>
      </c>
    </row>
    <row r="77">
      <c r="A77">
        <f>IF($B77="","",ROW()-5)</f>
        <v/>
      </c>
      <c r="D77">
        <f>IF($B77="","",IF(C77="","",TEXT(C77,"MMM")))</f>
        <v/>
      </c>
      <c r="O77">
        <f>IF($B77="","",IF(N77="Yes",IF(M77="Approved","✅ Compliant","⚠️ Pending"),"❌ Non-Compliant"))</f>
        <v/>
      </c>
    </row>
    <row r="78">
      <c r="A78">
        <f>IF($B78="","",ROW()-5)</f>
        <v/>
      </c>
      <c r="D78">
        <f>IF($B78="","",IF(C78="","",TEXT(C78,"MMM")))</f>
        <v/>
      </c>
      <c r="O78">
        <f>IF($B78="","",IF(N78="Yes",IF(M78="Approved","✅ Compliant","⚠️ Pending"),"❌ Non-Compliant"))</f>
        <v/>
      </c>
    </row>
    <row r="79">
      <c r="A79">
        <f>IF($B79="","",ROW()-5)</f>
        <v/>
      </c>
      <c r="D79">
        <f>IF($B79="","",IF(C79="","",TEXT(C79,"MMM")))</f>
        <v/>
      </c>
      <c r="O79">
        <f>IF($B79="","",IF(N79="Yes",IF(M79="Approved","✅ Compliant","⚠️ Pending"),"❌ Non-Compliant"))</f>
        <v/>
      </c>
    </row>
    <row r="80">
      <c r="A80">
        <f>IF($B80="","",ROW()-5)</f>
        <v/>
      </c>
      <c r="D80">
        <f>IF($B80="","",IF(C80="","",TEXT(C80,"MMM")))</f>
        <v/>
      </c>
      <c r="O80">
        <f>IF($B80="","",IF(N80="Yes",IF(M80="Approved","✅ Compliant","⚠️ Pending"),"❌ Non-Compliant"))</f>
        <v/>
      </c>
    </row>
    <row r="81">
      <c r="A81">
        <f>IF($B81="","",ROW()-5)</f>
        <v/>
      </c>
      <c r="D81">
        <f>IF($B81="","",IF(C81="","",TEXT(C81,"MMM")))</f>
        <v/>
      </c>
      <c r="O81">
        <f>IF($B81="","",IF(N81="Yes",IF(M81="Approved","✅ Compliant","⚠️ Pending"),"❌ Non-Compliant"))</f>
        <v/>
      </c>
    </row>
    <row r="82">
      <c r="A82">
        <f>IF($B82="","",ROW()-5)</f>
        <v/>
      </c>
      <c r="D82">
        <f>IF($B82="","",IF(C82="","",TEXT(C82,"MMM")))</f>
        <v/>
      </c>
      <c r="O82">
        <f>IF($B82="","",IF(N82="Yes",IF(M82="Approved","✅ Compliant","⚠️ Pending"),"❌ Non-Compliant"))</f>
        <v/>
      </c>
    </row>
    <row r="83">
      <c r="A83">
        <f>IF($B83="","",ROW()-5)</f>
        <v/>
      </c>
      <c r="D83">
        <f>IF($B83="","",IF(C83="","",TEXT(C83,"MMM")))</f>
        <v/>
      </c>
      <c r="O83">
        <f>IF($B83="","",IF(N83="Yes",IF(M83="Approved","✅ Compliant","⚠️ Pending"),"❌ Non-Compliant"))</f>
        <v/>
      </c>
    </row>
    <row r="84">
      <c r="A84">
        <f>IF($B84="","",ROW()-5)</f>
        <v/>
      </c>
      <c r="D84">
        <f>IF($B84="","",IF(C84="","",TEXT(C84,"MMM")))</f>
        <v/>
      </c>
      <c r="O84">
        <f>IF($B84="","",IF(N84="Yes",IF(M84="Approved","✅ Compliant","⚠️ Pending"),"❌ Non-Compliant"))</f>
        <v/>
      </c>
    </row>
    <row r="85">
      <c r="A85">
        <f>IF($B85="","",ROW()-5)</f>
        <v/>
      </c>
      <c r="D85">
        <f>IF($B85="","",IF(C85="","",TEXT(C85,"MMM")))</f>
        <v/>
      </c>
      <c r="O85">
        <f>IF($B85="","",IF(N85="Yes",IF(M85="Approved","✅ Compliant","⚠️ Pending"),"❌ Non-Compliant"))</f>
        <v/>
      </c>
    </row>
    <row r="86">
      <c r="A86">
        <f>IF($B86="","",ROW()-5)</f>
        <v/>
      </c>
      <c r="D86">
        <f>IF($B86="","",IF(C86="","",TEXT(C86,"MMM")))</f>
        <v/>
      </c>
      <c r="O86">
        <f>IF($B86="","",IF(N86="Yes",IF(M86="Approved","✅ Compliant","⚠️ Pending"),"❌ Non-Compliant"))</f>
        <v/>
      </c>
    </row>
    <row r="87">
      <c r="A87">
        <f>IF($B87="","",ROW()-5)</f>
        <v/>
      </c>
      <c r="D87">
        <f>IF($B87="","",IF(C87="","",TEXT(C87,"MMM")))</f>
        <v/>
      </c>
      <c r="O87">
        <f>IF($B87="","",IF(N87="Yes",IF(M87="Approved","✅ Compliant","⚠️ Pending"),"❌ Non-Compliant"))</f>
        <v/>
      </c>
    </row>
    <row r="88">
      <c r="A88">
        <f>IF($B88="","",ROW()-5)</f>
        <v/>
      </c>
      <c r="D88">
        <f>IF($B88="","",IF(C88="","",TEXT(C88,"MMM")))</f>
        <v/>
      </c>
      <c r="O88">
        <f>IF($B88="","",IF(N88="Yes",IF(M88="Approved","✅ Compliant","⚠️ Pending"),"❌ Non-Compliant"))</f>
        <v/>
      </c>
    </row>
    <row r="89">
      <c r="A89">
        <f>IF($B89="","",ROW()-5)</f>
        <v/>
      </c>
      <c r="D89">
        <f>IF($B89="","",IF(C89="","",TEXT(C89,"MMM")))</f>
        <v/>
      </c>
      <c r="O89">
        <f>IF($B89="","",IF(N89="Yes",IF(M89="Approved","✅ Compliant","⚠️ Pending"),"❌ Non-Compliant"))</f>
        <v/>
      </c>
    </row>
    <row r="90">
      <c r="A90">
        <f>IF($B90="","",ROW()-5)</f>
        <v/>
      </c>
      <c r="D90">
        <f>IF($B90="","",IF(C90="","",TEXT(C90,"MMM")))</f>
        <v/>
      </c>
      <c r="O90">
        <f>IF($B90="","",IF(N90="Yes",IF(M90="Approved","✅ Compliant","⚠️ Pending"),"❌ Non-Compliant"))</f>
        <v/>
      </c>
    </row>
    <row r="91">
      <c r="A91">
        <f>IF($B91="","",ROW()-5)</f>
        <v/>
      </c>
      <c r="D91">
        <f>IF($B91="","",IF(C91="","",TEXT(C91,"MMM")))</f>
        <v/>
      </c>
      <c r="O91">
        <f>IF($B91="","",IF(N91="Yes",IF(M91="Approved","✅ Compliant","⚠️ Pending"),"❌ Non-Compliant"))</f>
        <v/>
      </c>
    </row>
    <row r="92">
      <c r="A92">
        <f>IF($B92="","",ROW()-5)</f>
        <v/>
      </c>
      <c r="D92">
        <f>IF($B92="","",IF(C92="","",TEXT(C92,"MMM")))</f>
        <v/>
      </c>
      <c r="O92">
        <f>IF($B92="","",IF(N92="Yes",IF(M92="Approved","✅ Compliant","⚠️ Pending"),"❌ Non-Compliant"))</f>
        <v/>
      </c>
    </row>
    <row r="93">
      <c r="A93">
        <f>IF($B93="","",ROW()-5)</f>
        <v/>
      </c>
      <c r="D93">
        <f>IF($B93="","",IF(C93="","",TEXT(C93,"MMM")))</f>
        <v/>
      </c>
      <c r="O93">
        <f>IF($B93="","",IF(N93="Yes",IF(M93="Approved","✅ Compliant","⚠️ Pending"),"❌ Non-Compliant"))</f>
        <v/>
      </c>
    </row>
    <row r="94">
      <c r="A94">
        <f>IF($B94="","",ROW()-5)</f>
        <v/>
      </c>
      <c r="D94">
        <f>IF($B94="","",IF(C94="","",TEXT(C94,"MMM")))</f>
        <v/>
      </c>
      <c r="O94">
        <f>IF($B94="","",IF(N94="Yes",IF(M94="Approved","✅ Compliant","⚠️ Pending"),"❌ Non-Compliant"))</f>
        <v/>
      </c>
    </row>
    <row r="95">
      <c r="A95">
        <f>IF($B95="","",ROW()-5)</f>
        <v/>
      </c>
      <c r="D95">
        <f>IF($B95="","",IF(C95="","",TEXT(C95,"MMM")))</f>
        <v/>
      </c>
      <c r="O95">
        <f>IF($B95="","",IF(N95="Yes",IF(M95="Approved","✅ Compliant","⚠️ Pending"),"❌ Non-Compliant"))</f>
        <v/>
      </c>
    </row>
    <row r="96">
      <c r="A96">
        <f>IF($B96="","",ROW()-5)</f>
        <v/>
      </c>
      <c r="D96">
        <f>IF($B96="","",IF(C96="","",TEXT(C96,"MMM")))</f>
        <v/>
      </c>
      <c r="O96">
        <f>IF($B96="","",IF(N96="Yes",IF(M96="Approved","✅ Compliant","⚠️ Pending"),"❌ Non-Compliant"))</f>
        <v/>
      </c>
    </row>
    <row r="97">
      <c r="A97">
        <f>IF($B97="","",ROW()-5)</f>
        <v/>
      </c>
      <c r="D97">
        <f>IF($B97="","",IF(C97="","",TEXT(C97,"MMM")))</f>
        <v/>
      </c>
      <c r="O97">
        <f>IF($B97="","",IF(N97="Yes",IF(M97="Approved","✅ Compliant","⚠️ Pending"),"❌ Non-Compliant"))</f>
        <v/>
      </c>
    </row>
    <row r="98">
      <c r="A98">
        <f>IF($B98="","",ROW()-5)</f>
        <v/>
      </c>
      <c r="D98">
        <f>IF($B98="","",IF(C98="","",TEXT(C98,"MMM")))</f>
        <v/>
      </c>
      <c r="O98">
        <f>IF($B98="","",IF(N98="Yes",IF(M98="Approved","✅ Compliant","⚠️ Pending"),"❌ Non-Compliant"))</f>
        <v/>
      </c>
    </row>
    <row r="99">
      <c r="A99">
        <f>IF($B99="","",ROW()-5)</f>
        <v/>
      </c>
      <c r="D99">
        <f>IF($B99="","",IF(C99="","",TEXT(C99,"MMM")))</f>
        <v/>
      </c>
      <c r="O99">
        <f>IF($B99="","",IF(N99="Yes",IF(M99="Approved","✅ Compliant","⚠️ Pending"),"❌ Non-Compliant"))</f>
        <v/>
      </c>
    </row>
    <row r="100">
      <c r="A100">
        <f>IF($B100="","",ROW()-5)</f>
        <v/>
      </c>
      <c r="D100">
        <f>IF($B100="","",IF(C100="","",TEXT(C100,"MMM")))</f>
        <v/>
      </c>
      <c r="O100">
        <f>IF($B100="","",IF(N100="Yes",IF(M100="Approved","✅ Compliant","⚠️ Pending"),"❌ Non-Compliant"))</f>
        <v/>
      </c>
    </row>
    <row r="101">
      <c r="A101">
        <f>IF($B101="","",ROW()-5)</f>
        <v/>
      </c>
      <c r="D101">
        <f>IF($B101="","",IF(C101="","",TEXT(C101,"MMM")))</f>
        <v/>
      </c>
      <c r="O101">
        <f>IF($B101="","",IF(N101="Yes",IF(M101="Approved","✅ Compliant","⚠️ Pending"),"❌ Non-Compliant"))</f>
        <v/>
      </c>
    </row>
    <row r="102">
      <c r="A102">
        <f>IF($B102="","",ROW()-5)</f>
        <v/>
      </c>
      <c r="D102">
        <f>IF($B102="","",IF(C102="","",TEXT(C102,"MMM")))</f>
        <v/>
      </c>
      <c r="O102">
        <f>IF($B102="","",IF(N102="Yes",IF(M102="Approved","✅ Compliant","⚠️ Pending"),"❌ Non-Compliant"))</f>
        <v/>
      </c>
    </row>
    <row r="103">
      <c r="A103">
        <f>IF($B103="","",ROW()-5)</f>
        <v/>
      </c>
      <c r="D103">
        <f>IF($B103="","",IF(C103="","",TEXT(C103,"MMM")))</f>
        <v/>
      </c>
      <c r="O103">
        <f>IF($B103="","",IF(N103="Yes",IF(M103="Approved","✅ Compliant","⚠️ Pending"),"❌ Non-Compliant"))</f>
        <v/>
      </c>
    </row>
    <row r="104">
      <c r="A104">
        <f>IF($B104="","",ROW()-5)</f>
        <v/>
      </c>
      <c r="D104">
        <f>IF($B104="","",IF(C104="","",TEXT(C104,"MMM")))</f>
        <v/>
      </c>
      <c r="O104">
        <f>IF($B104="","",IF(N104="Yes",IF(M104="Approved","✅ Compliant","⚠️ Pending"),"❌ Non-Compliant"))</f>
        <v/>
      </c>
    </row>
    <row r="105">
      <c r="A105">
        <f>IF($B105="","",ROW()-5)</f>
        <v/>
      </c>
      <c r="D105">
        <f>IF($B105="","",IF(C105="","",TEXT(C105,"MMM")))</f>
        <v/>
      </c>
      <c r="O105">
        <f>IF($B105="","",IF(N105="Yes",IF(M105="Approved","✅ Compliant","⚠️ Pending"),"❌ Non-Compliant"))</f>
        <v/>
      </c>
    </row>
    <row r="106">
      <c r="A106">
        <f>IF($B106="","",ROW()-5)</f>
        <v/>
      </c>
      <c r="D106">
        <f>IF($B106="","",IF(C106="","",TEXT(C106,"MMM")))</f>
        <v/>
      </c>
      <c r="O106">
        <f>IF($B106="","",IF(N106="Yes",IF(M106="Approved","✅ Compliant","⚠️ Pending"),"❌ Non-Compliant"))</f>
        <v/>
      </c>
    </row>
    <row r="107">
      <c r="A107">
        <f>IF($B107="","",ROW()-5)</f>
        <v/>
      </c>
      <c r="D107">
        <f>IF($B107="","",IF(C107="","",TEXT(C107,"MMM")))</f>
        <v/>
      </c>
      <c r="O107">
        <f>IF($B107="","",IF(N107="Yes",IF(M107="Approved","✅ Compliant","⚠️ Pending"),"❌ Non-Compliant"))</f>
        <v/>
      </c>
    </row>
    <row r="108">
      <c r="A108">
        <f>IF($B108="","",ROW()-5)</f>
        <v/>
      </c>
      <c r="D108">
        <f>IF($B108="","",IF(C108="","",TEXT(C108,"MMM")))</f>
        <v/>
      </c>
      <c r="O108">
        <f>IF($B108="","",IF(N108="Yes",IF(M108="Approved","✅ Compliant","⚠️ Pending"),"❌ Non-Compliant"))</f>
        <v/>
      </c>
    </row>
    <row r="109">
      <c r="A109">
        <f>IF($B109="","",ROW()-5)</f>
        <v/>
      </c>
      <c r="D109">
        <f>IF($B109="","",IF(C109="","",TEXT(C109,"MMM")))</f>
        <v/>
      </c>
      <c r="O109">
        <f>IF($B109="","",IF(N109="Yes",IF(M109="Approved","✅ Compliant","⚠️ Pending"),"❌ Non-Compliant"))</f>
        <v/>
      </c>
    </row>
    <row r="110">
      <c r="A110">
        <f>IF($B110="","",ROW()-5)</f>
        <v/>
      </c>
      <c r="D110">
        <f>IF($B110="","",IF(C110="","",TEXT(C110,"MMM")))</f>
        <v/>
      </c>
      <c r="O110">
        <f>IF($B110="","",IF(N110="Yes",IF(M110="Approved","✅ Compliant","⚠️ Pending"),"❌ Non-Compliant"))</f>
        <v/>
      </c>
    </row>
    <row r="111">
      <c r="A111">
        <f>IF($B111="","",ROW()-5)</f>
        <v/>
      </c>
      <c r="D111">
        <f>IF($B111="","",IF(C111="","",TEXT(C111,"MMM")))</f>
        <v/>
      </c>
      <c r="O111">
        <f>IF($B111="","",IF(N111="Yes",IF(M111="Approved","✅ Compliant","⚠️ Pending"),"❌ Non-Compliant"))</f>
        <v/>
      </c>
    </row>
    <row r="112">
      <c r="A112">
        <f>IF($B112="","",ROW()-5)</f>
        <v/>
      </c>
      <c r="D112">
        <f>IF($B112="","",IF(C112="","",TEXT(C112,"MMM")))</f>
        <v/>
      </c>
      <c r="O112">
        <f>IF($B112="","",IF(N112="Yes",IF(M112="Approved","✅ Compliant","⚠️ Pending"),"❌ Non-Compliant"))</f>
        <v/>
      </c>
    </row>
    <row r="113">
      <c r="A113">
        <f>IF($B113="","",ROW()-5)</f>
        <v/>
      </c>
      <c r="D113">
        <f>IF($B113="","",IF(C113="","",TEXT(C113,"MMM")))</f>
        <v/>
      </c>
      <c r="O113">
        <f>IF($B113="","",IF(N113="Yes",IF(M113="Approved","✅ Compliant","⚠️ Pending"),"❌ Non-Compliant"))</f>
        <v/>
      </c>
    </row>
    <row r="114">
      <c r="A114">
        <f>IF($B114="","",ROW()-5)</f>
        <v/>
      </c>
      <c r="D114">
        <f>IF($B114="","",IF(C114="","",TEXT(C114,"MMM")))</f>
        <v/>
      </c>
      <c r="O114">
        <f>IF($B114="","",IF(N114="Yes",IF(M114="Approved","✅ Compliant","⚠️ Pending"),"❌ Non-Compliant"))</f>
        <v/>
      </c>
    </row>
    <row r="115">
      <c r="A115">
        <f>IF($B115="","",ROW()-5)</f>
        <v/>
      </c>
      <c r="D115">
        <f>IF($B115="","",IF(C115="","",TEXT(C115,"MMM")))</f>
        <v/>
      </c>
      <c r="O115">
        <f>IF($B115="","",IF(N115="Yes",IF(M115="Approved","✅ Compliant","⚠️ Pending"),"❌ Non-Compliant"))</f>
        <v/>
      </c>
    </row>
    <row r="116">
      <c r="A116">
        <f>IF($B116="","",ROW()-5)</f>
        <v/>
      </c>
      <c r="D116">
        <f>IF($B116="","",IF(C116="","",TEXT(C116,"MMM")))</f>
        <v/>
      </c>
      <c r="O116">
        <f>IF($B116="","",IF(N116="Yes",IF(M116="Approved","✅ Compliant","⚠️ Pending"),"❌ Non-Compliant"))</f>
        <v/>
      </c>
    </row>
    <row r="117">
      <c r="A117">
        <f>IF($B117="","",ROW()-5)</f>
        <v/>
      </c>
      <c r="D117">
        <f>IF($B117="","",IF(C117="","",TEXT(C117,"MMM")))</f>
        <v/>
      </c>
      <c r="O117">
        <f>IF($B117="","",IF(N117="Yes",IF(M117="Approved","✅ Compliant","⚠️ Pending"),"❌ Non-Compliant"))</f>
        <v/>
      </c>
    </row>
    <row r="118">
      <c r="A118">
        <f>IF($B118="","",ROW()-5)</f>
        <v/>
      </c>
      <c r="D118">
        <f>IF($B118="","",IF(C118="","",TEXT(C118,"MMM")))</f>
        <v/>
      </c>
      <c r="O118">
        <f>IF($B118="","",IF(N118="Yes",IF(M118="Approved","✅ Compliant","⚠️ Pending"),"❌ Non-Compliant"))</f>
        <v/>
      </c>
    </row>
    <row r="119">
      <c r="A119">
        <f>IF($B119="","",ROW()-5)</f>
        <v/>
      </c>
      <c r="D119">
        <f>IF($B119="","",IF(C119="","",TEXT(C119,"MMM")))</f>
        <v/>
      </c>
      <c r="O119">
        <f>IF($B119="","",IF(N119="Yes",IF(M119="Approved","✅ Compliant","⚠️ Pending"),"❌ Non-Compliant"))</f>
        <v/>
      </c>
    </row>
    <row r="120">
      <c r="A120">
        <f>IF($B120="","",ROW()-5)</f>
        <v/>
      </c>
      <c r="D120">
        <f>IF($B120="","",IF(C120="","",TEXT(C120,"MMM")))</f>
        <v/>
      </c>
      <c r="O120">
        <f>IF($B120="","",IF(N120="Yes",IF(M120="Approved","✅ Compliant","⚠️ Pending"),"❌ Non-Compliant"))</f>
        <v/>
      </c>
    </row>
    <row r="121">
      <c r="A121">
        <f>IF($B121="","",ROW()-5)</f>
        <v/>
      </c>
      <c r="D121">
        <f>IF($B121="","",IF(C121="","",TEXT(C121,"MMM")))</f>
        <v/>
      </c>
      <c r="O121">
        <f>IF($B121="","",IF(N121="Yes",IF(M121="Approved","✅ Compliant","⚠️ Pending"),"❌ Non-Compliant"))</f>
        <v/>
      </c>
    </row>
    <row r="122">
      <c r="A122">
        <f>IF($B122="","",ROW()-5)</f>
        <v/>
      </c>
      <c r="D122">
        <f>IF($B122="","",IF(C122="","",TEXT(C122,"MMM")))</f>
        <v/>
      </c>
      <c r="O122">
        <f>IF($B122="","",IF(N122="Yes",IF(M122="Approved","✅ Compliant","⚠️ Pending"),"❌ Non-Compliant"))</f>
        <v/>
      </c>
    </row>
    <row r="123">
      <c r="A123">
        <f>IF($B123="","",ROW()-5)</f>
        <v/>
      </c>
      <c r="D123">
        <f>IF($B123="","",IF(C123="","",TEXT(C123,"MMM")))</f>
        <v/>
      </c>
      <c r="O123">
        <f>IF($B123="","",IF(N123="Yes",IF(M123="Approved","✅ Compliant","⚠️ Pending"),"❌ Non-Compliant"))</f>
        <v/>
      </c>
    </row>
    <row r="124">
      <c r="A124">
        <f>IF($B124="","",ROW()-5)</f>
        <v/>
      </c>
      <c r="D124">
        <f>IF($B124="","",IF(C124="","",TEXT(C124,"MMM")))</f>
        <v/>
      </c>
      <c r="O124">
        <f>IF($B124="","",IF(N124="Yes",IF(M124="Approved","✅ Compliant","⚠️ Pending"),"❌ Non-Compliant"))</f>
        <v/>
      </c>
    </row>
    <row r="125">
      <c r="A125">
        <f>IF($B125="","",ROW()-5)</f>
        <v/>
      </c>
      <c r="D125">
        <f>IF($B125="","",IF(C125="","",TEXT(C125,"MMM")))</f>
        <v/>
      </c>
      <c r="O125">
        <f>IF($B125="","",IF(N125="Yes",IF(M125="Approved","✅ Compliant","⚠️ Pending"),"❌ Non-Compliant"))</f>
        <v/>
      </c>
    </row>
    <row r="126">
      <c r="A126">
        <f>IF($B126="","",ROW()-5)</f>
        <v/>
      </c>
      <c r="D126">
        <f>IF($B126="","",IF(C126="","",TEXT(C126,"MMM")))</f>
        <v/>
      </c>
      <c r="O126">
        <f>IF($B126="","",IF(N126="Yes",IF(M126="Approved","✅ Compliant","⚠️ Pending"),"❌ Non-Compliant"))</f>
        <v/>
      </c>
    </row>
    <row r="127">
      <c r="A127">
        <f>IF($B127="","",ROW()-5)</f>
        <v/>
      </c>
      <c r="D127">
        <f>IF($B127="","",IF(C127="","",TEXT(C127,"MMM")))</f>
        <v/>
      </c>
      <c r="O127">
        <f>IF($B127="","",IF(N127="Yes",IF(M127="Approved","✅ Compliant","⚠️ Pending"),"❌ Non-Compliant"))</f>
        <v/>
      </c>
    </row>
    <row r="128">
      <c r="A128">
        <f>IF($B128="","",ROW()-5)</f>
        <v/>
      </c>
      <c r="D128">
        <f>IF($B128="","",IF(C128="","",TEXT(C128,"MMM")))</f>
        <v/>
      </c>
      <c r="O128">
        <f>IF($B128="","",IF(N128="Yes",IF(M128="Approved","✅ Compliant","⚠️ Pending"),"❌ Non-Compliant"))</f>
        <v/>
      </c>
    </row>
    <row r="129">
      <c r="A129">
        <f>IF($B129="","",ROW()-5)</f>
        <v/>
      </c>
      <c r="D129">
        <f>IF($B129="","",IF(C129="","",TEXT(C129,"MMM")))</f>
        <v/>
      </c>
      <c r="O129">
        <f>IF($B129="","",IF(N129="Yes",IF(M129="Approved","✅ Compliant","⚠️ Pending"),"❌ Non-Compliant"))</f>
        <v/>
      </c>
    </row>
    <row r="130">
      <c r="A130">
        <f>IF($B130="","",ROW()-5)</f>
        <v/>
      </c>
      <c r="D130">
        <f>IF($B130="","",IF(C130="","",TEXT(C130,"MMM")))</f>
        <v/>
      </c>
      <c r="O130">
        <f>IF($B130="","",IF(N130="Yes",IF(M130="Approved","✅ Compliant","⚠️ Pending"),"❌ Non-Compliant"))</f>
        <v/>
      </c>
    </row>
    <row r="131">
      <c r="A131">
        <f>IF($B131="","",ROW()-5)</f>
        <v/>
      </c>
      <c r="D131">
        <f>IF($B131="","",IF(C131="","",TEXT(C131,"MMM")))</f>
        <v/>
      </c>
      <c r="O131">
        <f>IF($B131="","",IF(N131="Yes",IF(M131="Approved","✅ Compliant","⚠️ Pending"),"❌ Non-Compliant"))</f>
        <v/>
      </c>
    </row>
    <row r="132">
      <c r="A132">
        <f>IF($B132="","",ROW()-5)</f>
        <v/>
      </c>
      <c r="D132">
        <f>IF($B132="","",IF(C132="","",TEXT(C132,"MMM")))</f>
        <v/>
      </c>
      <c r="O132">
        <f>IF($B132="","",IF(N132="Yes",IF(M132="Approved","✅ Compliant","⚠️ Pending"),"❌ Non-Compliant"))</f>
        <v/>
      </c>
    </row>
    <row r="133">
      <c r="A133">
        <f>IF($B133="","",ROW()-5)</f>
        <v/>
      </c>
      <c r="D133">
        <f>IF($B133="","",IF(C133="","",TEXT(C133,"MMM")))</f>
        <v/>
      </c>
      <c r="O133">
        <f>IF($B133="","",IF(N133="Yes",IF(M133="Approved","✅ Compliant","⚠️ Pending"),"❌ Non-Compliant"))</f>
        <v/>
      </c>
    </row>
    <row r="134">
      <c r="A134">
        <f>IF($B134="","",ROW()-5)</f>
        <v/>
      </c>
      <c r="D134">
        <f>IF($B134="","",IF(C134="","",TEXT(C134,"MMM")))</f>
        <v/>
      </c>
      <c r="O134">
        <f>IF($B134="","",IF(N134="Yes",IF(M134="Approved","✅ Compliant","⚠️ Pending"),"❌ Non-Compliant"))</f>
        <v/>
      </c>
    </row>
    <row r="135">
      <c r="A135">
        <f>IF($B135="","",ROW()-5)</f>
        <v/>
      </c>
      <c r="D135">
        <f>IF($B135="","",IF(C135="","",TEXT(C135,"MMM")))</f>
        <v/>
      </c>
      <c r="O135">
        <f>IF($B135="","",IF(N135="Yes",IF(M135="Approved","✅ Compliant","⚠️ Pending"),"❌ Non-Compliant"))</f>
        <v/>
      </c>
    </row>
    <row r="136">
      <c r="A136">
        <f>IF($B136="","",ROW()-5)</f>
        <v/>
      </c>
      <c r="D136">
        <f>IF($B136="","",IF(C136="","",TEXT(C136,"MMM")))</f>
        <v/>
      </c>
      <c r="O136">
        <f>IF($B136="","",IF(N136="Yes",IF(M136="Approved","✅ Compliant","⚠️ Pending"),"❌ Non-Compliant"))</f>
        <v/>
      </c>
    </row>
    <row r="137">
      <c r="A137">
        <f>IF($B137="","",ROW()-5)</f>
        <v/>
      </c>
      <c r="D137">
        <f>IF($B137="","",IF(C137="","",TEXT(C137,"MMM")))</f>
        <v/>
      </c>
      <c r="O137">
        <f>IF($B137="","",IF(N137="Yes",IF(M137="Approved","✅ Compliant","⚠️ Pending"),"❌ Non-Compliant"))</f>
        <v/>
      </c>
    </row>
    <row r="138">
      <c r="A138">
        <f>IF($B138="","",ROW()-5)</f>
        <v/>
      </c>
      <c r="D138">
        <f>IF($B138="","",IF(C138="","",TEXT(C138,"MMM")))</f>
        <v/>
      </c>
      <c r="O138">
        <f>IF($B138="","",IF(N138="Yes",IF(M138="Approved","✅ Compliant","⚠️ Pending"),"❌ Non-Compliant"))</f>
        <v/>
      </c>
    </row>
    <row r="139">
      <c r="A139">
        <f>IF($B139="","",ROW()-5)</f>
        <v/>
      </c>
      <c r="D139">
        <f>IF($B139="","",IF(C139="","",TEXT(C139,"MMM")))</f>
        <v/>
      </c>
      <c r="O139">
        <f>IF($B139="","",IF(N139="Yes",IF(M139="Approved","✅ Compliant","⚠️ Pending"),"❌ Non-Compliant"))</f>
        <v/>
      </c>
    </row>
    <row r="140">
      <c r="A140">
        <f>IF($B140="","",ROW()-5)</f>
        <v/>
      </c>
      <c r="D140">
        <f>IF($B140="","",IF(C140="","",TEXT(C140,"MMM")))</f>
        <v/>
      </c>
      <c r="O140">
        <f>IF($B140="","",IF(N140="Yes",IF(M140="Approved","✅ Compliant","⚠️ Pending"),"❌ Non-Compliant"))</f>
        <v/>
      </c>
    </row>
    <row r="141">
      <c r="A141">
        <f>IF($B141="","",ROW()-5)</f>
        <v/>
      </c>
      <c r="D141">
        <f>IF($B141="","",IF(C141="","",TEXT(C141,"MMM")))</f>
        <v/>
      </c>
      <c r="O141">
        <f>IF($B141="","",IF(N141="Yes",IF(M141="Approved","✅ Compliant","⚠️ Pending"),"❌ Non-Compliant"))</f>
        <v/>
      </c>
    </row>
    <row r="142">
      <c r="A142">
        <f>IF($B142="","",ROW()-5)</f>
        <v/>
      </c>
      <c r="D142">
        <f>IF($B142="","",IF(C142="","",TEXT(C142,"MMM")))</f>
        <v/>
      </c>
      <c r="O142">
        <f>IF($B142="","",IF(N142="Yes",IF(M142="Approved","✅ Compliant","⚠️ Pending"),"❌ Non-Compliant"))</f>
        <v/>
      </c>
    </row>
    <row r="143">
      <c r="A143">
        <f>IF($B143="","",ROW()-5)</f>
        <v/>
      </c>
      <c r="D143">
        <f>IF($B143="","",IF(C143="","",TEXT(C143,"MMM")))</f>
        <v/>
      </c>
      <c r="O143">
        <f>IF($B143="","",IF(N143="Yes",IF(M143="Approved","✅ Compliant","⚠️ Pending"),"❌ Non-Compliant"))</f>
        <v/>
      </c>
    </row>
    <row r="144">
      <c r="A144">
        <f>IF($B144="","",ROW()-5)</f>
        <v/>
      </c>
      <c r="D144">
        <f>IF($B144="","",IF(C144="","",TEXT(C144,"MMM")))</f>
        <v/>
      </c>
      <c r="O144">
        <f>IF($B144="","",IF(N144="Yes",IF(M144="Approved","✅ Compliant","⚠️ Pending"),"❌ Non-Compliant"))</f>
        <v/>
      </c>
    </row>
    <row r="145">
      <c r="A145">
        <f>IF($B145="","",ROW()-5)</f>
        <v/>
      </c>
      <c r="D145">
        <f>IF($B145="","",IF(C145="","",TEXT(C145,"MMM")))</f>
        <v/>
      </c>
      <c r="O145">
        <f>IF($B145="","",IF(N145="Yes",IF(M145="Approved","✅ Compliant","⚠️ Pending"),"❌ Non-Compliant"))</f>
        <v/>
      </c>
    </row>
    <row r="146">
      <c r="A146">
        <f>IF($B146="","",ROW()-5)</f>
        <v/>
      </c>
      <c r="D146">
        <f>IF($B146="","",IF(C146="","",TEXT(C146,"MMM")))</f>
        <v/>
      </c>
      <c r="O146">
        <f>IF($B146="","",IF(N146="Yes",IF(M146="Approved","✅ Compliant","⚠️ Pending"),"❌ Non-Compliant"))</f>
        <v/>
      </c>
    </row>
    <row r="147">
      <c r="A147">
        <f>IF($B147="","",ROW()-5)</f>
        <v/>
      </c>
      <c r="D147">
        <f>IF($B147="","",IF(C147="","",TEXT(C147,"MMM")))</f>
        <v/>
      </c>
      <c r="O147">
        <f>IF($B147="","",IF(N147="Yes",IF(M147="Approved","✅ Compliant","⚠️ Pending"),"❌ Non-Compliant"))</f>
        <v/>
      </c>
    </row>
    <row r="148">
      <c r="A148">
        <f>IF($B148="","",ROW()-5)</f>
        <v/>
      </c>
      <c r="D148">
        <f>IF($B148="","",IF(C148="","",TEXT(C148,"MMM")))</f>
        <v/>
      </c>
      <c r="O148">
        <f>IF($B148="","",IF(N148="Yes",IF(M148="Approved","✅ Compliant","⚠️ Pending"),"❌ Non-Compliant"))</f>
        <v/>
      </c>
    </row>
    <row r="149">
      <c r="A149">
        <f>IF($B149="","",ROW()-5)</f>
        <v/>
      </c>
      <c r="D149">
        <f>IF($B149="","",IF(C149="","",TEXT(C149,"MMM")))</f>
        <v/>
      </c>
      <c r="O149">
        <f>IF($B149="","",IF(N149="Yes",IF(M149="Approved","✅ Compliant","⚠️ Pending"),"❌ Non-Compliant"))</f>
        <v/>
      </c>
    </row>
    <row r="150">
      <c r="A150">
        <f>IF($B150="","",ROW()-5)</f>
        <v/>
      </c>
      <c r="D150">
        <f>IF($B150="","",IF(C150="","",TEXT(C150,"MMM")))</f>
        <v/>
      </c>
      <c r="O150">
        <f>IF($B150="","",IF(N150="Yes",IF(M150="Approved","✅ Compliant","⚠️ Pending"),"❌ Non-Compliant"))</f>
        <v/>
      </c>
    </row>
    <row r="151">
      <c r="A151">
        <f>IF($B151="","",ROW()-5)</f>
        <v/>
      </c>
      <c r="D151">
        <f>IF($B151="","",IF(C151="","",TEXT(C151,"MMM")))</f>
        <v/>
      </c>
      <c r="O151">
        <f>IF($B151="","",IF(N151="Yes",IF(M151="Approved","✅ Compliant","⚠️ Pending"),"❌ Non-Compliant"))</f>
        <v/>
      </c>
    </row>
    <row r="152">
      <c r="A152">
        <f>IF($B152="","",ROW()-5)</f>
        <v/>
      </c>
      <c r="D152">
        <f>IF($B152="","",IF(C152="","",TEXT(C152,"MMM")))</f>
        <v/>
      </c>
      <c r="O152">
        <f>IF($B152="","",IF(N152="Yes",IF(M152="Approved","✅ Compliant","⚠️ Pending"),"❌ Non-Compliant"))</f>
        <v/>
      </c>
    </row>
    <row r="153">
      <c r="A153">
        <f>IF($B153="","",ROW()-5)</f>
        <v/>
      </c>
      <c r="D153">
        <f>IF($B153="","",IF(C153="","",TEXT(C153,"MMM")))</f>
        <v/>
      </c>
      <c r="O153">
        <f>IF($B153="","",IF(N153="Yes",IF(M153="Approved","✅ Compliant","⚠️ Pending"),"❌ Non-Compliant"))</f>
        <v/>
      </c>
    </row>
    <row r="154">
      <c r="A154">
        <f>IF($B154="","",ROW()-5)</f>
        <v/>
      </c>
      <c r="D154">
        <f>IF($B154="","",IF(C154="","",TEXT(C154,"MMM")))</f>
        <v/>
      </c>
      <c r="O154">
        <f>IF($B154="","",IF(N154="Yes",IF(M154="Approved","✅ Compliant","⚠️ Pending"),"❌ Non-Compliant"))</f>
        <v/>
      </c>
    </row>
    <row r="155">
      <c r="A155">
        <f>IF($B155="","",ROW()-5)</f>
        <v/>
      </c>
      <c r="D155">
        <f>IF($B155="","",IF(C155="","",TEXT(C155,"MMM")))</f>
        <v/>
      </c>
      <c r="O155">
        <f>IF($B155="","",IF(N155="Yes",IF(M155="Approved","✅ Compliant","⚠️ Pending"),"❌ Non-Compliant"))</f>
        <v/>
      </c>
    </row>
    <row r="156">
      <c r="A156">
        <f>IF($B156="","",ROW()-5)</f>
        <v/>
      </c>
      <c r="D156">
        <f>IF($B156="","",IF(C156="","",TEXT(C156,"MMM")))</f>
        <v/>
      </c>
      <c r="O156">
        <f>IF($B156="","",IF(N156="Yes",IF(M156="Approved","✅ Compliant","⚠️ Pending"),"❌ Non-Compliant"))</f>
        <v/>
      </c>
    </row>
    <row r="157">
      <c r="A157">
        <f>IF($B157="","",ROW()-5)</f>
        <v/>
      </c>
      <c r="D157">
        <f>IF($B157="","",IF(C157="","",TEXT(C157,"MMM")))</f>
        <v/>
      </c>
      <c r="O157">
        <f>IF($B157="","",IF(N157="Yes",IF(M157="Approved","✅ Compliant","⚠️ Pending"),"❌ Non-Compliant"))</f>
        <v/>
      </c>
    </row>
    <row r="158">
      <c r="A158">
        <f>IF($B158="","",ROW()-5)</f>
        <v/>
      </c>
      <c r="D158">
        <f>IF($B158="","",IF(C158="","",TEXT(C158,"MMM")))</f>
        <v/>
      </c>
      <c r="O158">
        <f>IF($B158="","",IF(N158="Yes",IF(M158="Approved","✅ Compliant","⚠️ Pending"),"❌ Non-Compliant"))</f>
        <v/>
      </c>
    </row>
    <row r="159">
      <c r="A159">
        <f>IF($B159="","",ROW()-5)</f>
        <v/>
      </c>
      <c r="D159">
        <f>IF($B159="","",IF(C159="","",TEXT(C159,"MMM")))</f>
        <v/>
      </c>
      <c r="O159">
        <f>IF($B159="","",IF(N159="Yes",IF(M159="Approved","✅ Compliant","⚠️ Pending"),"❌ Non-Compliant"))</f>
        <v/>
      </c>
    </row>
    <row r="160">
      <c r="A160">
        <f>IF($B160="","",ROW()-5)</f>
        <v/>
      </c>
      <c r="D160">
        <f>IF($B160="","",IF(C160="","",TEXT(C160,"MMM")))</f>
        <v/>
      </c>
      <c r="O160">
        <f>IF($B160="","",IF(N160="Yes",IF(M160="Approved","✅ Compliant","⚠️ Pending"),"❌ Non-Compliant"))</f>
        <v/>
      </c>
    </row>
    <row r="161">
      <c r="A161">
        <f>IF($B161="","",ROW()-5)</f>
        <v/>
      </c>
      <c r="D161">
        <f>IF($B161="","",IF(C161="","",TEXT(C161,"MMM")))</f>
        <v/>
      </c>
      <c r="O161">
        <f>IF($B161="","",IF(N161="Yes",IF(M161="Approved","✅ Compliant","⚠️ Pending"),"❌ Non-Compliant"))</f>
        <v/>
      </c>
    </row>
    <row r="162">
      <c r="A162">
        <f>IF($B162="","",ROW()-5)</f>
        <v/>
      </c>
      <c r="D162">
        <f>IF($B162="","",IF(C162="","",TEXT(C162,"MMM")))</f>
        <v/>
      </c>
      <c r="O162">
        <f>IF($B162="","",IF(N162="Yes",IF(M162="Approved","✅ Compliant","⚠️ Pending"),"❌ Non-Compliant"))</f>
        <v/>
      </c>
    </row>
    <row r="163">
      <c r="A163">
        <f>IF($B163="","",ROW()-5)</f>
        <v/>
      </c>
      <c r="D163">
        <f>IF($B163="","",IF(C163="","",TEXT(C163,"MMM")))</f>
        <v/>
      </c>
      <c r="O163">
        <f>IF($B163="","",IF(N163="Yes",IF(M163="Approved","✅ Compliant","⚠️ Pending"),"❌ Non-Compliant"))</f>
        <v/>
      </c>
    </row>
    <row r="164">
      <c r="A164">
        <f>IF($B164="","",ROW()-5)</f>
        <v/>
      </c>
      <c r="D164">
        <f>IF($B164="","",IF(C164="","",TEXT(C164,"MMM")))</f>
        <v/>
      </c>
      <c r="O164">
        <f>IF($B164="","",IF(N164="Yes",IF(M164="Approved","✅ Compliant","⚠️ Pending"),"❌ Non-Compliant"))</f>
        <v/>
      </c>
    </row>
    <row r="165">
      <c r="A165">
        <f>IF($B165="","",ROW()-5)</f>
        <v/>
      </c>
      <c r="D165">
        <f>IF($B165="","",IF(C165="","",TEXT(C165,"MMM")))</f>
        <v/>
      </c>
      <c r="O165">
        <f>IF($B165="","",IF(N165="Yes",IF(M165="Approved","✅ Compliant","⚠️ Pending"),"❌ Non-Compliant"))</f>
        <v/>
      </c>
    </row>
    <row r="166">
      <c r="A166">
        <f>IF($B166="","",ROW()-5)</f>
        <v/>
      </c>
      <c r="D166">
        <f>IF($B166="","",IF(C166="","",TEXT(C166,"MMM")))</f>
        <v/>
      </c>
      <c r="O166">
        <f>IF($B166="","",IF(N166="Yes",IF(M166="Approved","✅ Compliant","⚠️ Pending"),"❌ Non-Compliant"))</f>
        <v/>
      </c>
    </row>
    <row r="167">
      <c r="A167">
        <f>IF($B167="","",ROW()-5)</f>
        <v/>
      </c>
      <c r="D167">
        <f>IF($B167="","",IF(C167="","",TEXT(C167,"MMM")))</f>
        <v/>
      </c>
      <c r="O167">
        <f>IF($B167="","",IF(N167="Yes",IF(M167="Approved","✅ Compliant","⚠️ Pending"),"❌ Non-Compliant"))</f>
        <v/>
      </c>
    </row>
    <row r="168">
      <c r="A168">
        <f>IF($B168="","",ROW()-5)</f>
        <v/>
      </c>
      <c r="D168">
        <f>IF($B168="","",IF(C168="","",TEXT(C168,"MMM")))</f>
        <v/>
      </c>
      <c r="O168">
        <f>IF($B168="","",IF(N168="Yes",IF(M168="Approved","✅ Compliant","⚠️ Pending"),"❌ Non-Compliant"))</f>
        <v/>
      </c>
    </row>
    <row r="169">
      <c r="A169">
        <f>IF($B169="","",ROW()-5)</f>
        <v/>
      </c>
      <c r="D169">
        <f>IF($B169="","",IF(C169="","",TEXT(C169,"MMM")))</f>
        <v/>
      </c>
      <c r="O169">
        <f>IF($B169="","",IF(N169="Yes",IF(M169="Approved","✅ Compliant","⚠️ Pending"),"❌ Non-Compliant"))</f>
        <v/>
      </c>
    </row>
    <row r="170">
      <c r="A170">
        <f>IF($B170="","",ROW()-5)</f>
        <v/>
      </c>
      <c r="D170">
        <f>IF($B170="","",IF(C170="","",TEXT(C170,"MMM")))</f>
        <v/>
      </c>
      <c r="O170">
        <f>IF($B170="","",IF(N170="Yes",IF(M170="Approved","✅ Compliant","⚠️ Pending"),"❌ Non-Compliant"))</f>
        <v/>
      </c>
    </row>
    <row r="171">
      <c r="A171">
        <f>IF($B171="","",ROW()-5)</f>
        <v/>
      </c>
      <c r="D171">
        <f>IF($B171="","",IF(C171="","",TEXT(C171,"MMM")))</f>
        <v/>
      </c>
      <c r="O171">
        <f>IF($B171="","",IF(N171="Yes",IF(M171="Approved","✅ Compliant","⚠️ Pending"),"❌ Non-Compliant"))</f>
        <v/>
      </c>
    </row>
    <row r="172">
      <c r="A172">
        <f>IF($B172="","",ROW()-5)</f>
        <v/>
      </c>
      <c r="D172">
        <f>IF($B172="","",IF(C172="","",TEXT(C172,"MMM")))</f>
        <v/>
      </c>
      <c r="O172">
        <f>IF($B172="","",IF(N172="Yes",IF(M172="Approved","✅ Compliant","⚠️ Pending"),"❌ Non-Compliant"))</f>
        <v/>
      </c>
    </row>
    <row r="173">
      <c r="A173">
        <f>IF($B173="","",ROW()-5)</f>
        <v/>
      </c>
      <c r="D173">
        <f>IF($B173="","",IF(C173="","",TEXT(C173,"MMM")))</f>
        <v/>
      </c>
      <c r="O173">
        <f>IF($B173="","",IF(N173="Yes",IF(M173="Approved","✅ Compliant","⚠️ Pending"),"❌ Non-Compliant"))</f>
        <v/>
      </c>
    </row>
    <row r="174">
      <c r="A174">
        <f>IF($B174="","",ROW()-5)</f>
        <v/>
      </c>
      <c r="D174">
        <f>IF($B174="","",IF(C174="","",TEXT(C174,"MMM")))</f>
        <v/>
      </c>
      <c r="O174">
        <f>IF($B174="","",IF(N174="Yes",IF(M174="Approved","✅ Compliant","⚠️ Pending"),"❌ Non-Compliant"))</f>
        <v/>
      </c>
    </row>
    <row r="175">
      <c r="A175">
        <f>IF($B175="","",ROW()-5)</f>
        <v/>
      </c>
      <c r="D175">
        <f>IF($B175="","",IF(C175="","",TEXT(C175,"MMM")))</f>
        <v/>
      </c>
      <c r="O175">
        <f>IF($B175="","",IF(N175="Yes",IF(M175="Approved","✅ Compliant","⚠️ Pending"),"❌ Non-Compliant"))</f>
        <v/>
      </c>
    </row>
    <row r="176">
      <c r="A176">
        <f>IF($B176="","",ROW()-5)</f>
        <v/>
      </c>
      <c r="D176">
        <f>IF($B176="","",IF(C176="","",TEXT(C176,"MMM")))</f>
        <v/>
      </c>
      <c r="O176">
        <f>IF($B176="","",IF(N176="Yes",IF(M176="Approved","✅ Compliant","⚠️ Pending"),"❌ Non-Compliant"))</f>
        <v/>
      </c>
    </row>
    <row r="177">
      <c r="A177">
        <f>IF($B177="","",ROW()-5)</f>
        <v/>
      </c>
      <c r="D177">
        <f>IF($B177="","",IF(C177="","",TEXT(C177,"MMM")))</f>
        <v/>
      </c>
      <c r="O177">
        <f>IF($B177="","",IF(N177="Yes",IF(M177="Approved","✅ Compliant","⚠️ Pending"),"❌ Non-Compliant"))</f>
        <v/>
      </c>
    </row>
    <row r="178">
      <c r="A178">
        <f>IF($B178="","",ROW()-5)</f>
        <v/>
      </c>
      <c r="D178">
        <f>IF($B178="","",IF(C178="","",TEXT(C178,"MMM")))</f>
        <v/>
      </c>
      <c r="O178">
        <f>IF($B178="","",IF(N178="Yes",IF(M178="Approved","✅ Compliant","⚠️ Pending"),"❌ Non-Compliant"))</f>
        <v/>
      </c>
    </row>
    <row r="179">
      <c r="A179">
        <f>IF($B179="","",ROW()-5)</f>
        <v/>
      </c>
      <c r="D179">
        <f>IF($B179="","",IF(C179="","",TEXT(C179,"MMM")))</f>
        <v/>
      </c>
      <c r="O179">
        <f>IF($B179="","",IF(N179="Yes",IF(M179="Approved","✅ Compliant","⚠️ Pending"),"❌ Non-Compliant"))</f>
        <v/>
      </c>
    </row>
    <row r="180">
      <c r="A180">
        <f>IF($B180="","",ROW()-5)</f>
        <v/>
      </c>
      <c r="D180">
        <f>IF($B180="","",IF(C180="","",TEXT(C180,"MMM")))</f>
        <v/>
      </c>
      <c r="O180">
        <f>IF($B180="","",IF(N180="Yes",IF(M180="Approved","✅ Compliant","⚠️ Pending"),"❌ Non-Compliant"))</f>
        <v/>
      </c>
    </row>
    <row r="181">
      <c r="A181">
        <f>IF($B181="","",ROW()-5)</f>
        <v/>
      </c>
      <c r="D181">
        <f>IF($B181="","",IF(C181="","",TEXT(C181,"MMM")))</f>
        <v/>
      </c>
      <c r="O181">
        <f>IF($B181="","",IF(N181="Yes",IF(M181="Approved","✅ Compliant","⚠️ Pending"),"❌ Non-Compliant"))</f>
        <v/>
      </c>
    </row>
    <row r="182">
      <c r="A182">
        <f>IF($B182="","",ROW()-5)</f>
        <v/>
      </c>
      <c r="D182">
        <f>IF($B182="","",IF(C182="","",TEXT(C182,"MMM")))</f>
        <v/>
      </c>
      <c r="O182">
        <f>IF($B182="","",IF(N182="Yes",IF(M182="Approved","✅ Compliant","⚠️ Pending"),"❌ Non-Compliant"))</f>
        <v/>
      </c>
    </row>
    <row r="183">
      <c r="A183">
        <f>IF($B183="","",ROW()-5)</f>
        <v/>
      </c>
      <c r="D183">
        <f>IF($B183="","",IF(C183="","",TEXT(C183,"MMM")))</f>
        <v/>
      </c>
      <c r="O183">
        <f>IF($B183="","",IF(N183="Yes",IF(M183="Approved","✅ Compliant","⚠️ Pending"),"❌ Non-Compliant"))</f>
        <v/>
      </c>
    </row>
    <row r="184">
      <c r="A184">
        <f>IF($B184="","",ROW()-5)</f>
        <v/>
      </c>
      <c r="D184">
        <f>IF($B184="","",IF(C184="","",TEXT(C184,"MMM")))</f>
        <v/>
      </c>
      <c r="O184">
        <f>IF($B184="","",IF(N184="Yes",IF(M184="Approved","✅ Compliant","⚠️ Pending"),"❌ Non-Compliant"))</f>
        <v/>
      </c>
    </row>
    <row r="185">
      <c r="A185">
        <f>IF($B185="","",ROW()-5)</f>
        <v/>
      </c>
      <c r="D185">
        <f>IF($B185="","",IF(C185="","",TEXT(C185,"MMM")))</f>
        <v/>
      </c>
      <c r="O185">
        <f>IF($B185="","",IF(N185="Yes",IF(M185="Approved","✅ Compliant","⚠️ Pending"),"❌ Non-Compliant"))</f>
        <v/>
      </c>
    </row>
    <row r="186">
      <c r="A186">
        <f>IF($B186="","",ROW()-5)</f>
        <v/>
      </c>
      <c r="D186">
        <f>IF($B186="","",IF(C186="","",TEXT(C186,"MMM")))</f>
        <v/>
      </c>
      <c r="O186">
        <f>IF($B186="","",IF(N186="Yes",IF(M186="Approved","✅ Compliant","⚠️ Pending"),"❌ Non-Compliant"))</f>
        <v/>
      </c>
    </row>
    <row r="187">
      <c r="A187">
        <f>IF($B187="","",ROW()-5)</f>
        <v/>
      </c>
      <c r="D187">
        <f>IF($B187="","",IF(C187="","",TEXT(C187,"MMM")))</f>
        <v/>
      </c>
      <c r="O187">
        <f>IF($B187="","",IF(N187="Yes",IF(M187="Approved","✅ Compliant","⚠️ Pending"),"❌ Non-Compliant"))</f>
        <v/>
      </c>
    </row>
    <row r="188">
      <c r="A188">
        <f>IF($B188="","",ROW()-5)</f>
        <v/>
      </c>
      <c r="D188">
        <f>IF($B188="","",IF(C188="","",TEXT(C188,"MMM")))</f>
        <v/>
      </c>
      <c r="O188">
        <f>IF($B188="","",IF(N188="Yes",IF(M188="Approved","✅ Compliant","⚠️ Pending"),"❌ Non-Compliant"))</f>
        <v/>
      </c>
    </row>
    <row r="189">
      <c r="A189">
        <f>IF($B189="","",ROW()-5)</f>
        <v/>
      </c>
      <c r="D189">
        <f>IF($B189="","",IF(C189="","",TEXT(C189,"MMM")))</f>
        <v/>
      </c>
      <c r="O189">
        <f>IF($B189="","",IF(N189="Yes",IF(M189="Approved","✅ Compliant","⚠️ Pending"),"❌ Non-Compliant"))</f>
        <v/>
      </c>
    </row>
    <row r="190">
      <c r="A190">
        <f>IF($B190="","",ROW()-5)</f>
        <v/>
      </c>
      <c r="D190">
        <f>IF($B190="","",IF(C190="","",TEXT(C190,"MMM")))</f>
        <v/>
      </c>
      <c r="O190">
        <f>IF($B190="","",IF(N190="Yes",IF(M190="Approved","✅ Compliant","⚠️ Pending"),"❌ Non-Compliant"))</f>
        <v/>
      </c>
    </row>
    <row r="191">
      <c r="A191">
        <f>IF($B191="","",ROW()-5)</f>
        <v/>
      </c>
      <c r="D191">
        <f>IF($B191="","",IF(C191="","",TEXT(C191,"MMM")))</f>
        <v/>
      </c>
      <c r="O191">
        <f>IF($B191="","",IF(N191="Yes",IF(M191="Approved","✅ Compliant","⚠️ Pending"),"❌ Non-Compliant"))</f>
        <v/>
      </c>
    </row>
    <row r="192">
      <c r="A192">
        <f>IF($B192="","",ROW()-5)</f>
        <v/>
      </c>
      <c r="D192">
        <f>IF($B192="","",IF(C192="","",TEXT(C192,"MMM")))</f>
        <v/>
      </c>
      <c r="O192">
        <f>IF($B192="","",IF(N192="Yes",IF(M192="Approved","✅ Compliant","⚠️ Pending"),"❌ Non-Compliant"))</f>
        <v/>
      </c>
    </row>
    <row r="193">
      <c r="A193">
        <f>IF($B193="","",ROW()-5)</f>
        <v/>
      </c>
      <c r="D193">
        <f>IF($B193="","",IF(C193="","",TEXT(C193,"MMM")))</f>
        <v/>
      </c>
      <c r="O193">
        <f>IF($B193="","",IF(N193="Yes",IF(M193="Approved","✅ Compliant","⚠️ Pending"),"❌ Non-Compliant"))</f>
        <v/>
      </c>
    </row>
    <row r="194">
      <c r="A194">
        <f>IF($B194="","",ROW()-5)</f>
        <v/>
      </c>
      <c r="D194">
        <f>IF($B194="","",IF(C194="","",TEXT(C194,"MMM")))</f>
        <v/>
      </c>
      <c r="O194">
        <f>IF($B194="","",IF(N194="Yes",IF(M194="Approved","✅ Compliant","⚠️ Pending"),"❌ Non-Compliant"))</f>
        <v/>
      </c>
    </row>
    <row r="195">
      <c r="A195">
        <f>IF($B195="","",ROW()-5)</f>
        <v/>
      </c>
      <c r="D195">
        <f>IF($B195="","",IF(C195="","",TEXT(C195,"MMM")))</f>
        <v/>
      </c>
      <c r="O195">
        <f>IF($B195="","",IF(N195="Yes",IF(M195="Approved","✅ Compliant","⚠️ Pending"),"❌ Non-Compliant"))</f>
        <v/>
      </c>
    </row>
    <row r="196">
      <c r="A196">
        <f>IF($B196="","",ROW()-5)</f>
        <v/>
      </c>
      <c r="D196">
        <f>IF($B196="","",IF(C196="","",TEXT(C196,"MMM")))</f>
        <v/>
      </c>
      <c r="O196">
        <f>IF($B196="","",IF(N196="Yes",IF(M196="Approved","✅ Compliant","⚠️ Pending"),"❌ Non-Compliant"))</f>
        <v/>
      </c>
    </row>
    <row r="197">
      <c r="A197">
        <f>IF($B197="","",ROW()-5)</f>
        <v/>
      </c>
      <c r="D197">
        <f>IF($B197="","",IF(C197="","",TEXT(C197,"MMM")))</f>
        <v/>
      </c>
      <c r="O197">
        <f>IF($B197="","",IF(N197="Yes",IF(M197="Approved","✅ Compliant","⚠️ Pending"),"❌ Non-Compliant"))</f>
        <v/>
      </c>
    </row>
    <row r="198">
      <c r="A198">
        <f>IF($B198="","",ROW()-5)</f>
        <v/>
      </c>
      <c r="D198">
        <f>IF($B198="","",IF(C198="","",TEXT(C198,"MMM")))</f>
        <v/>
      </c>
      <c r="O198">
        <f>IF($B198="","",IF(N198="Yes",IF(M198="Approved","✅ Compliant","⚠️ Pending"),"❌ Non-Compliant"))</f>
        <v/>
      </c>
    </row>
    <row r="199">
      <c r="A199">
        <f>IF($B199="","",ROW()-5)</f>
        <v/>
      </c>
      <c r="D199">
        <f>IF($B199="","",IF(C199="","",TEXT(C199,"MMM")))</f>
        <v/>
      </c>
      <c r="O199">
        <f>IF($B199="","",IF(N199="Yes",IF(M199="Approved","✅ Compliant","⚠️ Pending"),"❌ Non-Compliant"))</f>
        <v/>
      </c>
    </row>
    <row r="200">
      <c r="A200">
        <f>IF($B200="","",ROW()-5)</f>
        <v/>
      </c>
      <c r="D200">
        <f>IF($B200="","",IF(C200="","",TEXT(C200,"MMM")))</f>
        <v/>
      </c>
      <c r="O200">
        <f>IF($B200="","",IF(N200="Yes",IF(M200="Approved","✅ Compliant","⚠️ Pending"),"❌ Non-Compliant"))</f>
        <v/>
      </c>
    </row>
    <row r="201">
      <c r="A201">
        <f>IF($B201="","",ROW()-5)</f>
        <v/>
      </c>
      <c r="D201">
        <f>IF($B201="","",IF(C201="","",TEXT(C201,"MMM")))</f>
        <v/>
      </c>
      <c r="O201">
        <f>IF($B201="","",IF(N201="Yes",IF(M201="Approved","✅ Compliant","⚠️ Pending"),"❌ Non-Compliant"))</f>
        <v/>
      </c>
    </row>
    <row r="202">
      <c r="A202">
        <f>IF($B202="","",ROW()-5)</f>
        <v/>
      </c>
      <c r="D202">
        <f>IF($B202="","",IF(C202="","",TEXT(C202,"MMM")))</f>
        <v/>
      </c>
      <c r="O202">
        <f>IF($B202="","",IF(N202="Yes",IF(M202="Approved","✅ Compliant","⚠️ Pending"),"❌ Non-Compliant"))</f>
        <v/>
      </c>
    </row>
    <row r="203">
      <c r="A203">
        <f>IF($B203="","",ROW()-5)</f>
        <v/>
      </c>
      <c r="D203">
        <f>IF($B203="","",IF(C203="","",TEXT(C203,"MMM")))</f>
        <v/>
      </c>
      <c r="O203">
        <f>IF($B203="","",IF(N203="Yes",IF(M203="Approved","✅ Compliant","⚠️ Pending"),"❌ Non-Compliant"))</f>
        <v/>
      </c>
    </row>
    <row r="204">
      <c r="A204">
        <f>IF($B204="","",ROW()-5)</f>
        <v/>
      </c>
      <c r="D204">
        <f>IF($B204="","",IF(C204="","",TEXT(C204,"MMM")))</f>
        <v/>
      </c>
      <c r="O204">
        <f>IF($B204="","",IF(N204="Yes",IF(M204="Approved","✅ Compliant","⚠️ Pending"),"❌ Non-Compliant"))</f>
        <v/>
      </c>
    </row>
    <row r="205">
      <c r="A205">
        <f>IF($B205="","",ROW()-5)</f>
        <v/>
      </c>
      <c r="D205">
        <f>IF($B205="","",IF(C205="","",TEXT(C205,"MMM")))</f>
        <v/>
      </c>
      <c r="O205">
        <f>IF($B205="","",IF(N205="Yes",IF(M205="Approved","✅ Compliant","⚠️ Pending"),"❌ Non-Compliant"))</f>
        <v/>
      </c>
    </row>
    <row r="206">
      <c r="A206">
        <f>IF($B206="","",ROW()-5)</f>
        <v/>
      </c>
      <c r="D206">
        <f>IF($B206="","",IF(C206="","",TEXT(C206,"MMM")))</f>
        <v/>
      </c>
      <c r="O206">
        <f>IF($B206="","",IF(N206="Yes",IF(M206="Approved","✅ Compliant","⚠️ Pending"),"❌ Non-Compliant"))</f>
        <v/>
      </c>
    </row>
    <row r="207">
      <c r="A207">
        <f>IF($B207="","",ROW()-5)</f>
        <v/>
      </c>
      <c r="D207">
        <f>IF($B207="","",IF(C207="","",TEXT(C207,"MMM")))</f>
        <v/>
      </c>
      <c r="O207">
        <f>IF($B207="","",IF(N207="Yes",IF(M207="Approved","✅ Compliant","⚠️ Pending"),"❌ Non-Compliant"))</f>
        <v/>
      </c>
    </row>
    <row r="208">
      <c r="A208">
        <f>IF($B208="","",ROW()-5)</f>
        <v/>
      </c>
      <c r="D208">
        <f>IF($B208="","",IF(C208="","",TEXT(C208,"MMM")))</f>
        <v/>
      </c>
      <c r="O208">
        <f>IF($B208="","",IF(N208="Yes",IF(M208="Approved","✅ Compliant","⚠️ Pending"),"❌ Non-Compliant"))</f>
        <v/>
      </c>
    </row>
    <row r="209">
      <c r="A209">
        <f>IF($B209="","",ROW()-5)</f>
        <v/>
      </c>
      <c r="D209">
        <f>IF($B209="","",IF(C209="","",TEXT(C209,"MMM")))</f>
        <v/>
      </c>
      <c r="O209">
        <f>IF($B209="","",IF(N209="Yes",IF(M209="Approved","✅ Compliant","⚠️ Pending"),"❌ Non-Compliant"))</f>
        <v/>
      </c>
    </row>
    <row r="210">
      <c r="A210">
        <f>IF($B210="","",ROW()-5)</f>
        <v/>
      </c>
      <c r="D210">
        <f>IF($B210="","",IF(C210="","",TEXT(C210,"MMM")))</f>
        <v/>
      </c>
      <c r="O210">
        <f>IF($B210="","",IF(N210="Yes",IF(M210="Approved","✅ Compliant","⚠️ Pending"),"❌ Non-Compliant"))</f>
        <v/>
      </c>
    </row>
    <row r="211">
      <c r="A211">
        <f>IF($B211="","",ROW()-5)</f>
        <v/>
      </c>
      <c r="D211">
        <f>IF($B211="","",IF(C211="","",TEXT(C211,"MMM")))</f>
        <v/>
      </c>
      <c r="O211">
        <f>IF($B211="","",IF(N211="Yes",IF(M211="Approved","✅ Compliant","⚠️ Pending"),"❌ Non-Compliant"))</f>
        <v/>
      </c>
    </row>
    <row r="212">
      <c r="A212">
        <f>IF($B212="","",ROW()-5)</f>
        <v/>
      </c>
      <c r="D212">
        <f>IF($B212="","",IF(C212="","",TEXT(C212,"MMM")))</f>
        <v/>
      </c>
      <c r="O212">
        <f>IF($B212="","",IF(N212="Yes",IF(M212="Approved","✅ Compliant","⚠️ Pending"),"❌ Non-Compliant"))</f>
        <v/>
      </c>
    </row>
    <row r="213">
      <c r="A213">
        <f>IF($B213="","",ROW()-5)</f>
        <v/>
      </c>
      <c r="D213">
        <f>IF($B213="","",IF(C213="","",TEXT(C213,"MMM")))</f>
        <v/>
      </c>
      <c r="O213">
        <f>IF($B213="","",IF(N213="Yes",IF(M213="Approved","✅ Compliant","⚠️ Pending"),"❌ Non-Compliant"))</f>
        <v/>
      </c>
    </row>
    <row r="214">
      <c r="A214">
        <f>IF($B214="","",ROW()-5)</f>
        <v/>
      </c>
      <c r="D214">
        <f>IF($B214="","",IF(C214="","",TEXT(C214,"MMM")))</f>
        <v/>
      </c>
      <c r="O214">
        <f>IF($B214="","",IF(N214="Yes",IF(M214="Approved","✅ Compliant","⚠️ Pending"),"❌ Non-Compliant"))</f>
        <v/>
      </c>
    </row>
    <row r="215">
      <c r="A215">
        <f>IF($B215="","",ROW()-5)</f>
        <v/>
      </c>
      <c r="D215">
        <f>IF($B215="","",IF(C215="","",TEXT(C215,"MMM")))</f>
        <v/>
      </c>
      <c r="O215">
        <f>IF($B215="","",IF(N215="Yes",IF(M215="Approved","✅ Compliant","⚠️ Pending"),"❌ Non-Compliant"))</f>
        <v/>
      </c>
    </row>
    <row r="216">
      <c r="A216">
        <f>IF($B216="","",ROW()-5)</f>
        <v/>
      </c>
      <c r="D216">
        <f>IF($B216="","",IF(C216="","",TEXT(C216,"MMM")))</f>
        <v/>
      </c>
      <c r="O216">
        <f>IF($B216="","",IF(N216="Yes",IF(M216="Approved","✅ Compliant","⚠️ Pending"),"❌ Non-Compliant"))</f>
        <v/>
      </c>
    </row>
    <row r="217">
      <c r="A217">
        <f>IF($B217="","",ROW()-5)</f>
        <v/>
      </c>
      <c r="D217">
        <f>IF($B217="","",IF(C217="","",TEXT(C217,"MMM")))</f>
        <v/>
      </c>
      <c r="O217">
        <f>IF($B217="","",IF(N217="Yes",IF(M217="Approved","✅ Compliant","⚠️ Pending"),"❌ Non-Compliant"))</f>
        <v/>
      </c>
    </row>
    <row r="218">
      <c r="A218">
        <f>IF($B218="","",ROW()-5)</f>
        <v/>
      </c>
      <c r="D218">
        <f>IF($B218="","",IF(C218="","",TEXT(C218,"MMM")))</f>
        <v/>
      </c>
      <c r="O218">
        <f>IF($B218="","",IF(N218="Yes",IF(M218="Approved","✅ Compliant","⚠️ Pending"),"❌ Non-Compliant"))</f>
        <v/>
      </c>
    </row>
    <row r="219">
      <c r="A219">
        <f>IF($B219="","",ROW()-5)</f>
        <v/>
      </c>
      <c r="D219">
        <f>IF($B219="","",IF(C219="","",TEXT(C219,"MMM")))</f>
        <v/>
      </c>
      <c r="O219">
        <f>IF($B219="","",IF(N219="Yes",IF(M219="Approved","✅ Compliant","⚠️ Pending"),"❌ Non-Compliant"))</f>
        <v/>
      </c>
    </row>
    <row r="220">
      <c r="A220">
        <f>IF($B220="","",ROW()-5)</f>
        <v/>
      </c>
      <c r="D220">
        <f>IF($B220="","",IF(C220="","",TEXT(C220,"MMM")))</f>
        <v/>
      </c>
      <c r="O220">
        <f>IF($B220="","",IF(N220="Yes",IF(M220="Approved","✅ Compliant","⚠️ Pending"),"❌ Non-Compliant"))</f>
        <v/>
      </c>
    </row>
    <row r="221">
      <c r="A221">
        <f>IF($B221="","",ROW()-5)</f>
        <v/>
      </c>
      <c r="D221">
        <f>IF($B221="","",IF(C221="","",TEXT(C221,"MMM")))</f>
        <v/>
      </c>
      <c r="O221">
        <f>IF($B221="","",IF(N221="Yes",IF(M221="Approved","✅ Compliant","⚠️ Pending"),"❌ Non-Compliant"))</f>
        <v/>
      </c>
    </row>
    <row r="222">
      <c r="A222">
        <f>IF($B222="","",ROW()-5)</f>
        <v/>
      </c>
      <c r="D222">
        <f>IF($B222="","",IF(C222="","",TEXT(C222,"MMM")))</f>
        <v/>
      </c>
      <c r="O222">
        <f>IF($B222="","",IF(N222="Yes",IF(M222="Approved","✅ Compliant","⚠️ Pending"),"❌ Non-Compliant"))</f>
        <v/>
      </c>
    </row>
    <row r="223">
      <c r="A223">
        <f>IF($B223="","",ROW()-5)</f>
        <v/>
      </c>
      <c r="D223">
        <f>IF($B223="","",IF(C223="","",TEXT(C223,"MMM")))</f>
        <v/>
      </c>
      <c r="O223">
        <f>IF($B223="","",IF(N223="Yes",IF(M223="Approved","✅ Compliant","⚠️ Pending"),"❌ Non-Compliant"))</f>
        <v/>
      </c>
    </row>
    <row r="224">
      <c r="A224">
        <f>IF($B224="","",ROW()-5)</f>
        <v/>
      </c>
      <c r="D224">
        <f>IF($B224="","",IF(C224="","",TEXT(C224,"MMM")))</f>
        <v/>
      </c>
      <c r="O224">
        <f>IF($B224="","",IF(N224="Yes",IF(M224="Approved","✅ Compliant","⚠️ Pending"),"❌ Non-Compliant"))</f>
        <v/>
      </c>
    </row>
    <row r="225">
      <c r="A225">
        <f>IF($B225="","",ROW()-5)</f>
        <v/>
      </c>
      <c r="D225">
        <f>IF($B225="","",IF(C225="","",TEXT(C225,"MMM")))</f>
        <v/>
      </c>
      <c r="O225">
        <f>IF($B225="","",IF(N225="Yes",IF(M225="Approved","✅ Compliant","⚠️ Pending"),"❌ Non-Compliant"))</f>
        <v/>
      </c>
    </row>
    <row r="226">
      <c r="A226">
        <f>IF($B226="","",ROW()-5)</f>
        <v/>
      </c>
      <c r="D226">
        <f>IF($B226="","",IF(C226="","",TEXT(C226,"MMM")))</f>
        <v/>
      </c>
      <c r="O226">
        <f>IF($B226="","",IF(N226="Yes",IF(M226="Approved","✅ Compliant","⚠️ Pending"),"❌ Non-Compliant"))</f>
        <v/>
      </c>
    </row>
    <row r="227">
      <c r="A227">
        <f>IF($B227="","",ROW()-5)</f>
        <v/>
      </c>
      <c r="D227">
        <f>IF($B227="","",IF(C227="","",TEXT(C227,"MMM")))</f>
        <v/>
      </c>
      <c r="O227">
        <f>IF($B227="","",IF(N227="Yes",IF(M227="Approved","✅ Compliant","⚠️ Pending"),"❌ Non-Compliant"))</f>
        <v/>
      </c>
    </row>
    <row r="228">
      <c r="A228">
        <f>IF($B228="","",ROW()-5)</f>
        <v/>
      </c>
      <c r="D228">
        <f>IF($B228="","",IF(C228="","",TEXT(C228,"MMM")))</f>
        <v/>
      </c>
      <c r="O228">
        <f>IF($B228="","",IF(N228="Yes",IF(M228="Approved","✅ Compliant","⚠️ Pending"),"❌ Non-Compliant"))</f>
        <v/>
      </c>
    </row>
    <row r="229">
      <c r="A229">
        <f>IF($B229="","",ROW()-5)</f>
        <v/>
      </c>
      <c r="D229">
        <f>IF($B229="","",IF(C229="","",TEXT(C229,"MMM")))</f>
        <v/>
      </c>
      <c r="O229">
        <f>IF($B229="","",IF(N229="Yes",IF(M229="Approved","✅ Compliant","⚠️ Pending"),"❌ Non-Compliant"))</f>
        <v/>
      </c>
    </row>
    <row r="230">
      <c r="A230">
        <f>IF($B230="","",ROW()-5)</f>
        <v/>
      </c>
      <c r="D230">
        <f>IF($B230="","",IF(C230="","",TEXT(C230,"MMM")))</f>
        <v/>
      </c>
      <c r="O230">
        <f>IF($B230="","",IF(N230="Yes",IF(M230="Approved","✅ Compliant","⚠️ Pending"),"❌ Non-Compliant"))</f>
        <v/>
      </c>
    </row>
    <row r="231">
      <c r="A231">
        <f>IF($B231="","",ROW()-5)</f>
        <v/>
      </c>
      <c r="D231">
        <f>IF($B231="","",IF(C231="","",TEXT(C231,"MMM")))</f>
        <v/>
      </c>
      <c r="O231">
        <f>IF($B231="","",IF(N231="Yes",IF(M231="Approved","✅ Compliant","⚠️ Pending"),"❌ Non-Compliant"))</f>
        <v/>
      </c>
    </row>
    <row r="232">
      <c r="A232">
        <f>IF($B232="","",ROW()-5)</f>
        <v/>
      </c>
      <c r="D232">
        <f>IF($B232="","",IF(C232="","",TEXT(C232,"MMM")))</f>
        <v/>
      </c>
      <c r="O232">
        <f>IF($B232="","",IF(N232="Yes",IF(M232="Approved","✅ Compliant","⚠️ Pending"),"❌ Non-Compliant"))</f>
        <v/>
      </c>
    </row>
    <row r="233">
      <c r="A233">
        <f>IF($B233="","",ROW()-5)</f>
        <v/>
      </c>
      <c r="D233">
        <f>IF($B233="","",IF(C233="","",TEXT(C233,"MMM")))</f>
        <v/>
      </c>
      <c r="O233">
        <f>IF($B233="","",IF(N233="Yes",IF(M233="Approved","✅ Compliant","⚠️ Pending"),"❌ Non-Compliant"))</f>
        <v/>
      </c>
    </row>
    <row r="234">
      <c r="A234">
        <f>IF($B234="","",ROW()-5)</f>
        <v/>
      </c>
      <c r="D234">
        <f>IF($B234="","",IF(C234="","",TEXT(C234,"MMM")))</f>
        <v/>
      </c>
      <c r="O234">
        <f>IF($B234="","",IF(N234="Yes",IF(M234="Approved","✅ Compliant","⚠️ Pending"),"❌ Non-Compliant"))</f>
        <v/>
      </c>
    </row>
    <row r="235">
      <c r="A235">
        <f>IF($B235="","",ROW()-5)</f>
        <v/>
      </c>
      <c r="D235">
        <f>IF($B235="","",IF(C235="","",TEXT(C235,"MMM")))</f>
        <v/>
      </c>
      <c r="O235">
        <f>IF($B235="","",IF(N235="Yes",IF(M235="Approved","✅ Compliant","⚠️ Pending"),"❌ Non-Compliant"))</f>
        <v/>
      </c>
    </row>
    <row r="236">
      <c r="A236">
        <f>IF($B236="","",ROW()-5)</f>
        <v/>
      </c>
      <c r="D236">
        <f>IF($B236="","",IF(C236="","",TEXT(C236,"MMM")))</f>
        <v/>
      </c>
      <c r="O236">
        <f>IF($B236="","",IF(N236="Yes",IF(M236="Approved","✅ Compliant","⚠️ Pending"),"❌ Non-Compliant"))</f>
        <v/>
      </c>
    </row>
    <row r="237">
      <c r="A237">
        <f>IF($B237="","",ROW()-5)</f>
        <v/>
      </c>
      <c r="D237">
        <f>IF($B237="","",IF(C237="","",TEXT(C237,"MMM")))</f>
        <v/>
      </c>
      <c r="O237">
        <f>IF($B237="","",IF(N237="Yes",IF(M237="Approved","✅ Compliant","⚠️ Pending"),"❌ Non-Compliant"))</f>
        <v/>
      </c>
    </row>
    <row r="238">
      <c r="A238">
        <f>IF($B238="","",ROW()-5)</f>
        <v/>
      </c>
      <c r="D238">
        <f>IF($B238="","",IF(C238="","",TEXT(C238,"MMM")))</f>
        <v/>
      </c>
      <c r="O238">
        <f>IF($B238="","",IF(N238="Yes",IF(M238="Approved","✅ Compliant","⚠️ Pending"),"❌ Non-Compliant"))</f>
        <v/>
      </c>
    </row>
    <row r="239">
      <c r="A239">
        <f>IF($B239="","",ROW()-5)</f>
        <v/>
      </c>
      <c r="D239">
        <f>IF($B239="","",IF(C239="","",TEXT(C239,"MMM")))</f>
        <v/>
      </c>
      <c r="O239">
        <f>IF($B239="","",IF(N239="Yes",IF(M239="Approved","✅ Compliant","⚠️ Pending"),"❌ Non-Compliant"))</f>
        <v/>
      </c>
    </row>
    <row r="240">
      <c r="A240">
        <f>IF($B240="","",ROW()-5)</f>
        <v/>
      </c>
      <c r="D240">
        <f>IF($B240="","",IF(C240="","",TEXT(C240,"MMM")))</f>
        <v/>
      </c>
      <c r="O240">
        <f>IF($B240="","",IF(N240="Yes",IF(M240="Approved","✅ Compliant","⚠️ Pending"),"❌ Non-Compliant"))</f>
        <v/>
      </c>
    </row>
    <row r="241">
      <c r="A241">
        <f>IF($B241="","",ROW()-5)</f>
        <v/>
      </c>
      <c r="D241">
        <f>IF($B241="","",IF(C241="","",TEXT(C241,"MMM")))</f>
        <v/>
      </c>
      <c r="O241">
        <f>IF($B241="","",IF(N241="Yes",IF(M241="Approved","✅ Compliant","⚠️ Pending"),"❌ Non-Compliant"))</f>
        <v/>
      </c>
    </row>
    <row r="242">
      <c r="A242">
        <f>IF($B242="","",ROW()-5)</f>
        <v/>
      </c>
      <c r="D242">
        <f>IF($B242="","",IF(C242="","",TEXT(C242,"MMM")))</f>
        <v/>
      </c>
      <c r="O242">
        <f>IF($B242="","",IF(N242="Yes",IF(M242="Approved","✅ Compliant","⚠️ Pending"),"❌ Non-Compliant"))</f>
        <v/>
      </c>
    </row>
    <row r="243">
      <c r="A243">
        <f>IF($B243="","",ROW()-5)</f>
        <v/>
      </c>
      <c r="D243">
        <f>IF($B243="","",IF(C243="","",TEXT(C243,"MMM")))</f>
        <v/>
      </c>
      <c r="O243">
        <f>IF($B243="","",IF(N243="Yes",IF(M243="Approved","✅ Compliant","⚠️ Pending"),"❌ Non-Compliant"))</f>
        <v/>
      </c>
    </row>
    <row r="244">
      <c r="A244">
        <f>IF($B244="","",ROW()-5)</f>
        <v/>
      </c>
      <c r="D244">
        <f>IF($B244="","",IF(C244="","",TEXT(C244,"MMM")))</f>
        <v/>
      </c>
      <c r="O244">
        <f>IF($B244="","",IF(N244="Yes",IF(M244="Approved","✅ Compliant","⚠️ Pending"),"❌ Non-Compliant"))</f>
        <v/>
      </c>
    </row>
    <row r="245">
      <c r="A245">
        <f>IF($B245="","",ROW()-5)</f>
        <v/>
      </c>
      <c r="D245">
        <f>IF($B245="","",IF(C245="","",TEXT(C245,"MMM")))</f>
        <v/>
      </c>
      <c r="O245">
        <f>IF($B245="","",IF(N245="Yes",IF(M245="Approved","✅ Compliant","⚠️ Pending"),"❌ Non-Compliant"))</f>
        <v/>
      </c>
    </row>
    <row r="246">
      <c r="A246">
        <f>IF($B246="","",ROW()-5)</f>
        <v/>
      </c>
      <c r="D246">
        <f>IF($B246="","",IF(C246="","",TEXT(C246,"MMM")))</f>
        <v/>
      </c>
      <c r="O246">
        <f>IF($B246="","",IF(N246="Yes",IF(M246="Approved","✅ Compliant","⚠️ Pending"),"❌ Non-Compliant"))</f>
        <v/>
      </c>
    </row>
    <row r="247">
      <c r="A247">
        <f>IF($B247="","",ROW()-5)</f>
        <v/>
      </c>
      <c r="D247">
        <f>IF($B247="","",IF(C247="","",TEXT(C247,"MMM")))</f>
        <v/>
      </c>
      <c r="O247">
        <f>IF($B247="","",IF(N247="Yes",IF(M247="Approved","✅ Compliant","⚠️ Pending"),"❌ Non-Compliant"))</f>
        <v/>
      </c>
    </row>
    <row r="248">
      <c r="A248">
        <f>IF($B248="","",ROW()-5)</f>
        <v/>
      </c>
      <c r="D248">
        <f>IF($B248="","",IF(C248="","",TEXT(C248,"MMM")))</f>
        <v/>
      </c>
      <c r="O248">
        <f>IF($B248="","",IF(N248="Yes",IF(M248="Approved","✅ Compliant","⚠️ Pending"),"❌ Non-Compliant"))</f>
        <v/>
      </c>
    </row>
    <row r="249">
      <c r="A249">
        <f>IF($B249="","",ROW()-5)</f>
        <v/>
      </c>
      <c r="D249">
        <f>IF($B249="","",IF(C249="","",TEXT(C249,"MMM")))</f>
        <v/>
      </c>
      <c r="O249">
        <f>IF($B249="","",IF(N249="Yes",IF(M249="Approved","✅ Compliant","⚠️ Pending"),"❌ Non-Compliant"))</f>
        <v/>
      </c>
    </row>
    <row r="250">
      <c r="A250">
        <f>IF($B250="","",ROW()-5)</f>
        <v/>
      </c>
      <c r="D250">
        <f>IF($B250="","",IF(C250="","",TEXT(C250,"MMM")))</f>
        <v/>
      </c>
      <c r="O250">
        <f>IF($B250="","",IF(N250="Yes",IF(M250="Approved","✅ Compliant","⚠️ Pending"),"❌ Non-Compliant"))</f>
        <v/>
      </c>
    </row>
    <row r="251">
      <c r="A251">
        <f>IF($B251="","",ROW()-5)</f>
        <v/>
      </c>
      <c r="D251">
        <f>IF($B251="","",IF(C251="","",TEXT(C251,"MMM")))</f>
        <v/>
      </c>
      <c r="O251">
        <f>IF($B251="","",IF(N251="Yes",IF(M251="Approved","✅ Compliant","⚠️ Pending"),"❌ Non-Compliant"))</f>
        <v/>
      </c>
    </row>
    <row r="252">
      <c r="A252">
        <f>IF($B252="","",ROW()-5)</f>
        <v/>
      </c>
      <c r="D252">
        <f>IF($B252="","",IF(C252="","",TEXT(C252,"MMM")))</f>
        <v/>
      </c>
      <c r="O252">
        <f>IF($B252="","",IF(N252="Yes",IF(M252="Approved","✅ Compliant","⚠️ Pending"),"❌ Non-Compliant"))</f>
        <v/>
      </c>
    </row>
    <row r="253">
      <c r="A253">
        <f>IF($B253="","",ROW()-5)</f>
        <v/>
      </c>
      <c r="D253">
        <f>IF($B253="","",IF(C253="","",TEXT(C253,"MMM")))</f>
        <v/>
      </c>
      <c r="O253">
        <f>IF($B253="","",IF(N253="Yes",IF(M253="Approved","✅ Compliant","⚠️ Pending"),"❌ Non-Compliant"))</f>
        <v/>
      </c>
    </row>
    <row r="254">
      <c r="A254">
        <f>IF($B254="","",ROW()-5)</f>
        <v/>
      </c>
      <c r="D254">
        <f>IF($B254="","",IF(C254="","",TEXT(C254,"MMM")))</f>
        <v/>
      </c>
      <c r="O254">
        <f>IF($B254="","",IF(N254="Yes",IF(M254="Approved","✅ Compliant","⚠️ Pending"),"❌ Non-Compliant"))</f>
        <v/>
      </c>
    </row>
    <row r="255">
      <c r="A255">
        <f>IF($B255="","",ROW()-5)</f>
        <v/>
      </c>
      <c r="D255">
        <f>IF($B255="","",IF(C255="","",TEXT(C255,"MMM")))</f>
        <v/>
      </c>
      <c r="O255">
        <f>IF($B255="","",IF(N255="Yes",IF(M255="Approved","✅ Compliant","⚠️ Pending"),"❌ Non-Compliant"))</f>
        <v/>
      </c>
    </row>
    <row r="256">
      <c r="A256">
        <f>IF($B256="","",ROW()-5)</f>
        <v/>
      </c>
      <c r="D256">
        <f>IF($B256="","",IF(C256="","",TEXT(C256,"MMM")))</f>
        <v/>
      </c>
      <c r="O256">
        <f>IF($B256="","",IF(N256="Yes",IF(M256="Approved","✅ Compliant","⚠️ Pending"),"❌ Non-Compliant"))</f>
        <v/>
      </c>
    </row>
    <row r="257">
      <c r="A257">
        <f>IF($B257="","",ROW()-5)</f>
        <v/>
      </c>
      <c r="D257">
        <f>IF($B257="","",IF(C257="","",TEXT(C257,"MMM")))</f>
        <v/>
      </c>
      <c r="O257">
        <f>IF($B257="","",IF(N257="Yes",IF(M257="Approved","✅ Compliant","⚠️ Pending"),"❌ Non-Compliant"))</f>
        <v/>
      </c>
    </row>
    <row r="258">
      <c r="A258">
        <f>IF($B258="","",ROW()-5)</f>
        <v/>
      </c>
      <c r="D258">
        <f>IF($B258="","",IF(C258="","",TEXT(C258,"MMM")))</f>
        <v/>
      </c>
      <c r="O258">
        <f>IF($B258="","",IF(N258="Yes",IF(M258="Approved","✅ Compliant","⚠️ Pending"),"❌ Non-Compliant"))</f>
        <v/>
      </c>
    </row>
    <row r="259">
      <c r="A259">
        <f>IF($B259="","",ROW()-5)</f>
        <v/>
      </c>
      <c r="D259">
        <f>IF($B259="","",IF(C259="","",TEXT(C259,"MMM")))</f>
        <v/>
      </c>
      <c r="O259">
        <f>IF($B259="","",IF(N259="Yes",IF(M259="Approved","✅ Compliant","⚠️ Pending"),"❌ Non-Compliant"))</f>
        <v/>
      </c>
    </row>
    <row r="260">
      <c r="A260">
        <f>IF($B260="","",ROW()-5)</f>
        <v/>
      </c>
      <c r="D260">
        <f>IF($B260="","",IF(C260="","",TEXT(C260,"MMM")))</f>
        <v/>
      </c>
      <c r="O260">
        <f>IF($B260="","",IF(N260="Yes",IF(M260="Approved","✅ Compliant","⚠️ Pending"),"❌ Non-Compliant"))</f>
        <v/>
      </c>
    </row>
    <row r="261">
      <c r="A261">
        <f>IF($B261="","",ROW()-5)</f>
        <v/>
      </c>
      <c r="D261">
        <f>IF($B261="","",IF(C261="","",TEXT(C261,"MMM")))</f>
        <v/>
      </c>
      <c r="O261">
        <f>IF($B261="","",IF(N261="Yes",IF(M261="Approved","✅ Compliant","⚠️ Pending"),"❌ Non-Compliant"))</f>
        <v/>
      </c>
    </row>
    <row r="262">
      <c r="A262">
        <f>IF($B262="","",ROW()-5)</f>
        <v/>
      </c>
      <c r="D262">
        <f>IF($B262="","",IF(C262="","",TEXT(C262,"MMM")))</f>
        <v/>
      </c>
      <c r="O262">
        <f>IF($B262="","",IF(N262="Yes",IF(M262="Approved","✅ Compliant","⚠️ Pending"),"❌ Non-Compliant"))</f>
        <v/>
      </c>
    </row>
    <row r="263">
      <c r="A263">
        <f>IF($B263="","",ROW()-5)</f>
        <v/>
      </c>
      <c r="D263">
        <f>IF($B263="","",IF(C263="","",TEXT(C263,"MMM")))</f>
        <v/>
      </c>
      <c r="O263">
        <f>IF($B263="","",IF(N263="Yes",IF(M263="Approved","✅ Compliant","⚠️ Pending"),"❌ Non-Compliant"))</f>
        <v/>
      </c>
    </row>
    <row r="264">
      <c r="A264">
        <f>IF($B264="","",ROW()-5)</f>
        <v/>
      </c>
      <c r="D264">
        <f>IF($B264="","",IF(C264="","",TEXT(C264,"MMM")))</f>
        <v/>
      </c>
      <c r="O264">
        <f>IF($B264="","",IF(N264="Yes",IF(M264="Approved","✅ Compliant","⚠️ Pending"),"❌ Non-Compliant"))</f>
        <v/>
      </c>
    </row>
    <row r="265">
      <c r="A265">
        <f>IF($B265="","",ROW()-5)</f>
        <v/>
      </c>
      <c r="D265">
        <f>IF($B265="","",IF(C265="","",TEXT(C265,"MMM")))</f>
        <v/>
      </c>
      <c r="O265">
        <f>IF($B265="","",IF(N265="Yes",IF(M265="Approved","✅ Compliant","⚠️ Pending"),"❌ Non-Compliant"))</f>
        <v/>
      </c>
    </row>
    <row r="266">
      <c r="A266">
        <f>IF($B266="","",ROW()-5)</f>
        <v/>
      </c>
      <c r="D266">
        <f>IF($B266="","",IF(C266="","",TEXT(C266,"MMM")))</f>
        <v/>
      </c>
      <c r="O266">
        <f>IF($B266="","",IF(N266="Yes",IF(M266="Approved","✅ Compliant","⚠️ Pending"),"❌ Non-Compliant"))</f>
        <v/>
      </c>
    </row>
    <row r="267">
      <c r="A267">
        <f>IF($B267="","",ROW()-5)</f>
        <v/>
      </c>
      <c r="D267">
        <f>IF($B267="","",IF(C267="","",TEXT(C267,"MMM")))</f>
        <v/>
      </c>
      <c r="O267">
        <f>IF($B267="","",IF(N267="Yes",IF(M267="Approved","✅ Compliant","⚠️ Pending"),"❌ Non-Compliant"))</f>
        <v/>
      </c>
    </row>
    <row r="268">
      <c r="A268">
        <f>IF($B268="","",ROW()-5)</f>
        <v/>
      </c>
      <c r="D268">
        <f>IF($B268="","",IF(C268="","",TEXT(C268,"MMM")))</f>
        <v/>
      </c>
      <c r="O268">
        <f>IF($B268="","",IF(N268="Yes",IF(M268="Approved","✅ Compliant","⚠️ Pending"),"❌ Non-Compliant"))</f>
        <v/>
      </c>
    </row>
    <row r="269">
      <c r="A269">
        <f>IF($B269="","",ROW()-5)</f>
        <v/>
      </c>
      <c r="D269">
        <f>IF($B269="","",IF(C269="","",TEXT(C269,"MMM")))</f>
        <v/>
      </c>
      <c r="O269">
        <f>IF($B269="","",IF(N269="Yes",IF(M269="Approved","✅ Compliant","⚠️ Pending"),"❌ Non-Compliant"))</f>
        <v/>
      </c>
    </row>
    <row r="270">
      <c r="A270">
        <f>IF($B270="","",ROW()-5)</f>
        <v/>
      </c>
      <c r="D270">
        <f>IF($B270="","",IF(C270="","",TEXT(C270,"MMM")))</f>
        <v/>
      </c>
      <c r="O270">
        <f>IF($B270="","",IF(N270="Yes",IF(M270="Approved","✅ Compliant","⚠️ Pending"),"❌ Non-Compliant"))</f>
        <v/>
      </c>
    </row>
    <row r="271">
      <c r="A271">
        <f>IF($B271="","",ROW()-5)</f>
        <v/>
      </c>
      <c r="D271">
        <f>IF($B271="","",IF(C271="","",TEXT(C271,"MMM")))</f>
        <v/>
      </c>
      <c r="O271">
        <f>IF($B271="","",IF(N271="Yes",IF(M271="Approved","✅ Compliant","⚠️ Pending"),"❌ Non-Compliant"))</f>
        <v/>
      </c>
    </row>
    <row r="272">
      <c r="A272">
        <f>IF($B272="","",ROW()-5)</f>
        <v/>
      </c>
      <c r="D272">
        <f>IF($B272="","",IF(C272="","",TEXT(C272,"MMM")))</f>
        <v/>
      </c>
      <c r="O272">
        <f>IF($B272="","",IF(N272="Yes",IF(M272="Approved","✅ Compliant","⚠️ Pending"),"❌ Non-Compliant"))</f>
        <v/>
      </c>
    </row>
    <row r="273">
      <c r="A273">
        <f>IF($B273="","",ROW()-5)</f>
        <v/>
      </c>
      <c r="D273">
        <f>IF($B273="","",IF(C273="","",TEXT(C273,"MMM")))</f>
        <v/>
      </c>
      <c r="O273">
        <f>IF($B273="","",IF(N273="Yes",IF(M273="Approved","✅ Compliant","⚠️ Pending"),"❌ Non-Compliant"))</f>
        <v/>
      </c>
    </row>
    <row r="274">
      <c r="A274">
        <f>IF($B274="","",ROW()-5)</f>
        <v/>
      </c>
      <c r="D274">
        <f>IF($B274="","",IF(C274="","",TEXT(C274,"MMM")))</f>
        <v/>
      </c>
      <c r="O274">
        <f>IF($B274="","",IF(N274="Yes",IF(M274="Approved","✅ Compliant","⚠️ Pending"),"❌ Non-Compliant"))</f>
        <v/>
      </c>
    </row>
    <row r="275">
      <c r="A275">
        <f>IF($B275="","",ROW()-5)</f>
        <v/>
      </c>
      <c r="D275">
        <f>IF($B275="","",IF(C275="","",TEXT(C275,"MMM")))</f>
        <v/>
      </c>
      <c r="O275">
        <f>IF($B275="","",IF(N275="Yes",IF(M275="Approved","✅ Compliant","⚠️ Pending"),"❌ Non-Compliant"))</f>
        <v/>
      </c>
    </row>
    <row r="276">
      <c r="A276">
        <f>IF($B276="","",ROW()-5)</f>
        <v/>
      </c>
      <c r="D276">
        <f>IF($B276="","",IF(C276="","",TEXT(C276,"MMM")))</f>
        <v/>
      </c>
      <c r="O276">
        <f>IF($B276="","",IF(N276="Yes",IF(M276="Approved","✅ Compliant","⚠️ Pending"),"❌ Non-Compliant"))</f>
        <v/>
      </c>
    </row>
    <row r="277">
      <c r="A277">
        <f>IF($B277="","",ROW()-5)</f>
        <v/>
      </c>
      <c r="D277">
        <f>IF($B277="","",IF(C277="","",TEXT(C277,"MMM")))</f>
        <v/>
      </c>
      <c r="O277">
        <f>IF($B277="","",IF(N277="Yes",IF(M277="Approved","✅ Compliant","⚠️ Pending"),"❌ Non-Compliant"))</f>
        <v/>
      </c>
    </row>
    <row r="278">
      <c r="A278">
        <f>IF($B278="","",ROW()-5)</f>
        <v/>
      </c>
      <c r="D278">
        <f>IF($B278="","",IF(C278="","",TEXT(C278,"MMM")))</f>
        <v/>
      </c>
      <c r="O278">
        <f>IF($B278="","",IF(N278="Yes",IF(M278="Approved","✅ Compliant","⚠️ Pending"),"❌ Non-Compliant"))</f>
        <v/>
      </c>
    </row>
    <row r="279">
      <c r="A279">
        <f>IF($B279="","",ROW()-5)</f>
        <v/>
      </c>
      <c r="D279">
        <f>IF($B279="","",IF(C279="","",TEXT(C279,"MMM")))</f>
        <v/>
      </c>
      <c r="O279">
        <f>IF($B279="","",IF(N279="Yes",IF(M279="Approved","✅ Compliant","⚠️ Pending"),"❌ Non-Compliant"))</f>
        <v/>
      </c>
    </row>
    <row r="280">
      <c r="A280">
        <f>IF($B280="","",ROW()-5)</f>
        <v/>
      </c>
      <c r="D280">
        <f>IF($B280="","",IF(C280="","",TEXT(C280,"MMM")))</f>
        <v/>
      </c>
      <c r="O280">
        <f>IF($B280="","",IF(N280="Yes",IF(M280="Approved","✅ Compliant","⚠️ Pending"),"❌ Non-Compliant"))</f>
        <v/>
      </c>
    </row>
    <row r="281">
      <c r="A281">
        <f>IF($B281="","",ROW()-5)</f>
        <v/>
      </c>
      <c r="D281">
        <f>IF($B281="","",IF(C281="","",TEXT(C281,"MMM")))</f>
        <v/>
      </c>
      <c r="O281">
        <f>IF($B281="","",IF(N281="Yes",IF(M281="Approved","✅ Compliant","⚠️ Pending"),"❌ Non-Compliant"))</f>
        <v/>
      </c>
    </row>
    <row r="282">
      <c r="A282">
        <f>IF($B282="","",ROW()-5)</f>
        <v/>
      </c>
      <c r="D282">
        <f>IF($B282="","",IF(C282="","",TEXT(C282,"MMM")))</f>
        <v/>
      </c>
      <c r="O282">
        <f>IF($B282="","",IF(N282="Yes",IF(M282="Approved","✅ Compliant","⚠️ Pending"),"❌ Non-Compliant"))</f>
        <v/>
      </c>
    </row>
    <row r="283">
      <c r="A283">
        <f>IF($B283="","",ROW()-5)</f>
        <v/>
      </c>
      <c r="D283">
        <f>IF($B283="","",IF(C283="","",TEXT(C283,"MMM")))</f>
        <v/>
      </c>
      <c r="O283">
        <f>IF($B283="","",IF(N283="Yes",IF(M283="Approved","✅ Compliant","⚠️ Pending"),"❌ Non-Compliant"))</f>
        <v/>
      </c>
    </row>
    <row r="284">
      <c r="A284">
        <f>IF($B284="","",ROW()-5)</f>
        <v/>
      </c>
      <c r="D284">
        <f>IF($B284="","",IF(C284="","",TEXT(C284,"MMM")))</f>
        <v/>
      </c>
      <c r="O284">
        <f>IF($B284="","",IF(N284="Yes",IF(M284="Approved","✅ Compliant","⚠️ Pending"),"❌ Non-Compliant"))</f>
        <v/>
      </c>
    </row>
    <row r="285">
      <c r="A285">
        <f>IF($B285="","",ROW()-5)</f>
        <v/>
      </c>
      <c r="D285">
        <f>IF($B285="","",IF(C285="","",TEXT(C285,"MMM")))</f>
        <v/>
      </c>
      <c r="O285">
        <f>IF($B285="","",IF(N285="Yes",IF(M285="Approved","✅ Compliant","⚠️ Pending"),"❌ Non-Compliant"))</f>
        <v/>
      </c>
    </row>
    <row r="286">
      <c r="A286">
        <f>IF($B286="","",ROW()-5)</f>
        <v/>
      </c>
      <c r="D286">
        <f>IF($B286="","",IF(C286="","",TEXT(C286,"MMM")))</f>
        <v/>
      </c>
      <c r="O286">
        <f>IF($B286="","",IF(N286="Yes",IF(M286="Approved","✅ Compliant","⚠️ Pending"),"❌ Non-Compliant"))</f>
        <v/>
      </c>
    </row>
    <row r="287">
      <c r="A287">
        <f>IF($B287="","",ROW()-5)</f>
        <v/>
      </c>
      <c r="D287">
        <f>IF($B287="","",IF(C287="","",TEXT(C287,"MMM")))</f>
        <v/>
      </c>
      <c r="O287">
        <f>IF($B287="","",IF(N287="Yes",IF(M287="Approved","✅ Compliant","⚠️ Pending"),"❌ Non-Compliant"))</f>
        <v/>
      </c>
    </row>
    <row r="288">
      <c r="A288">
        <f>IF($B288="","",ROW()-5)</f>
        <v/>
      </c>
      <c r="D288">
        <f>IF($B288="","",IF(C288="","",TEXT(C288,"MMM")))</f>
        <v/>
      </c>
      <c r="O288">
        <f>IF($B288="","",IF(N288="Yes",IF(M288="Approved","✅ Compliant","⚠️ Pending"),"❌ Non-Compliant"))</f>
        <v/>
      </c>
    </row>
    <row r="289">
      <c r="A289">
        <f>IF($B289="","",ROW()-5)</f>
        <v/>
      </c>
      <c r="D289">
        <f>IF($B289="","",IF(C289="","",TEXT(C289,"MMM")))</f>
        <v/>
      </c>
      <c r="O289">
        <f>IF($B289="","",IF(N289="Yes",IF(M289="Approved","✅ Compliant","⚠️ Pending"),"❌ Non-Compliant"))</f>
        <v/>
      </c>
    </row>
    <row r="290">
      <c r="A290">
        <f>IF($B290="","",ROW()-5)</f>
        <v/>
      </c>
      <c r="D290">
        <f>IF($B290="","",IF(C290="","",TEXT(C290,"MMM")))</f>
        <v/>
      </c>
      <c r="O290">
        <f>IF($B290="","",IF(N290="Yes",IF(M290="Approved","✅ Compliant","⚠️ Pending"),"❌ Non-Compliant"))</f>
        <v/>
      </c>
    </row>
    <row r="291">
      <c r="A291">
        <f>IF($B291="","",ROW()-5)</f>
        <v/>
      </c>
      <c r="D291">
        <f>IF($B291="","",IF(C291="","",TEXT(C291,"MMM")))</f>
        <v/>
      </c>
      <c r="O291">
        <f>IF($B291="","",IF(N291="Yes",IF(M291="Approved","✅ Compliant","⚠️ Pending"),"❌ Non-Compliant"))</f>
        <v/>
      </c>
    </row>
    <row r="292">
      <c r="A292">
        <f>IF($B292="","",ROW()-5)</f>
        <v/>
      </c>
      <c r="D292">
        <f>IF($B292="","",IF(C292="","",TEXT(C292,"MMM")))</f>
        <v/>
      </c>
      <c r="O292">
        <f>IF($B292="","",IF(N292="Yes",IF(M292="Approved","✅ Compliant","⚠️ Pending"),"❌ Non-Compliant"))</f>
        <v/>
      </c>
    </row>
    <row r="293">
      <c r="A293">
        <f>IF($B293="","",ROW()-5)</f>
        <v/>
      </c>
      <c r="D293">
        <f>IF($B293="","",IF(C293="","",TEXT(C293,"MMM")))</f>
        <v/>
      </c>
      <c r="O293">
        <f>IF($B293="","",IF(N293="Yes",IF(M293="Approved","✅ Compliant","⚠️ Pending"),"❌ Non-Compliant"))</f>
        <v/>
      </c>
    </row>
    <row r="294">
      <c r="A294">
        <f>IF($B294="","",ROW()-5)</f>
        <v/>
      </c>
      <c r="D294">
        <f>IF($B294="","",IF(C294="","",TEXT(C294,"MMM")))</f>
        <v/>
      </c>
      <c r="O294">
        <f>IF($B294="","",IF(N294="Yes",IF(M294="Approved","✅ Compliant","⚠️ Pending"),"❌ Non-Compliant"))</f>
        <v/>
      </c>
    </row>
    <row r="295">
      <c r="A295">
        <f>IF($B295="","",ROW()-5)</f>
        <v/>
      </c>
      <c r="D295">
        <f>IF($B295="","",IF(C295="","",TEXT(C295,"MMM")))</f>
        <v/>
      </c>
      <c r="O295">
        <f>IF($B295="","",IF(N295="Yes",IF(M295="Approved","✅ Compliant","⚠️ Pending"),"❌ Non-Compliant"))</f>
        <v/>
      </c>
    </row>
    <row r="296">
      <c r="A296">
        <f>IF($B296="","",ROW()-5)</f>
        <v/>
      </c>
      <c r="D296">
        <f>IF($B296="","",IF(C296="","",TEXT(C296,"MMM")))</f>
        <v/>
      </c>
      <c r="O296">
        <f>IF($B296="","",IF(N296="Yes",IF(M296="Approved","✅ Compliant","⚠️ Pending"),"❌ Non-Compliant"))</f>
        <v/>
      </c>
    </row>
    <row r="297">
      <c r="A297">
        <f>IF($B297="","",ROW()-5)</f>
        <v/>
      </c>
      <c r="D297">
        <f>IF($B297="","",IF(C297="","",TEXT(C297,"MMM")))</f>
        <v/>
      </c>
      <c r="O297">
        <f>IF($B297="","",IF(N297="Yes",IF(M297="Approved","✅ Compliant","⚠️ Pending"),"❌ Non-Compliant"))</f>
        <v/>
      </c>
    </row>
    <row r="298">
      <c r="A298">
        <f>IF($B298="","",ROW()-5)</f>
        <v/>
      </c>
      <c r="D298">
        <f>IF($B298="","",IF(C298="","",TEXT(C298,"MMM")))</f>
        <v/>
      </c>
      <c r="O298">
        <f>IF($B298="","",IF(N298="Yes",IF(M298="Approved","✅ Compliant","⚠️ Pending"),"❌ Non-Compliant"))</f>
        <v/>
      </c>
    </row>
    <row r="299">
      <c r="A299">
        <f>IF($B299="","",ROW()-5)</f>
        <v/>
      </c>
      <c r="D299">
        <f>IF($B299="","",IF(C299="","",TEXT(C299,"MMM")))</f>
        <v/>
      </c>
      <c r="O299">
        <f>IF($B299="","",IF(N299="Yes",IF(M299="Approved","✅ Compliant","⚠️ Pending"),"❌ Non-Compliant"))</f>
        <v/>
      </c>
    </row>
    <row r="300">
      <c r="A300">
        <f>IF($B300="","",ROW()-5)</f>
        <v/>
      </c>
      <c r="D300">
        <f>IF($B300="","",IF(C300="","",TEXT(C300,"MMM")))</f>
        <v/>
      </c>
      <c r="O300">
        <f>IF($B300="","",IF(N300="Yes",IF(M300="Approved","✅ Compliant","⚠️ Pending"),"❌ Non-Compliant"))</f>
        <v/>
      </c>
    </row>
    <row r="301">
      <c r="A301">
        <f>IF($B301="","",ROW()-5)</f>
        <v/>
      </c>
      <c r="D301">
        <f>IF($B301="","",IF(C301="","",TEXT(C301,"MMM")))</f>
        <v/>
      </c>
      <c r="O301">
        <f>IF($B301="","",IF(N301="Yes",IF(M301="Approved","✅ Compliant","⚠️ Pending"),"❌ Non-Compliant"))</f>
        <v/>
      </c>
    </row>
    <row r="302">
      <c r="A302">
        <f>IF($B302="","",ROW()-5)</f>
        <v/>
      </c>
      <c r="D302">
        <f>IF($B302="","",IF(C302="","",TEXT(C302,"MMM")))</f>
        <v/>
      </c>
      <c r="O302">
        <f>IF($B302="","",IF(N302="Yes",IF(M302="Approved","✅ Compliant","⚠️ Pending"),"❌ Non-Compliant"))</f>
        <v/>
      </c>
    </row>
    <row r="303">
      <c r="A303">
        <f>IF($B303="","",ROW()-5)</f>
        <v/>
      </c>
      <c r="D303">
        <f>IF($B303="","",IF(C303="","",TEXT(C303,"MMM")))</f>
        <v/>
      </c>
      <c r="O303">
        <f>IF($B303="","",IF(N303="Yes",IF(M303="Approved","✅ Compliant","⚠️ Pending"),"❌ Non-Compliant"))</f>
        <v/>
      </c>
    </row>
    <row r="304">
      <c r="A304">
        <f>IF($B304="","",ROW()-5)</f>
        <v/>
      </c>
      <c r="D304">
        <f>IF($B304="","",IF(C304="","",TEXT(C304,"MMM")))</f>
        <v/>
      </c>
      <c r="O304">
        <f>IF($B304="","",IF(N304="Yes",IF(M304="Approved","✅ Compliant","⚠️ Pending"),"❌ Non-Compliant"))</f>
        <v/>
      </c>
    </row>
    <row r="305">
      <c r="A305">
        <f>IF($B305="","",ROW()-5)</f>
        <v/>
      </c>
      <c r="D305">
        <f>IF($B305="","",IF(C305="","",TEXT(C305,"MMM")))</f>
        <v/>
      </c>
      <c r="O305">
        <f>IF($B305="","",IF(N305="Yes",IF(M305="Approved","✅ Compliant","⚠️ Pending"),"❌ Non-Compliant"))</f>
        <v/>
      </c>
    </row>
    <row r="306">
      <c r="A306">
        <f>IF($B306="","",ROW()-5)</f>
        <v/>
      </c>
      <c r="D306">
        <f>IF($B306="","",IF(C306="","",TEXT(C306,"MMM")))</f>
        <v/>
      </c>
      <c r="O306">
        <f>IF($B306="","",IF(N306="Yes",IF(M306="Approved","✅ Compliant","⚠️ Pending"),"❌ Non-Compliant"))</f>
        <v/>
      </c>
    </row>
    <row r="307">
      <c r="A307">
        <f>IF($B307="","",ROW()-5)</f>
        <v/>
      </c>
      <c r="D307">
        <f>IF($B307="","",IF(C307="","",TEXT(C307,"MMM")))</f>
        <v/>
      </c>
      <c r="O307">
        <f>IF($B307="","",IF(N307="Yes",IF(M307="Approved","✅ Compliant","⚠️ Pending"),"❌ Non-Compliant"))</f>
        <v/>
      </c>
    </row>
    <row r="308">
      <c r="A308">
        <f>IF($B308="","",ROW()-5)</f>
        <v/>
      </c>
      <c r="D308">
        <f>IF($B308="","",IF(C308="","",TEXT(C308,"MMM")))</f>
        <v/>
      </c>
      <c r="O308">
        <f>IF($B308="","",IF(N308="Yes",IF(M308="Approved","✅ Compliant","⚠️ Pending"),"❌ Non-Compliant"))</f>
        <v/>
      </c>
    </row>
    <row r="309">
      <c r="A309">
        <f>IF($B309="","",ROW()-5)</f>
        <v/>
      </c>
      <c r="D309">
        <f>IF($B309="","",IF(C309="","",TEXT(C309,"MMM")))</f>
        <v/>
      </c>
      <c r="O309">
        <f>IF($B309="","",IF(N309="Yes",IF(M309="Approved","✅ Compliant","⚠️ Pending"),"❌ Non-Compliant"))</f>
        <v/>
      </c>
    </row>
    <row r="310">
      <c r="A310">
        <f>IF($B310="","",ROW()-5)</f>
        <v/>
      </c>
      <c r="D310">
        <f>IF($B310="","",IF(C310="","",TEXT(C310,"MMM")))</f>
        <v/>
      </c>
      <c r="O310">
        <f>IF($B310="","",IF(N310="Yes",IF(M310="Approved","✅ Compliant","⚠️ Pending"),"❌ Non-Compliant"))</f>
        <v/>
      </c>
    </row>
    <row r="311">
      <c r="A311">
        <f>IF($B311="","",ROW()-5)</f>
        <v/>
      </c>
      <c r="D311">
        <f>IF($B311="","",IF(C311="","",TEXT(C311,"MMM")))</f>
        <v/>
      </c>
      <c r="O311">
        <f>IF($B311="","",IF(N311="Yes",IF(M311="Approved","✅ Compliant","⚠️ Pending"),"❌ Non-Compliant"))</f>
        <v/>
      </c>
    </row>
    <row r="312">
      <c r="A312">
        <f>IF($B312="","",ROW()-5)</f>
        <v/>
      </c>
      <c r="D312">
        <f>IF($B312="","",IF(C312="","",TEXT(C312,"MMM")))</f>
        <v/>
      </c>
      <c r="O312">
        <f>IF($B312="","",IF(N312="Yes",IF(M312="Approved","✅ Compliant","⚠️ Pending"),"❌ Non-Compliant"))</f>
        <v/>
      </c>
    </row>
    <row r="313">
      <c r="A313">
        <f>IF($B313="","",ROW()-5)</f>
        <v/>
      </c>
      <c r="D313">
        <f>IF($B313="","",IF(C313="","",TEXT(C313,"MMM")))</f>
        <v/>
      </c>
      <c r="O313">
        <f>IF($B313="","",IF(N313="Yes",IF(M313="Approved","✅ Compliant","⚠️ Pending"),"❌ Non-Compliant"))</f>
        <v/>
      </c>
    </row>
    <row r="314">
      <c r="A314">
        <f>IF($B314="","",ROW()-5)</f>
        <v/>
      </c>
      <c r="D314">
        <f>IF($B314="","",IF(C314="","",TEXT(C314,"MMM")))</f>
        <v/>
      </c>
      <c r="O314">
        <f>IF($B314="","",IF(N314="Yes",IF(M314="Approved","✅ Compliant","⚠️ Pending"),"❌ Non-Compliant"))</f>
        <v/>
      </c>
    </row>
    <row r="315">
      <c r="A315">
        <f>IF($B315="","",ROW()-5)</f>
        <v/>
      </c>
      <c r="D315">
        <f>IF($B315="","",IF(C315="","",TEXT(C315,"MMM")))</f>
        <v/>
      </c>
      <c r="O315">
        <f>IF($B315="","",IF(N315="Yes",IF(M315="Approved","✅ Compliant","⚠️ Pending"),"❌ Non-Compliant"))</f>
        <v/>
      </c>
    </row>
    <row r="316">
      <c r="A316">
        <f>IF($B316="","",ROW()-5)</f>
        <v/>
      </c>
      <c r="D316">
        <f>IF($B316="","",IF(C316="","",TEXT(C316,"MMM")))</f>
        <v/>
      </c>
      <c r="O316">
        <f>IF($B316="","",IF(N316="Yes",IF(M316="Approved","✅ Compliant","⚠️ Pending"),"❌ Non-Compliant"))</f>
        <v/>
      </c>
    </row>
    <row r="317">
      <c r="A317">
        <f>IF($B317="","",ROW()-5)</f>
        <v/>
      </c>
      <c r="D317">
        <f>IF($B317="","",IF(C317="","",TEXT(C317,"MMM")))</f>
        <v/>
      </c>
      <c r="O317">
        <f>IF($B317="","",IF(N317="Yes",IF(M317="Approved","✅ Compliant","⚠️ Pending"),"❌ Non-Compliant"))</f>
        <v/>
      </c>
    </row>
    <row r="318">
      <c r="A318">
        <f>IF($B318="","",ROW()-5)</f>
        <v/>
      </c>
      <c r="D318">
        <f>IF($B318="","",IF(C318="","",TEXT(C318,"MMM")))</f>
        <v/>
      </c>
      <c r="O318">
        <f>IF($B318="","",IF(N318="Yes",IF(M318="Approved","✅ Compliant","⚠️ Pending"),"❌ Non-Compliant"))</f>
        <v/>
      </c>
    </row>
    <row r="319">
      <c r="A319">
        <f>IF($B319="","",ROW()-5)</f>
        <v/>
      </c>
      <c r="D319">
        <f>IF($B319="","",IF(C319="","",TEXT(C319,"MMM")))</f>
        <v/>
      </c>
      <c r="O319">
        <f>IF($B319="","",IF(N319="Yes",IF(M319="Approved","✅ Compliant","⚠️ Pending"),"❌ Non-Compliant"))</f>
        <v/>
      </c>
    </row>
    <row r="320">
      <c r="A320">
        <f>IF($B320="","",ROW()-5)</f>
        <v/>
      </c>
      <c r="D320">
        <f>IF($B320="","",IF(C320="","",TEXT(C320,"MMM")))</f>
        <v/>
      </c>
      <c r="O320">
        <f>IF($B320="","",IF(N320="Yes",IF(M320="Approved","✅ Compliant","⚠️ Pending"),"❌ Non-Compliant"))</f>
        <v/>
      </c>
    </row>
    <row r="321">
      <c r="A321">
        <f>IF($B321="","",ROW()-5)</f>
        <v/>
      </c>
      <c r="D321">
        <f>IF($B321="","",IF(C321="","",TEXT(C321,"MMM")))</f>
        <v/>
      </c>
      <c r="O321">
        <f>IF($B321="","",IF(N321="Yes",IF(M321="Approved","✅ Compliant","⚠️ Pending"),"❌ Non-Compliant"))</f>
        <v/>
      </c>
    </row>
    <row r="322">
      <c r="A322">
        <f>IF($B322="","",ROW()-5)</f>
        <v/>
      </c>
      <c r="D322">
        <f>IF($B322="","",IF(C322="","",TEXT(C322,"MMM")))</f>
        <v/>
      </c>
      <c r="O322">
        <f>IF($B322="","",IF(N322="Yes",IF(M322="Approved","✅ Compliant","⚠️ Pending"),"❌ Non-Compliant"))</f>
        <v/>
      </c>
    </row>
    <row r="323">
      <c r="A323">
        <f>IF($B323="","",ROW()-5)</f>
        <v/>
      </c>
      <c r="D323">
        <f>IF($B323="","",IF(C323="","",TEXT(C323,"MMM")))</f>
        <v/>
      </c>
      <c r="O323">
        <f>IF($B323="","",IF(N323="Yes",IF(M323="Approved","✅ Compliant","⚠️ Pending"),"❌ Non-Compliant"))</f>
        <v/>
      </c>
    </row>
    <row r="324">
      <c r="A324">
        <f>IF($B324="","",ROW()-5)</f>
        <v/>
      </c>
      <c r="D324">
        <f>IF($B324="","",IF(C324="","",TEXT(C324,"MMM")))</f>
        <v/>
      </c>
      <c r="O324">
        <f>IF($B324="","",IF(N324="Yes",IF(M324="Approved","✅ Compliant","⚠️ Pending"),"❌ Non-Compliant"))</f>
        <v/>
      </c>
    </row>
    <row r="325">
      <c r="A325">
        <f>IF($B325="","",ROW()-5)</f>
        <v/>
      </c>
      <c r="D325">
        <f>IF($B325="","",IF(C325="","",TEXT(C325,"MMM")))</f>
        <v/>
      </c>
      <c r="O325">
        <f>IF($B325="","",IF(N325="Yes",IF(M325="Approved","✅ Compliant","⚠️ Pending"),"❌ Non-Compliant"))</f>
        <v/>
      </c>
    </row>
    <row r="326">
      <c r="A326">
        <f>IF($B326="","",ROW()-5)</f>
        <v/>
      </c>
      <c r="D326">
        <f>IF($B326="","",IF(C326="","",TEXT(C326,"MMM")))</f>
        <v/>
      </c>
      <c r="O326">
        <f>IF($B326="","",IF(N326="Yes",IF(M326="Approved","✅ Compliant","⚠️ Pending"),"❌ Non-Compliant"))</f>
        <v/>
      </c>
    </row>
    <row r="327">
      <c r="A327">
        <f>IF($B327="","",ROW()-5)</f>
        <v/>
      </c>
      <c r="D327">
        <f>IF($B327="","",IF(C327="","",TEXT(C327,"MMM")))</f>
        <v/>
      </c>
      <c r="O327">
        <f>IF($B327="","",IF(N327="Yes",IF(M327="Approved","✅ Compliant","⚠️ Pending"),"❌ Non-Compliant"))</f>
        <v/>
      </c>
    </row>
    <row r="328">
      <c r="A328">
        <f>IF($B328="","",ROW()-5)</f>
        <v/>
      </c>
      <c r="D328">
        <f>IF($B328="","",IF(C328="","",TEXT(C328,"MMM")))</f>
        <v/>
      </c>
      <c r="O328">
        <f>IF($B328="","",IF(N328="Yes",IF(M328="Approved","✅ Compliant","⚠️ Pending"),"❌ Non-Compliant"))</f>
        <v/>
      </c>
    </row>
    <row r="329">
      <c r="A329">
        <f>IF($B329="","",ROW()-5)</f>
        <v/>
      </c>
      <c r="D329">
        <f>IF($B329="","",IF(C329="","",TEXT(C329,"MMM")))</f>
        <v/>
      </c>
      <c r="O329">
        <f>IF($B329="","",IF(N329="Yes",IF(M329="Approved","✅ Compliant","⚠️ Pending"),"❌ Non-Compliant"))</f>
        <v/>
      </c>
    </row>
    <row r="330">
      <c r="A330">
        <f>IF($B330="","",ROW()-5)</f>
        <v/>
      </c>
      <c r="D330">
        <f>IF($B330="","",IF(C330="","",TEXT(C330,"MMM")))</f>
        <v/>
      </c>
      <c r="O330">
        <f>IF($B330="","",IF(N330="Yes",IF(M330="Approved","✅ Compliant","⚠️ Pending"),"❌ Non-Compliant"))</f>
        <v/>
      </c>
    </row>
    <row r="331">
      <c r="A331">
        <f>IF($B331="","",ROW()-5)</f>
        <v/>
      </c>
      <c r="D331">
        <f>IF($B331="","",IF(C331="","",TEXT(C331,"MMM")))</f>
        <v/>
      </c>
      <c r="O331">
        <f>IF($B331="","",IF(N331="Yes",IF(M331="Approved","✅ Compliant","⚠️ Pending"),"❌ Non-Compliant"))</f>
        <v/>
      </c>
    </row>
    <row r="332">
      <c r="A332">
        <f>IF($B332="","",ROW()-5)</f>
        <v/>
      </c>
      <c r="D332">
        <f>IF($B332="","",IF(C332="","",TEXT(C332,"MMM")))</f>
        <v/>
      </c>
      <c r="O332">
        <f>IF($B332="","",IF(N332="Yes",IF(M332="Approved","✅ Compliant","⚠️ Pending"),"❌ Non-Compliant"))</f>
        <v/>
      </c>
    </row>
    <row r="333">
      <c r="A333">
        <f>IF($B333="","",ROW()-5)</f>
        <v/>
      </c>
      <c r="D333">
        <f>IF($B333="","",IF(C333="","",TEXT(C333,"MMM")))</f>
        <v/>
      </c>
      <c r="O333">
        <f>IF($B333="","",IF(N333="Yes",IF(M333="Approved","✅ Compliant","⚠️ Pending"),"❌ Non-Compliant"))</f>
        <v/>
      </c>
    </row>
    <row r="334">
      <c r="A334">
        <f>IF($B334="","",ROW()-5)</f>
        <v/>
      </c>
      <c r="D334">
        <f>IF($B334="","",IF(C334="","",TEXT(C334,"MMM")))</f>
        <v/>
      </c>
      <c r="O334">
        <f>IF($B334="","",IF(N334="Yes",IF(M334="Approved","✅ Compliant","⚠️ Pending"),"❌ Non-Compliant"))</f>
        <v/>
      </c>
    </row>
    <row r="335">
      <c r="A335">
        <f>IF($B335="","",ROW()-5)</f>
        <v/>
      </c>
      <c r="D335">
        <f>IF($B335="","",IF(C335="","",TEXT(C335,"MMM")))</f>
        <v/>
      </c>
      <c r="O335">
        <f>IF($B335="","",IF(N335="Yes",IF(M335="Approved","✅ Compliant","⚠️ Pending"),"❌ Non-Compliant"))</f>
        <v/>
      </c>
    </row>
    <row r="336">
      <c r="A336">
        <f>IF($B336="","",ROW()-5)</f>
        <v/>
      </c>
      <c r="D336">
        <f>IF($B336="","",IF(C336="","",TEXT(C336,"MMM")))</f>
        <v/>
      </c>
      <c r="O336">
        <f>IF($B336="","",IF(N336="Yes",IF(M336="Approved","✅ Compliant","⚠️ Pending"),"❌ Non-Compliant"))</f>
        <v/>
      </c>
    </row>
    <row r="337">
      <c r="A337">
        <f>IF($B337="","",ROW()-5)</f>
        <v/>
      </c>
      <c r="D337">
        <f>IF($B337="","",IF(C337="","",TEXT(C337,"MMM")))</f>
        <v/>
      </c>
      <c r="O337">
        <f>IF($B337="","",IF(N337="Yes",IF(M337="Approved","✅ Compliant","⚠️ Pending"),"❌ Non-Compliant"))</f>
        <v/>
      </c>
    </row>
    <row r="338">
      <c r="A338">
        <f>IF($B338="","",ROW()-5)</f>
        <v/>
      </c>
      <c r="D338">
        <f>IF($B338="","",IF(C338="","",TEXT(C338,"MMM")))</f>
        <v/>
      </c>
      <c r="O338">
        <f>IF($B338="","",IF(N338="Yes",IF(M338="Approved","✅ Compliant","⚠️ Pending"),"❌ Non-Compliant"))</f>
        <v/>
      </c>
    </row>
    <row r="339">
      <c r="A339">
        <f>IF($B339="","",ROW()-5)</f>
        <v/>
      </c>
      <c r="D339">
        <f>IF($B339="","",IF(C339="","",TEXT(C339,"MMM")))</f>
        <v/>
      </c>
      <c r="O339">
        <f>IF($B339="","",IF(N339="Yes",IF(M339="Approved","✅ Compliant","⚠️ Pending"),"❌ Non-Compliant"))</f>
        <v/>
      </c>
    </row>
    <row r="340">
      <c r="A340">
        <f>IF($B340="","",ROW()-5)</f>
        <v/>
      </c>
      <c r="D340">
        <f>IF($B340="","",IF(C340="","",TEXT(C340,"MMM")))</f>
        <v/>
      </c>
      <c r="O340">
        <f>IF($B340="","",IF(N340="Yes",IF(M340="Approved","✅ Compliant","⚠️ Pending"),"❌ Non-Compliant"))</f>
        <v/>
      </c>
    </row>
    <row r="341">
      <c r="A341">
        <f>IF($B341="","",ROW()-5)</f>
        <v/>
      </c>
      <c r="D341">
        <f>IF($B341="","",IF(C341="","",TEXT(C341,"MMM")))</f>
        <v/>
      </c>
      <c r="O341">
        <f>IF($B341="","",IF(N341="Yes",IF(M341="Approved","✅ Compliant","⚠️ Pending"),"❌ Non-Compliant"))</f>
        <v/>
      </c>
    </row>
    <row r="342">
      <c r="A342">
        <f>IF($B342="","",ROW()-5)</f>
        <v/>
      </c>
      <c r="D342">
        <f>IF($B342="","",IF(C342="","",TEXT(C342,"MMM")))</f>
        <v/>
      </c>
      <c r="O342">
        <f>IF($B342="","",IF(N342="Yes",IF(M342="Approved","✅ Compliant","⚠️ Pending"),"❌ Non-Compliant"))</f>
        <v/>
      </c>
    </row>
    <row r="343">
      <c r="A343">
        <f>IF($B343="","",ROW()-5)</f>
        <v/>
      </c>
      <c r="D343">
        <f>IF($B343="","",IF(C343="","",TEXT(C343,"MMM")))</f>
        <v/>
      </c>
      <c r="O343">
        <f>IF($B343="","",IF(N343="Yes",IF(M343="Approved","✅ Compliant","⚠️ Pending"),"❌ Non-Compliant"))</f>
        <v/>
      </c>
    </row>
    <row r="344">
      <c r="A344">
        <f>IF($B344="","",ROW()-5)</f>
        <v/>
      </c>
      <c r="D344">
        <f>IF($B344="","",IF(C344="","",TEXT(C344,"MMM")))</f>
        <v/>
      </c>
      <c r="O344">
        <f>IF($B344="","",IF(N344="Yes",IF(M344="Approved","✅ Compliant","⚠️ Pending"),"❌ Non-Compliant"))</f>
        <v/>
      </c>
    </row>
    <row r="345">
      <c r="A345">
        <f>IF($B345="","",ROW()-5)</f>
        <v/>
      </c>
      <c r="D345">
        <f>IF($B345="","",IF(C345="","",TEXT(C345,"MMM")))</f>
        <v/>
      </c>
      <c r="O345">
        <f>IF($B345="","",IF(N345="Yes",IF(M345="Approved","✅ Compliant","⚠️ Pending"),"❌ Non-Compliant"))</f>
        <v/>
      </c>
    </row>
    <row r="346">
      <c r="A346">
        <f>IF($B346="","",ROW()-5)</f>
        <v/>
      </c>
      <c r="D346">
        <f>IF($B346="","",IF(C346="","",TEXT(C346,"MMM")))</f>
        <v/>
      </c>
      <c r="O346">
        <f>IF($B346="","",IF(N346="Yes",IF(M346="Approved","✅ Compliant","⚠️ Pending"),"❌ Non-Compliant"))</f>
        <v/>
      </c>
    </row>
    <row r="347">
      <c r="A347">
        <f>IF($B347="","",ROW()-5)</f>
        <v/>
      </c>
      <c r="D347">
        <f>IF($B347="","",IF(C347="","",TEXT(C347,"MMM")))</f>
        <v/>
      </c>
      <c r="O347">
        <f>IF($B347="","",IF(N347="Yes",IF(M347="Approved","✅ Compliant","⚠️ Pending"),"❌ Non-Compliant"))</f>
        <v/>
      </c>
    </row>
    <row r="348">
      <c r="A348">
        <f>IF($B348="","",ROW()-5)</f>
        <v/>
      </c>
      <c r="D348">
        <f>IF($B348="","",IF(C348="","",TEXT(C348,"MMM")))</f>
        <v/>
      </c>
      <c r="O348">
        <f>IF($B348="","",IF(N348="Yes",IF(M348="Approved","✅ Compliant","⚠️ Pending"),"❌ Non-Compliant"))</f>
        <v/>
      </c>
    </row>
    <row r="349">
      <c r="A349">
        <f>IF($B349="","",ROW()-5)</f>
        <v/>
      </c>
      <c r="D349">
        <f>IF($B349="","",IF(C349="","",TEXT(C349,"MMM")))</f>
        <v/>
      </c>
      <c r="O349">
        <f>IF($B349="","",IF(N349="Yes",IF(M349="Approved","✅ Compliant","⚠️ Pending"),"❌ Non-Compliant"))</f>
        <v/>
      </c>
    </row>
    <row r="350">
      <c r="A350">
        <f>IF($B350="","",ROW()-5)</f>
        <v/>
      </c>
      <c r="D350">
        <f>IF($B350="","",IF(C350="","",TEXT(C350,"MMM")))</f>
        <v/>
      </c>
      <c r="O350">
        <f>IF($B350="","",IF(N350="Yes",IF(M350="Approved","✅ Compliant","⚠️ Pending"),"❌ Non-Compliant"))</f>
        <v/>
      </c>
    </row>
    <row r="351">
      <c r="A351">
        <f>IF($B351="","",ROW()-5)</f>
        <v/>
      </c>
      <c r="D351">
        <f>IF($B351="","",IF(C351="","",TEXT(C351,"MMM")))</f>
        <v/>
      </c>
      <c r="O351">
        <f>IF($B351="","",IF(N351="Yes",IF(M351="Approved","✅ Compliant","⚠️ Pending"),"❌ Non-Compliant"))</f>
        <v/>
      </c>
    </row>
    <row r="352">
      <c r="A352">
        <f>IF($B352="","",ROW()-5)</f>
        <v/>
      </c>
      <c r="D352">
        <f>IF($B352="","",IF(C352="","",TEXT(C352,"MMM")))</f>
        <v/>
      </c>
      <c r="O352">
        <f>IF($B352="","",IF(N352="Yes",IF(M352="Approved","✅ Compliant","⚠️ Pending"),"❌ Non-Compliant"))</f>
        <v/>
      </c>
    </row>
    <row r="353">
      <c r="A353">
        <f>IF($B353="","",ROW()-5)</f>
        <v/>
      </c>
      <c r="D353">
        <f>IF($B353="","",IF(C353="","",TEXT(C353,"MMM")))</f>
        <v/>
      </c>
      <c r="O353">
        <f>IF($B353="","",IF(N353="Yes",IF(M353="Approved","✅ Compliant","⚠️ Pending"),"❌ Non-Compliant"))</f>
        <v/>
      </c>
    </row>
    <row r="354">
      <c r="A354">
        <f>IF($B354="","",ROW()-5)</f>
        <v/>
      </c>
      <c r="D354">
        <f>IF($B354="","",IF(C354="","",TEXT(C354,"MMM")))</f>
        <v/>
      </c>
      <c r="O354">
        <f>IF($B354="","",IF(N354="Yes",IF(M354="Approved","✅ Compliant","⚠️ Pending"),"❌ Non-Compliant"))</f>
        <v/>
      </c>
    </row>
    <row r="355">
      <c r="A355">
        <f>IF($B355="","",ROW()-5)</f>
        <v/>
      </c>
      <c r="D355">
        <f>IF($B355="","",IF(C355="","",TEXT(C355,"MMM")))</f>
        <v/>
      </c>
      <c r="O355">
        <f>IF($B355="","",IF(N355="Yes",IF(M355="Approved","✅ Compliant","⚠️ Pending"),"❌ Non-Compliant"))</f>
        <v/>
      </c>
    </row>
    <row r="356">
      <c r="A356">
        <f>IF($B356="","",ROW()-5)</f>
        <v/>
      </c>
      <c r="D356">
        <f>IF($B356="","",IF(C356="","",TEXT(C356,"MMM")))</f>
        <v/>
      </c>
      <c r="O356">
        <f>IF($B356="","",IF(N356="Yes",IF(M356="Approved","✅ Compliant","⚠️ Pending"),"❌ Non-Compliant"))</f>
        <v/>
      </c>
    </row>
    <row r="357">
      <c r="A357">
        <f>IF($B357="","",ROW()-5)</f>
        <v/>
      </c>
      <c r="D357">
        <f>IF($B357="","",IF(C357="","",TEXT(C357,"MMM")))</f>
        <v/>
      </c>
      <c r="O357">
        <f>IF($B357="","",IF(N357="Yes",IF(M357="Approved","✅ Compliant","⚠️ Pending"),"❌ Non-Compliant"))</f>
        <v/>
      </c>
    </row>
    <row r="358">
      <c r="A358">
        <f>IF($B358="","",ROW()-5)</f>
        <v/>
      </c>
      <c r="D358">
        <f>IF($B358="","",IF(C358="","",TEXT(C358,"MMM")))</f>
        <v/>
      </c>
      <c r="O358">
        <f>IF($B358="","",IF(N358="Yes",IF(M358="Approved","✅ Compliant","⚠️ Pending"),"❌ Non-Compliant"))</f>
        <v/>
      </c>
    </row>
    <row r="359">
      <c r="A359">
        <f>IF($B359="","",ROW()-5)</f>
        <v/>
      </c>
      <c r="D359">
        <f>IF($B359="","",IF(C359="","",TEXT(C359,"MMM")))</f>
        <v/>
      </c>
      <c r="O359">
        <f>IF($B359="","",IF(N359="Yes",IF(M359="Approved","✅ Compliant","⚠️ Pending"),"❌ Non-Compliant"))</f>
        <v/>
      </c>
    </row>
    <row r="360">
      <c r="A360">
        <f>IF($B360="","",ROW()-5)</f>
        <v/>
      </c>
      <c r="D360">
        <f>IF($B360="","",IF(C360="","",TEXT(C360,"MMM")))</f>
        <v/>
      </c>
      <c r="O360">
        <f>IF($B360="","",IF(N360="Yes",IF(M360="Approved","✅ Compliant","⚠️ Pending"),"❌ Non-Compliant"))</f>
        <v/>
      </c>
    </row>
    <row r="361">
      <c r="A361">
        <f>IF($B361="","",ROW()-5)</f>
        <v/>
      </c>
      <c r="D361">
        <f>IF($B361="","",IF(C361="","",TEXT(C361,"MMM")))</f>
        <v/>
      </c>
      <c r="O361">
        <f>IF($B361="","",IF(N361="Yes",IF(M361="Approved","✅ Compliant","⚠️ Pending"),"❌ Non-Compliant"))</f>
        <v/>
      </c>
    </row>
    <row r="362">
      <c r="A362">
        <f>IF($B362="","",ROW()-5)</f>
        <v/>
      </c>
      <c r="D362">
        <f>IF($B362="","",IF(C362="","",TEXT(C362,"MMM")))</f>
        <v/>
      </c>
      <c r="O362">
        <f>IF($B362="","",IF(N362="Yes",IF(M362="Approved","✅ Compliant","⚠️ Pending"),"❌ Non-Compliant"))</f>
        <v/>
      </c>
    </row>
    <row r="363">
      <c r="A363">
        <f>IF($B363="","",ROW()-5)</f>
        <v/>
      </c>
      <c r="D363">
        <f>IF($B363="","",IF(C363="","",TEXT(C363,"MMM")))</f>
        <v/>
      </c>
      <c r="O363">
        <f>IF($B363="","",IF(N363="Yes",IF(M363="Approved","✅ Compliant","⚠️ Pending"),"❌ Non-Compliant"))</f>
        <v/>
      </c>
    </row>
    <row r="364">
      <c r="A364">
        <f>IF($B364="","",ROW()-5)</f>
        <v/>
      </c>
      <c r="D364">
        <f>IF($B364="","",IF(C364="","",TEXT(C364,"MMM")))</f>
        <v/>
      </c>
      <c r="O364">
        <f>IF($B364="","",IF(N364="Yes",IF(M364="Approved","✅ Compliant","⚠️ Pending"),"❌ Non-Compliant"))</f>
        <v/>
      </c>
    </row>
    <row r="365">
      <c r="A365">
        <f>IF($B365="","",ROW()-5)</f>
        <v/>
      </c>
      <c r="D365">
        <f>IF($B365="","",IF(C365="","",TEXT(C365,"MMM")))</f>
        <v/>
      </c>
      <c r="O365">
        <f>IF($B365="","",IF(N365="Yes",IF(M365="Approved","✅ Compliant","⚠️ Pending"),"❌ Non-Compliant"))</f>
        <v/>
      </c>
    </row>
    <row r="366">
      <c r="A366">
        <f>IF($B366="","",ROW()-5)</f>
        <v/>
      </c>
      <c r="D366">
        <f>IF($B366="","",IF(C366="","",TEXT(C366,"MMM")))</f>
        <v/>
      </c>
      <c r="O366">
        <f>IF($B366="","",IF(N366="Yes",IF(M366="Approved","✅ Compliant","⚠️ Pending"),"❌ Non-Compliant"))</f>
        <v/>
      </c>
    </row>
    <row r="367">
      <c r="A367">
        <f>IF($B367="","",ROW()-5)</f>
        <v/>
      </c>
      <c r="D367">
        <f>IF($B367="","",IF(C367="","",TEXT(C367,"MMM")))</f>
        <v/>
      </c>
      <c r="O367">
        <f>IF($B367="","",IF(N367="Yes",IF(M367="Approved","✅ Compliant","⚠️ Pending"),"❌ Non-Compliant"))</f>
        <v/>
      </c>
    </row>
    <row r="368">
      <c r="A368">
        <f>IF($B368="","",ROW()-5)</f>
        <v/>
      </c>
      <c r="D368">
        <f>IF($B368="","",IF(C368="","",TEXT(C368,"MMM")))</f>
        <v/>
      </c>
      <c r="O368">
        <f>IF($B368="","",IF(N368="Yes",IF(M368="Approved","✅ Compliant","⚠️ Pending"),"❌ Non-Compliant"))</f>
        <v/>
      </c>
    </row>
    <row r="369">
      <c r="A369">
        <f>IF($B369="","",ROW()-5)</f>
        <v/>
      </c>
      <c r="D369">
        <f>IF($B369="","",IF(C369="","",TEXT(C369,"MMM")))</f>
        <v/>
      </c>
      <c r="O369">
        <f>IF($B369="","",IF(N369="Yes",IF(M369="Approved","✅ Compliant","⚠️ Pending"),"❌ Non-Compliant"))</f>
        <v/>
      </c>
    </row>
    <row r="370">
      <c r="A370">
        <f>IF($B370="","",ROW()-5)</f>
        <v/>
      </c>
      <c r="D370">
        <f>IF($B370="","",IF(C370="","",TEXT(C370,"MMM")))</f>
        <v/>
      </c>
      <c r="O370">
        <f>IF($B370="","",IF(N370="Yes",IF(M370="Approved","✅ Compliant","⚠️ Pending"),"❌ Non-Compliant"))</f>
        <v/>
      </c>
    </row>
    <row r="371">
      <c r="A371">
        <f>IF($B371="","",ROW()-5)</f>
        <v/>
      </c>
      <c r="D371">
        <f>IF($B371="","",IF(C371="","",TEXT(C371,"MMM")))</f>
        <v/>
      </c>
      <c r="O371">
        <f>IF($B371="","",IF(N371="Yes",IF(M371="Approved","✅ Compliant","⚠️ Pending"),"❌ Non-Compliant"))</f>
        <v/>
      </c>
    </row>
    <row r="372">
      <c r="A372">
        <f>IF($B372="","",ROW()-5)</f>
        <v/>
      </c>
      <c r="D372">
        <f>IF($B372="","",IF(C372="","",TEXT(C372,"MMM")))</f>
        <v/>
      </c>
      <c r="O372">
        <f>IF($B372="","",IF(N372="Yes",IF(M372="Approved","✅ Compliant","⚠️ Pending"),"❌ Non-Compliant"))</f>
        <v/>
      </c>
    </row>
    <row r="373">
      <c r="A373">
        <f>IF($B373="","",ROW()-5)</f>
        <v/>
      </c>
      <c r="D373">
        <f>IF($B373="","",IF(C373="","",TEXT(C373,"MMM")))</f>
        <v/>
      </c>
      <c r="O373">
        <f>IF($B373="","",IF(N373="Yes",IF(M373="Approved","✅ Compliant","⚠️ Pending"),"❌ Non-Compliant"))</f>
        <v/>
      </c>
    </row>
    <row r="374">
      <c r="A374">
        <f>IF($B374="","",ROW()-5)</f>
        <v/>
      </c>
      <c r="D374">
        <f>IF($B374="","",IF(C374="","",TEXT(C374,"MMM")))</f>
        <v/>
      </c>
      <c r="O374">
        <f>IF($B374="","",IF(N374="Yes",IF(M374="Approved","✅ Compliant","⚠️ Pending"),"❌ Non-Compliant"))</f>
        <v/>
      </c>
    </row>
    <row r="375">
      <c r="A375">
        <f>IF($B375="","",ROW()-5)</f>
        <v/>
      </c>
      <c r="D375">
        <f>IF($B375="","",IF(C375="","",TEXT(C375,"MMM")))</f>
        <v/>
      </c>
      <c r="O375">
        <f>IF($B375="","",IF(N375="Yes",IF(M375="Approved","✅ Compliant","⚠️ Pending"),"❌ Non-Compliant"))</f>
        <v/>
      </c>
    </row>
    <row r="376">
      <c r="A376">
        <f>IF($B376="","",ROW()-5)</f>
        <v/>
      </c>
      <c r="D376">
        <f>IF($B376="","",IF(C376="","",TEXT(C376,"MMM")))</f>
        <v/>
      </c>
      <c r="O376">
        <f>IF($B376="","",IF(N376="Yes",IF(M376="Approved","✅ Compliant","⚠️ Pending"),"❌ Non-Compliant"))</f>
        <v/>
      </c>
    </row>
    <row r="377">
      <c r="A377">
        <f>IF($B377="","",ROW()-5)</f>
        <v/>
      </c>
      <c r="D377">
        <f>IF($B377="","",IF(C377="","",TEXT(C377,"MMM")))</f>
        <v/>
      </c>
      <c r="O377">
        <f>IF($B377="","",IF(N377="Yes",IF(M377="Approved","✅ Compliant","⚠️ Pending"),"❌ Non-Compliant"))</f>
        <v/>
      </c>
    </row>
    <row r="378">
      <c r="A378">
        <f>IF($B378="","",ROW()-5)</f>
        <v/>
      </c>
      <c r="D378">
        <f>IF($B378="","",IF(C378="","",TEXT(C378,"MMM")))</f>
        <v/>
      </c>
      <c r="O378">
        <f>IF($B378="","",IF(N378="Yes",IF(M378="Approved","✅ Compliant","⚠️ Pending"),"❌ Non-Compliant"))</f>
        <v/>
      </c>
    </row>
    <row r="379">
      <c r="A379">
        <f>IF($B379="","",ROW()-5)</f>
        <v/>
      </c>
      <c r="D379">
        <f>IF($B379="","",IF(C379="","",TEXT(C379,"MMM")))</f>
        <v/>
      </c>
      <c r="O379">
        <f>IF($B379="","",IF(N379="Yes",IF(M379="Approved","✅ Compliant","⚠️ Pending"),"❌ Non-Compliant"))</f>
        <v/>
      </c>
    </row>
    <row r="380">
      <c r="A380">
        <f>IF($B380="","",ROW()-5)</f>
        <v/>
      </c>
      <c r="D380">
        <f>IF($B380="","",IF(C380="","",TEXT(C380,"MMM")))</f>
        <v/>
      </c>
      <c r="O380">
        <f>IF($B380="","",IF(N380="Yes",IF(M380="Approved","✅ Compliant","⚠️ Pending"),"❌ Non-Compliant"))</f>
        <v/>
      </c>
    </row>
    <row r="381">
      <c r="A381">
        <f>IF($B381="","",ROW()-5)</f>
        <v/>
      </c>
      <c r="D381">
        <f>IF($B381="","",IF(C381="","",TEXT(C381,"MMM")))</f>
        <v/>
      </c>
      <c r="O381">
        <f>IF($B381="","",IF(N381="Yes",IF(M381="Approved","✅ Compliant","⚠️ Pending"),"❌ Non-Compliant"))</f>
        <v/>
      </c>
    </row>
    <row r="382">
      <c r="A382">
        <f>IF($B382="","",ROW()-5)</f>
        <v/>
      </c>
      <c r="D382">
        <f>IF($B382="","",IF(C382="","",TEXT(C382,"MMM")))</f>
        <v/>
      </c>
      <c r="O382">
        <f>IF($B382="","",IF(N382="Yes",IF(M382="Approved","✅ Compliant","⚠️ Pending"),"❌ Non-Compliant"))</f>
        <v/>
      </c>
    </row>
    <row r="383">
      <c r="A383">
        <f>IF($B383="","",ROW()-5)</f>
        <v/>
      </c>
      <c r="D383">
        <f>IF($B383="","",IF(C383="","",TEXT(C383,"MMM")))</f>
        <v/>
      </c>
      <c r="O383">
        <f>IF($B383="","",IF(N383="Yes",IF(M383="Approved","✅ Compliant","⚠️ Pending"),"❌ Non-Compliant"))</f>
        <v/>
      </c>
    </row>
    <row r="384">
      <c r="A384">
        <f>IF($B384="","",ROW()-5)</f>
        <v/>
      </c>
      <c r="D384">
        <f>IF($B384="","",IF(C384="","",TEXT(C384,"MMM")))</f>
        <v/>
      </c>
      <c r="O384">
        <f>IF($B384="","",IF(N384="Yes",IF(M384="Approved","✅ Compliant","⚠️ Pending"),"❌ Non-Compliant"))</f>
        <v/>
      </c>
    </row>
    <row r="385">
      <c r="A385">
        <f>IF($B385="","",ROW()-5)</f>
        <v/>
      </c>
      <c r="D385">
        <f>IF($B385="","",IF(C385="","",TEXT(C385,"MMM")))</f>
        <v/>
      </c>
      <c r="O385">
        <f>IF($B385="","",IF(N385="Yes",IF(M385="Approved","✅ Compliant","⚠️ Pending"),"❌ Non-Compliant"))</f>
        <v/>
      </c>
    </row>
    <row r="386">
      <c r="A386">
        <f>IF($B386="","",ROW()-5)</f>
        <v/>
      </c>
      <c r="D386">
        <f>IF($B386="","",IF(C386="","",TEXT(C386,"MMM")))</f>
        <v/>
      </c>
      <c r="O386">
        <f>IF($B386="","",IF(N386="Yes",IF(M386="Approved","✅ Compliant","⚠️ Pending"),"❌ Non-Compliant"))</f>
        <v/>
      </c>
    </row>
    <row r="387">
      <c r="A387">
        <f>IF($B387="","",ROW()-5)</f>
        <v/>
      </c>
      <c r="D387">
        <f>IF($B387="","",IF(C387="","",TEXT(C387,"MMM")))</f>
        <v/>
      </c>
      <c r="O387">
        <f>IF($B387="","",IF(N387="Yes",IF(M387="Approved","✅ Compliant","⚠️ Pending"),"❌ Non-Compliant"))</f>
        <v/>
      </c>
    </row>
    <row r="388">
      <c r="A388">
        <f>IF($B388="","",ROW()-5)</f>
        <v/>
      </c>
      <c r="D388">
        <f>IF($B388="","",IF(C388="","",TEXT(C388,"MMM")))</f>
        <v/>
      </c>
      <c r="O388">
        <f>IF($B388="","",IF(N388="Yes",IF(M388="Approved","✅ Compliant","⚠️ Pending"),"❌ Non-Compliant"))</f>
        <v/>
      </c>
    </row>
    <row r="389">
      <c r="A389">
        <f>IF($B389="","",ROW()-5)</f>
        <v/>
      </c>
      <c r="D389">
        <f>IF($B389="","",IF(C389="","",TEXT(C389,"MMM")))</f>
        <v/>
      </c>
      <c r="O389">
        <f>IF($B389="","",IF(N389="Yes",IF(M389="Approved","✅ Compliant","⚠️ Pending"),"❌ Non-Compliant"))</f>
        <v/>
      </c>
    </row>
    <row r="390">
      <c r="A390">
        <f>IF($B390="","",ROW()-5)</f>
        <v/>
      </c>
      <c r="D390">
        <f>IF($B390="","",IF(C390="","",TEXT(C390,"MMM")))</f>
        <v/>
      </c>
      <c r="O390">
        <f>IF($B390="","",IF(N390="Yes",IF(M390="Approved","✅ Compliant","⚠️ Pending"),"❌ Non-Compliant"))</f>
        <v/>
      </c>
    </row>
    <row r="391">
      <c r="A391">
        <f>IF($B391="","",ROW()-5)</f>
        <v/>
      </c>
      <c r="D391">
        <f>IF($B391="","",IF(C391="","",TEXT(C391,"MMM")))</f>
        <v/>
      </c>
      <c r="O391">
        <f>IF($B391="","",IF(N391="Yes",IF(M391="Approved","✅ Compliant","⚠️ Pending"),"❌ Non-Compliant"))</f>
        <v/>
      </c>
    </row>
    <row r="392">
      <c r="A392">
        <f>IF($B392="","",ROW()-5)</f>
        <v/>
      </c>
      <c r="D392">
        <f>IF($B392="","",IF(C392="","",TEXT(C392,"MMM")))</f>
        <v/>
      </c>
      <c r="O392">
        <f>IF($B392="","",IF(N392="Yes",IF(M392="Approved","✅ Compliant","⚠️ Pending"),"❌ Non-Compliant"))</f>
        <v/>
      </c>
    </row>
    <row r="393">
      <c r="A393">
        <f>IF($B393="","",ROW()-5)</f>
        <v/>
      </c>
      <c r="D393">
        <f>IF($B393="","",IF(C393="","",TEXT(C393,"MMM")))</f>
        <v/>
      </c>
      <c r="O393">
        <f>IF($B393="","",IF(N393="Yes",IF(M393="Approved","✅ Compliant","⚠️ Pending"),"❌ Non-Compliant"))</f>
        <v/>
      </c>
    </row>
    <row r="394">
      <c r="A394">
        <f>IF($B394="","",ROW()-5)</f>
        <v/>
      </c>
      <c r="D394">
        <f>IF($B394="","",IF(C394="","",TEXT(C394,"MMM")))</f>
        <v/>
      </c>
      <c r="O394">
        <f>IF($B394="","",IF(N394="Yes",IF(M394="Approved","✅ Compliant","⚠️ Pending"),"❌ Non-Compliant"))</f>
        <v/>
      </c>
    </row>
    <row r="395">
      <c r="A395">
        <f>IF($B395="","",ROW()-5)</f>
        <v/>
      </c>
      <c r="D395">
        <f>IF($B395="","",IF(C395="","",TEXT(C395,"MMM")))</f>
        <v/>
      </c>
      <c r="O395">
        <f>IF($B395="","",IF(N395="Yes",IF(M395="Approved","✅ Compliant","⚠️ Pending"),"❌ Non-Compliant"))</f>
        <v/>
      </c>
    </row>
    <row r="396">
      <c r="A396">
        <f>IF($B396="","",ROW()-5)</f>
        <v/>
      </c>
      <c r="D396">
        <f>IF($B396="","",IF(C396="","",TEXT(C396,"MMM")))</f>
        <v/>
      </c>
      <c r="O396">
        <f>IF($B396="","",IF(N396="Yes",IF(M396="Approved","✅ Compliant","⚠️ Pending"),"❌ Non-Compliant"))</f>
        <v/>
      </c>
    </row>
    <row r="397">
      <c r="A397">
        <f>IF($B397="","",ROW()-5)</f>
        <v/>
      </c>
      <c r="D397">
        <f>IF($B397="","",IF(C397="","",TEXT(C397,"MMM")))</f>
        <v/>
      </c>
      <c r="O397">
        <f>IF($B397="","",IF(N397="Yes",IF(M397="Approved","✅ Compliant","⚠️ Pending"),"❌ Non-Compliant"))</f>
        <v/>
      </c>
    </row>
    <row r="398">
      <c r="A398">
        <f>IF($B398="","",ROW()-5)</f>
        <v/>
      </c>
      <c r="D398">
        <f>IF($B398="","",IF(C398="","",TEXT(C398,"MMM")))</f>
        <v/>
      </c>
      <c r="O398">
        <f>IF($B398="","",IF(N398="Yes",IF(M398="Approved","✅ Compliant","⚠️ Pending"),"❌ Non-Compliant"))</f>
        <v/>
      </c>
    </row>
    <row r="399">
      <c r="A399">
        <f>IF($B399="","",ROW()-5)</f>
        <v/>
      </c>
      <c r="D399">
        <f>IF($B399="","",IF(C399="","",TEXT(C399,"MMM")))</f>
        <v/>
      </c>
      <c r="O399">
        <f>IF($B399="","",IF(N399="Yes",IF(M399="Approved","✅ Compliant","⚠️ Pending"),"❌ Non-Compliant"))</f>
        <v/>
      </c>
    </row>
    <row r="400">
      <c r="A400">
        <f>IF($B400="","",ROW()-5)</f>
        <v/>
      </c>
      <c r="D400">
        <f>IF($B400="","",IF(C400="","",TEXT(C400,"MMM")))</f>
        <v/>
      </c>
      <c r="O400">
        <f>IF($B400="","",IF(N400="Yes",IF(M400="Approved","✅ Compliant","⚠️ Pending"),"❌ Non-Compliant"))</f>
        <v/>
      </c>
    </row>
    <row r="401">
      <c r="A401">
        <f>IF($B401="","",ROW()-5)</f>
        <v/>
      </c>
      <c r="D401">
        <f>IF($B401="","",IF(C401="","",TEXT(C401,"MMM")))</f>
        <v/>
      </c>
      <c r="O401">
        <f>IF($B401="","",IF(N401="Yes",IF(M401="Approved","✅ Compliant","⚠️ Pending"),"❌ Non-Compliant"))</f>
        <v/>
      </c>
    </row>
    <row r="402">
      <c r="A402">
        <f>IF($B402="","",ROW()-5)</f>
        <v/>
      </c>
      <c r="D402">
        <f>IF($B402="","",IF(C402="","",TEXT(C402,"MMM")))</f>
        <v/>
      </c>
      <c r="O402">
        <f>IF($B402="","",IF(N402="Yes",IF(M402="Approved","✅ Compliant","⚠️ Pending"),"❌ Non-Compliant"))</f>
        <v/>
      </c>
    </row>
    <row r="403">
      <c r="A403">
        <f>IF($B403="","",ROW()-5)</f>
        <v/>
      </c>
      <c r="D403">
        <f>IF($B403="","",IF(C403="","",TEXT(C403,"MMM")))</f>
        <v/>
      </c>
      <c r="O403">
        <f>IF($B403="","",IF(N403="Yes",IF(M403="Approved","✅ Compliant","⚠️ Pending"),"❌ Non-Compliant"))</f>
        <v/>
      </c>
    </row>
    <row r="404">
      <c r="A404">
        <f>IF($B404="","",ROW()-5)</f>
        <v/>
      </c>
      <c r="D404">
        <f>IF($B404="","",IF(C404="","",TEXT(C404,"MMM")))</f>
        <v/>
      </c>
      <c r="O404">
        <f>IF($B404="","",IF(N404="Yes",IF(M404="Approved","✅ Compliant","⚠️ Pending"),"❌ Non-Compliant"))</f>
        <v/>
      </c>
    </row>
    <row r="405">
      <c r="A405">
        <f>IF($B405="","",ROW()-5)</f>
        <v/>
      </c>
      <c r="D405">
        <f>IF($B405="","",IF(C405="","",TEXT(C405,"MMM")))</f>
        <v/>
      </c>
      <c r="O405">
        <f>IF($B405="","",IF(N405="Yes",IF(M405="Approved","✅ Compliant","⚠️ Pending"),"❌ Non-Compliant"))</f>
        <v/>
      </c>
    </row>
    <row r="406">
      <c r="A406">
        <f>IF($B406="","",ROW()-5)</f>
        <v/>
      </c>
      <c r="D406">
        <f>IF($B406="","",IF(C406="","",TEXT(C406,"MMM")))</f>
        <v/>
      </c>
      <c r="O406">
        <f>IF($B406="","",IF(N406="Yes",IF(M406="Approved","✅ Compliant","⚠️ Pending"),"❌ Non-Compliant"))</f>
        <v/>
      </c>
    </row>
    <row r="407">
      <c r="A407">
        <f>IF($B407="","",ROW()-5)</f>
        <v/>
      </c>
      <c r="D407">
        <f>IF($B407="","",IF(C407="","",TEXT(C407,"MMM")))</f>
        <v/>
      </c>
      <c r="O407">
        <f>IF($B407="","",IF(N407="Yes",IF(M407="Approved","✅ Compliant","⚠️ Pending"),"❌ Non-Compliant"))</f>
        <v/>
      </c>
    </row>
    <row r="408">
      <c r="A408">
        <f>IF($B408="","",ROW()-5)</f>
        <v/>
      </c>
      <c r="D408">
        <f>IF($B408="","",IF(C408="","",TEXT(C408,"MMM")))</f>
        <v/>
      </c>
      <c r="O408">
        <f>IF($B408="","",IF(N408="Yes",IF(M408="Approved","✅ Compliant","⚠️ Pending"),"❌ Non-Compliant"))</f>
        <v/>
      </c>
    </row>
    <row r="409">
      <c r="A409">
        <f>IF($B409="","",ROW()-5)</f>
        <v/>
      </c>
      <c r="D409">
        <f>IF($B409="","",IF(C409="","",TEXT(C409,"MMM")))</f>
        <v/>
      </c>
      <c r="O409">
        <f>IF($B409="","",IF(N409="Yes",IF(M409="Approved","✅ Compliant","⚠️ Pending"),"❌ Non-Compliant"))</f>
        <v/>
      </c>
    </row>
    <row r="410">
      <c r="A410">
        <f>IF($B410="","",ROW()-5)</f>
        <v/>
      </c>
      <c r="D410">
        <f>IF($B410="","",IF(C410="","",TEXT(C410,"MMM")))</f>
        <v/>
      </c>
      <c r="O410">
        <f>IF($B410="","",IF(N410="Yes",IF(M410="Approved","✅ Compliant","⚠️ Pending"),"❌ Non-Compliant"))</f>
        <v/>
      </c>
    </row>
    <row r="411">
      <c r="A411">
        <f>IF($B411="","",ROW()-5)</f>
        <v/>
      </c>
      <c r="D411">
        <f>IF($B411="","",IF(C411="","",TEXT(C411,"MMM")))</f>
        <v/>
      </c>
      <c r="O411">
        <f>IF($B411="","",IF(N411="Yes",IF(M411="Approved","✅ Compliant","⚠️ Pending"),"❌ Non-Compliant"))</f>
        <v/>
      </c>
    </row>
    <row r="412">
      <c r="A412">
        <f>IF($B412="","",ROW()-5)</f>
        <v/>
      </c>
      <c r="D412">
        <f>IF($B412="","",IF(C412="","",TEXT(C412,"MMM")))</f>
        <v/>
      </c>
      <c r="O412">
        <f>IF($B412="","",IF(N412="Yes",IF(M412="Approved","✅ Compliant","⚠️ Pending"),"❌ Non-Compliant"))</f>
        <v/>
      </c>
    </row>
    <row r="413">
      <c r="A413">
        <f>IF($B413="","",ROW()-5)</f>
        <v/>
      </c>
      <c r="D413">
        <f>IF($B413="","",IF(C413="","",TEXT(C413,"MMM")))</f>
        <v/>
      </c>
      <c r="O413">
        <f>IF($B413="","",IF(N413="Yes",IF(M413="Approved","✅ Compliant","⚠️ Pending"),"❌ Non-Compliant"))</f>
        <v/>
      </c>
    </row>
    <row r="414">
      <c r="A414">
        <f>IF($B414="","",ROW()-5)</f>
        <v/>
      </c>
      <c r="D414">
        <f>IF($B414="","",IF(C414="","",TEXT(C414,"MMM")))</f>
        <v/>
      </c>
      <c r="O414">
        <f>IF($B414="","",IF(N414="Yes",IF(M414="Approved","✅ Compliant","⚠️ Pending"),"❌ Non-Compliant"))</f>
        <v/>
      </c>
    </row>
    <row r="415">
      <c r="A415">
        <f>IF($B415="","",ROW()-5)</f>
        <v/>
      </c>
      <c r="D415">
        <f>IF($B415="","",IF(C415="","",TEXT(C415,"MMM")))</f>
        <v/>
      </c>
      <c r="O415">
        <f>IF($B415="","",IF(N415="Yes",IF(M415="Approved","✅ Compliant","⚠️ Pending"),"❌ Non-Compliant"))</f>
        <v/>
      </c>
    </row>
    <row r="416">
      <c r="A416">
        <f>IF($B416="","",ROW()-5)</f>
        <v/>
      </c>
      <c r="D416">
        <f>IF($B416="","",IF(C416="","",TEXT(C416,"MMM")))</f>
        <v/>
      </c>
      <c r="O416">
        <f>IF($B416="","",IF(N416="Yes",IF(M416="Approved","✅ Compliant","⚠️ Pending"),"❌ Non-Compliant"))</f>
        <v/>
      </c>
    </row>
    <row r="417">
      <c r="A417">
        <f>IF($B417="","",ROW()-5)</f>
        <v/>
      </c>
      <c r="D417">
        <f>IF($B417="","",IF(C417="","",TEXT(C417,"MMM")))</f>
        <v/>
      </c>
      <c r="O417">
        <f>IF($B417="","",IF(N417="Yes",IF(M417="Approved","✅ Compliant","⚠️ Pending"),"❌ Non-Compliant"))</f>
        <v/>
      </c>
    </row>
    <row r="418">
      <c r="A418">
        <f>IF($B418="","",ROW()-5)</f>
        <v/>
      </c>
      <c r="D418">
        <f>IF($B418="","",IF(C418="","",TEXT(C418,"MMM")))</f>
        <v/>
      </c>
      <c r="O418">
        <f>IF($B418="","",IF(N418="Yes",IF(M418="Approved","✅ Compliant","⚠️ Pending"),"❌ Non-Compliant"))</f>
        <v/>
      </c>
    </row>
    <row r="419">
      <c r="A419">
        <f>IF($B419="","",ROW()-5)</f>
        <v/>
      </c>
      <c r="D419">
        <f>IF($B419="","",IF(C419="","",TEXT(C419,"MMM")))</f>
        <v/>
      </c>
      <c r="O419">
        <f>IF($B419="","",IF(N419="Yes",IF(M419="Approved","✅ Compliant","⚠️ Pending"),"❌ Non-Compliant"))</f>
        <v/>
      </c>
    </row>
    <row r="420">
      <c r="A420">
        <f>IF($B420="","",ROW()-5)</f>
        <v/>
      </c>
      <c r="D420">
        <f>IF($B420="","",IF(C420="","",TEXT(C420,"MMM")))</f>
        <v/>
      </c>
      <c r="O420">
        <f>IF($B420="","",IF(N420="Yes",IF(M420="Approved","✅ Compliant","⚠️ Pending"),"❌ Non-Compliant"))</f>
        <v/>
      </c>
    </row>
    <row r="421">
      <c r="A421">
        <f>IF($B421="","",ROW()-5)</f>
        <v/>
      </c>
      <c r="D421">
        <f>IF($B421="","",IF(C421="","",TEXT(C421,"MMM")))</f>
        <v/>
      </c>
      <c r="O421">
        <f>IF($B421="","",IF(N421="Yes",IF(M421="Approved","✅ Compliant","⚠️ Pending"),"❌ Non-Compliant"))</f>
        <v/>
      </c>
    </row>
    <row r="422">
      <c r="A422">
        <f>IF($B422="","",ROW()-5)</f>
        <v/>
      </c>
      <c r="D422">
        <f>IF($B422="","",IF(C422="","",TEXT(C422,"MMM")))</f>
        <v/>
      </c>
      <c r="O422">
        <f>IF($B422="","",IF(N422="Yes",IF(M422="Approved","✅ Compliant","⚠️ Pending"),"❌ Non-Compliant"))</f>
        <v/>
      </c>
    </row>
    <row r="423">
      <c r="A423">
        <f>IF($B423="","",ROW()-5)</f>
        <v/>
      </c>
      <c r="D423">
        <f>IF($B423="","",IF(C423="","",TEXT(C423,"MMM")))</f>
        <v/>
      </c>
      <c r="O423">
        <f>IF($B423="","",IF(N423="Yes",IF(M423="Approved","✅ Compliant","⚠️ Pending"),"❌ Non-Compliant"))</f>
        <v/>
      </c>
    </row>
    <row r="424">
      <c r="A424">
        <f>IF($B424="","",ROW()-5)</f>
        <v/>
      </c>
      <c r="D424">
        <f>IF($B424="","",IF(C424="","",TEXT(C424,"MMM")))</f>
        <v/>
      </c>
      <c r="O424">
        <f>IF($B424="","",IF(N424="Yes",IF(M424="Approved","✅ Compliant","⚠️ Pending"),"❌ Non-Compliant"))</f>
        <v/>
      </c>
    </row>
    <row r="425">
      <c r="A425">
        <f>IF($B425="","",ROW()-5)</f>
        <v/>
      </c>
      <c r="D425">
        <f>IF($B425="","",IF(C425="","",TEXT(C425,"MMM")))</f>
        <v/>
      </c>
      <c r="O425">
        <f>IF($B425="","",IF(N425="Yes",IF(M425="Approved","✅ Compliant","⚠️ Pending"),"❌ Non-Compliant"))</f>
        <v/>
      </c>
    </row>
    <row r="426">
      <c r="A426">
        <f>IF($B426="","",ROW()-5)</f>
        <v/>
      </c>
      <c r="D426">
        <f>IF($B426="","",IF(C426="","",TEXT(C426,"MMM")))</f>
        <v/>
      </c>
      <c r="O426">
        <f>IF($B426="","",IF(N426="Yes",IF(M426="Approved","✅ Compliant","⚠️ Pending"),"❌ Non-Compliant"))</f>
        <v/>
      </c>
    </row>
    <row r="427">
      <c r="A427">
        <f>IF($B427="","",ROW()-5)</f>
        <v/>
      </c>
      <c r="D427">
        <f>IF($B427="","",IF(C427="","",TEXT(C427,"MMM")))</f>
        <v/>
      </c>
      <c r="O427">
        <f>IF($B427="","",IF(N427="Yes",IF(M427="Approved","✅ Compliant","⚠️ Pending"),"❌ Non-Compliant"))</f>
        <v/>
      </c>
    </row>
    <row r="428">
      <c r="A428">
        <f>IF($B428="","",ROW()-5)</f>
        <v/>
      </c>
      <c r="D428">
        <f>IF($B428="","",IF(C428="","",TEXT(C428,"MMM")))</f>
        <v/>
      </c>
      <c r="O428">
        <f>IF($B428="","",IF(N428="Yes",IF(M428="Approved","✅ Compliant","⚠️ Pending"),"❌ Non-Compliant"))</f>
        <v/>
      </c>
    </row>
    <row r="429">
      <c r="A429">
        <f>IF($B429="","",ROW()-5)</f>
        <v/>
      </c>
      <c r="D429">
        <f>IF($B429="","",IF(C429="","",TEXT(C429,"MMM")))</f>
        <v/>
      </c>
      <c r="O429">
        <f>IF($B429="","",IF(N429="Yes",IF(M429="Approved","✅ Compliant","⚠️ Pending"),"❌ Non-Compliant"))</f>
        <v/>
      </c>
    </row>
    <row r="430">
      <c r="A430">
        <f>IF($B430="","",ROW()-5)</f>
        <v/>
      </c>
      <c r="D430">
        <f>IF($B430="","",IF(C430="","",TEXT(C430,"MMM")))</f>
        <v/>
      </c>
      <c r="O430">
        <f>IF($B430="","",IF(N430="Yes",IF(M430="Approved","✅ Compliant","⚠️ Pending"),"❌ Non-Compliant"))</f>
        <v/>
      </c>
    </row>
    <row r="431">
      <c r="A431">
        <f>IF($B431="","",ROW()-5)</f>
        <v/>
      </c>
      <c r="D431">
        <f>IF($B431="","",IF(C431="","",TEXT(C431,"MMM")))</f>
        <v/>
      </c>
      <c r="O431">
        <f>IF($B431="","",IF(N431="Yes",IF(M431="Approved","✅ Compliant","⚠️ Pending"),"❌ Non-Compliant"))</f>
        <v/>
      </c>
    </row>
    <row r="432">
      <c r="A432">
        <f>IF($B432="","",ROW()-5)</f>
        <v/>
      </c>
      <c r="D432">
        <f>IF($B432="","",IF(C432="","",TEXT(C432,"MMM")))</f>
        <v/>
      </c>
      <c r="O432">
        <f>IF($B432="","",IF(N432="Yes",IF(M432="Approved","✅ Compliant","⚠️ Pending"),"❌ Non-Compliant"))</f>
        <v/>
      </c>
    </row>
    <row r="433">
      <c r="A433">
        <f>IF($B433="","",ROW()-5)</f>
        <v/>
      </c>
      <c r="D433">
        <f>IF($B433="","",IF(C433="","",TEXT(C433,"MMM")))</f>
        <v/>
      </c>
      <c r="O433">
        <f>IF($B433="","",IF(N433="Yes",IF(M433="Approved","✅ Compliant","⚠️ Pending"),"❌ Non-Compliant"))</f>
        <v/>
      </c>
    </row>
    <row r="434">
      <c r="A434">
        <f>IF($B434="","",ROW()-5)</f>
        <v/>
      </c>
      <c r="D434">
        <f>IF($B434="","",IF(C434="","",TEXT(C434,"MMM")))</f>
        <v/>
      </c>
      <c r="O434">
        <f>IF($B434="","",IF(N434="Yes",IF(M434="Approved","✅ Compliant","⚠️ Pending"),"❌ Non-Compliant"))</f>
        <v/>
      </c>
    </row>
    <row r="435">
      <c r="A435">
        <f>IF($B435="","",ROW()-5)</f>
        <v/>
      </c>
      <c r="D435">
        <f>IF($B435="","",IF(C435="","",TEXT(C435,"MMM")))</f>
        <v/>
      </c>
      <c r="O435">
        <f>IF($B435="","",IF(N435="Yes",IF(M435="Approved","✅ Compliant","⚠️ Pending"),"❌ Non-Compliant"))</f>
        <v/>
      </c>
    </row>
    <row r="436">
      <c r="A436">
        <f>IF($B436="","",ROW()-5)</f>
        <v/>
      </c>
      <c r="D436">
        <f>IF($B436="","",IF(C436="","",TEXT(C436,"MMM")))</f>
        <v/>
      </c>
      <c r="O436">
        <f>IF($B436="","",IF(N436="Yes",IF(M436="Approved","✅ Compliant","⚠️ Pending"),"❌ Non-Compliant"))</f>
        <v/>
      </c>
    </row>
    <row r="437">
      <c r="A437">
        <f>IF($B437="","",ROW()-5)</f>
        <v/>
      </c>
      <c r="D437">
        <f>IF($B437="","",IF(C437="","",TEXT(C437,"MMM")))</f>
        <v/>
      </c>
      <c r="O437">
        <f>IF($B437="","",IF(N437="Yes",IF(M437="Approved","✅ Compliant","⚠️ Pending"),"❌ Non-Compliant"))</f>
        <v/>
      </c>
    </row>
    <row r="438">
      <c r="A438">
        <f>IF($B438="","",ROW()-5)</f>
        <v/>
      </c>
      <c r="D438">
        <f>IF($B438="","",IF(C438="","",TEXT(C438,"MMM")))</f>
        <v/>
      </c>
      <c r="O438">
        <f>IF($B438="","",IF(N438="Yes",IF(M438="Approved","✅ Compliant","⚠️ Pending"),"❌ Non-Compliant"))</f>
        <v/>
      </c>
    </row>
    <row r="439">
      <c r="A439">
        <f>IF($B439="","",ROW()-5)</f>
        <v/>
      </c>
      <c r="D439">
        <f>IF($B439="","",IF(C439="","",TEXT(C439,"MMM")))</f>
        <v/>
      </c>
      <c r="O439">
        <f>IF($B439="","",IF(N439="Yes",IF(M439="Approved","✅ Compliant","⚠️ Pending"),"❌ Non-Compliant"))</f>
        <v/>
      </c>
    </row>
    <row r="440">
      <c r="A440">
        <f>IF($B440="","",ROW()-5)</f>
        <v/>
      </c>
      <c r="D440">
        <f>IF($B440="","",IF(C440="","",TEXT(C440,"MMM")))</f>
        <v/>
      </c>
      <c r="O440">
        <f>IF($B440="","",IF(N440="Yes",IF(M440="Approved","✅ Compliant","⚠️ Pending"),"❌ Non-Compliant"))</f>
        <v/>
      </c>
    </row>
    <row r="441">
      <c r="A441">
        <f>IF($B441="","",ROW()-5)</f>
        <v/>
      </c>
      <c r="D441">
        <f>IF($B441="","",IF(C441="","",TEXT(C441,"MMM")))</f>
        <v/>
      </c>
      <c r="O441">
        <f>IF($B441="","",IF(N441="Yes",IF(M441="Approved","✅ Compliant","⚠️ Pending"),"❌ Non-Compliant"))</f>
        <v/>
      </c>
    </row>
    <row r="442">
      <c r="A442">
        <f>IF($B442="","",ROW()-5)</f>
        <v/>
      </c>
      <c r="D442">
        <f>IF($B442="","",IF(C442="","",TEXT(C442,"MMM")))</f>
        <v/>
      </c>
      <c r="O442">
        <f>IF($B442="","",IF(N442="Yes",IF(M442="Approved","✅ Compliant","⚠️ Pending"),"❌ Non-Compliant"))</f>
        <v/>
      </c>
    </row>
    <row r="443">
      <c r="A443">
        <f>IF($B443="","",ROW()-5)</f>
        <v/>
      </c>
      <c r="D443">
        <f>IF($B443="","",IF(C443="","",TEXT(C443,"MMM")))</f>
        <v/>
      </c>
      <c r="O443">
        <f>IF($B443="","",IF(N443="Yes",IF(M443="Approved","✅ Compliant","⚠️ Pending"),"❌ Non-Compliant"))</f>
        <v/>
      </c>
    </row>
    <row r="444">
      <c r="A444">
        <f>IF($B444="","",ROW()-5)</f>
        <v/>
      </c>
      <c r="D444">
        <f>IF($B444="","",IF(C444="","",TEXT(C444,"MMM")))</f>
        <v/>
      </c>
      <c r="O444">
        <f>IF($B444="","",IF(N444="Yes",IF(M444="Approved","✅ Compliant","⚠️ Pending"),"❌ Non-Compliant"))</f>
        <v/>
      </c>
    </row>
    <row r="445">
      <c r="A445">
        <f>IF($B445="","",ROW()-5)</f>
        <v/>
      </c>
      <c r="D445">
        <f>IF($B445="","",IF(C445="","",TEXT(C445,"MMM")))</f>
        <v/>
      </c>
      <c r="O445">
        <f>IF($B445="","",IF(N445="Yes",IF(M445="Approved","✅ Compliant","⚠️ Pending"),"❌ Non-Compliant"))</f>
        <v/>
      </c>
    </row>
    <row r="446">
      <c r="A446">
        <f>IF($B446="","",ROW()-5)</f>
        <v/>
      </c>
      <c r="D446">
        <f>IF($B446="","",IF(C446="","",TEXT(C446,"MMM")))</f>
        <v/>
      </c>
      <c r="O446">
        <f>IF($B446="","",IF(N446="Yes",IF(M446="Approved","✅ Compliant","⚠️ Pending"),"❌ Non-Compliant"))</f>
        <v/>
      </c>
    </row>
    <row r="447">
      <c r="A447">
        <f>IF($B447="","",ROW()-5)</f>
        <v/>
      </c>
      <c r="D447">
        <f>IF($B447="","",IF(C447="","",TEXT(C447,"MMM")))</f>
        <v/>
      </c>
      <c r="O447">
        <f>IF($B447="","",IF(N447="Yes",IF(M447="Approved","✅ Compliant","⚠️ Pending"),"❌ Non-Compliant"))</f>
        <v/>
      </c>
    </row>
    <row r="448">
      <c r="A448">
        <f>IF($B448="","",ROW()-5)</f>
        <v/>
      </c>
      <c r="D448">
        <f>IF($B448="","",IF(C448="","",TEXT(C448,"MMM")))</f>
        <v/>
      </c>
      <c r="O448">
        <f>IF($B448="","",IF(N448="Yes",IF(M448="Approved","✅ Compliant","⚠️ Pending"),"❌ Non-Compliant"))</f>
        <v/>
      </c>
    </row>
    <row r="449">
      <c r="A449">
        <f>IF($B449="","",ROW()-5)</f>
        <v/>
      </c>
      <c r="D449">
        <f>IF($B449="","",IF(C449="","",TEXT(C449,"MMM")))</f>
        <v/>
      </c>
      <c r="O449">
        <f>IF($B449="","",IF(N449="Yes",IF(M449="Approved","✅ Compliant","⚠️ Pending"),"❌ Non-Compliant"))</f>
        <v/>
      </c>
    </row>
    <row r="450">
      <c r="A450">
        <f>IF($B450="","",ROW()-5)</f>
        <v/>
      </c>
      <c r="D450">
        <f>IF($B450="","",IF(C450="","",TEXT(C450,"MMM")))</f>
        <v/>
      </c>
      <c r="O450">
        <f>IF($B450="","",IF(N450="Yes",IF(M450="Approved","✅ Compliant","⚠️ Pending"),"❌ Non-Compliant"))</f>
        <v/>
      </c>
    </row>
    <row r="451">
      <c r="A451">
        <f>IF($B451="","",ROW()-5)</f>
        <v/>
      </c>
      <c r="D451">
        <f>IF($B451="","",IF(C451="","",TEXT(C451,"MMM")))</f>
        <v/>
      </c>
      <c r="O451">
        <f>IF($B451="","",IF(N451="Yes",IF(M451="Approved","✅ Compliant","⚠️ Pending"),"❌ Non-Compliant"))</f>
        <v/>
      </c>
    </row>
    <row r="452">
      <c r="A452">
        <f>IF($B452="","",ROW()-5)</f>
        <v/>
      </c>
      <c r="D452">
        <f>IF($B452="","",IF(C452="","",TEXT(C452,"MMM")))</f>
        <v/>
      </c>
      <c r="O452">
        <f>IF($B452="","",IF(N452="Yes",IF(M452="Approved","✅ Compliant","⚠️ Pending"),"❌ Non-Compliant"))</f>
        <v/>
      </c>
    </row>
    <row r="453">
      <c r="A453">
        <f>IF($B453="","",ROW()-5)</f>
        <v/>
      </c>
      <c r="D453">
        <f>IF($B453="","",IF(C453="","",TEXT(C453,"MMM")))</f>
        <v/>
      </c>
      <c r="O453">
        <f>IF($B453="","",IF(N453="Yes",IF(M453="Approved","✅ Compliant","⚠️ Pending"),"❌ Non-Compliant"))</f>
        <v/>
      </c>
    </row>
    <row r="454">
      <c r="A454">
        <f>IF($B454="","",ROW()-5)</f>
        <v/>
      </c>
      <c r="D454">
        <f>IF($B454="","",IF(C454="","",TEXT(C454,"MMM")))</f>
        <v/>
      </c>
      <c r="O454">
        <f>IF($B454="","",IF(N454="Yes",IF(M454="Approved","✅ Compliant","⚠️ Pending"),"❌ Non-Compliant"))</f>
        <v/>
      </c>
    </row>
    <row r="455">
      <c r="A455">
        <f>IF($B455="","",ROW()-5)</f>
        <v/>
      </c>
      <c r="D455">
        <f>IF($B455="","",IF(C455="","",TEXT(C455,"MMM")))</f>
        <v/>
      </c>
      <c r="O455">
        <f>IF($B455="","",IF(N455="Yes",IF(M455="Approved","✅ Compliant","⚠️ Pending"),"❌ Non-Compliant"))</f>
        <v/>
      </c>
    </row>
    <row r="456">
      <c r="A456">
        <f>IF($B456="","",ROW()-5)</f>
        <v/>
      </c>
      <c r="D456">
        <f>IF($B456="","",IF(C456="","",TEXT(C456,"MMM")))</f>
        <v/>
      </c>
      <c r="O456">
        <f>IF($B456="","",IF(N456="Yes",IF(M456="Approved","✅ Compliant","⚠️ Pending"),"❌ Non-Compliant"))</f>
        <v/>
      </c>
    </row>
    <row r="457">
      <c r="A457">
        <f>IF($B457="","",ROW()-5)</f>
        <v/>
      </c>
      <c r="D457">
        <f>IF($B457="","",IF(C457="","",TEXT(C457,"MMM")))</f>
        <v/>
      </c>
      <c r="O457">
        <f>IF($B457="","",IF(N457="Yes",IF(M457="Approved","✅ Compliant","⚠️ Pending"),"❌ Non-Compliant"))</f>
        <v/>
      </c>
    </row>
    <row r="458">
      <c r="A458">
        <f>IF($B458="","",ROW()-5)</f>
        <v/>
      </c>
      <c r="D458">
        <f>IF($B458="","",IF(C458="","",TEXT(C458,"MMM")))</f>
        <v/>
      </c>
      <c r="O458">
        <f>IF($B458="","",IF(N458="Yes",IF(M458="Approved","✅ Compliant","⚠️ Pending"),"❌ Non-Compliant"))</f>
        <v/>
      </c>
    </row>
    <row r="459">
      <c r="A459">
        <f>IF($B459="","",ROW()-5)</f>
        <v/>
      </c>
      <c r="D459">
        <f>IF($B459="","",IF(C459="","",TEXT(C459,"MMM")))</f>
        <v/>
      </c>
      <c r="O459">
        <f>IF($B459="","",IF(N459="Yes",IF(M459="Approved","✅ Compliant","⚠️ Pending"),"❌ Non-Compliant"))</f>
        <v/>
      </c>
    </row>
    <row r="460">
      <c r="A460">
        <f>IF($B460="","",ROW()-5)</f>
        <v/>
      </c>
      <c r="D460">
        <f>IF($B460="","",IF(C460="","",TEXT(C460,"MMM")))</f>
        <v/>
      </c>
      <c r="O460">
        <f>IF($B460="","",IF(N460="Yes",IF(M460="Approved","✅ Compliant","⚠️ Pending"),"❌ Non-Compliant"))</f>
        <v/>
      </c>
    </row>
    <row r="461">
      <c r="A461">
        <f>IF($B461="","",ROW()-5)</f>
        <v/>
      </c>
      <c r="D461">
        <f>IF($B461="","",IF(C461="","",TEXT(C461,"MMM")))</f>
        <v/>
      </c>
      <c r="O461">
        <f>IF($B461="","",IF(N461="Yes",IF(M461="Approved","✅ Compliant","⚠️ Pending"),"❌ Non-Compliant"))</f>
        <v/>
      </c>
    </row>
    <row r="462">
      <c r="A462">
        <f>IF($B462="","",ROW()-5)</f>
        <v/>
      </c>
      <c r="D462">
        <f>IF($B462="","",IF(C462="","",TEXT(C462,"MMM")))</f>
        <v/>
      </c>
      <c r="O462">
        <f>IF($B462="","",IF(N462="Yes",IF(M462="Approved","✅ Compliant","⚠️ Pending"),"❌ Non-Compliant"))</f>
        <v/>
      </c>
    </row>
    <row r="463">
      <c r="A463">
        <f>IF($B463="","",ROW()-5)</f>
        <v/>
      </c>
      <c r="D463">
        <f>IF($B463="","",IF(C463="","",TEXT(C463,"MMM")))</f>
        <v/>
      </c>
      <c r="O463">
        <f>IF($B463="","",IF(N463="Yes",IF(M463="Approved","✅ Compliant","⚠️ Pending"),"❌ Non-Compliant"))</f>
        <v/>
      </c>
    </row>
    <row r="464">
      <c r="A464">
        <f>IF($B464="","",ROW()-5)</f>
        <v/>
      </c>
      <c r="D464">
        <f>IF($B464="","",IF(C464="","",TEXT(C464,"MMM")))</f>
        <v/>
      </c>
      <c r="O464">
        <f>IF($B464="","",IF(N464="Yes",IF(M464="Approved","✅ Compliant","⚠️ Pending"),"❌ Non-Compliant"))</f>
        <v/>
      </c>
    </row>
    <row r="465">
      <c r="A465">
        <f>IF($B465="","",ROW()-5)</f>
        <v/>
      </c>
      <c r="D465">
        <f>IF($B465="","",IF(C465="","",TEXT(C465,"MMM")))</f>
        <v/>
      </c>
      <c r="O465">
        <f>IF($B465="","",IF(N465="Yes",IF(M465="Approved","✅ Compliant","⚠️ Pending"),"❌ Non-Compliant"))</f>
        <v/>
      </c>
    </row>
    <row r="466">
      <c r="A466">
        <f>IF($B466="","",ROW()-5)</f>
        <v/>
      </c>
      <c r="D466">
        <f>IF($B466="","",IF(C466="","",TEXT(C466,"MMM")))</f>
        <v/>
      </c>
      <c r="O466">
        <f>IF($B466="","",IF(N466="Yes",IF(M466="Approved","✅ Compliant","⚠️ Pending"),"❌ Non-Compliant"))</f>
        <v/>
      </c>
    </row>
    <row r="467">
      <c r="A467">
        <f>IF($B467="","",ROW()-5)</f>
        <v/>
      </c>
      <c r="D467">
        <f>IF($B467="","",IF(C467="","",TEXT(C467,"MMM")))</f>
        <v/>
      </c>
      <c r="O467">
        <f>IF($B467="","",IF(N467="Yes",IF(M467="Approved","✅ Compliant","⚠️ Pending"),"❌ Non-Compliant"))</f>
        <v/>
      </c>
    </row>
    <row r="468">
      <c r="A468">
        <f>IF($B468="","",ROW()-5)</f>
        <v/>
      </c>
      <c r="D468">
        <f>IF($B468="","",IF(C468="","",TEXT(C468,"MMM")))</f>
        <v/>
      </c>
      <c r="O468">
        <f>IF($B468="","",IF(N468="Yes",IF(M468="Approved","✅ Compliant","⚠️ Pending"),"❌ Non-Compliant"))</f>
        <v/>
      </c>
    </row>
    <row r="469">
      <c r="A469">
        <f>IF($B469="","",ROW()-5)</f>
        <v/>
      </c>
      <c r="D469">
        <f>IF($B469="","",IF(C469="","",TEXT(C469,"MMM")))</f>
        <v/>
      </c>
      <c r="O469">
        <f>IF($B469="","",IF(N469="Yes",IF(M469="Approved","✅ Compliant","⚠️ Pending"),"❌ Non-Compliant"))</f>
        <v/>
      </c>
    </row>
    <row r="470">
      <c r="A470">
        <f>IF($B470="","",ROW()-5)</f>
        <v/>
      </c>
      <c r="D470">
        <f>IF($B470="","",IF(C470="","",TEXT(C470,"MMM")))</f>
        <v/>
      </c>
      <c r="O470">
        <f>IF($B470="","",IF(N470="Yes",IF(M470="Approved","✅ Compliant","⚠️ Pending"),"❌ Non-Compliant"))</f>
        <v/>
      </c>
    </row>
    <row r="471">
      <c r="A471">
        <f>IF($B471="","",ROW()-5)</f>
        <v/>
      </c>
      <c r="D471">
        <f>IF($B471="","",IF(C471="","",TEXT(C471,"MMM")))</f>
        <v/>
      </c>
      <c r="O471">
        <f>IF($B471="","",IF(N471="Yes",IF(M471="Approved","✅ Compliant","⚠️ Pending"),"❌ Non-Compliant"))</f>
        <v/>
      </c>
    </row>
    <row r="472">
      <c r="A472">
        <f>IF($B472="","",ROW()-5)</f>
        <v/>
      </c>
      <c r="D472">
        <f>IF($B472="","",IF(C472="","",TEXT(C472,"MMM")))</f>
        <v/>
      </c>
      <c r="O472">
        <f>IF($B472="","",IF(N472="Yes",IF(M472="Approved","✅ Compliant","⚠️ Pending"),"❌ Non-Compliant"))</f>
        <v/>
      </c>
    </row>
    <row r="473">
      <c r="A473">
        <f>IF($B473="","",ROW()-5)</f>
        <v/>
      </c>
      <c r="D473">
        <f>IF($B473="","",IF(C473="","",TEXT(C473,"MMM")))</f>
        <v/>
      </c>
      <c r="O473">
        <f>IF($B473="","",IF(N473="Yes",IF(M473="Approved","✅ Compliant","⚠️ Pending"),"❌ Non-Compliant"))</f>
        <v/>
      </c>
    </row>
    <row r="474">
      <c r="A474">
        <f>IF($B474="","",ROW()-5)</f>
        <v/>
      </c>
      <c r="D474">
        <f>IF($B474="","",IF(C474="","",TEXT(C474,"MMM")))</f>
        <v/>
      </c>
      <c r="O474">
        <f>IF($B474="","",IF(N474="Yes",IF(M474="Approved","✅ Compliant","⚠️ Pending"),"❌ Non-Compliant"))</f>
        <v/>
      </c>
    </row>
    <row r="475">
      <c r="A475">
        <f>IF($B475="","",ROW()-5)</f>
        <v/>
      </c>
      <c r="D475">
        <f>IF($B475="","",IF(C475="","",TEXT(C475,"MMM")))</f>
        <v/>
      </c>
      <c r="O475">
        <f>IF($B475="","",IF(N475="Yes",IF(M475="Approved","✅ Compliant","⚠️ Pending"),"❌ Non-Compliant"))</f>
        <v/>
      </c>
    </row>
    <row r="476">
      <c r="A476">
        <f>IF($B476="","",ROW()-5)</f>
        <v/>
      </c>
      <c r="D476">
        <f>IF($B476="","",IF(C476="","",TEXT(C476,"MMM")))</f>
        <v/>
      </c>
      <c r="O476">
        <f>IF($B476="","",IF(N476="Yes",IF(M476="Approved","✅ Compliant","⚠️ Pending"),"❌ Non-Compliant"))</f>
        <v/>
      </c>
    </row>
    <row r="477">
      <c r="A477">
        <f>IF($B477="","",ROW()-5)</f>
        <v/>
      </c>
      <c r="D477">
        <f>IF($B477="","",IF(C477="","",TEXT(C477,"MMM")))</f>
        <v/>
      </c>
      <c r="O477">
        <f>IF($B477="","",IF(N477="Yes",IF(M477="Approved","✅ Compliant","⚠️ Pending"),"❌ Non-Compliant"))</f>
        <v/>
      </c>
    </row>
    <row r="478">
      <c r="A478">
        <f>IF($B478="","",ROW()-5)</f>
        <v/>
      </c>
      <c r="D478">
        <f>IF($B478="","",IF(C478="","",TEXT(C478,"MMM")))</f>
        <v/>
      </c>
      <c r="O478">
        <f>IF($B478="","",IF(N478="Yes",IF(M478="Approved","✅ Compliant","⚠️ Pending"),"❌ Non-Compliant"))</f>
        <v/>
      </c>
    </row>
    <row r="479">
      <c r="A479">
        <f>IF($B479="","",ROW()-5)</f>
        <v/>
      </c>
      <c r="D479">
        <f>IF($B479="","",IF(C479="","",TEXT(C479,"MMM")))</f>
        <v/>
      </c>
      <c r="O479">
        <f>IF($B479="","",IF(N479="Yes",IF(M479="Approved","✅ Compliant","⚠️ Pending"),"❌ Non-Compliant"))</f>
        <v/>
      </c>
    </row>
    <row r="480">
      <c r="A480">
        <f>IF($B480="","",ROW()-5)</f>
        <v/>
      </c>
      <c r="D480">
        <f>IF($B480="","",IF(C480="","",TEXT(C480,"MMM")))</f>
        <v/>
      </c>
      <c r="O480">
        <f>IF($B480="","",IF(N480="Yes",IF(M480="Approved","✅ Compliant","⚠️ Pending"),"❌ Non-Compliant"))</f>
        <v/>
      </c>
    </row>
    <row r="481">
      <c r="A481">
        <f>IF($B481="","",ROW()-5)</f>
        <v/>
      </c>
      <c r="D481">
        <f>IF($B481="","",IF(C481="","",TEXT(C481,"MMM")))</f>
        <v/>
      </c>
      <c r="O481">
        <f>IF($B481="","",IF(N481="Yes",IF(M481="Approved","✅ Compliant","⚠️ Pending"),"❌ Non-Compliant"))</f>
        <v/>
      </c>
    </row>
    <row r="482">
      <c r="A482">
        <f>IF($B482="","",ROW()-5)</f>
        <v/>
      </c>
      <c r="D482">
        <f>IF($B482="","",IF(C482="","",TEXT(C482,"MMM")))</f>
        <v/>
      </c>
      <c r="O482">
        <f>IF($B482="","",IF(N482="Yes",IF(M482="Approved","✅ Compliant","⚠️ Pending"),"❌ Non-Compliant"))</f>
        <v/>
      </c>
    </row>
    <row r="483">
      <c r="A483">
        <f>IF($B483="","",ROW()-5)</f>
        <v/>
      </c>
      <c r="D483">
        <f>IF($B483="","",IF(C483="","",TEXT(C483,"MMM")))</f>
        <v/>
      </c>
      <c r="O483">
        <f>IF($B483="","",IF(N483="Yes",IF(M483="Approved","✅ Compliant","⚠️ Pending"),"❌ Non-Compliant"))</f>
        <v/>
      </c>
    </row>
    <row r="484">
      <c r="A484">
        <f>IF($B484="","",ROW()-5)</f>
        <v/>
      </c>
      <c r="D484">
        <f>IF($B484="","",IF(C484="","",TEXT(C484,"MMM")))</f>
        <v/>
      </c>
      <c r="O484">
        <f>IF($B484="","",IF(N484="Yes",IF(M484="Approved","✅ Compliant","⚠️ Pending"),"❌ Non-Compliant"))</f>
        <v/>
      </c>
    </row>
    <row r="485">
      <c r="A485">
        <f>IF($B485="","",ROW()-5)</f>
        <v/>
      </c>
      <c r="D485">
        <f>IF($B485="","",IF(C485="","",TEXT(C485,"MMM")))</f>
        <v/>
      </c>
      <c r="O485">
        <f>IF($B485="","",IF(N485="Yes",IF(M485="Approved","✅ Compliant","⚠️ Pending"),"❌ Non-Compliant"))</f>
        <v/>
      </c>
    </row>
    <row r="486">
      <c r="A486">
        <f>IF($B486="","",ROW()-5)</f>
        <v/>
      </c>
      <c r="D486">
        <f>IF($B486="","",IF(C486="","",TEXT(C486,"MMM")))</f>
        <v/>
      </c>
      <c r="O486">
        <f>IF($B486="","",IF(N486="Yes",IF(M486="Approved","✅ Compliant","⚠️ Pending"),"❌ Non-Compliant"))</f>
        <v/>
      </c>
    </row>
    <row r="487">
      <c r="A487">
        <f>IF($B487="","",ROW()-5)</f>
        <v/>
      </c>
      <c r="D487">
        <f>IF($B487="","",IF(C487="","",TEXT(C487,"MMM")))</f>
        <v/>
      </c>
      <c r="O487">
        <f>IF($B487="","",IF(N487="Yes",IF(M487="Approved","✅ Compliant","⚠️ Pending"),"❌ Non-Compliant"))</f>
        <v/>
      </c>
    </row>
    <row r="488">
      <c r="A488">
        <f>IF($B488="","",ROW()-5)</f>
        <v/>
      </c>
      <c r="D488">
        <f>IF($B488="","",IF(C488="","",TEXT(C488,"MMM")))</f>
        <v/>
      </c>
      <c r="O488">
        <f>IF($B488="","",IF(N488="Yes",IF(M488="Approved","✅ Compliant","⚠️ Pending"),"❌ Non-Compliant"))</f>
        <v/>
      </c>
    </row>
    <row r="489">
      <c r="A489">
        <f>IF($B489="","",ROW()-5)</f>
        <v/>
      </c>
      <c r="D489">
        <f>IF($B489="","",IF(C489="","",TEXT(C489,"MMM")))</f>
        <v/>
      </c>
      <c r="O489">
        <f>IF($B489="","",IF(N489="Yes",IF(M489="Approved","✅ Compliant","⚠️ Pending"),"❌ Non-Compliant"))</f>
        <v/>
      </c>
    </row>
    <row r="490">
      <c r="A490">
        <f>IF($B490="","",ROW()-5)</f>
        <v/>
      </c>
      <c r="D490">
        <f>IF($B490="","",IF(C490="","",TEXT(C490,"MMM")))</f>
        <v/>
      </c>
      <c r="O490">
        <f>IF($B490="","",IF(N490="Yes",IF(M490="Approved","✅ Compliant","⚠️ Pending"),"❌ Non-Compliant"))</f>
        <v/>
      </c>
    </row>
    <row r="491">
      <c r="A491">
        <f>IF($B491="","",ROW()-5)</f>
        <v/>
      </c>
      <c r="D491">
        <f>IF($B491="","",IF(C491="","",TEXT(C491,"MMM")))</f>
        <v/>
      </c>
      <c r="O491">
        <f>IF($B491="","",IF(N491="Yes",IF(M491="Approved","✅ Compliant","⚠️ Pending"),"❌ Non-Compliant"))</f>
        <v/>
      </c>
    </row>
    <row r="492">
      <c r="A492">
        <f>IF($B492="","",ROW()-5)</f>
        <v/>
      </c>
      <c r="D492">
        <f>IF($B492="","",IF(C492="","",TEXT(C492,"MMM")))</f>
        <v/>
      </c>
      <c r="O492">
        <f>IF($B492="","",IF(N492="Yes",IF(M492="Approved","✅ Compliant","⚠️ Pending"),"❌ Non-Compliant"))</f>
        <v/>
      </c>
    </row>
    <row r="493">
      <c r="A493">
        <f>IF($B493="","",ROW()-5)</f>
        <v/>
      </c>
      <c r="D493">
        <f>IF($B493="","",IF(C493="","",TEXT(C493,"MMM")))</f>
        <v/>
      </c>
      <c r="O493">
        <f>IF($B493="","",IF(N493="Yes",IF(M493="Approved","✅ Compliant","⚠️ Pending"),"❌ Non-Compliant"))</f>
        <v/>
      </c>
    </row>
    <row r="494">
      <c r="A494">
        <f>IF($B494="","",ROW()-5)</f>
        <v/>
      </c>
      <c r="D494">
        <f>IF($B494="","",IF(C494="","",TEXT(C494,"MMM")))</f>
        <v/>
      </c>
      <c r="O494">
        <f>IF($B494="","",IF(N494="Yes",IF(M494="Approved","✅ Compliant","⚠️ Pending"),"❌ Non-Compliant"))</f>
        <v/>
      </c>
    </row>
    <row r="495">
      <c r="A495">
        <f>IF($B495="","",ROW()-5)</f>
        <v/>
      </c>
      <c r="D495">
        <f>IF($B495="","",IF(C495="","",TEXT(C495,"MMM")))</f>
        <v/>
      </c>
      <c r="O495">
        <f>IF($B495="","",IF(N495="Yes",IF(M495="Approved","✅ Compliant","⚠️ Pending"),"❌ Non-Compliant"))</f>
        <v/>
      </c>
    </row>
    <row r="496">
      <c r="A496">
        <f>IF($B496="","",ROW()-5)</f>
        <v/>
      </c>
      <c r="D496">
        <f>IF($B496="","",IF(C496="","",TEXT(C496,"MMM")))</f>
        <v/>
      </c>
      <c r="O496">
        <f>IF($B496="","",IF(N496="Yes",IF(M496="Approved","✅ Compliant","⚠️ Pending"),"❌ Non-Compliant"))</f>
        <v/>
      </c>
    </row>
    <row r="497">
      <c r="A497">
        <f>IF($B497="","",ROW()-5)</f>
        <v/>
      </c>
      <c r="D497">
        <f>IF($B497="","",IF(C497="","",TEXT(C497,"MMM")))</f>
        <v/>
      </c>
      <c r="O497">
        <f>IF($B497="","",IF(N497="Yes",IF(M497="Approved","✅ Compliant","⚠️ Pending"),"❌ Non-Compliant"))</f>
        <v/>
      </c>
    </row>
    <row r="498">
      <c r="A498">
        <f>IF($B498="","",ROW()-5)</f>
        <v/>
      </c>
      <c r="D498">
        <f>IF($B498="","",IF(C498="","",TEXT(C498,"MMM")))</f>
        <v/>
      </c>
      <c r="O498">
        <f>IF($B498="","",IF(N498="Yes",IF(M498="Approved","✅ Compliant","⚠️ Pending"),"❌ Non-Compliant"))</f>
        <v/>
      </c>
    </row>
    <row r="499">
      <c r="A499">
        <f>IF($B499="","",ROW()-5)</f>
        <v/>
      </c>
      <c r="D499">
        <f>IF($B499="","",IF(C499="","",TEXT(C499,"MMM")))</f>
        <v/>
      </c>
      <c r="O499">
        <f>IF($B499="","",IF(N499="Yes",IF(M499="Approved","✅ Compliant","⚠️ Pending"),"❌ Non-Compliant"))</f>
        <v/>
      </c>
    </row>
    <row r="500">
      <c r="A500">
        <f>IF($B500="","",ROW()-5)</f>
        <v/>
      </c>
      <c r="D500">
        <f>IF($B500="","",IF(C500="","",TEXT(C500,"MMM")))</f>
        <v/>
      </c>
      <c r="O500">
        <f>IF($B500="","",IF(N500="Yes",IF(M500="Approved","✅ Compliant","⚠️ Pending"),"❌ Non-Compliant"))</f>
        <v/>
      </c>
    </row>
    <row r="501">
      <c r="A501">
        <f>IF($B501="","",ROW()-5)</f>
        <v/>
      </c>
      <c r="D501">
        <f>IF($B501="","",IF(C501="","",TEXT(C501,"MMM")))</f>
        <v/>
      </c>
      <c r="O501">
        <f>IF($B501="","",IF(N501="Yes",IF(M501="Approved","✅ Compliant","⚠️ Pending"),"❌ Non-Compliant"))</f>
        <v/>
      </c>
    </row>
    <row r="502">
      <c r="A502">
        <f>IF($B502="","",ROW()-5)</f>
        <v/>
      </c>
      <c r="D502">
        <f>IF($B502="","",IF(C502="","",TEXT(C502,"MMM")))</f>
        <v/>
      </c>
      <c r="O502">
        <f>IF($B502="","",IF(N502="Yes",IF(M502="Approved","✅ Compliant","⚠️ Pending"),"❌ Non-Compliant"))</f>
        <v/>
      </c>
    </row>
    <row r="503">
      <c r="A503">
        <f>IF($B503="","",ROW()-5)</f>
        <v/>
      </c>
      <c r="D503">
        <f>IF($B503="","",IF(C503="","",TEXT(C503,"MMM")))</f>
        <v/>
      </c>
      <c r="O503">
        <f>IF($B503="","",IF(N503="Yes",IF(M503="Approved","✅ Compliant","⚠️ Pending"),"❌ Non-Compliant"))</f>
        <v/>
      </c>
    </row>
    <row r="504">
      <c r="A504">
        <f>IF($B504="","",ROW()-5)</f>
        <v/>
      </c>
      <c r="D504">
        <f>IF($B504="","",IF(C504="","",TEXT(C504,"MMM")))</f>
        <v/>
      </c>
      <c r="O504">
        <f>IF($B504="","",IF(N504="Yes",IF(M504="Approved","✅ Compliant","⚠️ Pending"),"❌ Non-Compliant"))</f>
        <v/>
      </c>
    </row>
    <row r="505">
      <c r="A505">
        <f>IF($B505="","",ROW()-5)</f>
        <v/>
      </c>
      <c r="D505">
        <f>IF($B505="","",IF(C505="","",TEXT(C505,"MMM")))</f>
        <v/>
      </c>
      <c r="O505">
        <f>IF($B505="","",IF(N505="Yes",IF(M505="Approved","✅ Compliant","⚠️ Pending"),"❌ Non-Compliant"))</f>
        <v/>
      </c>
    </row>
    <row r="506">
      <c r="A506">
        <f>IF($B506="","",ROW()-5)</f>
        <v/>
      </c>
      <c r="D506">
        <f>IF($B506="","",IF(C506="","",TEXT(C506,"MMM")))</f>
        <v/>
      </c>
      <c r="O506">
        <f>IF($B506="","",IF(N506="Yes",IF(M506="Approved","✅ Compliant","⚠️ Pending"),"❌ Non-Compliant"))</f>
        <v/>
      </c>
    </row>
  </sheetData>
  <autoFilter ref="A4:O23"/>
  <mergeCells count="7">
    <mergeCell ref="F3:G3"/>
    <mergeCell ref="J3:K3"/>
    <mergeCell ref="N3:O3"/>
    <mergeCell ref="A2:O2"/>
    <mergeCell ref="A3:D3"/>
    <mergeCell ref="A1:O1"/>
    <mergeCell ref="H3:I3"/>
  </mergeCells>
  <conditionalFormatting sqref="J6:J23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O6:O23">
    <cfRule type="cellIs" priority="5" operator="equal" dxfId="87">
      <formula>"Yes"</formula>
    </cfRule>
    <cfRule type="cellIs" priority="6" operator="equal" dxfId="86">
      <formula>"No"</formula>
    </cfRule>
  </conditionalFormatting>
  <dataValidations count="6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N6:N506" showDropDown="0" showInputMessage="0" showErrorMessage="0" allowBlank="1" type="list">
      <formula1>L_Action_Required</formula1>
      <formula2>0</formula2>
    </dataValidation>
    <dataValidation sqref="J6:J506" showDropDown="0" showInputMessage="0" showErrorMessage="0" allowBlank="1" type="list">
      <formula1>L_Risk_Level</formula1>
      <formula2>0</formula2>
    </dataValidation>
    <dataValidation sqref="L6:L506" showDropDown="0" showInputMessage="0" showErrorMessage="0" allowBlank="1" type="list">
      <formula1>L_Assessment_Type</formula1>
      <formula2>0</formula2>
    </dataValidation>
    <dataValidation sqref="M6:M506" showDropDown="0" showInputMessage="0" showErrorMessage="0" allowBlank="1" type="list">
      <formula1>L_Approval_Status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1B5E20"/>
    <outlinePr summaryBelow="1" summaryRight="1"/>
    <pageSetUpPr/>
  </sheetPr>
  <dimension ref="A1:P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8"/>
    <col width="12" customWidth="1" style="15" min="9" max="11"/>
    <col width="10" customWidth="1" style="15" min="12" max="13"/>
    <col width="12" customWidth="1" style="15" min="14" max="15"/>
    <col width="10" customWidth="1" style="15" min="16" max="16"/>
  </cols>
  <sheetData>
    <row r="1" ht="42" customHeight="1" s="15">
      <c r="A1" s="5" t="inlineStr">
        <is>
          <t>🎓  TRAINING — DATA ENTRY</t>
        </is>
      </c>
    </row>
    <row r="2" ht="21.75" customHeight="1" s="15">
      <c r="A2" s="4" t="inlineStr">
        <is>
          <t>🔵 Blue = User Input  |  ⚫ Gray = Auto-Calculated  |  Use dropdowns where available</t>
        </is>
      </c>
    </row>
    <row r="3" ht="19.5" customHeight="1" s="15">
      <c r="A3" s="18" t="inlineStr">
        <is>
          <t>IDENTIFICATION</t>
        </is>
      </c>
      <c r="E3" s="16" t="inlineStr">
        <is>
          <t>CONTENT</t>
        </is>
      </c>
      <c r="F3" s="39" t="inlineStr">
        <is>
          <t>CLASSIFICATION</t>
        </is>
      </c>
      <c r="G3" s="17" t="inlineStr">
        <is>
          <t>ORGANIZATIONAL</t>
        </is>
      </c>
      <c r="H3" s="40" t="inlineStr">
        <is>
          <t>PEOPLE</t>
        </is>
      </c>
      <c r="I3" s="18" t="inlineStr">
        <is>
          <t>CLASSIFICATION</t>
        </is>
      </c>
      <c r="J3" s="19" t="inlineStr">
        <is>
          <t>ATTENDANCE</t>
        </is>
      </c>
      <c r="M3" s="20" t="inlineStr">
        <is>
          <t>TIMING</t>
        </is>
      </c>
      <c r="N3" s="18" t="inlineStr">
        <is>
          <t>STATUS</t>
        </is>
      </c>
      <c r="O3" s="16" t="inlineStr">
        <is>
          <t>QUALITY</t>
        </is>
      </c>
      <c r="P3" s="39" t="inlineStr">
        <is>
          <t>COMPLIANCE</t>
        </is>
      </c>
    </row>
    <row r="4" ht="31.5" customHeight="1" s="15">
      <c r="A4" s="41" t="inlineStr">
        <is>
          <t>S.No</t>
        </is>
      </c>
      <c r="B4" s="41" t="inlineStr">
        <is>
          <t>Training ID</t>
        </is>
      </c>
      <c r="C4" s="41" t="inlineStr">
        <is>
          <t>Date</t>
        </is>
      </c>
      <c r="D4" s="41" t="inlineStr">
        <is>
          <t>Month</t>
        </is>
      </c>
      <c r="E4" s="41" t="inlineStr">
        <is>
          <t>Course Name</t>
        </is>
      </c>
      <c r="F4" s="41" t="inlineStr">
        <is>
          <t>Training Type</t>
        </is>
      </c>
      <c r="G4" s="41" t="inlineStr">
        <is>
          <t>Department</t>
        </is>
      </c>
      <c r="H4" s="41" t="inlineStr">
        <is>
          <t>Trainer</t>
        </is>
      </c>
      <c r="I4" s="41" t="inlineStr">
        <is>
          <t>Mode</t>
        </is>
      </c>
      <c r="J4" s="41" t="inlineStr">
        <is>
          <t>Target Attendees</t>
        </is>
      </c>
      <c r="K4" s="41" t="inlineStr">
        <is>
          <t>Actual Attendees</t>
        </is>
      </c>
      <c r="L4" s="41" t="inlineStr">
        <is>
          <t>Attendance %</t>
        </is>
      </c>
      <c r="M4" s="41" t="inlineStr">
        <is>
          <t>Duration (hrs)</t>
        </is>
      </c>
      <c r="N4" s="41" t="inlineStr">
        <is>
          <t>Status</t>
        </is>
      </c>
      <c r="O4" s="41" t="inlineStr">
        <is>
          <t>Assessment Result</t>
        </is>
      </c>
      <c r="P4" s="41" t="inlineStr">
        <is>
          <t>Certificate Issued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2" t="inlineStr">
        <is>
          <t>⚙️ AUTO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  <c r="P5" s="23" t="inlineStr">
        <is>
          <t>✏️ INPUT</t>
        </is>
      </c>
    </row>
    <row r="6" ht="15" customHeight="1" s="15">
      <c r="A6" s="24" t="n">
        <v>1</v>
      </c>
      <c r="B6" s="25" t="inlineStr">
        <is>
          <t>TRN-001</t>
        </is>
      </c>
      <c r="C6" s="26" t="n">
        <v>46366</v>
      </c>
      <c r="D6" s="24">
        <f>IF(C6="","",TEXT(C6,"MMM"))</f>
        <v/>
      </c>
      <c r="E6" s="27" t="inlineStr">
        <is>
          <t>Environmental</t>
        </is>
      </c>
      <c r="F6" s="28" t="inlineStr">
        <is>
          <t>Advanced</t>
        </is>
      </c>
      <c r="G6" s="28" t="inlineStr">
        <is>
          <t>Quality</t>
        </is>
      </c>
      <c r="H6" s="27" t="inlineStr">
        <is>
          <t>Fatima Al-Said</t>
        </is>
      </c>
      <c r="I6" s="28" t="inlineStr">
        <is>
          <t>On-the-Job</t>
        </is>
      </c>
      <c r="J6" s="29" t="n">
        <v>19</v>
      </c>
      <c r="K6" s="29" t="n">
        <v>25</v>
      </c>
      <c r="L6" s="30">
        <f>IF(J6=0,0,K6/J6)</f>
        <v/>
      </c>
      <c r="M6" s="42" t="n">
        <v>4</v>
      </c>
      <c r="N6" s="28" t="inlineStr">
        <is>
          <t>Completed</t>
        </is>
      </c>
      <c r="O6" s="28" t="inlineStr">
        <is>
          <t>Fail</t>
        </is>
      </c>
      <c r="P6" s="28" t="inlineStr">
        <is>
          <t>No</t>
        </is>
      </c>
    </row>
    <row r="7" ht="15" customHeight="1" s="15">
      <c r="A7" s="31" t="n">
        <v>2</v>
      </c>
      <c r="B7" s="32" t="inlineStr">
        <is>
          <t>TRN-002</t>
        </is>
      </c>
      <c r="C7" s="33" t="n">
        <v>46225</v>
      </c>
      <c r="D7" s="31">
        <f>IF(C7="","",TEXT(C7,"MMM"))</f>
        <v/>
      </c>
      <c r="E7" s="34" t="inlineStr">
        <is>
          <t>Confined Space</t>
        </is>
      </c>
      <c r="F7" s="35" t="inlineStr">
        <is>
          <t>Refresher</t>
        </is>
      </c>
      <c r="G7" s="35" t="inlineStr">
        <is>
          <t>Contractor</t>
        </is>
      </c>
      <c r="H7" s="34" t="inlineStr">
        <is>
          <t>Lisa Park</t>
        </is>
      </c>
      <c r="I7" s="35" t="inlineStr">
        <is>
          <t>Online</t>
        </is>
      </c>
      <c r="J7" s="36" t="n">
        <v>22</v>
      </c>
      <c r="K7" s="36" t="n">
        <v>25</v>
      </c>
      <c r="L7" s="37">
        <f>IF(J7=0,0,K7/J7)</f>
        <v/>
      </c>
      <c r="M7" s="43" t="n">
        <v>2</v>
      </c>
      <c r="N7" s="35" t="inlineStr">
        <is>
          <t>Completed</t>
        </is>
      </c>
      <c r="O7" s="35" t="inlineStr">
        <is>
          <t>Pass</t>
        </is>
      </c>
      <c r="P7" s="35" t="inlineStr">
        <is>
          <t>Yes</t>
        </is>
      </c>
    </row>
    <row r="8" ht="15" customHeight="1" s="15">
      <c r="A8" s="24" t="n">
        <v>3</v>
      </c>
      <c r="B8" s="25" t="inlineStr">
        <is>
          <t>TRN-003</t>
        </is>
      </c>
      <c r="C8" s="26" t="n">
        <v>46229</v>
      </c>
      <c r="D8" s="24">
        <f>IF(C8="","",TEXT(C8,"MMM"))</f>
        <v/>
      </c>
      <c r="E8" s="27" t="inlineStr">
        <is>
          <t>Incident Investigation</t>
        </is>
      </c>
      <c r="F8" s="28" t="inlineStr">
        <is>
          <t>Awareness</t>
        </is>
      </c>
      <c r="G8" s="28" t="inlineStr">
        <is>
          <t>Logistics</t>
        </is>
      </c>
      <c r="H8" s="27" t="inlineStr">
        <is>
          <t>Priya Sharma</t>
        </is>
      </c>
      <c r="I8" s="28" t="inlineStr">
        <is>
          <t>On-the-Job</t>
        </is>
      </c>
      <c r="J8" s="29" t="n">
        <v>24</v>
      </c>
      <c r="K8" s="29" t="n">
        <v>29</v>
      </c>
      <c r="L8" s="30">
        <f>IF(J8=0,0,K8/J8)</f>
        <v/>
      </c>
      <c r="M8" s="42" t="n">
        <v>4</v>
      </c>
      <c r="N8" s="28" t="inlineStr">
        <is>
          <t>Scheduled</t>
        </is>
      </c>
      <c r="O8" s="28" t="inlineStr">
        <is>
          <t>Fail</t>
        </is>
      </c>
      <c r="P8" s="28" t="inlineStr">
        <is>
          <t>No</t>
        </is>
      </c>
    </row>
    <row r="9" ht="15" customHeight="1" s="15">
      <c r="A9" s="31" t="n">
        <v>4</v>
      </c>
      <c r="B9" s="32" t="inlineStr">
        <is>
          <t>TRN-004</t>
        </is>
      </c>
      <c r="C9" s="33" t="n">
        <v>46103</v>
      </c>
      <c r="D9" s="31">
        <f>IF(C9="","",TEXT(C9,"MMM"))</f>
        <v/>
      </c>
      <c r="E9" s="34" t="inlineStr">
        <is>
          <t>Fire Fighting</t>
        </is>
      </c>
      <c r="F9" s="35" t="inlineStr">
        <is>
          <t>Advanced</t>
        </is>
      </c>
      <c r="G9" s="35" t="inlineStr">
        <is>
          <t>Projects</t>
        </is>
      </c>
      <c r="H9" s="34" t="inlineStr">
        <is>
          <t>Lisa Park</t>
        </is>
      </c>
      <c r="I9" s="35" t="inlineStr">
        <is>
          <t>Online</t>
        </is>
      </c>
      <c r="J9" s="36" t="n">
        <v>12</v>
      </c>
      <c r="K9" s="36" t="n">
        <v>15</v>
      </c>
      <c r="L9" s="37">
        <f>IF(J9=0,0,K9/J9)</f>
        <v/>
      </c>
      <c r="M9" s="43" t="n">
        <v>40</v>
      </c>
      <c r="N9" s="35" t="inlineStr">
        <is>
          <t>Completed</t>
        </is>
      </c>
      <c r="O9" s="35" t="inlineStr">
        <is>
          <t>Pass</t>
        </is>
      </c>
      <c r="P9" s="35" t="inlineStr">
        <is>
          <t>Yes</t>
        </is>
      </c>
    </row>
    <row r="10" ht="15" customHeight="1" s="15">
      <c r="A10" s="24" t="n">
        <v>5</v>
      </c>
      <c r="B10" s="25" t="inlineStr">
        <is>
          <t>TRN-005</t>
        </is>
      </c>
      <c r="C10" s="26" t="n">
        <v>46082</v>
      </c>
      <c r="D10" s="24">
        <f>IF(C10="","",TEXT(C10,"MMM"))</f>
        <v/>
      </c>
      <c r="E10" s="27" t="inlineStr">
        <is>
          <t>First Aid</t>
        </is>
      </c>
      <c r="F10" s="28" t="inlineStr">
        <is>
          <t>Refresher</t>
        </is>
      </c>
      <c r="G10" s="28" t="inlineStr">
        <is>
          <t>Admin</t>
        </is>
      </c>
      <c r="H10" s="27" t="inlineStr">
        <is>
          <t>Lisa Park</t>
        </is>
      </c>
      <c r="I10" s="28" t="inlineStr">
        <is>
          <t>Internal</t>
        </is>
      </c>
      <c r="J10" s="29" t="n">
        <v>24</v>
      </c>
      <c r="K10" s="29" t="n">
        <v>21</v>
      </c>
      <c r="L10" s="30">
        <f>IF(J10=0,0,K10/J10)</f>
        <v/>
      </c>
      <c r="M10" s="42" t="n">
        <v>40</v>
      </c>
      <c r="N10" s="28" t="inlineStr">
        <is>
          <t>Scheduled</t>
        </is>
      </c>
      <c r="O10" s="28" t="inlineStr">
        <is>
          <t>Pass</t>
        </is>
      </c>
      <c r="P10" s="28" t="inlineStr">
        <is>
          <t>No</t>
        </is>
      </c>
    </row>
    <row r="11" ht="15" customHeight="1" s="15">
      <c r="A11" s="31" t="n">
        <v>6</v>
      </c>
      <c r="B11" s="32" t="inlineStr">
        <is>
          <t>TRN-006</t>
        </is>
      </c>
      <c r="C11" s="33" t="n">
        <v>46369</v>
      </c>
      <c r="D11" s="31">
        <f>IF(C11="","",TEXT(C11,"MMM"))</f>
        <v/>
      </c>
      <c r="E11" s="34" t="inlineStr">
        <is>
          <t>Crane Safety</t>
        </is>
      </c>
      <c r="F11" s="35" t="inlineStr">
        <is>
          <t>Certification</t>
        </is>
      </c>
      <c r="G11" s="35" t="inlineStr">
        <is>
          <t>Construction</t>
        </is>
      </c>
      <c r="H11" s="34" t="inlineStr">
        <is>
          <t>Raj Patel</t>
        </is>
      </c>
      <c r="I11" s="35" t="inlineStr">
        <is>
          <t>Internal</t>
        </is>
      </c>
      <c r="J11" s="36" t="n">
        <v>13</v>
      </c>
      <c r="K11" s="36" t="n">
        <v>21</v>
      </c>
      <c r="L11" s="37">
        <f>IF(J11=0,0,K11/J11)</f>
        <v/>
      </c>
      <c r="M11" s="43" t="n">
        <v>4</v>
      </c>
      <c r="N11" s="35" t="inlineStr">
        <is>
          <t>Completed</t>
        </is>
      </c>
      <c r="O11" s="35" t="inlineStr">
        <is>
          <t>N/A</t>
        </is>
      </c>
      <c r="P11" s="35" t="inlineStr">
        <is>
          <t>Yes</t>
        </is>
      </c>
    </row>
    <row r="12" ht="15" customHeight="1" s="15">
      <c r="A12" s="24" t="n">
        <v>7</v>
      </c>
      <c r="B12" s="25" t="inlineStr">
        <is>
          <t>TRN-007</t>
        </is>
      </c>
      <c r="C12" s="26" t="n">
        <v>46040</v>
      </c>
      <c r="D12" s="24">
        <f>IF(C12="","",TEXT(C12,"MMM"))</f>
        <v/>
      </c>
      <c r="E12" s="27" t="inlineStr">
        <is>
          <t>Defensive Driving</t>
        </is>
      </c>
      <c r="F12" s="28" t="inlineStr">
        <is>
          <t>Induction</t>
        </is>
      </c>
      <c r="G12" s="28" t="inlineStr">
        <is>
          <t>Admin</t>
        </is>
      </c>
      <c r="H12" s="27" t="inlineStr">
        <is>
          <t>Raj Patel</t>
        </is>
      </c>
      <c r="I12" s="28" t="inlineStr">
        <is>
          <t>On-the-Job</t>
        </is>
      </c>
      <c r="J12" s="29" t="n">
        <v>26</v>
      </c>
      <c r="K12" s="29" t="n">
        <v>25</v>
      </c>
      <c r="L12" s="30">
        <f>IF(J12=0,0,K12/J12)</f>
        <v/>
      </c>
      <c r="M12" s="42" t="n">
        <v>24</v>
      </c>
      <c r="N12" s="28" t="inlineStr">
        <is>
          <t>Completed</t>
        </is>
      </c>
      <c r="O12" s="28" t="inlineStr">
        <is>
          <t>Fail</t>
        </is>
      </c>
      <c r="P12" s="28" t="inlineStr">
        <is>
          <t>No</t>
        </is>
      </c>
    </row>
    <row r="13" ht="15" customHeight="1" s="15">
      <c r="A13" s="31" t="n">
        <v>8</v>
      </c>
      <c r="B13" s="32" t="inlineStr">
        <is>
          <t>TRN-008</t>
        </is>
      </c>
      <c r="C13" s="33" t="n">
        <v>46373</v>
      </c>
      <c r="D13" s="31">
        <f>IF(C13="","",TEXT(C13,"MMM"))</f>
        <v/>
      </c>
      <c r="E13" s="34" t="inlineStr">
        <is>
          <t>Scaffold Safety</t>
        </is>
      </c>
      <c r="F13" s="35" t="inlineStr">
        <is>
          <t>Awareness</t>
        </is>
      </c>
      <c r="G13" s="35" t="inlineStr">
        <is>
          <t>Admin</t>
        </is>
      </c>
      <c r="H13" s="34" t="inlineStr">
        <is>
          <t>Raj Patel</t>
        </is>
      </c>
      <c r="I13" s="35" t="inlineStr">
        <is>
          <t>On-the-Job</t>
        </is>
      </c>
      <c r="J13" s="36" t="n">
        <v>24</v>
      </c>
      <c r="K13" s="36" t="n">
        <v>16</v>
      </c>
      <c r="L13" s="37">
        <f>IF(J13=0,0,K13/J13)</f>
        <v/>
      </c>
      <c r="M13" s="43" t="n">
        <v>4</v>
      </c>
      <c r="N13" s="35" t="inlineStr">
        <is>
          <t>Completed</t>
        </is>
      </c>
      <c r="O13" s="35" t="inlineStr">
        <is>
          <t>N/A</t>
        </is>
      </c>
      <c r="P13" s="35" t="inlineStr">
        <is>
          <t>Yes</t>
        </is>
      </c>
    </row>
    <row r="14" ht="15" customHeight="1" s="15">
      <c r="A14" s="24" t="n">
        <v>9</v>
      </c>
      <c r="B14" s="25" t="inlineStr">
        <is>
          <t>TRN-009</t>
        </is>
      </c>
      <c r="C14" s="26" t="n">
        <v>46334</v>
      </c>
      <c r="D14" s="24">
        <f>IF(C14="","",TEXT(C14,"MMM"))</f>
        <v/>
      </c>
      <c r="E14" s="27" t="inlineStr">
        <is>
          <t>PTW Training</t>
        </is>
      </c>
      <c r="F14" s="28" t="inlineStr">
        <is>
          <t>Certification</t>
        </is>
      </c>
      <c r="G14" s="28" t="inlineStr">
        <is>
          <t>Maintenance</t>
        </is>
      </c>
      <c r="H14" s="27" t="inlineStr">
        <is>
          <t>John Smith</t>
        </is>
      </c>
      <c r="I14" s="28" t="inlineStr">
        <is>
          <t>External</t>
        </is>
      </c>
      <c r="J14" s="29" t="n">
        <v>18</v>
      </c>
      <c r="K14" s="29" t="n">
        <v>18</v>
      </c>
      <c r="L14" s="30">
        <f>IF(J14=0,0,K14/J14)</f>
        <v/>
      </c>
      <c r="M14" s="42" t="n">
        <v>8</v>
      </c>
      <c r="N14" s="28" t="inlineStr">
        <is>
          <t>Scheduled</t>
        </is>
      </c>
      <c r="O14" s="28" t="inlineStr">
        <is>
          <t>Pass</t>
        </is>
      </c>
      <c r="P14" s="28" t="inlineStr">
        <is>
          <t>Yes</t>
        </is>
      </c>
    </row>
    <row r="15" ht="15" customHeight="1" s="15">
      <c r="A15" s="31" t="n">
        <v>10</v>
      </c>
      <c r="B15" s="32" t="inlineStr">
        <is>
          <t>TRN-010</t>
        </is>
      </c>
      <c r="C15" s="33" t="n">
        <v>46089</v>
      </c>
      <c r="D15" s="31">
        <f>IF(C15="","",TEXT(C15,"MMM"))</f>
        <v/>
      </c>
      <c r="E15" s="34" t="inlineStr">
        <is>
          <t>Scaffold Safety</t>
        </is>
      </c>
      <c r="F15" s="35" t="inlineStr">
        <is>
          <t>Competency</t>
        </is>
      </c>
      <c r="G15" s="35" t="inlineStr">
        <is>
          <t>Engineering</t>
        </is>
      </c>
      <c r="H15" s="34" t="inlineStr">
        <is>
          <t>Maria Garcia</t>
        </is>
      </c>
      <c r="I15" s="35" t="inlineStr">
        <is>
          <t>Internal</t>
        </is>
      </c>
      <c r="J15" s="36" t="n">
        <v>23</v>
      </c>
      <c r="K15" s="36" t="n">
        <v>21</v>
      </c>
      <c r="L15" s="37">
        <f>IF(J15=0,0,K15/J15)</f>
        <v/>
      </c>
      <c r="M15" s="43" t="n">
        <v>8</v>
      </c>
      <c r="N15" s="35" t="inlineStr">
        <is>
          <t>Scheduled</t>
        </is>
      </c>
      <c r="O15" s="35" t="inlineStr">
        <is>
          <t>Fail</t>
        </is>
      </c>
      <c r="P15" s="35" t="inlineStr">
        <is>
          <t>Yes</t>
        </is>
      </c>
    </row>
    <row r="16" ht="15" customHeight="1" s="15">
      <c r="A16" s="24" t="n">
        <v>11</v>
      </c>
      <c r="B16" s="25" t="inlineStr">
        <is>
          <t>TRN-011</t>
        </is>
      </c>
      <c r="C16" s="26" t="n">
        <v>46029</v>
      </c>
      <c r="D16" s="24">
        <f>IF(C16="","",TEXT(C16,"MMM"))</f>
        <v/>
      </c>
      <c r="E16" s="27" t="inlineStr">
        <is>
          <t>Scaffold Safety</t>
        </is>
      </c>
      <c r="F16" s="28" t="inlineStr">
        <is>
          <t>Certification</t>
        </is>
      </c>
      <c r="G16" s="28" t="inlineStr">
        <is>
          <t>Contractor</t>
        </is>
      </c>
      <c r="H16" s="27" t="inlineStr">
        <is>
          <t>Ahmed Khan</t>
        </is>
      </c>
      <c r="I16" s="28" t="inlineStr">
        <is>
          <t>On-the-Job</t>
        </is>
      </c>
      <c r="J16" s="29" t="n">
        <v>25</v>
      </c>
      <c r="K16" s="29" t="n">
        <v>8</v>
      </c>
      <c r="L16" s="30">
        <f>IF(J16=0,0,K16/J16)</f>
        <v/>
      </c>
      <c r="M16" s="42" t="n">
        <v>8</v>
      </c>
      <c r="N16" s="28" t="inlineStr">
        <is>
          <t>Completed</t>
        </is>
      </c>
      <c r="O16" s="28" t="inlineStr">
        <is>
          <t>Fail</t>
        </is>
      </c>
      <c r="P16" s="28" t="inlineStr">
        <is>
          <t>Yes</t>
        </is>
      </c>
    </row>
    <row r="17" ht="15" customHeight="1" s="15">
      <c r="A17" s="31" t="n">
        <v>12</v>
      </c>
      <c r="B17" s="32" t="inlineStr">
        <is>
          <t>TRN-012</t>
        </is>
      </c>
      <c r="C17" s="33" t="n">
        <v>46289</v>
      </c>
      <c r="D17" s="31">
        <f>IF(C17="","",TEXT(C17,"MMM"))</f>
        <v/>
      </c>
      <c r="E17" s="34" t="inlineStr">
        <is>
          <t>Confined Space</t>
        </is>
      </c>
      <c r="F17" s="35" t="inlineStr">
        <is>
          <t>Awareness</t>
        </is>
      </c>
      <c r="G17" s="35" t="inlineStr">
        <is>
          <t>Contractor</t>
        </is>
      </c>
      <c r="H17" s="34" t="inlineStr">
        <is>
          <t>Maria Garcia</t>
        </is>
      </c>
      <c r="I17" s="35" t="inlineStr">
        <is>
          <t>On-the-Job</t>
        </is>
      </c>
      <c r="J17" s="36" t="n">
        <v>17</v>
      </c>
      <c r="K17" s="36" t="n">
        <v>16</v>
      </c>
      <c r="L17" s="37">
        <f>IF(J17=0,0,K17/J17)</f>
        <v/>
      </c>
      <c r="M17" s="43" t="n">
        <v>16</v>
      </c>
      <c r="N17" s="35" t="inlineStr">
        <is>
          <t>In Progress</t>
        </is>
      </c>
      <c r="O17" s="35" t="inlineStr">
        <is>
          <t>Pass</t>
        </is>
      </c>
      <c r="P17" s="35" t="inlineStr">
        <is>
          <t>Yes</t>
        </is>
      </c>
    </row>
    <row r="18" ht="15" customHeight="1" s="15">
      <c r="A18" s="24" t="n">
        <v>13</v>
      </c>
      <c r="B18" s="25" t="inlineStr">
        <is>
          <t>TRN-013</t>
        </is>
      </c>
      <c r="C18" s="26" t="n">
        <v>46195</v>
      </c>
      <c r="D18" s="24">
        <f>IF(C18="","",TEXT(C18,"MMM"))</f>
        <v/>
      </c>
      <c r="E18" s="27" t="inlineStr">
        <is>
          <t>Emergency Response</t>
        </is>
      </c>
      <c r="F18" s="28" t="inlineStr">
        <is>
          <t>Certification</t>
        </is>
      </c>
      <c r="G18" s="28" t="inlineStr">
        <is>
          <t>Engineering</t>
        </is>
      </c>
      <c r="H18" s="27" t="inlineStr">
        <is>
          <t>Priya Sharma</t>
        </is>
      </c>
      <c r="I18" s="28" t="inlineStr">
        <is>
          <t>External</t>
        </is>
      </c>
      <c r="J18" s="29" t="n">
        <v>29</v>
      </c>
      <c r="K18" s="29" t="n">
        <v>25</v>
      </c>
      <c r="L18" s="30">
        <f>IF(J18=0,0,K18/J18)</f>
        <v/>
      </c>
      <c r="M18" s="42" t="n">
        <v>2</v>
      </c>
      <c r="N18" s="28" t="inlineStr">
        <is>
          <t>In Progress</t>
        </is>
      </c>
      <c r="O18" s="28" t="inlineStr">
        <is>
          <t>N/A</t>
        </is>
      </c>
      <c r="P18" s="28" t="inlineStr">
        <is>
          <t>No</t>
        </is>
      </c>
    </row>
    <row r="19" ht="15" customHeight="1" s="15">
      <c r="A19" s="31" t="n">
        <v>14</v>
      </c>
      <c r="B19" s="32" t="inlineStr">
        <is>
          <t>TRN-014</t>
        </is>
      </c>
      <c r="C19" s="33" t="n">
        <v>46327</v>
      </c>
      <c r="D19" s="31">
        <f>IF(C19="","",TEXT(C19,"MMM"))</f>
        <v/>
      </c>
      <c r="E19" s="34" t="inlineStr">
        <is>
          <t>Fire Fighting</t>
        </is>
      </c>
      <c r="F19" s="35" t="inlineStr">
        <is>
          <t>Competency</t>
        </is>
      </c>
      <c r="G19" s="35" t="inlineStr">
        <is>
          <t>Quality</t>
        </is>
      </c>
      <c r="H19" s="34" t="inlineStr">
        <is>
          <t>Raj Patel</t>
        </is>
      </c>
      <c r="I19" s="35" t="inlineStr">
        <is>
          <t>On-the-Job</t>
        </is>
      </c>
      <c r="J19" s="36" t="n">
        <v>15</v>
      </c>
      <c r="K19" s="36" t="n">
        <v>9</v>
      </c>
      <c r="L19" s="37">
        <f>IF(J19=0,0,K19/J19)</f>
        <v/>
      </c>
      <c r="M19" s="43" t="n">
        <v>8</v>
      </c>
      <c r="N19" s="35" t="inlineStr">
        <is>
          <t>In Progress</t>
        </is>
      </c>
      <c r="O19" s="35" t="inlineStr">
        <is>
          <t>Pass</t>
        </is>
      </c>
      <c r="P19" s="35" t="inlineStr">
        <is>
          <t>Yes</t>
        </is>
      </c>
    </row>
    <row r="20" ht="15" customHeight="1" s="15">
      <c r="A20" s="24" t="n">
        <v>15</v>
      </c>
      <c r="B20" s="25" t="inlineStr">
        <is>
          <t>TRN-015</t>
        </is>
      </c>
      <c r="C20" s="26" t="n">
        <v>46245</v>
      </c>
      <c r="D20" s="24">
        <f>IF(C20="","",TEXT(C20,"MMM"))</f>
        <v/>
      </c>
      <c r="E20" s="27" t="inlineStr">
        <is>
          <t>LOTO</t>
        </is>
      </c>
      <c r="F20" s="28" t="inlineStr">
        <is>
          <t>Certification</t>
        </is>
      </c>
      <c r="G20" s="28" t="inlineStr">
        <is>
          <t>Safety</t>
        </is>
      </c>
      <c r="H20" s="27" t="inlineStr">
        <is>
          <t>David Chen</t>
        </is>
      </c>
      <c r="I20" s="28" t="inlineStr">
        <is>
          <t>Online</t>
        </is>
      </c>
      <c r="J20" s="29" t="n">
        <v>12</v>
      </c>
      <c r="K20" s="29" t="n">
        <v>23</v>
      </c>
      <c r="L20" s="30">
        <f>IF(J20=0,0,K20/J20)</f>
        <v/>
      </c>
      <c r="M20" s="42" t="n">
        <v>2</v>
      </c>
      <c r="N20" s="28" t="inlineStr">
        <is>
          <t>Scheduled</t>
        </is>
      </c>
      <c r="O20" s="28" t="inlineStr">
        <is>
          <t>Pass</t>
        </is>
      </c>
      <c r="P20" s="28" t="inlineStr">
        <is>
          <t>Yes</t>
        </is>
      </c>
    </row>
    <row r="21" ht="15" customHeight="1" s="15">
      <c r="A21" s="31" t="n">
        <v>16</v>
      </c>
      <c r="B21" s="32" t="inlineStr">
        <is>
          <t>TRN-016</t>
        </is>
      </c>
      <c r="C21" s="33" t="n">
        <v>46133</v>
      </c>
      <c r="D21" s="31">
        <f>IF(C21="","",TEXT(C21,"MMM"))</f>
        <v/>
      </c>
      <c r="E21" s="34" t="inlineStr">
        <is>
          <t>Fire Fighting</t>
        </is>
      </c>
      <c r="F21" s="35" t="inlineStr">
        <is>
          <t>Competency</t>
        </is>
      </c>
      <c r="G21" s="35" t="inlineStr">
        <is>
          <t>Operations</t>
        </is>
      </c>
      <c r="H21" s="34" t="inlineStr">
        <is>
          <t>Ahmed Khan</t>
        </is>
      </c>
      <c r="I21" s="35" t="inlineStr">
        <is>
          <t>External</t>
        </is>
      </c>
      <c r="J21" s="36" t="n">
        <v>16</v>
      </c>
      <c r="K21" s="36" t="n">
        <v>8</v>
      </c>
      <c r="L21" s="37">
        <f>IF(J21=0,0,K21/J21)</f>
        <v/>
      </c>
      <c r="M21" s="43" t="n">
        <v>24</v>
      </c>
      <c r="N21" s="35" t="inlineStr">
        <is>
          <t>Completed</t>
        </is>
      </c>
      <c r="O21" s="35" t="inlineStr">
        <is>
          <t>Pass</t>
        </is>
      </c>
      <c r="P21" s="35" t="inlineStr">
        <is>
          <t>Yes</t>
        </is>
      </c>
    </row>
    <row r="22" ht="15" customHeight="1" s="15">
      <c r="A22" s="24" t="n">
        <v>17</v>
      </c>
      <c r="B22" s="25" t="inlineStr">
        <is>
          <t>TRN-017</t>
        </is>
      </c>
      <c r="C22" s="26" t="n">
        <v>46256</v>
      </c>
      <c r="D22" s="24">
        <f>IF(C22="","",TEXT(C22,"MMM"))</f>
        <v/>
      </c>
      <c r="E22" s="27" t="inlineStr">
        <is>
          <t>Fire Fighting</t>
        </is>
      </c>
      <c r="F22" s="28" t="inlineStr">
        <is>
          <t>Awareness</t>
        </is>
      </c>
      <c r="G22" s="28" t="inlineStr">
        <is>
          <t>Construction</t>
        </is>
      </c>
      <c r="H22" s="27" t="inlineStr">
        <is>
          <t>Priya Sharma</t>
        </is>
      </c>
      <c r="I22" s="28" t="inlineStr">
        <is>
          <t>Online</t>
        </is>
      </c>
      <c r="J22" s="29" t="n">
        <v>21</v>
      </c>
      <c r="K22" s="29" t="n">
        <v>13</v>
      </c>
      <c r="L22" s="30">
        <f>IF(J22=0,0,K22/J22)</f>
        <v/>
      </c>
      <c r="M22" s="42" t="n">
        <v>24</v>
      </c>
      <c r="N22" s="28" t="inlineStr">
        <is>
          <t>Scheduled</t>
        </is>
      </c>
      <c r="O22" s="28" t="inlineStr">
        <is>
          <t>Pass</t>
        </is>
      </c>
      <c r="P22" s="28" t="inlineStr">
        <is>
          <t>Yes</t>
        </is>
      </c>
    </row>
    <row r="23" ht="15" customHeight="1" s="15">
      <c r="A23" s="31" t="n">
        <v>18</v>
      </c>
      <c r="B23" s="32" t="inlineStr">
        <is>
          <t>TRN-018</t>
        </is>
      </c>
      <c r="C23" s="33" t="n">
        <v>46146</v>
      </c>
      <c r="D23" s="31">
        <f>IF(C23="","",TEXT(C23,"MMM"))</f>
        <v/>
      </c>
      <c r="E23" s="34" t="inlineStr">
        <is>
          <t>Incident Investigation</t>
        </is>
      </c>
      <c r="F23" s="35" t="inlineStr">
        <is>
          <t>Induction</t>
        </is>
      </c>
      <c r="G23" s="35" t="inlineStr">
        <is>
          <t>Safety</t>
        </is>
      </c>
      <c r="H23" s="34" t="inlineStr">
        <is>
          <t>Lisa Park</t>
        </is>
      </c>
      <c r="I23" s="35" t="inlineStr">
        <is>
          <t>On-the-Job</t>
        </is>
      </c>
      <c r="J23" s="36" t="n">
        <v>22</v>
      </c>
      <c r="K23" s="36" t="n">
        <v>30</v>
      </c>
      <c r="L23" s="37">
        <f>IF(J23=0,0,K23/J23)</f>
        <v/>
      </c>
      <c r="M23" s="43" t="n">
        <v>4</v>
      </c>
      <c r="N23" s="35" t="inlineStr">
        <is>
          <t>Completed</t>
        </is>
      </c>
      <c r="O23" s="35" t="inlineStr">
        <is>
          <t>N/A</t>
        </is>
      </c>
      <c r="P23" s="35" t="inlineStr">
        <is>
          <t>No</t>
        </is>
      </c>
    </row>
    <row r="24" ht="15" customHeight="1" s="15">
      <c r="A24" s="24" t="n">
        <v>19</v>
      </c>
      <c r="B24" s="25" t="inlineStr">
        <is>
          <t>TRN-019</t>
        </is>
      </c>
      <c r="C24" s="26" t="n">
        <v>46334</v>
      </c>
      <c r="D24" s="24">
        <f>IF(C24="","",TEXT(C24,"MMM"))</f>
        <v/>
      </c>
      <c r="E24" s="27" t="inlineStr">
        <is>
          <t>Fire Fighting</t>
        </is>
      </c>
      <c r="F24" s="28" t="inlineStr">
        <is>
          <t>Competency</t>
        </is>
      </c>
      <c r="G24" s="28" t="inlineStr">
        <is>
          <t>Safety</t>
        </is>
      </c>
      <c r="H24" s="27" t="inlineStr">
        <is>
          <t>Lisa Park</t>
        </is>
      </c>
      <c r="I24" s="28" t="inlineStr">
        <is>
          <t>Internal</t>
        </is>
      </c>
      <c r="J24" s="29" t="n">
        <v>28</v>
      </c>
      <c r="K24" s="29" t="n">
        <v>9</v>
      </c>
      <c r="L24" s="30">
        <f>IF(J24=0,0,K24/J24)</f>
        <v/>
      </c>
      <c r="M24" s="42" t="n">
        <v>8</v>
      </c>
      <c r="N24" s="28" t="inlineStr">
        <is>
          <t>Scheduled</t>
        </is>
      </c>
      <c r="O24" s="28" t="inlineStr">
        <is>
          <t>Fail</t>
        </is>
      </c>
      <c r="P24" s="28" t="inlineStr">
        <is>
          <t>No</t>
        </is>
      </c>
    </row>
    <row r="25" ht="15" customHeight="1" s="15">
      <c r="A25" s="31" t="n">
        <v>20</v>
      </c>
      <c r="B25" s="32" t="inlineStr">
        <is>
          <t>TRN-020</t>
        </is>
      </c>
      <c r="C25" s="33" t="n">
        <v>46176</v>
      </c>
      <c r="D25" s="31">
        <f>IF(C25="","",TEXT(C25,"MMM"))</f>
        <v/>
      </c>
      <c r="E25" s="34" t="inlineStr">
        <is>
          <t>Environmental</t>
        </is>
      </c>
      <c r="F25" s="35" t="inlineStr">
        <is>
          <t>Competency</t>
        </is>
      </c>
      <c r="G25" s="35" t="inlineStr">
        <is>
          <t>Logistics</t>
        </is>
      </c>
      <c r="H25" s="34" t="inlineStr">
        <is>
          <t>Ahmed Khan</t>
        </is>
      </c>
      <c r="I25" s="35" t="inlineStr">
        <is>
          <t>On-the-Job</t>
        </is>
      </c>
      <c r="J25" s="36" t="n">
        <v>25</v>
      </c>
      <c r="K25" s="36" t="n">
        <v>11</v>
      </c>
      <c r="L25" s="37">
        <f>IF(J25=0,0,K25/J25)</f>
        <v/>
      </c>
      <c r="M25" s="43" t="n">
        <v>16</v>
      </c>
      <c r="N25" s="35" t="inlineStr">
        <is>
          <t>Completed</t>
        </is>
      </c>
      <c r="O25" s="35" t="inlineStr">
        <is>
          <t>Fail</t>
        </is>
      </c>
      <c r="P25" s="35" t="inlineStr">
        <is>
          <t>No</t>
        </is>
      </c>
    </row>
    <row r="26">
      <c r="A26">
        <f>IF($B26="","",ROW()-5)</f>
        <v/>
      </c>
      <c r="D26">
        <f>IF($B26="","",IF(C26="","",TEXT(C26,"MMM")))</f>
        <v/>
      </c>
      <c r="L26">
        <f>IF($B26="","",IF(J26=0,0,K26/J26))</f>
        <v/>
      </c>
    </row>
    <row r="27">
      <c r="A27">
        <f>IF($B27="","",ROW()-5)</f>
        <v/>
      </c>
      <c r="D27">
        <f>IF($B27="","",IF(C27="","",TEXT(C27,"MMM")))</f>
        <v/>
      </c>
      <c r="L27">
        <f>IF($B27="","",IF(J27=0,0,K27/J27))</f>
        <v/>
      </c>
    </row>
    <row r="28">
      <c r="A28">
        <f>IF($B28="","",ROW()-5)</f>
        <v/>
      </c>
      <c r="D28">
        <f>IF($B28="","",IF(C28="","",TEXT(C28,"MMM")))</f>
        <v/>
      </c>
      <c r="L28">
        <f>IF($B28="","",IF(J28=0,0,K28/J28))</f>
        <v/>
      </c>
    </row>
    <row r="29">
      <c r="A29">
        <f>IF($B29="","",ROW()-5)</f>
        <v/>
      </c>
      <c r="D29">
        <f>IF($B29="","",IF(C29="","",TEXT(C29,"MMM")))</f>
        <v/>
      </c>
      <c r="L29">
        <f>IF($B29="","",IF(J29=0,0,K29/J29))</f>
        <v/>
      </c>
    </row>
    <row r="30">
      <c r="A30">
        <f>IF($B30="","",ROW()-5)</f>
        <v/>
      </c>
      <c r="D30">
        <f>IF($B30="","",IF(C30="","",TEXT(C30,"MMM")))</f>
        <v/>
      </c>
      <c r="L30">
        <f>IF($B30="","",IF(J30=0,0,K30/J30))</f>
        <v/>
      </c>
    </row>
    <row r="31">
      <c r="A31">
        <f>IF($B31="","",ROW()-5)</f>
        <v/>
      </c>
      <c r="D31">
        <f>IF($B31="","",IF(C31="","",TEXT(C31,"MMM")))</f>
        <v/>
      </c>
      <c r="L31">
        <f>IF($B31="","",IF(J31=0,0,K31/J31))</f>
        <v/>
      </c>
    </row>
    <row r="32">
      <c r="A32">
        <f>IF($B32="","",ROW()-5)</f>
        <v/>
      </c>
      <c r="D32">
        <f>IF($B32="","",IF(C32="","",TEXT(C32,"MMM")))</f>
        <v/>
      </c>
      <c r="L32">
        <f>IF($B32="","",IF(J32=0,0,K32/J32))</f>
        <v/>
      </c>
    </row>
    <row r="33">
      <c r="A33">
        <f>IF($B33="","",ROW()-5)</f>
        <v/>
      </c>
      <c r="D33">
        <f>IF($B33="","",IF(C33="","",TEXT(C33,"MMM")))</f>
        <v/>
      </c>
      <c r="L33">
        <f>IF($B33="","",IF(J33=0,0,K33/J33))</f>
        <v/>
      </c>
    </row>
    <row r="34">
      <c r="A34">
        <f>IF($B34="","",ROW()-5)</f>
        <v/>
      </c>
      <c r="D34">
        <f>IF($B34="","",IF(C34="","",TEXT(C34,"MMM")))</f>
        <v/>
      </c>
      <c r="L34">
        <f>IF($B34="","",IF(J34=0,0,K34/J34))</f>
        <v/>
      </c>
    </row>
    <row r="35">
      <c r="A35">
        <f>IF($B35="","",ROW()-5)</f>
        <v/>
      </c>
      <c r="D35">
        <f>IF($B35="","",IF(C35="","",TEXT(C35,"MMM")))</f>
        <v/>
      </c>
      <c r="L35">
        <f>IF($B35="","",IF(J35=0,0,K35/J35))</f>
        <v/>
      </c>
    </row>
    <row r="36">
      <c r="A36">
        <f>IF($B36="","",ROW()-5)</f>
        <v/>
      </c>
      <c r="D36">
        <f>IF($B36="","",IF(C36="","",TEXT(C36,"MMM")))</f>
        <v/>
      </c>
      <c r="L36">
        <f>IF($B36="","",IF(J36=0,0,K36/J36))</f>
        <v/>
      </c>
    </row>
    <row r="37">
      <c r="A37">
        <f>IF($B37="","",ROW()-5)</f>
        <v/>
      </c>
      <c r="D37">
        <f>IF($B37="","",IF(C37="","",TEXT(C37,"MMM")))</f>
        <v/>
      </c>
      <c r="L37">
        <f>IF($B37="","",IF(J37=0,0,K37/J37))</f>
        <v/>
      </c>
    </row>
    <row r="38">
      <c r="A38">
        <f>IF($B38="","",ROW()-5)</f>
        <v/>
      </c>
      <c r="D38">
        <f>IF($B38="","",IF(C38="","",TEXT(C38,"MMM")))</f>
        <v/>
      </c>
      <c r="L38">
        <f>IF($B38="","",IF(J38=0,0,K38/J38))</f>
        <v/>
      </c>
    </row>
    <row r="39">
      <c r="A39">
        <f>IF($B39="","",ROW()-5)</f>
        <v/>
      </c>
      <c r="D39">
        <f>IF($B39="","",IF(C39="","",TEXT(C39,"MMM")))</f>
        <v/>
      </c>
      <c r="L39">
        <f>IF($B39="","",IF(J39=0,0,K39/J39))</f>
        <v/>
      </c>
    </row>
    <row r="40">
      <c r="A40">
        <f>IF($B40="","",ROW()-5)</f>
        <v/>
      </c>
      <c r="D40">
        <f>IF($B40="","",IF(C40="","",TEXT(C40,"MMM")))</f>
        <v/>
      </c>
      <c r="L40">
        <f>IF($B40="","",IF(J40=0,0,K40/J40))</f>
        <v/>
      </c>
    </row>
    <row r="41">
      <c r="A41">
        <f>IF($B41="","",ROW()-5)</f>
        <v/>
      </c>
      <c r="D41">
        <f>IF($B41="","",IF(C41="","",TEXT(C41,"MMM")))</f>
        <v/>
      </c>
      <c r="L41">
        <f>IF($B41="","",IF(J41=0,0,K41/J41))</f>
        <v/>
      </c>
    </row>
    <row r="42">
      <c r="A42">
        <f>IF($B42="","",ROW()-5)</f>
        <v/>
      </c>
      <c r="D42">
        <f>IF($B42="","",IF(C42="","",TEXT(C42,"MMM")))</f>
        <v/>
      </c>
      <c r="L42">
        <f>IF($B42="","",IF(J42=0,0,K42/J42))</f>
        <v/>
      </c>
    </row>
    <row r="43">
      <c r="A43">
        <f>IF($B43="","",ROW()-5)</f>
        <v/>
      </c>
      <c r="D43">
        <f>IF($B43="","",IF(C43="","",TEXT(C43,"MMM")))</f>
        <v/>
      </c>
      <c r="L43">
        <f>IF($B43="","",IF(J43=0,0,K43/J43))</f>
        <v/>
      </c>
    </row>
    <row r="44">
      <c r="A44">
        <f>IF($B44="","",ROW()-5)</f>
        <v/>
      </c>
      <c r="D44">
        <f>IF($B44="","",IF(C44="","",TEXT(C44,"MMM")))</f>
        <v/>
      </c>
      <c r="L44">
        <f>IF($B44="","",IF(J44=0,0,K44/J44))</f>
        <v/>
      </c>
    </row>
    <row r="45">
      <c r="A45">
        <f>IF($B45="","",ROW()-5)</f>
        <v/>
      </c>
      <c r="D45">
        <f>IF($B45="","",IF(C45="","",TEXT(C45,"MMM")))</f>
        <v/>
      </c>
      <c r="L45">
        <f>IF($B45="","",IF(J45=0,0,K45/J45))</f>
        <v/>
      </c>
    </row>
    <row r="46">
      <c r="A46">
        <f>IF($B46="","",ROW()-5)</f>
        <v/>
      </c>
      <c r="D46">
        <f>IF($B46="","",IF(C46="","",TEXT(C46,"MMM")))</f>
        <v/>
      </c>
      <c r="L46">
        <f>IF($B46="","",IF(J46=0,0,K46/J46))</f>
        <v/>
      </c>
    </row>
    <row r="47">
      <c r="A47">
        <f>IF($B47="","",ROW()-5)</f>
        <v/>
      </c>
      <c r="D47">
        <f>IF($B47="","",IF(C47="","",TEXT(C47,"MMM")))</f>
        <v/>
      </c>
      <c r="L47">
        <f>IF($B47="","",IF(J47=0,0,K47/J47))</f>
        <v/>
      </c>
    </row>
    <row r="48">
      <c r="A48">
        <f>IF($B48="","",ROW()-5)</f>
        <v/>
      </c>
      <c r="D48">
        <f>IF($B48="","",IF(C48="","",TEXT(C48,"MMM")))</f>
        <v/>
      </c>
      <c r="L48">
        <f>IF($B48="","",IF(J48=0,0,K48/J48))</f>
        <v/>
      </c>
    </row>
    <row r="49">
      <c r="A49">
        <f>IF($B49="","",ROW()-5)</f>
        <v/>
      </c>
      <c r="D49">
        <f>IF($B49="","",IF(C49="","",TEXT(C49,"MMM")))</f>
        <v/>
      </c>
      <c r="L49">
        <f>IF($B49="","",IF(J49=0,0,K49/J49))</f>
        <v/>
      </c>
    </row>
    <row r="50">
      <c r="A50">
        <f>IF($B50="","",ROW()-5)</f>
        <v/>
      </c>
      <c r="D50">
        <f>IF($B50="","",IF(C50="","",TEXT(C50,"MMM")))</f>
        <v/>
      </c>
      <c r="L50">
        <f>IF($B50="","",IF(J50=0,0,K50/J50))</f>
        <v/>
      </c>
    </row>
    <row r="51">
      <c r="A51">
        <f>IF($B51="","",ROW()-5)</f>
        <v/>
      </c>
      <c r="D51">
        <f>IF($B51="","",IF(C51="","",TEXT(C51,"MMM")))</f>
        <v/>
      </c>
      <c r="L51">
        <f>IF($B51="","",IF(J51=0,0,K51/J51))</f>
        <v/>
      </c>
    </row>
    <row r="52">
      <c r="A52">
        <f>IF($B52="","",ROW()-5)</f>
        <v/>
      </c>
      <c r="D52">
        <f>IF($B52="","",IF(C52="","",TEXT(C52,"MMM")))</f>
        <v/>
      </c>
      <c r="L52">
        <f>IF($B52="","",IF(J52=0,0,K52/J52))</f>
        <v/>
      </c>
    </row>
    <row r="53">
      <c r="A53">
        <f>IF($B53="","",ROW()-5)</f>
        <v/>
      </c>
      <c r="D53">
        <f>IF($B53="","",IF(C53="","",TEXT(C53,"MMM")))</f>
        <v/>
      </c>
      <c r="L53">
        <f>IF($B53="","",IF(J53=0,0,K53/J53))</f>
        <v/>
      </c>
    </row>
    <row r="54">
      <c r="A54">
        <f>IF($B54="","",ROW()-5)</f>
        <v/>
      </c>
      <c r="D54">
        <f>IF($B54="","",IF(C54="","",TEXT(C54,"MMM")))</f>
        <v/>
      </c>
      <c r="L54">
        <f>IF($B54="","",IF(J54=0,0,K54/J54))</f>
        <v/>
      </c>
    </row>
    <row r="55">
      <c r="A55">
        <f>IF($B55="","",ROW()-5)</f>
        <v/>
      </c>
      <c r="D55">
        <f>IF($B55="","",IF(C55="","",TEXT(C55,"MMM")))</f>
        <v/>
      </c>
      <c r="L55">
        <f>IF($B55="","",IF(J55=0,0,K55/J55))</f>
        <v/>
      </c>
    </row>
    <row r="56">
      <c r="A56">
        <f>IF($B56="","",ROW()-5)</f>
        <v/>
      </c>
      <c r="D56">
        <f>IF($B56="","",IF(C56="","",TEXT(C56,"MMM")))</f>
        <v/>
      </c>
      <c r="L56">
        <f>IF($B56="","",IF(J56=0,0,K56/J56))</f>
        <v/>
      </c>
    </row>
    <row r="57">
      <c r="A57">
        <f>IF($B57="","",ROW()-5)</f>
        <v/>
      </c>
      <c r="D57">
        <f>IF($B57="","",IF(C57="","",TEXT(C57,"MMM")))</f>
        <v/>
      </c>
      <c r="L57">
        <f>IF($B57="","",IF(J57=0,0,K57/J57))</f>
        <v/>
      </c>
    </row>
    <row r="58">
      <c r="A58">
        <f>IF($B58="","",ROW()-5)</f>
        <v/>
      </c>
      <c r="D58">
        <f>IF($B58="","",IF(C58="","",TEXT(C58,"MMM")))</f>
        <v/>
      </c>
      <c r="L58">
        <f>IF($B58="","",IF(J58=0,0,K58/J58))</f>
        <v/>
      </c>
    </row>
    <row r="59">
      <c r="A59">
        <f>IF($B59="","",ROW()-5)</f>
        <v/>
      </c>
      <c r="D59">
        <f>IF($B59="","",IF(C59="","",TEXT(C59,"MMM")))</f>
        <v/>
      </c>
      <c r="L59">
        <f>IF($B59="","",IF(J59=0,0,K59/J59))</f>
        <v/>
      </c>
    </row>
    <row r="60">
      <c r="A60">
        <f>IF($B60="","",ROW()-5)</f>
        <v/>
      </c>
      <c r="D60">
        <f>IF($B60="","",IF(C60="","",TEXT(C60,"MMM")))</f>
        <v/>
      </c>
      <c r="L60">
        <f>IF($B60="","",IF(J60=0,0,K60/J60))</f>
        <v/>
      </c>
    </row>
    <row r="61">
      <c r="A61">
        <f>IF($B61="","",ROW()-5)</f>
        <v/>
      </c>
      <c r="D61">
        <f>IF($B61="","",IF(C61="","",TEXT(C61,"MMM")))</f>
        <v/>
      </c>
      <c r="L61">
        <f>IF($B61="","",IF(J61=0,0,K61/J61))</f>
        <v/>
      </c>
    </row>
    <row r="62">
      <c r="A62">
        <f>IF($B62="","",ROW()-5)</f>
        <v/>
      </c>
      <c r="D62">
        <f>IF($B62="","",IF(C62="","",TEXT(C62,"MMM")))</f>
        <v/>
      </c>
      <c r="L62">
        <f>IF($B62="","",IF(J62=0,0,K62/J62))</f>
        <v/>
      </c>
    </row>
    <row r="63">
      <c r="A63">
        <f>IF($B63="","",ROW()-5)</f>
        <v/>
      </c>
      <c r="D63">
        <f>IF($B63="","",IF(C63="","",TEXT(C63,"MMM")))</f>
        <v/>
      </c>
      <c r="L63">
        <f>IF($B63="","",IF(J63=0,0,K63/J63))</f>
        <v/>
      </c>
    </row>
    <row r="64">
      <c r="A64">
        <f>IF($B64="","",ROW()-5)</f>
        <v/>
      </c>
      <c r="D64">
        <f>IF($B64="","",IF(C64="","",TEXT(C64,"MMM")))</f>
        <v/>
      </c>
      <c r="L64">
        <f>IF($B64="","",IF(J64=0,0,K64/J64))</f>
        <v/>
      </c>
    </row>
    <row r="65">
      <c r="A65">
        <f>IF($B65="","",ROW()-5)</f>
        <v/>
      </c>
      <c r="D65">
        <f>IF($B65="","",IF(C65="","",TEXT(C65,"MMM")))</f>
        <v/>
      </c>
      <c r="L65">
        <f>IF($B65="","",IF(J65=0,0,K65/J65))</f>
        <v/>
      </c>
    </row>
    <row r="66">
      <c r="A66">
        <f>IF($B66="","",ROW()-5)</f>
        <v/>
      </c>
      <c r="D66">
        <f>IF($B66="","",IF(C66="","",TEXT(C66,"MMM")))</f>
        <v/>
      </c>
      <c r="L66">
        <f>IF($B66="","",IF(J66=0,0,K66/J66))</f>
        <v/>
      </c>
    </row>
    <row r="67">
      <c r="A67">
        <f>IF($B67="","",ROW()-5)</f>
        <v/>
      </c>
      <c r="D67">
        <f>IF($B67="","",IF(C67="","",TEXT(C67,"MMM")))</f>
        <v/>
      </c>
      <c r="L67">
        <f>IF($B67="","",IF(J67=0,0,K67/J67))</f>
        <v/>
      </c>
    </row>
    <row r="68">
      <c r="A68">
        <f>IF($B68="","",ROW()-5)</f>
        <v/>
      </c>
      <c r="D68">
        <f>IF($B68="","",IF(C68="","",TEXT(C68,"MMM")))</f>
        <v/>
      </c>
      <c r="L68">
        <f>IF($B68="","",IF(J68=0,0,K68/J68))</f>
        <v/>
      </c>
    </row>
    <row r="69">
      <c r="A69">
        <f>IF($B69="","",ROW()-5)</f>
        <v/>
      </c>
      <c r="D69">
        <f>IF($B69="","",IF(C69="","",TEXT(C69,"MMM")))</f>
        <v/>
      </c>
      <c r="L69">
        <f>IF($B69="","",IF(J69=0,0,K69/J69))</f>
        <v/>
      </c>
    </row>
    <row r="70">
      <c r="A70">
        <f>IF($B70="","",ROW()-5)</f>
        <v/>
      </c>
      <c r="D70">
        <f>IF($B70="","",IF(C70="","",TEXT(C70,"MMM")))</f>
        <v/>
      </c>
      <c r="L70">
        <f>IF($B70="","",IF(J70=0,0,K70/J70))</f>
        <v/>
      </c>
    </row>
    <row r="71">
      <c r="A71">
        <f>IF($B71="","",ROW()-5)</f>
        <v/>
      </c>
      <c r="D71">
        <f>IF($B71="","",IF(C71="","",TEXT(C71,"MMM")))</f>
        <v/>
      </c>
      <c r="L71">
        <f>IF($B71="","",IF(J71=0,0,K71/J71))</f>
        <v/>
      </c>
    </row>
    <row r="72">
      <c r="A72">
        <f>IF($B72="","",ROW()-5)</f>
        <v/>
      </c>
      <c r="D72">
        <f>IF($B72="","",IF(C72="","",TEXT(C72,"MMM")))</f>
        <v/>
      </c>
      <c r="L72">
        <f>IF($B72="","",IF(J72=0,0,K72/J72))</f>
        <v/>
      </c>
    </row>
    <row r="73">
      <c r="A73">
        <f>IF($B73="","",ROW()-5)</f>
        <v/>
      </c>
      <c r="D73">
        <f>IF($B73="","",IF(C73="","",TEXT(C73,"MMM")))</f>
        <v/>
      </c>
      <c r="L73">
        <f>IF($B73="","",IF(J73=0,0,K73/J73))</f>
        <v/>
      </c>
    </row>
    <row r="74">
      <c r="A74">
        <f>IF($B74="","",ROW()-5)</f>
        <v/>
      </c>
      <c r="D74">
        <f>IF($B74="","",IF(C74="","",TEXT(C74,"MMM")))</f>
        <v/>
      </c>
      <c r="L74">
        <f>IF($B74="","",IF(J74=0,0,K74/J74))</f>
        <v/>
      </c>
    </row>
    <row r="75">
      <c r="A75">
        <f>IF($B75="","",ROW()-5)</f>
        <v/>
      </c>
      <c r="D75">
        <f>IF($B75="","",IF(C75="","",TEXT(C75,"MMM")))</f>
        <v/>
      </c>
      <c r="L75">
        <f>IF($B75="","",IF(J75=0,0,K75/J75))</f>
        <v/>
      </c>
    </row>
    <row r="76">
      <c r="A76">
        <f>IF($B76="","",ROW()-5)</f>
        <v/>
      </c>
      <c r="D76">
        <f>IF($B76="","",IF(C76="","",TEXT(C76,"MMM")))</f>
        <v/>
      </c>
      <c r="L76">
        <f>IF($B76="","",IF(J76=0,0,K76/J76))</f>
        <v/>
      </c>
    </row>
    <row r="77">
      <c r="A77">
        <f>IF($B77="","",ROW()-5)</f>
        <v/>
      </c>
      <c r="D77">
        <f>IF($B77="","",IF(C77="","",TEXT(C77,"MMM")))</f>
        <v/>
      </c>
      <c r="L77">
        <f>IF($B77="","",IF(J77=0,0,K77/J77))</f>
        <v/>
      </c>
    </row>
    <row r="78">
      <c r="A78">
        <f>IF($B78="","",ROW()-5)</f>
        <v/>
      </c>
      <c r="D78">
        <f>IF($B78="","",IF(C78="","",TEXT(C78,"MMM")))</f>
        <v/>
      </c>
      <c r="L78">
        <f>IF($B78="","",IF(J78=0,0,K78/J78))</f>
        <v/>
      </c>
    </row>
    <row r="79">
      <c r="A79">
        <f>IF($B79="","",ROW()-5)</f>
        <v/>
      </c>
      <c r="D79">
        <f>IF($B79="","",IF(C79="","",TEXT(C79,"MMM")))</f>
        <v/>
      </c>
      <c r="L79">
        <f>IF($B79="","",IF(J79=0,0,K79/J79))</f>
        <v/>
      </c>
    </row>
    <row r="80">
      <c r="A80">
        <f>IF($B80="","",ROW()-5)</f>
        <v/>
      </c>
      <c r="D80">
        <f>IF($B80="","",IF(C80="","",TEXT(C80,"MMM")))</f>
        <v/>
      </c>
      <c r="L80">
        <f>IF($B80="","",IF(J80=0,0,K80/J80))</f>
        <v/>
      </c>
    </row>
    <row r="81">
      <c r="A81">
        <f>IF($B81="","",ROW()-5)</f>
        <v/>
      </c>
      <c r="D81">
        <f>IF($B81="","",IF(C81="","",TEXT(C81,"MMM")))</f>
        <v/>
      </c>
      <c r="L81">
        <f>IF($B81="","",IF(J81=0,0,K81/J81))</f>
        <v/>
      </c>
    </row>
    <row r="82">
      <c r="A82">
        <f>IF($B82="","",ROW()-5)</f>
        <v/>
      </c>
      <c r="D82">
        <f>IF($B82="","",IF(C82="","",TEXT(C82,"MMM")))</f>
        <v/>
      </c>
      <c r="L82">
        <f>IF($B82="","",IF(J82=0,0,K82/J82))</f>
        <v/>
      </c>
    </row>
    <row r="83">
      <c r="A83">
        <f>IF($B83="","",ROW()-5)</f>
        <v/>
      </c>
      <c r="D83">
        <f>IF($B83="","",IF(C83="","",TEXT(C83,"MMM")))</f>
        <v/>
      </c>
      <c r="L83">
        <f>IF($B83="","",IF(J83=0,0,K83/J83))</f>
        <v/>
      </c>
    </row>
    <row r="84">
      <c r="A84">
        <f>IF($B84="","",ROW()-5)</f>
        <v/>
      </c>
      <c r="D84">
        <f>IF($B84="","",IF(C84="","",TEXT(C84,"MMM")))</f>
        <v/>
      </c>
      <c r="L84">
        <f>IF($B84="","",IF(J84=0,0,K84/J84))</f>
        <v/>
      </c>
    </row>
    <row r="85">
      <c r="A85">
        <f>IF($B85="","",ROW()-5)</f>
        <v/>
      </c>
      <c r="D85">
        <f>IF($B85="","",IF(C85="","",TEXT(C85,"MMM")))</f>
        <v/>
      </c>
      <c r="L85">
        <f>IF($B85="","",IF(J85=0,0,K85/J85))</f>
        <v/>
      </c>
    </row>
    <row r="86">
      <c r="A86">
        <f>IF($B86="","",ROW()-5)</f>
        <v/>
      </c>
      <c r="D86">
        <f>IF($B86="","",IF(C86="","",TEXT(C86,"MMM")))</f>
        <v/>
      </c>
      <c r="L86">
        <f>IF($B86="","",IF(J86=0,0,K86/J86))</f>
        <v/>
      </c>
    </row>
    <row r="87">
      <c r="A87">
        <f>IF($B87="","",ROW()-5)</f>
        <v/>
      </c>
      <c r="D87">
        <f>IF($B87="","",IF(C87="","",TEXT(C87,"MMM")))</f>
        <v/>
      </c>
      <c r="L87">
        <f>IF($B87="","",IF(J87=0,0,K87/J87))</f>
        <v/>
      </c>
    </row>
    <row r="88">
      <c r="A88">
        <f>IF($B88="","",ROW()-5)</f>
        <v/>
      </c>
      <c r="D88">
        <f>IF($B88="","",IF(C88="","",TEXT(C88,"MMM")))</f>
        <v/>
      </c>
      <c r="L88">
        <f>IF($B88="","",IF(J88=0,0,K88/J88))</f>
        <v/>
      </c>
    </row>
    <row r="89">
      <c r="A89">
        <f>IF($B89="","",ROW()-5)</f>
        <v/>
      </c>
      <c r="D89">
        <f>IF($B89="","",IF(C89="","",TEXT(C89,"MMM")))</f>
        <v/>
      </c>
      <c r="L89">
        <f>IF($B89="","",IF(J89=0,0,K89/J89))</f>
        <v/>
      </c>
    </row>
    <row r="90">
      <c r="A90">
        <f>IF($B90="","",ROW()-5)</f>
        <v/>
      </c>
      <c r="D90">
        <f>IF($B90="","",IF(C90="","",TEXT(C90,"MMM")))</f>
        <v/>
      </c>
      <c r="L90">
        <f>IF($B90="","",IF(J90=0,0,K90/J90))</f>
        <v/>
      </c>
    </row>
    <row r="91">
      <c r="A91">
        <f>IF($B91="","",ROW()-5)</f>
        <v/>
      </c>
      <c r="D91">
        <f>IF($B91="","",IF(C91="","",TEXT(C91,"MMM")))</f>
        <v/>
      </c>
      <c r="L91">
        <f>IF($B91="","",IF(J91=0,0,K91/J91))</f>
        <v/>
      </c>
    </row>
    <row r="92">
      <c r="A92">
        <f>IF($B92="","",ROW()-5)</f>
        <v/>
      </c>
      <c r="D92">
        <f>IF($B92="","",IF(C92="","",TEXT(C92,"MMM")))</f>
        <v/>
      </c>
      <c r="L92">
        <f>IF($B92="","",IF(J92=0,0,K92/J92))</f>
        <v/>
      </c>
    </row>
    <row r="93">
      <c r="A93">
        <f>IF($B93="","",ROW()-5)</f>
        <v/>
      </c>
      <c r="D93">
        <f>IF($B93="","",IF(C93="","",TEXT(C93,"MMM")))</f>
        <v/>
      </c>
      <c r="L93">
        <f>IF($B93="","",IF(J93=0,0,K93/J93))</f>
        <v/>
      </c>
    </row>
    <row r="94">
      <c r="A94">
        <f>IF($B94="","",ROW()-5)</f>
        <v/>
      </c>
      <c r="D94">
        <f>IF($B94="","",IF(C94="","",TEXT(C94,"MMM")))</f>
        <v/>
      </c>
      <c r="L94">
        <f>IF($B94="","",IF(J94=0,0,K94/J94))</f>
        <v/>
      </c>
    </row>
    <row r="95">
      <c r="A95">
        <f>IF($B95="","",ROW()-5)</f>
        <v/>
      </c>
      <c r="D95">
        <f>IF($B95="","",IF(C95="","",TEXT(C95,"MMM")))</f>
        <v/>
      </c>
      <c r="L95">
        <f>IF($B95="","",IF(J95=0,0,K95/J95))</f>
        <v/>
      </c>
    </row>
    <row r="96">
      <c r="A96">
        <f>IF($B96="","",ROW()-5)</f>
        <v/>
      </c>
      <c r="D96">
        <f>IF($B96="","",IF(C96="","",TEXT(C96,"MMM")))</f>
        <v/>
      </c>
      <c r="L96">
        <f>IF($B96="","",IF(J96=0,0,K96/J96))</f>
        <v/>
      </c>
    </row>
    <row r="97">
      <c r="A97">
        <f>IF($B97="","",ROW()-5)</f>
        <v/>
      </c>
      <c r="D97">
        <f>IF($B97="","",IF(C97="","",TEXT(C97,"MMM")))</f>
        <v/>
      </c>
      <c r="L97">
        <f>IF($B97="","",IF(J97=0,0,K97/J97))</f>
        <v/>
      </c>
    </row>
    <row r="98">
      <c r="A98">
        <f>IF($B98="","",ROW()-5)</f>
        <v/>
      </c>
      <c r="D98">
        <f>IF($B98="","",IF(C98="","",TEXT(C98,"MMM")))</f>
        <v/>
      </c>
      <c r="L98">
        <f>IF($B98="","",IF(J98=0,0,K98/J98))</f>
        <v/>
      </c>
    </row>
    <row r="99">
      <c r="A99">
        <f>IF($B99="","",ROW()-5)</f>
        <v/>
      </c>
      <c r="D99">
        <f>IF($B99="","",IF(C99="","",TEXT(C99,"MMM")))</f>
        <v/>
      </c>
      <c r="L99">
        <f>IF($B99="","",IF(J99=0,0,K99/J99))</f>
        <v/>
      </c>
    </row>
    <row r="100">
      <c r="A100">
        <f>IF($B100="","",ROW()-5)</f>
        <v/>
      </c>
      <c r="D100">
        <f>IF($B100="","",IF(C100="","",TEXT(C100,"MMM")))</f>
        <v/>
      </c>
      <c r="L100">
        <f>IF($B100="","",IF(J100=0,0,K100/J100))</f>
        <v/>
      </c>
    </row>
    <row r="101">
      <c r="A101">
        <f>IF($B101="","",ROW()-5)</f>
        <v/>
      </c>
      <c r="D101">
        <f>IF($B101="","",IF(C101="","",TEXT(C101,"MMM")))</f>
        <v/>
      </c>
      <c r="L101">
        <f>IF($B101="","",IF(J101=0,0,K101/J101))</f>
        <v/>
      </c>
    </row>
    <row r="102">
      <c r="A102">
        <f>IF($B102="","",ROW()-5)</f>
        <v/>
      </c>
      <c r="D102">
        <f>IF($B102="","",IF(C102="","",TEXT(C102,"MMM")))</f>
        <v/>
      </c>
      <c r="L102">
        <f>IF($B102="","",IF(J102=0,0,K102/J102))</f>
        <v/>
      </c>
    </row>
    <row r="103">
      <c r="A103">
        <f>IF($B103="","",ROW()-5)</f>
        <v/>
      </c>
      <c r="D103">
        <f>IF($B103="","",IF(C103="","",TEXT(C103,"MMM")))</f>
        <v/>
      </c>
      <c r="L103">
        <f>IF($B103="","",IF(J103=0,0,K103/J103))</f>
        <v/>
      </c>
    </row>
    <row r="104">
      <c r="A104">
        <f>IF($B104="","",ROW()-5)</f>
        <v/>
      </c>
      <c r="D104">
        <f>IF($B104="","",IF(C104="","",TEXT(C104,"MMM")))</f>
        <v/>
      </c>
      <c r="L104">
        <f>IF($B104="","",IF(J104=0,0,K104/J104))</f>
        <v/>
      </c>
    </row>
    <row r="105">
      <c r="A105">
        <f>IF($B105="","",ROW()-5)</f>
        <v/>
      </c>
      <c r="D105">
        <f>IF($B105="","",IF(C105="","",TEXT(C105,"MMM")))</f>
        <v/>
      </c>
      <c r="L105">
        <f>IF($B105="","",IF(J105=0,0,K105/J105))</f>
        <v/>
      </c>
    </row>
    <row r="106">
      <c r="A106">
        <f>IF($B106="","",ROW()-5)</f>
        <v/>
      </c>
      <c r="D106">
        <f>IF($B106="","",IF(C106="","",TEXT(C106,"MMM")))</f>
        <v/>
      </c>
      <c r="L106">
        <f>IF($B106="","",IF(J106=0,0,K106/J106))</f>
        <v/>
      </c>
    </row>
    <row r="107">
      <c r="A107">
        <f>IF($B107="","",ROW()-5)</f>
        <v/>
      </c>
      <c r="D107">
        <f>IF($B107="","",IF(C107="","",TEXT(C107,"MMM")))</f>
        <v/>
      </c>
      <c r="L107">
        <f>IF($B107="","",IF(J107=0,0,K107/J107))</f>
        <v/>
      </c>
    </row>
    <row r="108">
      <c r="A108">
        <f>IF($B108="","",ROW()-5)</f>
        <v/>
      </c>
      <c r="D108">
        <f>IF($B108="","",IF(C108="","",TEXT(C108,"MMM")))</f>
        <v/>
      </c>
      <c r="L108">
        <f>IF($B108="","",IF(J108=0,0,K108/J108))</f>
        <v/>
      </c>
    </row>
    <row r="109">
      <c r="A109">
        <f>IF($B109="","",ROW()-5)</f>
        <v/>
      </c>
      <c r="D109">
        <f>IF($B109="","",IF(C109="","",TEXT(C109,"MMM")))</f>
        <v/>
      </c>
      <c r="L109">
        <f>IF($B109="","",IF(J109=0,0,K109/J109))</f>
        <v/>
      </c>
    </row>
    <row r="110">
      <c r="A110">
        <f>IF($B110="","",ROW()-5)</f>
        <v/>
      </c>
      <c r="D110">
        <f>IF($B110="","",IF(C110="","",TEXT(C110,"MMM")))</f>
        <v/>
      </c>
      <c r="L110">
        <f>IF($B110="","",IF(J110=0,0,K110/J110))</f>
        <v/>
      </c>
    </row>
    <row r="111">
      <c r="A111">
        <f>IF($B111="","",ROW()-5)</f>
        <v/>
      </c>
      <c r="D111">
        <f>IF($B111="","",IF(C111="","",TEXT(C111,"MMM")))</f>
        <v/>
      </c>
      <c r="L111">
        <f>IF($B111="","",IF(J111=0,0,K111/J111))</f>
        <v/>
      </c>
    </row>
    <row r="112">
      <c r="A112">
        <f>IF($B112="","",ROW()-5)</f>
        <v/>
      </c>
      <c r="D112">
        <f>IF($B112="","",IF(C112="","",TEXT(C112,"MMM")))</f>
        <v/>
      </c>
      <c r="L112">
        <f>IF($B112="","",IF(J112=0,0,K112/J112))</f>
        <v/>
      </c>
    </row>
    <row r="113">
      <c r="A113">
        <f>IF($B113="","",ROW()-5)</f>
        <v/>
      </c>
      <c r="D113">
        <f>IF($B113="","",IF(C113="","",TEXT(C113,"MMM")))</f>
        <v/>
      </c>
      <c r="L113">
        <f>IF($B113="","",IF(J113=0,0,K113/J113))</f>
        <v/>
      </c>
    </row>
    <row r="114">
      <c r="A114">
        <f>IF($B114="","",ROW()-5)</f>
        <v/>
      </c>
      <c r="D114">
        <f>IF($B114="","",IF(C114="","",TEXT(C114,"MMM")))</f>
        <v/>
      </c>
      <c r="L114">
        <f>IF($B114="","",IF(J114=0,0,K114/J114))</f>
        <v/>
      </c>
    </row>
    <row r="115">
      <c r="A115">
        <f>IF($B115="","",ROW()-5)</f>
        <v/>
      </c>
      <c r="D115">
        <f>IF($B115="","",IF(C115="","",TEXT(C115,"MMM")))</f>
        <v/>
      </c>
      <c r="L115">
        <f>IF($B115="","",IF(J115=0,0,K115/J115))</f>
        <v/>
      </c>
    </row>
    <row r="116">
      <c r="A116">
        <f>IF($B116="","",ROW()-5)</f>
        <v/>
      </c>
      <c r="D116">
        <f>IF($B116="","",IF(C116="","",TEXT(C116,"MMM")))</f>
        <v/>
      </c>
      <c r="L116">
        <f>IF($B116="","",IF(J116=0,0,K116/J116))</f>
        <v/>
      </c>
    </row>
    <row r="117">
      <c r="A117">
        <f>IF($B117="","",ROW()-5)</f>
        <v/>
      </c>
      <c r="D117">
        <f>IF($B117="","",IF(C117="","",TEXT(C117,"MMM")))</f>
        <v/>
      </c>
      <c r="L117">
        <f>IF($B117="","",IF(J117=0,0,K117/J117))</f>
        <v/>
      </c>
    </row>
    <row r="118">
      <c r="A118">
        <f>IF($B118="","",ROW()-5)</f>
        <v/>
      </c>
      <c r="D118">
        <f>IF($B118="","",IF(C118="","",TEXT(C118,"MMM")))</f>
        <v/>
      </c>
      <c r="L118">
        <f>IF($B118="","",IF(J118=0,0,K118/J118))</f>
        <v/>
      </c>
    </row>
    <row r="119">
      <c r="A119">
        <f>IF($B119="","",ROW()-5)</f>
        <v/>
      </c>
      <c r="D119">
        <f>IF($B119="","",IF(C119="","",TEXT(C119,"MMM")))</f>
        <v/>
      </c>
      <c r="L119">
        <f>IF($B119="","",IF(J119=0,0,K119/J119))</f>
        <v/>
      </c>
    </row>
    <row r="120">
      <c r="A120">
        <f>IF($B120="","",ROW()-5)</f>
        <v/>
      </c>
      <c r="D120">
        <f>IF($B120="","",IF(C120="","",TEXT(C120,"MMM")))</f>
        <v/>
      </c>
      <c r="L120">
        <f>IF($B120="","",IF(J120=0,0,K120/J120))</f>
        <v/>
      </c>
    </row>
    <row r="121">
      <c r="A121">
        <f>IF($B121="","",ROW()-5)</f>
        <v/>
      </c>
      <c r="D121">
        <f>IF($B121="","",IF(C121="","",TEXT(C121,"MMM")))</f>
        <v/>
      </c>
      <c r="L121">
        <f>IF($B121="","",IF(J121=0,0,K121/J121))</f>
        <v/>
      </c>
    </row>
    <row r="122">
      <c r="A122">
        <f>IF($B122="","",ROW()-5)</f>
        <v/>
      </c>
      <c r="D122">
        <f>IF($B122="","",IF(C122="","",TEXT(C122,"MMM")))</f>
        <v/>
      </c>
      <c r="L122">
        <f>IF($B122="","",IF(J122=0,0,K122/J122))</f>
        <v/>
      </c>
    </row>
    <row r="123">
      <c r="A123">
        <f>IF($B123="","",ROW()-5)</f>
        <v/>
      </c>
      <c r="D123">
        <f>IF($B123="","",IF(C123="","",TEXT(C123,"MMM")))</f>
        <v/>
      </c>
      <c r="L123">
        <f>IF($B123="","",IF(J123=0,0,K123/J123))</f>
        <v/>
      </c>
    </row>
    <row r="124">
      <c r="A124">
        <f>IF($B124="","",ROW()-5)</f>
        <v/>
      </c>
      <c r="D124">
        <f>IF($B124="","",IF(C124="","",TEXT(C124,"MMM")))</f>
        <v/>
      </c>
      <c r="L124">
        <f>IF($B124="","",IF(J124=0,0,K124/J124))</f>
        <v/>
      </c>
    </row>
    <row r="125">
      <c r="A125">
        <f>IF($B125="","",ROW()-5)</f>
        <v/>
      </c>
      <c r="D125">
        <f>IF($B125="","",IF(C125="","",TEXT(C125,"MMM")))</f>
        <v/>
      </c>
      <c r="L125">
        <f>IF($B125="","",IF(J125=0,0,K125/J125))</f>
        <v/>
      </c>
    </row>
    <row r="126">
      <c r="A126">
        <f>IF($B126="","",ROW()-5)</f>
        <v/>
      </c>
      <c r="D126">
        <f>IF($B126="","",IF(C126="","",TEXT(C126,"MMM")))</f>
        <v/>
      </c>
      <c r="L126">
        <f>IF($B126="","",IF(J126=0,0,K126/J126))</f>
        <v/>
      </c>
    </row>
    <row r="127">
      <c r="A127">
        <f>IF($B127="","",ROW()-5)</f>
        <v/>
      </c>
      <c r="D127">
        <f>IF($B127="","",IF(C127="","",TEXT(C127,"MMM")))</f>
        <v/>
      </c>
      <c r="L127">
        <f>IF($B127="","",IF(J127=0,0,K127/J127))</f>
        <v/>
      </c>
    </row>
    <row r="128">
      <c r="A128">
        <f>IF($B128="","",ROW()-5)</f>
        <v/>
      </c>
      <c r="D128">
        <f>IF($B128="","",IF(C128="","",TEXT(C128,"MMM")))</f>
        <v/>
      </c>
      <c r="L128">
        <f>IF($B128="","",IF(J128=0,0,K128/J128))</f>
        <v/>
      </c>
    </row>
    <row r="129">
      <c r="A129">
        <f>IF($B129="","",ROW()-5)</f>
        <v/>
      </c>
      <c r="D129">
        <f>IF($B129="","",IF(C129="","",TEXT(C129,"MMM")))</f>
        <v/>
      </c>
      <c r="L129">
        <f>IF($B129="","",IF(J129=0,0,K129/J129))</f>
        <v/>
      </c>
    </row>
    <row r="130">
      <c r="A130">
        <f>IF($B130="","",ROW()-5)</f>
        <v/>
      </c>
      <c r="D130">
        <f>IF($B130="","",IF(C130="","",TEXT(C130,"MMM")))</f>
        <v/>
      </c>
      <c r="L130">
        <f>IF($B130="","",IF(J130=0,0,K130/J130))</f>
        <v/>
      </c>
    </row>
    <row r="131">
      <c r="A131">
        <f>IF($B131="","",ROW()-5)</f>
        <v/>
      </c>
      <c r="D131">
        <f>IF($B131="","",IF(C131="","",TEXT(C131,"MMM")))</f>
        <v/>
      </c>
      <c r="L131">
        <f>IF($B131="","",IF(J131=0,0,K131/J131))</f>
        <v/>
      </c>
    </row>
    <row r="132">
      <c r="A132">
        <f>IF($B132="","",ROW()-5)</f>
        <v/>
      </c>
      <c r="D132">
        <f>IF($B132="","",IF(C132="","",TEXT(C132,"MMM")))</f>
        <v/>
      </c>
      <c r="L132">
        <f>IF($B132="","",IF(J132=0,0,K132/J132))</f>
        <v/>
      </c>
    </row>
    <row r="133">
      <c r="A133">
        <f>IF($B133="","",ROW()-5)</f>
        <v/>
      </c>
      <c r="D133">
        <f>IF($B133="","",IF(C133="","",TEXT(C133,"MMM")))</f>
        <v/>
      </c>
      <c r="L133">
        <f>IF($B133="","",IF(J133=0,0,K133/J133))</f>
        <v/>
      </c>
    </row>
    <row r="134">
      <c r="A134">
        <f>IF($B134="","",ROW()-5)</f>
        <v/>
      </c>
      <c r="D134">
        <f>IF($B134="","",IF(C134="","",TEXT(C134,"MMM")))</f>
        <v/>
      </c>
      <c r="L134">
        <f>IF($B134="","",IF(J134=0,0,K134/J134))</f>
        <v/>
      </c>
    </row>
    <row r="135">
      <c r="A135">
        <f>IF($B135="","",ROW()-5)</f>
        <v/>
      </c>
      <c r="D135">
        <f>IF($B135="","",IF(C135="","",TEXT(C135,"MMM")))</f>
        <v/>
      </c>
      <c r="L135">
        <f>IF($B135="","",IF(J135=0,0,K135/J135))</f>
        <v/>
      </c>
    </row>
    <row r="136">
      <c r="A136">
        <f>IF($B136="","",ROW()-5)</f>
        <v/>
      </c>
      <c r="D136">
        <f>IF($B136="","",IF(C136="","",TEXT(C136,"MMM")))</f>
        <v/>
      </c>
      <c r="L136">
        <f>IF($B136="","",IF(J136=0,0,K136/J136))</f>
        <v/>
      </c>
    </row>
    <row r="137">
      <c r="A137">
        <f>IF($B137="","",ROW()-5)</f>
        <v/>
      </c>
      <c r="D137">
        <f>IF($B137="","",IF(C137="","",TEXT(C137,"MMM")))</f>
        <v/>
      </c>
      <c r="L137">
        <f>IF($B137="","",IF(J137=0,0,K137/J137))</f>
        <v/>
      </c>
    </row>
    <row r="138">
      <c r="A138">
        <f>IF($B138="","",ROW()-5)</f>
        <v/>
      </c>
      <c r="D138">
        <f>IF($B138="","",IF(C138="","",TEXT(C138,"MMM")))</f>
        <v/>
      </c>
      <c r="L138">
        <f>IF($B138="","",IF(J138=0,0,K138/J138))</f>
        <v/>
      </c>
    </row>
    <row r="139">
      <c r="A139">
        <f>IF($B139="","",ROW()-5)</f>
        <v/>
      </c>
      <c r="D139">
        <f>IF($B139="","",IF(C139="","",TEXT(C139,"MMM")))</f>
        <v/>
      </c>
      <c r="L139">
        <f>IF($B139="","",IF(J139=0,0,K139/J139))</f>
        <v/>
      </c>
    </row>
    <row r="140">
      <c r="A140">
        <f>IF($B140="","",ROW()-5)</f>
        <v/>
      </c>
      <c r="D140">
        <f>IF($B140="","",IF(C140="","",TEXT(C140,"MMM")))</f>
        <v/>
      </c>
      <c r="L140">
        <f>IF($B140="","",IF(J140=0,0,K140/J140))</f>
        <v/>
      </c>
    </row>
    <row r="141">
      <c r="A141">
        <f>IF($B141="","",ROW()-5)</f>
        <v/>
      </c>
      <c r="D141">
        <f>IF($B141="","",IF(C141="","",TEXT(C141,"MMM")))</f>
        <v/>
      </c>
      <c r="L141">
        <f>IF($B141="","",IF(J141=0,0,K141/J141))</f>
        <v/>
      </c>
    </row>
    <row r="142">
      <c r="A142">
        <f>IF($B142="","",ROW()-5)</f>
        <v/>
      </c>
      <c r="D142">
        <f>IF($B142="","",IF(C142="","",TEXT(C142,"MMM")))</f>
        <v/>
      </c>
      <c r="L142">
        <f>IF($B142="","",IF(J142=0,0,K142/J142))</f>
        <v/>
      </c>
    </row>
    <row r="143">
      <c r="A143">
        <f>IF($B143="","",ROW()-5)</f>
        <v/>
      </c>
      <c r="D143">
        <f>IF($B143="","",IF(C143="","",TEXT(C143,"MMM")))</f>
        <v/>
      </c>
      <c r="L143">
        <f>IF($B143="","",IF(J143=0,0,K143/J143))</f>
        <v/>
      </c>
    </row>
    <row r="144">
      <c r="A144">
        <f>IF($B144="","",ROW()-5)</f>
        <v/>
      </c>
      <c r="D144">
        <f>IF($B144="","",IF(C144="","",TEXT(C144,"MMM")))</f>
        <v/>
      </c>
      <c r="L144">
        <f>IF($B144="","",IF(J144=0,0,K144/J144))</f>
        <v/>
      </c>
    </row>
    <row r="145">
      <c r="A145">
        <f>IF($B145="","",ROW()-5)</f>
        <v/>
      </c>
      <c r="D145">
        <f>IF($B145="","",IF(C145="","",TEXT(C145,"MMM")))</f>
        <v/>
      </c>
      <c r="L145">
        <f>IF($B145="","",IF(J145=0,0,K145/J145))</f>
        <v/>
      </c>
    </row>
    <row r="146">
      <c r="A146">
        <f>IF($B146="","",ROW()-5)</f>
        <v/>
      </c>
      <c r="D146">
        <f>IF($B146="","",IF(C146="","",TEXT(C146,"MMM")))</f>
        <v/>
      </c>
      <c r="L146">
        <f>IF($B146="","",IF(J146=0,0,K146/J146))</f>
        <v/>
      </c>
    </row>
    <row r="147">
      <c r="A147">
        <f>IF($B147="","",ROW()-5)</f>
        <v/>
      </c>
      <c r="D147">
        <f>IF($B147="","",IF(C147="","",TEXT(C147,"MMM")))</f>
        <v/>
      </c>
      <c r="L147">
        <f>IF($B147="","",IF(J147=0,0,K147/J147))</f>
        <v/>
      </c>
    </row>
    <row r="148">
      <c r="A148">
        <f>IF($B148="","",ROW()-5)</f>
        <v/>
      </c>
      <c r="D148">
        <f>IF($B148="","",IF(C148="","",TEXT(C148,"MMM")))</f>
        <v/>
      </c>
      <c r="L148">
        <f>IF($B148="","",IF(J148=0,0,K148/J148))</f>
        <v/>
      </c>
    </row>
    <row r="149">
      <c r="A149">
        <f>IF($B149="","",ROW()-5)</f>
        <v/>
      </c>
      <c r="D149">
        <f>IF($B149="","",IF(C149="","",TEXT(C149,"MMM")))</f>
        <v/>
      </c>
      <c r="L149">
        <f>IF($B149="","",IF(J149=0,0,K149/J149))</f>
        <v/>
      </c>
    </row>
    <row r="150">
      <c r="A150">
        <f>IF($B150="","",ROW()-5)</f>
        <v/>
      </c>
      <c r="D150">
        <f>IF($B150="","",IF(C150="","",TEXT(C150,"MMM")))</f>
        <v/>
      </c>
      <c r="L150">
        <f>IF($B150="","",IF(J150=0,0,K150/J150))</f>
        <v/>
      </c>
    </row>
    <row r="151">
      <c r="A151">
        <f>IF($B151="","",ROW()-5)</f>
        <v/>
      </c>
      <c r="D151">
        <f>IF($B151="","",IF(C151="","",TEXT(C151,"MMM")))</f>
        <v/>
      </c>
      <c r="L151">
        <f>IF($B151="","",IF(J151=0,0,K151/J151))</f>
        <v/>
      </c>
    </row>
    <row r="152">
      <c r="A152">
        <f>IF($B152="","",ROW()-5)</f>
        <v/>
      </c>
      <c r="D152">
        <f>IF($B152="","",IF(C152="","",TEXT(C152,"MMM")))</f>
        <v/>
      </c>
      <c r="L152">
        <f>IF($B152="","",IF(J152=0,0,K152/J152))</f>
        <v/>
      </c>
    </row>
    <row r="153">
      <c r="A153">
        <f>IF($B153="","",ROW()-5)</f>
        <v/>
      </c>
      <c r="D153">
        <f>IF($B153="","",IF(C153="","",TEXT(C153,"MMM")))</f>
        <v/>
      </c>
      <c r="L153">
        <f>IF($B153="","",IF(J153=0,0,K153/J153))</f>
        <v/>
      </c>
    </row>
    <row r="154">
      <c r="A154">
        <f>IF($B154="","",ROW()-5)</f>
        <v/>
      </c>
      <c r="D154">
        <f>IF($B154="","",IF(C154="","",TEXT(C154,"MMM")))</f>
        <v/>
      </c>
      <c r="L154">
        <f>IF($B154="","",IF(J154=0,0,K154/J154))</f>
        <v/>
      </c>
    </row>
    <row r="155">
      <c r="A155">
        <f>IF($B155="","",ROW()-5)</f>
        <v/>
      </c>
      <c r="D155">
        <f>IF($B155="","",IF(C155="","",TEXT(C155,"MMM")))</f>
        <v/>
      </c>
      <c r="L155">
        <f>IF($B155="","",IF(J155=0,0,K155/J155))</f>
        <v/>
      </c>
    </row>
    <row r="156">
      <c r="A156">
        <f>IF($B156="","",ROW()-5)</f>
        <v/>
      </c>
      <c r="D156">
        <f>IF($B156="","",IF(C156="","",TEXT(C156,"MMM")))</f>
        <v/>
      </c>
      <c r="L156">
        <f>IF($B156="","",IF(J156=0,0,K156/J156))</f>
        <v/>
      </c>
    </row>
    <row r="157">
      <c r="A157">
        <f>IF($B157="","",ROW()-5)</f>
        <v/>
      </c>
      <c r="D157">
        <f>IF($B157="","",IF(C157="","",TEXT(C157,"MMM")))</f>
        <v/>
      </c>
      <c r="L157">
        <f>IF($B157="","",IF(J157=0,0,K157/J157))</f>
        <v/>
      </c>
    </row>
    <row r="158">
      <c r="A158">
        <f>IF($B158="","",ROW()-5)</f>
        <v/>
      </c>
      <c r="D158">
        <f>IF($B158="","",IF(C158="","",TEXT(C158,"MMM")))</f>
        <v/>
      </c>
      <c r="L158">
        <f>IF($B158="","",IF(J158=0,0,K158/J158))</f>
        <v/>
      </c>
    </row>
    <row r="159">
      <c r="A159">
        <f>IF($B159="","",ROW()-5)</f>
        <v/>
      </c>
      <c r="D159">
        <f>IF($B159="","",IF(C159="","",TEXT(C159,"MMM")))</f>
        <v/>
      </c>
      <c r="L159">
        <f>IF($B159="","",IF(J159=0,0,K159/J159))</f>
        <v/>
      </c>
    </row>
    <row r="160">
      <c r="A160">
        <f>IF($B160="","",ROW()-5)</f>
        <v/>
      </c>
      <c r="D160">
        <f>IF($B160="","",IF(C160="","",TEXT(C160,"MMM")))</f>
        <v/>
      </c>
      <c r="L160">
        <f>IF($B160="","",IF(J160=0,0,K160/J160))</f>
        <v/>
      </c>
    </row>
    <row r="161">
      <c r="A161">
        <f>IF($B161="","",ROW()-5)</f>
        <v/>
      </c>
      <c r="D161">
        <f>IF($B161="","",IF(C161="","",TEXT(C161,"MMM")))</f>
        <v/>
      </c>
      <c r="L161">
        <f>IF($B161="","",IF(J161=0,0,K161/J161))</f>
        <v/>
      </c>
    </row>
    <row r="162">
      <c r="A162">
        <f>IF($B162="","",ROW()-5)</f>
        <v/>
      </c>
      <c r="D162">
        <f>IF($B162="","",IF(C162="","",TEXT(C162,"MMM")))</f>
        <v/>
      </c>
      <c r="L162">
        <f>IF($B162="","",IF(J162=0,0,K162/J162))</f>
        <v/>
      </c>
    </row>
    <row r="163">
      <c r="A163">
        <f>IF($B163="","",ROW()-5)</f>
        <v/>
      </c>
      <c r="D163">
        <f>IF($B163="","",IF(C163="","",TEXT(C163,"MMM")))</f>
        <v/>
      </c>
      <c r="L163">
        <f>IF($B163="","",IF(J163=0,0,K163/J163))</f>
        <v/>
      </c>
    </row>
    <row r="164">
      <c r="A164">
        <f>IF($B164="","",ROW()-5)</f>
        <v/>
      </c>
      <c r="D164">
        <f>IF($B164="","",IF(C164="","",TEXT(C164,"MMM")))</f>
        <v/>
      </c>
      <c r="L164">
        <f>IF($B164="","",IF(J164=0,0,K164/J164))</f>
        <v/>
      </c>
    </row>
    <row r="165">
      <c r="A165">
        <f>IF($B165="","",ROW()-5)</f>
        <v/>
      </c>
      <c r="D165">
        <f>IF($B165="","",IF(C165="","",TEXT(C165,"MMM")))</f>
        <v/>
      </c>
      <c r="L165">
        <f>IF($B165="","",IF(J165=0,0,K165/J165))</f>
        <v/>
      </c>
    </row>
    <row r="166">
      <c r="A166">
        <f>IF($B166="","",ROW()-5)</f>
        <v/>
      </c>
      <c r="D166">
        <f>IF($B166="","",IF(C166="","",TEXT(C166,"MMM")))</f>
        <v/>
      </c>
      <c r="L166">
        <f>IF($B166="","",IF(J166=0,0,K166/J166))</f>
        <v/>
      </c>
    </row>
    <row r="167">
      <c r="A167">
        <f>IF($B167="","",ROW()-5)</f>
        <v/>
      </c>
      <c r="D167">
        <f>IF($B167="","",IF(C167="","",TEXT(C167,"MMM")))</f>
        <v/>
      </c>
      <c r="L167">
        <f>IF($B167="","",IF(J167=0,0,K167/J167))</f>
        <v/>
      </c>
    </row>
    <row r="168">
      <c r="A168">
        <f>IF($B168="","",ROW()-5)</f>
        <v/>
      </c>
      <c r="D168">
        <f>IF($B168="","",IF(C168="","",TEXT(C168,"MMM")))</f>
        <v/>
      </c>
      <c r="L168">
        <f>IF($B168="","",IF(J168=0,0,K168/J168))</f>
        <v/>
      </c>
    </row>
    <row r="169">
      <c r="A169">
        <f>IF($B169="","",ROW()-5)</f>
        <v/>
      </c>
      <c r="D169">
        <f>IF($B169="","",IF(C169="","",TEXT(C169,"MMM")))</f>
        <v/>
      </c>
      <c r="L169">
        <f>IF($B169="","",IF(J169=0,0,K169/J169))</f>
        <v/>
      </c>
    </row>
    <row r="170">
      <c r="A170">
        <f>IF($B170="","",ROW()-5)</f>
        <v/>
      </c>
      <c r="D170">
        <f>IF($B170="","",IF(C170="","",TEXT(C170,"MMM")))</f>
        <v/>
      </c>
      <c r="L170">
        <f>IF($B170="","",IF(J170=0,0,K170/J170))</f>
        <v/>
      </c>
    </row>
    <row r="171">
      <c r="A171">
        <f>IF($B171="","",ROW()-5)</f>
        <v/>
      </c>
      <c r="D171">
        <f>IF($B171="","",IF(C171="","",TEXT(C171,"MMM")))</f>
        <v/>
      </c>
      <c r="L171">
        <f>IF($B171="","",IF(J171=0,0,K171/J171))</f>
        <v/>
      </c>
    </row>
    <row r="172">
      <c r="A172">
        <f>IF($B172="","",ROW()-5)</f>
        <v/>
      </c>
      <c r="D172">
        <f>IF($B172="","",IF(C172="","",TEXT(C172,"MMM")))</f>
        <v/>
      </c>
      <c r="L172">
        <f>IF($B172="","",IF(J172=0,0,K172/J172))</f>
        <v/>
      </c>
    </row>
    <row r="173">
      <c r="A173">
        <f>IF($B173="","",ROW()-5)</f>
        <v/>
      </c>
      <c r="D173">
        <f>IF($B173="","",IF(C173="","",TEXT(C173,"MMM")))</f>
        <v/>
      </c>
      <c r="L173">
        <f>IF($B173="","",IF(J173=0,0,K173/J173))</f>
        <v/>
      </c>
    </row>
    <row r="174">
      <c r="A174">
        <f>IF($B174="","",ROW()-5)</f>
        <v/>
      </c>
      <c r="D174">
        <f>IF($B174="","",IF(C174="","",TEXT(C174,"MMM")))</f>
        <v/>
      </c>
      <c r="L174">
        <f>IF($B174="","",IF(J174=0,0,K174/J174))</f>
        <v/>
      </c>
    </row>
    <row r="175">
      <c r="A175">
        <f>IF($B175="","",ROW()-5)</f>
        <v/>
      </c>
      <c r="D175">
        <f>IF($B175="","",IF(C175="","",TEXT(C175,"MMM")))</f>
        <v/>
      </c>
      <c r="L175">
        <f>IF($B175="","",IF(J175=0,0,K175/J175))</f>
        <v/>
      </c>
    </row>
    <row r="176">
      <c r="A176">
        <f>IF($B176="","",ROW()-5)</f>
        <v/>
      </c>
      <c r="D176">
        <f>IF($B176="","",IF(C176="","",TEXT(C176,"MMM")))</f>
        <v/>
      </c>
      <c r="L176">
        <f>IF($B176="","",IF(J176=0,0,K176/J176))</f>
        <v/>
      </c>
    </row>
    <row r="177">
      <c r="A177">
        <f>IF($B177="","",ROW()-5)</f>
        <v/>
      </c>
      <c r="D177">
        <f>IF($B177="","",IF(C177="","",TEXT(C177,"MMM")))</f>
        <v/>
      </c>
      <c r="L177">
        <f>IF($B177="","",IF(J177=0,0,K177/J177))</f>
        <v/>
      </c>
    </row>
    <row r="178">
      <c r="A178">
        <f>IF($B178="","",ROW()-5)</f>
        <v/>
      </c>
      <c r="D178">
        <f>IF($B178="","",IF(C178="","",TEXT(C178,"MMM")))</f>
        <v/>
      </c>
      <c r="L178">
        <f>IF($B178="","",IF(J178=0,0,K178/J178))</f>
        <v/>
      </c>
    </row>
    <row r="179">
      <c r="A179">
        <f>IF($B179="","",ROW()-5)</f>
        <v/>
      </c>
      <c r="D179">
        <f>IF($B179="","",IF(C179="","",TEXT(C179,"MMM")))</f>
        <v/>
      </c>
      <c r="L179">
        <f>IF($B179="","",IF(J179=0,0,K179/J179))</f>
        <v/>
      </c>
    </row>
    <row r="180">
      <c r="A180">
        <f>IF($B180="","",ROW()-5)</f>
        <v/>
      </c>
      <c r="D180">
        <f>IF($B180="","",IF(C180="","",TEXT(C180,"MMM")))</f>
        <v/>
      </c>
      <c r="L180">
        <f>IF($B180="","",IF(J180=0,0,K180/J180))</f>
        <v/>
      </c>
    </row>
    <row r="181">
      <c r="A181">
        <f>IF($B181="","",ROW()-5)</f>
        <v/>
      </c>
      <c r="D181">
        <f>IF($B181="","",IF(C181="","",TEXT(C181,"MMM")))</f>
        <v/>
      </c>
      <c r="L181">
        <f>IF($B181="","",IF(J181=0,0,K181/J181))</f>
        <v/>
      </c>
    </row>
    <row r="182">
      <c r="A182">
        <f>IF($B182="","",ROW()-5)</f>
        <v/>
      </c>
      <c r="D182">
        <f>IF($B182="","",IF(C182="","",TEXT(C182,"MMM")))</f>
        <v/>
      </c>
      <c r="L182">
        <f>IF($B182="","",IF(J182=0,0,K182/J182))</f>
        <v/>
      </c>
    </row>
    <row r="183">
      <c r="A183">
        <f>IF($B183="","",ROW()-5)</f>
        <v/>
      </c>
      <c r="D183">
        <f>IF($B183="","",IF(C183="","",TEXT(C183,"MMM")))</f>
        <v/>
      </c>
      <c r="L183">
        <f>IF($B183="","",IF(J183=0,0,K183/J183))</f>
        <v/>
      </c>
    </row>
    <row r="184">
      <c r="A184">
        <f>IF($B184="","",ROW()-5)</f>
        <v/>
      </c>
      <c r="D184">
        <f>IF($B184="","",IF(C184="","",TEXT(C184,"MMM")))</f>
        <v/>
      </c>
      <c r="L184">
        <f>IF($B184="","",IF(J184=0,0,K184/J184))</f>
        <v/>
      </c>
    </row>
    <row r="185">
      <c r="A185">
        <f>IF($B185="","",ROW()-5)</f>
        <v/>
      </c>
      <c r="D185">
        <f>IF($B185="","",IF(C185="","",TEXT(C185,"MMM")))</f>
        <v/>
      </c>
      <c r="L185">
        <f>IF($B185="","",IF(J185=0,0,K185/J185))</f>
        <v/>
      </c>
    </row>
    <row r="186">
      <c r="A186">
        <f>IF($B186="","",ROW()-5)</f>
        <v/>
      </c>
      <c r="D186">
        <f>IF($B186="","",IF(C186="","",TEXT(C186,"MMM")))</f>
        <v/>
      </c>
      <c r="L186">
        <f>IF($B186="","",IF(J186=0,0,K186/J186))</f>
        <v/>
      </c>
    </row>
    <row r="187">
      <c r="A187">
        <f>IF($B187="","",ROW()-5)</f>
        <v/>
      </c>
      <c r="D187">
        <f>IF($B187="","",IF(C187="","",TEXT(C187,"MMM")))</f>
        <v/>
      </c>
      <c r="L187">
        <f>IF($B187="","",IF(J187=0,0,K187/J187))</f>
        <v/>
      </c>
    </row>
    <row r="188">
      <c r="A188">
        <f>IF($B188="","",ROW()-5)</f>
        <v/>
      </c>
      <c r="D188">
        <f>IF($B188="","",IF(C188="","",TEXT(C188,"MMM")))</f>
        <v/>
      </c>
      <c r="L188">
        <f>IF($B188="","",IF(J188=0,0,K188/J188))</f>
        <v/>
      </c>
    </row>
    <row r="189">
      <c r="A189">
        <f>IF($B189="","",ROW()-5)</f>
        <v/>
      </c>
      <c r="D189">
        <f>IF($B189="","",IF(C189="","",TEXT(C189,"MMM")))</f>
        <v/>
      </c>
      <c r="L189">
        <f>IF($B189="","",IF(J189=0,0,K189/J189))</f>
        <v/>
      </c>
    </row>
    <row r="190">
      <c r="A190">
        <f>IF($B190="","",ROW()-5)</f>
        <v/>
      </c>
      <c r="D190">
        <f>IF($B190="","",IF(C190="","",TEXT(C190,"MMM")))</f>
        <v/>
      </c>
      <c r="L190">
        <f>IF($B190="","",IF(J190=0,0,K190/J190))</f>
        <v/>
      </c>
    </row>
    <row r="191">
      <c r="A191">
        <f>IF($B191="","",ROW()-5)</f>
        <v/>
      </c>
      <c r="D191">
        <f>IF($B191="","",IF(C191="","",TEXT(C191,"MMM")))</f>
        <v/>
      </c>
      <c r="L191">
        <f>IF($B191="","",IF(J191=0,0,K191/J191))</f>
        <v/>
      </c>
    </row>
    <row r="192">
      <c r="A192">
        <f>IF($B192="","",ROW()-5)</f>
        <v/>
      </c>
      <c r="D192">
        <f>IF($B192="","",IF(C192="","",TEXT(C192,"MMM")))</f>
        <v/>
      </c>
      <c r="L192">
        <f>IF($B192="","",IF(J192=0,0,K192/J192))</f>
        <v/>
      </c>
    </row>
    <row r="193">
      <c r="A193">
        <f>IF($B193="","",ROW()-5)</f>
        <v/>
      </c>
      <c r="D193">
        <f>IF($B193="","",IF(C193="","",TEXT(C193,"MMM")))</f>
        <v/>
      </c>
      <c r="L193">
        <f>IF($B193="","",IF(J193=0,0,K193/J193))</f>
        <v/>
      </c>
    </row>
    <row r="194">
      <c r="A194">
        <f>IF($B194="","",ROW()-5)</f>
        <v/>
      </c>
      <c r="D194">
        <f>IF($B194="","",IF(C194="","",TEXT(C194,"MMM")))</f>
        <v/>
      </c>
      <c r="L194">
        <f>IF($B194="","",IF(J194=0,0,K194/J194))</f>
        <v/>
      </c>
    </row>
    <row r="195">
      <c r="A195">
        <f>IF($B195="","",ROW()-5)</f>
        <v/>
      </c>
      <c r="D195">
        <f>IF($B195="","",IF(C195="","",TEXT(C195,"MMM")))</f>
        <v/>
      </c>
      <c r="L195">
        <f>IF($B195="","",IF(J195=0,0,K195/J195))</f>
        <v/>
      </c>
    </row>
    <row r="196">
      <c r="A196">
        <f>IF($B196="","",ROW()-5)</f>
        <v/>
      </c>
      <c r="D196">
        <f>IF($B196="","",IF(C196="","",TEXT(C196,"MMM")))</f>
        <v/>
      </c>
      <c r="L196">
        <f>IF($B196="","",IF(J196=0,0,K196/J196))</f>
        <v/>
      </c>
    </row>
    <row r="197">
      <c r="A197">
        <f>IF($B197="","",ROW()-5)</f>
        <v/>
      </c>
      <c r="D197">
        <f>IF($B197="","",IF(C197="","",TEXT(C197,"MMM")))</f>
        <v/>
      </c>
      <c r="L197">
        <f>IF($B197="","",IF(J197=0,0,K197/J197))</f>
        <v/>
      </c>
    </row>
    <row r="198">
      <c r="A198">
        <f>IF($B198="","",ROW()-5)</f>
        <v/>
      </c>
      <c r="D198">
        <f>IF($B198="","",IF(C198="","",TEXT(C198,"MMM")))</f>
        <v/>
      </c>
      <c r="L198">
        <f>IF($B198="","",IF(J198=0,0,K198/J198))</f>
        <v/>
      </c>
    </row>
    <row r="199">
      <c r="A199">
        <f>IF($B199="","",ROW()-5)</f>
        <v/>
      </c>
      <c r="D199">
        <f>IF($B199="","",IF(C199="","",TEXT(C199,"MMM")))</f>
        <v/>
      </c>
      <c r="L199">
        <f>IF($B199="","",IF(J199=0,0,K199/J199))</f>
        <v/>
      </c>
    </row>
    <row r="200">
      <c r="A200">
        <f>IF($B200="","",ROW()-5)</f>
        <v/>
      </c>
      <c r="D200">
        <f>IF($B200="","",IF(C200="","",TEXT(C200,"MMM")))</f>
        <v/>
      </c>
      <c r="L200">
        <f>IF($B200="","",IF(J200=0,0,K200/J200))</f>
        <v/>
      </c>
    </row>
    <row r="201">
      <c r="A201">
        <f>IF($B201="","",ROW()-5)</f>
        <v/>
      </c>
      <c r="D201">
        <f>IF($B201="","",IF(C201="","",TEXT(C201,"MMM")))</f>
        <v/>
      </c>
      <c r="L201">
        <f>IF($B201="","",IF(J201=0,0,K201/J201))</f>
        <v/>
      </c>
    </row>
    <row r="202">
      <c r="A202">
        <f>IF($B202="","",ROW()-5)</f>
        <v/>
      </c>
      <c r="D202">
        <f>IF($B202="","",IF(C202="","",TEXT(C202,"MMM")))</f>
        <v/>
      </c>
      <c r="L202">
        <f>IF($B202="","",IF(J202=0,0,K202/J202))</f>
        <v/>
      </c>
    </row>
    <row r="203">
      <c r="A203">
        <f>IF($B203="","",ROW()-5)</f>
        <v/>
      </c>
      <c r="D203">
        <f>IF($B203="","",IF(C203="","",TEXT(C203,"MMM")))</f>
        <v/>
      </c>
      <c r="L203">
        <f>IF($B203="","",IF(J203=0,0,K203/J203))</f>
        <v/>
      </c>
    </row>
    <row r="204">
      <c r="A204">
        <f>IF($B204="","",ROW()-5)</f>
        <v/>
      </c>
      <c r="D204">
        <f>IF($B204="","",IF(C204="","",TEXT(C204,"MMM")))</f>
        <v/>
      </c>
      <c r="L204">
        <f>IF($B204="","",IF(J204=0,0,K204/J204))</f>
        <v/>
      </c>
    </row>
    <row r="205">
      <c r="A205">
        <f>IF($B205="","",ROW()-5)</f>
        <v/>
      </c>
      <c r="D205">
        <f>IF($B205="","",IF(C205="","",TEXT(C205,"MMM")))</f>
        <v/>
      </c>
      <c r="L205">
        <f>IF($B205="","",IF(J205=0,0,K205/J205))</f>
        <v/>
      </c>
    </row>
    <row r="206">
      <c r="A206">
        <f>IF($B206="","",ROW()-5)</f>
        <v/>
      </c>
      <c r="D206">
        <f>IF($B206="","",IF(C206="","",TEXT(C206,"MMM")))</f>
        <v/>
      </c>
      <c r="L206">
        <f>IF($B206="","",IF(J206=0,0,K206/J206))</f>
        <v/>
      </c>
    </row>
    <row r="207">
      <c r="A207">
        <f>IF($B207="","",ROW()-5)</f>
        <v/>
      </c>
      <c r="D207">
        <f>IF($B207="","",IF(C207="","",TEXT(C207,"MMM")))</f>
        <v/>
      </c>
      <c r="L207">
        <f>IF($B207="","",IF(J207=0,0,K207/J207))</f>
        <v/>
      </c>
    </row>
    <row r="208">
      <c r="A208">
        <f>IF($B208="","",ROW()-5)</f>
        <v/>
      </c>
      <c r="D208">
        <f>IF($B208="","",IF(C208="","",TEXT(C208,"MMM")))</f>
        <v/>
      </c>
      <c r="L208">
        <f>IF($B208="","",IF(J208=0,0,K208/J208))</f>
        <v/>
      </c>
    </row>
    <row r="209">
      <c r="A209">
        <f>IF($B209="","",ROW()-5)</f>
        <v/>
      </c>
      <c r="D209">
        <f>IF($B209="","",IF(C209="","",TEXT(C209,"MMM")))</f>
        <v/>
      </c>
      <c r="L209">
        <f>IF($B209="","",IF(J209=0,0,K209/J209))</f>
        <v/>
      </c>
    </row>
    <row r="210">
      <c r="A210">
        <f>IF($B210="","",ROW()-5)</f>
        <v/>
      </c>
      <c r="D210">
        <f>IF($B210="","",IF(C210="","",TEXT(C210,"MMM")))</f>
        <v/>
      </c>
      <c r="L210">
        <f>IF($B210="","",IF(J210=0,0,K210/J210))</f>
        <v/>
      </c>
    </row>
    <row r="211">
      <c r="A211">
        <f>IF($B211="","",ROW()-5)</f>
        <v/>
      </c>
      <c r="D211">
        <f>IF($B211="","",IF(C211="","",TEXT(C211,"MMM")))</f>
        <v/>
      </c>
      <c r="L211">
        <f>IF($B211="","",IF(J211=0,0,K211/J211))</f>
        <v/>
      </c>
    </row>
    <row r="212">
      <c r="A212">
        <f>IF($B212="","",ROW()-5)</f>
        <v/>
      </c>
      <c r="D212">
        <f>IF($B212="","",IF(C212="","",TEXT(C212,"MMM")))</f>
        <v/>
      </c>
      <c r="L212">
        <f>IF($B212="","",IF(J212=0,0,K212/J212))</f>
        <v/>
      </c>
    </row>
    <row r="213">
      <c r="A213">
        <f>IF($B213="","",ROW()-5)</f>
        <v/>
      </c>
      <c r="D213">
        <f>IF($B213="","",IF(C213="","",TEXT(C213,"MMM")))</f>
        <v/>
      </c>
      <c r="L213">
        <f>IF($B213="","",IF(J213=0,0,K213/J213))</f>
        <v/>
      </c>
    </row>
    <row r="214">
      <c r="A214">
        <f>IF($B214="","",ROW()-5)</f>
        <v/>
      </c>
      <c r="D214">
        <f>IF($B214="","",IF(C214="","",TEXT(C214,"MMM")))</f>
        <v/>
      </c>
      <c r="L214">
        <f>IF($B214="","",IF(J214=0,0,K214/J214))</f>
        <v/>
      </c>
    </row>
    <row r="215">
      <c r="A215">
        <f>IF($B215="","",ROW()-5)</f>
        <v/>
      </c>
      <c r="D215">
        <f>IF($B215="","",IF(C215="","",TEXT(C215,"MMM")))</f>
        <v/>
      </c>
      <c r="L215">
        <f>IF($B215="","",IF(J215=0,0,K215/J215))</f>
        <v/>
      </c>
    </row>
    <row r="216">
      <c r="A216">
        <f>IF($B216="","",ROW()-5)</f>
        <v/>
      </c>
      <c r="D216">
        <f>IF($B216="","",IF(C216="","",TEXT(C216,"MMM")))</f>
        <v/>
      </c>
      <c r="L216">
        <f>IF($B216="","",IF(J216=0,0,K216/J216))</f>
        <v/>
      </c>
    </row>
    <row r="217">
      <c r="A217">
        <f>IF($B217="","",ROW()-5)</f>
        <v/>
      </c>
      <c r="D217">
        <f>IF($B217="","",IF(C217="","",TEXT(C217,"MMM")))</f>
        <v/>
      </c>
      <c r="L217">
        <f>IF($B217="","",IF(J217=0,0,K217/J217))</f>
        <v/>
      </c>
    </row>
    <row r="218">
      <c r="A218">
        <f>IF($B218="","",ROW()-5)</f>
        <v/>
      </c>
      <c r="D218">
        <f>IF($B218="","",IF(C218="","",TEXT(C218,"MMM")))</f>
        <v/>
      </c>
      <c r="L218">
        <f>IF($B218="","",IF(J218=0,0,K218/J218))</f>
        <v/>
      </c>
    </row>
    <row r="219">
      <c r="A219">
        <f>IF($B219="","",ROW()-5)</f>
        <v/>
      </c>
      <c r="D219">
        <f>IF($B219="","",IF(C219="","",TEXT(C219,"MMM")))</f>
        <v/>
      </c>
      <c r="L219">
        <f>IF($B219="","",IF(J219=0,0,K219/J219))</f>
        <v/>
      </c>
    </row>
    <row r="220">
      <c r="A220">
        <f>IF($B220="","",ROW()-5)</f>
        <v/>
      </c>
      <c r="D220">
        <f>IF($B220="","",IF(C220="","",TEXT(C220,"MMM")))</f>
        <v/>
      </c>
      <c r="L220">
        <f>IF($B220="","",IF(J220=0,0,K220/J220))</f>
        <v/>
      </c>
    </row>
    <row r="221">
      <c r="A221">
        <f>IF($B221="","",ROW()-5)</f>
        <v/>
      </c>
      <c r="D221">
        <f>IF($B221="","",IF(C221="","",TEXT(C221,"MMM")))</f>
        <v/>
      </c>
      <c r="L221">
        <f>IF($B221="","",IF(J221=0,0,K221/J221))</f>
        <v/>
      </c>
    </row>
    <row r="222">
      <c r="A222">
        <f>IF($B222="","",ROW()-5)</f>
        <v/>
      </c>
      <c r="D222">
        <f>IF($B222="","",IF(C222="","",TEXT(C222,"MMM")))</f>
        <v/>
      </c>
      <c r="L222">
        <f>IF($B222="","",IF(J222=0,0,K222/J222))</f>
        <v/>
      </c>
    </row>
    <row r="223">
      <c r="A223">
        <f>IF($B223="","",ROW()-5)</f>
        <v/>
      </c>
      <c r="D223">
        <f>IF($B223="","",IF(C223="","",TEXT(C223,"MMM")))</f>
        <v/>
      </c>
      <c r="L223">
        <f>IF($B223="","",IF(J223=0,0,K223/J223))</f>
        <v/>
      </c>
    </row>
    <row r="224">
      <c r="A224">
        <f>IF($B224="","",ROW()-5)</f>
        <v/>
      </c>
      <c r="D224">
        <f>IF($B224="","",IF(C224="","",TEXT(C224,"MMM")))</f>
        <v/>
      </c>
      <c r="L224">
        <f>IF($B224="","",IF(J224=0,0,K224/J224))</f>
        <v/>
      </c>
    </row>
    <row r="225">
      <c r="A225">
        <f>IF($B225="","",ROW()-5)</f>
        <v/>
      </c>
      <c r="D225">
        <f>IF($B225="","",IF(C225="","",TEXT(C225,"MMM")))</f>
        <v/>
      </c>
      <c r="L225">
        <f>IF($B225="","",IF(J225=0,0,K225/J225))</f>
        <v/>
      </c>
    </row>
    <row r="226">
      <c r="A226">
        <f>IF($B226="","",ROW()-5)</f>
        <v/>
      </c>
      <c r="D226">
        <f>IF($B226="","",IF(C226="","",TEXT(C226,"MMM")))</f>
        <v/>
      </c>
      <c r="L226">
        <f>IF($B226="","",IF(J226=0,0,K226/J226))</f>
        <v/>
      </c>
    </row>
    <row r="227">
      <c r="A227">
        <f>IF($B227="","",ROW()-5)</f>
        <v/>
      </c>
      <c r="D227">
        <f>IF($B227="","",IF(C227="","",TEXT(C227,"MMM")))</f>
        <v/>
      </c>
      <c r="L227">
        <f>IF($B227="","",IF(J227=0,0,K227/J227))</f>
        <v/>
      </c>
    </row>
    <row r="228">
      <c r="A228">
        <f>IF($B228="","",ROW()-5)</f>
        <v/>
      </c>
      <c r="D228">
        <f>IF($B228="","",IF(C228="","",TEXT(C228,"MMM")))</f>
        <v/>
      </c>
      <c r="L228">
        <f>IF($B228="","",IF(J228=0,0,K228/J228))</f>
        <v/>
      </c>
    </row>
    <row r="229">
      <c r="A229">
        <f>IF($B229="","",ROW()-5)</f>
        <v/>
      </c>
      <c r="D229">
        <f>IF($B229="","",IF(C229="","",TEXT(C229,"MMM")))</f>
        <v/>
      </c>
      <c r="L229">
        <f>IF($B229="","",IF(J229=0,0,K229/J229))</f>
        <v/>
      </c>
    </row>
    <row r="230">
      <c r="A230">
        <f>IF($B230="","",ROW()-5)</f>
        <v/>
      </c>
      <c r="D230">
        <f>IF($B230="","",IF(C230="","",TEXT(C230,"MMM")))</f>
        <v/>
      </c>
      <c r="L230">
        <f>IF($B230="","",IF(J230=0,0,K230/J230))</f>
        <v/>
      </c>
    </row>
    <row r="231">
      <c r="A231">
        <f>IF($B231="","",ROW()-5)</f>
        <v/>
      </c>
      <c r="D231">
        <f>IF($B231="","",IF(C231="","",TEXT(C231,"MMM")))</f>
        <v/>
      </c>
      <c r="L231">
        <f>IF($B231="","",IF(J231=0,0,K231/J231))</f>
        <v/>
      </c>
    </row>
    <row r="232">
      <c r="A232">
        <f>IF($B232="","",ROW()-5)</f>
        <v/>
      </c>
      <c r="D232">
        <f>IF($B232="","",IF(C232="","",TEXT(C232,"MMM")))</f>
        <v/>
      </c>
      <c r="L232">
        <f>IF($B232="","",IF(J232=0,0,K232/J232))</f>
        <v/>
      </c>
    </row>
    <row r="233">
      <c r="A233">
        <f>IF($B233="","",ROW()-5)</f>
        <v/>
      </c>
      <c r="D233">
        <f>IF($B233="","",IF(C233="","",TEXT(C233,"MMM")))</f>
        <v/>
      </c>
      <c r="L233">
        <f>IF($B233="","",IF(J233=0,0,K233/J233))</f>
        <v/>
      </c>
    </row>
    <row r="234">
      <c r="A234">
        <f>IF($B234="","",ROW()-5)</f>
        <v/>
      </c>
      <c r="D234">
        <f>IF($B234="","",IF(C234="","",TEXT(C234,"MMM")))</f>
        <v/>
      </c>
      <c r="L234">
        <f>IF($B234="","",IF(J234=0,0,K234/J234))</f>
        <v/>
      </c>
    </row>
    <row r="235">
      <c r="A235">
        <f>IF($B235="","",ROW()-5)</f>
        <v/>
      </c>
      <c r="D235">
        <f>IF($B235="","",IF(C235="","",TEXT(C235,"MMM")))</f>
        <v/>
      </c>
      <c r="L235">
        <f>IF($B235="","",IF(J235=0,0,K235/J235))</f>
        <v/>
      </c>
    </row>
    <row r="236">
      <c r="A236">
        <f>IF($B236="","",ROW()-5)</f>
        <v/>
      </c>
      <c r="D236">
        <f>IF($B236="","",IF(C236="","",TEXT(C236,"MMM")))</f>
        <v/>
      </c>
      <c r="L236">
        <f>IF($B236="","",IF(J236=0,0,K236/J236))</f>
        <v/>
      </c>
    </row>
    <row r="237">
      <c r="A237">
        <f>IF($B237="","",ROW()-5)</f>
        <v/>
      </c>
      <c r="D237">
        <f>IF($B237="","",IF(C237="","",TEXT(C237,"MMM")))</f>
        <v/>
      </c>
      <c r="L237">
        <f>IF($B237="","",IF(J237=0,0,K237/J237))</f>
        <v/>
      </c>
    </row>
    <row r="238">
      <c r="A238">
        <f>IF($B238="","",ROW()-5)</f>
        <v/>
      </c>
      <c r="D238">
        <f>IF($B238="","",IF(C238="","",TEXT(C238,"MMM")))</f>
        <v/>
      </c>
      <c r="L238">
        <f>IF($B238="","",IF(J238=0,0,K238/J238))</f>
        <v/>
      </c>
    </row>
    <row r="239">
      <c r="A239">
        <f>IF($B239="","",ROW()-5)</f>
        <v/>
      </c>
      <c r="D239">
        <f>IF($B239="","",IF(C239="","",TEXT(C239,"MMM")))</f>
        <v/>
      </c>
      <c r="L239">
        <f>IF($B239="","",IF(J239=0,0,K239/J239))</f>
        <v/>
      </c>
    </row>
    <row r="240">
      <c r="A240">
        <f>IF($B240="","",ROW()-5)</f>
        <v/>
      </c>
      <c r="D240">
        <f>IF($B240="","",IF(C240="","",TEXT(C240,"MMM")))</f>
        <v/>
      </c>
      <c r="L240">
        <f>IF($B240="","",IF(J240=0,0,K240/J240))</f>
        <v/>
      </c>
    </row>
    <row r="241">
      <c r="A241">
        <f>IF($B241="","",ROW()-5)</f>
        <v/>
      </c>
      <c r="D241">
        <f>IF($B241="","",IF(C241="","",TEXT(C241,"MMM")))</f>
        <v/>
      </c>
      <c r="L241">
        <f>IF($B241="","",IF(J241=0,0,K241/J241))</f>
        <v/>
      </c>
    </row>
    <row r="242">
      <c r="A242">
        <f>IF($B242="","",ROW()-5)</f>
        <v/>
      </c>
      <c r="D242">
        <f>IF($B242="","",IF(C242="","",TEXT(C242,"MMM")))</f>
        <v/>
      </c>
      <c r="L242">
        <f>IF($B242="","",IF(J242=0,0,K242/J242))</f>
        <v/>
      </c>
    </row>
    <row r="243">
      <c r="A243">
        <f>IF($B243="","",ROW()-5)</f>
        <v/>
      </c>
      <c r="D243">
        <f>IF($B243="","",IF(C243="","",TEXT(C243,"MMM")))</f>
        <v/>
      </c>
      <c r="L243">
        <f>IF($B243="","",IF(J243=0,0,K243/J243))</f>
        <v/>
      </c>
    </row>
    <row r="244">
      <c r="A244">
        <f>IF($B244="","",ROW()-5)</f>
        <v/>
      </c>
      <c r="D244">
        <f>IF($B244="","",IF(C244="","",TEXT(C244,"MMM")))</f>
        <v/>
      </c>
      <c r="L244">
        <f>IF($B244="","",IF(J244=0,0,K244/J244))</f>
        <v/>
      </c>
    </row>
    <row r="245">
      <c r="A245">
        <f>IF($B245="","",ROW()-5)</f>
        <v/>
      </c>
      <c r="D245">
        <f>IF($B245="","",IF(C245="","",TEXT(C245,"MMM")))</f>
        <v/>
      </c>
      <c r="L245">
        <f>IF($B245="","",IF(J245=0,0,K245/J245))</f>
        <v/>
      </c>
    </row>
    <row r="246">
      <c r="A246">
        <f>IF($B246="","",ROW()-5)</f>
        <v/>
      </c>
      <c r="D246">
        <f>IF($B246="","",IF(C246="","",TEXT(C246,"MMM")))</f>
        <v/>
      </c>
      <c r="L246">
        <f>IF($B246="","",IF(J246=0,0,K246/J246))</f>
        <v/>
      </c>
    </row>
    <row r="247">
      <c r="A247">
        <f>IF($B247="","",ROW()-5)</f>
        <v/>
      </c>
      <c r="D247">
        <f>IF($B247="","",IF(C247="","",TEXT(C247,"MMM")))</f>
        <v/>
      </c>
      <c r="L247">
        <f>IF($B247="","",IF(J247=0,0,K247/J247))</f>
        <v/>
      </c>
    </row>
    <row r="248">
      <c r="A248">
        <f>IF($B248="","",ROW()-5)</f>
        <v/>
      </c>
      <c r="D248">
        <f>IF($B248="","",IF(C248="","",TEXT(C248,"MMM")))</f>
        <v/>
      </c>
      <c r="L248">
        <f>IF($B248="","",IF(J248=0,0,K248/J248))</f>
        <v/>
      </c>
    </row>
    <row r="249">
      <c r="A249">
        <f>IF($B249="","",ROW()-5)</f>
        <v/>
      </c>
      <c r="D249">
        <f>IF($B249="","",IF(C249="","",TEXT(C249,"MMM")))</f>
        <v/>
      </c>
      <c r="L249">
        <f>IF($B249="","",IF(J249=0,0,K249/J249))</f>
        <v/>
      </c>
    </row>
    <row r="250">
      <c r="A250">
        <f>IF($B250="","",ROW()-5)</f>
        <v/>
      </c>
      <c r="D250">
        <f>IF($B250="","",IF(C250="","",TEXT(C250,"MMM")))</f>
        <v/>
      </c>
      <c r="L250">
        <f>IF($B250="","",IF(J250=0,0,K250/J250))</f>
        <v/>
      </c>
    </row>
    <row r="251">
      <c r="A251">
        <f>IF($B251="","",ROW()-5)</f>
        <v/>
      </c>
      <c r="D251">
        <f>IF($B251="","",IF(C251="","",TEXT(C251,"MMM")))</f>
        <v/>
      </c>
      <c r="L251">
        <f>IF($B251="","",IF(J251=0,0,K251/J251))</f>
        <v/>
      </c>
    </row>
    <row r="252">
      <c r="A252">
        <f>IF($B252="","",ROW()-5)</f>
        <v/>
      </c>
      <c r="D252">
        <f>IF($B252="","",IF(C252="","",TEXT(C252,"MMM")))</f>
        <v/>
      </c>
      <c r="L252">
        <f>IF($B252="","",IF(J252=0,0,K252/J252))</f>
        <v/>
      </c>
    </row>
    <row r="253">
      <c r="A253">
        <f>IF($B253="","",ROW()-5)</f>
        <v/>
      </c>
      <c r="D253">
        <f>IF($B253="","",IF(C253="","",TEXT(C253,"MMM")))</f>
        <v/>
      </c>
      <c r="L253">
        <f>IF($B253="","",IF(J253=0,0,K253/J253))</f>
        <v/>
      </c>
    </row>
    <row r="254">
      <c r="A254">
        <f>IF($B254="","",ROW()-5)</f>
        <v/>
      </c>
      <c r="D254">
        <f>IF($B254="","",IF(C254="","",TEXT(C254,"MMM")))</f>
        <v/>
      </c>
      <c r="L254">
        <f>IF($B254="","",IF(J254=0,0,K254/J254))</f>
        <v/>
      </c>
    </row>
    <row r="255">
      <c r="A255">
        <f>IF($B255="","",ROW()-5)</f>
        <v/>
      </c>
      <c r="D255">
        <f>IF($B255="","",IF(C255="","",TEXT(C255,"MMM")))</f>
        <v/>
      </c>
      <c r="L255">
        <f>IF($B255="","",IF(J255=0,0,K255/J255))</f>
        <v/>
      </c>
    </row>
    <row r="256">
      <c r="A256">
        <f>IF($B256="","",ROW()-5)</f>
        <v/>
      </c>
      <c r="D256">
        <f>IF($B256="","",IF(C256="","",TEXT(C256,"MMM")))</f>
        <v/>
      </c>
      <c r="L256">
        <f>IF($B256="","",IF(J256=0,0,K256/J256))</f>
        <v/>
      </c>
    </row>
    <row r="257">
      <c r="A257">
        <f>IF($B257="","",ROW()-5)</f>
        <v/>
      </c>
      <c r="D257">
        <f>IF($B257="","",IF(C257="","",TEXT(C257,"MMM")))</f>
        <v/>
      </c>
      <c r="L257">
        <f>IF($B257="","",IF(J257=0,0,K257/J257))</f>
        <v/>
      </c>
    </row>
    <row r="258">
      <c r="A258">
        <f>IF($B258="","",ROW()-5)</f>
        <v/>
      </c>
      <c r="D258">
        <f>IF($B258="","",IF(C258="","",TEXT(C258,"MMM")))</f>
        <v/>
      </c>
      <c r="L258">
        <f>IF($B258="","",IF(J258=0,0,K258/J258))</f>
        <v/>
      </c>
    </row>
    <row r="259">
      <c r="A259">
        <f>IF($B259="","",ROW()-5)</f>
        <v/>
      </c>
      <c r="D259">
        <f>IF($B259="","",IF(C259="","",TEXT(C259,"MMM")))</f>
        <v/>
      </c>
      <c r="L259">
        <f>IF($B259="","",IF(J259=0,0,K259/J259))</f>
        <v/>
      </c>
    </row>
    <row r="260">
      <c r="A260">
        <f>IF($B260="","",ROW()-5)</f>
        <v/>
      </c>
      <c r="D260">
        <f>IF($B260="","",IF(C260="","",TEXT(C260,"MMM")))</f>
        <v/>
      </c>
      <c r="L260">
        <f>IF($B260="","",IF(J260=0,0,K260/J260))</f>
        <v/>
      </c>
    </row>
    <row r="261">
      <c r="A261">
        <f>IF($B261="","",ROW()-5)</f>
        <v/>
      </c>
      <c r="D261">
        <f>IF($B261="","",IF(C261="","",TEXT(C261,"MMM")))</f>
        <v/>
      </c>
      <c r="L261">
        <f>IF($B261="","",IF(J261=0,0,K261/J261))</f>
        <v/>
      </c>
    </row>
    <row r="262">
      <c r="A262">
        <f>IF($B262="","",ROW()-5)</f>
        <v/>
      </c>
      <c r="D262">
        <f>IF($B262="","",IF(C262="","",TEXT(C262,"MMM")))</f>
        <v/>
      </c>
      <c r="L262">
        <f>IF($B262="","",IF(J262=0,0,K262/J262))</f>
        <v/>
      </c>
    </row>
    <row r="263">
      <c r="A263">
        <f>IF($B263="","",ROW()-5)</f>
        <v/>
      </c>
      <c r="D263">
        <f>IF($B263="","",IF(C263="","",TEXT(C263,"MMM")))</f>
        <v/>
      </c>
      <c r="L263">
        <f>IF($B263="","",IF(J263=0,0,K263/J263))</f>
        <v/>
      </c>
    </row>
    <row r="264">
      <c r="A264">
        <f>IF($B264="","",ROW()-5)</f>
        <v/>
      </c>
      <c r="D264">
        <f>IF($B264="","",IF(C264="","",TEXT(C264,"MMM")))</f>
        <v/>
      </c>
      <c r="L264">
        <f>IF($B264="","",IF(J264=0,0,K264/J264))</f>
        <v/>
      </c>
    </row>
    <row r="265">
      <c r="A265">
        <f>IF($B265="","",ROW()-5)</f>
        <v/>
      </c>
      <c r="D265">
        <f>IF($B265="","",IF(C265="","",TEXT(C265,"MMM")))</f>
        <v/>
      </c>
      <c r="L265">
        <f>IF($B265="","",IF(J265=0,0,K265/J265))</f>
        <v/>
      </c>
    </row>
    <row r="266">
      <c r="A266">
        <f>IF($B266="","",ROW()-5)</f>
        <v/>
      </c>
      <c r="D266">
        <f>IF($B266="","",IF(C266="","",TEXT(C266,"MMM")))</f>
        <v/>
      </c>
      <c r="L266">
        <f>IF($B266="","",IF(J266=0,0,K266/J266))</f>
        <v/>
      </c>
    </row>
    <row r="267">
      <c r="A267">
        <f>IF($B267="","",ROW()-5)</f>
        <v/>
      </c>
      <c r="D267">
        <f>IF($B267="","",IF(C267="","",TEXT(C267,"MMM")))</f>
        <v/>
      </c>
      <c r="L267">
        <f>IF($B267="","",IF(J267=0,0,K267/J267))</f>
        <v/>
      </c>
    </row>
    <row r="268">
      <c r="A268">
        <f>IF($B268="","",ROW()-5)</f>
        <v/>
      </c>
      <c r="D268">
        <f>IF($B268="","",IF(C268="","",TEXT(C268,"MMM")))</f>
        <v/>
      </c>
      <c r="L268">
        <f>IF($B268="","",IF(J268=0,0,K268/J268))</f>
        <v/>
      </c>
    </row>
    <row r="269">
      <c r="A269">
        <f>IF($B269="","",ROW()-5)</f>
        <v/>
      </c>
      <c r="D269">
        <f>IF($B269="","",IF(C269="","",TEXT(C269,"MMM")))</f>
        <v/>
      </c>
      <c r="L269">
        <f>IF($B269="","",IF(J269=0,0,K269/J269))</f>
        <v/>
      </c>
    </row>
    <row r="270">
      <c r="A270">
        <f>IF($B270="","",ROW()-5)</f>
        <v/>
      </c>
      <c r="D270">
        <f>IF($B270="","",IF(C270="","",TEXT(C270,"MMM")))</f>
        <v/>
      </c>
      <c r="L270">
        <f>IF($B270="","",IF(J270=0,0,K270/J270))</f>
        <v/>
      </c>
    </row>
    <row r="271">
      <c r="A271">
        <f>IF($B271="","",ROW()-5)</f>
        <v/>
      </c>
      <c r="D271">
        <f>IF($B271="","",IF(C271="","",TEXT(C271,"MMM")))</f>
        <v/>
      </c>
      <c r="L271">
        <f>IF($B271="","",IF(J271=0,0,K271/J271))</f>
        <v/>
      </c>
    </row>
    <row r="272">
      <c r="A272">
        <f>IF($B272="","",ROW()-5)</f>
        <v/>
      </c>
      <c r="D272">
        <f>IF($B272="","",IF(C272="","",TEXT(C272,"MMM")))</f>
        <v/>
      </c>
      <c r="L272">
        <f>IF($B272="","",IF(J272=0,0,K272/J272))</f>
        <v/>
      </c>
    </row>
    <row r="273">
      <c r="A273">
        <f>IF($B273="","",ROW()-5)</f>
        <v/>
      </c>
      <c r="D273">
        <f>IF($B273="","",IF(C273="","",TEXT(C273,"MMM")))</f>
        <v/>
      </c>
      <c r="L273">
        <f>IF($B273="","",IF(J273=0,0,K273/J273))</f>
        <v/>
      </c>
    </row>
    <row r="274">
      <c r="A274">
        <f>IF($B274="","",ROW()-5)</f>
        <v/>
      </c>
      <c r="D274">
        <f>IF($B274="","",IF(C274="","",TEXT(C274,"MMM")))</f>
        <v/>
      </c>
      <c r="L274">
        <f>IF($B274="","",IF(J274=0,0,K274/J274))</f>
        <v/>
      </c>
    </row>
    <row r="275">
      <c r="A275">
        <f>IF($B275="","",ROW()-5)</f>
        <v/>
      </c>
      <c r="D275">
        <f>IF($B275="","",IF(C275="","",TEXT(C275,"MMM")))</f>
        <v/>
      </c>
      <c r="L275">
        <f>IF($B275="","",IF(J275=0,0,K275/J275))</f>
        <v/>
      </c>
    </row>
    <row r="276">
      <c r="A276">
        <f>IF($B276="","",ROW()-5)</f>
        <v/>
      </c>
      <c r="D276">
        <f>IF($B276="","",IF(C276="","",TEXT(C276,"MMM")))</f>
        <v/>
      </c>
      <c r="L276">
        <f>IF($B276="","",IF(J276=0,0,K276/J276))</f>
        <v/>
      </c>
    </row>
    <row r="277">
      <c r="A277">
        <f>IF($B277="","",ROW()-5)</f>
        <v/>
      </c>
      <c r="D277">
        <f>IF($B277="","",IF(C277="","",TEXT(C277,"MMM")))</f>
        <v/>
      </c>
      <c r="L277">
        <f>IF($B277="","",IF(J277=0,0,K277/J277))</f>
        <v/>
      </c>
    </row>
    <row r="278">
      <c r="A278">
        <f>IF($B278="","",ROW()-5)</f>
        <v/>
      </c>
      <c r="D278">
        <f>IF($B278="","",IF(C278="","",TEXT(C278,"MMM")))</f>
        <v/>
      </c>
      <c r="L278">
        <f>IF($B278="","",IF(J278=0,0,K278/J278))</f>
        <v/>
      </c>
    </row>
    <row r="279">
      <c r="A279">
        <f>IF($B279="","",ROW()-5)</f>
        <v/>
      </c>
      <c r="D279">
        <f>IF($B279="","",IF(C279="","",TEXT(C279,"MMM")))</f>
        <v/>
      </c>
      <c r="L279">
        <f>IF($B279="","",IF(J279=0,0,K279/J279))</f>
        <v/>
      </c>
    </row>
    <row r="280">
      <c r="A280">
        <f>IF($B280="","",ROW()-5)</f>
        <v/>
      </c>
      <c r="D280">
        <f>IF($B280="","",IF(C280="","",TEXT(C280,"MMM")))</f>
        <v/>
      </c>
      <c r="L280">
        <f>IF($B280="","",IF(J280=0,0,K280/J280))</f>
        <v/>
      </c>
    </row>
    <row r="281">
      <c r="A281">
        <f>IF($B281="","",ROW()-5)</f>
        <v/>
      </c>
      <c r="D281">
        <f>IF($B281="","",IF(C281="","",TEXT(C281,"MMM")))</f>
        <v/>
      </c>
      <c r="L281">
        <f>IF($B281="","",IF(J281=0,0,K281/J281))</f>
        <v/>
      </c>
    </row>
    <row r="282">
      <c r="A282">
        <f>IF($B282="","",ROW()-5)</f>
        <v/>
      </c>
      <c r="D282">
        <f>IF($B282="","",IF(C282="","",TEXT(C282,"MMM")))</f>
        <v/>
      </c>
      <c r="L282">
        <f>IF($B282="","",IF(J282=0,0,K282/J282))</f>
        <v/>
      </c>
    </row>
    <row r="283">
      <c r="A283">
        <f>IF($B283="","",ROW()-5)</f>
        <v/>
      </c>
      <c r="D283">
        <f>IF($B283="","",IF(C283="","",TEXT(C283,"MMM")))</f>
        <v/>
      </c>
      <c r="L283">
        <f>IF($B283="","",IF(J283=0,0,K283/J283))</f>
        <v/>
      </c>
    </row>
    <row r="284">
      <c r="A284">
        <f>IF($B284="","",ROW()-5)</f>
        <v/>
      </c>
      <c r="D284">
        <f>IF($B284="","",IF(C284="","",TEXT(C284,"MMM")))</f>
        <v/>
      </c>
      <c r="L284">
        <f>IF($B284="","",IF(J284=0,0,K284/J284))</f>
        <v/>
      </c>
    </row>
    <row r="285">
      <c r="A285">
        <f>IF($B285="","",ROW()-5)</f>
        <v/>
      </c>
      <c r="D285">
        <f>IF($B285="","",IF(C285="","",TEXT(C285,"MMM")))</f>
        <v/>
      </c>
      <c r="L285">
        <f>IF($B285="","",IF(J285=0,0,K285/J285))</f>
        <v/>
      </c>
    </row>
    <row r="286">
      <c r="A286">
        <f>IF($B286="","",ROW()-5)</f>
        <v/>
      </c>
      <c r="D286">
        <f>IF($B286="","",IF(C286="","",TEXT(C286,"MMM")))</f>
        <v/>
      </c>
      <c r="L286">
        <f>IF($B286="","",IF(J286=0,0,K286/J286))</f>
        <v/>
      </c>
    </row>
    <row r="287">
      <c r="A287">
        <f>IF($B287="","",ROW()-5)</f>
        <v/>
      </c>
      <c r="D287">
        <f>IF($B287="","",IF(C287="","",TEXT(C287,"MMM")))</f>
        <v/>
      </c>
      <c r="L287">
        <f>IF($B287="","",IF(J287=0,0,K287/J287))</f>
        <v/>
      </c>
    </row>
    <row r="288">
      <c r="A288">
        <f>IF($B288="","",ROW()-5)</f>
        <v/>
      </c>
      <c r="D288">
        <f>IF($B288="","",IF(C288="","",TEXT(C288,"MMM")))</f>
        <v/>
      </c>
      <c r="L288">
        <f>IF($B288="","",IF(J288=0,0,K288/J288))</f>
        <v/>
      </c>
    </row>
    <row r="289">
      <c r="A289">
        <f>IF($B289="","",ROW()-5)</f>
        <v/>
      </c>
      <c r="D289">
        <f>IF($B289="","",IF(C289="","",TEXT(C289,"MMM")))</f>
        <v/>
      </c>
      <c r="L289">
        <f>IF($B289="","",IF(J289=0,0,K289/J289))</f>
        <v/>
      </c>
    </row>
    <row r="290">
      <c r="A290">
        <f>IF($B290="","",ROW()-5)</f>
        <v/>
      </c>
      <c r="D290">
        <f>IF($B290="","",IF(C290="","",TEXT(C290,"MMM")))</f>
        <v/>
      </c>
      <c r="L290">
        <f>IF($B290="","",IF(J290=0,0,K290/J290))</f>
        <v/>
      </c>
    </row>
    <row r="291">
      <c r="A291">
        <f>IF($B291="","",ROW()-5)</f>
        <v/>
      </c>
      <c r="D291">
        <f>IF($B291="","",IF(C291="","",TEXT(C291,"MMM")))</f>
        <v/>
      </c>
      <c r="L291">
        <f>IF($B291="","",IF(J291=0,0,K291/J291))</f>
        <v/>
      </c>
    </row>
    <row r="292">
      <c r="A292">
        <f>IF($B292="","",ROW()-5)</f>
        <v/>
      </c>
      <c r="D292">
        <f>IF($B292="","",IF(C292="","",TEXT(C292,"MMM")))</f>
        <v/>
      </c>
      <c r="L292">
        <f>IF($B292="","",IF(J292=0,0,K292/J292))</f>
        <v/>
      </c>
    </row>
    <row r="293">
      <c r="A293">
        <f>IF($B293="","",ROW()-5)</f>
        <v/>
      </c>
      <c r="D293">
        <f>IF($B293="","",IF(C293="","",TEXT(C293,"MMM")))</f>
        <v/>
      </c>
      <c r="L293">
        <f>IF($B293="","",IF(J293=0,0,K293/J293))</f>
        <v/>
      </c>
    </row>
    <row r="294">
      <c r="A294">
        <f>IF($B294="","",ROW()-5)</f>
        <v/>
      </c>
      <c r="D294">
        <f>IF($B294="","",IF(C294="","",TEXT(C294,"MMM")))</f>
        <v/>
      </c>
      <c r="L294">
        <f>IF($B294="","",IF(J294=0,0,K294/J294))</f>
        <v/>
      </c>
    </row>
    <row r="295">
      <c r="A295">
        <f>IF($B295="","",ROW()-5)</f>
        <v/>
      </c>
      <c r="D295">
        <f>IF($B295="","",IF(C295="","",TEXT(C295,"MMM")))</f>
        <v/>
      </c>
      <c r="L295">
        <f>IF($B295="","",IF(J295=0,0,K295/J295))</f>
        <v/>
      </c>
    </row>
    <row r="296">
      <c r="A296">
        <f>IF($B296="","",ROW()-5)</f>
        <v/>
      </c>
      <c r="D296">
        <f>IF($B296="","",IF(C296="","",TEXT(C296,"MMM")))</f>
        <v/>
      </c>
      <c r="L296">
        <f>IF($B296="","",IF(J296=0,0,K296/J296))</f>
        <v/>
      </c>
    </row>
    <row r="297">
      <c r="A297">
        <f>IF($B297="","",ROW()-5)</f>
        <v/>
      </c>
      <c r="D297">
        <f>IF($B297="","",IF(C297="","",TEXT(C297,"MMM")))</f>
        <v/>
      </c>
      <c r="L297">
        <f>IF($B297="","",IF(J297=0,0,K297/J297))</f>
        <v/>
      </c>
    </row>
    <row r="298">
      <c r="A298">
        <f>IF($B298="","",ROW()-5)</f>
        <v/>
      </c>
      <c r="D298">
        <f>IF($B298="","",IF(C298="","",TEXT(C298,"MMM")))</f>
        <v/>
      </c>
      <c r="L298">
        <f>IF($B298="","",IF(J298=0,0,K298/J298))</f>
        <v/>
      </c>
    </row>
    <row r="299">
      <c r="A299">
        <f>IF($B299="","",ROW()-5)</f>
        <v/>
      </c>
      <c r="D299">
        <f>IF($B299="","",IF(C299="","",TEXT(C299,"MMM")))</f>
        <v/>
      </c>
      <c r="L299">
        <f>IF($B299="","",IF(J299=0,0,K299/J299))</f>
        <v/>
      </c>
    </row>
    <row r="300">
      <c r="A300">
        <f>IF($B300="","",ROW()-5)</f>
        <v/>
      </c>
      <c r="D300">
        <f>IF($B300="","",IF(C300="","",TEXT(C300,"MMM")))</f>
        <v/>
      </c>
      <c r="L300">
        <f>IF($B300="","",IF(J300=0,0,K300/J300))</f>
        <v/>
      </c>
    </row>
    <row r="301">
      <c r="A301">
        <f>IF($B301="","",ROW()-5)</f>
        <v/>
      </c>
      <c r="D301">
        <f>IF($B301="","",IF(C301="","",TEXT(C301,"MMM")))</f>
        <v/>
      </c>
      <c r="L301">
        <f>IF($B301="","",IF(J301=0,0,K301/J301))</f>
        <v/>
      </c>
    </row>
    <row r="302">
      <c r="A302">
        <f>IF($B302="","",ROW()-5)</f>
        <v/>
      </c>
      <c r="D302">
        <f>IF($B302="","",IF(C302="","",TEXT(C302,"MMM")))</f>
        <v/>
      </c>
      <c r="L302">
        <f>IF($B302="","",IF(J302=0,0,K302/J302))</f>
        <v/>
      </c>
    </row>
    <row r="303">
      <c r="A303">
        <f>IF($B303="","",ROW()-5)</f>
        <v/>
      </c>
      <c r="D303">
        <f>IF($B303="","",IF(C303="","",TEXT(C303,"MMM")))</f>
        <v/>
      </c>
      <c r="L303">
        <f>IF($B303="","",IF(J303=0,0,K303/J303))</f>
        <v/>
      </c>
    </row>
    <row r="304">
      <c r="A304">
        <f>IF($B304="","",ROW()-5)</f>
        <v/>
      </c>
      <c r="D304">
        <f>IF($B304="","",IF(C304="","",TEXT(C304,"MMM")))</f>
        <v/>
      </c>
      <c r="L304">
        <f>IF($B304="","",IF(J304=0,0,K304/J304))</f>
        <v/>
      </c>
    </row>
    <row r="305">
      <c r="A305">
        <f>IF($B305="","",ROW()-5)</f>
        <v/>
      </c>
      <c r="D305">
        <f>IF($B305="","",IF(C305="","",TEXT(C305,"MMM")))</f>
        <v/>
      </c>
      <c r="L305">
        <f>IF($B305="","",IF(J305=0,0,K305/J305))</f>
        <v/>
      </c>
    </row>
    <row r="306">
      <c r="A306">
        <f>IF($B306="","",ROW()-5)</f>
        <v/>
      </c>
      <c r="D306">
        <f>IF($B306="","",IF(C306="","",TEXT(C306,"MMM")))</f>
        <v/>
      </c>
      <c r="L306">
        <f>IF($B306="","",IF(J306=0,0,K306/J306))</f>
        <v/>
      </c>
    </row>
    <row r="307">
      <c r="A307">
        <f>IF($B307="","",ROW()-5)</f>
        <v/>
      </c>
      <c r="D307">
        <f>IF($B307="","",IF(C307="","",TEXT(C307,"MMM")))</f>
        <v/>
      </c>
      <c r="L307">
        <f>IF($B307="","",IF(J307=0,0,K307/J307))</f>
        <v/>
      </c>
    </row>
    <row r="308">
      <c r="A308">
        <f>IF($B308="","",ROW()-5)</f>
        <v/>
      </c>
      <c r="D308">
        <f>IF($B308="","",IF(C308="","",TEXT(C308,"MMM")))</f>
        <v/>
      </c>
      <c r="L308">
        <f>IF($B308="","",IF(J308=0,0,K308/J308))</f>
        <v/>
      </c>
    </row>
    <row r="309">
      <c r="A309">
        <f>IF($B309="","",ROW()-5)</f>
        <v/>
      </c>
      <c r="D309">
        <f>IF($B309="","",IF(C309="","",TEXT(C309,"MMM")))</f>
        <v/>
      </c>
      <c r="L309">
        <f>IF($B309="","",IF(J309=0,0,K309/J309))</f>
        <v/>
      </c>
    </row>
    <row r="310">
      <c r="A310">
        <f>IF($B310="","",ROW()-5)</f>
        <v/>
      </c>
      <c r="D310">
        <f>IF($B310="","",IF(C310="","",TEXT(C310,"MMM")))</f>
        <v/>
      </c>
      <c r="L310">
        <f>IF($B310="","",IF(J310=0,0,K310/J310))</f>
        <v/>
      </c>
    </row>
    <row r="311">
      <c r="A311">
        <f>IF($B311="","",ROW()-5)</f>
        <v/>
      </c>
      <c r="D311">
        <f>IF($B311="","",IF(C311="","",TEXT(C311,"MMM")))</f>
        <v/>
      </c>
      <c r="L311">
        <f>IF($B311="","",IF(J311=0,0,K311/J311))</f>
        <v/>
      </c>
    </row>
    <row r="312">
      <c r="A312">
        <f>IF($B312="","",ROW()-5)</f>
        <v/>
      </c>
      <c r="D312">
        <f>IF($B312="","",IF(C312="","",TEXT(C312,"MMM")))</f>
        <v/>
      </c>
      <c r="L312">
        <f>IF($B312="","",IF(J312=0,0,K312/J312))</f>
        <v/>
      </c>
    </row>
    <row r="313">
      <c r="A313">
        <f>IF($B313="","",ROW()-5)</f>
        <v/>
      </c>
      <c r="D313">
        <f>IF($B313="","",IF(C313="","",TEXT(C313,"MMM")))</f>
        <v/>
      </c>
      <c r="L313">
        <f>IF($B313="","",IF(J313=0,0,K313/J313))</f>
        <v/>
      </c>
    </row>
    <row r="314">
      <c r="A314">
        <f>IF($B314="","",ROW()-5)</f>
        <v/>
      </c>
      <c r="D314">
        <f>IF($B314="","",IF(C314="","",TEXT(C314,"MMM")))</f>
        <v/>
      </c>
      <c r="L314">
        <f>IF($B314="","",IF(J314=0,0,K314/J314))</f>
        <v/>
      </c>
    </row>
    <row r="315">
      <c r="A315">
        <f>IF($B315="","",ROW()-5)</f>
        <v/>
      </c>
      <c r="D315">
        <f>IF($B315="","",IF(C315="","",TEXT(C315,"MMM")))</f>
        <v/>
      </c>
      <c r="L315">
        <f>IF($B315="","",IF(J315=0,0,K315/J315))</f>
        <v/>
      </c>
    </row>
    <row r="316">
      <c r="A316">
        <f>IF($B316="","",ROW()-5)</f>
        <v/>
      </c>
      <c r="D316">
        <f>IF($B316="","",IF(C316="","",TEXT(C316,"MMM")))</f>
        <v/>
      </c>
      <c r="L316">
        <f>IF($B316="","",IF(J316=0,0,K316/J316))</f>
        <v/>
      </c>
    </row>
    <row r="317">
      <c r="A317">
        <f>IF($B317="","",ROW()-5)</f>
        <v/>
      </c>
      <c r="D317">
        <f>IF($B317="","",IF(C317="","",TEXT(C317,"MMM")))</f>
        <v/>
      </c>
      <c r="L317">
        <f>IF($B317="","",IF(J317=0,0,K317/J317))</f>
        <v/>
      </c>
    </row>
    <row r="318">
      <c r="A318">
        <f>IF($B318="","",ROW()-5)</f>
        <v/>
      </c>
      <c r="D318">
        <f>IF($B318="","",IF(C318="","",TEXT(C318,"MMM")))</f>
        <v/>
      </c>
      <c r="L318">
        <f>IF($B318="","",IF(J318=0,0,K318/J318))</f>
        <v/>
      </c>
    </row>
    <row r="319">
      <c r="A319">
        <f>IF($B319="","",ROW()-5)</f>
        <v/>
      </c>
      <c r="D319">
        <f>IF($B319="","",IF(C319="","",TEXT(C319,"MMM")))</f>
        <v/>
      </c>
      <c r="L319">
        <f>IF($B319="","",IF(J319=0,0,K319/J319))</f>
        <v/>
      </c>
    </row>
    <row r="320">
      <c r="A320">
        <f>IF($B320="","",ROW()-5)</f>
        <v/>
      </c>
      <c r="D320">
        <f>IF($B320="","",IF(C320="","",TEXT(C320,"MMM")))</f>
        <v/>
      </c>
      <c r="L320">
        <f>IF($B320="","",IF(J320=0,0,K320/J320))</f>
        <v/>
      </c>
    </row>
    <row r="321">
      <c r="A321">
        <f>IF($B321="","",ROW()-5)</f>
        <v/>
      </c>
      <c r="D321">
        <f>IF($B321="","",IF(C321="","",TEXT(C321,"MMM")))</f>
        <v/>
      </c>
      <c r="L321">
        <f>IF($B321="","",IF(J321=0,0,K321/J321))</f>
        <v/>
      </c>
    </row>
    <row r="322">
      <c r="A322">
        <f>IF($B322="","",ROW()-5)</f>
        <v/>
      </c>
      <c r="D322">
        <f>IF($B322="","",IF(C322="","",TEXT(C322,"MMM")))</f>
        <v/>
      </c>
      <c r="L322">
        <f>IF($B322="","",IF(J322=0,0,K322/J322))</f>
        <v/>
      </c>
    </row>
    <row r="323">
      <c r="A323">
        <f>IF($B323="","",ROW()-5)</f>
        <v/>
      </c>
      <c r="D323">
        <f>IF($B323="","",IF(C323="","",TEXT(C323,"MMM")))</f>
        <v/>
      </c>
      <c r="L323">
        <f>IF($B323="","",IF(J323=0,0,K323/J323))</f>
        <v/>
      </c>
    </row>
    <row r="324">
      <c r="A324">
        <f>IF($B324="","",ROW()-5)</f>
        <v/>
      </c>
      <c r="D324">
        <f>IF($B324="","",IF(C324="","",TEXT(C324,"MMM")))</f>
        <v/>
      </c>
      <c r="L324">
        <f>IF($B324="","",IF(J324=0,0,K324/J324))</f>
        <v/>
      </c>
    </row>
    <row r="325">
      <c r="A325">
        <f>IF($B325="","",ROW()-5)</f>
        <v/>
      </c>
      <c r="D325">
        <f>IF($B325="","",IF(C325="","",TEXT(C325,"MMM")))</f>
        <v/>
      </c>
      <c r="L325">
        <f>IF($B325="","",IF(J325=0,0,K325/J325))</f>
        <v/>
      </c>
    </row>
    <row r="326">
      <c r="A326">
        <f>IF($B326="","",ROW()-5)</f>
        <v/>
      </c>
      <c r="D326">
        <f>IF($B326="","",IF(C326="","",TEXT(C326,"MMM")))</f>
        <v/>
      </c>
      <c r="L326">
        <f>IF($B326="","",IF(J326=0,0,K326/J326))</f>
        <v/>
      </c>
    </row>
    <row r="327">
      <c r="A327">
        <f>IF($B327="","",ROW()-5)</f>
        <v/>
      </c>
      <c r="D327">
        <f>IF($B327="","",IF(C327="","",TEXT(C327,"MMM")))</f>
        <v/>
      </c>
      <c r="L327">
        <f>IF($B327="","",IF(J327=0,0,K327/J327))</f>
        <v/>
      </c>
    </row>
    <row r="328">
      <c r="A328">
        <f>IF($B328="","",ROW()-5)</f>
        <v/>
      </c>
      <c r="D328">
        <f>IF($B328="","",IF(C328="","",TEXT(C328,"MMM")))</f>
        <v/>
      </c>
      <c r="L328">
        <f>IF($B328="","",IF(J328=0,0,K328/J328))</f>
        <v/>
      </c>
    </row>
    <row r="329">
      <c r="A329">
        <f>IF($B329="","",ROW()-5)</f>
        <v/>
      </c>
      <c r="D329">
        <f>IF($B329="","",IF(C329="","",TEXT(C329,"MMM")))</f>
        <v/>
      </c>
      <c r="L329">
        <f>IF($B329="","",IF(J329=0,0,K329/J329))</f>
        <v/>
      </c>
    </row>
    <row r="330">
      <c r="A330">
        <f>IF($B330="","",ROW()-5)</f>
        <v/>
      </c>
      <c r="D330">
        <f>IF($B330="","",IF(C330="","",TEXT(C330,"MMM")))</f>
        <v/>
      </c>
      <c r="L330">
        <f>IF($B330="","",IF(J330=0,0,K330/J330))</f>
        <v/>
      </c>
    </row>
    <row r="331">
      <c r="A331">
        <f>IF($B331="","",ROW()-5)</f>
        <v/>
      </c>
      <c r="D331">
        <f>IF($B331="","",IF(C331="","",TEXT(C331,"MMM")))</f>
        <v/>
      </c>
      <c r="L331">
        <f>IF($B331="","",IF(J331=0,0,K331/J331))</f>
        <v/>
      </c>
    </row>
    <row r="332">
      <c r="A332">
        <f>IF($B332="","",ROW()-5)</f>
        <v/>
      </c>
      <c r="D332">
        <f>IF($B332="","",IF(C332="","",TEXT(C332,"MMM")))</f>
        <v/>
      </c>
      <c r="L332">
        <f>IF($B332="","",IF(J332=0,0,K332/J332))</f>
        <v/>
      </c>
    </row>
    <row r="333">
      <c r="A333">
        <f>IF($B333="","",ROW()-5)</f>
        <v/>
      </c>
      <c r="D333">
        <f>IF($B333="","",IF(C333="","",TEXT(C333,"MMM")))</f>
        <v/>
      </c>
      <c r="L333">
        <f>IF($B333="","",IF(J333=0,0,K333/J333))</f>
        <v/>
      </c>
    </row>
    <row r="334">
      <c r="A334">
        <f>IF($B334="","",ROW()-5)</f>
        <v/>
      </c>
      <c r="D334">
        <f>IF($B334="","",IF(C334="","",TEXT(C334,"MMM")))</f>
        <v/>
      </c>
      <c r="L334">
        <f>IF($B334="","",IF(J334=0,0,K334/J334))</f>
        <v/>
      </c>
    </row>
    <row r="335">
      <c r="A335">
        <f>IF($B335="","",ROW()-5)</f>
        <v/>
      </c>
      <c r="D335">
        <f>IF($B335="","",IF(C335="","",TEXT(C335,"MMM")))</f>
        <v/>
      </c>
      <c r="L335">
        <f>IF($B335="","",IF(J335=0,0,K335/J335))</f>
        <v/>
      </c>
    </row>
    <row r="336">
      <c r="A336">
        <f>IF($B336="","",ROW()-5)</f>
        <v/>
      </c>
      <c r="D336">
        <f>IF($B336="","",IF(C336="","",TEXT(C336,"MMM")))</f>
        <v/>
      </c>
      <c r="L336">
        <f>IF($B336="","",IF(J336=0,0,K336/J336))</f>
        <v/>
      </c>
    </row>
    <row r="337">
      <c r="A337">
        <f>IF($B337="","",ROW()-5)</f>
        <v/>
      </c>
      <c r="D337">
        <f>IF($B337="","",IF(C337="","",TEXT(C337,"MMM")))</f>
        <v/>
      </c>
      <c r="L337">
        <f>IF($B337="","",IF(J337=0,0,K337/J337))</f>
        <v/>
      </c>
    </row>
    <row r="338">
      <c r="A338">
        <f>IF($B338="","",ROW()-5)</f>
        <v/>
      </c>
      <c r="D338">
        <f>IF($B338="","",IF(C338="","",TEXT(C338,"MMM")))</f>
        <v/>
      </c>
      <c r="L338">
        <f>IF($B338="","",IF(J338=0,0,K338/J338))</f>
        <v/>
      </c>
    </row>
    <row r="339">
      <c r="A339">
        <f>IF($B339="","",ROW()-5)</f>
        <v/>
      </c>
      <c r="D339">
        <f>IF($B339="","",IF(C339="","",TEXT(C339,"MMM")))</f>
        <v/>
      </c>
      <c r="L339">
        <f>IF($B339="","",IF(J339=0,0,K339/J339))</f>
        <v/>
      </c>
    </row>
    <row r="340">
      <c r="A340">
        <f>IF($B340="","",ROW()-5)</f>
        <v/>
      </c>
      <c r="D340">
        <f>IF($B340="","",IF(C340="","",TEXT(C340,"MMM")))</f>
        <v/>
      </c>
      <c r="L340">
        <f>IF($B340="","",IF(J340=0,0,K340/J340))</f>
        <v/>
      </c>
    </row>
    <row r="341">
      <c r="A341">
        <f>IF($B341="","",ROW()-5)</f>
        <v/>
      </c>
      <c r="D341">
        <f>IF($B341="","",IF(C341="","",TEXT(C341,"MMM")))</f>
        <v/>
      </c>
      <c r="L341">
        <f>IF($B341="","",IF(J341=0,0,K341/J341))</f>
        <v/>
      </c>
    </row>
    <row r="342">
      <c r="A342">
        <f>IF($B342="","",ROW()-5)</f>
        <v/>
      </c>
      <c r="D342">
        <f>IF($B342="","",IF(C342="","",TEXT(C342,"MMM")))</f>
        <v/>
      </c>
      <c r="L342">
        <f>IF($B342="","",IF(J342=0,0,K342/J342))</f>
        <v/>
      </c>
    </row>
    <row r="343">
      <c r="A343">
        <f>IF($B343="","",ROW()-5)</f>
        <v/>
      </c>
      <c r="D343">
        <f>IF($B343="","",IF(C343="","",TEXT(C343,"MMM")))</f>
        <v/>
      </c>
      <c r="L343">
        <f>IF($B343="","",IF(J343=0,0,K343/J343))</f>
        <v/>
      </c>
    </row>
    <row r="344">
      <c r="A344">
        <f>IF($B344="","",ROW()-5)</f>
        <v/>
      </c>
      <c r="D344">
        <f>IF($B344="","",IF(C344="","",TEXT(C344,"MMM")))</f>
        <v/>
      </c>
      <c r="L344">
        <f>IF($B344="","",IF(J344=0,0,K344/J344))</f>
        <v/>
      </c>
    </row>
    <row r="345">
      <c r="A345">
        <f>IF($B345="","",ROW()-5)</f>
        <v/>
      </c>
      <c r="D345">
        <f>IF($B345="","",IF(C345="","",TEXT(C345,"MMM")))</f>
        <v/>
      </c>
      <c r="L345">
        <f>IF($B345="","",IF(J345=0,0,K345/J345))</f>
        <v/>
      </c>
    </row>
    <row r="346">
      <c r="A346">
        <f>IF($B346="","",ROW()-5)</f>
        <v/>
      </c>
      <c r="D346">
        <f>IF($B346="","",IF(C346="","",TEXT(C346,"MMM")))</f>
        <v/>
      </c>
      <c r="L346">
        <f>IF($B346="","",IF(J346=0,0,K346/J346))</f>
        <v/>
      </c>
    </row>
    <row r="347">
      <c r="A347">
        <f>IF($B347="","",ROW()-5)</f>
        <v/>
      </c>
      <c r="D347">
        <f>IF($B347="","",IF(C347="","",TEXT(C347,"MMM")))</f>
        <v/>
      </c>
      <c r="L347">
        <f>IF($B347="","",IF(J347=0,0,K347/J347))</f>
        <v/>
      </c>
    </row>
    <row r="348">
      <c r="A348">
        <f>IF($B348="","",ROW()-5)</f>
        <v/>
      </c>
      <c r="D348">
        <f>IF($B348="","",IF(C348="","",TEXT(C348,"MMM")))</f>
        <v/>
      </c>
      <c r="L348">
        <f>IF($B348="","",IF(J348=0,0,K348/J348))</f>
        <v/>
      </c>
    </row>
    <row r="349">
      <c r="A349">
        <f>IF($B349="","",ROW()-5)</f>
        <v/>
      </c>
      <c r="D349">
        <f>IF($B349="","",IF(C349="","",TEXT(C349,"MMM")))</f>
        <v/>
      </c>
      <c r="L349">
        <f>IF($B349="","",IF(J349=0,0,K349/J349))</f>
        <v/>
      </c>
    </row>
    <row r="350">
      <c r="A350">
        <f>IF($B350="","",ROW()-5)</f>
        <v/>
      </c>
      <c r="D350">
        <f>IF($B350="","",IF(C350="","",TEXT(C350,"MMM")))</f>
        <v/>
      </c>
      <c r="L350">
        <f>IF($B350="","",IF(J350=0,0,K350/J350))</f>
        <v/>
      </c>
    </row>
    <row r="351">
      <c r="A351">
        <f>IF($B351="","",ROW()-5)</f>
        <v/>
      </c>
      <c r="D351">
        <f>IF($B351="","",IF(C351="","",TEXT(C351,"MMM")))</f>
        <v/>
      </c>
      <c r="L351">
        <f>IF($B351="","",IF(J351=0,0,K351/J351))</f>
        <v/>
      </c>
    </row>
    <row r="352">
      <c r="A352">
        <f>IF($B352="","",ROW()-5)</f>
        <v/>
      </c>
      <c r="D352">
        <f>IF($B352="","",IF(C352="","",TEXT(C352,"MMM")))</f>
        <v/>
      </c>
      <c r="L352">
        <f>IF($B352="","",IF(J352=0,0,K352/J352))</f>
        <v/>
      </c>
    </row>
    <row r="353">
      <c r="A353">
        <f>IF($B353="","",ROW()-5)</f>
        <v/>
      </c>
      <c r="D353">
        <f>IF($B353="","",IF(C353="","",TEXT(C353,"MMM")))</f>
        <v/>
      </c>
      <c r="L353">
        <f>IF($B353="","",IF(J353=0,0,K353/J353))</f>
        <v/>
      </c>
    </row>
    <row r="354">
      <c r="A354">
        <f>IF($B354="","",ROW()-5)</f>
        <v/>
      </c>
      <c r="D354">
        <f>IF($B354="","",IF(C354="","",TEXT(C354,"MMM")))</f>
        <v/>
      </c>
      <c r="L354">
        <f>IF($B354="","",IF(J354=0,0,K354/J354))</f>
        <v/>
      </c>
    </row>
    <row r="355">
      <c r="A355">
        <f>IF($B355="","",ROW()-5)</f>
        <v/>
      </c>
      <c r="D355">
        <f>IF($B355="","",IF(C355="","",TEXT(C355,"MMM")))</f>
        <v/>
      </c>
      <c r="L355">
        <f>IF($B355="","",IF(J355=0,0,K355/J355))</f>
        <v/>
      </c>
    </row>
    <row r="356">
      <c r="A356">
        <f>IF($B356="","",ROW()-5)</f>
        <v/>
      </c>
      <c r="D356">
        <f>IF($B356="","",IF(C356="","",TEXT(C356,"MMM")))</f>
        <v/>
      </c>
      <c r="L356">
        <f>IF($B356="","",IF(J356=0,0,K356/J356))</f>
        <v/>
      </c>
    </row>
    <row r="357">
      <c r="A357">
        <f>IF($B357="","",ROW()-5)</f>
        <v/>
      </c>
      <c r="D357">
        <f>IF($B357="","",IF(C357="","",TEXT(C357,"MMM")))</f>
        <v/>
      </c>
      <c r="L357">
        <f>IF($B357="","",IF(J357=0,0,K357/J357))</f>
        <v/>
      </c>
    </row>
    <row r="358">
      <c r="A358">
        <f>IF($B358="","",ROW()-5)</f>
        <v/>
      </c>
      <c r="D358">
        <f>IF($B358="","",IF(C358="","",TEXT(C358,"MMM")))</f>
        <v/>
      </c>
      <c r="L358">
        <f>IF($B358="","",IF(J358=0,0,K358/J358))</f>
        <v/>
      </c>
    </row>
    <row r="359">
      <c r="A359">
        <f>IF($B359="","",ROW()-5)</f>
        <v/>
      </c>
      <c r="D359">
        <f>IF($B359="","",IF(C359="","",TEXT(C359,"MMM")))</f>
        <v/>
      </c>
      <c r="L359">
        <f>IF($B359="","",IF(J359=0,0,K359/J359))</f>
        <v/>
      </c>
    </row>
    <row r="360">
      <c r="A360">
        <f>IF($B360="","",ROW()-5)</f>
        <v/>
      </c>
      <c r="D360">
        <f>IF($B360="","",IF(C360="","",TEXT(C360,"MMM")))</f>
        <v/>
      </c>
      <c r="L360">
        <f>IF($B360="","",IF(J360=0,0,K360/J360))</f>
        <v/>
      </c>
    </row>
    <row r="361">
      <c r="A361">
        <f>IF($B361="","",ROW()-5)</f>
        <v/>
      </c>
      <c r="D361">
        <f>IF($B361="","",IF(C361="","",TEXT(C361,"MMM")))</f>
        <v/>
      </c>
      <c r="L361">
        <f>IF($B361="","",IF(J361=0,0,K361/J361))</f>
        <v/>
      </c>
    </row>
    <row r="362">
      <c r="A362">
        <f>IF($B362="","",ROW()-5)</f>
        <v/>
      </c>
      <c r="D362">
        <f>IF($B362="","",IF(C362="","",TEXT(C362,"MMM")))</f>
        <v/>
      </c>
      <c r="L362">
        <f>IF($B362="","",IF(J362=0,0,K362/J362))</f>
        <v/>
      </c>
    </row>
    <row r="363">
      <c r="A363">
        <f>IF($B363="","",ROW()-5)</f>
        <v/>
      </c>
      <c r="D363">
        <f>IF($B363="","",IF(C363="","",TEXT(C363,"MMM")))</f>
        <v/>
      </c>
      <c r="L363">
        <f>IF($B363="","",IF(J363=0,0,K363/J363))</f>
        <v/>
      </c>
    </row>
    <row r="364">
      <c r="A364">
        <f>IF($B364="","",ROW()-5)</f>
        <v/>
      </c>
      <c r="D364">
        <f>IF($B364="","",IF(C364="","",TEXT(C364,"MMM")))</f>
        <v/>
      </c>
      <c r="L364">
        <f>IF($B364="","",IF(J364=0,0,K364/J364))</f>
        <v/>
      </c>
    </row>
    <row r="365">
      <c r="A365">
        <f>IF($B365="","",ROW()-5)</f>
        <v/>
      </c>
      <c r="D365">
        <f>IF($B365="","",IF(C365="","",TEXT(C365,"MMM")))</f>
        <v/>
      </c>
      <c r="L365">
        <f>IF($B365="","",IF(J365=0,0,K365/J365))</f>
        <v/>
      </c>
    </row>
    <row r="366">
      <c r="A366">
        <f>IF($B366="","",ROW()-5)</f>
        <v/>
      </c>
      <c r="D366">
        <f>IF($B366="","",IF(C366="","",TEXT(C366,"MMM")))</f>
        <v/>
      </c>
      <c r="L366">
        <f>IF($B366="","",IF(J366=0,0,K366/J366))</f>
        <v/>
      </c>
    </row>
    <row r="367">
      <c r="A367">
        <f>IF($B367="","",ROW()-5)</f>
        <v/>
      </c>
      <c r="D367">
        <f>IF($B367="","",IF(C367="","",TEXT(C367,"MMM")))</f>
        <v/>
      </c>
      <c r="L367">
        <f>IF($B367="","",IF(J367=0,0,K367/J367))</f>
        <v/>
      </c>
    </row>
    <row r="368">
      <c r="A368">
        <f>IF($B368="","",ROW()-5)</f>
        <v/>
      </c>
      <c r="D368">
        <f>IF($B368="","",IF(C368="","",TEXT(C368,"MMM")))</f>
        <v/>
      </c>
      <c r="L368">
        <f>IF($B368="","",IF(J368=0,0,K368/J368))</f>
        <v/>
      </c>
    </row>
    <row r="369">
      <c r="A369">
        <f>IF($B369="","",ROW()-5)</f>
        <v/>
      </c>
      <c r="D369">
        <f>IF($B369="","",IF(C369="","",TEXT(C369,"MMM")))</f>
        <v/>
      </c>
      <c r="L369">
        <f>IF($B369="","",IF(J369=0,0,K369/J369))</f>
        <v/>
      </c>
    </row>
    <row r="370">
      <c r="A370">
        <f>IF($B370="","",ROW()-5)</f>
        <v/>
      </c>
      <c r="D370">
        <f>IF($B370="","",IF(C370="","",TEXT(C370,"MMM")))</f>
        <v/>
      </c>
      <c r="L370">
        <f>IF($B370="","",IF(J370=0,0,K370/J370))</f>
        <v/>
      </c>
    </row>
    <row r="371">
      <c r="A371">
        <f>IF($B371="","",ROW()-5)</f>
        <v/>
      </c>
      <c r="D371">
        <f>IF($B371="","",IF(C371="","",TEXT(C371,"MMM")))</f>
        <v/>
      </c>
      <c r="L371">
        <f>IF($B371="","",IF(J371=0,0,K371/J371))</f>
        <v/>
      </c>
    </row>
    <row r="372">
      <c r="A372">
        <f>IF($B372="","",ROW()-5)</f>
        <v/>
      </c>
      <c r="D372">
        <f>IF($B372="","",IF(C372="","",TEXT(C372,"MMM")))</f>
        <v/>
      </c>
      <c r="L372">
        <f>IF($B372="","",IF(J372=0,0,K372/J372))</f>
        <v/>
      </c>
    </row>
    <row r="373">
      <c r="A373">
        <f>IF($B373="","",ROW()-5)</f>
        <v/>
      </c>
      <c r="D373">
        <f>IF($B373="","",IF(C373="","",TEXT(C373,"MMM")))</f>
        <v/>
      </c>
      <c r="L373">
        <f>IF($B373="","",IF(J373=0,0,K373/J373))</f>
        <v/>
      </c>
    </row>
    <row r="374">
      <c r="A374">
        <f>IF($B374="","",ROW()-5)</f>
        <v/>
      </c>
      <c r="D374">
        <f>IF($B374="","",IF(C374="","",TEXT(C374,"MMM")))</f>
        <v/>
      </c>
      <c r="L374">
        <f>IF($B374="","",IF(J374=0,0,K374/J374))</f>
        <v/>
      </c>
    </row>
    <row r="375">
      <c r="A375">
        <f>IF($B375="","",ROW()-5)</f>
        <v/>
      </c>
      <c r="D375">
        <f>IF($B375="","",IF(C375="","",TEXT(C375,"MMM")))</f>
        <v/>
      </c>
      <c r="L375">
        <f>IF($B375="","",IF(J375=0,0,K375/J375))</f>
        <v/>
      </c>
    </row>
    <row r="376">
      <c r="A376">
        <f>IF($B376="","",ROW()-5)</f>
        <v/>
      </c>
      <c r="D376">
        <f>IF($B376="","",IF(C376="","",TEXT(C376,"MMM")))</f>
        <v/>
      </c>
      <c r="L376">
        <f>IF($B376="","",IF(J376=0,0,K376/J376))</f>
        <v/>
      </c>
    </row>
    <row r="377">
      <c r="A377">
        <f>IF($B377="","",ROW()-5)</f>
        <v/>
      </c>
      <c r="D377">
        <f>IF($B377="","",IF(C377="","",TEXT(C377,"MMM")))</f>
        <v/>
      </c>
      <c r="L377">
        <f>IF($B377="","",IF(J377=0,0,K377/J377))</f>
        <v/>
      </c>
    </row>
    <row r="378">
      <c r="A378">
        <f>IF($B378="","",ROW()-5)</f>
        <v/>
      </c>
      <c r="D378">
        <f>IF($B378="","",IF(C378="","",TEXT(C378,"MMM")))</f>
        <v/>
      </c>
      <c r="L378">
        <f>IF($B378="","",IF(J378=0,0,K378/J378))</f>
        <v/>
      </c>
    </row>
    <row r="379">
      <c r="A379">
        <f>IF($B379="","",ROW()-5)</f>
        <v/>
      </c>
      <c r="D379">
        <f>IF($B379="","",IF(C379="","",TEXT(C379,"MMM")))</f>
        <v/>
      </c>
      <c r="L379">
        <f>IF($B379="","",IF(J379=0,0,K379/J379))</f>
        <v/>
      </c>
    </row>
    <row r="380">
      <c r="A380">
        <f>IF($B380="","",ROW()-5)</f>
        <v/>
      </c>
      <c r="D380">
        <f>IF($B380="","",IF(C380="","",TEXT(C380,"MMM")))</f>
        <v/>
      </c>
      <c r="L380">
        <f>IF($B380="","",IF(J380=0,0,K380/J380))</f>
        <v/>
      </c>
    </row>
    <row r="381">
      <c r="A381">
        <f>IF($B381="","",ROW()-5)</f>
        <v/>
      </c>
      <c r="D381">
        <f>IF($B381="","",IF(C381="","",TEXT(C381,"MMM")))</f>
        <v/>
      </c>
      <c r="L381">
        <f>IF($B381="","",IF(J381=0,0,K381/J381))</f>
        <v/>
      </c>
    </row>
    <row r="382">
      <c r="A382">
        <f>IF($B382="","",ROW()-5)</f>
        <v/>
      </c>
      <c r="D382">
        <f>IF($B382="","",IF(C382="","",TEXT(C382,"MMM")))</f>
        <v/>
      </c>
      <c r="L382">
        <f>IF($B382="","",IF(J382=0,0,K382/J382))</f>
        <v/>
      </c>
    </row>
    <row r="383">
      <c r="A383">
        <f>IF($B383="","",ROW()-5)</f>
        <v/>
      </c>
      <c r="D383">
        <f>IF($B383="","",IF(C383="","",TEXT(C383,"MMM")))</f>
        <v/>
      </c>
      <c r="L383">
        <f>IF($B383="","",IF(J383=0,0,K383/J383))</f>
        <v/>
      </c>
    </row>
    <row r="384">
      <c r="A384">
        <f>IF($B384="","",ROW()-5)</f>
        <v/>
      </c>
      <c r="D384">
        <f>IF($B384="","",IF(C384="","",TEXT(C384,"MMM")))</f>
        <v/>
      </c>
      <c r="L384">
        <f>IF($B384="","",IF(J384=0,0,K384/J384))</f>
        <v/>
      </c>
    </row>
    <row r="385">
      <c r="A385">
        <f>IF($B385="","",ROW()-5)</f>
        <v/>
      </c>
      <c r="D385">
        <f>IF($B385="","",IF(C385="","",TEXT(C385,"MMM")))</f>
        <v/>
      </c>
      <c r="L385">
        <f>IF($B385="","",IF(J385=0,0,K385/J385))</f>
        <v/>
      </c>
    </row>
    <row r="386">
      <c r="A386">
        <f>IF($B386="","",ROW()-5)</f>
        <v/>
      </c>
      <c r="D386">
        <f>IF($B386="","",IF(C386="","",TEXT(C386,"MMM")))</f>
        <v/>
      </c>
      <c r="L386">
        <f>IF($B386="","",IF(J386=0,0,K386/J386))</f>
        <v/>
      </c>
    </row>
    <row r="387">
      <c r="A387">
        <f>IF($B387="","",ROW()-5)</f>
        <v/>
      </c>
      <c r="D387">
        <f>IF($B387="","",IF(C387="","",TEXT(C387,"MMM")))</f>
        <v/>
      </c>
      <c r="L387">
        <f>IF($B387="","",IF(J387=0,0,K387/J387))</f>
        <v/>
      </c>
    </row>
    <row r="388">
      <c r="A388">
        <f>IF($B388="","",ROW()-5)</f>
        <v/>
      </c>
      <c r="D388">
        <f>IF($B388="","",IF(C388="","",TEXT(C388,"MMM")))</f>
        <v/>
      </c>
      <c r="L388">
        <f>IF($B388="","",IF(J388=0,0,K388/J388))</f>
        <v/>
      </c>
    </row>
    <row r="389">
      <c r="A389">
        <f>IF($B389="","",ROW()-5)</f>
        <v/>
      </c>
      <c r="D389">
        <f>IF($B389="","",IF(C389="","",TEXT(C389,"MMM")))</f>
        <v/>
      </c>
      <c r="L389">
        <f>IF($B389="","",IF(J389=0,0,K389/J389))</f>
        <v/>
      </c>
    </row>
    <row r="390">
      <c r="A390">
        <f>IF($B390="","",ROW()-5)</f>
        <v/>
      </c>
      <c r="D390">
        <f>IF($B390="","",IF(C390="","",TEXT(C390,"MMM")))</f>
        <v/>
      </c>
      <c r="L390">
        <f>IF($B390="","",IF(J390=0,0,K390/J390))</f>
        <v/>
      </c>
    </row>
    <row r="391">
      <c r="A391">
        <f>IF($B391="","",ROW()-5)</f>
        <v/>
      </c>
      <c r="D391">
        <f>IF($B391="","",IF(C391="","",TEXT(C391,"MMM")))</f>
        <v/>
      </c>
      <c r="L391">
        <f>IF($B391="","",IF(J391=0,0,K391/J391))</f>
        <v/>
      </c>
    </row>
    <row r="392">
      <c r="A392">
        <f>IF($B392="","",ROW()-5)</f>
        <v/>
      </c>
      <c r="D392">
        <f>IF($B392="","",IF(C392="","",TEXT(C392,"MMM")))</f>
        <v/>
      </c>
      <c r="L392">
        <f>IF($B392="","",IF(J392=0,0,K392/J392))</f>
        <v/>
      </c>
    </row>
    <row r="393">
      <c r="A393">
        <f>IF($B393="","",ROW()-5)</f>
        <v/>
      </c>
      <c r="D393">
        <f>IF($B393="","",IF(C393="","",TEXT(C393,"MMM")))</f>
        <v/>
      </c>
      <c r="L393">
        <f>IF($B393="","",IF(J393=0,0,K393/J393))</f>
        <v/>
      </c>
    </row>
    <row r="394">
      <c r="A394">
        <f>IF($B394="","",ROW()-5)</f>
        <v/>
      </c>
      <c r="D394">
        <f>IF($B394="","",IF(C394="","",TEXT(C394,"MMM")))</f>
        <v/>
      </c>
      <c r="L394">
        <f>IF($B394="","",IF(J394=0,0,K394/J394))</f>
        <v/>
      </c>
    </row>
    <row r="395">
      <c r="A395">
        <f>IF($B395="","",ROW()-5)</f>
        <v/>
      </c>
      <c r="D395">
        <f>IF($B395="","",IF(C395="","",TEXT(C395,"MMM")))</f>
        <v/>
      </c>
      <c r="L395">
        <f>IF($B395="","",IF(J395=0,0,K395/J395))</f>
        <v/>
      </c>
    </row>
    <row r="396">
      <c r="A396">
        <f>IF($B396="","",ROW()-5)</f>
        <v/>
      </c>
      <c r="D396">
        <f>IF($B396="","",IF(C396="","",TEXT(C396,"MMM")))</f>
        <v/>
      </c>
      <c r="L396">
        <f>IF($B396="","",IF(J396=0,0,K396/J396))</f>
        <v/>
      </c>
    </row>
    <row r="397">
      <c r="A397">
        <f>IF($B397="","",ROW()-5)</f>
        <v/>
      </c>
      <c r="D397">
        <f>IF($B397="","",IF(C397="","",TEXT(C397,"MMM")))</f>
        <v/>
      </c>
      <c r="L397">
        <f>IF($B397="","",IF(J397=0,0,K397/J397))</f>
        <v/>
      </c>
    </row>
    <row r="398">
      <c r="A398">
        <f>IF($B398="","",ROW()-5)</f>
        <v/>
      </c>
      <c r="D398">
        <f>IF($B398="","",IF(C398="","",TEXT(C398,"MMM")))</f>
        <v/>
      </c>
      <c r="L398">
        <f>IF($B398="","",IF(J398=0,0,K398/J398))</f>
        <v/>
      </c>
    </row>
    <row r="399">
      <c r="A399">
        <f>IF($B399="","",ROW()-5)</f>
        <v/>
      </c>
      <c r="D399">
        <f>IF($B399="","",IF(C399="","",TEXT(C399,"MMM")))</f>
        <v/>
      </c>
      <c r="L399">
        <f>IF($B399="","",IF(J399=0,0,K399/J399))</f>
        <v/>
      </c>
    </row>
    <row r="400">
      <c r="A400">
        <f>IF($B400="","",ROW()-5)</f>
        <v/>
      </c>
      <c r="D400">
        <f>IF($B400="","",IF(C400="","",TEXT(C400,"MMM")))</f>
        <v/>
      </c>
      <c r="L400">
        <f>IF($B400="","",IF(J400=0,0,K400/J400))</f>
        <v/>
      </c>
    </row>
    <row r="401">
      <c r="A401">
        <f>IF($B401="","",ROW()-5)</f>
        <v/>
      </c>
      <c r="D401">
        <f>IF($B401="","",IF(C401="","",TEXT(C401,"MMM")))</f>
        <v/>
      </c>
      <c r="L401">
        <f>IF($B401="","",IF(J401=0,0,K401/J401))</f>
        <v/>
      </c>
    </row>
    <row r="402">
      <c r="A402">
        <f>IF($B402="","",ROW()-5)</f>
        <v/>
      </c>
      <c r="D402">
        <f>IF($B402="","",IF(C402="","",TEXT(C402,"MMM")))</f>
        <v/>
      </c>
      <c r="L402">
        <f>IF($B402="","",IF(J402=0,0,K402/J402))</f>
        <v/>
      </c>
    </row>
    <row r="403">
      <c r="A403">
        <f>IF($B403="","",ROW()-5)</f>
        <v/>
      </c>
      <c r="D403">
        <f>IF($B403="","",IF(C403="","",TEXT(C403,"MMM")))</f>
        <v/>
      </c>
      <c r="L403">
        <f>IF($B403="","",IF(J403=0,0,K403/J403))</f>
        <v/>
      </c>
    </row>
    <row r="404">
      <c r="A404">
        <f>IF($B404="","",ROW()-5)</f>
        <v/>
      </c>
      <c r="D404">
        <f>IF($B404="","",IF(C404="","",TEXT(C404,"MMM")))</f>
        <v/>
      </c>
      <c r="L404">
        <f>IF($B404="","",IF(J404=0,0,K404/J404))</f>
        <v/>
      </c>
    </row>
    <row r="405">
      <c r="A405">
        <f>IF($B405="","",ROW()-5)</f>
        <v/>
      </c>
      <c r="D405">
        <f>IF($B405="","",IF(C405="","",TEXT(C405,"MMM")))</f>
        <v/>
      </c>
      <c r="L405">
        <f>IF($B405="","",IF(J405=0,0,K405/J405))</f>
        <v/>
      </c>
    </row>
    <row r="406">
      <c r="A406">
        <f>IF($B406="","",ROW()-5)</f>
        <v/>
      </c>
      <c r="D406">
        <f>IF($B406="","",IF(C406="","",TEXT(C406,"MMM")))</f>
        <v/>
      </c>
      <c r="L406">
        <f>IF($B406="","",IF(J406=0,0,K406/J406))</f>
        <v/>
      </c>
    </row>
    <row r="407">
      <c r="A407">
        <f>IF($B407="","",ROW()-5)</f>
        <v/>
      </c>
      <c r="D407">
        <f>IF($B407="","",IF(C407="","",TEXT(C407,"MMM")))</f>
        <v/>
      </c>
      <c r="L407">
        <f>IF($B407="","",IF(J407=0,0,K407/J407))</f>
        <v/>
      </c>
    </row>
    <row r="408">
      <c r="A408">
        <f>IF($B408="","",ROW()-5)</f>
        <v/>
      </c>
      <c r="D408">
        <f>IF($B408="","",IF(C408="","",TEXT(C408,"MMM")))</f>
        <v/>
      </c>
      <c r="L408">
        <f>IF($B408="","",IF(J408=0,0,K408/J408))</f>
        <v/>
      </c>
    </row>
    <row r="409">
      <c r="A409">
        <f>IF($B409="","",ROW()-5)</f>
        <v/>
      </c>
      <c r="D409">
        <f>IF($B409="","",IF(C409="","",TEXT(C409,"MMM")))</f>
        <v/>
      </c>
      <c r="L409">
        <f>IF($B409="","",IF(J409=0,0,K409/J409))</f>
        <v/>
      </c>
    </row>
    <row r="410">
      <c r="A410">
        <f>IF($B410="","",ROW()-5)</f>
        <v/>
      </c>
      <c r="D410">
        <f>IF($B410="","",IF(C410="","",TEXT(C410,"MMM")))</f>
        <v/>
      </c>
      <c r="L410">
        <f>IF($B410="","",IF(J410=0,0,K410/J410))</f>
        <v/>
      </c>
    </row>
    <row r="411">
      <c r="A411">
        <f>IF($B411="","",ROW()-5)</f>
        <v/>
      </c>
      <c r="D411">
        <f>IF($B411="","",IF(C411="","",TEXT(C411,"MMM")))</f>
        <v/>
      </c>
      <c r="L411">
        <f>IF($B411="","",IF(J411=0,0,K411/J411))</f>
        <v/>
      </c>
    </row>
    <row r="412">
      <c r="A412">
        <f>IF($B412="","",ROW()-5)</f>
        <v/>
      </c>
      <c r="D412">
        <f>IF($B412="","",IF(C412="","",TEXT(C412,"MMM")))</f>
        <v/>
      </c>
      <c r="L412">
        <f>IF($B412="","",IF(J412=0,0,K412/J412))</f>
        <v/>
      </c>
    </row>
    <row r="413">
      <c r="A413">
        <f>IF($B413="","",ROW()-5)</f>
        <v/>
      </c>
      <c r="D413">
        <f>IF($B413="","",IF(C413="","",TEXT(C413,"MMM")))</f>
        <v/>
      </c>
      <c r="L413">
        <f>IF($B413="","",IF(J413=0,0,K413/J413))</f>
        <v/>
      </c>
    </row>
    <row r="414">
      <c r="A414">
        <f>IF($B414="","",ROW()-5)</f>
        <v/>
      </c>
      <c r="D414">
        <f>IF($B414="","",IF(C414="","",TEXT(C414,"MMM")))</f>
        <v/>
      </c>
      <c r="L414">
        <f>IF($B414="","",IF(J414=0,0,K414/J414))</f>
        <v/>
      </c>
    </row>
    <row r="415">
      <c r="A415">
        <f>IF($B415="","",ROW()-5)</f>
        <v/>
      </c>
      <c r="D415">
        <f>IF($B415="","",IF(C415="","",TEXT(C415,"MMM")))</f>
        <v/>
      </c>
      <c r="L415">
        <f>IF($B415="","",IF(J415=0,0,K415/J415))</f>
        <v/>
      </c>
    </row>
    <row r="416">
      <c r="A416">
        <f>IF($B416="","",ROW()-5)</f>
        <v/>
      </c>
      <c r="D416">
        <f>IF($B416="","",IF(C416="","",TEXT(C416,"MMM")))</f>
        <v/>
      </c>
      <c r="L416">
        <f>IF($B416="","",IF(J416=0,0,K416/J416))</f>
        <v/>
      </c>
    </row>
    <row r="417">
      <c r="A417">
        <f>IF($B417="","",ROW()-5)</f>
        <v/>
      </c>
      <c r="D417">
        <f>IF($B417="","",IF(C417="","",TEXT(C417,"MMM")))</f>
        <v/>
      </c>
      <c r="L417">
        <f>IF($B417="","",IF(J417=0,0,K417/J417))</f>
        <v/>
      </c>
    </row>
    <row r="418">
      <c r="A418">
        <f>IF($B418="","",ROW()-5)</f>
        <v/>
      </c>
      <c r="D418">
        <f>IF($B418="","",IF(C418="","",TEXT(C418,"MMM")))</f>
        <v/>
      </c>
      <c r="L418">
        <f>IF($B418="","",IF(J418=0,0,K418/J418))</f>
        <v/>
      </c>
    </row>
    <row r="419">
      <c r="A419">
        <f>IF($B419="","",ROW()-5)</f>
        <v/>
      </c>
      <c r="D419">
        <f>IF($B419="","",IF(C419="","",TEXT(C419,"MMM")))</f>
        <v/>
      </c>
      <c r="L419">
        <f>IF($B419="","",IF(J419=0,0,K419/J419))</f>
        <v/>
      </c>
    </row>
    <row r="420">
      <c r="A420">
        <f>IF($B420="","",ROW()-5)</f>
        <v/>
      </c>
      <c r="D420">
        <f>IF($B420="","",IF(C420="","",TEXT(C420,"MMM")))</f>
        <v/>
      </c>
      <c r="L420">
        <f>IF($B420="","",IF(J420=0,0,K420/J420))</f>
        <v/>
      </c>
    </row>
    <row r="421">
      <c r="A421">
        <f>IF($B421="","",ROW()-5)</f>
        <v/>
      </c>
      <c r="D421">
        <f>IF($B421="","",IF(C421="","",TEXT(C421,"MMM")))</f>
        <v/>
      </c>
      <c r="L421">
        <f>IF($B421="","",IF(J421=0,0,K421/J421))</f>
        <v/>
      </c>
    </row>
    <row r="422">
      <c r="A422">
        <f>IF($B422="","",ROW()-5)</f>
        <v/>
      </c>
      <c r="D422">
        <f>IF($B422="","",IF(C422="","",TEXT(C422,"MMM")))</f>
        <v/>
      </c>
      <c r="L422">
        <f>IF($B422="","",IF(J422=0,0,K422/J422))</f>
        <v/>
      </c>
    </row>
    <row r="423">
      <c r="A423">
        <f>IF($B423="","",ROW()-5)</f>
        <v/>
      </c>
      <c r="D423">
        <f>IF($B423="","",IF(C423="","",TEXT(C423,"MMM")))</f>
        <v/>
      </c>
      <c r="L423">
        <f>IF($B423="","",IF(J423=0,0,K423/J423))</f>
        <v/>
      </c>
    </row>
    <row r="424">
      <c r="A424">
        <f>IF($B424="","",ROW()-5)</f>
        <v/>
      </c>
      <c r="D424">
        <f>IF($B424="","",IF(C424="","",TEXT(C424,"MMM")))</f>
        <v/>
      </c>
      <c r="L424">
        <f>IF($B424="","",IF(J424=0,0,K424/J424))</f>
        <v/>
      </c>
    </row>
    <row r="425">
      <c r="A425">
        <f>IF($B425="","",ROW()-5)</f>
        <v/>
      </c>
      <c r="D425">
        <f>IF($B425="","",IF(C425="","",TEXT(C425,"MMM")))</f>
        <v/>
      </c>
      <c r="L425">
        <f>IF($B425="","",IF(J425=0,0,K425/J425))</f>
        <v/>
      </c>
    </row>
    <row r="426">
      <c r="A426">
        <f>IF($B426="","",ROW()-5)</f>
        <v/>
      </c>
      <c r="D426">
        <f>IF($B426="","",IF(C426="","",TEXT(C426,"MMM")))</f>
        <v/>
      </c>
      <c r="L426">
        <f>IF($B426="","",IF(J426=0,0,K426/J426))</f>
        <v/>
      </c>
    </row>
    <row r="427">
      <c r="A427">
        <f>IF($B427="","",ROW()-5)</f>
        <v/>
      </c>
      <c r="D427">
        <f>IF($B427="","",IF(C427="","",TEXT(C427,"MMM")))</f>
        <v/>
      </c>
      <c r="L427">
        <f>IF($B427="","",IF(J427=0,0,K427/J427))</f>
        <v/>
      </c>
    </row>
    <row r="428">
      <c r="A428">
        <f>IF($B428="","",ROW()-5)</f>
        <v/>
      </c>
      <c r="D428">
        <f>IF($B428="","",IF(C428="","",TEXT(C428,"MMM")))</f>
        <v/>
      </c>
      <c r="L428">
        <f>IF($B428="","",IF(J428=0,0,K428/J428))</f>
        <v/>
      </c>
    </row>
    <row r="429">
      <c r="A429">
        <f>IF($B429="","",ROW()-5)</f>
        <v/>
      </c>
      <c r="D429">
        <f>IF($B429="","",IF(C429="","",TEXT(C429,"MMM")))</f>
        <v/>
      </c>
      <c r="L429">
        <f>IF($B429="","",IF(J429=0,0,K429/J429))</f>
        <v/>
      </c>
    </row>
    <row r="430">
      <c r="A430">
        <f>IF($B430="","",ROW()-5)</f>
        <v/>
      </c>
      <c r="D430">
        <f>IF($B430="","",IF(C430="","",TEXT(C430,"MMM")))</f>
        <v/>
      </c>
      <c r="L430">
        <f>IF($B430="","",IF(J430=0,0,K430/J430))</f>
        <v/>
      </c>
    </row>
    <row r="431">
      <c r="A431">
        <f>IF($B431="","",ROW()-5)</f>
        <v/>
      </c>
      <c r="D431">
        <f>IF($B431="","",IF(C431="","",TEXT(C431,"MMM")))</f>
        <v/>
      </c>
      <c r="L431">
        <f>IF($B431="","",IF(J431=0,0,K431/J431))</f>
        <v/>
      </c>
    </row>
    <row r="432">
      <c r="A432">
        <f>IF($B432="","",ROW()-5)</f>
        <v/>
      </c>
      <c r="D432">
        <f>IF($B432="","",IF(C432="","",TEXT(C432,"MMM")))</f>
        <v/>
      </c>
      <c r="L432">
        <f>IF($B432="","",IF(J432=0,0,K432/J432))</f>
        <v/>
      </c>
    </row>
    <row r="433">
      <c r="A433">
        <f>IF($B433="","",ROW()-5)</f>
        <v/>
      </c>
      <c r="D433">
        <f>IF($B433="","",IF(C433="","",TEXT(C433,"MMM")))</f>
        <v/>
      </c>
      <c r="L433">
        <f>IF($B433="","",IF(J433=0,0,K433/J433))</f>
        <v/>
      </c>
    </row>
    <row r="434">
      <c r="A434">
        <f>IF($B434="","",ROW()-5)</f>
        <v/>
      </c>
      <c r="D434">
        <f>IF($B434="","",IF(C434="","",TEXT(C434,"MMM")))</f>
        <v/>
      </c>
      <c r="L434">
        <f>IF($B434="","",IF(J434=0,0,K434/J434))</f>
        <v/>
      </c>
    </row>
    <row r="435">
      <c r="A435">
        <f>IF($B435="","",ROW()-5)</f>
        <v/>
      </c>
      <c r="D435">
        <f>IF($B435="","",IF(C435="","",TEXT(C435,"MMM")))</f>
        <v/>
      </c>
      <c r="L435">
        <f>IF($B435="","",IF(J435=0,0,K435/J435))</f>
        <v/>
      </c>
    </row>
    <row r="436">
      <c r="A436">
        <f>IF($B436="","",ROW()-5)</f>
        <v/>
      </c>
      <c r="D436">
        <f>IF($B436="","",IF(C436="","",TEXT(C436,"MMM")))</f>
        <v/>
      </c>
      <c r="L436">
        <f>IF($B436="","",IF(J436=0,0,K436/J436))</f>
        <v/>
      </c>
    </row>
    <row r="437">
      <c r="A437">
        <f>IF($B437="","",ROW()-5)</f>
        <v/>
      </c>
      <c r="D437">
        <f>IF($B437="","",IF(C437="","",TEXT(C437,"MMM")))</f>
        <v/>
      </c>
      <c r="L437">
        <f>IF($B437="","",IF(J437=0,0,K437/J437))</f>
        <v/>
      </c>
    </row>
    <row r="438">
      <c r="A438">
        <f>IF($B438="","",ROW()-5)</f>
        <v/>
      </c>
      <c r="D438">
        <f>IF($B438="","",IF(C438="","",TEXT(C438,"MMM")))</f>
        <v/>
      </c>
      <c r="L438">
        <f>IF($B438="","",IF(J438=0,0,K438/J438))</f>
        <v/>
      </c>
    </row>
    <row r="439">
      <c r="A439">
        <f>IF($B439="","",ROW()-5)</f>
        <v/>
      </c>
      <c r="D439">
        <f>IF($B439="","",IF(C439="","",TEXT(C439,"MMM")))</f>
        <v/>
      </c>
      <c r="L439">
        <f>IF($B439="","",IF(J439=0,0,K439/J439))</f>
        <v/>
      </c>
    </row>
    <row r="440">
      <c r="A440">
        <f>IF($B440="","",ROW()-5)</f>
        <v/>
      </c>
      <c r="D440">
        <f>IF($B440="","",IF(C440="","",TEXT(C440,"MMM")))</f>
        <v/>
      </c>
      <c r="L440">
        <f>IF($B440="","",IF(J440=0,0,K440/J440))</f>
        <v/>
      </c>
    </row>
    <row r="441">
      <c r="A441">
        <f>IF($B441="","",ROW()-5)</f>
        <v/>
      </c>
      <c r="D441">
        <f>IF($B441="","",IF(C441="","",TEXT(C441,"MMM")))</f>
        <v/>
      </c>
      <c r="L441">
        <f>IF($B441="","",IF(J441=0,0,K441/J441))</f>
        <v/>
      </c>
    </row>
    <row r="442">
      <c r="A442">
        <f>IF($B442="","",ROW()-5)</f>
        <v/>
      </c>
      <c r="D442">
        <f>IF($B442="","",IF(C442="","",TEXT(C442,"MMM")))</f>
        <v/>
      </c>
      <c r="L442">
        <f>IF($B442="","",IF(J442=0,0,K442/J442))</f>
        <v/>
      </c>
    </row>
    <row r="443">
      <c r="A443">
        <f>IF($B443="","",ROW()-5)</f>
        <v/>
      </c>
      <c r="D443">
        <f>IF($B443="","",IF(C443="","",TEXT(C443,"MMM")))</f>
        <v/>
      </c>
      <c r="L443">
        <f>IF($B443="","",IF(J443=0,0,K443/J443))</f>
        <v/>
      </c>
    </row>
    <row r="444">
      <c r="A444">
        <f>IF($B444="","",ROW()-5)</f>
        <v/>
      </c>
      <c r="D444">
        <f>IF($B444="","",IF(C444="","",TEXT(C444,"MMM")))</f>
        <v/>
      </c>
      <c r="L444">
        <f>IF($B444="","",IF(J444=0,0,K444/J444))</f>
        <v/>
      </c>
    </row>
    <row r="445">
      <c r="A445">
        <f>IF($B445="","",ROW()-5)</f>
        <v/>
      </c>
      <c r="D445">
        <f>IF($B445="","",IF(C445="","",TEXT(C445,"MMM")))</f>
        <v/>
      </c>
      <c r="L445">
        <f>IF($B445="","",IF(J445=0,0,K445/J445))</f>
        <v/>
      </c>
    </row>
    <row r="446">
      <c r="A446">
        <f>IF($B446="","",ROW()-5)</f>
        <v/>
      </c>
      <c r="D446">
        <f>IF($B446="","",IF(C446="","",TEXT(C446,"MMM")))</f>
        <v/>
      </c>
      <c r="L446">
        <f>IF($B446="","",IF(J446=0,0,K446/J446))</f>
        <v/>
      </c>
    </row>
    <row r="447">
      <c r="A447">
        <f>IF($B447="","",ROW()-5)</f>
        <v/>
      </c>
      <c r="D447">
        <f>IF($B447="","",IF(C447="","",TEXT(C447,"MMM")))</f>
        <v/>
      </c>
      <c r="L447">
        <f>IF($B447="","",IF(J447=0,0,K447/J447))</f>
        <v/>
      </c>
    </row>
    <row r="448">
      <c r="A448">
        <f>IF($B448="","",ROW()-5)</f>
        <v/>
      </c>
      <c r="D448">
        <f>IF($B448="","",IF(C448="","",TEXT(C448,"MMM")))</f>
        <v/>
      </c>
      <c r="L448">
        <f>IF($B448="","",IF(J448=0,0,K448/J448))</f>
        <v/>
      </c>
    </row>
    <row r="449">
      <c r="A449">
        <f>IF($B449="","",ROW()-5)</f>
        <v/>
      </c>
      <c r="D449">
        <f>IF($B449="","",IF(C449="","",TEXT(C449,"MMM")))</f>
        <v/>
      </c>
      <c r="L449">
        <f>IF($B449="","",IF(J449=0,0,K449/J449))</f>
        <v/>
      </c>
    </row>
    <row r="450">
      <c r="A450">
        <f>IF($B450="","",ROW()-5)</f>
        <v/>
      </c>
      <c r="D450">
        <f>IF($B450="","",IF(C450="","",TEXT(C450,"MMM")))</f>
        <v/>
      </c>
      <c r="L450">
        <f>IF($B450="","",IF(J450=0,0,K450/J450))</f>
        <v/>
      </c>
    </row>
    <row r="451">
      <c r="A451">
        <f>IF($B451="","",ROW()-5)</f>
        <v/>
      </c>
      <c r="D451">
        <f>IF($B451="","",IF(C451="","",TEXT(C451,"MMM")))</f>
        <v/>
      </c>
      <c r="L451">
        <f>IF($B451="","",IF(J451=0,0,K451/J451))</f>
        <v/>
      </c>
    </row>
    <row r="452">
      <c r="A452">
        <f>IF($B452="","",ROW()-5)</f>
        <v/>
      </c>
      <c r="D452">
        <f>IF($B452="","",IF(C452="","",TEXT(C452,"MMM")))</f>
        <v/>
      </c>
      <c r="L452">
        <f>IF($B452="","",IF(J452=0,0,K452/J452))</f>
        <v/>
      </c>
    </row>
    <row r="453">
      <c r="A453">
        <f>IF($B453="","",ROW()-5)</f>
        <v/>
      </c>
      <c r="D453">
        <f>IF($B453="","",IF(C453="","",TEXT(C453,"MMM")))</f>
        <v/>
      </c>
      <c r="L453">
        <f>IF($B453="","",IF(J453=0,0,K453/J453))</f>
        <v/>
      </c>
    </row>
    <row r="454">
      <c r="A454">
        <f>IF($B454="","",ROW()-5)</f>
        <v/>
      </c>
      <c r="D454">
        <f>IF($B454="","",IF(C454="","",TEXT(C454,"MMM")))</f>
        <v/>
      </c>
      <c r="L454">
        <f>IF($B454="","",IF(J454=0,0,K454/J454))</f>
        <v/>
      </c>
    </row>
    <row r="455">
      <c r="A455">
        <f>IF($B455="","",ROW()-5)</f>
        <v/>
      </c>
      <c r="D455">
        <f>IF($B455="","",IF(C455="","",TEXT(C455,"MMM")))</f>
        <v/>
      </c>
      <c r="L455">
        <f>IF($B455="","",IF(J455=0,0,K455/J455))</f>
        <v/>
      </c>
    </row>
    <row r="456">
      <c r="A456">
        <f>IF($B456="","",ROW()-5)</f>
        <v/>
      </c>
      <c r="D456">
        <f>IF($B456="","",IF(C456="","",TEXT(C456,"MMM")))</f>
        <v/>
      </c>
      <c r="L456">
        <f>IF($B456="","",IF(J456=0,0,K456/J456))</f>
        <v/>
      </c>
    </row>
    <row r="457">
      <c r="A457">
        <f>IF($B457="","",ROW()-5)</f>
        <v/>
      </c>
      <c r="D457">
        <f>IF($B457="","",IF(C457="","",TEXT(C457,"MMM")))</f>
        <v/>
      </c>
      <c r="L457">
        <f>IF($B457="","",IF(J457=0,0,K457/J457))</f>
        <v/>
      </c>
    </row>
    <row r="458">
      <c r="A458">
        <f>IF($B458="","",ROW()-5)</f>
        <v/>
      </c>
      <c r="D458">
        <f>IF($B458="","",IF(C458="","",TEXT(C458,"MMM")))</f>
        <v/>
      </c>
      <c r="L458">
        <f>IF($B458="","",IF(J458=0,0,K458/J458))</f>
        <v/>
      </c>
    </row>
    <row r="459">
      <c r="A459">
        <f>IF($B459="","",ROW()-5)</f>
        <v/>
      </c>
      <c r="D459">
        <f>IF($B459="","",IF(C459="","",TEXT(C459,"MMM")))</f>
        <v/>
      </c>
      <c r="L459">
        <f>IF($B459="","",IF(J459=0,0,K459/J459))</f>
        <v/>
      </c>
    </row>
    <row r="460">
      <c r="A460">
        <f>IF($B460="","",ROW()-5)</f>
        <v/>
      </c>
      <c r="D460">
        <f>IF($B460="","",IF(C460="","",TEXT(C460,"MMM")))</f>
        <v/>
      </c>
      <c r="L460">
        <f>IF($B460="","",IF(J460=0,0,K460/J460))</f>
        <v/>
      </c>
    </row>
    <row r="461">
      <c r="A461">
        <f>IF($B461="","",ROW()-5)</f>
        <v/>
      </c>
      <c r="D461">
        <f>IF($B461="","",IF(C461="","",TEXT(C461,"MMM")))</f>
        <v/>
      </c>
      <c r="L461">
        <f>IF($B461="","",IF(J461=0,0,K461/J461))</f>
        <v/>
      </c>
    </row>
    <row r="462">
      <c r="A462">
        <f>IF($B462="","",ROW()-5)</f>
        <v/>
      </c>
      <c r="D462">
        <f>IF($B462="","",IF(C462="","",TEXT(C462,"MMM")))</f>
        <v/>
      </c>
      <c r="L462">
        <f>IF($B462="","",IF(J462=0,0,K462/J462))</f>
        <v/>
      </c>
    </row>
    <row r="463">
      <c r="A463">
        <f>IF($B463="","",ROW()-5)</f>
        <v/>
      </c>
      <c r="D463">
        <f>IF($B463="","",IF(C463="","",TEXT(C463,"MMM")))</f>
        <v/>
      </c>
      <c r="L463">
        <f>IF($B463="","",IF(J463=0,0,K463/J463))</f>
        <v/>
      </c>
    </row>
    <row r="464">
      <c r="A464">
        <f>IF($B464="","",ROW()-5)</f>
        <v/>
      </c>
      <c r="D464">
        <f>IF($B464="","",IF(C464="","",TEXT(C464,"MMM")))</f>
        <v/>
      </c>
      <c r="L464">
        <f>IF($B464="","",IF(J464=0,0,K464/J464))</f>
        <v/>
      </c>
    </row>
    <row r="465">
      <c r="A465">
        <f>IF($B465="","",ROW()-5)</f>
        <v/>
      </c>
      <c r="D465">
        <f>IF($B465="","",IF(C465="","",TEXT(C465,"MMM")))</f>
        <v/>
      </c>
      <c r="L465">
        <f>IF($B465="","",IF(J465=0,0,K465/J465))</f>
        <v/>
      </c>
    </row>
    <row r="466">
      <c r="A466">
        <f>IF($B466="","",ROW()-5)</f>
        <v/>
      </c>
      <c r="D466">
        <f>IF($B466="","",IF(C466="","",TEXT(C466,"MMM")))</f>
        <v/>
      </c>
      <c r="L466">
        <f>IF($B466="","",IF(J466=0,0,K466/J466))</f>
        <v/>
      </c>
    </row>
    <row r="467">
      <c r="A467">
        <f>IF($B467="","",ROW()-5)</f>
        <v/>
      </c>
      <c r="D467">
        <f>IF($B467="","",IF(C467="","",TEXT(C467,"MMM")))</f>
        <v/>
      </c>
      <c r="L467">
        <f>IF($B467="","",IF(J467=0,0,K467/J467))</f>
        <v/>
      </c>
    </row>
    <row r="468">
      <c r="A468">
        <f>IF($B468="","",ROW()-5)</f>
        <v/>
      </c>
      <c r="D468">
        <f>IF($B468="","",IF(C468="","",TEXT(C468,"MMM")))</f>
        <v/>
      </c>
      <c r="L468">
        <f>IF($B468="","",IF(J468=0,0,K468/J468))</f>
        <v/>
      </c>
    </row>
    <row r="469">
      <c r="A469">
        <f>IF($B469="","",ROW()-5)</f>
        <v/>
      </c>
      <c r="D469">
        <f>IF($B469="","",IF(C469="","",TEXT(C469,"MMM")))</f>
        <v/>
      </c>
      <c r="L469">
        <f>IF($B469="","",IF(J469=0,0,K469/J469))</f>
        <v/>
      </c>
    </row>
    <row r="470">
      <c r="A470">
        <f>IF($B470="","",ROW()-5)</f>
        <v/>
      </c>
      <c r="D470">
        <f>IF($B470="","",IF(C470="","",TEXT(C470,"MMM")))</f>
        <v/>
      </c>
      <c r="L470">
        <f>IF($B470="","",IF(J470=0,0,K470/J470))</f>
        <v/>
      </c>
    </row>
    <row r="471">
      <c r="A471">
        <f>IF($B471="","",ROW()-5)</f>
        <v/>
      </c>
      <c r="D471">
        <f>IF($B471="","",IF(C471="","",TEXT(C471,"MMM")))</f>
        <v/>
      </c>
      <c r="L471">
        <f>IF($B471="","",IF(J471=0,0,K471/J471))</f>
        <v/>
      </c>
    </row>
    <row r="472">
      <c r="A472">
        <f>IF($B472="","",ROW()-5)</f>
        <v/>
      </c>
      <c r="D472">
        <f>IF($B472="","",IF(C472="","",TEXT(C472,"MMM")))</f>
        <v/>
      </c>
      <c r="L472">
        <f>IF($B472="","",IF(J472=0,0,K472/J472))</f>
        <v/>
      </c>
    </row>
    <row r="473">
      <c r="A473">
        <f>IF($B473="","",ROW()-5)</f>
        <v/>
      </c>
      <c r="D473">
        <f>IF($B473="","",IF(C473="","",TEXT(C473,"MMM")))</f>
        <v/>
      </c>
      <c r="L473">
        <f>IF($B473="","",IF(J473=0,0,K473/J473))</f>
        <v/>
      </c>
    </row>
    <row r="474">
      <c r="A474">
        <f>IF($B474="","",ROW()-5)</f>
        <v/>
      </c>
      <c r="D474">
        <f>IF($B474="","",IF(C474="","",TEXT(C474,"MMM")))</f>
        <v/>
      </c>
      <c r="L474">
        <f>IF($B474="","",IF(J474=0,0,K474/J474))</f>
        <v/>
      </c>
    </row>
    <row r="475">
      <c r="A475">
        <f>IF($B475="","",ROW()-5)</f>
        <v/>
      </c>
      <c r="D475">
        <f>IF($B475="","",IF(C475="","",TEXT(C475,"MMM")))</f>
        <v/>
      </c>
      <c r="L475">
        <f>IF($B475="","",IF(J475=0,0,K475/J475))</f>
        <v/>
      </c>
    </row>
    <row r="476">
      <c r="A476">
        <f>IF($B476="","",ROW()-5)</f>
        <v/>
      </c>
      <c r="D476">
        <f>IF($B476="","",IF(C476="","",TEXT(C476,"MMM")))</f>
        <v/>
      </c>
      <c r="L476">
        <f>IF($B476="","",IF(J476=0,0,K476/J476))</f>
        <v/>
      </c>
    </row>
    <row r="477">
      <c r="A477">
        <f>IF($B477="","",ROW()-5)</f>
        <v/>
      </c>
      <c r="D477">
        <f>IF($B477="","",IF(C477="","",TEXT(C477,"MMM")))</f>
        <v/>
      </c>
      <c r="L477">
        <f>IF($B477="","",IF(J477=0,0,K477/J477))</f>
        <v/>
      </c>
    </row>
    <row r="478">
      <c r="A478">
        <f>IF($B478="","",ROW()-5)</f>
        <v/>
      </c>
      <c r="D478">
        <f>IF($B478="","",IF(C478="","",TEXT(C478,"MMM")))</f>
        <v/>
      </c>
      <c r="L478">
        <f>IF($B478="","",IF(J478=0,0,K478/J478))</f>
        <v/>
      </c>
    </row>
    <row r="479">
      <c r="A479">
        <f>IF($B479="","",ROW()-5)</f>
        <v/>
      </c>
      <c r="D479">
        <f>IF($B479="","",IF(C479="","",TEXT(C479,"MMM")))</f>
        <v/>
      </c>
      <c r="L479">
        <f>IF($B479="","",IF(J479=0,0,K479/J479))</f>
        <v/>
      </c>
    </row>
    <row r="480">
      <c r="A480">
        <f>IF($B480="","",ROW()-5)</f>
        <v/>
      </c>
      <c r="D480">
        <f>IF($B480="","",IF(C480="","",TEXT(C480,"MMM")))</f>
        <v/>
      </c>
      <c r="L480">
        <f>IF($B480="","",IF(J480=0,0,K480/J480))</f>
        <v/>
      </c>
    </row>
    <row r="481">
      <c r="A481">
        <f>IF($B481="","",ROW()-5)</f>
        <v/>
      </c>
      <c r="D481">
        <f>IF($B481="","",IF(C481="","",TEXT(C481,"MMM")))</f>
        <v/>
      </c>
      <c r="L481">
        <f>IF($B481="","",IF(J481=0,0,K481/J481))</f>
        <v/>
      </c>
    </row>
    <row r="482">
      <c r="A482">
        <f>IF($B482="","",ROW()-5)</f>
        <v/>
      </c>
      <c r="D482">
        <f>IF($B482="","",IF(C482="","",TEXT(C482,"MMM")))</f>
        <v/>
      </c>
      <c r="L482">
        <f>IF($B482="","",IF(J482=0,0,K482/J482))</f>
        <v/>
      </c>
    </row>
    <row r="483">
      <c r="A483">
        <f>IF($B483="","",ROW()-5)</f>
        <v/>
      </c>
      <c r="D483">
        <f>IF($B483="","",IF(C483="","",TEXT(C483,"MMM")))</f>
        <v/>
      </c>
      <c r="L483">
        <f>IF($B483="","",IF(J483=0,0,K483/J483))</f>
        <v/>
      </c>
    </row>
    <row r="484">
      <c r="A484">
        <f>IF($B484="","",ROW()-5)</f>
        <v/>
      </c>
      <c r="D484">
        <f>IF($B484="","",IF(C484="","",TEXT(C484,"MMM")))</f>
        <v/>
      </c>
      <c r="L484">
        <f>IF($B484="","",IF(J484=0,0,K484/J484))</f>
        <v/>
      </c>
    </row>
    <row r="485">
      <c r="A485">
        <f>IF($B485="","",ROW()-5)</f>
        <v/>
      </c>
      <c r="D485">
        <f>IF($B485="","",IF(C485="","",TEXT(C485,"MMM")))</f>
        <v/>
      </c>
      <c r="L485">
        <f>IF($B485="","",IF(J485=0,0,K485/J485))</f>
        <v/>
      </c>
    </row>
    <row r="486">
      <c r="A486">
        <f>IF($B486="","",ROW()-5)</f>
        <v/>
      </c>
      <c r="D486">
        <f>IF($B486="","",IF(C486="","",TEXT(C486,"MMM")))</f>
        <v/>
      </c>
      <c r="L486">
        <f>IF($B486="","",IF(J486=0,0,K486/J486))</f>
        <v/>
      </c>
    </row>
    <row r="487">
      <c r="A487">
        <f>IF($B487="","",ROW()-5)</f>
        <v/>
      </c>
      <c r="D487">
        <f>IF($B487="","",IF(C487="","",TEXT(C487,"MMM")))</f>
        <v/>
      </c>
      <c r="L487">
        <f>IF($B487="","",IF(J487=0,0,K487/J487))</f>
        <v/>
      </c>
    </row>
    <row r="488">
      <c r="A488">
        <f>IF($B488="","",ROW()-5)</f>
        <v/>
      </c>
      <c r="D488">
        <f>IF($B488="","",IF(C488="","",TEXT(C488,"MMM")))</f>
        <v/>
      </c>
      <c r="L488">
        <f>IF($B488="","",IF(J488=0,0,K488/J488))</f>
        <v/>
      </c>
    </row>
    <row r="489">
      <c r="A489">
        <f>IF($B489="","",ROW()-5)</f>
        <v/>
      </c>
      <c r="D489">
        <f>IF($B489="","",IF(C489="","",TEXT(C489,"MMM")))</f>
        <v/>
      </c>
      <c r="L489">
        <f>IF($B489="","",IF(J489=0,0,K489/J489))</f>
        <v/>
      </c>
    </row>
    <row r="490">
      <c r="A490">
        <f>IF($B490="","",ROW()-5)</f>
        <v/>
      </c>
      <c r="D490">
        <f>IF($B490="","",IF(C490="","",TEXT(C490,"MMM")))</f>
        <v/>
      </c>
      <c r="L490">
        <f>IF($B490="","",IF(J490=0,0,K490/J490))</f>
        <v/>
      </c>
    </row>
    <row r="491">
      <c r="A491">
        <f>IF($B491="","",ROW()-5)</f>
        <v/>
      </c>
      <c r="D491">
        <f>IF($B491="","",IF(C491="","",TEXT(C491,"MMM")))</f>
        <v/>
      </c>
      <c r="L491">
        <f>IF($B491="","",IF(J491=0,0,K491/J491))</f>
        <v/>
      </c>
    </row>
    <row r="492">
      <c r="A492">
        <f>IF($B492="","",ROW()-5)</f>
        <v/>
      </c>
      <c r="D492">
        <f>IF($B492="","",IF(C492="","",TEXT(C492,"MMM")))</f>
        <v/>
      </c>
      <c r="L492">
        <f>IF($B492="","",IF(J492=0,0,K492/J492))</f>
        <v/>
      </c>
    </row>
    <row r="493">
      <c r="A493">
        <f>IF($B493="","",ROW()-5)</f>
        <v/>
      </c>
      <c r="D493">
        <f>IF($B493="","",IF(C493="","",TEXT(C493,"MMM")))</f>
        <v/>
      </c>
      <c r="L493">
        <f>IF($B493="","",IF(J493=0,0,K493/J493))</f>
        <v/>
      </c>
    </row>
    <row r="494">
      <c r="A494">
        <f>IF($B494="","",ROW()-5)</f>
        <v/>
      </c>
      <c r="D494">
        <f>IF($B494="","",IF(C494="","",TEXT(C494,"MMM")))</f>
        <v/>
      </c>
      <c r="L494">
        <f>IF($B494="","",IF(J494=0,0,K494/J494))</f>
        <v/>
      </c>
    </row>
    <row r="495">
      <c r="A495">
        <f>IF($B495="","",ROW()-5)</f>
        <v/>
      </c>
      <c r="D495">
        <f>IF($B495="","",IF(C495="","",TEXT(C495,"MMM")))</f>
        <v/>
      </c>
      <c r="L495">
        <f>IF($B495="","",IF(J495=0,0,K495/J495))</f>
        <v/>
      </c>
    </row>
    <row r="496">
      <c r="A496">
        <f>IF($B496="","",ROW()-5)</f>
        <v/>
      </c>
      <c r="D496">
        <f>IF($B496="","",IF(C496="","",TEXT(C496,"MMM")))</f>
        <v/>
      </c>
      <c r="L496">
        <f>IF($B496="","",IF(J496=0,0,K496/J496))</f>
        <v/>
      </c>
    </row>
    <row r="497">
      <c r="A497">
        <f>IF($B497="","",ROW()-5)</f>
        <v/>
      </c>
      <c r="D497">
        <f>IF($B497="","",IF(C497="","",TEXT(C497,"MMM")))</f>
        <v/>
      </c>
      <c r="L497">
        <f>IF($B497="","",IF(J497=0,0,K497/J497))</f>
        <v/>
      </c>
    </row>
    <row r="498">
      <c r="A498">
        <f>IF($B498="","",ROW()-5)</f>
        <v/>
      </c>
      <c r="D498">
        <f>IF($B498="","",IF(C498="","",TEXT(C498,"MMM")))</f>
        <v/>
      </c>
      <c r="L498">
        <f>IF($B498="","",IF(J498=0,0,K498/J498))</f>
        <v/>
      </c>
    </row>
    <row r="499">
      <c r="A499">
        <f>IF($B499="","",ROW()-5)</f>
        <v/>
      </c>
      <c r="D499">
        <f>IF($B499="","",IF(C499="","",TEXT(C499,"MMM")))</f>
        <v/>
      </c>
      <c r="L499">
        <f>IF($B499="","",IF(J499=0,0,K499/J499))</f>
        <v/>
      </c>
    </row>
    <row r="500">
      <c r="A500">
        <f>IF($B500="","",ROW()-5)</f>
        <v/>
      </c>
      <c r="D500">
        <f>IF($B500="","",IF(C500="","",TEXT(C500,"MMM")))</f>
        <v/>
      </c>
      <c r="L500">
        <f>IF($B500="","",IF(J500=0,0,K500/J500))</f>
        <v/>
      </c>
    </row>
    <row r="501">
      <c r="A501">
        <f>IF($B501="","",ROW()-5)</f>
        <v/>
      </c>
      <c r="D501">
        <f>IF($B501="","",IF(C501="","",TEXT(C501,"MMM")))</f>
        <v/>
      </c>
      <c r="L501">
        <f>IF($B501="","",IF(J501=0,0,K501/J501))</f>
        <v/>
      </c>
    </row>
    <row r="502">
      <c r="A502">
        <f>IF($B502="","",ROW()-5)</f>
        <v/>
      </c>
      <c r="D502">
        <f>IF($B502="","",IF(C502="","",TEXT(C502,"MMM")))</f>
        <v/>
      </c>
      <c r="L502">
        <f>IF($B502="","",IF(J502=0,0,K502/J502))</f>
        <v/>
      </c>
    </row>
    <row r="503">
      <c r="A503">
        <f>IF($B503="","",ROW()-5)</f>
        <v/>
      </c>
      <c r="D503">
        <f>IF($B503="","",IF(C503="","",TEXT(C503,"MMM")))</f>
        <v/>
      </c>
      <c r="L503">
        <f>IF($B503="","",IF(J503=0,0,K503/J503))</f>
        <v/>
      </c>
    </row>
    <row r="504">
      <c r="A504">
        <f>IF($B504="","",ROW()-5)</f>
        <v/>
      </c>
      <c r="D504">
        <f>IF($B504="","",IF(C504="","",TEXT(C504,"MMM")))</f>
        <v/>
      </c>
      <c r="L504">
        <f>IF($B504="","",IF(J504=0,0,K504/J504))</f>
        <v/>
      </c>
    </row>
    <row r="505">
      <c r="A505">
        <f>IF($B505="","",ROW()-5)</f>
        <v/>
      </c>
      <c r="D505">
        <f>IF($B505="","",IF(C505="","",TEXT(C505,"MMM")))</f>
        <v/>
      </c>
      <c r="L505">
        <f>IF($B505="","",IF(J505=0,0,K505/J505))</f>
        <v/>
      </c>
    </row>
    <row r="506">
      <c r="A506">
        <f>IF($B506="","",ROW()-5)</f>
        <v/>
      </c>
      <c r="D506">
        <f>IF($B506="","",IF(C506="","",TEXT(C506,"MMM")))</f>
        <v/>
      </c>
      <c r="L506">
        <f>IF($B506="","",IF(J506=0,0,K506/J506))</f>
        <v/>
      </c>
    </row>
  </sheetData>
  <autoFilter ref="A4:P25"/>
  <mergeCells count="4">
    <mergeCell ref="A1:P1"/>
    <mergeCell ref="J3:L3"/>
    <mergeCell ref="A3:D3"/>
    <mergeCell ref="A2:P2"/>
  </mergeCells>
  <conditionalFormatting sqref="N6:N25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6">
    <dataValidation sqref="F6:F506" showDropDown="0" showInputMessage="0" showErrorMessage="0" allowBlank="1" type="list">
      <formula1>L_Training_Type</formula1>
      <formula2>0</formula2>
    </dataValidation>
    <dataValidation sqref="G6:G506" showDropDown="0" showInputMessage="0" showErrorMessage="0" allowBlank="1" type="list">
      <formula1>L_Department</formula1>
      <formula2>0</formula2>
    </dataValidation>
    <dataValidation sqref="I6:I506" showDropDown="0" showInputMessage="0" showErrorMessage="0" allowBlank="1" type="list">
      <formula1>L_Mode</formula1>
      <formula2>0</formula2>
    </dataValidation>
    <dataValidation sqref="N6:N506" showDropDown="0" showInputMessage="0" showErrorMessage="0" allowBlank="1" type="list">
      <formula1>L_Status</formula1>
      <formula2>0</formula2>
    </dataValidation>
    <dataValidation sqref="O6:O506" showDropDown="0" showInputMessage="0" showErrorMessage="0" allowBlank="1" type="list">
      <formula1>L_Assessment_Result</formula1>
      <formula2>0</formula2>
    </dataValidation>
    <dataValidation sqref="P6:P506" showDropDown="0" showInputMessage="0" showErrorMessage="0" allowBlank="1" type="list">
      <formula1>L_Action_Required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E65100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4" customWidth="1" style="15" min="5" max="5"/>
    <col width="28" customWidth="1" style="15" min="6" max="6"/>
    <col width="14" customWidth="1" style="15" min="7" max="8"/>
    <col width="16" customWidth="1" style="15" min="9" max="10"/>
    <col width="14" customWidth="1" style="15" min="11" max="11"/>
    <col width="10" customWidth="1" style="15" min="12" max="12"/>
    <col width="12" customWidth="1" style="15" min="13" max="13"/>
    <col width="22" customWidth="1" style="15" min="14" max="14"/>
    <col width="12" customWidth="1" style="15" min="15" max="15"/>
  </cols>
  <sheetData>
    <row r="1" ht="42" customHeight="1" s="15">
      <c r="A1" s="1" t="inlineStr">
        <is>
          <t>👁️  HSE OBSERVATIONS — DATA ENTRY</t>
        </is>
      </c>
    </row>
    <row r="2" ht="21.75" customHeight="1" s="15">
      <c r="A2" s="201" t="inlineStr">
        <is>
          <t>🔵 Blue = User Input  |  ⚫ Gray = Auto-Calculated  |  Use dropdowns where available</t>
        </is>
      </c>
    </row>
    <row r="3" ht="19.5" customHeight="1" s="15">
      <c r="A3" s="39" t="inlineStr">
        <is>
          <t>IDENTIFICATION</t>
        </is>
      </c>
      <c r="E3" s="16" t="inlineStr">
        <is>
          <t>CLASSIFICATION</t>
        </is>
      </c>
      <c r="F3" s="39" t="inlineStr">
        <is>
          <t>CONTENT</t>
        </is>
      </c>
      <c r="G3" s="17" t="inlineStr">
        <is>
          <t>ORGANIZATIONAL</t>
        </is>
      </c>
      <c r="I3" s="40" t="inlineStr">
        <is>
          <t>PEOPLE</t>
        </is>
      </c>
      <c r="K3" s="18" t="inlineStr">
        <is>
          <t>CLASSIFICATION</t>
        </is>
      </c>
      <c r="L3" s="19" t="inlineStr">
        <is>
          <t>RISK</t>
        </is>
      </c>
      <c r="M3" s="20" t="inlineStr">
        <is>
          <t>STATUS</t>
        </is>
      </c>
      <c r="N3" s="39" t="inlineStr">
        <is>
          <t>FOLLOW-UP</t>
        </is>
      </c>
    </row>
    <row r="4" ht="31.5" customHeight="1" s="15">
      <c r="A4" s="44" t="inlineStr">
        <is>
          <t>S.No</t>
        </is>
      </c>
      <c r="B4" s="44" t="inlineStr">
        <is>
          <t>Obs No.</t>
        </is>
      </c>
      <c r="C4" s="44" t="inlineStr">
        <is>
          <t>Date</t>
        </is>
      </c>
      <c r="D4" s="44" t="inlineStr">
        <is>
          <t>Month</t>
        </is>
      </c>
      <c r="E4" s="44" t="inlineStr">
        <is>
          <t>Observation Type</t>
        </is>
      </c>
      <c r="F4" s="44" t="inlineStr">
        <is>
          <t>Description</t>
        </is>
      </c>
      <c r="G4" s="44" t="inlineStr">
        <is>
          <t>Department</t>
        </is>
      </c>
      <c r="H4" s="44" t="inlineStr">
        <is>
          <t>Location</t>
        </is>
      </c>
      <c r="I4" s="44" t="inlineStr">
        <is>
          <t>Observed By</t>
        </is>
      </c>
      <c r="J4" s="44" t="inlineStr">
        <is>
          <t>Responsible Person</t>
        </is>
      </c>
      <c r="K4" s="44" t="inlineStr">
        <is>
          <t>Category</t>
        </is>
      </c>
      <c r="L4" s="44" t="inlineStr">
        <is>
          <t>Risk Level</t>
        </is>
      </c>
      <c r="M4" s="44" t="inlineStr">
        <is>
          <t>Status</t>
        </is>
      </c>
      <c r="N4" s="44" t="inlineStr">
        <is>
          <t>Action Taken</t>
        </is>
      </c>
      <c r="O4" s="44" t="inlineStr">
        <is>
          <t>Due Date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OBS-001</t>
        </is>
      </c>
      <c r="C6" s="26" t="n">
        <v>46095</v>
      </c>
      <c r="D6" s="24">
        <f>IF(C6="","",TEXT(C6,"MMM"))</f>
        <v/>
      </c>
      <c r="E6" s="28" t="inlineStr">
        <is>
          <t>Unsafe Act</t>
        </is>
      </c>
      <c r="F6" s="27" t="inlineStr">
        <is>
          <t>Unsafe Act - Improper Lifting</t>
        </is>
      </c>
      <c r="G6" s="28" t="inlineStr">
        <is>
          <t>Contractor</t>
        </is>
      </c>
      <c r="H6" s="28" t="inlineStr">
        <is>
          <t>Tank Farm</t>
        </is>
      </c>
      <c r="I6" s="27" t="inlineStr">
        <is>
          <t>Priya Sharma</t>
        </is>
      </c>
      <c r="J6" s="27" t="inlineStr">
        <is>
          <t>David Chen</t>
        </is>
      </c>
      <c r="K6" s="28" t="inlineStr">
        <is>
          <t>Environment</t>
        </is>
      </c>
      <c r="L6" s="28" t="inlineStr">
        <is>
          <t>Low</t>
        </is>
      </c>
      <c r="M6" s="28" t="inlineStr">
        <is>
          <t>Overdue</t>
        </is>
      </c>
      <c r="N6" s="27" t="inlineStr">
        <is>
          <t>Fix condition</t>
        </is>
      </c>
      <c r="O6" s="26" t="n">
        <v>46083</v>
      </c>
    </row>
    <row r="7" ht="15" customHeight="1" s="15">
      <c r="A7" s="31" t="n">
        <v>2</v>
      </c>
      <c r="B7" s="32" t="inlineStr">
        <is>
          <t>OBS-002</t>
        </is>
      </c>
      <c r="C7" s="33" t="n">
        <v>46137</v>
      </c>
      <c r="D7" s="31">
        <f>IF(C7="","",TEXT(C7,"MMM"))</f>
        <v/>
      </c>
      <c r="E7" s="35" t="inlineStr">
        <is>
          <t>Unsafe Condition</t>
        </is>
      </c>
      <c r="F7" s="34" t="inlineStr">
        <is>
          <t>Unsafe Condition - Poor Lighting</t>
        </is>
      </c>
      <c r="G7" s="35" t="inlineStr">
        <is>
          <t>Logistics</t>
        </is>
      </c>
      <c r="H7" s="35" t="inlineStr">
        <is>
          <t>Plant A</t>
        </is>
      </c>
      <c r="I7" s="34" t="inlineStr">
        <is>
          <t>Priya Sharma</t>
        </is>
      </c>
      <c r="J7" s="34" t="inlineStr">
        <is>
          <t>Fatima Al-Said</t>
        </is>
      </c>
      <c r="K7" s="35" t="inlineStr">
        <is>
          <t>General</t>
        </is>
      </c>
      <c r="L7" s="35" t="inlineStr">
        <is>
          <t>Medium</t>
        </is>
      </c>
      <c r="M7" s="35" t="inlineStr">
        <is>
          <t>In Progress</t>
        </is>
      </c>
      <c r="N7" s="34" t="inlineStr">
        <is>
          <t>Fix condition</t>
        </is>
      </c>
      <c r="O7" s="33" t="n">
        <v>46208</v>
      </c>
    </row>
    <row r="8" ht="15" customHeight="1" s="15">
      <c r="A8" s="24" t="n">
        <v>3</v>
      </c>
      <c r="B8" s="25" t="inlineStr">
        <is>
          <t>OBS-003</t>
        </is>
      </c>
      <c r="C8" s="26" t="n">
        <v>46365</v>
      </c>
      <c r="D8" s="24">
        <f>IF(C8="","",TEXT(C8,"MMM"))</f>
        <v/>
      </c>
      <c r="E8" s="28" t="inlineStr">
        <is>
          <t>Near Miss</t>
        </is>
      </c>
      <c r="F8" s="27" t="inlineStr">
        <is>
          <t>Unsafe Act - No PPE</t>
        </is>
      </c>
      <c r="G8" s="28" t="inlineStr">
        <is>
          <t>Projects</t>
        </is>
      </c>
      <c r="H8" s="28" t="inlineStr">
        <is>
          <t>Workshop</t>
        </is>
      </c>
      <c r="I8" s="27" t="inlineStr">
        <is>
          <t>Sarah Wilson</t>
        </is>
      </c>
      <c r="J8" s="27" t="inlineStr">
        <is>
          <t>Maria Garcia</t>
        </is>
      </c>
      <c r="K8" s="28" t="inlineStr">
        <is>
          <t>Fire Safety</t>
        </is>
      </c>
      <c r="L8" s="28" t="inlineStr">
        <is>
          <t>Medium</t>
        </is>
      </c>
      <c r="M8" s="28" t="inlineStr">
        <is>
          <t>Pending</t>
        </is>
      </c>
      <c r="N8" s="27" t="inlineStr">
        <is>
          <t>Recognize employee</t>
        </is>
      </c>
      <c r="O8" s="26" t="n">
        <v>46399</v>
      </c>
    </row>
    <row r="9" ht="15" customHeight="1" s="15">
      <c r="A9" s="31" t="n">
        <v>4</v>
      </c>
      <c r="B9" s="32" t="inlineStr">
        <is>
          <t>OBS-004</t>
        </is>
      </c>
      <c r="C9" s="33" t="n">
        <v>46372</v>
      </c>
      <c r="D9" s="31">
        <f>IF(C9="","",TEXT(C9,"MMM"))</f>
        <v/>
      </c>
      <c r="E9" s="35" t="inlineStr">
        <is>
          <t>Unsafe Condition</t>
        </is>
      </c>
      <c r="F9" s="34" t="inlineStr">
        <is>
          <t>Unsafe Act - No PPE</t>
        </is>
      </c>
      <c r="G9" s="35" t="inlineStr">
        <is>
          <t>Maintenance</t>
        </is>
      </c>
      <c r="H9" s="35" t="inlineStr">
        <is>
          <t>Field Site</t>
        </is>
      </c>
      <c r="I9" s="34" t="inlineStr">
        <is>
          <t>Maria Garcia</t>
        </is>
      </c>
      <c r="J9" s="34" t="inlineStr">
        <is>
          <t>David Chen</t>
        </is>
      </c>
      <c r="K9" s="35" t="inlineStr">
        <is>
          <t>Fire Safety</t>
        </is>
      </c>
      <c r="L9" s="35" t="inlineStr">
        <is>
          <t>High</t>
        </is>
      </c>
      <c r="M9" s="35" t="inlineStr">
        <is>
          <t>Overdue</t>
        </is>
      </c>
      <c r="N9" s="34" t="inlineStr">
        <is>
          <t>Recognize employee</t>
        </is>
      </c>
      <c r="O9" s="33" t="n">
        <v>46300</v>
      </c>
    </row>
    <row r="10" ht="15" customHeight="1" s="15">
      <c r="A10" s="24" t="n">
        <v>5</v>
      </c>
      <c r="B10" s="25" t="inlineStr">
        <is>
          <t>OBS-005</t>
        </is>
      </c>
      <c r="C10" s="26" t="n">
        <v>46227</v>
      </c>
      <c r="D10" s="24">
        <f>IF(C10="","",TEXT(C10,"MMM"))</f>
        <v/>
      </c>
      <c r="E10" s="28" t="inlineStr">
        <is>
          <t>Near Miss</t>
        </is>
      </c>
      <c r="F10" s="27" t="inlineStr">
        <is>
          <t>Safe Behavior - Barricading</t>
        </is>
      </c>
      <c r="G10" s="28" t="inlineStr">
        <is>
          <t>Logistics</t>
        </is>
      </c>
      <c r="H10" s="28" t="inlineStr">
        <is>
          <t>Tank Farm</t>
        </is>
      </c>
      <c r="I10" s="27" t="inlineStr">
        <is>
          <t>John Smith</t>
        </is>
      </c>
      <c r="J10" s="27" t="inlineStr">
        <is>
          <t>John Smith</t>
        </is>
      </c>
      <c r="K10" s="28" t="inlineStr">
        <is>
          <t>PPE</t>
        </is>
      </c>
      <c r="L10" s="28" t="inlineStr">
        <is>
          <t>High</t>
        </is>
      </c>
      <c r="M10" s="28" t="inlineStr">
        <is>
          <t>Completed</t>
        </is>
      </c>
      <c r="N10" s="27" t="inlineStr">
        <is>
          <t>Retrain worker</t>
        </is>
      </c>
      <c r="O10" s="26" t="n">
        <v>46403</v>
      </c>
    </row>
    <row r="11" ht="15" customHeight="1" s="15">
      <c r="A11" s="31" t="n">
        <v>6</v>
      </c>
      <c r="B11" s="32" t="inlineStr">
        <is>
          <t>OBS-006</t>
        </is>
      </c>
      <c r="C11" s="33" t="n">
        <v>46088</v>
      </c>
      <c r="D11" s="31">
        <f>IF(C11="","",TEXT(C11,"MMM"))</f>
        <v/>
      </c>
      <c r="E11" s="35" t="inlineStr">
        <is>
          <t>Unsafe Act</t>
        </is>
      </c>
      <c r="F11" s="34" t="inlineStr">
        <is>
          <t>Near Miss - Falling Object</t>
        </is>
      </c>
      <c r="G11" s="35" t="inlineStr">
        <is>
          <t>Safety</t>
        </is>
      </c>
      <c r="H11" s="35" t="inlineStr">
        <is>
          <t>Field Site</t>
        </is>
      </c>
      <c r="I11" s="34" t="inlineStr">
        <is>
          <t>Sarah Wilson</t>
        </is>
      </c>
      <c r="J11" s="34" t="inlineStr">
        <is>
          <t>Maria Garcia</t>
        </is>
      </c>
      <c r="K11" s="35" t="inlineStr">
        <is>
          <t>PPE</t>
        </is>
      </c>
      <c r="L11" s="35" t="inlineStr">
        <is>
          <t>High</t>
        </is>
      </c>
      <c r="M11" s="35" t="inlineStr">
        <is>
          <t>Overdue</t>
        </is>
      </c>
      <c r="N11" s="34" t="inlineStr">
        <is>
          <t>Retrain worker</t>
        </is>
      </c>
      <c r="O11" s="33" t="n">
        <v>46385</v>
      </c>
    </row>
    <row r="12" ht="15" customHeight="1" s="15">
      <c r="A12" s="24" t="n">
        <v>7</v>
      </c>
      <c r="B12" s="25" t="inlineStr">
        <is>
          <t>OBS-007</t>
        </is>
      </c>
      <c r="C12" s="26" t="n">
        <v>46144</v>
      </c>
      <c r="D12" s="24">
        <f>IF(C12="","",TEXT(C12,"MMM"))</f>
        <v/>
      </c>
      <c r="E12" s="28" t="inlineStr">
        <is>
          <t>Safe Act</t>
        </is>
      </c>
      <c r="F12" s="27" t="inlineStr">
        <is>
          <t>Unsafe Act - Improper Lifting</t>
        </is>
      </c>
      <c r="G12" s="28" t="inlineStr">
        <is>
          <t>Engineering</t>
        </is>
      </c>
      <c r="H12" s="28" t="inlineStr">
        <is>
          <t>Tank Farm</t>
        </is>
      </c>
      <c r="I12" s="27" t="inlineStr">
        <is>
          <t>Sarah Wilson</t>
        </is>
      </c>
      <c r="J12" s="27" t="inlineStr">
        <is>
          <t>Ahmed Khan</t>
        </is>
      </c>
      <c r="K12" s="28" t="inlineStr">
        <is>
          <t>Ergonomics</t>
        </is>
      </c>
      <c r="L12" s="28" t="inlineStr">
        <is>
          <t>Medium</t>
        </is>
      </c>
      <c r="M12" s="28" t="inlineStr">
        <is>
          <t>Pending</t>
        </is>
      </c>
      <c r="N12" s="27" t="inlineStr">
        <is>
          <t>Install signage</t>
        </is>
      </c>
      <c r="O12" s="26" t="n">
        <v>46098</v>
      </c>
    </row>
    <row r="13" ht="15" customHeight="1" s="15">
      <c r="A13" s="31" t="n">
        <v>8</v>
      </c>
      <c r="B13" s="32" t="inlineStr">
        <is>
          <t>OBS-008</t>
        </is>
      </c>
      <c r="C13" s="33" t="n">
        <v>46238</v>
      </c>
      <c r="D13" s="31">
        <f>IF(C13="","",TEXT(C13,"MMM"))</f>
        <v/>
      </c>
      <c r="E13" s="35" t="inlineStr">
        <is>
          <t>Safe Act</t>
        </is>
      </c>
      <c r="F13" s="34" t="inlineStr">
        <is>
          <t>Unsafe Condition - Poor Lighting</t>
        </is>
      </c>
      <c r="G13" s="35" t="inlineStr">
        <is>
          <t>Admin</t>
        </is>
      </c>
      <c r="H13" s="35" t="inlineStr">
        <is>
          <t>Plant B</t>
        </is>
      </c>
      <c r="I13" s="34" t="inlineStr">
        <is>
          <t>Lisa Park</t>
        </is>
      </c>
      <c r="J13" s="34" t="inlineStr">
        <is>
          <t>Ahmed Khan</t>
        </is>
      </c>
      <c r="K13" s="35" t="inlineStr">
        <is>
          <t>General</t>
        </is>
      </c>
      <c r="L13" s="35" t="inlineStr">
        <is>
          <t>High</t>
        </is>
      </c>
      <c r="M13" s="35" t="inlineStr">
        <is>
          <t>Overdue</t>
        </is>
      </c>
      <c r="N13" s="34" t="n"/>
      <c r="O13" s="33" t="n">
        <v>46091</v>
      </c>
    </row>
    <row r="14" ht="15" customHeight="1" s="15">
      <c r="A14" s="24" t="n">
        <v>9</v>
      </c>
      <c r="B14" s="25" t="inlineStr">
        <is>
          <t>OBS-009</t>
        </is>
      </c>
      <c r="C14" s="26" t="n">
        <v>46315</v>
      </c>
      <c r="D14" s="24">
        <f>IF(C14="","",TEXT(C14,"MMM"))</f>
        <v/>
      </c>
      <c r="E14" s="28" t="inlineStr">
        <is>
          <t>Near Miss</t>
        </is>
      </c>
      <c r="F14" s="27" t="inlineStr">
        <is>
          <t>Positive - Good Housekeeping</t>
        </is>
      </c>
      <c r="G14" s="28" t="inlineStr">
        <is>
          <t>Projects</t>
        </is>
      </c>
      <c r="H14" s="28" t="inlineStr">
        <is>
          <t>Office</t>
        </is>
      </c>
      <c r="I14" s="27" t="inlineStr">
        <is>
          <t>Priya Sharma</t>
        </is>
      </c>
      <c r="J14" s="27" t="inlineStr">
        <is>
          <t>Priya Sharma</t>
        </is>
      </c>
      <c r="K14" s="28" t="inlineStr">
        <is>
          <t>PPE</t>
        </is>
      </c>
      <c r="L14" s="28" t="inlineStr">
        <is>
          <t>Low</t>
        </is>
      </c>
      <c r="M14" s="28" t="inlineStr">
        <is>
          <t>Pending</t>
        </is>
      </c>
      <c r="N14" s="27" t="inlineStr">
        <is>
          <t>Fix condition</t>
        </is>
      </c>
      <c r="O14" s="26" t="n">
        <v>46072</v>
      </c>
    </row>
    <row r="15" ht="15" customHeight="1" s="15">
      <c r="A15" s="31" t="n">
        <v>10</v>
      </c>
      <c r="B15" s="32" t="inlineStr">
        <is>
          <t>OBS-010</t>
        </is>
      </c>
      <c r="C15" s="33" t="n">
        <v>46078</v>
      </c>
      <c r="D15" s="31">
        <f>IF(C15="","",TEXT(C15,"MMM"))</f>
        <v/>
      </c>
      <c r="E15" s="35" t="inlineStr">
        <is>
          <t>Unsafe Act</t>
        </is>
      </c>
      <c r="F15" s="34" t="inlineStr">
        <is>
          <t>Positive - Good Housekeeping</t>
        </is>
      </c>
      <c r="G15" s="35" t="inlineStr">
        <is>
          <t>Safety</t>
        </is>
      </c>
      <c r="H15" s="35" t="inlineStr">
        <is>
          <t>Plant B</t>
        </is>
      </c>
      <c r="I15" s="34" t="inlineStr">
        <is>
          <t>Raj Patel</t>
        </is>
      </c>
      <c r="J15" s="34" t="inlineStr">
        <is>
          <t>Maria Garcia</t>
        </is>
      </c>
      <c r="K15" s="35" t="inlineStr">
        <is>
          <t>General</t>
        </is>
      </c>
      <c r="L15" s="35" t="inlineStr">
        <is>
          <t>Low</t>
        </is>
      </c>
      <c r="M15" s="35" t="inlineStr">
        <is>
          <t>Completed</t>
        </is>
      </c>
      <c r="N15" s="34" t="inlineStr">
        <is>
          <t>Retrain worker</t>
        </is>
      </c>
      <c r="O15" s="33" t="n"/>
    </row>
    <row r="16" ht="15" customHeight="1" s="15">
      <c r="A16" s="24" t="n">
        <v>11</v>
      </c>
      <c r="B16" s="25" t="inlineStr">
        <is>
          <t>OBS-011</t>
        </is>
      </c>
      <c r="C16" s="26" t="n">
        <v>46257</v>
      </c>
      <c r="D16" s="24">
        <f>IF(C16="","",TEXT(C16,"MMM"))</f>
        <v/>
      </c>
      <c r="E16" s="28" t="inlineStr">
        <is>
          <t>Near Miss</t>
        </is>
      </c>
      <c r="F16" s="27" t="inlineStr">
        <is>
          <t>Near Miss - Falling Object</t>
        </is>
      </c>
      <c r="G16" s="28" t="inlineStr">
        <is>
          <t>Safety</t>
        </is>
      </c>
      <c r="H16" s="28" t="inlineStr">
        <is>
          <t>Plant A</t>
        </is>
      </c>
      <c r="I16" s="27" t="inlineStr">
        <is>
          <t>Maria Garcia</t>
        </is>
      </c>
      <c r="J16" s="27" t="inlineStr">
        <is>
          <t>John Smith</t>
        </is>
      </c>
      <c r="K16" s="28" t="inlineStr">
        <is>
          <t>Fire Safety</t>
        </is>
      </c>
      <c r="L16" s="28" t="inlineStr">
        <is>
          <t>Medium</t>
        </is>
      </c>
      <c r="M16" s="28" t="inlineStr">
        <is>
          <t>Pending</t>
        </is>
      </c>
      <c r="N16" s="27" t="n"/>
      <c r="O16" s="26" t="n">
        <v>46195</v>
      </c>
    </row>
    <row r="17" ht="15" customHeight="1" s="15">
      <c r="A17" s="31" t="n">
        <v>12</v>
      </c>
      <c r="B17" s="32" t="inlineStr">
        <is>
          <t>OBS-012</t>
        </is>
      </c>
      <c r="C17" s="33" t="n">
        <v>46317</v>
      </c>
      <c r="D17" s="31">
        <f>IF(C17="","",TEXT(C17,"MMM"))</f>
        <v/>
      </c>
      <c r="E17" s="35" t="inlineStr">
        <is>
          <t>Unsafe Act</t>
        </is>
      </c>
      <c r="F17" s="34" t="inlineStr">
        <is>
          <t>Unsafe Condition - Poor Lighting</t>
        </is>
      </c>
      <c r="G17" s="35" t="inlineStr">
        <is>
          <t>Maintenance</t>
        </is>
      </c>
      <c r="H17" s="35" t="inlineStr">
        <is>
          <t>Workshop</t>
        </is>
      </c>
      <c r="I17" s="34" t="inlineStr">
        <is>
          <t>Raj Patel</t>
        </is>
      </c>
      <c r="J17" s="34" t="inlineStr">
        <is>
          <t>John Smith</t>
        </is>
      </c>
      <c r="K17" s="35" t="inlineStr">
        <is>
          <t>Environment</t>
        </is>
      </c>
      <c r="L17" s="35" t="inlineStr">
        <is>
          <t>High</t>
        </is>
      </c>
      <c r="M17" s="35" t="inlineStr">
        <is>
          <t>Completed</t>
        </is>
      </c>
      <c r="N17" s="34" t="n"/>
      <c r="O17" s="33" t="n"/>
    </row>
    <row r="18" ht="15" customHeight="1" s="15">
      <c r="A18" s="24" t="n">
        <v>13</v>
      </c>
      <c r="B18" s="25" t="inlineStr">
        <is>
          <t>OBS-013</t>
        </is>
      </c>
      <c r="C18" s="26" t="n">
        <v>46162</v>
      </c>
      <c r="D18" s="24">
        <f>IF(C18="","",TEXT(C18,"MMM"))</f>
        <v/>
      </c>
      <c r="E18" s="28" t="inlineStr">
        <is>
          <t>Near Miss</t>
        </is>
      </c>
      <c r="F18" s="27" t="inlineStr">
        <is>
          <t>Unsafe Act - Improper Lifting</t>
        </is>
      </c>
      <c r="G18" s="28" t="inlineStr">
        <is>
          <t>Admin</t>
        </is>
      </c>
      <c r="H18" s="28" t="inlineStr">
        <is>
          <t>Plant B</t>
        </is>
      </c>
      <c r="I18" s="27" t="inlineStr">
        <is>
          <t>Priya Sharma</t>
        </is>
      </c>
      <c r="J18" s="27" t="inlineStr">
        <is>
          <t>John Smith</t>
        </is>
      </c>
      <c r="K18" s="28" t="inlineStr">
        <is>
          <t>Fire Safety</t>
        </is>
      </c>
      <c r="L18" s="28" t="inlineStr">
        <is>
          <t>Medium</t>
        </is>
      </c>
      <c r="M18" s="28" t="inlineStr">
        <is>
          <t>Overdue</t>
        </is>
      </c>
      <c r="N18" s="27" t="inlineStr">
        <is>
          <t>Recognize employee</t>
        </is>
      </c>
      <c r="O18" s="26" t="n">
        <v>46263</v>
      </c>
    </row>
    <row r="19" ht="15" customHeight="1" s="15">
      <c r="A19" s="31" t="n">
        <v>14</v>
      </c>
      <c r="B19" s="32" t="inlineStr">
        <is>
          <t>OBS-014</t>
        </is>
      </c>
      <c r="C19" s="33" t="n">
        <v>46036</v>
      </c>
      <c r="D19" s="31">
        <f>IF(C19="","",TEXT(C19,"MMM"))</f>
        <v/>
      </c>
      <c r="E19" s="35" t="inlineStr">
        <is>
          <t>Safe Condition</t>
        </is>
      </c>
      <c r="F19" s="34" t="inlineStr">
        <is>
          <t>Unsafe Act - Improper Lifting</t>
        </is>
      </c>
      <c r="G19" s="35" t="inlineStr">
        <is>
          <t>Operations</t>
        </is>
      </c>
      <c r="H19" s="35" t="inlineStr">
        <is>
          <t>Plant B</t>
        </is>
      </c>
      <c r="I19" s="34" t="inlineStr">
        <is>
          <t>Maria Garcia</t>
        </is>
      </c>
      <c r="J19" s="34" t="inlineStr">
        <is>
          <t>Lisa Park</t>
        </is>
      </c>
      <c r="K19" s="35" t="inlineStr">
        <is>
          <t>Ergonomics</t>
        </is>
      </c>
      <c r="L19" s="35" t="inlineStr">
        <is>
          <t>High</t>
        </is>
      </c>
      <c r="M19" s="35" t="inlineStr">
        <is>
          <t>Overdue</t>
        </is>
      </c>
      <c r="N19" s="34" t="inlineStr">
        <is>
          <t>Recognize employee</t>
        </is>
      </c>
      <c r="O19" s="33" t="n"/>
    </row>
    <row r="20" ht="15" customHeight="1" s="15">
      <c r="A20" s="24" t="n">
        <v>15</v>
      </c>
      <c r="B20" s="25" t="inlineStr">
        <is>
          <t>OBS-015</t>
        </is>
      </c>
      <c r="C20" s="26" t="n">
        <v>46097</v>
      </c>
      <c r="D20" s="24">
        <f>IF(C20="","",TEXT(C20,"MMM"))</f>
        <v/>
      </c>
      <c r="E20" s="28" t="inlineStr">
        <is>
          <t>Near Miss</t>
        </is>
      </c>
      <c r="F20" s="27" t="inlineStr">
        <is>
          <t>Near Miss - Falling Object</t>
        </is>
      </c>
      <c r="G20" s="28" t="inlineStr">
        <is>
          <t>Safety</t>
        </is>
      </c>
      <c r="H20" s="28" t="inlineStr">
        <is>
          <t>Warehouse</t>
        </is>
      </c>
      <c r="I20" s="27" t="inlineStr">
        <is>
          <t>Lisa Park</t>
        </is>
      </c>
      <c r="J20" s="27" t="inlineStr">
        <is>
          <t>David Chen</t>
        </is>
      </c>
      <c r="K20" s="28" t="inlineStr">
        <is>
          <t>Fire Safety</t>
        </is>
      </c>
      <c r="L20" s="28" t="inlineStr">
        <is>
          <t>Medium</t>
        </is>
      </c>
      <c r="M20" s="28" t="inlineStr">
        <is>
          <t>Completed</t>
        </is>
      </c>
      <c r="N20" s="27" t="inlineStr">
        <is>
          <t>Install signage</t>
        </is>
      </c>
      <c r="O20" s="26" t="n">
        <v>46212</v>
      </c>
    </row>
    <row r="21" ht="15" customHeight="1" s="15">
      <c r="A21" s="31" t="n">
        <v>16</v>
      </c>
      <c r="B21" s="32" t="inlineStr">
        <is>
          <t>OBS-016</t>
        </is>
      </c>
      <c r="C21" s="33" t="n">
        <v>46081</v>
      </c>
      <c r="D21" s="31">
        <f>IF(C21="","",TEXT(C21,"MMM"))</f>
        <v/>
      </c>
      <c r="E21" s="35" t="inlineStr">
        <is>
          <t>Unsafe Act</t>
        </is>
      </c>
      <c r="F21" s="34" t="inlineStr">
        <is>
          <t>Safe Behavior - Barricading</t>
        </is>
      </c>
      <c r="G21" s="35" t="inlineStr">
        <is>
          <t>Quality</t>
        </is>
      </c>
      <c r="H21" s="35" t="inlineStr">
        <is>
          <t>Tank Farm</t>
        </is>
      </c>
      <c r="I21" s="34" t="inlineStr">
        <is>
          <t>John Smith</t>
        </is>
      </c>
      <c r="J21" s="34" t="inlineStr">
        <is>
          <t>David Chen</t>
        </is>
      </c>
      <c r="K21" s="35" t="inlineStr">
        <is>
          <t>Environment</t>
        </is>
      </c>
      <c r="L21" s="35" t="inlineStr">
        <is>
          <t>Low</t>
        </is>
      </c>
      <c r="M21" s="35" t="inlineStr">
        <is>
          <t>Completed</t>
        </is>
      </c>
      <c r="N21" s="34" t="inlineStr">
        <is>
          <t>Install signage</t>
        </is>
      </c>
      <c r="O21" s="33" t="n"/>
    </row>
    <row r="22" ht="15" customHeight="1" s="15">
      <c r="A22" s="24" t="n">
        <v>17</v>
      </c>
      <c r="B22" s="25" t="inlineStr">
        <is>
          <t>OBS-017</t>
        </is>
      </c>
      <c r="C22" s="26" t="n">
        <v>46153</v>
      </c>
      <c r="D22" s="24">
        <f>IF(C22="","",TEXT(C22,"MMM"))</f>
        <v/>
      </c>
      <c r="E22" s="28" t="inlineStr">
        <is>
          <t>Safe Act</t>
        </is>
      </c>
      <c r="F22" s="27" t="inlineStr">
        <is>
          <t>Unsafe Condition - Poor Lighting</t>
        </is>
      </c>
      <c r="G22" s="28" t="inlineStr">
        <is>
          <t>Projects</t>
        </is>
      </c>
      <c r="H22" s="28" t="inlineStr">
        <is>
          <t>Plant A</t>
        </is>
      </c>
      <c r="I22" s="27" t="inlineStr">
        <is>
          <t>Tom Brown</t>
        </is>
      </c>
      <c r="J22" s="27" t="inlineStr">
        <is>
          <t>Priya Sharma</t>
        </is>
      </c>
      <c r="K22" s="28" t="inlineStr">
        <is>
          <t>Housekeeping</t>
        </is>
      </c>
      <c r="L22" s="28" t="inlineStr">
        <is>
          <t>High</t>
        </is>
      </c>
      <c r="M22" s="28" t="inlineStr">
        <is>
          <t>In Progress</t>
        </is>
      </c>
      <c r="N22" s="27" t="inlineStr">
        <is>
          <t>Recognize employee</t>
        </is>
      </c>
      <c r="O22" s="26" t="n">
        <v>46276</v>
      </c>
    </row>
    <row r="23" ht="15" customHeight="1" s="15">
      <c r="A23" s="31" t="n">
        <v>18</v>
      </c>
      <c r="B23" s="32" t="inlineStr">
        <is>
          <t>OBS-018</t>
        </is>
      </c>
      <c r="C23" s="33" t="n">
        <v>46029</v>
      </c>
      <c r="D23" s="31">
        <f>IF(C23="","",TEXT(C23,"MMM"))</f>
        <v/>
      </c>
      <c r="E23" s="35" t="inlineStr">
        <is>
          <t>Safe Condition</t>
        </is>
      </c>
      <c r="F23" s="34" t="inlineStr">
        <is>
          <t>Unsafe Condition - Spill</t>
        </is>
      </c>
      <c r="G23" s="35" t="inlineStr">
        <is>
          <t>Safety</t>
        </is>
      </c>
      <c r="H23" s="35" t="inlineStr">
        <is>
          <t>Tank Farm</t>
        </is>
      </c>
      <c r="I23" s="34" t="inlineStr">
        <is>
          <t>Priya Sharma</t>
        </is>
      </c>
      <c r="J23" s="34" t="inlineStr">
        <is>
          <t>Sarah Wilson</t>
        </is>
      </c>
      <c r="K23" s="35" t="inlineStr">
        <is>
          <t>BBS</t>
        </is>
      </c>
      <c r="L23" s="35" t="inlineStr">
        <is>
          <t>Low</t>
        </is>
      </c>
      <c r="M23" s="35" t="inlineStr">
        <is>
          <t>In Progress</t>
        </is>
      </c>
      <c r="N23" s="34" t="inlineStr">
        <is>
          <t>Retrain worker</t>
        </is>
      </c>
      <c r="O23" s="33" t="n">
        <v>46060</v>
      </c>
    </row>
    <row r="24" ht="15" customHeight="1" s="15">
      <c r="A24" s="24" t="n">
        <v>19</v>
      </c>
      <c r="B24" s="25" t="inlineStr">
        <is>
          <t>OBS-019</t>
        </is>
      </c>
      <c r="C24" s="26" t="n">
        <v>46061</v>
      </c>
      <c r="D24" s="24">
        <f>IF(C24="","",TEXT(C24,"MMM"))</f>
        <v/>
      </c>
      <c r="E24" s="28" t="inlineStr">
        <is>
          <t>Safe Act</t>
        </is>
      </c>
      <c r="F24" s="27" t="inlineStr">
        <is>
          <t>Near Miss - Falling Object</t>
        </is>
      </c>
      <c r="G24" s="28" t="inlineStr">
        <is>
          <t>Maintenance</t>
        </is>
      </c>
      <c r="H24" s="28" t="inlineStr">
        <is>
          <t>Warehouse</t>
        </is>
      </c>
      <c r="I24" s="27" t="inlineStr">
        <is>
          <t>Priya Sharma</t>
        </is>
      </c>
      <c r="J24" s="27" t="inlineStr">
        <is>
          <t>John Smith</t>
        </is>
      </c>
      <c r="K24" s="28" t="inlineStr">
        <is>
          <t>Ergonomics</t>
        </is>
      </c>
      <c r="L24" s="28" t="inlineStr">
        <is>
          <t>Low</t>
        </is>
      </c>
      <c r="M24" s="28" t="inlineStr">
        <is>
          <t>Overdue</t>
        </is>
      </c>
      <c r="N24" s="27" t="inlineStr">
        <is>
          <t>Install signage</t>
        </is>
      </c>
      <c r="O24" s="26" t="n">
        <v>46263</v>
      </c>
    </row>
    <row r="25" ht="15" customHeight="1" s="15">
      <c r="A25" s="31" t="n">
        <v>20</v>
      </c>
      <c r="B25" s="32" t="inlineStr">
        <is>
          <t>OBS-020</t>
        </is>
      </c>
      <c r="C25" s="33" t="n">
        <v>46270</v>
      </c>
      <c r="D25" s="31">
        <f>IF(C25="","",TEXT(C25,"MMM"))</f>
        <v/>
      </c>
      <c r="E25" s="35" t="inlineStr">
        <is>
          <t>Unsafe Condition</t>
        </is>
      </c>
      <c r="F25" s="34" t="inlineStr">
        <is>
          <t>Positive - Good Housekeeping</t>
        </is>
      </c>
      <c r="G25" s="35" t="inlineStr">
        <is>
          <t>Contractor</t>
        </is>
      </c>
      <c r="H25" s="35" t="inlineStr">
        <is>
          <t>Warehouse</t>
        </is>
      </c>
      <c r="I25" s="34" t="inlineStr">
        <is>
          <t>Sarah Wilson</t>
        </is>
      </c>
      <c r="J25" s="34" t="inlineStr">
        <is>
          <t>John Smith</t>
        </is>
      </c>
      <c r="K25" s="35" t="inlineStr">
        <is>
          <t>Environment</t>
        </is>
      </c>
      <c r="L25" s="35" t="inlineStr">
        <is>
          <t>Medium</t>
        </is>
      </c>
      <c r="M25" s="35" t="inlineStr">
        <is>
          <t>Overdue</t>
        </is>
      </c>
      <c r="N25" s="34" t="inlineStr">
        <is>
          <t>Recognize employee</t>
        </is>
      </c>
      <c r="O25" s="33" t="n"/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O25"/>
  <mergeCells count="6">
    <mergeCell ref="N3:O3"/>
    <mergeCell ref="A2:O2"/>
    <mergeCell ref="A3:D3"/>
    <mergeCell ref="A1:O1"/>
    <mergeCell ref="G3:H3"/>
    <mergeCell ref="I3:J3"/>
  </mergeCells>
  <conditionalFormatting sqref="L6:L25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M6:M25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6">
    <dataValidation sqref="G6:G506" showDropDown="0" showInputMessage="0" showErrorMessage="0" allowBlank="1" type="list">
      <formula1>L_Department</formula1>
      <formula2>0</formula2>
    </dataValidation>
    <dataValidation sqref="E6:E506" showDropDown="0" showInputMessage="0" showErrorMessage="0" allowBlank="1" type="list">
      <formula1>L_Observation_Type</formula1>
      <formula2>0</formula2>
    </dataValidation>
    <dataValidation sqref="H6:H506" showDropDown="0" showInputMessage="0" showErrorMessage="0" allowBlank="1" type="list">
      <formula1>L_Location</formula1>
      <formula2>0</formula2>
    </dataValidation>
    <dataValidation sqref="K6:K506" showDropDown="0" showInputMessage="0" showErrorMessage="0" allowBlank="1" type="list">
      <formula1>L_Category</formula1>
      <formula2>0</formula2>
    </dataValidation>
    <dataValidation sqref="L6:L506" showDropDown="0" showInputMessage="0" showErrorMessage="0" allowBlank="1" type="list">
      <formula1>L_Risk_Level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B71C1C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8"/>
    <col width="12" customWidth="1" style="15" min="9" max="11"/>
    <col width="14" customWidth="1" style="15" min="12" max="12"/>
    <col width="12" customWidth="1" style="15" min="13" max="13"/>
    <col width="22" customWidth="1" style="15" min="14" max="14"/>
    <col width="12" customWidth="1" style="15" min="15" max="15"/>
  </cols>
  <sheetData>
    <row r="1" ht="42" customHeight="1" s="15">
      <c r="A1" s="202" t="inlineStr">
        <is>
          <t>🔍  WORKPLACE INSPECTIONS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SCOPE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FINDINGS</t>
        </is>
      </c>
      <c r="L3" s="18" t="inlineStr">
        <is>
          <t>QUALITY</t>
        </is>
      </c>
      <c r="M3" s="19" t="inlineStr">
        <is>
          <t>STATUS</t>
        </is>
      </c>
      <c r="N3" s="20" t="inlineStr">
        <is>
          <t>FOLLOW-UP</t>
        </is>
      </c>
    </row>
    <row r="4" ht="31.5" customHeight="1" s="15">
      <c r="A4" s="45" t="inlineStr">
        <is>
          <t>S.No</t>
        </is>
      </c>
      <c r="B4" s="45" t="inlineStr">
        <is>
          <t>Ref No.</t>
        </is>
      </c>
      <c r="C4" s="45" t="inlineStr">
        <is>
          <t>Date</t>
        </is>
      </c>
      <c r="D4" s="45" t="inlineStr">
        <is>
          <t>Month</t>
        </is>
      </c>
      <c r="E4" s="45" t="inlineStr">
        <is>
          <t>Inspection Area/Item</t>
        </is>
      </c>
      <c r="F4" s="45" t="inlineStr">
        <is>
          <t>Department</t>
        </is>
      </c>
      <c r="G4" s="45" t="inlineStr">
        <is>
          <t>Location</t>
        </is>
      </c>
      <c r="H4" s="45" t="inlineStr">
        <is>
          <t>Inspector</t>
        </is>
      </c>
      <c r="I4" s="45" t="inlineStr">
        <is>
          <t>Checkpoints Inspected</t>
        </is>
      </c>
      <c r="J4" s="45" t="inlineStr">
        <is>
          <t>Non-Conformances</t>
        </is>
      </c>
      <c r="K4" s="45" t="inlineStr">
        <is>
          <t>Critical Findings</t>
        </is>
      </c>
      <c r="L4" s="45" t="inlineStr">
        <is>
          <t>Overall Rating</t>
        </is>
      </c>
      <c r="M4" s="45" t="inlineStr">
        <is>
          <t>Status</t>
        </is>
      </c>
      <c r="N4" s="45" t="inlineStr">
        <is>
          <t>Corrective Action</t>
        </is>
      </c>
      <c r="O4" s="45" t="inlineStr">
        <is>
          <t>Due Date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WPI-001</t>
        </is>
      </c>
      <c r="C6" s="26" t="n">
        <v>46032</v>
      </c>
      <c r="D6" s="24">
        <f>IF(C6="","",TEXT(C6,"MMM"))</f>
        <v/>
      </c>
      <c r="E6" s="27" t="inlineStr">
        <is>
          <t>Chemical Storage</t>
        </is>
      </c>
      <c r="F6" s="28" t="inlineStr">
        <is>
          <t>Contractor</t>
        </is>
      </c>
      <c r="G6" s="28" t="inlineStr">
        <is>
          <t>Tank Farm</t>
        </is>
      </c>
      <c r="H6" s="27" t="inlineStr">
        <is>
          <t>Raj Patel</t>
        </is>
      </c>
      <c r="I6" s="29" t="n">
        <v>19</v>
      </c>
      <c r="J6" s="29" t="n">
        <v>4</v>
      </c>
      <c r="K6" s="29" t="n">
        <v>3</v>
      </c>
      <c r="L6" s="28" t="inlineStr">
        <is>
          <t>Unsatisfactory</t>
        </is>
      </c>
      <c r="M6" s="28" t="inlineStr">
        <is>
          <t>Overdue</t>
        </is>
      </c>
      <c r="N6" s="27" t="inlineStr">
        <is>
          <t>Install guard</t>
        </is>
      </c>
      <c r="O6" s="26" t="n">
        <v>46235</v>
      </c>
    </row>
    <row r="7" ht="15" customHeight="1" s="15">
      <c r="A7" s="31" t="n">
        <v>2</v>
      </c>
      <c r="B7" s="32" t="inlineStr">
        <is>
          <t>WPI-002</t>
        </is>
      </c>
      <c r="C7" s="33" t="n">
        <v>46135</v>
      </c>
      <c r="D7" s="31">
        <f>IF(C7="","",TEXT(C7,"MMM"))</f>
        <v/>
      </c>
      <c r="E7" s="34" t="inlineStr">
        <is>
          <t>Emergency Exit</t>
        </is>
      </c>
      <c r="F7" s="35" t="inlineStr">
        <is>
          <t>Contractor</t>
        </is>
      </c>
      <c r="G7" s="35" t="inlineStr">
        <is>
          <t>Office</t>
        </is>
      </c>
      <c r="H7" s="34" t="inlineStr">
        <is>
          <t>Maria Garcia</t>
        </is>
      </c>
      <c r="I7" s="36" t="n">
        <v>18</v>
      </c>
      <c r="J7" s="36" t="n">
        <v>0</v>
      </c>
      <c r="K7" s="36" t="n">
        <v>2</v>
      </c>
      <c r="L7" s="35" t="inlineStr">
        <is>
          <t>Good</t>
        </is>
      </c>
      <c r="M7" s="35" t="inlineStr">
        <is>
          <t>Pending</t>
        </is>
      </c>
      <c r="N7" s="34" t="inlineStr">
        <is>
          <t>Clean area</t>
        </is>
      </c>
      <c r="O7" s="33" t="n">
        <v>46353</v>
      </c>
    </row>
    <row r="8" ht="15" customHeight="1" s="15">
      <c r="A8" s="24" t="n">
        <v>3</v>
      </c>
      <c r="B8" s="25" t="inlineStr">
        <is>
          <t>WPI-003</t>
        </is>
      </c>
      <c r="C8" s="26" t="n">
        <v>46027</v>
      </c>
      <c r="D8" s="24">
        <f>IF(C8="","",TEXT(C8,"MMM"))</f>
        <v/>
      </c>
      <c r="E8" s="27" t="inlineStr">
        <is>
          <t>Ventilation</t>
        </is>
      </c>
      <c r="F8" s="28" t="inlineStr">
        <is>
          <t>Contractor</t>
        </is>
      </c>
      <c r="G8" s="28" t="inlineStr">
        <is>
          <t>Control Room</t>
        </is>
      </c>
      <c r="H8" s="27" t="inlineStr">
        <is>
          <t>Sarah Wilson</t>
        </is>
      </c>
      <c r="I8" s="29" t="n">
        <v>19</v>
      </c>
      <c r="J8" s="29" t="n">
        <v>0</v>
      </c>
      <c r="K8" s="29" t="n">
        <v>3</v>
      </c>
      <c r="L8" s="28" t="inlineStr">
        <is>
          <t>Satisfactory</t>
        </is>
      </c>
      <c r="M8" s="28" t="inlineStr">
        <is>
          <t>In Progress</t>
        </is>
      </c>
      <c r="N8" s="27" t="inlineStr">
        <is>
          <t>Clean area</t>
        </is>
      </c>
      <c r="O8" s="26" t="n">
        <v>46106</v>
      </c>
    </row>
    <row r="9" ht="15" customHeight="1" s="15">
      <c r="A9" s="31" t="n">
        <v>4</v>
      </c>
      <c r="B9" s="32" t="inlineStr">
        <is>
          <t>WPI-004</t>
        </is>
      </c>
      <c r="C9" s="33" t="n">
        <v>46153</v>
      </c>
      <c r="D9" s="31">
        <f>IF(C9="","",TEXT(C9,"MMM"))</f>
        <v/>
      </c>
      <c r="E9" s="34" t="inlineStr">
        <is>
          <t>Lighting</t>
        </is>
      </c>
      <c r="F9" s="35" t="inlineStr">
        <is>
          <t>Quality</t>
        </is>
      </c>
      <c r="G9" s="35" t="inlineStr">
        <is>
          <t>Plant B</t>
        </is>
      </c>
      <c r="H9" s="34" t="inlineStr">
        <is>
          <t>Fatima Al-Said</t>
        </is>
      </c>
      <c r="I9" s="36" t="n">
        <v>17</v>
      </c>
      <c r="J9" s="36" t="n">
        <v>2</v>
      </c>
      <c r="K9" s="36" t="n">
        <v>3</v>
      </c>
      <c r="L9" s="35" t="inlineStr">
        <is>
          <t>Excellent</t>
        </is>
      </c>
      <c r="M9" s="35" t="inlineStr">
        <is>
          <t>Completed</t>
        </is>
      </c>
      <c r="N9" s="34" t="inlineStr">
        <is>
          <t>Install guard</t>
        </is>
      </c>
      <c r="O9" s="33" t="n"/>
    </row>
    <row r="10" ht="15" customHeight="1" s="15">
      <c r="A10" s="24" t="n">
        <v>5</v>
      </c>
      <c r="B10" s="25" t="inlineStr">
        <is>
          <t>WPI-005</t>
        </is>
      </c>
      <c r="C10" s="26" t="n">
        <v>46348</v>
      </c>
      <c r="D10" s="24">
        <f>IF(C10="","",TEXT(C10,"MMM"))</f>
        <v/>
      </c>
      <c r="E10" s="27" t="inlineStr">
        <is>
          <t>Chemical Storage</t>
        </is>
      </c>
      <c r="F10" s="28" t="inlineStr">
        <is>
          <t>Construction</t>
        </is>
      </c>
      <c r="G10" s="28" t="inlineStr">
        <is>
          <t>Plant B</t>
        </is>
      </c>
      <c r="H10" s="27" t="inlineStr">
        <is>
          <t>David Chen</t>
        </is>
      </c>
      <c r="I10" s="29" t="n">
        <v>8</v>
      </c>
      <c r="J10" s="29" t="n">
        <v>5</v>
      </c>
      <c r="K10" s="29" t="n">
        <v>0</v>
      </c>
      <c r="L10" s="28" t="inlineStr">
        <is>
          <t>Good</t>
        </is>
      </c>
      <c r="M10" s="28" t="inlineStr">
        <is>
          <t>In Progress</t>
        </is>
      </c>
      <c r="N10" s="27" t="inlineStr">
        <is>
          <t>Replace equipment</t>
        </is>
      </c>
      <c r="O10" s="26" t="n">
        <v>46041</v>
      </c>
    </row>
    <row r="11" ht="21.75" customHeight="1" s="15">
      <c r="A11" s="31" t="n">
        <v>6</v>
      </c>
      <c r="B11" s="32" t="inlineStr">
        <is>
          <t>WPI-006</t>
        </is>
      </c>
      <c r="C11" s="33" t="n">
        <v>46154</v>
      </c>
      <c r="D11" s="31">
        <f>IF(C11="","",TEXT(C11,"MMM"))</f>
        <v/>
      </c>
      <c r="E11" s="34" t="inlineStr">
        <is>
          <t>Electrical Panel</t>
        </is>
      </c>
      <c r="F11" s="35" t="inlineStr">
        <is>
          <t>Quality</t>
        </is>
      </c>
      <c r="G11" s="35" t="inlineStr">
        <is>
          <t>Warehouse</t>
        </is>
      </c>
      <c r="H11" s="34" t="inlineStr">
        <is>
          <t>Maria Garcia</t>
        </is>
      </c>
      <c r="I11" s="36" t="n">
        <v>18</v>
      </c>
      <c r="J11" s="36" t="n">
        <v>4</v>
      </c>
      <c r="K11" s="36" t="n">
        <v>1</v>
      </c>
      <c r="L11" s="35" t="inlineStr">
        <is>
          <t>Needs Improvement</t>
        </is>
      </c>
      <c r="M11" s="35" t="inlineStr">
        <is>
          <t>In Progress</t>
        </is>
      </c>
      <c r="N11" s="34" t="n"/>
      <c r="O11" s="33" t="n">
        <v>46251</v>
      </c>
    </row>
    <row r="12" ht="15" customHeight="1" s="15">
      <c r="A12" s="24" t="n">
        <v>7</v>
      </c>
      <c r="B12" s="25" t="inlineStr">
        <is>
          <t>WPI-007</t>
        </is>
      </c>
      <c r="C12" s="26" t="n">
        <v>46128</v>
      </c>
      <c r="D12" s="24">
        <f>IF(C12="","",TEXT(C12,"MMM"))</f>
        <v/>
      </c>
      <c r="E12" s="27" t="inlineStr">
        <is>
          <t>Lighting</t>
        </is>
      </c>
      <c r="F12" s="28" t="inlineStr">
        <is>
          <t>Engineering</t>
        </is>
      </c>
      <c r="G12" s="28" t="inlineStr">
        <is>
          <t>Workshop</t>
        </is>
      </c>
      <c r="H12" s="27" t="inlineStr">
        <is>
          <t>Priya Sharma</t>
        </is>
      </c>
      <c r="I12" s="29" t="n">
        <v>13</v>
      </c>
      <c r="J12" s="29" t="n">
        <v>3</v>
      </c>
      <c r="K12" s="29" t="n">
        <v>2</v>
      </c>
      <c r="L12" s="28" t="inlineStr">
        <is>
          <t>Satisfactory</t>
        </is>
      </c>
      <c r="M12" s="28" t="inlineStr">
        <is>
          <t>Pending</t>
        </is>
      </c>
      <c r="N12" s="27" t="inlineStr">
        <is>
          <t>Replace equipment</t>
        </is>
      </c>
      <c r="O12" s="26" t="n">
        <v>46105</v>
      </c>
    </row>
    <row r="13" ht="15" customHeight="1" s="15">
      <c r="A13" s="31" t="n">
        <v>8</v>
      </c>
      <c r="B13" s="32" t="inlineStr">
        <is>
          <t>WPI-008</t>
        </is>
      </c>
      <c r="C13" s="33" t="n">
        <v>46192</v>
      </c>
      <c r="D13" s="31">
        <f>IF(C13="","",TEXT(C13,"MMM"))</f>
        <v/>
      </c>
      <c r="E13" s="34" t="inlineStr">
        <is>
          <t>Chemical Storage</t>
        </is>
      </c>
      <c r="F13" s="35" t="inlineStr">
        <is>
          <t>Quality</t>
        </is>
      </c>
      <c r="G13" s="35" t="inlineStr">
        <is>
          <t>Field Site</t>
        </is>
      </c>
      <c r="H13" s="34" t="inlineStr">
        <is>
          <t>Priya Sharma</t>
        </is>
      </c>
      <c r="I13" s="36" t="n">
        <v>14</v>
      </c>
      <c r="J13" s="36" t="n">
        <v>1</v>
      </c>
      <c r="K13" s="36" t="n">
        <v>3</v>
      </c>
      <c r="L13" s="35" t="inlineStr">
        <is>
          <t>Good</t>
        </is>
      </c>
      <c r="M13" s="35" t="inlineStr">
        <is>
          <t>Completed</t>
        </is>
      </c>
      <c r="N13" s="34" t="inlineStr">
        <is>
          <t>Fix issue</t>
        </is>
      </c>
      <c r="O13" s="33" t="n">
        <v>46208</v>
      </c>
    </row>
    <row r="14" ht="15" customHeight="1" s="15">
      <c r="A14" s="24" t="n">
        <v>9</v>
      </c>
      <c r="B14" s="25" t="inlineStr">
        <is>
          <t>WPI-009</t>
        </is>
      </c>
      <c r="C14" s="26" t="n">
        <v>46366</v>
      </c>
      <c r="D14" s="24">
        <f>IF(C14="","",TEXT(C14,"MMM"))</f>
        <v/>
      </c>
      <c r="E14" s="27" t="inlineStr">
        <is>
          <t>Fire Equipment</t>
        </is>
      </c>
      <c r="F14" s="28" t="inlineStr">
        <is>
          <t>Quality</t>
        </is>
      </c>
      <c r="G14" s="28" t="inlineStr">
        <is>
          <t>Field Site</t>
        </is>
      </c>
      <c r="H14" s="27" t="inlineStr">
        <is>
          <t>Ahmed Khan</t>
        </is>
      </c>
      <c r="I14" s="29" t="n">
        <v>6</v>
      </c>
      <c r="J14" s="29" t="n">
        <v>4</v>
      </c>
      <c r="K14" s="29" t="n">
        <v>3</v>
      </c>
      <c r="L14" s="28" t="inlineStr">
        <is>
          <t>Unsatisfactory</t>
        </is>
      </c>
      <c r="M14" s="28" t="inlineStr">
        <is>
          <t>In Progress</t>
        </is>
      </c>
      <c r="N14" s="27" t="inlineStr">
        <is>
          <t>Install guard</t>
        </is>
      </c>
      <c r="O14" s="26" t="n">
        <v>46146</v>
      </c>
    </row>
    <row r="15" ht="21.75" customHeight="1" s="15">
      <c r="A15" s="31" t="n">
        <v>10</v>
      </c>
      <c r="B15" s="32" t="inlineStr">
        <is>
          <t>WPI-010</t>
        </is>
      </c>
      <c r="C15" s="33" t="n">
        <v>46304</v>
      </c>
      <c r="D15" s="31">
        <f>IF(C15="","",TEXT(C15,"MMM"))</f>
        <v/>
      </c>
      <c r="E15" s="34" t="inlineStr">
        <is>
          <t>PPE Station</t>
        </is>
      </c>
      <c r="F15" s="35" t="inlineStr">
        <is>
          <t>Maintenance</t>
        </is>
      </c>
      <c r="G15" s="35" t="inlineStr">
        <is>
          <t>Plant A</t>
        </is>
      </c>
      <c r="H15" s="34" t="inlineStr">
        <is>
          <t>John Smith</t>
        </is>
      </c>
      <c r="I15" s="36" t="n">
        <v>19</v>
      </c>
      <c r="J15" s="36" t="n">
        <v>0</v>
      </c>
      <c r="K15" s="36" t="n">
        <v>2</v>
      </c>
      <c r="L15" s="35" t="inlineStr">
        <is>
          <t>Needs Improvement</t>
        </is>
      </c>
      <c r="M15" s="35" t="inlineStr">
        <is>
          <t>Completed</t>
        </is>
      </c>
      <c r="N15" s="34" t="inlineStr">
        <is>
          <t>Replace equipment</t>
        </is>
      </c>
      <c r="O15" s="33" t="n">
        <v>46222</v>
      </c>
    </row>
    <row r="16" ht="15" customHeight="1" s="15">
      <c r="A16" s="24" t="n">
        <v>11</v>
      </c>
      <c r="B16" s="25" t="inlineStr">
        <is>
          <t>WPI-011</t>
        </is>
      </c>
      <c r="C16" s="26" t="n">
        <v>46107</v>
      </c>
      <c r="D16" s="24">
        <f>IF(C16="","",TEXT(C16,"MMM"))</f>
        <v/>
      </c>
      <c r="E16" s="27" t="inlineStr">
        <is>
          <t>Ventilation</t>
        </is>
      </c>
      <c r="F16" s="28" t="inlineStr">
        <is>
          <t>Logistics</t>
        </is>
      </c>
      <c r="G16" s="28" t="inlineStr">
        <is>
          <t>Field Site</t>
        </is>
      </c>
      <c r="H16" s="27" t="inlineStr">
        <is>
          <t>Raj Patel</t>
        </is>
      </c>
      <c r="I16" s="29" t="n">
        <v>13</v>
      </c>
      <c r="J16" s="29" t="n">
        <v>3</v>
      </c>
      <c r="K16" s="29" t="n">
        <v>2</v>
      </c>
      <c r="L16" s="28" t="inlineStr">
        <is>
          <t>Unsatisfactory</t>
        </is>
      </c>
      <c r="M16" s="28" t="inlineStr">
        <is>
          <t>Completed</t>
        </is>
      </c>
      <c r="N16" s="27" t="inlineStr">
        <is>
          <t>Clean area</t>
        </is>
      </c>
      <c r="O16" s="26" t="n">
        <v>46120</v>
      </c>
    </row>
    <row r="17" ht="15" customHeight="1" s="15">
      <c r="A17" s="31" t="n">
        <v>12</v>
      </c>
      <c r="B17" s="32" t="inlineStr">
        <is>
          <t>WPI-012</t>
        </is>
      </c>
      <c r="C17" s="33" t="n">
        <v>46350</v>
      </c>
      <c r="D17" s="31">
        <f>IF(C17="","",TEXT(C17,"MMM"))</f>
        <v/>
      </c>
      <c r="E17" s="34" t="inlineStr">
        <is>
          <t>First Aid Kit</t>
        </is>
      </c>
      <c r="F17" s="35" t="inlineStr">
        <is>
          <t>Projects</t>
        </is>
      </c>
      <c r="G17" s="35" t="inlineStr">
        <is>
          <t>Control Room</t>
        </is>
      </c>
      <c r="H17" s="34" t="inlineStr">
        <is>
          <t>Sarah Wilson</t>
        </is>
      </c>
      <c r="I17" s="36" t="n">
        <v>17</v>
      </c>
      <c r="J17" s="36" t="n">
        <v>0</v>
      </c>
      <c r="K17" s="36" t="n">
        <v>2</v>
      </c>
      <c r="L17" s="35" t="inlineStr">
        <is>
          <t>Excellent</t>
        </is>
      </c>
      <c r="M17" s="35" t="inlineStr">
        <is>
          <t>Completed</t>
        </is>
      </c>
      <c r="N17" s="34" t="inlineStr">
        <is>
          <t>Clean area</t>
        </is>
      </c>
      <c r="O17" s="33" t="n">
        <v>46393</v>
      </c>
    </row>
    <row r="18" ht="15" customHeight="1" s="15">
      <c r="A18" s="24" t="n">
        <v>13</v>
      </c>
      <c r="B18" s="25" t="inlineStr">
        <is>
          <t>WPI-013</t>
        </is>
      </c>
      <c r="C18" s="26" t="n">
        <v>46308</v>
      </c>
      <c r="D18" s="24">
        <f>IF(C18="","",TEXT(C18,"MMM"))</f>
        <v/>
      </c>
      <c r="E18" s="27" t="inlineStr">
        <is>
          <t>Electrical Panel</t>
        </is>
      </c>
      <c r="F18" s="28" t="inlineStr">
        <is>
          <t>Maintenance</t>
        </is>
      </c>
      <c r="G18" s="28" t="inlineStr">
        <is>
          <t>Workshop</t>
        </is>
      </c>
      <c r="H18" s="27" t="inlineStr">
        <is>
          <t>Priya Sharma</t>
        </is>
      </c>
      <c r="I18" s="29" t="n">
        <v>5</v>
      </c>
      <c r="J18" s="29" t="n">
        <v>4</v>
      </c>
      <c r="K18" s="29" t="n">
        <v>2</v>
      </c>
      <c r="L18" s="28" t="inlineStr">
        <is>
          <t>Excellent</t>
        </is>
      </c>
      <c r="M18" s="28" t="inlineStr">
        <is>
          <t>In Progress</t>
        </is>
      </c>
      <c r="N18" s="27" t="n"/>
      <c r="O18" s="26" t="n">
        <v>46273</v>
      </c>
    </row>
    <row r="19" ht="15" customHeight="1" s="15">
      <c r="A19" s="31" t="n">
        <v>14</v>
      </c>
      <c r="B19" s="32" t="inlineStr">
        <is>
          <t>WPI-014</t>
        </is>
      </c>
      <c r="C19" s="33" t="n">
        <v>46340</v>
      </c>
      <c r="D19" s="31">
        <f>IF(C19="","",TEXT(C19,"MMM"))</f>
        <v/>
      </c>
      <c r="E19" s="34" t="inlineStr">
        <is>
          <t>Housekeeping</t>
        </is>
      </c>
      <c r="F19" s="35" t="inlineStr">
        <is>
          <t>Engineering</t>
        </is>
      </c>
      <c r="G19" s="35" t="inlineStr">
        <is>
          <t>Plant A</t>
        </is>
      </c>
      <c r="H19" s="34" t="inlineStr">
        <is>
          <t>Ahmed Khan</t>
        </is>
      </c>
      <c r="I19" s="36" t="n">
        <v>14</v>
      </c>
      <c r="J19" s="36" t="n">
        <v>3</v>
      </c>
      <c r="K19" s="36" t="n">
        <v>0</v>
      </c>
      <c r="L19" s="35" t="inlineStr">
        <is>
          <t>Satisfactory</t>
        </is>
      </c>
      <c r="M19" s="35" t="inlineStr">
        <is>
          <t>In Progress</t>
        </is>
      </c>
      <c r="N19" s="34" t="inlineStr">
        <is>
          <t>Install guard</t>
        </is>
      </c>
      <c r="O19" s="33" t="n"/>
    </row>
    <row r="20" ht="15" customHeight="1" s="15">
      <c r="A20" s="24" t="n">
        <v>15</v>
      </c>
      <c r="B20" s="25" t="inlineStr">
        <is>
          <t>WPI-015</t>
        </is>
      </c>
      <c r="C20" s="26" t="n">
        <v>46246</v>
      </c>
      <c r="D20" s="24">
        <f>IF(C20="","",TEXT(C20,"MMM"))</f>
        <v/>
      </c>
      <c r="E20" s="27" t="inlineStr">
        <is>
          <t>Ventilation</t>
        </is>
      </c>
      <c r="F20" s="28" t="inlineStr">
        <is>
          <t>Quality</t>
        </is>
      </c>
      <c r="G20" s="28" t="inlineStr">
        <is>
          <t>Warehouse</t>
        </is>
      </c>
      <c r="H20" s="27" t="inlineStr">
        <is>
          <t>David Chen</t>
        </is>
      </c>
      <c r="I20" s="29" t="n">
        <v>8</v>
      </c>
      <c r="J20" s="29" t="n">
        <v>3</v>
      </c>
      <c r="K20" s="29" t="n">
        <v>3</v>
      </c>
      <c r="L20" s="28" t="inlineStr">
        <is>
          <t>Unsatisfactory</t>
        </is>
      </c>
      <c r="M20" s="28" t="inlineStr">
        <is>
          <t>Completed</t>
        </is>
      </c>
      <c r="N20" s="27" t="inlineStr">
        <is>
          <t>Replace equipment</t>
        </is>
      </c>
      <c r="O20" s="26" t="n"/>
    </row>
    <row r="21" ht="15" customHeight="1" s="15">
      <c r="A21" s="31" t="n">
        <v>16</v>
      </c>
      <c r="B21" s="32" t="inlineStr">
        <is>
          <t>WPI-016</t>
        </is>
      </c>
      <c r="C21" s="33" t="n">
        <v>46242</v>
      </c>
      <c r="D21" s="31">
        <f>IF(C21="","",TEXT(C21,"MMM"))</f>
        <v/>
      </c>
      <c r="E21" s="34" t="inlineStr">
        <is>
          <t>Electrical Panel</t>
        </is>
      </c>
      <c r="F21" s="35" t="inlineStr">
        <is>
          <t>Maintenance</t>
        </is>
      </c>
      <c r="G21" s="35" t="inlineStr">
        <is>
          <t>Control Room</t>
        </is>
      </c>
      <c r="H21" s="34" t="inlineStr">
        <is>
          <t>Tom Brown</t>
        </is>
      </c>
      <c r="I21" s="36" t="n">
        <v>16</v>
      </c>
      <c r="J21" s="36" t="n">
        <v>0</v>
      </c>
      <c r="K21" s="36" t="n">
        <v>3</v>
      </c>
      <c r="L21" s="35" t="inlineStr">
        <is>
          <t>Unsatisfactory</t>
        </is>
      </c>
      <c r="M21" s="35" t="inlineStr">
        <is>
          <t>In Progress</t>
        </is>
      </c>
      <c r="N21" s="34" t="n"/>
      <c r="O21" s="33" t="n">
        <v>46265</v>
      </c>
    </row>
    <row r="22" ht="15" customHeight="1" s="15">
      <c r="A22" s="24" t="n">
        <v>17</v>
      </c>
      <c r="B22" s="25" t="inlineStr">
        <is>
          <t>WPI-017</t>
        </is>
      </c>
      <c r="C22" s="26" t="n">
        <v>46133</v>
      </c>
      <c r="D22" s="24">
        <f>IF(C22="","",TEXT(C22,"MMM"))</f>
        <v/>
      </c>
      <c r="E22" s="27" t="inlineStr">
        <is>
          <t>Lighting</t>
        </is>
      </c>
      <c r="F22" s="28" t="inlineStr">
        <is>
          <t>Operations</t>
        </is>
      </c>
      <c r="G22" s="28" t="inlineStr">
        <is>
          <t>Plant A</t>
        </is>
      </c>
      <c r="H22" s="27" t="inlineStr">
        <is>
          <t>Fatima Al-Said</t>
        </is>
      </c>
      <c r="I22" s="29" t="n">
        <v>12</v>
      </c>
      <c r="J22" s="29" t="n">
        <v>1</v>
      </c>
      <c r="K22" s="29" t="n">
        <v>1</v>
      </c>
      <c r="L22" s="28" t="inlineStr">
        <is>
          <t>Satisfactory</t>
        </is>
      </c>
      <c r="M22" s="28" t="inlineStr">
        <is>
          <t>Cancelled</t>
        </is>
      </c>
      <c r="N22" s="27" t="inlineStr">
        <is>
          <t>Fix issue</t>
        </is>
      </c>
      <c r="O22" s="26" t="n">
        <v>46134</v>
      </c>
    </row>
    <row r="23" ht="15" customHeight="1" s="15">
      <c r="A23" s="31" t="n">
        <v>18</v>
      </c>
      <c r="B23" s="32" t="inlineStr">
        <is>
          <t>WPI-018</t>
        </is>
      </c>
      <c r="C23" s="33" t="n">
        <v>46296</v>
      </c>
      <c r="D23" s="31">
        <f>IF(C23="","",TEXT(C23,"MMM"))</f>
        <v/>
      </c>
      <c r="E23" s="34" t="inlineStr">
        <is>
          <t>Chemical Storage</t>
        </is>
      </c>
      <c r="F23" s="35" t="inlineStr">
        <is>
          <t>Engineering</t>
        </is>
      </c>
      <c r="G23" s="35" t="inlineStr">
        <is>
          <t>Warehouse</t>
        </is>
      </c>
      <c r="H23" s="34" t="inlineStr">
        <is>
          <t>Tom Brown</t>
        </is>
      </c>
      <c r="I23" s="36" t="n">
        <v>13</v>
      </c>
      <c r="J23" s="36" t="n">
        <v>1</v>
      </c>
      <c r="K23" s="36" t="n">
        <v>0</v>
      </c>
      <c r="L23" s="35" t="inlineStr">
        <is>
          <t>Satisfactory</t>
        </is>
      </c>
      <c r="M23" s="35" t="inlineStr">
        <is>
          <t>In Progress</t>
        </is>
      </c>
      <c r="N23" s="34" t="n"/>
      <c r="O23" s="33" t="n">
        <v>46148</v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O23"/>
  <mergeCells count="6">
    <mergeCell ref="F3:G3"/>
    <mergeCell ref="N3:O3"/>
    <mergeCell ref="A2:O2"/>
    <mergeCell ref="A3:D3"/>
    <mergeCell ref="A1:O1"/>
    <mergeCell ref="I3:K3"/>
  </mergeCells>
  <conditionalFormatting sqref="M6:M23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L6:L506" showDropDown="0" showInputMessage="0" showErrorMessage="0" allowBlank="1" type="list">
      <formula1>L_Overall_Rating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263238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8"/>
    <col width="12" customWidth="1" style="15" min="9" max="11"/>
    <col width="14" customWidth="1" style="15" min="12" max="12"/>
    <col width="12" customWidth="1" style="15" min="13" max="13"/>
    <col width="22" customWidth="1" style="15" min="14" max="14"/>
    <col width="12" customWidth="1" style="15" min="15" max="15"/>
  </cols>
  <sheetData>
    <row r="1" ht="42" customHeight="1" s="15">
      <c r="A1" s="205" t="inlineStr">
        <is>
          <t>🔧  EQUIPMENT INSPECTIONS — DATA ENTRY</t>
        </is>
      </c>
    </row>
    <row r="2" ht="21.75" customHeight="1" s="15">
      <c r="A2" s="206" t="inlineStr">
        <is>
          <t>🔵 Blue = User Input  |  ⚫ Gray = Auto-Calculated  |  Use dropdowns where available</t>
        </is>
      </c>
    </row>
    <row r="3" ht="19.5" customHeight="1" s="15">
      <c r="A3" s="207" t="inlineStr">
        <is>
          <t>IDENTIFICATION</t>
        </is>
      </c>
      <c r="E3" s="16" t="inlineStr">
        <is>
          <t>SCOPE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FINDINGS</t>
        </is>
      </c>
      <c r="L3" s="18" t="inlineStr">
        <is>
          <t>QUALITY</t>
        </is>
      </c>
      <c r="M3" s="19" t="inlineStr">
        <is>
          <t>STATUS</t>
        </is>
      </c>
      <c r="N3" s="20" t="inlineStr">
        <is>
          <t>FOLLOW-UP</t>
        </is>
      </c>
    </row>
    <row r="4" ht="31.5" customHeight="1" s="15">
      <c r="A4" s="46" t="inlineStr">
        <is>
          <t>S.No</t>
        </is>
      </c>
      <c r="B4" s="46" t="inlineStr">
        <is>
          <t>Ref No.</t>
        </is>
      </c>
      <c r="C4" s="46" t="inlineStr">
        <is>
          <t>Date</t>
        </is>
      </c>
      <c r="D4" s="46" t="inlineStr">
        <is>
          <t>Month</t>
        </is>
      </c>
      <c r="E4" s="46" t="inlineStr">
        <is>
          <t>Inspection Area/Item</t>
        </is>
      </c>
      <c r="F4" s="46" t="inlineStr">
        <is>
          <t>Department</t>
        </is>
      </c>
      <c r="G4" s="46" t="inlineStr">
        <is>
          <t>Location</t>
        </is>
      </c>
      <c r="H4" s="46" t="inlineStr">
        <is>
          <t>Inspector</t>
        </is>
      </c>
      <c r="I4" s="46" t="inlineStr">
        <is>
          <t>Checkpoints Inspected</t>
        </is>
      </c>
      <c r="J4" s="46" t="inlineStr">
        <is>
          <t>Non-Conformances</t>
        </is>
      </c>
      <c r="K4" s="46" t="inlineStr">
        <is>
          <t>Critical Findings</t>
        </is>
      </c>
      <c r="L4" s="46" t="inlineStr">
        <is>
          <t>Overall Rating</t>
        </is>
      </c>
      <c r="M4" s="46" t="inlineStr">
        <is>
          <t>Status</t>
        </is>
      </c>
      <c r="N4" s="46" t="inlineStr">
        <is>
          <t>Corrective Action</t>
        </is>
      </c>
      <c r="O4" s="46" t="inlineStr">
        <is>
          <t>Due Date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EQI-001</t>
        </is>
      </c>
      <c r="C6" s="26" t="n">
        <v>46028</v>
      </c>
      <c r="D6" s="24">
        <f>IF(C6="","",TEXT(C6,"MMM"))</f>
        <v/>
      </c>
      <c r="E6" s="27" t="inlineStr">
        <is>
          <t>Compressor</t>
        </is>
      </c>
      <c r="F6" s="28" t="inlineStr">
        <is>
          <t>Operations</t>
        </is>
      </c>
      <c r="G6" s="28" t="inlineStr">
        <is>
          <t>Warehouse</t>
        </is>
      </c>
      <c r="H6" s="27" t="inlineStr">
        <is>
          <t>David Chen</t>
        </is>
      </c>
      <c r="I6" s="29" t="n">
        <v>8</v>
      </c>
      <c r="J6" s="29" t="n">
        <v>5</v>
      </c>
      <c r="K6" s="29" t="n">
        <v>0</v>
      </c>
      <c r="L6" s="28" t="inlineStr">
        <is>
          <t>Good</t>
        </is>
      </c>
      <c r="M6" s="28" t="inlineStr">
        <is>
          <t>Pending</t>
        </is>
      </c>
      <c r="N6" s="27" t="inlineStr">
        <is>
          <t>Replace equipment</t>
        </is>
      </c>
      <c r="O6" s="26" t="n">
        <v>46091</v>
      </c>
    </row>
    <row r="7" ht="15" customHeight="1" s="15">
      <c r="A7" s="31" t="n">
        <v>2</v>
      </c>
      <c r="B7" s="32" t="inlineStr">
        <is>
          <t>EQI-002</t>
        </is>
      </c>
      <c r="C7" s="33" t="n">
        <v>46132</v>
      </c>
      <c r="D7" s="31">
        <f>IF(C7="","",TEXT(C7,"MMM"))</f>
        <v/>
      </c>
      <c r="E7" s="34" t="inlineStr">
        <is>
          <t>Crane</t>
        </is>
      </c>
      <c r="F7" s="35" t="inlineStr">
        <is>
          <t>Projects</t>
        </is>
      </c>
      <c r="G7" s="35" t="inlineStr">
        <is>
          <t>Field Site</t>
        </is>
      </c>
      <c r="H7" s="34" t="inlineStr">
        <is>
          <t>Priya Sharma</t>
        </is>
      </c>
      <c r="I7" s="36" t="n">
        <v>5</v>
      </c>
      <c r="J7" s="36" t="n">
        <v>0</v>
      </c>
      <c r="K7" s="36" t="n">
        <v>3</v>
      </c>
      <c r="L7" s="35" t="inlineStr">
        <is>
          <t>Good</t>
        </is>
      </c>
      <c r="M7" s="35" t="inlineStr">
        <is>
          <t>Pending</t>
        </is>
      </c>
      <c r="N7" s="34" t="n"/>
      <c r="O7" s="33" t="n">
        <v>46246</v>
      </c>
    </row>
    <row r="8" ht="15" customHeight="1" s="15">
      <c r="A8" s="24" t="n">
        <v>3</v>
      </c>
      <c r="B8" s="25" t="inlineStr">
        <is>
          <t>EQI-003</t>
        </is>
      </c>
      <c r="C8" s="26" t="n">
        <v>46193</v>
      </c>
      <c r="D8" s="24">
        <f>IF(C8="","",TEXT(C8,"MMM"))</f>
        <v/>
      </c>
      <c r="E8" s="27" t="inlineStr">
        <is>
          <t>Scaffold</t>
        </is>
      </c>
      <c r="F8" s="28" t="inlineStr">
        <is>
          <t>Maintenance</t>
        </is>
      </c>
      <c r="G8" s="28" t="inlineStr">
        <is>
          <t>Warehouse</t>
        </is>
      </c>
      <c r="H8" s="27" t="inlineStr">
        <is>
          <t>John Smith</t>
        </is>
      </c>
      <c r="I8" s="29" t="n">
        <v>15</v>
      </c>
      <c r="J8" s="29" t="n">
        <v>3</v>
      </c>
      <c r="K8" s="29" t="n">
        <v>2</v>
      </c>
      <c r="L8" s="28" t="inlineStr">
        <is>
          <t>Good</t>
        </is>
      </c>
      <c r="M8" s="28" t="inlineStr">
        <is>
          <t>Cancelled</t>
        </is>
      </c>
      <c r="N8" s="27" t="inlineStr">
        <is>
          <t>Install guard</t>
        </is>
      </c>
      <c r="O8" s="26" t="n">
        <v>46387</v>
      </c>
    </row>
    <row r="9" ht="15" customHeight="1" s="15">
      <c r="A9" s="31" t="n">
        <v>4</v>
      </c>
      <c r="B9" s="32" t="inlineStr">
        <is>
          <t>EQI-004</t>
        </is>
      </c>
      <c r="C9" s="33" t="n">
        <v>46351</v>
      </c>
      <c r="D9" s="31">
        <f>IF(C9="","",TEXT(C9,"MMM"))</f>
        <v/>
      </c>
      <c r="E9" s="34" t="inlineStr">
        <is>
          <t>Hoist</t>
        </is>
      </c>
      <c r="F9" s="35" t="inlineStr">
        <is>
          <t>Construction</t>
        </is>
      </c>
      <c r="G9" s="35" t="inlineStr">
        <is>
          <t>Office</t>
        </is>
      </c>
      <c r="H9" s="34" t="inlineStr">
        <is>
          <t>Priya Sharma</t>
        </is>
      </c>
      <c r="I9" s="36" t="n">
        <v>12</v>
      </c>
      <c r="J9" s="36" t="n">
        <v>3</v>
      </c>
      <c r="K9" s="36" t="n">
        <v>2</v>
      </c>
      <c r="L9" s="35" t="inlineStr">
        <is>
          <t>Good</t>
        </is>
      </c>
      <c r="M9" s="35" t="inlineStr">
        <is>
          <t>Pending</t>
        </is>
      </c>
      <c r="N9" s="34" t="inlineStr">
        <is>
          <t>Clean area</t>
        </is>
      </c>
      <c r="O9" s="33" t="n">
        <v>46204</v>
      </c>
    </row>
    <row r="10" ht="15" customHeight="1" s="15">
      <c r="A10" s="24" t="n">
        <v>5</v>
      </c>
      <c r="B10" s="25" t="inlineStr">
        <is>
          <t>EQI-005</t>
        </is>
      </c>
      <c r="C10" s="26" t="n">
        <v>46335</v>
      </c>
      <c r="D10" s="24">
        <f>IF(C10="","",TEXT(C10,"MMM"))</f>
        <v/>
      </c>
      <c r="E10" s="27" t="inlineStr">
        <is>
          <t>Generator</t>
        </is>
      </c>
      <c r="F10" s="28" t="inlineStr">
        <is>
          <t>Engineering</t>
        </is>
      </c>
      <c r="G10" s="28" t="inlineStr">
        <is>
          <t>Tank Farm</t>
        </is>
      </c>
      <c r="H10" s="27" t="inlineStr">
        <is>
          <t>Sarah Wilson</t>
        </is>
      </c>
      <c r="I10" s="29" t="n">
        <v>7</v>
      </c>
      <c r="J10" s="29" t="n">
        <v>0</v>
      </c>
      <c r="K10" s="29" t="n">
        <v>0</v>
      </c>
      <c r="L10" s="28" t="inlineStr">
        <is>
          <t>Good</t>
        </is>
      </c>
      <c r="M10" s="28" t="inlineStr">
        <is>
          <t>Completed</t>
        </is>
      </c>
      <c r="N10" s="27" t="inlineStr">
        <is>
          <t>Replace equipment</t>
        </is>
      </c>
      <c r="O10" s="26" t="n">
        <v>46292</v>
      </c>
    </row>
    <row r="11" ht="15" customHeight="1" s="15">
      <c r="A11" s="31" t="n">
        <v>6</v>
      </c>
      <c r="B11" s="32" t="inlineStr">
        <is>
          <t>EQI-006</t>
        </is>
      </c>
      <c r="C11" s="33" t="n">
        <v>46283</v>
      </c>
      <c r="D11" s="31">
        <f>IF(C11="","",TEXT(C11,"MMM"))</f>
        <v/>
      </c>
      <c r="E11" s="34" t="inlineStr">
        <is>
          <t>Generator</t>
        </is>
      </c>
      <c r="F11" s="35" t="inlineStr">
        <is>
          <t>Maintenance</t>
        </is>
      </c>
      <c r="G11" s="35" t="inlineStr">
        <is>
          <t>Office</t>
        </is>
      </c>
      <c r="H11" s="34" t="inlineStr">
        <is>
          <t>Fatima Al-Said</t>
        </is>
      </c>
      <c r="I11" s="36" t="n">
        <v>18</v>
      </c>
      <c r="J11" s="36" t="n">
        <v>5</v>
      </c>
      <c r="K11" s="36" t="n">
        <v>0</v>
      </c>
      <c r="L11" s="35" t="inlineStr">
        <is>
          <t>Unsatisfactory</t>
        </is>
      </c>
      <c r="M11" s="35" t="inlineStr">
        <is>
          <t>Cancelled</t>
        </is>
      </c>
      <c r="N11" s="34" t="inlineStr">
        <is>
          <t>Replace equipment</t>
        </is>
      </c>
      <c r="O11" s="33" t="n">
        <v>46325</v>
      </c>
    </row>
    <row r="12" ht="15" customHeight="1" s="15">
      <c r="A12" s="24" t="n">
        <v>7</v>
      </c>
      <c r="B12" s="25" t="inlineStr">
        <is>
          <t>EQI-007</t>
        </is>
      </c>
      <c r="C12" s="26" t="n">
        <v>46103</v>
      </c>
      <c r="D12" s="24">
        <f>IF(C12="","",TEXT(C12,"MMM"))</f>
        <v/>
      </c>
      <c r="E12" s="27" t="inlineStr">
        <is>
          <t>Conveyor</t>
        </is>
      </c>
      <c r="F12" s="28" t="inlineStr">
        <is>
          <t>Construction</t>
        </is>
      </c>
      <c r="G12" s="28" t="inlineStr">
        <is>
          <t>Plant B</t>
        </is>
      </c>
      <c r="H12" s="27" t="inlineStr">
        <is>
          <t>Fatima Al-Said</t>
        </is>
      </c>
      <c r="I12" s="29" t="n">
        <v>16</v>
      </c>
      <c r="J12" s="29" t="n">
        <v>0</v>
      </c>
      <c r="K12" s="29" t="n">
        <v>2</v>
      </c>
      <c r="L12" s="28" t="inlineStr">
        <is>
          <t>Excellent</t>
        </is>
      </c>
      <c r="M12" s="28" t="inlineStr">
        <is>
          <t>In Progress</t>
        </is>
      </c>
      <c r="N12" s="27" t="inlineStr">
        <is>
          <t>Clean area</t>
        </is>
      </c>
      <c r="O12" s="26" t="n">
        <v>46343</v>
      </c>
    </row>
    <row r="13" ht="15" customHeight="1" s="15">
      <c r="A13" s="31" t="n">
        <v>8</v>
      </c>
      <c r="B13" s="32" t="inlineStr">
        <is>
          <t>EQI-008</t>
        </is>
      </c>
      <c r="C13" s="33" t="n">
        <v>46344</v>
      </c>
      <c r="D13" s="31">
        <f>IF(C13="","",TEXT(C13,"MMM"))</f>
        <v/>
      </c>
      <c r="E13" s="34" t="inlineStr">
        <is>
          <t>Crane</t>
        </is>
      </c>
      <c r="F13" s="35" t="inlineStr">
        <is>
          <t>Contractor</t>
        </is>
      </c>
      <c r="G13" s="35" t="inlineStr">
        <is>
          <t>Field Site</t>
        </is>
      </c>
      <c r="H13" s="34" t="inlineStr">
        <is>
          <t>Ahmed Khan</t>
        </is>
      </c>
      <c r="I13" s="36" t="n">
        <v>10</v>
      </c>
      <c r="J13" s="36" t="n">
        <v>2</v>
      </c>
      <c r="K13" s="36" t="n">
        <v>2</v>
      </c>
      <c r="L13" s="35" t="inlineStr">
        <is>
          <t>Unsatisfactory</t>
        </is>
      </c>
      <c r="M13" s="35" t="inlineStr">
        <is>
          <t>Overdue</t>
        </is>
      </c>
      <c r="N13" s="34" t="n"/>
      <c r="O13" s="33" t="n"/>
    </row>
    <row r="14" ht="15" customHeight="1" s="15">
      <c r="A14" s="24" t="n">
        <v>9</v>
      </c>
      <c r="B14" s="25" t="inlineStr">
        <is>
          <t>EQI-009</t>
        </is>
      </c>
      <c r="C14" s="26" t="n">
        <v>46100</v>
      </c>
      <c r="D14" s="24">
        <f>IF(C14="","",TEXT(C14,"MMM"))</f>
        <v/>
      </c>
      <c r="E14" s="27" t="inlineStr">
        <is>
          <t>Pump</t>
        </is>
      </c>
      <c r="F14" s="28" t="inlineStr">
        <is>
          <t>Maintenance</t>
        </is>
      </c>
      <c r="G14" s="28" t="inlineStr">
        <is>
          <t>Warehouse</t>
        </is>
      </c>
      <c r="H14" s="27" t="inlineStr">
        <is>
          <t>Ahmed Khan</t>
        </is>
      </c>
      <c r="I14" s="29" t="n">
        <v>7</v>
      </c>
      <c r="J14" s="29" t="n">
        <v>5</v>
      </c>
      <c r="K14" s="29" t="n">
        <v>1</v>
      </c>
      <c r="L14" s="28" t="inlineStr">
        <is>
          <t>Good</t>
        </is>
      </c>
      <c r="M14" s="28" t="inlineStr">
        <is>
          <t>Pending</t>
        </is>
      </c>
      <c r="N14" s="27" t="inlineStr">
        <is>
          <t>Clean area</t>
        </is>
      </c>
      <c r="O14" s="26" t="n">
        <v>46213</v>
      </c>
    </row>
    <row r="15" ht="15" customHeight="1" s="15">
      <c r="A15" s="31" t="n">
        <v>10</v>
      </c>
      <c r="B15" s="32" t="inlineStr">
        <is>
          <t>EQI-010</t>
        </is>
      </c>
      <c r="C15" s="33" t="n">
        <v>46198</v>
      </c>
      <c r="D15" s="31">
        <f>IF(C15="","",TEXT(C15,"MMM"))</f>
        <v/>
      </c>
      <c r="E15" s="34" t="inlineStr">
        <is>
          <t>Welding Machine</t>
        </is>
      </c>
      <c r="F15" s="35" t="inlineStr">
        <is>
          <t>Contractor</t>
        </is>
      </c>
      <c r="G15" s="35" t="inlineStr">
        <is>
          <t>Plant B</t>
        </is>
      </c>
      <c r="H15" s="34" t="inlineStr">
        <is>
          <t>Ahmed Khan</t>
        </is>
      </c>
      <c r="I15" s="36" t="n">
        <v>9</v>
      </c>
      <c r="J15" s="36" t="n">
        <v>1</v>
      </c>
      <c r="K15" s="36" t="n">
        <v>0</v>
      </c>
      <c r="L15" s="35" t="inlineStr">
        <is>
          <t>Satisfactory</t>
        </is>
      </c>
      <c r="M15" s="35" t="inlineStr">
        <is>
          <t>Overdue</t>
        </is>
      </c>
      <c r="N15" s="34" t="inlineStr">
        <is>
          <t>Clean area</t>
        </is>
      </c>
      <c r="O15" s="33" t="n">
        <v>46275</v>
      </c>
    </row>
    <row r="16" ht="15" customHeight="1" s="15">
      <c r="A16" s="24" t="n">
        <v>11</v>
      </c>
      <c r="B16" s="25" t="inlineStr">
        <is>
          <t>EQI-011</t>
        </is>
      </c>
      <c r="C16" s="26" t="n">
        <v>46212</v>
      </c>
      <c r="D16" s="24">
        <f>IF(C16="","",TEXT(C16,"MMM"))</f>
        <v/>
      </c>
      <c r="E16" s="27" t="inlineStr">
        <is>
          <t>Pressure Vessel</t>
        </is>
      </c>
      <c r="F16" s="28" t="inlineStr">
        <is>
          <t>Projects</t>
        </is>
      </c>
      <c r="G16" s="28" t="inlineStr">
        <is>
          <t>Plant B</t>
        </is>
      </c>
      <c r="H16" s="27" t="inlineStr">
        <is>
          <t>Fatima Al-Said</t>
        </is>
      </c>
      <c r="I16" s="29" t="n">
        <v>18</v>
      </c>
      <c r="J16" s="29" t="n">
        <v>0</v>
      </c>
      <c r="K16" s="29" t="n">
        <v>2</v>
      </c>
      <c r="L16" s="28" t="inlineStr">
        <is>
          <t>Excellent</t>
        </is>
      </c>
      <c r="M16" s="28" t="inlineStr">
        <is>
          <t>Pending</t>
        </is>
      </c>
      <c r="N16" s="27" t="inlineStr">
        <is>
          <t>Install guard</t>
        </is>
      </c>
      <c r="O16" s="26" t="n">
        <v>46049</v>
      </c>
    </row>
    <row r="17" ht="15" customHeight="1" s="15">
      <c r="A17" s="31" t="n">
        <v>12</v>
      </c>
      <c r="B17" s="32" t="inlineStr">
        <is>
          <t>EQI-012</t>
        </is>
      </c>
      <c r="C17" s="33" t="n">
        <v>46297</v>
      </c>
      <c r="D17" s="31">
        <f>IF(C17="","",TEXT(C17,"MMM"))</f>
        <v/>
      </c>
      <c r="E17" s="34" t="inlineStr">
        <is>
          <t>Crane</t>
        </is>
      </c>
      <c r="F17" s="35" t="inlineStr">
        <is>
          <t>Construction</t>
        </is>
      </c>
      <c r="G17" s="35" t="inlineStr">
        <is>
          <t>Field Site</t>
        </is>
      </c>
      <c r="H17" s="34" t="inlineStr">
        <is>
          <t>Maria Garcia</t>
        </is>
      </c>
      <c r="I17" s="36" t="n">
        <v>9</v>
      </c>
      <c r="J17" s="36" t="n">
        <v>2</v>
      </c>
      <c r="K17" s="36" t="n">
        <v>2</v>
      </c>
      <c r="L17" s="35" t="inlineStr">
        <is>
          <t>Unsatisfactory</t>
        </is>
      </c>
      <c r="M17" s="35" t="inlineStr">
        <is>
          <t>Completed</t>
        </is>
      </c>
      <c r="N17" s="34" t="n"/>
      <c r="O17" s="33" t="n">
        <v>46220</v>
      </c>
    </row>
    <row r="18" ht="15" customHeight="1" s="15">
      <c r="A18" s="24" t="n">
        <v>13</v>
      </c>
      <c r="B18" s="25" t="inlineStr">
        <is>
          <t>EQI-013</t>
        </is>
      </c>
      <c r="C18" s="26" t="n">
        <v>46221</v>
      </c>
      <c r="D18" s="24">
        <f>IF(C18="","",TEXT(C18,"MMM"))</f>
        <v/>
      </c>
      <c r="E18" s="27" t="inlineStr">
        <is>
          <t>Pressure Vessel</t>
        </is>
      </c>
      <c r="F18" s="28" t="inlineStr">
        <is>
          <t>Projects</t>
        </is>
      </c>
      <c r="G18" s="28" t="inlineStr">
        <is>
          <t>Control Room</t>
        </is>
      </c>
      <c r="H18" s="27" t="inlineStr">
        <is>
          <t>Sarah Wilson</t>
        </is>
      </c>
      <c r="I18" s="29" t="n">
        <v>17</v>
      </c>
      <c r="J18" s="29" t="n">
        <v>5</v>
      </c>
      <c r="K18" s="29" t="n">
        <v>0</v>
      </c>
      <c r="L18" s="28" t="inlineStr">
        <is>
          <t>Good</t>
        </is>
      </c>
      <c r="M18" s="28" t="inlineStr">
        <is>
          <t>Completed</t>
        </is>
      </c>
      <c r="N18" s="27" t="inlineStr">
        <is>
          <t>Clean area</t>
        </is>
      </c>
      <c r="O18" s="26" t="n">
        <v>46212</v>
      </c>
    </row>
    <row r="19" ht="15" customHeight="1" s="15">
      <c r="A19" s="31" t="n">
        <v>14</v>
      </c>
      <c r="B19" s="32" t="inlineStr">
        <is>
          <t>EQI-014</t>
        </is>
      </c>
      <c r="C19" s="33" t="n">
        <v>46308</v>
      </c>
      <c r="D19" s="31">
        <f>IF(C19="","",TEXT(C19,"MMM"))</f>
        <v/>
      </c>
      <c r="E19" s="34" t="inlineStr">
        <is>
          <t>Pump</t>
        </is>
      </c>
      <c r="F19" s="35" t="inlineStr">
        <is>
          <t>Safety</t>
        </is>
      </c>
      <c r="G19" s="35" t="inlineStr">
        <is>
          <t>Plant B</t>
        </is>
      </c>
      <c r="H19" s="34" t="inlineStr">
        <is>
          <t>David Chen</t>
        </is>
      </c>
      <c r="I19" s="36" t="n">
        <v>5</v>
      </c>
      <c r="J19" s="36" t="n">
        <v>2</v>
      </c>
      <c r="K19" s="36" t="n">
        <v>1</v>
      </c>
      <c r="L19" s="35" t="inlineStr">
        <is>
          <t>Excellent</t>
        </is>
      </c>
      <c r="M19" s="35" t="inlineStr">
        <is>
          <t>Pending</t>
        </is>
      </c>
      <c r="N19" s="34" t="inlineStr">
        <is>
          <t>Replace equipment</t>
        </is>
      </c>
      <c r="O19" s="33" t="n"/>
    </row>
    <row r="20" ht="15" customHeight="1" s="15">
      <c r="A20" s="24" t="n">
        <v>15</v>
      </c>
      <c r="B20" s="25" t="inlineStr">
        <is>
          <t>EQI-015</t>
        </is>
      </c>
      <c r="C20" s="26" t="n">
        <v>46061</v>
      </c>
      <c r="D20" s="24">
        <f>IF(C20="","",TEXT(C20,"MMM"))</f>
        <v/>
      </c>
      <c r="E20" s="27" t="inlineStr">
        <is>
          <t>Pump</t>
        </is>
      </c>
      <c r="F20" s="28" t="inlineStr">
        <is>
          <t>Contractor</t>
        </is>
      </c>
      <c r="G20" s="28" t="inlineStr">
        <is>
          <t>Office</t>
        </is>
      </c>
      <c r="H20" s="27" t="inlineStr">
        <is>
          <t>Tom Brown</t>
        </is>
      </c>
      <c r="I20" s="29" t="n">
        <v>7</v>
      </c>
      <c r="J20" s="29" t="n">
        <v>3</v>
      </c>
      <c r="K20" s="29" t="n">
        <v>2</v>
      </c>
      <c r="L20" s="28" t="inlineStr">
        <is>
          <t>Unsatisfactory</t>
        </is>
      </c>
      <c r="M20" s="28" t="inlineStr">
        <is>
          <t>In Progress</t>
        </is>
      </c>
      <c r="N20" s="27" t="inlineStr">
        <is>
          <t>Replace equipment</t>
        </is>
      </c>
      <c r="O20" s="26" t="n">
        <v>46097</v>
      </c>
    </row>
    <row r="21" ht="21.75" customHeight="1" s="15">
      <c r="A21" s="31" t="n">
        <v>16</v>
      </c>
      <c r="B21" s="32" t="inlineStr">
        <is>
          <t>EQI-016</t>
        </is>
      </c>
      <c r="C21" s="33" t="n">
        <v>46070</v>
      </c>
      <c r="D21" s="31">
        <f>IF(C21="","",TEXT(C21,"MMM"))</f>
        <v/>
      </c>
      <c r="E21" s="34" t="inlineStr">
        <is>
          <t>Hoist</t>
        </is>
      </c>
      <c r="F21" s="35" t="inlineStr">
        <is>
          <t>Construction</t>
        </is>
      </c>
      <c r="G21" s="35" t="inlineStr">
        <is>
          <t>Control Room</t>
        </is>
      </c>
      <c r="H21" s="34" t="inlineStr">
        <is>
          <t>Fatima Al-Said</t>
        </is>
      </c>
      <c r="I21" s="36" t="n">
        <v>9</v>
      </c>
      <c r="J21" s="36" t="n">
        <v>1</v>
      </c>
      <c r="K21" s="36" t="n">
        <v>0</v>
      </c>
      <c r="L21" s="35" t="inlineStr">
        <is>
          <t>Needs Improvement</t>
        </is>
      </c>
      <c r="M21" s="35" t="inlineStr">
        <is>
          <t>Overdue</t>
        </is>
      </c>
      <c r="N21" s="34" t="inlineStr">
        <is>
          <t>Fix issue</t>
        </is>
      </c>
      <c r="O21" s="33" t="n"/>
    </row>
    <row r="22" ht="15" customHeight="1" s="15">
      <c r="A22" s="24" t="n">
        <v>17</v>
      </c>
      <c r="B22" s="25" t="inlineStr">
        <is>
          <t>EQI-017</t>
        </is>
      </c>
      <c r="C22" s="26" t="n">
        <v>46106</v>
      </c>
      <c r="D22" s="24">
        <f>IF(C22="","",TEXT(C22,"MMM"))</f>
        <v/>
      </c>
      <c r="E22" s="27" t="inlineStr">
        <is>
          <t>Forklift</t>
        </is>
      </c>
      <c r="F22" s="28" t="inlineStr">
        <is>
          <t>Engineering</t>
        </is>
      </c>
      <c r="G22" s="28" t="inlineStr">
        <is>
          <t>Tank Farm</t>
        </is>
      </c>
      <c r="H22" s="27" t="inlineStr">
        <is>
          <t>Priya Sharma</t>
        </is>
      </c>
      <c r="I22" s="29" t="n">
        <v>19</v>
      </c>
      <c r="J22" s="29" t="n">
        <v>5</v>
      </c>
      <c r="K22" s="29" t="n">
        <v>2</v>
      </c>
      <c r="L22" s="28" t="inlineStr">
        <is>
          <t>Unsatisfactory</t>
        </is>
      </c>
      <c r="M22" s="28" t="inlineStr">
        <is>
          <t>In Progress</t>
        </is>
      </c>
      <c r="N22" s="27" t="inlineStr">
        <is>
          <t>Clean area</t>
        </is>
      </c>
      <c r="O22" s="26" t="n"/>
    </row>
    <row r="23" ht="15" customHeight="1" s="15">
      <c r="A23" s="31" t="n">
        <v>18</v>
      </c>
      <c r="B23" s="32" t="inlineStr">
        <is>
          <t>EQI-018</t>
        </is>
      </c>
      <c r="C23" s="33" t="n">
        <v>46255</v>
      </c>
      <c r="D23" s="31">
        <f>IF(C23="","",TEXT(C23,"MMM"))</f>
        <v/>
      </c>
      <c r="E23" s="34" t="inlineStr">
        <is>
          <t>Compressor</t>
        </is>
      </c>
      <c r="F23" s="35" t="inlineStr">
        <is>
          <t>Safety</t>
        </is>
      </c>
      <c r="G23" s="35" t="inlineStr">
        <is>
          <t>Plant A</t>
        </is>
      </c>
      <c r="H23" s="34" t="inlineStr">
        <is>
          <t>Fatima Al-Said</t>
        </is>
      </c>
      <c r="I23" s="36" t="n">
        <v>7</v>
      </c>
      <c r="J23" s="36" t="n">
        <v>2</v>
      </c>
      <c r="K23" s="36" t="n">
        <v>3</v>
      </c>
      <c r="L23" s="35" t="inlineStr">
        <is>
          <t>Good</t>
        </is>
      </c>
      <c r="M23" s="35" t="inlineStr">
        <is>
          <t>Completed</t>
        </is>
      </c>
      <c r="N23" s="34" t="n"/>
      <c r="O23" s="33" t="n">
        <v>46172</v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O23"/>
  <mergeCells count="6">
    <mergeCell ref="F3:G3"/>
    <mergeCell ref="N3:O3"/>
    <mergeCell ref="A2:O2"/>
    <mergeCell ref="A3:D3"/>
    <mergeCell ref="A1:O1"/>
    <mergeCell ref="I3:K3"/>
  </mergeCells>
  <conditionalFormatting sqref="M6:M23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L6:L506" showDropDown="0" showInputMessage="0" showErrorMessage="0" allowBlank="1" type="list">
      <formula1>L_Overall_Rating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1A237E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8"/>
    <col width="12" customWidth="1" style="15" min="9" max="11"/>
    <col width="14" customWidth="1" style="15" min="12" max="12"/>
    <col width="12" customWidth="1" style="15" min="13" max="13"/>
    <col width="22" customWidth="1" style="15" min="14" max="14"/>
    <col width="12" customWidth="1" style="15" min="15" max="15"/>
  </cols>
  <sheetData>
    <row r="1" ht="42" customHeight="1" s="15">
      <c r="A1" s="208" t="inlineStr">
        <is>
          <t>🚶  SAFETY WALKTHROUGHS — DATA ENTRY</t>
        </is>
      </c>
    </row>
    <row r="2" ht="21.75" customHeight="1" s="15">
      <c r="A2" s="209" t="inlineStr">
        <is>
          <t>🔵 Blue = User Input  |  ⚫ Gray = Auto-Calculated  |  Use dropdowns where available</t>
        </is>
      </c>
    </row>
    <row r="3" ht="19.5" customHeight="1" s="15">
      <c r="A3" s="20" t="inlineStr">
        <is>
          <t>IDENTIFICATION</t>
        </is>
      </c>
      <c r="E3" s="16" t="inlineStr">
        <is>
          <t>SCOPE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FINDINGS</t>
        </is>
      </c>
      <c r="L3" s="18" t="inlineStr">
        <is>
          <t>QUALITY</t>
        </is>
      </c>
      <c r="M3" s="19" t="inlineStr">
        <is>
          <t>STATUS</t>
        </is>
      </c>
      <c r="N3" s="20" t="inlineStr">
        <is>
          <t>FOLLOW-UP</t>
        </is>
      </c>
    </row>
    <row r="4" ht="31.5" customHeight="1" s="15">
      <c r="A4" s="47" t="inlineStr">
        <is>
          <t>S.No</t>
        </is>
      </c>
      <c r="B4" s="47" t="inlineStr">
        <is>
          <t>Ref No.</t>
        </is>
      </c>
      <c r="C4" s="47" t="inlineStr">
        <is>
          <t>Date</t>
        </is>
      </c>
      <c r="D4" s="47" t="inlineStr">
        <is>
          <t>Month</t>
        </is>
      </c>
      <c r="E4" s="47" t="inlineStr">
        <is>
          <t>Inspection Area/Item</t>
        </is>
      </c>
      <c r="F4" s="47" t="inlineStr">
        <is>
          <t>Department</t>
        </is>
      </c>
      <c r="G4" s="47" t="inlineStr">
        <is>
          <t>Location</t>
        </is>
      </c>
      <c r="H4" s="47" t="inlineStr">
        <is>
          <t>Inspector</t>
        </is>
      </c>
      <c r="I4" s="47" t="inlineStr">
        <is>
          <t>Checkpoints Inspected</t>
        </is>
      </c>
      <c r="J4" s="47" t="inlineStr">
        <is>
          <t>Non-Conformances</t>
        </is>
      </c>
      <c r="K4" s="47" t="inlineStr">
        <is>
          <t>Critical Findings</t>
        </is>
      </c>
      <c r="L4" s="47" t="inlineStr">
        <is>
          <t>Overall Rating</t>
        </is>
      </c>
      <c r="M4" s="47" t="inlineStr">
        <is>
          <t>Status</t>
        </is>
      </c>
      <c r="N4" s="47" t="inlineStr">
        <is>
          <t>Corrective Action</t>
        </is>
      </c>
      <c r="O4" s="47" t="inlineStr">
        <is>
          <t>Due Date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SWT-001</t>
        </is>
      </c>
      <c r="C6" s="26" t="n">
        <v>46073</v>
      </c>
      <c r="D6" s="24">
        <f>IF(C6="","",TEXT(C6,"MMM"))</f>
        <v/>
      </c>
      <c r="E6" s="27" t="inlineStr">
        <is>
          <t>Perimeter</t>
        </is>
      </c>
      <c r="F6" s="28" t="inlineStr">
        <is>
          <t>Projects</t>
        </is>
      </c>
      <c r="G6" s="28" t="inlineStr">
        <is>
          <t>Office</t>
        </is>
      </c>
      <c r="H6" s="27" t="inlineStr">
        <is>
          <t>Priya Sharma</t>
        </is>
      </c>
      <c r="I6" s="29" t="n">
        <v>6</v>
      </c>
      <c r="J6" s="29" t="n">
        <v>3</v>
      </c>
      <c r="K6" s="29" t="n">
        <v>1</v>
      </c>
      <c r="L6" s="28" t="inlineStr">
        <is>
          <t>Unsatisfactory</t>
        </is>
      </c>
      <c r="M6" s="28" t="inlineStr">
        <is>
          <t>Cancelled</t>
        </is>
      </c>
      <c r="N6" s="27" t="inlineStr">
        <is>
          <t>Clean area</t>
        </is>
      </c>
      <c r="O6" s="26" t="n">
        <v>46047</v>
      </c>
    </row>
    <row r="7" ht="15" customHeight="1" s="15">
      <c r="A7" s="31" t="n">
        <v>2</v>
      </c>
      <c r="B7" s="32" t="inlineStr">
        <is>
          <t>SWT-002</t>
        </is>
      </c>
      <c r="C7" s="33" t="n">
        <v>46196</v>
      </c>
      <c r="D7" s="31">
        <f>IF(C7="","",TEXT(C7,"MMM"))</f>
        <v/>
      </c>
      <c r="E7" s="34" t="inlineStr">
        <is>
          <t>Storage Yard</t>
        </is>
      </c>
      <c r="F7" s="35" t="inlineStr">
        <is>
          <t>Projects</t>
        </is>
      </c>
      <c r="G7" s="35" t="inlineStr">
        <is>
          <t>Warehouse</t>
        </is>
      </c>
      <c r="H7" s="34" t="inlineStr">
        <is>
          <t>Ahmed Khan</t>
        </is>
      </c>
      <c r="I7" s="36" t="n">
        <v>12</v>
      </c>
      <c r="J7" s="36" t="n">
        <v>5</v>
      </c>
      <c r="K7" s="36" t="n">
        <v>3</v>
      </c>
      <c r="L7" s="35" t="inlineStr">
        <is>
          <t>Good</t>
        </is>
      </c>
      <c r="M7" s="35" t="inlineStr">
        <is>
          <t>Cancelled</t>
        </is>
      </c>
      <c r="N7" s="34" t="inlineStr">
        <is>
          <t>Install guard</t>
        </is>
      </c>
      <c r="O7" s="33" t="n">
        <v>46201</v>
      </c>
    </row>
    <row r="8" ht="15" customHeight="1" s="15">
      <c r="A8" s="24" t="n">
        <v>3</v>
      </c>
      <c r="B8" s="25" t="inlineStr">
        <is>
          <t>SWT-003</t>
        </is>
      </c>
      <c r="C8" s="26" t="n">
        <v>46217</v>
      </c>
      <c r="D8" s="24">
        <f>IF(C8="","",TEXT(C8,"MMM"))</f>
        <v/>
      </c>
      <c r="E8" s="27" t="inlineStr">
        <is>
          <t>Parking Area</t>
        </is>
      </c>
      <c r="F8" s="28" t="inlineStr">
        <is>
          <t>Contractor</t>
        </is>
      </c>
      <c r="G8" s="28" t="inlineStr">
        <is>
          <t>Plant A</t>
        </is>
      </c>
      <c r="H8" s="27" t="inlineStr">
        <is>
          <t>Fatima Al-Said</t>
        </is>
      </c>
      <c r="I8" s="29" t="n">
        <v>7</v>
      </c>
      <c r="J8" s="29" t="n">
        <v>2</v>
      </c>
      <c r="K8" s="29" t="n">
        <v>0</v>
      </c>
      <c r="L8" s="28" t="inlineStr">
        <is>
          <t>Excellent</t>
        </is>
      </c>
      <c r="M8" s="28" t="inlineStr">
        <is>
          <t>Pending</t>
        </is>
      </c>
      <c r="N8" s="27" t="inlineStr">
        <is>
          <t>Replace equipment</t>
        </is>
      </c>
      <c r="O8" s="26" t="n"/>
    </row>
    <row r="9" ht="15" customHeight="1" s="15">
      <c r="A9" s="31" t="n">
        <v>4</v>
      </c>
      <c r="B9" s="32" t="inlineStr">
        <is>
          <t>SWT-004</t>
        </is>
      </c>
      <c r="C9" s="33" t="n">
        <v>46346</v>
      </c>
      <c r="D9" s="31">
        <f>IF(C9="","",TEXT(C9,"MMM"))</f>
        <v/>
      </c>
      <c r="E9" s="34" t="inlineStr">
        <is>
          <t>Workshop Floor</t>
        </is>
      </c>
      <c r="F9" s="35" t="inlineStr">
        <is>
          <t>Logistics</t>
        </is>
      </c>
      <c r="G9" s="35" t="inlineStr">
        <is>
          <t>Plant B</t>
        </is>
      </c>
      <c r="H9" s="34" t="inlineStr">
        <is>
          <t>Lisa Park</t>
        </is>
      </c>
      <c r="I9" s="36" t="n">
        <v>9</v>
      </c>
      <c r="J9" s="36" t="n">
        <v>2</v>
      </c>
      <c r="K9" s="36" t="n">
        <v>2</v>
      </c>
      <c r="L9" s="35" t="inlineStr">
        <is>
          <t>Good</t>
        </is>
      </c>
      <c r="M9" s="35" t="inlineStr">
        <is>
          <t>In Progress</t>
        </is>
      </c>
      <c r="N9" s="34" t="inlineStr">
        <is>
          <t>Install guard</t>
        </is>
      </c>
      <c r="O9" s="33" t="n">
        <v>46087</v>
      </c>
    </row>
    <row r="10" ht="15" customHeight="1" s="15">
      <c r="A10" s="24" t="n">
        <v>5</v>
      </c>
      <c r="B10" s="25" t="inlineStr">
        <is>
          <t>SWT-005</t>
        </is>
      </c>
      <c r="C10" s="26" t="n">
        <v>46224</v>
      </c>
      <c r="D10" s="24">
        <f>IF(C10="","",TEXT(C10,"MMM"))</f>
        <v/>
      </c>
      <c r="E10" s="27" t="inlineStr">
        <is>
          <t>Parking Area</t>
        </is>
      </c>
      <c r="F10" s="28" t="inlineStr">
        <is>
          <t>Engineering</t>
        </is>
      </c>
      <c r="G10" s="28" t="inlineStr">
        <is>
          <t>Plant B</t>
        </is>
      </c>
      <c r="H10" s="27" t="inlineStr">
        <is>
          <t>David Chen</t>
        </is>
      </c>
      <c r="I10" s="29" t="n">
        <v>16</v>
      </c>
      <c r="J10" s="29" t="n">
        <v>0</v>
      </c>
      <c r="K10" s="29" t="n">
        <v>2</v>
      </c>
      <c r="L10" s="28" t="inlineStr">
        <is>
          <t>Unsatisfactory</t>
        </is>
      </c>
      <c r="M10" s="28" t="inlineStr">
        <is>
          <t>In Progress</t>
        </is>
      </c>
      <c r="N10" s="27" t="inlineStr">
        <is>
          <t>Fix issue</t>
        </is>
      </c>
      <c r="O10" s="26" t="n">
        <v>46255</v>
      </c>
    </row>
    <row r="11" ht="15" customHeight="1" s="15">
      <c r="A11" s="31" t="n">
        <v>6</v>
      </c>
      <c r="B11" s="32" t="inlineStr">
        <is>
          <t>SWT-006</t>
        </is>
      </c>
      <c r="C11" s="33" t="n">
        <v>46086</v>
      </c>
      <c r="D11" s="31">
        <f>IF(C11="","",TEXT(C11,"MMM"))</f>
        <v/>
      </c>
      <c r="E11" s="34" t="inlineStr">
        <is>
          <t>Storage Yard</t>
        </is>
      </c>
      <c r="F11" s="35" t="inlineStr">
        <is>
          <t>Safety</t>
        </is>
      </c>
      <c r="G11" s="35" t="inlineStr">
        <is>
          <t>Plant B</t>
        </is>
      </c>
      <c r="H11" s="34" t="inlineStr">
        <is>
          <t>Tom Brown</t>
        </is>
      </c>
      <c r="I11" s="36" t="n">
        <v>6</v>
      </c>
      <c r="J11" s="36" t="n">
        <v>5</v>
      </c>
      <c r="K11" s="36" t="n">
        <v>2</v>
      </c>
      <c r="L11" s="35" t="inlineStr">
        <is>
          <t>Excellent</t>
        </is>
      </c>
      <c r="M11" s="35" t="inlineStr">
        <is>
          <t>In Progress</t>
        </is>
      </c>
      <c r="N11" s="34" t="inlineStr">
        <is>
          <t>Install guard</t>
        </is>
      </c>
      <c r="O11" s="33" t="n">
        <v>46116</v>
      </c>
    </row>
    <row r="12" ht="15" customHeight="1" s="15">
      <c r="A12" s="24" t="n">
        <v>7</v>
      </c>
      <c r="B12" s="25" t="inlineStr">
        <is>
          <t>SWT-007</t>
        </is>
      </c>
      <c r="C12" s="26" t="n">
        <v>46321</v>
      </c>
      <c r="D12" s="24">
        <f>IF(C12="","",TEXT(C12,"MMM"))</f>
        <v/>
      </c>
      <c r="E12" s="27" t="inlineStr">
        <is>
          <t>Workshop Floor</t>
        </is>
      </c>
      <c r="F12" s="28" t="inlineStr">
        <is>
          <t>Admin</t>
        </is>
      </c>
      <c r="G12" s="28" t="inlineStr">
        <is>
          <t>Plant A</t>
        </is>
      </c>
      <c r="H12" s="27" t="inlineStr">
        <is>
          <t>David Chen</t>
        </is>
      </c>
      <c r="I12" s="29" t="n">
        <v>16</v>
      </c>
      <c r="J12" s="29" t="n">
        <v>5</v>
      </c>
      <c r="K12" s="29" t="n">
        <v>1</v>
      </c>
      <c r="L12" s="28" t="inlineStr">
        <is>
          <t>Good</t>
        </is>
      </c>
      <c r="M12" s="28" t="inlineStr">
        <is>
          <t>Cancelled</t>
        </is>
      </c>
      <c r="N12" s="27" t="inlineStr">
        <is>
          <t>Replace equipment</t>
        </is>
      </c>
      <c r="O12" s="26" t="n">
        <v>46266</v>
      </c>
    </row>
    <row r="13" ht="15" customHeight="1" s="15">
      <c r="A13" s="31" t="n">
        <v>8</v>
      </c>
      <c r="B13" s="32" t="inlineStr">
        <is>
          <t>SWT-008</t>
        </is>
      </c>
      <c r="C13" s="33" t="n">
        <v>46122</v>
      </c>
      <c r="D13" s="31">
        <f>IF(C13="","",TEXT(C13,"MMM"))</f>
        <v/>
      </c>
      <c r="E13" s="34" t="inlineStr">
        <is>
          <t>Restrooms</t>
        </is>
      </c>
      <c r="F13" s="35" t="inlineStr">
        <is>
          <t>Construction</t>
        </is>
      </c>
      <c r="G13" s="35" t="inlineStr">
        <is>
          <t>Control Room</t>
        </is>
      </c>
      <c r="H13" s="34" t="inlineStr">
        <is>
          <t>Lisa Park</t>
        </is>
      </c>
      <c r="I13" s="36" t="n">
        <v>19</v>
      </c>
      <c r="J13" s="36" t="n">
        <v>3</v>
      </c>
      <c r="K13" s="36" t="n">
        <v>2</v>
      </c>
      <c r="L13" s="35" t="inlineStr">
        <is>
          <t>Good</t>
        </is>
      </c>
      <c r="M13" s="35" t="inlineStr">
        <is>
          <t>Cancelled</t>
        </is>
      </c>
      <c r="N13" s="34" t="inlineStr">
        <is>
          <t>Install guard</t>
        </is>
      </c>
      <c r="O13" s="33" t="n">
        <v>46121</v>
      </c>
    </row>
    <row r="14" ht="15" customHeight="1" s="15">
      <c r="A14" s="24" t="n">
        <v>9</v>
      </c>
      <c r="B14" s="25" t="inlineStr">
        <is>
          <t>SWT-009</t>
        </is>
      </c>
      <c r="C14" s="26" t="n">
        <v>46300</v>
      </c>
      <c r="D14" s="24">
        <f>IF(C14="","",TEXT(C14,"MMM"))</f>
        <v/>
      </c>
      <c r="E14" s="27" t="inlineStr">
        <is>
          <t>Loading Dock</t>
        </is>
      </c>
      <c r="F14" s="28" t="inlineStr">
        <is>
          <t>Operations</t>
        </is>
      </c>
      <c r="G14" s="28" t="inlineStr">
        <is>
          <t>Tank Farm</t>
        </is>
      </c>
      <c r="H14" s="27" t="inlineStr">
        <is>
          <t>Fatima Al-Said</t>
        </is>
      </c>
      <c r="I14" s="29" t="n">
        <v>8</v>
      </c>
      <c r="J14" s="29" t="n">
        <v>5</v>
      </c>
      <c r="K14" s="29" t="n">
        <v>0</v>
      </c>
      <c r="L14" s="28" t="inlineStr">
        <is>
          <t>Unsatisfactory</t>
        </is>
      </c>
      <c r="M14" s="28" t="inlineStr">
        <is>
          <t>Completed</t>
        </is>
      </c>
      <c r="N14" s="27" t="inlineStr">
        <is>
          <t>Fix issue</t>
        </is>
      </c>
      <c r="O14" s="26" t="n"/>
    </row>
    <row r="15" ht="15" customHeight="1" s="15">
      <c r="A15" s="31" t="n">
        <v>10</v>
      </c>
      <c r="B15" s="32" t="inlineStr">
        <is>
          <t>SWT-010</t>
        </is>
      </c>
      <c r="C15" s="33" t="n">
        <v>46270</v>
      </c>
      <c r="D15" s="31">
        <f>IF(C15="","",TEXT(C15,"MMM"))</f>
        <v/>
      </c>
      <c r="E15" s="34" t="inlineStr">
        <is>
          <t>Canteen</t>
        </is>
      </c>
      <c r="F15" s="35" t="inlineStr">
        <is>
          <t>Maintenance</t>
        </is>
      </c>
      <c r="G15" s="35" t="inlineStr">
        <is>
          <t>Workshop</t>
        </is>
      </c>
      <c r="H15" s="34" t="inlineStr">
        <is>
          <t>Priya Sharma</t>
        </is>
      </c>
      <c r="I15" s="36" t="n">
        <v>16</v>
      </c>
      <c r="J15" s="36" t="n">
        <v>0</v>
      </c>
      <c r="K15" s="36" t="n">
        <v>3</v>
      </c>
      <c r="L15" s="35" t="inlineStr">
        <is>
          <t>Satisfactory</t>
        </is>
      </c>
      <c r="M15" s="35" t="inlineStr">
        <is>
          <t>Pending</t>
        </is>
      </c>
      <c r="N15" s="34" t="inlineStr">
        <is>
          <t>Install guard</t>
        </is>
      </c>
      <c r="O15" s="33" t="n">
        <v>46224</v>
      </c>
    </row>
    <row r="16" ht="15" customHeight="1" s="15">
      <c r="A16" s="24" t="n">
        <v>11</v>
      </c>
      <c r="B16" s="25" t="inlineStr">
        <is>
          <t>SWT-011</t>
        </is>
      </c>
      <c r="C16" s="26" t="n">
        <v>46113</v>
      </c>
      <c r="D16" s="24">
        <f>IF(C16="","",TEXT(C16,"MMM"))</f>
        <v/>
      </c>
      <c r="E16" s="27" t="inlineStr">
        <is>
          <t>Parking Area</t>
        </is>
      </c>
      <c r="F16" s="28" t="inlineStr">
        <is>
          <t>Maintenance</t>
        </is>
      </c>
      <c r="G16" s="28" t="inlineStr">
        <is>
          <t>Control Room</t>
        </is>
      </c>
      <c r="H16" s="27" t="inlineStr">
        <is>
          <t>Raj Patel</t>
        </is>
      </c>
      <c r="I16" s="29" t="n">
        <v>9</v>
      </c>
      <c r="J16" s="29" t="n">
        <v>0</v>
      </c>
      <c r="K16" s="29" t="n">
        <v>2</v>
      </c>
      <c r="L16" s="28" t="inlineStr">
        <is>
          <t>Good</t>
        </is>
      </c>
      <c r="M16" s="28" t="inlineStr">
        <is>
          <t>In Progress</t>
        </is>
      </c>
      <c r="N16" s="27" t="inlineStr">
        <is>
          <t>Clean area</t>
        </is>
      </c>
      <c r="O16" s="26" t="n">
        <v>46032</v>
      </c>
    </row>
    <row r="17" ht="15" customHeight="1" s="15">
      <c r="A17" s="31" t="n">
        <v>12</v>
      </c>
      <c r="B17" s="32" t="inlineStr">
        <is>
          <t>SWT-012</t>
        </is>
      </c>
      <c r="C17" s="33" t="n">
        <v>46149</v>
      </c>
      <c r="D17" s="31">
        <f>IF(C17="","",TEXT(C17,"MMM"))</f>
        <v/>
      </c>
      <c r="E17" s="34" t="inlineStr">
        <is>
          <t>Workshop Floor</t>
        </is>
      </c>
      <c r="F17" s="35" t="inlineStr">
        <is>
          <t>Projects</t>
        </is>
      </c>
      <c r="G17" s="35" t="inlineStr">
        <is>
          <t>Office</t>
        </is>
      </c>
      <c r="H17" s="34" t="inlineStr">
        <is>
          <t>Sarah Wilson</t>
        </is>
      </c>
      <c r="I17" s="36" t="n">
        <v>14</v>
      </c>
      <c r="J17" s="36" t="n">
        <v>1</v>
      </c>
      <c r="K17" s="36" t="n">
        <v>2</v>
      </c>
      <c r="L17" s="35" t="inlineStr">
        <is>
          <t>Satisfactory</t>
        </is>
      </c>
      <c r="M17" s="35" t="inlineStr">
        <is>
          <t>Completed</t>
        </is>
      </c>
      <c r="N17" s="34" t="inlineStr">
        <is>
          <t>Fix issue</t>
        </is>
      </c>
      <c r="O17" s="33" t="n">
        <v>46319</v>
      </c>
    </row>
    <row r="18" ht="15" customHeight="1" s="15">
      <c r="A18" s="24" t="n">
        <v>13</v>
      </c>
      <c r="B18" s="25" t="inlineStr">
        <is>
          <t>SWT-013</t>
        </is>
      </c>
      <c r="C18" s="26" t="n">
        <v>46080</v>
      </c>
      <c r="D18" s="24">
        <f>IF(C18="","",TEXT(C18,"MMM"))</f>
        <v/>
      </c>
      <c r="E18" s="27" t="inlineStr">
        <is>
          <t>Restrooms</t>
        </is>
      </c>
      <c r="F18" s="28" t="inlineStr">
        <is>
          <t>Contractor</t>
        </is>
      </c>
      <c r="G18" s="28" t="inlineStr">
        <is>
          <t>Plant A</t>
        </is>
      </c>
      <c r="H18" s="27" t="inlineStr">
        <is>
          <t>Tom Brown</t>
        </is>
      </c>
      <c r="I18" s="29" t="n">
        <v>12</v>
      </c>
      <c r="J18" s="29" t="n">
        <v>5</v>
      </c>
      <c r="K18" s="29" t="n">
        <v>1</v>
      </c>
      <c r="L18" s="28" t="inlineStr">
        <is>
          <t>Unsatisfactory</t>
        </is>
      </c>
      <c r="M18" s="28" t="inlineStr">
        <is>
          <t>Pending</t>
        </is>
      </c>
      <c r="N18" s="27" t="n"/>
      <c r="O18" s="26" t="n">
        <v>46151</v>
      </c>
    </row>
    <row r="19" ht="15" customHeight="1" s="15">
      <c r="A19" s="31" t="n">
        <v>14</v>
      </c>
      <c r="B19" s="32" t="inlineStr">
        <is>
          <t>SWT-014</t>
        </is>
      </c>
      <c r="C19" s="33" t="n">
        <v>46103</v>
      </c>
      <c r="D19" s="31">
        <f>IF(C19="","",TEXT(C19,"MMM"))</f>
        <v/>
      </c>
      <c r="E19" s="34" t="inlineStr">
        <is>
          <t>Storage Yard</t>
        </is>
      </c>
      <c r="F19" s="35" t="inlineStr">
        <is>
          <t>Projects</t>
        </is>
      </c>
      <c r="G19" s="35" t="inlineStr">
        <is>
          <t>Control Room</t>
        </is>
      </c>
      <c r="H19" s="34" t="inlineStr">
        <is>
          <t>Sarah Wilson</t>
        </is>
      </c>
      <c r="I19" s="36" t="n">
        <v>5</v>
      </c>
      <c r="J19" s="36" t="n">
        <v>3</v>
      </c>
      <c r="K19" s="36" t="n">
        <v>3</v>
      </c>
      <c r="L19" s="35" t="inlineStr">
        <is>
          <t>Satisfactory</t>
        </is>
      </c>
      <c r="M19" s="35" t="inlineStr">
        <is>
          <t>Pending</t>
        </is>
      </c>
      <c r="N19" s="34" t="inlineStr">
        <is>
          <t>Replace equipment</t>
        </is>
      </c>
      <c r="O19" s="33" t="n"/>
    </row>
    <row r="20" ht="15" customHeight="1" s="15">
      <c r="A20" s="24" t="n">
        <v>15</v>
      </c>
      <c r="B20" s="25" t="inlineStr">
        <is>
          <t>SWT-015</t>
        </is>
      </c>
      <c r="C20" s="26" t="n">
        <v>46034</v>
      </c>
      <c r="D20" s="24">
        <f>IF(C20="","",TEXT(C20,"MMM"))</f>
        <v/>
      </c>
      <c r="E20" s="27" t="inlineStr">
        <is>
          <t>Storage Yard</t>
        </is>
      </c>
      <c r="F20" s="28" t="inlineStr">
        <is>
          <t>Logistics</t>
        </is>
      </c>
      <c r="G20" s="28" t="inlineStr">
        <is>
          <t>Workshop</t>
        </is>
      </c>
      <c r="H20" s="27" t="inlineStr">
        <is>
          <t>Sarah Wilson</t>
        </is>
      </c>
      <c r="I20" s="29" t="n">
        <v>15</v>
      </c>
      <c r="J20" s="29" t="n">
        <v>1</v>
      </c>
      <c r="K20" s="29" t="n">
        <v>0</v>
      </c>
      <c r="L20" s="28" t="inlineStr">
        <is>
          <t>Unsatisfactory</t>
        </is>
      </c>
      <c r="M20" s="28" t="inlineStr">
        <is>
          <t>Cancelled</t>
        </is>
      </c>
      <c r="N20" s="27" t="inlineStr">
        <is>
          <t>Replace equipment</t>
        </is>
      </c>
      <c r="O20" s="26" t="n">
        <v>46136</v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O20"/>
  <mergeCells count="6">
    <mergeCell ref="F3:G3"/>
    <mergeCell ref="N3:O3"/>
    <mergeCell ref="A2:O2"/>
    <mergeCell ref="A3:D3"/>
    <mergeCell ref="A1:O1"/>
    <mergeCell ref="I3:K3"/>
  </mergeCells>
  <conditionalFormatting sqref="M6:M20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L6:L506" showDropDown="0" showInputMessage="0" showErrorMessage="0" allowBlank="1" type="list">
      <formula1>L_Overall_Rating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880E4F"/>
    <outlinePr summaryBelow="1" summaryRight="1"/>
    <pageSetUpPr/>
  </sheetPr>
  <dimension ref="A1:P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0" customWidth="1" style="15" min="5" max="5"/>
    <col width="22" customWidth="1" style="15" min="6" max="6"/>
    <col width="14" customWidth="1" style="15" min="7" max="7"/>
    <col width="16" customWidth="1" style="15" min="8" max="8"/>
    <col width="10" customWidth="1" style="15" min="9" max="12"/>
    <col width="12" customWidth="1" style="15" min="13" max="14"/>
    <col width="10" customWidth="1" style="15" min="15" max="16"/>
  </cols>
  <sheetData>
    <row r="1" ht="42" customHeight="1" s="15">
      <c r="A1" s="210" t="inlineStr">
        <is>
          <t>🤝  SAFETY MEETINGS — DATA ENTRY</t>
        </is>
      </c>
    </row>
    <row r="2" ht="21.75" customHeight="1" s="15">
      <c r="A2" s="211" t="inlineStr">
        <is>
          <t>🔵 Blue = User Input  |  ⚫ Gray = Auto-Calculated  |  Use dropdowns where available</t>
        </is>
      </c>
    </row>
    <row r="3" ht="19.5" customHeight="1" s="15">
      <c r="A3" s="19" t="inlineStr">
        <is>
          <t>IDENTIFICATION</t>
        </is>
      </c>
      <c r="E3" s="16" t="inlineStr">
        <is>
          <t>CLASSIFICATION</t>
        </is>
      </c>
      <c r="F3" s="39" t="inlineStr">
        <is>
          <t>CONTENT</t>
        </is>
      </c>
      <c r="G3" s="17" t="inlineStr">
        <is>
          <t>ORGANIZATIONAL</t>
        </is>
      </c>
      <c r="H3" s="40" t="inlineStr">
        <is>
          <t>PEOPLE</t>
        </is>
      </c>
      <c r="I3" s="18" t="inlineStr">
        <is>
          <t>ATTENDANCE</t>
        </is>
      </c>
      <c r="L3" s="19" t="inlineStr">
        <is>
          <t>TIMING</t>
        </is>
      </c>
      <c r="M3" s="20" t="inlineStr">
        <is>
          <t>ACTIONS</t>
        </is>
      </c>
      <c r="P3" s="19" t="inlineStr">
        <is>
          <t>COMPLIANCE</t>
        </is>
      </c>
    </row>
    <row r="4" ht="31.5" customHeight="1" s="15">
      <c r="A4" s="48" t="inlineStr">
        <is>
          <t>S.No</t>
        </is>
      </c>
      <c r="B4" s="48" t="inlineStr">
        <is>
          <t>Meeting ID</t>
        </is>
      </c>
      <c r="C4" s="48" t="inlineStr">
        <is>
          <t>Date</t>
        </is>
      </c>
      <c r="D4" s="48" t="inlineStr">
        <is>
          <t>Month</t>
        </is>
      </c>
      <c r="E4" s="48" t="inlineStr">
        <is>
          <t>Frequency</t>
        </is>
      </c>
      <c r="F4" s="48" t="inlineStr">
        <is>
          <t>Topic/Agenda</t>
        </is>
      </c>
      <c r="G4" s="48" t="inlineStr">
        <is>
          <t>Department</t>
        </is>
      </c>
      <c r="H4" s="48" t="inlineStr">
        <is>
          <t>Chaired By</t>
        </is>
      </c>
      <c r="I4" s="48" t="inlineStr">
        <is>
          <t>Invited</t>
        </is>
      </c>
      <c r="J4" s="48" t="inlineStr">
        <is>
          <t>Attended</t>
        </is>
      </c>
      <c r="K4" s="48" t="inlineStr">
        <is>
          <t>Attendance %</t>
        </is>
      </c>
      <c r="L4" s="48" t="inlineStr">
        <is>
          <t>Duration (min)</t>
        </is>
      </c>
      <c r="M4" s="48" t="inlineStr">
        <is>
          <t>Action Items Raised</t>
        </is>
      </c>
      <c r="N4" s="48" t="inlineStr">
        <is>
          <t>Actions Closed</t>
        </is>
      </c>
      <c r="O4" s="48" t="inlineStr">
        <is>
          <t>Close-out %</t>
        </is>
      </c>
      <c r="P4" s="48" t="inlineStr">
        <is>
          <t>MoM Circulated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2" t="inlineStr">
        <is>
          <t>⚙️ AUTO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2" t="inlineStr">
        <is>
          <t>⚙️ AUTO</t>
        </is>
      </c>
      <c r="P5" s="23" t="inlineStr">
        <is>
          <t>✏️ INPUT</t>
        </is>
      </c>
    </row>
    <row r="6" ht="15" customHeight="1" s="15">
      <c r="A6" s="24" t="n">
        <v>1</v>
      </c>
      <c r="B6" s="25" t="inlineStr">
        <is>
          <t>MTG-001</t>
        </is>
      </c>
      <c r="C6" s="26" t="n">
        <v>46257</v>
      </c>
      <c r="D6" s="24">
        <f>IF(C6="","",TEXT(C6,"MMM"))</f>
        <v/>
      </c>
      <c r="E6" s="28" t="inlineStr">
        <is>
          <t>Ad-hoc</t>
        </is>
      </c>
      <c r="F6" s="27" t="inlineStr">
        <is>
          <t>Safety Committee</t>
        </is>
      </c>
      <c r="G6" s="28" t="inlineStr">
        <is>
          <t>Engineering</t>
        </is>
      </c>
      <c r="H6" s="27" t="inlineStr">
        <is>
          <t>Sarah Wilson</t>
        </is>
      </c>
      <c r="I6" s="29" t="n">
        <v>19</v>
      </c>
      <c r="J6" s="29" t="n">
        <v>4</v>
      </c>
      <c r="K6" s="30">
        <f>IF(I6=0,0,J6/I6)</f>
        <v/>
      </c>
      <c r="L6" s="29" t="n">
        <v>67</v>
      </c>
      <c r="M6" s="29" t="n">
        <v>4</v>
      </c>
      <c r="N6" s="29" t="n">
        <v>0</v>
      </c>
      <c r="O6" s="30">
        <f>IF(M6=0,0,N6/M6)</f>
        <v/>
      </c>
      <c r="P6" s="28" t="inlineStr">
        <is>
          <t>Yes</t>
        </is>
      </c>
    </row>
    <row r="7" ht="15" customHeight="1" s="15">
      <c r="A7" s="31" t="n">
        <v>2</v>
      </c>
      <c r="B7" s="32" t="inlineStr">
        <is>
          <t>MTG-002</t>
        </is>
      </c>
      <c r="C7" s="33" t="n">
        <v>46033</v>
      </c>
      <c r="D7" s="31">
        <f>IF(C7="","",TEXT(C7,"MMM"))</f>
        <v/>
      </c>
      <c r="E7" s="35" t="inlineStr">
        <is>
          <t>Quarterly</t>
        </is>
      </c>
      <c r="F7" s="34" t="inlineStr">
        <is>
          <t>Emergency Planning</t>
        </is>
      </c>
      <c r="G7" s="35" t="inlineStr">
        <is>
          <t>Projects</t>
        </is>
      </c>
      <c r="H7" s="34" t="inlineStr">
        <is>
          <t>Priya Sharma</t>
        </is>
      </c>
      <c r="I7" s="36" t="n">
        <v>13</v>
      </c>
      <c r="J7" s="36" t="n">
        <v>4</v>
      </c>
      <c r="K7" s="37">
        <f>IF(I7=0,0,J7/I7)</f>
        <v/>
      </c>
      <c r="L7" s="36" t="n">
        <v>112</v>
      </c>
      <c r="M7" s="36" t="n">
        <v>4</v>
      </c>
      <c r="N7" s="36" t="n">
        <v>4</v>
      </c>
      <c r="O7" s="37">
        <f>IF(M7=0,0,N7/M7)</f>
        <v/>
      </c>
      <c r="P7" s="35" t="inlineStr">
        <is>
          <t>No</t>
        </is>
      </c>
    </row>
    <row r="8" ht="15" customHeight="1" s="15">
      <c r="A8" s="24" t="n">
        <v>3</v>
      </c>
      <c r="B8" s="25" t="inlineStr">
        <is>
          <t>MTG-003</t>
        </is>
      </c>
      <c r="C8" s="26" t="n">
        <v>46050</v>
      </c>
      <c r="D8" s="24">
        <f>IF(C8="","",TEXT(C8,"MMM"))</f>
        <v/>
      </c>
      <c r="E8" s="28" t="inlineStr">
        <is>
          <t>Quarterly</t>
        </is>
      </c>
      <c r="F8" s="27" t="inlineStr">
        <is>
          <t>Management Review</t>
        </is>
      </c>
      <c r="G8" s="28" t="inlineStr">
        <is>
          <t>Maintenance</t>
        </is>
      </c>
      <c r="H8" s="27" t="inlineStr">
        <is>
          <t>Fatima Al-Said</t>
        </is>
      </c>
      <c r="I8" s="29" t="n">
        <v>18</v>
      </c>
      <c r="J8" s="29" t="n">
        <v>15</v>
      </c>
      <c r="K8" s="30">
        <f>IF(I8=0,0,J8/I8)</f>
        <v/>
      </c>
      <c r="L8" s="29" t="n">
        <v>86</v>
      </c>
      <c r="M8" s="29" t="n">
        <v>7</v>
      </c>
      <c r="N8" s="29" t="n">
        <v>5</v>
      </c>
      <c r="O8" s="30">
        <f>IF(M8=0,0,N8/M8)</f>
        <v/>
      </c>
      <c r="P8" s="28" t="inlineStr">
        <is>
          <t>Yes</t>
        </is>
      </c>
    </row>
    <row r="9" ht="15" customHeight="1" s="15">
      <c r="A9" s="31" t="n">
        <v>4</v>
      </c>
      <c r="B9" s="32" t="inlineStr">
        <is>
          <t>MTG-004</t>
        </is>
      </c>
      <c r="C9" s="33" t="n">
        <v>46257</v>
      </c>
      <c r="D9" s="31">
        <f>IF(C9="","",TEXT(C9,"MMM"))</f>
        <v/>
      </c>
      <c r="E9" s="35" t="inlineStr">
        <is>
          <t>Ad-hoc</t>
        </is>
      </c>
      <c r="F9" s="34" t="inlineStr">
        <is>
          <t>Incident Debrief</t>
        </is>
      </c>
      <c r="G9" s="35" t="inlineStr">
        <is>
          <t>Projects</t>
        </is>
      </c>
      <c r="H9" s="34" t="inlineStr">
        <is>
          <t>John Smith</t>
        </is>
      </c>
      <c r="I9" s="36" t="n">
        <v>7</v>
      </c>
      <c r="J9" s="36" t="n">
        <v>16</v>
      </c>
      <c r="K9" s="37">
        <f>IF(I9=0,0,J9/I9)</f>
        <v/>
      </c>
      <c r="L9" s="36" t="n">
        <v>40</v>
      </c>
      <c r="M9" s="36" t="n">
        <v>7</v>
      </c>
      <c r="N9" s="36" t="n">
        <v>2</v>
      </c>
      <c r="O9" s="37">
        <f>IF(M9=0,0,N9/M9)</f>
        <v/>
      </c>
      <c r="P9" s="35" t="inlineStr">
        <is>
          <t>No</t>
        </is>
      </c>
    </row>
    <row r="10" ht="15" customHeight="1" s="15">
      <c r="A10" s="24" t="n">
        <v>5</v>
      </c>
      <c r="B10" s="25" t="inlineStr">
        <is>
          <t>MTG-005</t>
        </is>
      </c>
      <c r="C10" s="26" t="n">
        <v>46177</v>
      </c>
      <c r="D10" s="24">
        <f>IF(C10="","",TEXT(C10,"MMM"))</f>
        <v/>
      </c>
      <c r="E10" s="28" t="inlineStr">
        <is>
          <t>Weekly</t>
        </is>
      </c>
      <c r="F10" s="27" t="inlineStr">
        <is>
          <t>Incident Debrief</t>
        </is>
      </c>
      <c r="G10" s="28" t="inlineStr">
        <is>
          <t>Safety</t>
        </is>
      </c>
      <c r="H10" s="27" t="inlineStr">
        <is>
          <t>John Smith</t>
        </is>
      </c>
      <c r="I10" s="29" t="n">
        <v>19</v>
      </c>
      <c r="J10" s="29" t="n">
        <v>16</v>
      </c>
      <c r="K10" s="30">
        <f>IF(I10=0,0,J10/I10)</f>
        <v/>
      </c>
      <c r="L10" s="29" t="n">
        <v>51</v>
      </c>
      <c r="M10" s="29" t="n">
        <v>8</v>
      </c>
      <c r="N10" s="29" t="n">
        <v>5</v>
      </c>
      <c r="O10" s="30">
        <f>IF(M10=0,0,N10/M10)</f>
        <v/>
      </c>
      <c r="P10" s="28" t="inlineStr">
        <is>
          <t>No</t>
        </is>
      </c>
    </row>
    <row r="11" ht="15" customHeight="1" s="15">
      <c r="A11" s="31" t="n">
        <v>6</v>
      </c>
      <c r="B11" s="32" t="inlineStr">
        <is>
          <t>MTG-006</t>
        </is>
      </c>
      <c r="C11" s="33" t="n">
        <v>46046</v>
      </c>
      <c r="D11" s="31">
        <f>IF(C11="","",TEXT(C11,"MMM"))</f>
        <v/>
      </c>
      <c r="E11" s="35" t="inlineStr">
        <is>
          <t>Quarterly</t>
        </is>
      </c>
      <c r="F11" s="34" t="inlineStr">
        <is>
          <t>Emergency Planning</t>
        </is>
      </c>
      <c r="G11" s="35" t="inlineStr">
        <is>
          <t>Safety</t>
        </is>
      </c>
      <c r="H11" s="34" t="inlineStr">
        <is>
          <t>Ahmed Khan</t>
        </is>
      </c>
      <c r="I11" s="36" t="n">
        <v>7</v>
      </c>
      <c r="J11" s="36" t="n">
        <v>15</v>
      </c>
      <c r="K11" s="37">
        <f>IF(I11=0,0,J11/I11)</f>
        <v/>
      </c>
      <c r="L11" s="36" t="n">
        <v>76</v>
      </c>
      <c r="M11" s="36" t="n">
        <v>3</v>
      </c>
      <c r="N11" s="36" t="n">
        <v>0</v>
      </c>
      <c r="O11" s="37">
        <f>IF(M11=0,0,N11/M11)</f>
        <v/>
      </c>
      <c r="P11" s="35" t="inlineStr">
        <is>
          <t>Yes</t>
        </is>
      </c>
    </row>
    <row r="12" ht="15" customHeight="1" s="15">
      <c r="A12" s="24" t="n">
        <v>7</v>
      </c>
      <c r="B12" s="25" t="inlineStr">
        <is>
          <t>MTG-007</t>
        </is>
      </c>
      <c r="C12" s="26" t="n">
        <v>46317</v>
      </c>
      <c r="D12" s="24">
        <f>IF(C12="","",TEXT(C12,"MMM"))</f>
        <v/>
      </c>
      <c r="E12" s="28" t="inlineStr">
        <is>
          <t>Ad-hoc</t>
        </is>
      </c>
      <c r="F12" s="27" t="inlineStr">
        <is>
          <t>Monthly HSE Review</t>
        </is>
      </c>
      <c r="G12" s="28" t="inlineStr">
        <is>
          <t>Engineering</t>
        </is>
      </c>
      <c r="H12" s="27" t="inlineStr">
        <is>
          <t>Sarah Wilson</t>
        </is>
      </c>
      <c r="I12" s="29" t="n">
        <v>12</v>
      </c>
      <c r="J12" s="29" t="n">
        <v>14</v>
      </c>
      <c r="K12" s="30">
        <f>IF(I12=0,0,J12/I12)</f>
        <v/>
      </c>
      <c r="L12" s="29" t="n">
        <v>76</v>
      </c>
      <c r="M12" s="29" t="n">
        <v>7</v>
      </c>
      <c r="N12" s="29" t="n">
        <v>0</v>
      </c>
      <c r="O12" s="30">
        <f>IF(M12=0,0,N12/M12)</f>
        <v/>
      </c>
      <c r="P12" s="28" t="inlineStr">
        <is>
          <t>Yes</t>
        </is>
      </c>
    </row>
    <row r="13" ht="15" customHeight="1" s="15">
      <c r="A13" s="31" t="n">
        <v>8</v>
      </c>
      <c r="B13" s="32" t="inlineStr">
        <is>
          <t>MTG-008</t>
        </is>
      </c>
      <c r="C13" s="33" t="n">
        <v>46341</v>
      </c>
      <c r="D13" s="31">
        <f>IF(C13="","",TEXT(C13,"MMM"))</f>
        <v/>
      </c>
      <c r="E13" s="35" t="inlineStr">
        <is>
          <t>Quarterly</t>
        </is>
      </c>
      <c r="F13" s="34" t="inlineStr">
        <is>
          <t>Incident Debrief</t>
        </is>
      </c>
      <c r="G13" s="35" t="inlineStr">
        <is>
          <t>Admin</t>
        </is>
      </c>
      <c r="H13" s="34" t="inlineStr">
        <is>
          <t>Sarah Wilson</t>
        </is>
      </c>
      <c r="I13" s="36" t="n">
        <v>9</v>
      </c>
      <c r="J13" s="36" t="n">
        <v>19</v>
      </c>
      <c r="K13" s="37">
        <f>IF(I13=0,0,J13/I13)</f>
        <v/>
      </c>
      <c r="L13" s="36" t="n">
        <v>76</v>
      </c>
      <c r="M13" s="36" t="n">
        <v>7</v>
      </c>
      <c r="N13" s="36" t="n">
        <v>5</v>
      </c>
      <c r="O13" s="37">
        <f>IF(M13=0,0,N13/M13)</f>
        <v/>
      </c>
      <c r="P13" s="35" t="inlineStr">
        <is>
          <t>No</t>
        </is>
      </c>
    </row>
    <row r="14" ht="15" customHeight="1" s="15">
      <c r="A14" s="24" t="n">
        <v>9</v>
      </c>
      <c r="B14" s="25" t="inlineStr">
        <is>
          <t>MTG-009</t>
        </is>
      </c>
      <c r="C14" s="26" t="n">
        <v>46116</v>
      </c>
      <c r="D14" s="24">
        <f>IF(C14="","",TEXT(C14,"MMM"))</f>
        <v/>
      </c>
      <c r="E14" s="28" t="inlineStr">
        <is>
          <t>Weekly</t>
        </is>
      </c>
      <c r="F14" s="27" t="inlineStr">
        <is>
          <t>Safety Committee</t>
        </is>
      </c>
      <c r="G14" s="28" t="inlineStr">
        <is>
          <t>Admin</t>
        </is>
      </c>
      <c r="H14" s="27" t="inlineStr">
        <is>
          <t>Tom Brown</t>
        </is>
      </c>
      <c r="I14" s="29" t="n">
        <v>17</v>
      </c>
      <c r="J14" s="29" t="n">
        <v>20</v>
      </c>
      <c r="K14" s="30">
        <f>IF(I14=0,0,J14/I14)</f>
        <v/>
      </c>
      <c r="L14" s="29" t="n">
        <v>45</v>
      </c>
      <c r="M14" s="29" t="n">
        <v>5</v>
      </c>
      <c r="N14" s="29" t="n">
        <v>4</v>
      </c>
      <c r="O14" s="30">
        <f>IF(M14=0,0,N14/M14)</f>
        <v/>
      </c>
      <c r="P14" s="28" t="inlineStr">
        <is>
          <t>No</t>
        </is>
      </c>
    </row>
    <row r="15" ht="15" customHeight="1" s="15">
      <c r="A15" s="31" t="n">
        <v>10</v>
      </c>
      <c r="B15" s="32" t="inlineStr">
        <is>
          <t>MTG-010</t>
        </is>
      </c>
      <c r="C15" s="33" t="n">
        <v>46132</v>
      </c>
      <c r="D15" s="31">
        <f>IF(C15="","",TEXT(C15,"MMM"))</f>
        <v/>
      </c>
      <c r="E15" s="35" t="inlineStr">
        <is>
          <t>Quarterly</t>
        </is>
      </c>
      <c r="F15" s="34" t="inlineStr">
        <is>
          <t>Audit Follow-up</t>
        </is>
      </c>
      <c r="G15" s="35" t="inlineStr">
        <is>
          <t>Construction</t>
        </is>
      </c>
      <c r="H15" s="34" t="inlineStr">
        <is>
          <t>Sarah Wilson</t>
        </is>
      </c>
      <c r="I15" s="36" t="n">
        <v>9</v>
      </c>
      <c r="J15" s="36" t="n">
        <v>5</v>
      </c>
      <c r="K15" s="37">
        <f>IF(I15=0,0,J15/I15)</f>
        <v/>
      </c>
      <c r="L15" s="36" t="n">
        <v>87</v>
      </c>
      <c r="M15" s="36" t="n">
        <v>3</v>
      </c>
      <c r="N15" s="36" t="n">
        <v>7</v>
      </c>
      <c r="O15" s="37">
        <f>IF(M15=0,0,N15/M15)</f>
        <v/>
      </c>
      <c r="P15" s="35" t="inlineStr">
        <is>
          <t>Yes</t>
        </is>
      </c>
    </row>
    <row r="16" ht="15" customHeight="1" s="15">
      <c r="A16" s="24" t="n">
        <v>11</v>
      </c>
      <c r="B16" s="25" t="inlineStr">
        <is>
          <t>MTG-011</t>
        </is>
      </c>
      <c r="C16" s="26" t="n">
        <v>46354</v>
      </c>
      <c r="D16" s="24">
        <f>IF(C16="","",TEXT(C16,"MMM"))</f>
        <v/>
      </c>
      <c r="E16" s="28" t="inlineStr">
        <is>
          <t>Quarterly</t>
        </is>
      </c>
      <c r="F16" s="27" t="inlineStr">
        <is>
          <t>Incident Debrief</t>
        </is>
      </c>
      <c r="G16" s="28" t="inlineStr">
        <is>
          <t>Maintenance</t>
        </is>
      </c>
      <c r="H16" s="27" t="inlineStr">
        <is>
          <t>Tom Brown</t>
        </is>
      </c>
      <c r="I16" s="29" t="n">
        <v>14</v>
      </c>
      <c r="J16" s="29" t="n">
        <v>12</v>
      </c>
      <c r="K16" s="30">
        <f>IF(I16=0,0,J16/I16)</f>
        <v/>
      </c>
      <c r="L16" s="29" t="n">
        <v>50</v>
      </c>
      <c r="M16" s="29" t="n">
        <v>3</v>
      </c>
      <c r="N16" s="29" t="n">
        <v>5</v>
      </c>
      <c r="O16" s="30">
        <f>IF(M16=0,0,N16/M16)</f>
        <v/>
      </c>
      <c r="P16" s="28" t="inlineStr">
        <is>
          <t>Yes</t>
        </is>
      </c>
    </row>
    <row r="17" ht="15" customHeight="1" s="15">
      <c r="A17" s="31" t="n">
        <v>12</v>
      </c>
      <c r="B17" s="32" t="inlineStr">
        <is>
          <t>MTG-012</t>
        </is>
      </c>
      <c r="C17" s="33" t="n">
        <v>46060</v>
      </c>
      <c r="D17" s="31">
        <f>IF(C17="","",TEXT(C17,"MMM"))</f>
        <v/>
      </c>
      <c r="E17" s="35" t="inlineStr">
        <is>
          <t>Monthly</t>
        </is>
      </c>
      <c r="F17" s="34" t="inlineStr">
        <is>
          <t>Contractor Briefing</t>
        </is>
      </c>
      <c r="G17" s="35" t="inlineStr">
        <is>
          <t>Admin</t>
        </is>
      </c>
      <c r="H17" s="34" t="inlineStr">
        <is>
          <t>Ahmed Khan</t>
        </is>
      </c>
      <c r="I17" s="36" t="n">
        <v>16</v>
      </c>
      <c r="J17" s="36" t="n">
        <v>20</v>
      </c>
      <c r="K17" s="37">
        <f>IF(I17=0,0,J17/I17)</f>
        <v/>
      </c>
      <c r="L17" s="36" t="n">
        <v>103</v>
      </c>
      <c r="M17" s="36" t="n">
        <v>6</v>
      </c>
      <c r="N17" s="36" t="n">
        <v>7</v>
      </c>
      <c r="O17" s="37">
        <f>IF(M17=0,0,N17/M17)</f>
        <v/>
      </c>
      <c r="P17" s="35" t="inlineStr">
        <is>
          <t>Yes</t>
        </is>
      </c>
    </row>
    <row r="18" ht="15" customHeight="1" s="15">
      <c r="A18" s="24" t="n">
        <v>13</v>
      </c>
      <c r="B18" s="25" t="inlineStr">
        <is>
          <t>MTG-013</t>
        </is>
      </c>
      <c r="C18" s="26" t="n">
        <v>46298</v>
      </c>
      <c r="D18" s="24">
        <f>IF(C18="","",TEXT(C18,"MMM"))</f>
        <v/>
      </c>
      <c r="E18" s="28" t="inlineStr">
        <is>
          <t>Weekly</t>
        </is>
      </c>
      <c r="F18" s="27" t="inlineStr">
        <is>
          <t>Management Review</t>
        </is>
      </c>
      <c r="G18" s="28" t="inlineStr">
        <is>
          <t>Quality</t>
        </is>
      </c>
      <c r="H18" s="27" t="inlineStr">
        <is>
          <t>Priya Sharma</t>
        </is>
      </c>
      <c r="I18" s="29" t="n">
        <v>18</v>
      </c>
      <c r="J18" s="29" t="n">
        <v>16</v>
      </c>
      <c r="K18" s="30">
        <f>IF(I18=0,0,J18/I18)</f>
        <v/>
      </c>
      <c r="L18" s="29" t="n">
        <v>103</v>
      </c>
      <c r="M18" s="29" t="n">
        <v>2</v>
      </c>
      <c r="N18" s="29" t="n">
        <v>2</v>
      </c>
      <c r="O18" s="30">
        <f>IF(M18=0,0,N18/M18)</f>
        <v/>
      </c>
      <c r="P18" s="28" t="inlineStr">
        <is>
          <t>No</t>
        </is>
      </c>
    </row>
    <row r="19" ht="15" customHeight="1" s="15">
      <c r="A19" s="31" t="n">
        <v>14</v>
      </c>
      <c r="B19" s="32" t="inlineStr">
        <is>
          <t>MTG-014</t>
        </is>
      </c>
      <c r="C19" s="33" t="n">
        <v>46329</v>
      </c>
      <c r="D19" s="31">
        <f>IF(C19="","",TEXT(C19,"MMM"))</f>
        <v/>
      </c>
      <c r="E19" s="35" t="inlineStr">
        <is>
          <t>Ad-hoc</t>
        </is>
      </c>
      <c r="F19" s="34" t="inlineStr">
        <is>
          <t>Audit Follow-up</t>
        </is>
      </c>
      <c r="G19" s="35" t="inlineStr">
        <is>
          <t>Projects</t>
        </is>
      </c>
      <c r="H19" s="34" t="inlineStr">
        <is>
          <t>Fatima Al-Said</t>
        </is>
      </c>
      <c r="I19" s="36" t="n">
        <v>9</v>
      </c>
      <c r="J19" s="36" t="n">
        <v>20</v>
      </c>
      <c r="K19" s="37">
        <f>IF(I19=0,0,J19/I19)</f>
        <v/>
      </c>
      <c r="L19" s="36" t="n">
        <v>111</v>
      </c>
      <c r="M19" s="36" t="n">
        <v>3</v>
      </c>
      <c r="N19" s="36" t="n">
        <v>2</v>
      </c>
      <c r="O19" s="37">
        <f>IF(M19=0,0,N19/M19)</f>
        <v/>
      </c>
      <c r="P19" s="35" t="inlineStr">
        <is>
          <t>No</t>
        </is>
      </c>
    </row>
    <row r="20" ht="15" customHeight="1" s="15">
      <c r="A20" s="24" t="n">
        <v>15</v>
      </c>
      <c r="B20" s="25" t="inlineStr">
        <is>
          <t>MTG-015</t>
        </is>
      </c>
      <c r="C20" s="26" t="n">
        <v>46293</v>
      </c>
      <c r="D20" s="24">
        <f>IF(C20="","",TEXT(C20,"MMM"))</f>
        <v/>
      </c>
      <c r="E20" s="28" t="inlineStr">
        <is>
          <t>Weekly</t>
        </is>
      </c>
      <c r="F20" s="27" t="inlineStr">
        <is>
          <t>Weekly Safety Briefing</t>
        </is>
      </c>
      <c r="G20" s="28" t="inlineStr">
        <is>
          <t>Projects</t>
        </is>
      </c>
      <c r="H20" s="27" t="inlineStr">
        <is>
          <t>Raj Patel</t>
        </is>
      </c>
      <c r="I20" s="29" t="n">
        <v>14</v>
      </c>
      <c r="J20" s="29" t="n">
        <v>8</v>
      </c>
      <c r="K20" s="30">
        <f>IF(I20=0,0,J20/I20)</f>
        <v/>
      </c>
      <c r="L20" s="29" t="n">
        <v>50</v>
      </c>
      <c r="M20" s="29" t="n">
        <v>6</v>
      </c>
      <c r="N20" s="29" t="n">
        <v>3</v>
      </c>
      <c r="O20" s="30">
        <f>IF(M20=0,0,N20/M20)</f>
        <v/>
      </c>
      <c r="P20" s="28" t="inlineStr">
        <is>
          <t>No</t>
        </is>
      </c>
    </row>
    <row r="21" ht="15" customHeight="1" s="15">
      <c r="A21" s="31" t="n">
        <v>16</v>
      </c>
      <c r="B21" s="32" t="inlineStr">
        <is>
          <t>MTG-016</t>
        </is>
      </c>
      <c r="C21" s="33" t="n">
        <v>46275</v>
      </c>
      <c r="D21" s="31">
        <f>IF(C21="","",TEXT(C21,"MMM"))</f>
        <v/>
      </c>
      <c r="E21" s="35" t="inlineStr">
        <is>
          <t>Weekly</t>
        </is>
      </c>
      <c r="F21" s="34" t="inlineStr">
        <is>
          <t>Management Review</t>
        </is>
      </c>
      <c r="G21" s="35" t="inlineStr">
        <is>
          <t>Construction</t>
        </is>
      </c>
      <c r="H21" s="34" t="inlineStr">
        <is>
          <t>Tom Brown</t>
        </is>
      </c>
      <c r="I21" s="36" t="n">
        <v>13</v>
      </c>
      <c r="J21" s="36" t="n">
        <v>7</v>
      </c>
      <c r="K21" s="37">
        <f>IF(I21=0,0,J21/I21)</f>
        <v/>
      </c>
      <c r="L21" s="36" t="n">
        <v>110</v>
      </c>
      <c r="M21" s="36" t="n">
        <v>5</v>
      </c>
      <c r="N21" s="36" t="n">
        <v>8</v>
      </c>
      <c r="O21" s="37">
        <f>IF(M21=0,0,N21/M21)</f>
        <v/>
      </c>
      <c r="P21" s="35" t="inlineStr">
        <is>
          <t>Yes</t>
        </is>
      </c>
    </row>
    <row r="22" ht="15" customHeight="1" s="15">
      <c r="A22" s="24" t="n">
        <v>17</v>
      </c>
      <c r="B22" s="25" t="inlineStr">
        <is>
          <t>MTG-017</t>
        </is>
      </c>
      <c r="C22" s="26" t="n">
        <v>46286</v>
      </c>
      <c r="D22" s="24">
        <f>IF(C22="","",TEXT(C22,"MMM"))</f>
        <v/>
      </c>
      <c r="E22" s="28" t="inlineStr">
        <is>
          <t>Monthly</t>
        </is>
      </c>
      <c r="F22" s="27" t="inlineStr">
        <is>
          <t>Safety Committee</t>
        </is>
      </c>
      <c r="G22" s="28" t="inlineStr">
        <is>
          <t>Engineering</t>
        </is>
      </c>
      <c r="H22" s="27" t="inlineStr">
        <is>
          <t>Lisa Park</t>
        </is>
      </c>
      <c r="I22" s="29" t="n">
        <v>15</v>
      </c>
      <c r="J22" s="29" t="n">
        <v>4</v>
      </c>
      <c r="K22" s="30">
        <f>IF(I22=0,0,J22/I22)</f>
        <v/>
      </c>
      <c r="L22" s="29" t="n">
        <v>33</v>
      </c>
      <c r="M22" s="29" t="n">
        <v>2</v>
      </c>
      <c r="N22" s="29" t="n">
        <v>0</v>
      </c>
      <c r="O22" s="30">
        <f>IF(M22=0,0,N22/M22)</f>
        <v/>
      </c>
      <c r="P22" s="28" t="inlineStr">
        <is>
          <t>No</t>
        </is>
      </c>
    </row>
    <row r="23" ht="15" customHeight="1" s="15">
      <c r="A23" s="31" t="n">
        <v>18</v>
      </c>
      <c r="B23" s="32" t="inlineStr">
        <is>
          <t>MTG-018</t>
        </is>
      </c>
      <c r="C23" s="33" t="n">
        <v>46333</v>
      </c>
      <c r="D23" s="31">
        <f>IF(C23="","",TEXT(C23,"MMM"))</f>
        <v/>
      </c>
      <c r="E23" s="35" t="inlineStr">
        <is>
          <t>Annual</t>
        </is>
      </c>
      <c r="F23" s="34" t="inlineStr">
        <is>
          <t>Emergency Planning</t>
        </is>
      </c>
      <c r="G23" s="35" t="inlineStr">
        <is>
          <t>Contractor</t>
        </is>
      </c>
      <c r="H23" s="34" t="inlineStr">
        <is>
          <t>Ahmed Khan</t>
        </is>
      </c>
      <c r="I23" s="36" t="n">
        <v>20</v>
      </c>
      <c r="J23" s="36" t="n">
        <v>20</v>
      </c>
      <c r="K23" s="37">
        <f>IF(I23=0,0,J23/I23)</f>
        <v/>
      </c>
      <c r="L23" s="36" t="n">
        <v>67</v>
      </c>
      <c r="M23" s="36" t="n">
        <v>5</v>
      </c>
      <c r="N23" s="36" t="n">
        <v>7</v>
      </c>
      <c r="O23" s="37">
        <f>IF(M23=0,0,N23/M23)</f>
        <v/>
      </c>
      <c r="P23" s="35" t="inlineStr">
        <is>
          <t>Yes</t>
        </is>
      </c>
    </row>
    <row r="24">
      <c r="A24">
        <f>IF($B24="","",ROW()-5)</f>
        <v/>
      </c>
      <c r="D24">
        <f>IF($B24="","",IF(C24="","",TEXT(C24,"MMM")))</f>
        <v/>
      </c>
      <c r="K24">
        <f>IF($B24="","",IF(I24=0,0,J24/I24))</f>
        <v/>
      </c>
      <c r="O24">
        <f>IF($B24="","",IF(M24=0,0,N24/M24))</f>
        <v/>
      </c>
    </row>
    <row r="25">
      <c r="A25">
        <f>IF($B25="","",ROW()-5)</f>
        <v/>
      </c>
      <c r="D25">
        <f>IF($B25="","",IF(C25="","",TEXT(C25,"MMM")))</f>
        <v/>
      </c>
      <c r="K25">
        <f>IF($B25="","",IF(I25=0,0,J25/I25))</f>
        <v/>
      </c>
      <c r="O25">
        <f>IF($B25="","",IF(M25=0,0,N25/M25))</f>
        <v/>
      </c>
    </row>
    <row r="26">
      <c r="A26">
        <f>IF($B26="","",ROW()-5)</f>
        <v/>
      </c>
      <c r="D26">
        <f>IF($B26="","",IF(C26="","",TEXT(C26,"MMM")))</f>
        <v/>
      </c>
      <c r="K26">
        <f>IF($B26="","",IF(I26=0,0,J26/I26))</f>
        <v/>
      </c>
      <c r="O26">
        <f>IF($B26="","",IF(M26=0,0,N26/M26))</f>
        <v/>
      </c>
    </row>
    <row r="27">
      <c r="A27">
        <f>IF($B27="","",ROW()-5)</f>
        <v/>
      </c>
      <c r="D27">
        <f>IF($B27="","",IF(C27="","",TEXT(C27,"MMM")))</f>
        <v/>
      </c>
      <c r="K27">
        <f>IF($B27="","",IF(I27=0,0,J27/I27))</f>
        <v/>
      </c>
      <c r="O27">
        <f>IF($B27="","",IF(M27=0,0,N27/M27))</f>
        <v/>
      </c>
    </row>
    <row r="28">
      <c r="A28">
        <f>IF($B28="","",ROW()-5)</f>
        <v/>
      </c>
      <c r="D28">
        <f>IF($B28="","",IF(C28="","",TEXT(C28,"MMM")))</f>
        <v/>
      </c>
      <c r="K28">
        <f>IF($B28="","",IF(I28=0,0,J28/I28))</f>
        <v/>
      </c>
      <c r="O28">
        <f>IF($B28="","",IF(M28=0,0,N28/M28))</f>
        <v/>
      </c>
    </row>
    <row r="29">
      <c r="A29">
        <f>IF($B29="","",ROW()-5)</f>
        <v/>
      </c>
      <c r="D29">
        <f>IF($B29="","",IF(C29="","",TEXT(C29,"MMM")))</f>
        <v/>
      </c>
      <c r="K29">
        <f>IF($B29="","",IF(I29=0,0,J29/I29))</f>
        <v/>
      </c>
      <c r="O29">
        <f>IF($B29="","",IF(M29=0,0,N29/M29))</f>
        <v/>
      </c>
    </row>
    <row r="30">
      <c r="A30">
        <f>IF($B30="","",ROW()-5)</f>
        <v/>
      </c>
      <c r="D30">
        <f>IF($B30="","",IF(C30="","",TEXT(C30,"MMM")))</f>
        <v/>
      </c>
      <c r="K30">
        <f>IF($B30="","",IF(I30=0,0,J30/I30))</f>
        <v/>
      </c>
      <c r="O30">
        <f>IF($B30="","",IF(M30=0,0,N30/M30))</f>
        <v/>
      </c>
    </row>
    <row r="31">
      <c r="A31">
        <f>IF($B31="","",ROW()-5)</f>
        <v/>
      </c>
      <c r="D31">
        <f>IF($B31="","",IF(C31="","",TEXT(C31,"MMM")))</f>
        <v/>
      </c>
      <c r="K31">
        <f>IF($B31="","",IF(I31=0,0,J31/I31))</f>
        <v/>
      </c>
      <c r="O31">
        <f>IF($B31="","",IF(M31=0,0,N31/M31))</f>
        <v/>
      </c>
    </row>
    <row r="32">
      <c r="A32">
        <f>IF($B32="","",ROW()-5)</f>
        <v/>
      </c>
      <c r="D32">
        <f>IF($B32="","",IF(C32="","",TEXT(C32,"MMM")))</f>
        <v/>
      </c>
      <c r="K32">
        <f>IF($B32="","",IF(I32=0,0,J32/I32))</f>
        <v/>
      </c>
      <c r="O32">
        <f>IF($B32="","",IF(M32=0,0,N32/M32))</f>
        <v/>
      </c>
    </row>
    <row r="33">
      <c r="A33">
        <f>IF($B33="","",ROW()-5)</f>
        <v/>
      </c>
      <c r="D33">
        <f>IF($B33="","",IF(C33="","",TEXT(C33,"MMM")))</f>
        <v/>
      </c>
      <c r="K33">
        <f>IF($B33="","",IF(I33=0,0,J33/I33))</f>
        <v/>
      </c>
      <c r="O33">
        <f>IF($B33="","",IF(M33=0,0,N33/M33))</f>
        <v/>
      </c>
    </row>
    <row r="34">
      <c r="A34">
        <f>IF($B34="","",ROW()-5)</f>
        <v/>
      </c>
      <c r="D34">
        <f>IF($B34="","",IF(C34="","",TEXT(C34,"MMM")))</f>
        <v/>
      </c>
      <c r="K34">
        <f>IF($B34="","",IF(I34=0,0,J34/I34))</f>
        <v/>
      </c>
      <c r="O34">
        <f>IF($B34="","",IF(M34=0,0,N34/M34))</f>
        <v/>
      </c>
    </row>
    <row r="35">
      <c r="A35">
        <f>IF($B35="","",ROW()-5)</f>
        <v/>
      </c>
      <c r="D35">
        <f>IF($B35="","",IF(C35="","",TEXT(C35,"MMM")))</f>
        <v/>
      </c>
      <c r="K35">
        <f>IF($B35="","",IF(I35=0,0,J35/I35))</f>
        <v/>
      </c>
      <c r="O35">
        <f>IF($B35="","",IF(M35=0,0,N35/M35))</f>
        <v/>
      </c>
    </row>
    <row r="36">
      <c r="A36">
        <f>IF($B36="","",ROW()-5)</f>
        <v/>
      </c>
      <c r="D36">
        <f>IF($B36="","",IF(C36="","",TEXT(C36,"MMM")))</f>
        <v/>
      </c>
      <c r="K36">
        <f>IF($B36="","",IF(I36=0,0,J36/I36))</f>
        <v/>
      </c>
      <c r="O36">
        <f>IF($B36="","",IF(M36=0,0,N36/M36))</f>
        <v/>
      </c>
    </row>
    <row r="37">
      <c r="A37">
        <f>IF($B37="","",ROW()-5)</f>
        <v/>
      </c>
      <c r="D37">
        <f>IF($B37="","",IF(C37="","",TEXT(C37,"MMM")))</f>
        <v/>
      </c>
      <c r="K37">
        <f>IF($B37="","",IF(I37=0,0,J37/I37))</f>
        <v/>
      </c>
      <c r="O37">
        <f>IF($B37="","",IF(M37=0,0,N37/M37))</f>
        <v/>
      </c>
    </row>
    <row r="38">
      <c r="A38">
        <f>IF($B38="","",ROW()-5)</f>
        <v/>
      </c>
      <c r="D38">
        <f>IF($B38="","",IF(C38="","",TEXT(C38,"MMM")))</f>
        <v/>
      </c>
      <c r="K38">
        <f>IF($B38="","",IF(I38=0,0,J38/I38))</f>
        <v/>
      </c>
      <c r="O38">
        <f>IF($B38="","",IF(M38=0,0,N38/M38))</f>
        <v/>
      </c>
    </row>
    <row r="39">
      <c r="A39">
        <f>IF($B39="","",ROW()-5)</f>
        <v/>
      </c>
      <c r="D39">
        <f>IF($B39="","",IF(C39="","",TEXT(C39,"MMM")))</f>
        <v/>
      </c>
      <c r="K39">
        <f>IF($B39="","",IF(I39=0,0,J39/I39))</f>
        <v/>
      </c>
      <c r="O39">
        <f>IF($B39="","",IF(M39=0,0,N39/M39))</f>
        <v/>
      </c>
    </row>
    <row r="40">
      <c r="A40">
        <f>IF($B40="","",ROW()-5)</f>
        <v/>
      </c>
      <c r="D40">
        <f>IF($B40="","",IF(C40="","",TEXT(C40,"MMM")))</f>
        <v/>
      </c>
      <c r="K40">
        <f>IF($B40="","",IF(I40=0,0,J40/I40))</f>
        <v/>
      </c>
      <c r="O40">
        <f>IF($B40="","",IF(M40=0,0,N40/M40))</f>
        <v/>
      </c>
    </row>
    <row r="41">
      <c r="A41">
        <f>IF($B41="","",ROW()-5)</f>
        <v/>
      </c>
      <c r="D41">
        <f>IF($B41="","",IF(C41="","",TEXT(C41,"MMM")))</f>
        <v/>
      </c>
      <c r="K41">
        <f>IF($B41="","",IF(I41=0,0,J41/I41))</f>
        <v/>
      </c>
      <c r="O41">
        <f>IF($B41="","",IF(M41=0,0,N41/M41))</f>
        <v/>
      </c>
    </row>
    <row r="42">
      <c r="A42">
        <f>IF($B42="","",ROW()-5)</f>
        <v/>
      </c>
      <c r="D42">
        <f>IF($B42="","",IF(C42="","",TEXT(C42,"MMM")))</f>
        <v/>
      </c>
      <c r="K42">
        <f>IF($B42="","",IF(I42=0,0,J42/I42))</f>
        <v/>
      </c>
      <c r="O42">
        <f>IF($B42="","",IF(M42=0,0,N42/M42))</f>
        <v/>
      </c>
    </row>
    <row r="43">
      <c r="A43">
        <f>IF($B43="","",ROW()-5)</f>
        <v/>
      </c>
      <c r="D43">
        <f>IF($B43="","",IF(C43="","",TEXT(C43,"MMM")))</f>
        <v/>
      </c>
      <c r="K43">
        <f>IF($B43="","",IF(I43=0,0,J43/I43))</f>
        <v/>
      </c>
      <c r="O43">
        <f>IF($B43="","",IF(M43=0,0,N43/M43))</f>
        <v/>
      </c>
    </row>
    <row r="44">
      <c r="A44">
        <f>IF($B44="","",ROW()-5)</f>
        <v/>
      </c>
      <c r="D44">
        <f>IF($B44="","",IF(C44="","",TEXT(C44,"MMM")))</f>
        <v/>
      </c>
      <c r="K44">
        <f>IF($B44="","",IF(I44=0,0,J44/I44))</f>
        <v/>
      </c>
      <c r="O44">
        <f>IF($B44="","",IF(M44=0,0,N44/M44))</f>
        <v/>
      </c>
    </row>
    <row r="45">
      <c r="A45">
        <f>IF($B45="","",ROW()-5)</f>
        <v/>
      </c>
      <c r="D45">
        <f>IF($B45="","",IF(C45="","",TEXT(C45,"MMM")))</f>
        <v/>
      </c>
      <c r="K45">
        <f>IF($B45="","",IF(I45=0,0,J45/I45))</f>
        <v/>
      </c>
      <c r="O45">
        <f>IF($B45="","",IF(M45=0,0,N45/M45))</f>
        <v/>
      </c>
    </row>
    <row r="46">
      <c r="A46">
        <f>IF($B46="","",ROW()-5)</f>
        <v/>
      </c>
      <c r="D46">
        <f>IF($B46="","",IF(C46="","",TEXT(C46,"MMM")))</f>
        <v/>
      </c>
      <c r="K46">
        <f>IF($B46="","",IF(I46=0,0,J46/I46))</f>
        <v/>
      </c>
      <c r="O46">
        <f>IF($B46="","",IF(M46=0,0,N46/M46))</f>
        <v/>
      </c>
    </row>
    <row r="47">
      <c r="A47">
        <f>IF($B47="","",ROW()-5)</f>
        <v/>
      </c>
      <c r="D47">
        <f>IF($B47="","",IF(C47="","",TEXT(C47,"MMM")))</f>
        <v/>
      </c>
      <c r="K47">
        <f>IF($B47="","",IF(I47=0,0,J47/I47))</f>
        <v/>
      </c>
      <c r="O47">
        <f>IF($B47="","",IF(M47=0,0,N47/M47))</f>
        <v/>
      </c>
    </row>
    <row r="48">
      <c r="A48">
        <f>IF($B48="","",ROW()-5)</f>
        <v/>
      </c>
      <c r="D48">
        <f>IF($B48="","",IF(C48="","",TEXT(C48,"MMM")))</f>
        <v/>
      </c>
      <c r="K48">
        <f>IF($B48="","",IF(I48=0,0,J48/I48))</f>
        <v/>
      </c>
      <c r="O48">
        <f>IF($B48="","",IF(M48=0,0,N48/M48))</f>
        <v/>
      </c>
    </row>
    <row r="49">
      <c r="A49">
        <f>IF($B49="","",ROW()-5)</f>
        <v/>
      </c>
      <c r="D49">
        <f>IF($B49="","",IF(C49="","",TEXT(C49,"MMM")))</f>
        <v/>
      </c>
      <c r="K49">
        <f>IF($B49="","",IF(I49=0,0,J49/I49))</f>
        <v/>
      </c>
      <c r="O49">
        <f>IF($B49="","",IF(M49=0,0,N49/M49))</f>
        <v/>
      </c>
    </row>
    <row r="50">
      <c r="A50">
        <f>IF($B50="","",ROW()-5)</f>
        <v/>
      </c>
      <c r="D50">
        <f>IF($B50="","",IF(C50="","",TEXT(C50,"MMM")))</f>
        <v/>
      </c>
      <c r="K50">
        <f>IF($B50="","",IF(I50=0,0,J50/I50))</f>
        <v/>
      </c>
      <c r="O50">
        <f>IF($B50="","",IF(M50=0,0,N50/M50))</f>
        <v/>
      </c>
    </row>
    <row r="51">
      <c r="A51">
        <f>IF($B51="","",ROW()-5)</f>
        <v/>
      </c>
      <c r="D51">
        <f>IF($B51="","",IF(C51="","",TEXT(C51,"MMM")))</f>
        <v/>
      </c>
      <c r="K51">
        <f>IF($B51="","",IF(I51=0,0,J51/I51))</f>
        <v/>
      </c>
      <c r="O51">
        <f>IF($B51="","",IF(M51=0,0,N51/M51))</f>
        <v/>
      </c>
    </row>
    <row r="52">
      <c r="A52">
        <f>IF($B52="","",ROW()-5)</f>
        <v/>
      </c>
      <c r="D52">
        <f>IF($B52="","",IF(C52="","",TEXT(C52,"MMM")))</f>
        <v/>
      </c>
      <c r="K52">
        <f>IF($B52="","",IF(I52=0,0,J52/I52))</f>
        <v/>
      </c>
      <c r="O52">
        <f>IF($B52="","",IF(M52=0,0,N52/M52))</f>
        <v/>
      </c>
    </row>
    <row r="53">
      <c r="A53">
        <f>IF($B53="","",ROW()-5)</f>
        <v/>
      </c>
      <c r="D53">
        <f>IF($B53="","",IF(C53="","",TEXT(C53,"MMM")))</f>
        <v/>
      </c>
      <c r="K53">
        <f>IF($B53="","",IF(I53=0,0,J53/I53))</f>
        <v/>
      </c>
      <c r="O53">
        <f>IF($B53="","",IF(M53=0,0,N53/M53))</f>
        <v/>
      </c>
    </row>
    <row r="54">
      <c r="A54">
        <f>IF($B54="","",ROW()-5)</f>
        <v/>
      </c>
      <c r="D54">
        <f>IF($B54="","",IF(C54="","",TEXT(C54,"MMM")))</f>
        <v/>
      </c>
      <c r="K54">
        <f>IF($B54="","",IF(I54=0,0,J54/I54))</f>
        <v/>
      </c>
      <c r="O54">
        <f>IF($B54="","",IF(M54=0,0,N54/M54))</f>
        <v/>
      </c>
    </row>
    <row r="55">
      <c r="A55">
        <f>IF($B55="","",ROW()-5)</f>
        <v/>
      </c>
      <c r="D55">
        <f>IF($B55="","",IF(C55="","",TEXT(C55,"MMM")))</f>
        <v/>
      </c>
      <c r="K55">
        <f>IF($B55="","",IF(I55=0,0,J55/I55))</f>
        <v/>
      </c>
      <c r="O55">
        <f>IF($B55="","",IF(M55=0,0,N55/M55))</f>
        <v/>
      </c>
    </row>
    <row r="56">
      <c r="A56">
        <f>IF($B56="","",ROW()-5)</f>
        <v/>
      </c>
      <c r="D56">
        <f>IF($B56="","",IF(C56="","",TEXT(C56,"MMM")))</f>
        <v/>
      </c>
      <c r="K56">
        <f>IF($B56="","",IF(I56=0,0,J56/I56))</f>
        <v/>
      </c>
      <c r="O56">
        <f>IF($B56="","",IF(M56=0,0,N56/M56))</f>
        <v/>
      </c>
    </row>
    <row r="57">
      <c r="A57">
        <f>IF($B57="","",ROW()-5)</f>
        <v/>
      </c>
      <c r="D57">
        <f>IF($B57="","",IF(C57="","",TEXT(C57,"MMM")))</f>
        <v/>
      </c>
      <c r="K57">
        <f>IF($B57="","",IF(I57=0,0,J57/I57))</f>
        <v/>
      </c>
      <c r="O57">
        <f>IF($B57="","",IF(M57=0,0,N57/M57))</f>
        <v/>
      </c>
    </row>
    <row r="58">
      <c r="A58">
        <f>IF($B58="","",ROW()-5)</f>
        <v/>
      </c>
      <c r="D58">
        <f>IF($B58="","",IF(C58="","",TEXT(C58,"MMM")))</f>
        <v/>
      </c>
      <c r="K58">
        <f>IF($B58="","",IF(I58=0,0,J58/I58))</f>
        <v/>
      </c>
      <c r="O58">
        <f>IF($B58="","",IF(M58=0,0,N58/M58))</f>
        <v/>
      </c>
    </row>
    <row r="59">
      <c r="A59">
        <f>IF($B59="","",ROW()-5)</f>
        <v/>
      </c>
      <c r="D59">
        <f>IF($B59="","",IF(C59="","",TEXT(C59,"MMM")))</f>
        <v/>
      </c>
      <c r="K59">
        <f>IF($B59="","",IF(I59=0,0,J59/I59))</f>
        <v/>
      </c>
      <c r="O59">
        <f>IF($B59="","",IF(M59=0,0,N59/M59))</f>
        <v/>
      </c>
    </row>
    <row r="60">
      <c r="A60">
        <f>IF($B60="","",ROW()-5)</f>
        <v/>
      </c>
      <c r="D60">
        <f>IF($B60="","",IF(C60="","",TEXT(C60,"MMM")))</f>
        <v/>
      </c>
      <c r="K60">
        <f>IF($B60="","",IF(I60=0,0,J60/I60))</f>
        <v/>
      </c>
      <c r="O60">
        <f>IF($B60="","",IF(M60=0,0,N60/M60))</f>
        <v/>
      </c>
    </row>
    <row r="61">
      <c r="A61">
        <f>IF($B61="","",ROW()-5)</f>
        <v/>
      </c>
      <c r="D61">
        <f>IF($B61="","",IF(C61="","",TEXT(C61,"MMM")))</f>
        <v/>
      </c>
      <c r="K61">
        <f>IF($B61="","",IF(I61=0,0,J61/I61))</f>
        <v/>
      </c>
      <c r="O61">
        <f>IF($B61="","",IF(M61=0,0,N61/M61))</f>
        <v/>
      </c>
    </row>
    <row r="62">
      <c r="A62">
        <f>IF($B62="","",ROW()-5)</f>
        <v/>
      </c>
      <c r="D62">
        <f>IF($B62="","",IF(C62="","",TEXT(C62,"MMM")))</f>
        <v/>
      </c>
      <c r="K62">
        <f>IF($B62="","",IF(I62=0,0,J62/I62))</f>
        <v/>
      </c>
      <c r="O62">
        <f>IF($B62="","",IF(M62=0,0,N62/M62))</f>
        <v/>
      </c>
    </row>
    <row r="63">
      <c r="A63">
        <f>IF($B63="","",ROW()-5)</f>
        <v/>
      </c>
      <c r="D63">
        <f>IF($B63="","",IF(C63="","",TEXT(C63,"MMM")))</f>
        <v/>
      </c>
      <c r="K63">
        <f>IF($B63="","",IF(I63=0,0,J63/I63))</f>
        <v/>
      </c>
      <c r="O63">
        <f>IF($B63="","",IF(M63=0,0,N63/M63))</f>
        <v/>
      </c>
    </row>
    <row r="64">
      <c r="A64">
        <f>IF($B64="","",ROW()-5)</f>
        <v/>
      </c>
      <c r="D64">
        <f>IF($B64="","",IF(C64="","",TEXT(C64,"MMM")))</f>
        <v/>
      </c>
      <c r="K64">
        <f>IF($B64="","",IF(I64=0,0,J64/I64))</f>
        <v/>
      </c>
      <c r="O64">
        <f>IF($B64="","",IF(M64=0,0,N64/M64))</f>
        <v/>
      </c>
    </row>
    <row r="65">
      <c r="A65">
        <f>IF($B65="","",ROW()-5)</f>
        <v/>
      </c>
      <c r="D65">
        <f>IF($B65="","",IF(C65="","",TEXT(C65,"MMM")))</f>
        <v/>
      </c>
      <c r="K65">
        <f>IF($B65="","",IF(I65=0,0,J65/I65))</f>
        <v/>
      </c>
      <c r="O65">
        <f>IF($B65="","",IF(M65=0,0,N65/M65))</f>
        <v/>
      </c>
    </row>
    <row r="66">
      <c r="A66">
        <f>IF($B66="","",ROW()-5)</f>
        <v/>
      </c>
      <c r="D66">
        <f>IF($B66="","",IF(C66="","",TEXT(C66,"MMM")))</f>
        <v/>
      </c>
      <c r="K66">
        <f>IF($B66="","",IF(I66=0,0,J66/I66))</f>
        <v/>
      </c>
      <c r="O66">
        <f>IF($B66="","",IF(M66=0,0,N66/M66))</f>
        <v/>
      </c>
    </row>
    <row r="67">
      <c r="A67">
        <f>IF($B67="","",ROW()-5)</f>
        <v/>
      </c>
      <c r="D67">
        <f>IF($B67="","",IF(C67="","",TEXT(C67,"MMM")))</f>
        <v/>
      </c>
      <c r="K67">
        <f>IF($B67="","",IF(I67=0,0,J67/I67))</f>
        <v/>
      </c>
      <c r="O67">
        <f>IF($B67="","",IF(M67=0,0,N67/M67))</f>
        <v/>
      </c>
    </row>
    <row r="68">
      <c r="A68">
        <f>IF($B68="","",ROW()-5)</f>
        <v/>
      </c>
      <c r="D68">
        <f>IF($B68="","",IF(C68="","",TEXT(C68,"MMM")))</f>
        <v/>
      </c>
      <c r="K68">
        <f>IF($B68="","",IF(I68=0,0,J68/I68))</f>
        <v/>
      </c>
      <c r="O68">
        <f>IF($B68="","",IF(M68=0,0,N68/M68))</f>
        <v/>
      </c>
    </row>
    <row r="69">
      <c r="A69">
        <f>IF($B69="","",ROW()-5)</f>
        <v/>
      </c>
      <c r="D69">
        <f>IF($B69="","",IF(C69="","",TEXT(C69,"MMM")))</f>
        <v/>
      </c>
      <c r="K69">
        <f>IF($B69="","",IF(I69=0,0,J69/I69))</f>
        <v/>
      </c>
      <c r="O69">
        <f>IF($B69="","",IF(M69=0,0,N69/M69))</f>
        <v/>
      </c>
    </row>
    <row r="70">
      <c r="A70">
        <f>IF($B70="","",ROW()-5)</f>
        <v/>
      </c>
      <c r="D70">
        <f>IF($B70="","",IF(C70="","",TEXT(C70,"MMM")))</f>
        <v/>
      </c>
      <c r="K70">
        <f>IF($B70="","",IF(I70=0,0,J70/I70))</f>
        <v/>
      </c>
      <c r="O70">
        <f>IF($B70="","",IF(M70=0,0,N70/M70))</f>
        <v/>
      </c>
    </row>
    <row r="71">
      <c r="A71">
        <f>IF($B71="","",ROW()-5)</f>
        <v/>
      </c>
      <c r="D71">
        <f>IF($B71="","",IF(C71="","",TEXT(C71,"MMM")))</f>
        <v/>
      </c>
      <c r="K71">
        <f>IF($B71="","",IF(I71=0,0,J71/I71))</f>
        <v/>
      </c>
      <c r="O71">
        <f>IF($B71="","",IF(M71=0,0,N71/M71))</f>
        <v/>
      </c>
    </row>
    <row r="72">
      <c r="A72">
        <f>IF($B72="","",ROW()-5)</f>
        <v/>
      </c>
      <c r="D72">
        <f>IF($B72="","",IF(C72="","",TEXT(C72,"MMM")))</f>
        <v/>
      </c>
      <c r="K72">
        <f>IF($B72="","",IF(I72=0,0,J72/I72))</f>
        <v/>
      </c>
      <c r="O72">
        <f>IF($B72="","",IF(M72=0,0,N72/M72))</f>
        <v/>
      </c>
    </row>
    <row r="73">
      <c r="A73">
        <f>IF($B73="","",ROW()-5)</f>
        <v/>
      </c>
      <c r="D73">
        <f>IF($B73="","",IF(C73="","",TEXT(C73,"MMM")))</f>
        <v/>
      </c>
      <c r="K73">
        <f>IF($B73="","",IF(I73=0,0,J73/I73))</f>
        <v/>
      </c>
      <c r="O73">
        <f>IF($B73="","",IF(M73=0,0,N73/M73))</f>
        <v/>
      </c>
    </row>
    <row r="74">
      <c r="A74">
        <f>IF($B74="","",ROW()-5)</f>
        <v/>
      </c>
      <c r="D74">
        <f>IF($B74="","",IF(C74="","",TEXT(C74,"MMM")))</f>
        <v/>
      </c>
      <c r="K74">
        <f>IF($B74="","",IF(I74=0,0,J74/I74))</f>
        <v/>
      </c>
      <c r="O74">
        <f>IF($B74="","",IF(M74=0,0,N74/M74))</f>
        <v/>
      </c>
    </row>
    <row r="75">
      <c r="A75">
        <f>IF($B75="","",ROW()-5)</f>
        <v/>
      </c>
      <c r="D75">
        <f>IF($B75="","",IF(C75="","",TEXT(C75,"MMM")))</f>
        <v/>
      </c>
      <c r="K75">
        <f>IF($B75="","",IF(I75=0,0,J75/I75))</f>
        <v/>
      </c>
      <c r="O75">
        <f>IF($B75="","",IF(M75=0,0,N75/M75))</f>
        <v/>
      </c>
    </row>
    <row r="76">
      <c r="A76">
        <f>IF($B76="","",ROW()-5)</f>
        <v/>
      </c>
      <c r="D76">
        <f>IF($B76="","",IF(C76="","",TEXT(C76,"MMM")))</f>
        <v/>
      </c>
      <c r="K76">
        <f>IF($B76="","",IF(I76=0,0,J76/I76))</f>
        <v/>
      </c>
      <c r="O76">
        <f>IF($B76="","",IF(M76=0,0,N76/M76))</f>
        <v/>
      </c>
    </row>
    <row r="77">
      <c r="A77">
        <f>IF($B77="","",ROW()-5)</f>
        <v/>
      </c>
      <c r="D77">
        <f>IF($B77="","",IF(C77="","",TEXT(C77,"MMM")))</f>
        <v/>
      </c>
      <c r="K77">
        <f>IF($B77="","",IF(I77=0,0,J77/I77))</f>
        <v/>
      </c>
      <c r="O77">
        <f>IF($B77="","",IF(M77=0,0,N77/M77))</f>
        <v/>
      </c>
    </row>
    <row r="78">
      <c r="A78">
        <f>IF($B78="","",ROW()-5)</f>
        <v/>
      </c>
      <c r="D78">
        <f>IF($B78="","",IF(C78="","",TEXT(C78,"MMM")))</f>
        <v/>
      </c>
      <c r="K78">
        <f>IF($B78="","",IF(I78=0,0,J78/I78))</f>
        <v/>
      </c>
      <c r="O78">
        <f>IF($B78="","",IF(M78=0,0,N78/M78))</f>
        <v/>
      </c>
    </row>
    <row r="79">
      <c r="A79">
        <f>IF($B79="","",ROW()-5)</f>
        <v/>
      </c>
      <c r="D79">
        <f>IF($B79="","",IF(C79="","",TEXT(C79,"MMM")))</f>
        <v/>
      </c>
      <c r="K79">
        <f>IF($B79="","",IF(I79=0,0,J79/I79))</f>
        <v/>
      </c>
      <c r="O79">
        <f>IF($B79="","",IF(M79=0,0,N79/M79))</f>
        <v/>
      </c>
    </row>
    <row r="80">
      <c r="A80">
        <f>IF($B80="","",ROW()-5)</f>
        <v/>
      </c>
      <c r="D80">
        <f>IF($B80="","",IF(C80="","",TEXT(C80,"MMM")))</f>
        <v/>
      </c>
      <c r="K80">
        <f>IF($B80="","",IF(I80=0,0,J80/I80))</f>
        <v/>
      </c>
      <c r="O80">
        <f>IF($B80="","",IF(M80=0,0,N80/M80))</f>
        <v/>
      </c>
    </row>
    <row r="81">
      <c r="A81">
        <f>IF($B81="","",ROW()-5)</f>
        <v/>
      </c>
      <c r="D81">
        <f>IF($B81="","",IF(C81="","",TEXT(C81,"MMM")))</f>
        <v/>
      </c>
      <c r="K81">
        <f>IF($B81="","",IF(I81=0,0,J81/I81))</f>
        <v/>
      </c>
      <c r="O81">
        <f>IF($B81="","",IF(M81=0,0,N81/M81))</f>
        <v/>
      </c>
    </row>
    <row r="82">
      <c r="A82">
        <f>IF($B82="","",ROW()-5)</f>
        <v/>
      </c>
      <c r="D82">
        <f>IF($B82="","",IF(C82="","",TEXT(C82,"MMM")))</f>
        <v/>
      </c>
      <c r="K82">
        <f>IF($B82="","",IF(I82=0,0,J82/I82))</f>
        <v/>
      </c>
      <c r="O82">
        <f>IF($B82="","",IF(M82=0,0,N82/M82))</f>
        <v/>
      </c>
    </row>
    <row r="83">
      <c r="A83">
        <f>IF($B83="","",ROW()-5)</f>
        <v/>
      </c>
      <c r="D83">
        <f>IF($B83="","",IF(C83="","",TEXT(C83,"MMM")))</f>
        <v/>
      </c>
      <c r="K83">
        <f>IF($B83="","",IF(I83=0,0,J83/I83))</f>
        <v/>
      </c>
      <c r="O83">
        <f>IF($B83="","",IF(M83=0,0,N83/M83))</f>
        <v/>
      </c>
    </row>
    <row r="84">
      <c r="A84">
        <f>IF($B84="","",ROW()-5)</f>
        <v/>
      </c>
      <c r="D84">
        <f>IF($B84="","",IF(C84="","",TEXT(C84,"MMM")))</f>
        <v/>
      </c>
      <c r="K84">
        <f>IF($B84="","",IF(I84=0,0,J84/I84))</f>
        <v/>
      </c>
      <c r="O84">
        <f>IF($B84="","",IF(M84=0,0,N84/M84))</f>
        <v/>
      </c>
    </row>
    <row r="85">
      <c r="A85">
        <f>IF($B85="","",ROW()-5)</f>
        <v/>
      </c>
      <c r="D85">
        <f>IF($B85="","",IF(C85="","",TEXT(C85,"MMM")))</f>
        <v/>
      </c>
      <c r="K85">
        <f>IF($B85="","",IF(I85=0,0,J85/I85))</f>
        <v/>
      </c>
      <c r="O85">
        <f>IF($B85="","",IF(M85=0,0,N85/M85))</f>
        <v/>
      </c>
    </row>
    <row r="86">
      <c r="A86">
        <f>IF($B86="","",ROW()-5)</f>
        <v/>
      </c>
      <c r="D86">
        <f>IF($B86="","",IF(C86="","",TEXT(C86,"MMM")))</f>
        <v/>
      </c>
      <c r="K86">
        <f>IF($B86="","",IF(I86=0,0,J86/I86))</f>
        <v/>
      </c>
      <c r="O86">
        <f>IF($B86="","",IF(M86=0,0,N86/M86))</f>
        <v/>
      </c>
    </row>
    <row r="87">
      <c r="A87">
        <f>IF($B87="","",ROW()-5)</f>
        <v/>
      </c>
      <c r="D87">
        <f>IF($B87="","",IF(C87="","",TEXT(C87,"MMM")))</f>
        <v/>
      </c>
      <c r="K87">
        <f>IF($B87="","",IF(I87=0,0,J87/I87))</f>
        <v/>
      </c>
      <c r="O87">
        <f>IF($B87="","",IF(M87=0,0,N87/M87))</f>
        <v/>
      </c>
    </row>
    <row r="88">
      <c r="A88">
        <f>IF($B88="","",ROW()-5)</f>
        <v/>
      </c>
      <c r="D88">
        <f>IF($B88="","",IF(C88="","",TEXT(C88,"MMM")))</f>
        <v/>
      </c>
      <c r="K88">
        <f>IF($B88="","",IF(I88=0,0,J88/I88))</f>
        <v/>
      </c>
      <c r="O88">
        <f>IF($B88="","",IF(M88=0,0,N88/M88))</f>
        <v/>
      </c>
    </row>
    <row r="89">
      <c r="A89">
        <f>IF($B89="","",ROW()-5)</f>
        <v/>
      </c>
      <c r="D89">
        <f>IF($B89="","",IF(C89="","",TEXT(C89,"MMM")))</f>
        <v/>
      </c>
      <c r="K89">
        <f>IF($B89="","",IF(I89=0,0,J89/I89))</f>
        <v/>
      </c>
      <c r="O89">
        <f>IF($B89="","",IF(M89=0,0,N89/M89))</f>
        <v/>
      </c>
    </row>
    <row r="90">
      <c r="A90">
        <f>IF($B90="","",ROW()-5)</f>
        <v/>
      </c>
      <c r="D90">
        <f>IF($B90="","",IF(C90="","",TEXT(C90,"MMM")))</f>
        <v/>
      </c>
      <c r="K90">
        <f>IF($B90="","",IF(I90=0,0,J90/I90))</f>
        <v/>
      </c>
      <c r="O90">
        <f>IF($B90="","",IF(M90=0,0,N90/M90))</f>
        <v/>
      </c>
    </row>
    <row r="91">
      <c r="A91">
        <f>IF($B91="","",ROW()-5)</f>
        <v/>
      </c>
      <c r="D91">
        <f>IF($B91="","",IF(C91="","",TEXT(C91,"MMM")))</f>
        <v/>
      </c>
      <c r="K91">
        <f>IF($B91="","",IF(I91=0,0,J91/I91))</f>
        <v/>
      </c>
      <c r="O91">
        <f>IF($B91="","",IF(M91=0,0,N91/M91))</f>
        <v/>
      </c>
    </row>
    <row r="92">
      <c r="A92">
        <f>IF($B92="","",ROW()-5)</f>
        <v/>
      </c>
      <c r="D92">
        <f>IF($B92="","",IF(C92="","",TEXT(C92,"MMM")))</f>
        <v/>
      </c>
      <c r="K92">
        <f>IF($B92="","",IF(I92=0,0,J92/I92))</f>
        <v/>
      </c>
      <c r="O92">
        <f>IF($B92="","",IF(M92=0,0,N92/M92))</f>
        <v/>
      </c>
    </row>
    <row r="93">
      <c r="A93">
        <f>IF($B93="","",ROW()-5)</f>
        <v/>
      </c>
      <c r="D93">
        <f>IF($B93="","",IF(C93="","",TEXT(C93,"MMM")))</f>
        <v/>
      </c>
      <c r="K93">
        <f>IF($B93="","",IF(I93=0,0,J93/I93))</f>
        <v/>
      </c>
      <c r="O93">
        <f>IF($B93="","",IF(M93=0,0,N93/M93))</f>
        <v/>
      </c>
    </row>
    <row r="94">
      <c r="A94">
        <f>IF($B94="","",ROW()-5)</f>
        <v/>
      </c>
      <c r="D94">
        <f>IF($B94="","",IF(C94="","",TEXT(C94,"MMM")))</f>
        <v/>
      </c>
      <c r="K94">
        <f>IF($B94="","",IF(I94=0,0,J94/I94))</f>
        <v/>
      </c>
      <c r="O94">
        <f>IF($B94="","",IF(M94=0,0,N94/M94))</f>
        <v/>
      </c>
    </row>
    <row r="95">
      <c r="A95">
        <f>IF($B95="","",ROW()-5)</f>
        <v/>
      </c>
      <c r="D95">
        <f>IF($B95="","",IF(C95="","",TEXT(C95,"MMM")))</f>
        <v/>
      </c>
      <c r="K95">
        <f>IF($B95="","",IF(I95=0,0,J95/I95))</f>
        <v/>
      </c>
      <c r="O95">
        <f>IF($B95="","",IF(M95=0,0,N95/M95))</f>
        <v/>
      </c>
    </row>
    <row r="96">
      <c r="A96">
        <f>IF($B96="","",ROW()-5)</f>
        <v/>
      </c>
      <c r="D96">
        <f>IF($B96="","",IF(C96="","",TEXT(C96,"MMM")))</f>
        <v/>
      </c>
      <c r="K96">
        <f>IF($B96="","",IF(I96=0,0,J96/I96))</f>
        <v/>
      </c>
      <c r="O96">
        <f>IF($B96="","",IF(M96=0,0,N96/M96))</f>
        <v/>
      </c>
    </row>
    <row r="97">
      <c r="A97">
        <f>IF($B97="","",ROW()-5)</f>
        <v/>
      </c>
      <c r="D97">
        <f>IF($B97="","",IF(C97="","",TEXT(C97,"MMM")))</f>
        <v/>
      </c>
      <c r="K97">
        <f>IF($B97="","",IF(I97=0,0,J97/I97))</f>
        <v/>
      </c>
      <c r="O97">
        <f>IF($B97="","",IF(M97=0,0,N97/M97))</f>
        <v/>
      </c>
    </row>
    <row r="98">
      <c r="A98">
        <f>IF($B98="","",ROW()-5)</f>
        <v/>
      </c>
      <c r="D98">
        <f>IF($B98="","",IF(C98="","",TEXT(C98,"MMM")))</f>
        <v/>
      </c>
      <c r="K98">
        <f>IF($B98="","",IF(I98=0,0,J98/I98))</f>
        <v/>
      </c>
      <c r="O98">
        <f>IF($B98="","",IF(M98=0,0,N98/M98))</f>
        <v/>
      </c>
    </row>
    <row r="99">
      <c r="A99">
        <f>IF($B99="","",ROW()-5)</f>
        <v/>
      </c>
      <c r="D99">
        <f>IF($B99="","",IF(C99="","",TEXT(C99,"MMM")))</f>
        <v/>
      </c>
      <c r="K99">
        <f>IF($B99="","",IF(I99=0,0,J99/I99))</f>
        <v/>
      </c>
      <c r="O99">
        <f>IF($B99="","",IF(M99=0,0,N99/M99))</f>
        <v/>
      </c>
    </row>
    <row r="100">
      <c r="A100">
        <f>IF($B100="","",ROW()-5)</f>
        <v/>
      </c>
      <c r="D100">
        <f>IF($B100="","",IF(C100="","",TEXT(C100,"MMM")))</f>
        <v/>
      </c>
      <c r="K100">
        <f>IF($B100="","",IF(I100=0,0,J100/I100))</f>
        <v/>
      </c>
      <c r="O100">
        <f>IF($B100="","",IF(M100=0,0,N100/M100))</f>
        <v/>
      </c>
    </row>
    <row r="101">
      <c r="A101">
        <f>IF($B101="","",ROW()-5)</f>
        <v/>
      </c>
      <c r="D101">
        <f>IF($B101="","",IF(C101="","",TEXT(C101,"MMM")))</f>
        <v/>
      </c>
      <c r="K101">
        <f>IF($B101="","",IF(I101=0,0,J101/I101))</f>
        <v/>
      </c>
      <c r="O101">
        <f>IF($B101="","",IF(M101=0,0,N101/M101))</f>
        <v/>
      </c>
    </row>
    <row r="102">
      <c r="A102">
        <f>IF($B102="","",ROW()-5)</f>
        <v/>
      </c>
      <c r="D102">
        <f>IF($B102="","",IF(C102="","",TEXT(C102,"MMM")))</f>
        <v/>
      </c>
      <c r="K102">
        <f>IF($B102="","",IF(I102=0,0,J102/I102))</f>
        <v/>
      </c>
      <c r="O102">
        <f>IF($B102="","",IF(M102=0,0,N102/M102))</f>
        <v/>
      </c>
    </row>
    <row r="103">
      <c r="A103">
        <f>IF($B103="","",ROW()-5)</f>
        <v/>
      </c>
      <c r="D103">
        <f>IF($B103="","",IF(C103="","",TEXT(C103,"MMM")))</f>
        <v/>
      </c>
      <c r="K103">
        <f>IF($B103="","",IF(I103=0,0,J103/I103))</f>
        <v/>
      </c>
      <c r="O103">
        <f>IF($B103="","",IF(M103=0,0,N103/M103))</f>
        <v/>
      </c>
    </row>
    <row r="104">
      <c r="A104">
        <f>IF($B104="","",ROW()-5)</f>
        <v/>
      </c>
      <c r="D104">
        <f>IF($B104="","",IF(C104="","",TEXT(C104,"MMM")))</f>
        <v/>
      </c>
      <c r="K104">
        <f>IF($B104="","",IF(I104=0,0,J104/I104))</f>
        <v/>
      </c>
      <c r="O104">
        <f>IF($B104="","",IF(M104=0,0,N104/M104))</f>
        <v/>
      </c>
    </row>
    <row r="105">
      <c r="A105">
        <f>IF($B105="","",ROW()-5)</f>
        <v/>
      </c>
      <c r="D105">
        <f>IF($B105="","",IF(C105="","",TEXT(C105,"MMM")))</f>
        <v/>
      </c>
      <c r="K105">
        <f>IF($B105="","",IF(I105=0,0,J105/I105))</f>
        <v/>
      </c>
      <c r="O105">
        <f>IF($B105="","",IF(M105=0,0,N105/M105))</f>
        <v/>
      </c>
    </row>
    <row r="106">
      <c r="A106">
        <f>IF($B106="","",ROW()-5)</f>
        <v/>
      </c>
      <c r="D106">
        <f>IF($B106="","",IF(C106="","",TEXT(C106,"MMM")))</f>
        <v/>
      </c>
      <c r="K106">
        <f>IF($B106="","",IF(I106=0,0,J106/I106))</f>
        <v/>
      </c>
      <c r="O106">
        <f>IF($B106="","",IF(M106=0,0,N106/M106))</f>
        <v/>
      </c>
    </row>
    <row r="107">
      <c r="A107">
        <f>IF($B107="","",ROW()-5)</f>
        <v/>
      </c>
      <c r="D107">
        <f>IF($B107="","",IF(C107="","",TEXT(C107,"MMM")))</f>
        <v/>
      </c>
      <c r="K107">
        <f>IF($B107="","",IF(I107=0,0,J107/I107))</f>
        <v/>
      </c>
      <c r="O107">
        <f>IF($B107="","",IF(M107=0,0,N107/M107))</f>
        <v/>
      </c>
    </row>
    <row r="108">
      <c r="A108">
        <f>IF($B108="","",ROW()-5)</f>
        <v/>
      </c>
      <c r="D108">
        <f>IF($B108="","",IF(C108="","",TEXT(C108,"MMM")))</f>
        <v/>
      </c>
      <c r="K108">
        <f>IF($B108="","",IF(I108=0,0,J108/I108))</f>
        <v/>
      </c>
      <c r="O108">
        <f>IF($B108="","",IF(M108=0,0,N108/M108))</f>
        <v/>
      </c>
    </row>
    <row r="109">
      <c r="A109">
        <f>IF($B109="","",ROW()-5)</f>
        <v/>
      </c>
      <c r="D109">
        <f>IF($B109="","",IF(C109="","",TEXT(C109,"MMM")))</f>
        <v/>
      </c>
      <c r="K109">
        <f>IF($B109="","",IF(I109=0,0,J109/I109))</f>
        <v/>
      </c>
      <c r="O109">
        <f>IF($B109="","",IF(M109=0,0,N109/M109))</f>
        <v/>
      </c>
    </row>
    <row r="110">
      <c r="A110">
        <f>IF($B110="","",ROW()-5)</f>
        <v/>
      </c>
      <c r="D110">
        <f>IF($B110="","",IF(C110="","",TEXT(C110,"MMM")))</f>
        <v/>
      </c>
      <c r="K110">
        <f>IF($B110="","",IF(I110=0,0,J110/I110))</f>
        <v/>
      </c>
      <c r="O110">
        <f>IF($B110="","",IF(M110=0,0,N110/M110))</f>
        <v/>
      </c>
    </row>
    <row r="111">
      <c r="A111">
        <f>IF($B111="","",ROW()-5)</f>
        <v/>
      </c>
      <c r="D111">
        <f>IF($B111="","",IF(C111="","",TEXT(C111,"MMM")))</f>
        <v/>
      </c>
      <c r="K111">
        <f>IF($B111="","",IF(I111=0,0,J111/I111))</f>
        <v/>
      </c>
      <c r="O111">
        <f>IF($B111="","",IF(M111=0,0,N111/M111))</f>
        <v/>
      </c>
    </row>
    <row r="112">
      <c r="A112">
        <f>IF($B112="","",ROW()-5)</f>
        <v/>
      </c>
      <c r="D112">
        <f>IF($B112="","",IF(C112="","",TEXT(C112,"MMM")))</f>
        <v/>
      </c>
      <c r="K112">
        <f>IF($B112="","",IF(I112=0,0,J112/I112))</f>
        <v/>
      </c>
      <c r="O112">
        <f>IF($B112="","",IF(M112=0,0,N112/M112))</f>
        <v/>
      </c>
    </row>
    <row r="113">
      <c r="A113">
        <f>IF($B113="","",ROW()-5)</f>
        <v/>
      </c>
      <c r="D113">
        <f>IF($B113="","",IF(C113="","",TEXT(C113,"MMM")))</f>
        <v/>
      </c>
      <c r="K113">
        <f>IF($B113="","",IF(I113=0,0,J113/I113))</f>
        <v/>
      </c>
      <c r="O113">
        <f>IF($B113="","",IF(M113=0,0,N113/M113))</f>
        <v/>
      </c>
    </row>
    <row r="114">
      <c r="A114">
        <f>IF($B114="","",ROW()-5)</f>
        <v/>
      </c>
      <c r="D114">
        <f>IF($B114="","",IF(C114="","",TEXT(C114,"MMM")))</f>
        <v/>
      </c>
      <c r="K114">
        <f>IF($B114="","",IF(I114=0,0,J114/I114))</f>
        <v/>
      </c>
      <c r="O114">
        <f>IF($B114="","",IF(M114=0,0,N114/M114))</f>
        <v/>
      </c>
    </row>
    <row r="115">
      <c r="A115">
        <f>IF($B115="","",ROW()-5)</f>
        <v/>
      </c>
      <c r="D115">
        <f>IF($B115="","",IF(C115="","",TEXT(C115,"MMM")))</f>
        <v/>
      </c>
      <c r="K115">
        <f>IF($B115="","",IF(I115=0,0,J115/I115))</f>
        <v/>
      </c>
      <c r="O115">
        <f>IF($B115="","",IF(M115=0,0,N115/M115))</f>
        <v/>
      </c>
    </row>
    <row r="116">
      <c r="A116">
        <f>IF($B116="","",ROW()-5)</f>
        <v/>
      </c>
      <c r="D116">
        <f>IF($B116="","",IF(C116="","",TEXT(C116,"MMM")))</f>
        <v/>
      </c>
      <c r="K116">
        <f>IF($B116="","",IF(I116=0,0,J116/I116))</f>
        <v/>
      </c>
      <c r="O116">
        <f>IF($B116="","",IF(M116=0,0,N116/M116))</f>
        <v/>
      </c>
    </row>
    <row r="117">
      <c r="A117">
        <f>IF($B117="","",ROW()-5)</f>
        <v/>
      </c>
      <c r="D117">
        <f>IF($B117="","",IF(C117="","",TEXT(C117,"MMM")))</f>
        <v/>
      </c>
      <c r="K117">
        <f>IF($B117="","",IF(I117=0,0,J117/I117))</f>
        <v/>
      </c>
      <c r="O117">
        <f>IF($B117="","",IF(M117=0,0,N117/M117))</f>
        <v/>
      </c>
    </row>
    <row r="118">
      <c r="A118">
        <f>IF($B118="","",ROW()-5)</f>
        <v/>
      </c>
      <c r="D118">
        <f>IF($B118="","",IF(C118="","",TEXT(C118,"MMM")))</f>
        <v/>
      </c>
      <c r="K118">
        <f>IF($B118="","",IF(I118=0,0,J118/I118))</f>
        <v/>
      </c>
      <c r="O118">
        <f>IF($B118="","",IF(M118=0,0,N118/M118))</f>
        <v/>
      </c>
    </row>
    <row r="119">
      <c r="A119">
        <f>IF($B119="","",ROW()-5)</f>
        <v/>
      </c>
      <c r="D119">
        <f>IF($B119="","",IF(C119="","",TEXT(C119,"MMM")))</f>
        <v/>
      </c>
      <c r="K119">
        <f>IF($B119="","",IF(I119=0,0,J119/I119))</f>
        <v/>
      </c>
      <c r="O119">
        <f>IF($B119="","",IF(M119=0,0,N119/M119))</f>
        <v/>
      </c>
    </row>
    <row r="120">
      <c r="A120">
        <f>IF($B120="","",ROW()-5)</f>
        <v/>
      </c>
      <c r="D120">
        <f>IF($B120="","",IF(C120="","",TEXT(C120,"MMM")))</f>
        <v/>
      </c>
      <c r="K120">
        <f>IF($B120="","",IF(I120=0,0,J120/I120))</f>
        <v/>
      </c>
      <c r="O120">
        <f>IF($B120="","",IF(M120=0,0,N120/M120))</f>
        <v/>
      </c>
    </row>
    <row r="121">
      <c r="A121">
        <f>IF($B121="","",ROW()-5)</f>
        <v/>
      </c>
      <c r="D121">
        <f>IF($B121="","",IF(C121="","",TEXT(C121,"MMM")))</f>
        <v/>
      </c>
      <c r="K121">
        <f>IF($B121="","",IF(I121=0,0,J121/I121))</f>
        <v/>
      </c>
      <c r="O121">
        <f>IF($B121="","",IF(M121=0,0,N121/M121))</f>
        <v/>
      </c>
    </row>
    <row r="122">
      <c r="A122">
        <f>IF($B122="","",ROW()-5)</f>
        <v/>
      </c>
      <c r="D122">
        <f>IF($B122="","",IF(C122="","",TEXT(C122,"MMM")))</f>
        <v/>
      </c>
      <c r="K122">
        <f>IF($B122="","",IF(I122=0,0,J122/I122))</f>
        <v/>
      </c>
      <c r="O122">
        <f>IF($B122="","",IF(M122=0,0,N122/M122))</f>
        <v/>
      </c>
    </row>
    <row r="123">
      <c r="A123">
        <f>IF($B123="","",ROW()-5)</f>
        <v/>
      </c>
      <c r="D123">
        <f>IF($B123="","",IF(C123="","",TEXT(C123,"MMM")))</f>
        <v/>
      </c>
      <c r="K123">
        <f>IF($B123="","",IF(I123=0,0,J123/I123))</f>
        <v/>
      </c>
      <c r="O123">
        <f>IF($B123="","",IF(M123=0,0,N123/M123))</f>
        <v/>
      </c>
    </row>
    <row r="124">
      <c r="A124">
        <f>IF($B124="","",ROW()-5)</f>
        <v/>
      </c>
      <c r="D124">
        <f>IF($B124="","",IF(C124="","",TEXT(C124,"MMM")))</f>
        <v/>
      </c>
      <c r="K124">
        <f>IF($B124="","",IF(I124=0,0,J124/I124))</f>
        <v/>
      </c>
      <c r="O124">
        <f>IF($B124="","",IF(M124=0,0,N124/M124))</f>
        <v/>
      </c>
    </row>
    <row r="125">
      <c r="A125">
        <f>IF($B125="","",ROW()-5)</f>
        <v/>
      </c>
      <c r="D125">
        <f>IF($B125="","",IF(C125="","",TEXT(C125,"MMM")))</f>
        <v/>
      </c>
      <c r="K125">
        <f>IF($B125="","",IF(I125=0,0,J125/I125))</f>
        <v/>
      </c>
      <c r="O125">
        <f>IF($B125="","",IF(M125=0,0,N125/M125))</f>
        <v/>
      </c>
    </row>
    <row r="126">
      <c r="A126">
        <f>IF($B126="","",ROW()-5)</f>
        <v/>
      </c>
      <c r="D126">
        <f>IF($B126="","",IF(C126="","",TEXT(C126,"MMM")))</f>
        <v/>
      </c>
      <c r="K126">
        <f>IF($B126="","",IF(I126=0,0,J126/I126))</f>
        <v/>
      </c>
      <c r="O126">
        <f>IF($B126="","",IF(M126=0,0,N126/M126))</f>
        <v/>
      </c>
    </row>
    <row r="127">
      <c r="A127">
        <f>IF($B127="","",ROW()-5)</f>
        <v/>
      </c>
      <c r="D127">
        <f>IF($B127="","",IF(C127="","",TEXT(C127,"MMM")))</f>
        <v/>
      </c>
      <c r="K127">
        <f>IF($B127="","",IF(I127=0,0,J127/I127))</f>
        <v/>
      </c>
      <c r="O127">
        <f>IF($B127="","",IF(M127=0,0,N127/M127))</f>
        <v/>
      </c>
    </row>
    <row r="128">
      <c r="A128">
        <f>IF($B128="","",ROW()-5)</f>
        <v/>
      </c>
      <c r="D128">
        <f>IF($B128="","",IF(C128="","",TEXT(C128,"MMM")))</f>
        <v/>
      </c>
      <c r="K128">
        <f>IF($B128="","",IF(I128=0,0,J128/I128))</f>
        <v/>
      </c>
      <c r="O128">
        <f>IF($B128="","",IF(M128=0,0,N128/M128))</f>
        <v/>
      </c>
    </row>
    <row r="129">
      <c r="A129">
        <f>IF($B129="","",ROW()-5)</f>
        <v/>
      </c>
      <c r="D129">
        <f>IF($B129="","",IF(C129="","",TEXT(C129,"MMM")))</f>
        <v/>
      </c>
      <c r="K129">
        <f>IF($B129="","",IF(I129=0,0,J129/I129))</f>
        <v/>
      </c>
      <c r="O129">
        <f>IF($B129="","",IF(M129=0,0,N129/M129))</f>
        <v/>
      </c>
    </row>
    <row r="130">
      <c r="A130">
        <f>IF($B130="","",ROW()-5)</f>
        <v/>
      </c>
      <c r="D130">
        <f>IF($B130="","",IF(C130="","",TEXT(C130,"MMM")))</f>
        <v/>
      </c>
      <c r="K130">
        <f>IF($B130="","",IF(I130=0,0,J130/I130))</f>
        <v/>
      </c>
      <c r="O130">
        <f>IF($B130="","",IF(M130=0,0,N130/M130))</f>
        <v/>
      </c>
    </row>
    <row r="131">
      <c r="A131">
        <f>IF($B131="","",ROW()-5)</f>
        <v/>
      </c>
      <c r="D131">
        <f>IF($B131="","",IF(C131="","",TEXT(C131,"MMM")))</f>
        <v/>
      </c>
      <c r="K131">
        <f>IF($B131="","",IF(I131=0,0,J131/I131))</f>
        <v/>
      </c>
      <c r="O131">
        <f>IF($B131="","",IF(M131=0,0,N131/M131))</f>
        <v/>
      </c>
    </row>
    <row r="132">
      <c r="A132">
        <f>IF($B132="","",ROW()-5)</f>
        <v/>
      </c>
      <c r="D132">
        <f>IF($B132="","",IF(C132="","",TEXT(C132,"MMM")))</f>
        <v/>
      </c>
      <c r="K132">
        <f>IF($B132="","",IF(I132=0,0,J132/I132))</f>
        <v/>
      </c>
      <c r="O132">
        <f>IF($B132="","",IF(M132=0,0,N132/M132))</f>
        <v/>
      </c>
    </row>
    <row r="133">
      <c r="A133">
        <f>IF($B133="","",ROW()-5)</f>
        <v/>
      </c>
      <c r="D133">
        <f>IF($B133="","",IF(C133="","",TEXT(C133,"MMM")))</f>
        <v/>
      </c>
      <c r="K133">
        <f>IF($B133="","",IF(I133=0,0,J133/I133))</f>
        <v/>
      </c>
      <c r="O133">
        <f>IF($B133="","",IF(M133=0,0,N133/M133))</f>
        <v/>
      </c>
    </row>
    <row r="134">
      <c r="A134">
        <f>IF($B134="","",ROW()-5)</f>
        <v/>
      </c>
      <c r="D134">
        <f>IF($B134="","",IF(C134="","",TEXT(C134,"MMM")))</f>
        <v/>
      </c>
      <c r="K134">
        <f>IF($B134="","",IF(I134=0,0,J134/I134))</f>
        <v/>
      </c>
      <c r="O134">
        <f>IF($B134="","",IF(M134=0,0,N134/M134))</f>
        <v/>
      </c>
    </row>
    <row r="135">
      <c r="A135">
        <f>IF($B135="","",ROW()-5)</f>
        <v/>
      </c>
      <c r="D135">
        <f>IF($B135="","",IF(C135="","",TEXT(C135,"MMM")))</f>
        <v/>
      </c>
      <c r="K135">
        <f>IF($B135="","",IF(I135=0,0,J135/I135))</f>
        <v/>
      </c>
      <c r="O135">
        <f>IF($B135="","",IF(M135=0,0,N135/M135))</f>
        <v/>
      </c>
    </row>
    <row r="136">
      <c r="A136">
        <f>IF($B136="","",ROW()-5)</f>
        <v/>
      </c>
      <c r="D136">
        <f>IF($B136="","",IF(C136="","",TEXT(C136,"MMM")))</f>
        <v/>
      </c>
      <c r="K136">
        <f>IF($B136="","",IF(I136=0,0,J136/I136))</f>
        <v/>
      </c>
      <c r="O136">
        <f>IF($B136="","",IF(M136=0,0,N136/M136))</f>
        <v/>
      </c>
    </row>
    <row r="137">
      <c r="A137">
        <f>IF($B137="","",ROW()-5)</f>
        <v/>
      </c>
      <c r="D137">
        <f>IF($B137="","",IF(C137="","",TEXT(C137,"MMM")))</f>
        <v/>
      </c>
      <c r="K137">
        <f>IF($B137="","",IF(I137=0,0,J137/I137))</f>
        <v/>
      </c>
      <c r="O137">
        <f>IF($B137="","",IF(M137=0,0,N137/M137))</f>
        <v/>
      </c>
    </row>
    <row r="138">
      <c r="A138">
        <f>IF($B138="","",ROW()-5)</f>
        <v/>
      </c>
      <c r="D138">
        <f>IF($B138="","",IF(C138="","",TEXT(C138,"MMM")))</f>
        <v/>
      </c>
      <c r="K138">
        <f>IF($B138="","",IF(I138=0,0,J138/I138))</f>
        <v/>
      </c>
      <c r="O138">
        <f>IF($B138="","",IF(M138=0,0,N138/M138))</f>
        <v/>
      </c>
    </row>
    <row r="139">
      <c r="A139">
        <f>IF($B139="","",ROW()-5)</f>
        <v/>
      </c>
      <c r="D139">
        <f>IF($B139="","",IF(C139="","",TEXT(C139,"MMM")))</f>
        <v/>
      </c>
      <c r="K139">
        <f>IF($B139="","",IF(I139=0,0,J139/I139))</f>
        <v/>
      </c>
      <c r="O139">
        <f>IF($B139="","",IF(M139=0,0,N139/M139))</f>
        <v/>
      </c>
    </row>
    <row r="140">
      <c r="A140">
        <f>IF($B140="","",ROW()-5)</f>
        <v/>
      </c>
      <c r="D140">
        <f>IF($B140="","",IF(C140="","",TEXT(C140,"MMM")))</f>
        <v/>
      </c>
      <c r="K140">
        <f>IF($B140="","",IF(I140=0,0,J140/I140))</f>
        <v/>
      </c>
      <c r="O140">
        <f>IF($B140="","",IF(M140=0,0,N140/M140))</f>
        <v/>
      </c>
    </row>
    <row r="141">
      <c r="A141">
        <f>IF($B141="","",ROW()-5)</f>
        <v/>
      </c>
      <c r="D141">
        <f>IF($B141="","",IF(C141="","",TEXT(C141,"MMM")))</f>
        <v/>
      </c>
      <c r="K141">
        <f>IF($B141="","",IF(I141=0,0,J141/I141))</f>
        <v/>
      </c>
      <c r="O141">
        <f>IF($B141="","",IF(M141=0,0,N141/M141))</f>
        <v/>
      </c>
    </row>
    <row r="142">
      <c r="A142">
        <f>IF($B142="","",ROW()-5)</f>
        <v/>
      </c>
      <c r="D142">
        <f>IF($B142="","",IF(C142="","",TEXT(C142,"MMM")))</f>
        <v/>
      </c>
      <c r="K142">
        <f>IF($B142="","",IF(I142=0,0,J142/I142))</f>
        <v/>
      </c>
      <c r="O142">
        <f>IF($B142="","",IF(M142=0,0,N142/M142))</f>
        <v/>
      </c>
    </row>
    <row r="143">
      <c r="A143">
        <f>IF($B143="","",ROW()-5)</f>
        <v/>
      </c>
      <c r="D143">
        <f>IF($B143="","",IF(C143="","",TEXT(C143,"MMM")))</f>
        <v/>
      </c>
      <c r="K143">
        <f>IF($B143="","",IF(I143=0,0,J143/I143))</f>
        <v/>
      </c>
      <c r="O143">
        <f>IF($B143="","",IF(M143=0,0,N143/M143))</f>
        <v/>
      </c>
    </row>
    <row r="144">
      <c r="A144">
        <f>IF($B144="","",ROW()-5)</f>
        <v/>
      </c>
      <c r="D144">
        <f>IF($B144="","",IF(C144="","",TEXT(C144,"MMM")))</f>
        <v/>
      </c>
      <c r="K144">
        <f>IF($B144="","",IF(I144=0,0,J144/I144))</f>
        <v/>
      </c>
      <c r="O144">
        <f>IF($B144="","",IF(M144=0,0,N144/M144))</f>
        <v/>
      </c>
    </row>
    <row r="145">
      <c r="A145">
        <f>IF($B145="","",ROW()-5)</f>
        <v/>
      </c>
      <c r="D145">
        <f>IF($B145="","",IF(C145="","",TEXT(C145,"MMM")))</f>
        <v/>
      </c>
      <c r="K145">
        <f>IF($B145="","",IF(I145=0,0,J145/I145))</f>
        <v/>
      </c>
      <c r="O145">
        <f>IF($B145="","",IF(M145=0,0,N145/M145))</f>
        <v/>
      </c>
    </row>
    <row r="146">
      <c r="A146">
        <f>IF($B146="","",ROW()-5)</f>
        <v/>
      </c>
      <c r="D146">
        <f>IF($B146="","",IF(C146="","",TEXT(C146,"MMM")))</f>
        <v/>
      </c>
      <c r="K146">
        <f>IF($B146="","",IF(I146=0,0,J146/I146))</f>
        <v/>
      </c>
      <c r="O146">
        <f>IF($B146="","",IF(M146=0,0,N146/M146))</f>
        <v/>
      </c>
    </row>
    <row r="147">
      <c r="A147">
        <f>IF($B147="","",ROW()-5)</f>
        <v/>
      </c>
      <c r="D147">
        <f>IF($B147="","",IF(C147="","",TEXT(C147,"MMM")))</f>
        <v/>
      </c>
      <c r="K147">
        <f>IF($B147="","",IF(I147=0,0,J147/I147))</f>
        <v/>
      </c>
      <c r="O147">
        <f>IF($B147="","",IF(M147=0,0,N147/M147))</f>
        <v/>
      </c>
    </row>
    <row r="148">
      <c r="A148">
        <f>IF($B148="","",ROW()-5)</f>
        <v/>
      </c>
      <c r="D148">
        <f>IF($B148="","",IF(C148="","",TEXT(C148,"MMM")))</f>
        <v/>
      </c>
      <c r="K148">
        <f>IF($B148="","",IF(I148=0,0,J148/I148))</f>
        <v/>
      </c>
      <c r="O148">
        <f>IF($B148="","",IF(M148=0,0,N148/M148))</f>
        <v/>
      </c>
    </row>
    <row r="149">
      <c r="A149">
        <f>IF($B149="","",ROW()-5)</f>
        <v/>
      </c>
      <c r="D149">
        <f>IF($B149="","",IF(C149="","",TEXT(C149,"MMM")))</f>
        <v/>
      </c>
      <c r="K149">
        <f>IF($B149="","",IF(I149=0,0,J149/I149))</f>
        <v/>
      </c>
      <c r="O149">
        <f>IF($B149="","",IF(M149=0,0,N149/M149))</f>
        <v/>
      </c>
    </row>
    <row r="150">
      <c r="A150">
        <f>IF($B150="","",ROW()-5)</f>
        <v/>
      </c>
      <c r="D150">
        <f>IF($B150="","",IF(C150="","",TEXT(C150,"MMM")))</f>
        <v/>
      </c>
      <c r="K150">
        <f>IF($B150="","",IF(I150=0,0,J150/I150))</f>
        <v/>
      </c>
      <c r="O150">
        <f>IF($B150="","",IF(M150=0,0,N150/M150))</f>
        <v/>
      </c>
    </row>
    <row r="151">
      <c r="A151">
        <f>IF($B151="","",ROW()-5)</f>
        <v/>
      </c>
      <c r="D151">
        <f>IF($B151="","",IF(C151="","",TEXT(C151,"MMM")))</f>
        <v/>
      </c>
      <c r="K151">
        <f>IF($B151="","",IF(I151=0,0,J151/I151))</f>
        <v/>
      </c>
      <c r="O151">
        <f>IF($B151="","",IF(M151=0,0,N151/M151))</f>
        <v/>
      </c>
    </row>
    <row r="152">
      <c r="A152">
        <f>IF($B152="","",ROW()-5)</f>
        <v/>
      </c>
      <c r="D152">
        <f>IF($B152="","",IF(C152="","",TEXT(C152,"MMM")))</f>
        <v/>
      </c>
      <c r="K152">
        <f>IF($B152="","",IF(I152=0,0,J152/I152))</f>
        <v/>
      </c>
      <c r="O152">
        <f>IF($B152="","",IF(M152=0,0,N152/M152))</f>
        <v/>
      </c>
    </row>
    <row r="153">
      <c r="A153">
        <f>IF($B153="","",ROW()-5)</f>
        <v/>
      </c>
      <c r="D153">
        <f>IF($B153="","",IF(C153="","",TEXT(C153,"MMM")))</f>
        <v/>
      </c>
      <c r="K153">
        <f>IF($B153="","",IF(I153=0,0,J153/I153))</f>
        <v/>
      </c>
      <c r="O153">
        <f>IF($B153="","",IF(M153=0,0,N153/M153))</f>
        <v/>
      </c>
    </row>
    <row r="154">
      <c r="A154">
        <f>IF($B154="","",ROW()-5)</f>
        <v/>
      </c>
      <c r="D154">
        <f>IF($B154="","",IF(C154="","",TEXT(C154,"MMM")))</f>
        <v/>
      </c>
      <c r="K154">
        <f>IF($B154="","",IF(I154=0,0,J154/I154))</f>
        <v/>
      </c>
      <c r="O154">
        <f>IF($B154="","",IF(M154=0,0,N154/M154))</f>
        <v/>
      </c>
    </row>
    <row r="155">
      <c r="A155">
        <f>IF($B155="","",ROW()-5)</f>
        <v/>
      </c>
      <c r="D155">
        <f>IF($B155="","",IF(C155="","",TEXT(C155,"MMM")))</f>
        <v/>
      </c>
      <c r="K155">
        <f>IF($B155="","",IF(I155=0,0,J155/I155))</f>
        <v/>
      </c>
      <c r="O155">
        <f>IF($B155="","",IF(M155=0,0,N155/M155))</f>
        <v/>
      </c>
    </row>
    <row r="156">
      <c r="A156">
        <f>IF($B156="","",ROW()-5)</f>
        <v/>
      </c>
      <c r="D156">
        <f>IF($B156="","",IF(C156="","",TEXT(C156,"MMM")))</f>
        <v/>
      </c>
      <c r="K156">
        <f>IF($B156="","",IF(I156=0,0,J156/I156))</f>
        <v/>
      </c>
      <c r="O156">
        <f>IF($B156="","",IF(M156=0,0,N156/M156))</f>
        <v/>
      </c>
    </row>
    <row r="157">
      <c r="A157">
        <f>IF($B157="","",ROW()-5)</f>
        <v/>
      </c>
      <c r="D157">
        <f>IF($B157="","",IF(C157="","",TEXT(C157,"MMM")))</f>
        <v/>
      </c>
      <c r="K157">
        <f>IF($B157="","",IF(I157=0,0,J157/I157))</f>
        <v/>
      </c>
      <c r="O157">
        <f>IF($B157="","",IF(M157=0,0,N157/M157))</f>
        <v/>
      </c>
    </row>
    <row r="158">
      <c r="A158">
        <f>IF($B158="","",ROW()-5)</f>
        <v/>
      </c>
      <c r="D158">
        <f>IF($B158="","",IF(C158="","",TEXT(C158,"MMM")))</f>
        <v/>
      </c>
      <c r="K158">
        <f>IF($B158="","",IF(I158=0,0,J158/I158))</f>
        <v/>
      </c>
      <c r="O158">
        <f>IF($B158="","",IF(M158=0,0,N158/M158))</f>
        <v/>
      </c>
    </row>
    <row r="159">
      <c r="A159">
        <f>IF($B159="","",ROW()-5)</f>
        <v/>
      </c>
      <c r="D159">
        <f>IF($B159="","",IF(C159="","",TEXT(C159,"MMM")))</f>
        <v/>
      </c>
      <c r="K159">
        <f>IF($B159="","",IF(I159=0,0,J159/I159))</f>
        <v/>
      </c>
      <c r="O159">
        <f>IF($B159="","",IF(M159=0,0,N159/M159))</f>
        <v/>
      </c>
    </row>
    <row r="160">
      <c r="A160">
        <f>IF($B160="","",ROW()-5)</f>
        <v/>
      </c>
      <c r="D160">
        <f>IF($B160="","",IF(C160="","",TEXT(C160,"MMM")))</f>
        <v/>
      </c>
      <c r="K160">
        <f>IF($B160="","",IF(I160=0,0,J160/I160))</f>
        <v/>
      </c>
      <c r="O160">
        <f>IF($B160="","",IF(M160=0,0,N160/M160))</f>
        <v/>
      </c>
    </row>
    <row r="161">
      <c r="A161">
        <f>IF($B161="","",ROW()-5)</f>
        <v/>
      </c>
      <c r="D161">
        <f>IF($B161="","",IF(C161="","",TEXT(C161,"MMM")))</f>
        <v/>
      </c>
      <c r="K161">
        <f>IF($B161="","",IF(I161=0,0,J161/I161))</f>
        <v/>
      </c>
      <c r="O161">
        <f>IF($B161="","",IF(M161=0,0,N161/M161))</f>
        <v/>
      </c>
    </row>
    <row r="162">
      <c r="A162">
        <f>IF($B162="","",ROW()-5)</f>
        <v/>
      </c>
      <c r="D162">
        <f>IF($B162="","",IF(C162="","",TEXT(C162,"MMM")))</f>
        <v/>
      </c>
      <c r="K162">
        <f>IF($B162="","",IF(I162=0,0,J162/I162))</f>
        <v/>
      </c>
      <c r="O162">
        <f>IF($B162="","",IF(M162=0,0,N162/M162))</f>
        <v/>
      </c>
    </row>
    <row r="163">
      <c r="A163">
        <f>IF($B163="","",ROW()-5)</f>
        <v/>
      </c>
      <c r="D163">
        <f>IF($B163="","",IF(C163="","",TEXT(C163,"MMM")))</f>
        <v/>
      </c>
      <c r="K163">
        <f>IF($B163="","",IF(I163=0,0,J163/I163))</f>
        <v/>
      </c>
      <c r="O163">
        <f>IF($B163="","",IF(M163=0,0,N163/M163))</f>
        <v/>
      </c>
    </row>
    <row r="164">
      <c r="A164">
        <f>IF($B164="","",ROW()-5)</f>
        <v/>
      </c>
      <c r="D164">
        <f>IF($B164="","",IF(C164="","",TEXT(C164,"MMM")))</f>
        <v/>
      </c>
      <c r="K164">
        <f>IF($B164="","",IF(I164=0,0,J164/I164))</f>
        <v/>
      </c>
      <c r="O164">
        <f>IF($B164="","",IF(M164=0,0,N164/M164))</f>
        <v/>
      </c>
    </row>
    <row r="165">
      <c r="A165">
        <f>IF($B165="","",ROW()-5)</f>
        <v/>
      </c>
      <c r="D165">
        <f>IF($B165="","",IF(C165="","",TEXT(C165,"MMM")))</f>
        <v/>
      </c>
      <c r="K165">
        <f>IF($B165="","",IF(I165=0,0,J165/I165))</f>
        <v/>
      </c>
      <c r="O165">
        <f>IF($B165="","",IF(M165=0,0,N165/M165))</f>
        <v/>
      </c>
    </row>
    <row r="166">
      <c r="A166">
        <f>IF($B166="","",ROW()-5)</f>
        <v/>
      </c>
      <c r="D166">
        <f>IF($B166="","",IF(C166="","",TEXT(C166,"MMM")))</f>
        <v/>
      </c>
      <c r="K166">
        <f>IF($B166="","",IF(I166=0,0,J166/I166))</f>
        <v/>
      </c>
      <c r="O166">
        <f>IF($B166="","",IF(M166=0,0,N166/M166))</f>
        <v/>
      </c>
    </row>
    <row r="167">
      <c r="A167">
        <f>IF($B167="","",ROW()-5)</f>
        <v/>
      </c>
      <c r="D167">
        <f>IF($B167="","",IF(C167="","",TEXT(C167,"MMM")))</f>
        <v/>
      </c>
      <c r="K167">
        <f>IF($B167="","",IF(I167=0,0,J167/I167))</f>
        <v/>
      </c>
      <c r="O167">
        <f>IF($B167="","",IF(M167=0,0,N167/M167))</f>
        <v/>
      </c>
    </row>
    <row r="168">
      <c r="A168">
        <f>IF($B168="","",ROW()-5)</f>
        <v/>
      </c>
      <c r="D168">
        <f>IF($B168="","",IF(C168="","",TEXT(C168,"MMM")))</f>
        <v/>
      </c>
      <c r="K168">
        <f>IF($B168="","",IF(I168=0,0,J168/I168))</f>
        <v/>
      </c>
      <c r="O168">
        <f>IF($B168="","",IF(M168=0,0,N168/M168))</f>
        <v/>
      </c>
    </row>
    <row r="169">
      <c r="A169">
        <f>IF($B169="","",ROW()-5)</f>
        <v/>
      </c>
      <c r="D169">
        <f>IF($B169="","",IF(C169="","",TEXT(C169,"MMM")))</f>
        <v/>
      </c>
      <c r="K169">
        <f>IF($B169="","",IF(I169=0,0,J169/I169))</f>
        <v/>
      </c>
      <c r="O169">
        <f>IF($B169="","",IF(M169=0,0,N169/M169))</f>
        <v/>
      </c>
    </row>
    <row r="170">
      <c r="A170">
        <f>IF($B170="","",ROW()-5)</f>
        <v/>
      </c>
      <c r="D170">
        <f>IF($B170="","",IF(C170="","",TEXT(C170,"MMM")))</f>
        <v/>
      </c>
      <c r="K170">
        <f>IF($B170="","",IF(I170=0,0,J170/I170))</f>
        <v/>
      </c>
      <c r="O170">
        <f>IF($B170="","",IF(M170=0,0,N170/M170))</f>
        <v/>
      </c>
    </row>
    <row r="171">
      <c r="A171">
        <f>IF($B171="","",ROW()-5)</f>
        <v/>
      </c>
      <c r="D171">
        <f>IF($B171="","",IF(C171="","",TEXT(C171,"MMM")))</f>
        <v/>
      </c>
      <c r="K171">
        <f>IF($B171="","",IF(I171=0,0,J171/I171))</f>
        <v/>
      </c>
      <c r="O171">
        <f>IF($B171="","",IF(M171=0,0,N171/M171))</f>
        <v/>
      </c>
    </row>
    <row r="172">
      <c r="A172">
        <f>IF($B172="","",ROW()-5)</f>
        <v/>
      </c>
      <c r="D172">
        <f>IF($B172="","",IF(C172="","",TEXT(C172,"MMM")))</f>
        <v/>
      </c>
      <c r="K172">
        <f>IF($B172="","",IF(I172=0,0,J172/I172))</f>
        <v/>
      </c>
      <c r="O172">
        <f>IF($B172="","",IF(M172=0,0,N172/M172))</f>
        <v/>
      </c>
    </row>
    <row r="173">
      <c r="A173">
        <f>IF($B173="","",ROW()-5)</f>
        <v/>
      </c>
      <c r="D173">
        <f>IF($B173="","",IF(C173="","",TEXT(C173,"MMM")))</f>
        <v/>
      </c>
      <c r="K173">
        <f>IF($B173="","",IF(I173=0,0,J173/I173))</f>
        <v/>
      </c>
      <c r="O173">
        <f>IF($B173="","",IF(M173=0,0,N173/M173))</f>
        <v/>
      </c>
    </row>
    <row r="174">
      <c r="A174">
        <f>IF($B174="","",ROW()-5)</f>
        <v/>
      </c>
      <c r="D174">
        <f>IF($B174="","",IF(C174="","",TEXT(C174,"MMM")))</f>
        <v/>
      </c>
      <c r="K174">
        <f>IF($B174="","",IF(I174=0,0,J174/I174))</f>
        <v/>
      </c>
      <c r="O174">
        <f>IF($B174="","",IF(M174=0,0,N174/M174))</f>
        <v/>
      </c>
    </row>
    <row r="175">
      <c r="A175">
        <f>IF($B175="","",ROW()-5)</f>
        <v/>
      </c>
      <c r="D175">
        <f>IF($B175="","",IF(C175="","",TEXT(C175,"MMM")))</f>
        <v/>
      </c>
      <c r="K175">
        <f>IF($B175="","",IF(I175=0,0,J175/I175))</f>
        <v/>
      </c>
      <c r="O175">
        <f>IF($B175="","",IF(M175=0,0,N175/M175))</f>
        <v/>
      </c>
    </row>
    <row r="176">
      <c r="A176">
        <f>IF($B176="","",ROW()-5)</f>
        <v/>
      </c>
      <c r="D176">
        <f>IF($B176="","",IF(C176="","",TEXT(C176,"MMM")))</f>
        <v/>
      </c>
      <c r="K176">
        <f>IF($B176="","",IF(I176=0,0,J176/I176))</f>
        <v/>
      </c>
      <c r="O176">
        <f>IF($B176="","",IF(M176=0,0,N176/M176))</f>
        <v/>
      </c>
    </row>
    <row r="177">
      <c r="A177">
        <f>IF($B177="","",ROW()-5)</f>
        <v/>
      </c>
      <c r="D177">
        <f>IF($B177="","",IF(C177="","",TEXT(C177,"MMM")))</f>
        <v/>
      </c>
      <c r="K177">
        <f>IF($B177="","",IF(I177=0,0,J177/I177))</f>
        <v/>
      </c>
      <c r="O177">
        <f>IF($B177="","",IF(M177=0,0,N177/M177))</f>
        <v/>
      </c>
    </row>
    <row r="178">
      <c r="A178">
        <f>IF($B178="","",ROW()-5)</f>
        <v/>
      </c>
      <c r="D178">
        <f>IF($B178="","",IF(C178="","",TEXT(C178,"MMM")))</f>
        <v/>
      </c>
      <c r="K178">
        <f>IF($B178="","",IF(I178=0,0,J178/I178))</f>
        <v/>
      </c>
      <c r="O178">
        <f>IF($B178="","",IF(M178=0,0,N178/M178))</f>
        <v/>
      </c>
    </row>
    <row r="179">
      <c r="A179">
        <f>IF($B179="","",ROW()-5)</f>
        <v/>
      </c>
      <c r="D179">
        <f>IF($B179="","",IF(C179="","",TEXT(C179,"MMM")))</f>
        <v/>
      </c>
      <c r="K179">
        <f>IF($B179="","",IF(I179=0,0,J179/I179))</f>
        <v/>
      </c>
      <c r="O179">
        <f>IF($B179="","",IF(M179=0,0,N179/M179))</f>
        <v/>
      </c>
    </row>
    <row r="180">
      <c r="A180">
        <f>IF($B180="","",ROW()-5)</f>
        <v/>
      </c>
      <c r="D180">
        <f>IF($B180="","",IF(C180="","",TEXT(C180,"MMM")))</f>
        <v/>
      </c>
      <c r="K180">
        <f>IF($B180="","",IF(I180=0,0,J180/I180))</f>
        <v/>
      </c>
      <c r="O180">
        <f>IF($B180="","",IF(M180=0,0,N180/M180))</f>
        <v/>
      </c>
    </row>
    <row r="181">
      <c r="A181">
        <f>IF($B181="","",ROW()-5)</f>
        <v/>
      </c>
      <c r="D181">
        <f>IF($B181="","",IF(C181="","",TEXT(C181,"MMM")))</f>
        <v/>
      </c>
      <c r="K181">
        <f>IF($B181="","",IF(I181=0,0,J181/I181))</f>
        <v/>
      </c>
      <c r="O181">
        <f>IF($B181="","",IF(M181=0,0,N181/M181))</f>
        <v/>
      </c>
    </row>
    <row r="182">
      <c r="A182">
        <f>IF($B182="","",ROW()-5)</f>
        <v/>
      </c>
      <c r="D182">
        <f>IF($B182="","",IF(C182="","",TEXT(C182,"MMM")))</f>
        <v/>
      </c>
      <c r="K182">
        <f>IF($B182="","",IF(I182=0,0,J182/I182))</f>
        <v/>
      </c>
      <c r="O182">
        <f>IF($B182="","",IF(M182=0,0,N182/M182))</f>
        <v/>
      </c>
    </row>
    <row r="183">
      <c r="A183">
        <f>IF($B183="","",ROW()-5)</f>
        <v/>
      </c>
      <c r="D183">
        <f>IF($B183="","",IF(C183="","",TEXT(C183,"MMM")))</f>
        <v/>
      </c>
      <c r="K183">
        <f>IF($B183="","",IF(I183=0,0,J183/I183))</f>
        <v/>
      </c>
      <c r="O183">
        <f>IF($B183="","",IF(M183=0,0,N183/M183))</f>
        <v/>
      </c>
    </row>
    <row r="184">
      <c r="A184">
        <f>IF($B184="","",ROW()-5)</f>
        <v/>
      </c>
      <c r="D184">
        <f>IF($B184="","",IF(C184="","",TEXT(C184,"MMM")))</f>
        <v/>
      </c>
      <c r="K184">
        <f>IF($B184="","",IF(I184=0,0,J184/I184))</f>
        <v/>
      </c>
      <c r="O184">
        <f>IF($B184="","",IF(M184=0,0,N184/M184))</f>
        <v/>
      </c>
    </row>
    <row r="185">
      <c r="A185">
        <f>IF($B185="","",ROW()-5)</f>
        <v/>
      </c>
      <c r="D185">
        <f>IF($B185="","",IF(C185="","",TEXT(C185,"MMM")))</f>
        <v/>
      </c>
      <c r="K185">
        <f>IF($B185="","",IF(I185=0,0,J185/I185))</f>
        <v/>
      </c>
      <c r="O185">
        <f>IF($B185="","",IF(M185=0,0,N185/M185))</f>
        <v/>
      </c>
    </row>
    <row r="186">
      <c r="A186">
        <f>IF($B186="","",ROW()-5)</f>
        <v/>
      </c>
      <c r="D186">
        <f>IF($B186="","",IF(C186="","",TEXT(C186,"MMM")))</f>
        <v/>
      </c>
      <c r="K186">
        <f>IF($B186="","",IF(I186=0,0,J186/I186))</f>
        <v/>
      </c>
      <c r="O186">
        <f>IF($B186="","",IF(M186=0,0,N186/M186))</f>
        <v/>
      </c>
    </row>
    <row r="187">
      <c r="A187">
        <f>IF($B187="","",ROW()-5)</f>
        <v/>
      </c>
      <c r="D187">
        <f>IF($B187="","",IF(C187="","",TEXT(C187,"MMM")))</f>
        <v/>
      </c>
      <c r="K187">
        <f>IF($B187="","",IF(I187=0,0,J187/I187))</f>
        <v/>
      </c>
      <c r="O187">
        <f>IF($B187="","",IF(M187=0,0,N187/M187))</f>
        <v/>
      </c>
    </row>
    <row r="188">
      <c r="A188">
        <f>IF($B188="","",ROW()-5)</f>
        <v/>
      </c>
      <c r="D188">
        <f>IF($B188="","",IF(C188="","",TEXT(C188,"MMM")))</f>
        <v/>
      </c>
      <c r="K188">
        <f>IF($B188="","",IF(I188=0,0,J188/I188))</f>
        <v/>
      </c>
      <c r="O188">
        <f>IF($B188="","",IF(M188=0,0,N188/M188))</f>
        <v/>
      </c>
    </row>
    <row r="189">
      <c r="A189">
        <f>IF($B189="","",ROW()-5)</f>
        <v/>
      </c>
      <c r="D189">
        <f>IF($B189="","",IF(C189="","",TEXT(C189,"MMM")))</f>
        <v/>
      </c>
      <c r="K189">
        <f>IF($B189="","",IF(I189=0,0,J189/I189))</f>
        <v/>
      </c>
      <c r="O189">
        <f>IF($B189="","",IF(M189=0,0,N189/M189))</f>
        <v/>
      </c>
    </row>
    <row r="190">
      <c r="A190">
        <f>IF($B190="","",ROW()-5)</f>
        <v/>
      </c>
      <c r="D190">
        <f>IF($B190="","",IF(C190="","",TEXT(C190,"MMM")))</f>
        <v/>
      </c>
      <c r="K190">
        <f>IF($B190="","",IF(I190=0,0,J190/I190))</f>
        <v/>
      </c>
      <c r="O190">
        <f>IF($B190="","",IF(M190=0,0,N190/M190))</f>
        <v/>
      </c>
    </row>
    <row r="191">
      <c r="A191">
        <f>IF($B191="","",ROW()-5)</f>
        <v/>
      </c>
      <c r="D191">
        <f>IF($B191="","",IF(C191="","",TEXT(C191,"MMM")))</f>
        <v/>
      </c>
      <c r="K191">
        <f>IF($B191="","",IF(I191=0,0,J191/I191))</f>
        <v/>
      </c>
      <c r="O191">
        <f>IF($B191="","",IF(M191=0,0,N191/M191))</f>
        <v/>
      </c>
    </row>
    <row r="192">
      <c r="A192">
        <f>IF($B192="","",ROW()-5)</f>
        <v/>
      </c>
      <c r="D192">
        <f>IF($B192="","",IF(C192="","",TEXT(C192,"MMM")))</f>
        <v/>
      </c>
      <c r="K192">
        <f>IF($B192="","",IF(I192=0,0,J192/I192))</f>
        <v/>
      </c>
      <c r="O192">
        <f>IF($B192="","",IF(M192=0,0,N192/M192))</f>
        <v/>
      </c>
    </row>
    <row r="193">
      <c r="A193">
        <f>IF($B193="","",ROW()-5)</f>
        <v/>
      </c>
      <c r="D193">
        <f>IF($B193="","",IF(C193="","",TEXT(C193,"MMM")))</f>
        <v/>
      </c>
      <c r="K193">
        <f>IF($B193="","",IF(I193=0,0,J193/I193))</f>
        <v/>
      </c>
      <c r="O193">
        <f>IF($B193="","",IF(M193=0,0,N193/M193))</f>
        <v/>
      </c>
    </row>
    <row r="194">
      <c r="A194">
        <f>IF($B194="","",ROW()-5)</f>
        <v/>
      </c>
      <c r="D194">
        <f>IF($B194="","",IF(C194="","",TEXT(C194,"MMM")))</f>
        <v/>
      </c>
      <c r="K194">
        <f>IF($B194="","",IF(I194=0,0,J194/I194))</f>
        <v/>
      </c>
      <c r="O194">
        <f>IF($B194="","",IF(M194=0,0,N194/M194))</f>
        <v/>
      </c>
    </row>
    <row r="195">
      <c r="A195">
        <f>IF($B195="","",ROW()-5)</f>
        <v/>
      </c>
      <c r="D195">
        <f>IF($B195="","",IF(C195="","",TEXT(C195,"MMM")))</f>
        <v/>
      </c>
      <c r="K195">
        <f>IF($B195="","",IF(I195=0,0,J195/I195))</f>
        <v/>
      </c>
      <c r="O195">
        <f>IF($B195="","",IF(M195=0,0,N195/M195))</f>
        <v/>
      </c>
    </row>
    <row r="196">
      <c r="A196">
        <f>IF($B196="","",ROW()-5)</f>
        <v/>
      </c>
      <c r="D196">
        <f>IF($B196="","",IF(C196="","",TEXT(C196,"MMM")))</f>
        <v/>
      </c>
      <c r="K196">
        <f>IF($B196="","",IF(I196=0,0,J196/I196))</f>
        <v/>
      </c>
      <c r="O196">
        <f>IF($B196="","",IF(M196=0,0,N196/M196))</f>
        <v/>
      </c>
    </row>
    <row r="197">
      <c r="A197">
        <f>IF($B197="","",ROW()-5)</f>
        <v/>
      </c>
      <c r="D197">
        <f>IF($B197="","",IF(C197="","",TEXT(C197,"MMM")))</f>
        <v/>
      </c>
      <c r="K197">
        <f>IF($B197="","",IF(I197=0,0,J197/I197))</f>
        <v/>
      </c>
      <c r="O197">
        <f>IF($B197="","",IF(M197=0,0,N197/M197))</f>
        <v/>
      </c>
    </row>
    <row r="198">
      <c r="A198">
        <f>IF($B198="","",ROW()-5)</f>
        <v/>
      </c>
      <c r="D198">
        <f>IF($B198="","",IF(C198="","",TEXT(C198,"MMM")))</f>
        <v/>
      </c>
      <c r="K198">
        <f>IF($B198="","",IF(I198=0,0,J198/I198))</f>
        <v/>
      </c>
      <c r="O198">
        <f>IF($B198="","",IF(M198=0,0,N198/M198))</f>
        <v/>
      </c>
    </row>
    <row r="199">
      <c r="A199">
        <f>IF($B199="","",ROW()-5)</f>
        <v/>
      </c>
      <c r="D199">
        <f>IF($B199="","",IF(C199="","",TEXT(C199,"MMM")))</f>
        <v/>
      </c>
      <c r="K199">
        <f>IF($B199="","",IF(I199=0,0,J199/I199))</f>
        <v/>
      </c>
      <c r="O199">
        <f>IF($B199="","",IF(M199=0,0,N199/M199))</f>
        <v/>
      </c>
    </row>
    <row r="200">
      <c r="A200">
        <f>IF($B200="","",ROW()-5)</f>
        <v/>
      </c>
      <c r="D200">
        <f>IF($B200="","",IF(C200="","",TEXT(C200,"MMM")))</f>
        <v/>
      </c>
      <c r="K200">
        <f>IF($B200="","",IF(I200=0,0,J200/I200))</f>
        <v/>
      </c>
      <c r="O200">
        <f>IF($B200="","",IF(M200=0,0,N200/M200))</f>
        <v/>
      </c>
    </row>
    <row r="201">
      <c r="A201">
        <f>IF($B201="","",ROW()-5)</f>
        <v/>
      </c>
      <c r="D201">
        <f>IF($B201="","",IF(C201="","",TEXT(C201,"MMM")))</f>
        <v/>
      </c>
      <c r="K201">
        <f>IF($B201="","",IF(I201=0,0,J201/I201))</f>
        <v/>
      </c>
      <c r="O201">
        <f>IF($B201="","",IF(M201=0,0,N201/M201))</f>
        <v/>
      </c>
    </row>
    <row r="202">
      <c r="A202">
        <f>IF($B202="","",ROW()-5)</f>
        <v/>
      </c>
      <c r="D202">
        <f>IF($B202="","",IF(C202="","",TEXT(C202,"MMM")))</f>
        <v/>
      </c>
      <c r="K202">
        <f>IF($B202="","",IF(I202=0,0,J202/I202))</f>
        <v/>
      </c>
      <c r="O202">
        <f>IF($B202="","",IF(M202=0,0,N202/M202))</f>
        <v/>
      </c>
    </row>
    <row r="203">
      <c r="A203">
        <f>IF($B203="","",ROW()-5)</f>
        <v/>
      </c>
      <c r="D203">
        <f>IF($B203="","",IF(C203="","",TEXT(C203,"MMM")))</f>
        <v/>
      </c>
      <c r="K203">
        <f>IF($B203="","",IF(I203=0,0,J203/I203))</f>
        <v/>
      </c>
      <c r="O203">
        <f>IF($B203="","",IF(M203=0,0,N203/M203))</f>
        <v/>
      </c>
    </row>
    <row r="204">
      <c r="A204">
        <f>IF($B204="","",ROW()-5)</f>
        <v/>
      </c>
      <c r="D204">
        <f>IF($B204="","",IF(C204="","",TEXT(C204,"MMM")))</f>
        <v/>
      </c>
      <c r="K204">
        <f>IF($B204="","",IF(I204=0,0,J204/I204))</f>
        <v/>
      </c>
      <c r="O204">
        <f>IF($B204="","",IF(M204=0,0,N204/M204))</f>
        <v/>
      </c>
    </row>
    <row r="205">
      <c r="A205">
        <f>IF($B205="","",ROW()-5)</f>
        <v/>
      </c>
      <c r="D205">
        <f>IF($B205="","",IF(C205="","",TEXT(C205,"MMM")))</f>
        <v/>
      </c>
      <c r="K205">
        <f>IF($B205="","",IF(I205=0,0,J205/I205))</f>
        <v/>
      </c>
      <c r="O205">
        <f>IF($B205="","",IF(M205=0,0,N205/M205))</f>
        <v/>
      </c>
    </row>
    <row r="206">
      <c r="A206">
        <f>IF($B206="","",ROW()-5)</f>
        <v/>
      </c>
      <c r="D206">
        <f>IF($B206="","",IF(C206="","",TEXT(C206,"MMM")))</f>
        <v/>
      </c>
      <c r="K206">
        <f>IF($B206="","",IF(I206=0,0,J206/I206))</f>
        <v/>
      </c>
      <c r="O206">
        <f>IF($B206="","",IF(M206=0,0,N206/M206))</f>
        <v/>
      </c>
    </row>
    <row r="207">
      <c r="A207">
        <f>IF($B207="","",ROW()-5)</f>
        <v/>
      </c>
      <c r="D207">
        <f>IF($B207="","",IF(C207="","",TEXT(C207,"MMM")))</f>
        <v/>
      </c>
      <c r="K207">
        <f>IF($B207="","",IF(I207=0,0,J207/I207))</f>
        <v/>
      </c>
      <c r="O207">
        <f>IF($B207="","",IF(M207=0,0,N207/M207))</f>
        <v/>
      </c>
    </row>
    <row r="208">
      <c r="A208">
        <f>IF($B208="","",ROW()-5)</f>
        <v/>
      </c>
      <c r="D208">
        <f>IF($B208="","",IF(C208="","",TEXT(C208,"MMM")))</f>
        <v/>
      </c>
      <c r="K208">
        <f>IF($B208="","",IF(I208=0,0,J208/I208))</f>
        <v/>
      </c>
      <c r="O208">
        <f>IF($B208="","",IF(M208=0,0,N208/M208))</f>
        <v/>
      </c>
    </row>
    <row r="209">
      <c r="A209">
        <f>IF($B209="","",ROW()-5)</f>
        <v/>
      </c>
      <c r="D209">
        <f>IF($B209="","",IF(C209="","",TEXT(C209,"MMM")))</f>
        <v/>
      </c>
      <c r="K209">
        <f>IF($B209="","",IF(I209=0,0,J209/I209))</f>
        <v/>
      </c>
      <c r="O209">
        <f>IF($B209="","",IF(M209=0,0,N209/M209))</f>
        <v/>
      </c>
    </row>
    <row r="210">
      <c r="A210">
        <f>IF($B210="","",ROW()-5)</f>
        <v/>
      </c>
      <c r="D210">
        <f>IF($B210="","",IF(C210="","",TEXT(C210,"MMM")))</f>
        <v/>
      </c>
      <c r="K210">
        <f>IF($B210="","",IF(I210=0,0,J210/I210))</f>
        <v/>
      </c>
      <c r="O210">
        <f>IF($B210="","",IF(M210=0,0,N210/M210))</f>
        <v/>
      </c>
    </row>
    <row r="211">
      <c r="A211">
        <f>IF($B211="","",ROW()-5)</f>
        <v/>
      </c>
      <c r="D211">
        <f>IF($B211="","",IF(C211="","",TEXT(C211,"MMM")))</f>
        <v/>
      </c>
      <c r="K211">
        <f>IF($B211="","",IF(I211=0,0,J211/I211))</f>
        <v/>
      </c>
      <c r="O211">
        <f>IF($B211="","",IF(M211=0,0,N211/M211))</f>
        <v/>
      </c>
    </row>
    <row r="212">
      <c r="A212">
        <f>IF($B212="","",ROW()-5)</f>
        <v/>
      </c>
      <c r="D212">
        <f>IF($B212="","",IF(C212="","",TEXT(C212,"MMM")))</f>
        <v/>
      </c>
      <c r="K212">
        <f>IF($B212="","",IF(I212=0,0,J212/I212))</f>
        <v/>
      </c>
      <c r="O212">
        <f>IF($B212="","",IF(M212=0,0,N212/M212))</f>
        <v/>
      </c>
    </row>
    <row r="213">
      <c r="A213">
        <f>IF($B213="","",ROW()-5)</f>
        <v/>
      </c>
      <c r="D213">
        <f>IF($B213="","",IF(C213="","",TEXT(C213,"MMM")))</f>
        <v/>
      </c>
      <c r="K213">
        <f>IF($B213="","",IF(I213=0,0,J213/I213))</f>
        <v/>
      </c>
      <c r="O213">
        <f>IF($B213="","",IF(M213=0,0,N213/M213))</f>
        <v/>
      </c>
    </row>
    <row r="214">
      <c r="A214">
        <f>IF($B214="","",ROW()-5)</f>
        <v/>
      </c>
      <c r="D214">
        <f>IF($B214="","",IF(C214="","",TEXT(C214,"MMM")))</f>
        <v/>
      </c>
      <c r="K214">
        <f>IF($B214="","",IF(I214=0,0,J214/I214))</f>
        <v/>
      </c>
      <c r="O214">
        <f>IF($B214="","",IF(M214=0,0,N214/M214))</f>
        <v/>
      </c>
    </row>
    <row r="215">
      <c r="A215">
        <f>IF($B215="","",ROW()-5)</f>
        <v/>
      </c>
      <c r="D215">
        <f>IF($B215="","",IF(C215="","",TEXT(C215,"MMM")))</f>
        <v/>
      </c>
      <c r="K215">
        <f>IF($B215="","",IF(I215=0,0,J215/I215))</f>
        <v/>
      </c>
      <c r="O215">
        <f>IF($B215="","",IF(M215=0,0,N215/M215))</f>
        <v/>
      </c>
    </row>
    <row r="216">
      <c r="A216">
        <f>IF($B216="","",ROW()-5)</f>
        <v/>
      </c>
      <c r="D216">
        <f>IF($B216="","",IF(C216="","",TEXT(C216,"MMM")))</f>
        <v/>
      </c>
      <c r="K216">
        <f>IF($B216="","",IF(I216=0,0,J216/I216))</f>
        <v/>
      </c>
      <c r="O216">
        <f>IF($B216="","",IF(M216=0,0,N216/M216))</f>
        <v/>
      </c>
    </row>
    <row r="217">
      <c r="A217">
        <f>IF($B217="","",ROW()-5)</f>
        <v/>
      </c>
      <c r="D217">
        <f>IF($B217="","",IF(C217="","",TEXT(C217,"MMM")))</f>
        <v/>
      </c>
      <c r="K217">
        <f>IF($B217="","",IF(I217=0,0,J217/I217))</f>
        <v/>
      </c>
      <c r="O217">
        <f>IF($B217="","",IF(M217=0,0,N217/M217))</f>
        <v/>
      </c>
    </row>
    <row r="218">
      <c r="A218">
        <f>IF($B218="","",ROW()-5)</f>
        <v/>
      </c>
      <c r="D218">
        <f>IF($B218="","",IF(C218="","",TEXT(C218,"MMM")))</f>
        <v/>
      </c>
      <c r="K218">
        <f>IF($B218="","",IF(I218=0,0,J218/I218))</f>
        <v/>
      </c>
      <c r="O218">
        <f>IF($B218="","",IF(M218=0,0,N218/M218))</f>
        <v/>
      </c>
    </row>
    <row r="219">
      <c r="A219">
        <f>IF($B219="","",ROW()-5)</f>
        <v/>
      </c>
      <c r="D219">
        <f>IF($B219="","",IF(C219="","",TEXT(C219,"MMM")))</f>
        <v/>
      </c>
      <c r="K219">
        <f>IF($B219="","",IF(I219=0,0,J219/I219))</f>
        <v/>
      </c>
      <c r="O219">
        <f>IF($B219="","",IF(M219=0,0,N219/M219))</f>
        <v/>
      </c>
    </row>
    <row r="220">
      <c r="A220">
        <f>IF($B220="","",ROW()-5)</f>
        <v/>
      </c>
      <c r="D220">
        <f>IF($B220="","",IF(C220="","",TEXT(C220,"MMM")))</f>
        <v/>
      </c>
      <c r="K220">
        <f>IF($B220="","",IF(I220=0,0,J220/I220))</f>
        <v/>
      </c>
      <c r="O220">
        <f>IF($B220="","",IF(M220=0,0,N220/M220))</f>
        <v/>
      </c>
    </row>
    <row r="221">
      <c r="A221">
        <f>IF($B221="","",ROW()-5)</f>
        <v/>
      </c>
      <c r="D221">
        <f>IF($B221="","",IF(C221="","",TEXT(C221,"MMM")))</f>
        <v/>
      </c>
      <c r="K221">
        <f>IF($B221="","",IF(I221=0,0,J221/I221))</f>
        <v/>
      </c>
      <c r="O221">
        <f>IF($B221="","",IF(M221=0,0,N221/M221))</f>
        <v/>
      </c>
    </row>
    <row r="222">
      <c r="A222">
        <f>IF($B222="","",ROW()-5)</f>
        <v/>
      </c>
      <c r="D222">
        <f>IF($B222="","",IF(C222="","",TEXT(C222,"MMM")))</f>
        <v/>
      </c>
      <c r="K222">
        <f>IF($B222="","",IF(I222=0,0,J222/I222))</f>
        <v/>
      </c>
      <c r="O222">
        <f>IF($B222="","",IF(M222=0,0,N222/M222))</f>
        <v/>
      </c>
    </row>
    <row r="223">
      <c r="A223">
        <f>IF($B223="","",ROW()-5)</f>
        <v/>
      </c>
      <c r="D223">
        <f>IF($B223="","",IF(C223="","",TEXT(C223,"MMM")))</f>
        <v/>
      </c>
      <c r="K223">
        <f>IF($B223="","",IF(I223=0,0,J223/I223))</f>
        <v/>
      </c>
      <c r="O223">
        <f>IF($B223="","",IF(M223=0,0,N223/M223))</f>
        <v/>
      </c>
    </row>
    <row r="224">
      <c r="A224">
        <f>IF($B224="","",ROW()-5)</f>
        <v/>
      </c>
      <c r="D224">
        <f>IF($B224="","",IF(C224="","",TEXT(C224,"MMM")))</f>
        <v/>
      </c>
      <c r="K224">
        <f>IF($B224="","",IF(I224=0,0,J224/I224))</f>
        <v/>
      </c>
      <c r="O224">
        <f>IF($B224="","",IF(M224=0,0,N224/M224))</f>
        <v/>
      </c>
    </row>
    <row r="225">
      <c r="A225">
        <f>IF($B225="","",ROW()-5)</f>
        <v/>
      </c>
      <c r="D225">
        <f>IF($B225="","",IF(C225="","",TEXT(C225,"MMM")))</f>
        <v/>
      </c>
      <c r="K225">
        <f>IF($B225="","",IF(I225=0,0,J225/I225))</f>
        <v/>
      </c>
      <c r="O225">
        <f>IF($B225="","",IF(M225=0,0,N225/M225))</f>
        <v/>
      </c>
    </row>
    <row r="226">
      <c r="A226">
        <f>IF($B226="","",ROW()-5)</f>
        <v/>
      </c>
      <c r="D226">
        <f>IF($B226="","",IF(C226="","",TEXT(C226,"MMM")))</f>
        <v/>
      </c>
      <c r="K226">
        <f>IF($B226="","",IF(I226=0,0,J226/I226))</f>
        <v/>
      </c>
      <c r="O226">
        <f>IF($B226="","",IF(M226=0,0,N226/M226))</f>
        <v/>
      </c>
    </row>
    <row r="227">
      <c r="A227">
        <f>IF($B227="","",ROW()-5)</f>
        <v/>
      </c>
      <c r="D227">
        <f>IF($B227="","",IF(C227="","",TEXT(C227,"MMM")))</f>
        <v/>
      </c>
      <c r="K227">
        <f>IF($B227="","",IF(I227=0,0,J227/I227))</f>
        <v/>
      </c>
      <c r="O227">
        <f>IF($B227="","",IF(M227=0,0,N227/M227))</f>
        <v/>
      </c>
    </row>
    <row r="228">
      <c r="A228">
        <f>IF($B228="","",ROW()-5)</f>
        <v/>
      </c>
      <c r="D228">
        <f>IF($B228="","",IF(C228="","",TEXT(C228,"MMM")))</f>
        <v/>
      </c>
      <c r="K228">
        <f>IF($B228="","",IF(I228=0,0,J228/I228))</f>
        <v/>
      </c>
      <c r="O228">
        <f>IF($B228="","",IF(M228=0,0,N228/M228))</f>
        <v/>
      </c>
    </row>
    <row r="229">
      <c r="A229">
        <f>IF($B229="","",ROW()-5)</f>
        <v/>
      </c>
      <c r="D229">
        <f>IF($B229="","",IF(C229="","",TEXT(C229,"MMM")))</f>
        <v/>
      </c>
      <c r="K229">
        <f>IF($B229="","",IF(I229=0,0,J229/I229))</f>
        <v/>
      </c>
      <c r="O229">
        <f>IF($B229="","",IF(M229=0,0,N229/M229))</f>
        <v/>
      </c>
    </row>
    <row r="230">
      <c r="A230">
        <f>IF($B230="","",ROW()-5)</f>
        <v/>
      </c>
      <c r="D230">
        <f>IF($B230="","",IF(C230="","",TEXT(C230,"MMM")))</f>
        <v/>
      </c>
      <c r="K230">
        <f>IF($B230="","",IF(I230=0,0,J230/I230))</f>
        <v/>
      </c>
      <c r="O230">
        <f>IF($B230="","",IF(M230=0,0,N230/M230))</f>
        <v/>
      </c>
    </row>
    <row r="231">
      <c r="A231">
        <f>IF($B231="","",ROW()-5)</f>
        <v/>
      </c>
      <c r="D231">
        <f>IF($B231="","",IF(C231="","",TEXT(C231,"MMM")))</f>
        <v/>
      </c>
      <c r="K231">
        <f>IF($B231="","",IF(I231=0,0,J231/I231))</f>
        <v/>
      </c>
      <c r="O231">
        <f>IF($B231="","",IF(M231=0,0,N231/M231))</f>
        <v/>
      </c>
    </row>
    <row r="232">
      <c r="A232">
        <f>IF($B232="","",ROW()-5)</f>
        <v/>
      </c>
      <c r="D232">
        <f>IF($B232="","",IF(C232="","",TEXT(C232,"MMM")))</f>
        <v/>
      </c>
      <c r="K232">
        <f>IF($B232="","",IF(I232=0,0,J232/I232))</f>
        <v/>
      </c>
      <c r="O232">
        <f>IF($B232="","",IF(M232=0,0,N232/M232))</f>
        <v/>
      </c>
    </row>
    <row r="233">
      <c r="A233">
        <f>IF($B233="","",ROW()-5)</f>
        <v/>
      </c>
      <c r="D233">
        <f>IF($B233="","",IF(C233="","",TEXT(C233,"MMM")))</f>
        <v/>
      </c>
      <c r="K233">
        <f>IF($B233="","",IF(I233=0,0,J233/I233))</f>
        <v/>
      </c>
      <c r="O233">
        <f>IF($B233="","",IF(M233=0,0,N233/M233))</f>
        <v/>
      </c>
    </row>
    <row r="234">
      <c r="A234">
        <f>IF($B234="","",ROW()-5)</f>
        <v/>
      </c>
      <c r="D234">
        <f>IF($B234="","",IF(C234="","",TEXT(C234,"MMM")))</f>
        <v/>
      </c>
      <c r="K234">
        <f>IF($B234="","",IF(I234=0,0,J234/I234))</f>
        <v/>
      </c>
      <c r="O234">
        <f>IF($B234="","",IF(M234=0,0,N234/M234))</f>
        <v/>
      </c>
    </row>
    <row r="235">
      <c r="A235">
        <f>IF($B235="","",ROW()-5)</f>
        <v/>
      </c>
      <c r="D235">
        <f>IF($B235="","",IF(C235="","",TEXT(C235,"MMM")))</f>
        <v/>
      </c>
      <c r="K235">
        <f>IF($B235="","",IF(I235=0,0,J235/I235))</f>
        <v/>
      </c>
      <c r="O235">
        <f>IF($B235="","",IF(M235=0,0,N235/M235))</f>
        <v/>
      </c>
    </row>
    <row r="236">
      <c r="A236">
        <f>IF($B236="","",ROW()-5)</f>
        <v/>
      </c>
      <c r="D236">
        <f>IF($B236="","",IF(C236="","",TEXT(C236,"MMM")))</f>
        <v/>
      </c>
      <c r="K236">
        <f>IF($B236="","",IF(I236=0,0,J236/I236))</f>
        <v/>
      </c>
      <c r="O236">
        <f>IF($B236="","",IF(M236=0,0,N236/M236))</f>
        <v/>
      </c>
    </row>
    <row r="237">
      <c r="A237">
        <f>IF($B237="","",ROW()-5)</f>
        <v/>
      </c>
      <c r="D237">
        <f>IF($B237="","",IF(C237="","",TEXT(C237,"MMM")))</f>
        <v/>
      </c>
      <c r="K237">
        <f>IF($B237="","",IF(I237=0,0,J237/I237))</f>
        <v/>
      </c>
      <c r="O237">
        <f>IF($B237="","",IF(M237=0,0,N237/M237))</f>
        <v/>
      </c>
    </row>
    <row r="238">
      <c r="A238">
        <f>IF($B238="","",ROW()-5)</f>
        <v/>
      </c>
      <c r="D238">
        <f>IF($B238="","",IF(C238="","",TEXT(C238,"MMM")))</f>
        <v/>
      </c>
      <c r="K238">
        <f>IF($B238="","",IF(I238=0,0,J238/I238))</f>
        <v/>
      </c>
      <c r="O238">
        <f>IF($B238="","",IF(M238=0,0,N238/M238))</f>
        <v/>
      </c>
    </row>
    <row r="239">
      <c r="A239">
        <f>IF($B239="","",ROW()-5)</f>
        <v/>
      </c>
      <c r="D239">
        <f>IF($B239="","",IF(C239="","",TEXT(C239,"MMM")))</f>
        <v/>
      </c>
      <c r="K239">
        <f>IF($B239="","",IF(I239=0,0,J239/I239))</f>
        <v/>
      </c>
      <c r="O239">
        <f>IF($B239="","",IF(M239=0,0,N239/M239))</f>
        <v/>
      </c>
    </row>
    <row r="240">
      <c r="A240">
        <f>IF($B240="","",ROW()-5)</f>
        <v/>
      </c>
      <c r="D240">
        <f>IF($B240="","",IF(C240="","",TEXT(C240,"MMM")))</f>
        <v/>
      </c>
      <c r="K240">
        <f>IF($B240="","",IF(I240=0,0,J240/I240))</f>
        <v/>
      </c>
      <c r="O240">
        <f>IF($B240="","",IF(M240=0,0,N240/M240))</f>
        <v/>
      </c>
    </row>
    <row r="241">
      <c r="A241">
        <f>IF($B241="","",ROW()-5)</f>
        <v/>
      </c>
      <c r="D241">
        <f>IF($B241="","",IF(C241="","",TEXT(C241,"MMM")))</f>
        <v/>
      </c>
      <c r="K241">
        <f>IF($B241="","",IF(I241=0,0,J241/I241))</f>
        <v/>
      </c>
      <c r="O241">
        <f>IF($B241="","",IF(M241=0,0,N241/M241))</f>
        <v/>
      </c>
    </row>
    <row r="242">
      <c r="A242">
        <f>IF($B242="","",ROW()-5)</f>
        <v/>
      </c>
      <c r="D242">
        <f>IF($B242="","",IF(C242="","",TEXT(C242,"MMM")))</f>
        <v/>
      </c>
      <c r="K242">
        <f>IF($B242="","",IF(I242=0,0,J242/I242))</f>
        <v/>
      </c>
      <c r="O242">
        <f>IF($B242="","",IF(M242=0,0,N242/M242))</f>
        <v/>
      </c>
    </row>
    <row r="243">
      <c r="A243">
        <f>IF($B243="","",ROW()-5)</f>
        <v/>
      </c>
      <c r="D243">
        <f>IF($B243="","",IF(C243="","",TEXT(C243,"MMM")))</f>
        <v/>
      </c>
      <c r="K243">
        <f>IF($B243="","",IF(I243=0,0,J243/I243))</f>
        <v/>
      </c>
      <c r="O243">
        <f>IF($B243="","",IF(M243=0,0,N243/M243))</f>
        <v/>
      </c>
    </row>
    <row r="244">
      <c r="A244">
        <f>IF($B244="","",ROW()-5)</f>
        <v/>
      </c>
      <c r="D244">
        <f>IF($B244="","",IF(C244="","",TEXT(C244,"MMM")))</f>
        <v/>
      </c>
      <c r="K244">
        <f>IF($B244="","",IF(I244=0,0,J244/I244))</f>
        <v/>
      </c>
      <c r="O244">
        <f>IF($B244="","",IF(M244=0,0,N244/M244))</f>
        <v/>
      </c>
    </row>
    <row r="245">
      <c r="A245">
        <f>IF($B245="","",ROW()-5)</f>
        <v/>
      </c>
      <c r="D245">
        <f>IF($B245="","",IF(C245="","",TEXT(C245,"MMM")))</f>
        <v/>
      </c>
      <c r="K245">
        <f>IF($B245="","",IF(I245=0,0,J245/I245))</f>
        <v/>
      </c>
      <c r="O245">
        <f>IF($B245="","",IF(M245=0,0,N245/M245))</f>
        <v/>
      </c>
    </row>
    <row r="246">
      <c r="A246">
        <f>IF($B246="","",ROW()-5)</f>
        <v/>
      </c>
      <c r="D246">
        <f>IF($B246="","",IF(C246="","",TEXT(C246,"MMM")))</f>
        <v/>
      </c>
      <c r="K246">
        <f>IF($B246="","",IF(I246=0,0,J246/I246))</f>
        <v/>
      </c>
      <c r="O246">
        <f>IF($B246="","",IF(M246=0,0,N246/M246))</f>
        <v/>
      </c>
    </row>
    <row r="247">
      <c r="A247">
        <f>IF($B247="","",ROW()-5)</f>
        <v/>
      </c>
      <c r="D247">
        <f>IF($B247="","",IF(C247="","",TEXT(C247,"MMM")))</f>
        <v/>
      </c>
      <c r="K247">
        <f>IF($B247="","",IF(I247=0,0,J247/I247))</f>
        <v/>
      </c>
      <c r="O247">
        <f>IF($B247="","",IF(M247=0,0,N247/M247))</f>
        <v/>
      </c>
    </row>
    <row r="248">
      <c r="A248">
        <f>IF($B248="","",ROW()-5)</f>
        <v/>
      </c>
      <c r="D248">
        <f>IF($B248="","",IF(C248="","",TEXT(C248,"MMM")))</f>
        <v/>
      </c>
      <c r="K248">
        <f>IF($B248="","",IF(I248=0,0,J248/I248))</f>
        <v/>
      </c>
      <c r="O248">
        <f>IF($B248="","",IF(M248=0,0,N248/M248))</f>
        <v/>
      </c>
    </row>
    <row r="249">
      <c r="A249">
        <f>IF($B249="","",ROW()-5)</f>
        <v/>
      </c>
      <c r="D249">
        <f>IF($B249="","",IF(C249="","",TEXT(C249,"MMM")))</f>
        <v/>
      </c>
      <c r="K249">
        <f>IF($B249="","",IF(I249=0,0,J249/I249))</f>
        <v/>
      </c>
      <c r="O249">
        <f>IF($B249="","",IF(M249=0,0,N249/M249))</f>
        <v/>
      </c>
    </row>
    <row r="250">
      <c r="A250">
        <f>IF($B250="","",ROW()-5)</f>
        <v/>
      </c>
      <c r="D250">
        <f>IF($B250="","",IF(C250="","",TEXT(C250,"MMM")))</f>
        <v/>
      </c>
      <c r="K250">
        <f>IF($B250="","",IF(I250=0,0,J250/I250))</f>
        <v/>
      </c>
      <c r="O250">
        <f>IF($B250="","",IF(M250=0,0,N250/M250))</f>
        <v/>
      </c>
    </row>
    <row r="251">
      <c r="A251">
        <f>IF($B251="","",ROW()-5)</f>
        <v/>
      </c>
      <c r="D251">
        <f>IF($B251="","",IF(C251="","",TEXT(C251,"MMM")))</f>
        <v/>
      </c>
      <c r="K251">
        <f>IF($B251="","",IF(I251=0,0,J251/I251))</f>
        <v/>
      </c>
      <c r="O251">
        <f>IF($B251="","",IF(M251=0,0,N251/M251))</f>
        <v/>
      </c>
    </row>
    <row r="252">
      <c r="A252">
        <f>IF($B252="","",ROW()-5)</f>
        <v/>
      </c>
      <c r="D252">
        <f>IF($B252="","",IF(C252="","",TEXT(C252,"MMM")))</f>
        <v/>
      </c>
      <c r="K252">
        <f>IF($B252="","",IF(I252=0,0,J252/I252))</f>
        <v/>
      </c>
      <c r="O252">
        <f>IF($B252="","",IF(M252=0,0,N252/M252))</f>
        <v/>
      </c>
    </row>
    <row r="253">
      <c r="A253">
        <f>IF($B253="","",ROW()-5)</f>
        <v/>
      </c>
      <c r="D253">
        <f>IF($B253="","",IF(C253="","",TEXT(C253,"MMM")))</f>
        <v/>
      </c>
      <c r="K253">
        <f>IF($B253="","",IF(I253=0,0,J253/I253))</f>
        <v/>
      </c>
      <c r="O253">
        <f>IF($B253="","",IF(M253=0,0,N253/M253))</f>
        <v/>
      </c>
    </row>
    <row r="254">
      <c r="A254">
        <f>IF($B254="","",ROW()-5)</f>
        <v/>
      </c>
      <c r="D254">
        <f>IF($B254="","",IF(C254="","",TEXT(C254,"MMM")))</f>
        <v/>
      </c>
      <c r="K254">
        <f>IF($B254="","",IF(I254=0,0,J254/I254))</f>
        <v/>
      </c>
      <c r="O254">
        <f>IF($B254="","",IF(M254=0,0,N254/M254))</f>
        <v/>
      </c>
    </row>
    <row r="255">
      <c r="A255">
        <f>IF($B255="","",ROW()-5)</f>
        <v/>
      </c>
      <c r="D255">
        <f>IF($B255="","",IF(C255="","",TEXT(C255,"MMM")))</f>
        <v/>
      </c>
      <c r="K255">
        <f>IF($B255="","",IF(I255=0,0,J255/I255))</f>
        <v/>
      </c>
      <c r="O255">
        <f>IF($B255="","",IF(M255=0,0,N255/M255))</f>
        <v/>
      </c>
    </row>
    <row r="256">
      <c r="A256">
        <f>IF($B256="","",ROW()-5)</f>
        <v/>
      </c>
      <c r="D256">
        <f>IF($B256="","",IF(C256="","",TEXT(C256,"MMM")))</f>
        <v/>
      </c>
      <c r="K256">
        <f>IF($B256="","",IF(I256=0,0,J256/I256))</f>
        <v/>
      </c>
      <c r="O256">
        <f>IF($B256="","",IF(M256=0,0,N256/M256))</f>
        <v/>
      </c>
    </row>
    <row r="257">
      <c r="A257">
        <f>IF($B257="","",ROW()-5)</f>
        <v/>
      </c>
      <c r="D257">
        <f>IF($B257="","",IF(C257="","",TEXT(C257,"MMM")))</f>
        <v/>
      </c>
      <c r="K257">
        <f>IF($B257="","",IF(I257=0,0,J257/I257))</f>
        <v/>
      </c>
      <c r="O257">
        <f>IF($B257="","",IF(M257=0,0,N257/M257))</f>
        <v/>
      </c>
    </row>
    <row r="258">
      <c r="A258">
        <f>IF($B258="","",ROW()-5)</f>
        <v/>
      </c>
      <c r="D258">
        <f>IF($B258="","",IF(C258="","",TEXT(C258,"MMM")))</f>
        <v/>
      </c>
      <c r="K258">
        <f>IF($B258="","",IF(I258=0,0,J258/I258))</f>
        <v/>
      </c>
      <c r="O258">
        <f>IF($B258="","",IF(M258=0,0,N258/M258))</f>
        <v/>
      </c>
    </row>
    <row r="259">
      <c r="A259">
        <f>IF($B259="","",ROW()-5)</f>
        <v/>
      </c>
      <c r="D259">
        <f>IF($B259="","",IF(C259="","",TEXT(C259,"MMM")))</f>
        <v/>
      </c>
      <c r="K259">
        <f>IF($B259="","",IF(I259=0,0,J259/I259))</f>
        <v/>
      </c>
      <c r="O259">
        <f>IF($B259="","",IF(M259=0,0,N259/M259))</f>
        <v/>
      </c>
    </row>
    <row r="260">
      <c r="A260">
        <f>IF($B260="","",ROW()-5)</f>
        <v/>
      </c>
      <c r="D260">
        <f>IF($B260="","",IF(C260="","",TEXT(C260,"MMM")))</f>
        <v/>
      </c>
      <c r="K260">
        <f>IF($B260="","",IF(I260=0,0,J260/I260))</f>
        <v/>
      </c>
      <c r="O260">
        <f>IF($B260="","",IF(M260=0,0,N260/M260))</f>
        <v/>
      </c>
    </row>
    <row r="261">
      <c r="A261">
        <f>IF($B261="","",ROW()-5)</f>
        <v/>
      </c>
      <c r="D261">
        <f>IF($B261="","",IF(C261="","",TEXT(C261,"MMM")))</f>
        <v/>
      </c>
      <c r="K261">
        <f>IF($B261="","",IF(I261=0,0,J261/I261))</f>
        <v/>
      </c>
      <c r="O261">
        <f>IF($B261="","",IF(M261=0,0,N261/M261))</f>
        <v/>
      </c>
    </row>
    <row r="262">
      <c r="A262">
        <f>IF($B262="","",ROW()-5)</f>
        <v/>
      </c>
      <c r="D262">
        <f>IF($B262="","",IF(C262="","",TEXT(C262,"MMM")))</f>
        <v/>
      </c>
      <c r="K262">
        <f>IF($B262="","",IF(I262=0,0,J262/I262))</f>
        <v/>
      </c>
      <c r="O262">
        <f>IF($B262="","",IF(M262=0,0,N262/M262))</f>
        <v/>
      </c>
    </row>
    <row r="263">
      <c r="A263">
        <f>IF($B263="","",ROW()-5)</f>
        <v/>
      </c>
      <c r="D263">
        <f>IF($B263="","",IF(C263="","",TEXT(C263,"MMM")))</f>
        <v/>
      </c>
      <c r="K263">
        <f>IF($B263="","",IF(I263=0,0,J263/I263))</f>
        <v/>
      </c>
      <c r="O263">
        <f>IF($B263="","",IF(M263=0,0,N263/M263))</f>
        <v/>
      </c>
    </row>
    <row r="264">
      <c r="A264">
        <f>IF($B264="","",ROW()-5)</f>
        <v/>
      </c>
      <c r="D264">
        <f>IF($B264="","",IF(C264="","",TEXT(C264,"MMM")))</f>
        <v/>
      </c>
      <c r="K264">
        <f>IF($B264="","",IF(I264=0,0,J264/I264))</f>
        <v/>
      </c>
      <c r="O264">
        <f>IF($B264="","",IF(M264=0,0,N264/M264))</f>
        <v/>
      </c>
    </row>
    <row r="265">
      <c r="A265">
        <f>IF($B265="","",ROW()-5)</f>
        <v/>
      </c>
      <c r="D265">
        <f>IF($B265="","",IF(C265="","",TEXT(C265,"MMM")))</f>
        <v/>
      </c>
      <c r="K265">
        <f>IF($B265="","",IF(I265=0,0,J265/I265))</f>
        <v/>
      </c>
      <c r="O265">
        <f>IF($B265="","",IF(M265=0,0,N265/M265))</f>
        <v/>
      </c>
    </row>
    <row r="266">
      <c r="A266">
        <f>IF($B266="","",ROW()-5)</f>
        <v/>
      </c>
      <c r="D266">
        <f>IF($B266="","",IF(C266="","",TEXT(C266,"MMM")))</f>
        <v/>
      </c>
      <c r="K266">
        <f>IF($B266="","",IF(I266=0,0,J266/I266))</f>
        <v/>
      </c>
      <c r="O266">
        <f>IF($B266="","",IF(M266=0,0,N266/M266))</f>
        <v/>
      </c>
    </row>
    <row r="267">
      <c r="A267">
        <f>IF($B267="","",ROW()-5)</f>
        <v/>
      </c>
      <c r="D267">
        <f>IF($B267="","",IF(C267="","",TEXT(C267,"MMM")))</f>
        <v/>
      </c>
      <c r="K267">
        <f>IF($B267="","",IF(I267=0,0,J267/I267))</f>
        <v/>
      </c>
      <c r="O267">
        <f>IF($B267="","",IF(M267=0,0,N267/M267))</f>
        <v/>
      </c>
    </row>
    <row r="268">
      <c r="A268">
        <f>IF($B268="","",ROW()-5)</f>
        <v/>
      </c>
      <c r="D268">
        <f>IF($B268="","",IF(C268="","",TEXT(C268,"MMM")))</f>
        <v/>
      </c>
      <c r="K268">
        <f>IF($B268="","",IF(I268=0,0,J268/I268))</f>
        <v/>
      </c>
      <c r="O268">
        <f>IF($B268="","",IF(M268=0,0,N268/M268))</f>
        <v/>
      </c>
    </row>
    <row r="269">
      <c r="A269">
        <f>IF($B269="","",ROW()-5)</f>
        <v/>
      </c>
      <c r="D269">
        <f>IF($B269="","",IF(C269="","",TEXT(C269,"MMM")))</f>
        <v/>
      </c>
      <c r="K269">
        <f>IF($B269="","",IF(I269=0,0,J269/I269))</f>
        <v/>
      </c>
      <c r="O269">
        <f>IF($B269="","",IF(M269=0,0,N269/M269))</f>
        <v/>
      </c>
    </row>
    <row r="270">
      <c r="A270">
        <f>IF($B270="","",ROW()-5)</f>
        <v/>
      </c>
      <c r="D270">
        <f>IF($B270="","",IF(C270="","",TEXT(C270,"MMM")))</f>
        <v/>
      </c>
      <c r="K270">
        <f>IF($B270="","",IF(I270=0,0,J270/I270))</f>
        <v/>
      </c>
      <c r="O270">
        <f>IF($B270="","",IF(M270=0,0,N270/M270))</f>
        <v/>
      </c>
    </row>
    <row r="271">
      <c r="A271">
        <f>IF($B271="","",ROW()-5)</f>
        <v/>
      </c>
      <c r="D271">
        <f>IF($B271="","",IF(C271="","",TEXT(C271,"MMM")))</f>
        <v/>
      </c>
      <c r="K271">
        <f>IF($B271="","",IF(I271=0,0,J271/I271))</f>
        <v/>
      </c>
      <c r="O271">
        <f>IF($B271="","",IF(M271=0,0,N271/M271))</f>
        <v/>
      </c>
    </row>
    <row r="272">
      <c r="A272">
        <f>IF($B272="","",ROW()-5)</f>
        <v/>
      </c>
      <c r="D272">
        <f>IF($B272="","",IF(C272="","",TEXT(C272,"MMM")))</f>
        <v/>
      </c>
      <c r="K272">
        <f>IF($B272="","",IF(I272=0,0,J272/I272))</f>
        <v/>
      </c>
      <c r="O272">
        <f>IF($B272="","",IF(M272=0,0,N272/M272))</f>
        <v/>
      </c>
    </row>
    <row r="273">
      <c r="A273">
        <f>IF($B273="","",ROW()-5)</f>
        <v/>
      </c>
      <c r="D273">
        <f>IF($B273="","",IF(C273="","",TEXT(C273,"MMM")))</f>
        <v/>
      </c>
      <c r="K273">
        <f>IF($B273="","",IF(I273=0,0,J273/I273))</f>
        <v/>
      </c>
      <c r="O273">
        <f>IF($B273="","",IF(M273=0,0,N273/M273))</f>
        <v/>
      </c>
    </row>
    <row r="274">
      <c r="A274">
        <f>IF($B274="","",ROW()-5)</f>
        <v/>
      </c>
      <c r="D274">
        <f>IF($B274="","",IF(C274="","",TEXT(C274,"MMM")))</f>
        <v/>
      </c>
      <c r="K274">
        <f>IF($B274="","",IF(I274=0,0,J274/I274))</f>
        <v/>
      </c>
      <c r="O274">
        <f>IF($B274="","",IF(M274=0,0,N274/M274))</f>
        <v/>
      </c>
    </row>
    <row r="275">
      <c r="A275">
        <f>IF($B275="","",ROW()-5)</f>
        <v/>
      </c>
      <c r="D275">
        <f>IF($B275="","",IF(C275="","",TEXT(C275,"MMM")))</f>
        <v/>
      </c>
      <c r="K275">
        <f>IF($B275="","",IF(I275=0,0,J275/I275))</f>
        <v/>
      </c>
      <c r="O275">
        <f>IF($B275="","",IF(M275=0,0,N275/M275))</f>
        <v/>
      </c>
    </row>
    <row r="276">
      <c r="A276">
        <f>IF($B276="","",ROW()-5)</f>
        <v/>
      </c>
      <c r="D276">
        <f>IF($B276="","",IF(C276="","",TEXT(C276,"MMM")))</f>
        <v/>
      </c>
      <c r="K276">
        <f>IF($B276="","",IF(I276=0,0,J276/I276))</f>
        <v/>
      </c>
      <c r="O276">
        <f>IF($B276="","",IF(M276=0,0,N276/M276))</f>
        <v/>
      </c>
    </row>
    <row r="277">
      <c r="A277">
        <f>IF($B277="","",ROW()-5)</f>
        <v/>
      </c>
      <c r="D277">
        <f>IF($B277="","",IF(C277="","",TEXT(C277,"MMM")))</f>
        <v/>
      </c>
      <c r="K277">
        <f>IF($B277="","",IF(I277=0,0,J277/I277))</f>
        <v/>
      </c>
      <c r="O277">
        <f>IF($B277="","",IF(M277=0,0,N277/M277))</f>
        <v/>
      </c>
    </row>
    <row r="278">
      <c r="A278">
        <f>IF($B278="","",ROW()-5)</f>
        <v/>
      </c>
      <c r="D278">
        <f>IF($B278="","",IF(C278="","",TEXT(C278,"MMM")))</f>
        <v/>
      </c>
      <c r="K278">
        <f>IF($B278="","",IF(I278=0,0,J278/I278))</f>
        <v/>
      </c>
      <c r="O278">
        <f>IF($B278="","",IF(M278=0,0,N278/M278))</f>
        <v/>
      </c>
    </row>
    <row r="279">
      <c r="A279">
        <f>IF($B279="","",ROW()-5)</f>
        <v/>
      </c>
      <c r="D279">
        <f>IF($B279="","",IF(C279="","",TEXT(C279,"MMM")))</f>
        <v/>
      </c>
      <c r="K279">
        <f>IF($B279="","",IF(I279=0,0,J279/I279))</f>
        <v/>
      </c>
      <c r="O279">
        <f>IF($B279="","",IF(M279=0,0,N279/M279))</f>
        <v/>
      </c>
    </row>
    <row r="280">
      <c r="A280">
        <f>IF($B280="","",ROW()-5)</f>
        <v/>
      </c>
      <c r="D280">
        <f>IF($B280="","",IF(C280="","",TEXT(C280,"MMM")))</f>
        <v/>
      </c>
      <c r="K280">
        <f>IF($B280="","",IF(I280=0,0,J280/I280))</f>
        <v/>
      </c>
      <c r="O280">
        <f>IF($B280="","",IF(M280=0,0,N280/M280))</f>
        <v/>
      </c>
    </row>
    <row r="281">
      <c r="A281">
        <f>IF($B281="","",ROW()-5)</f>
        <v/>
      </c>
      <c r="D281">
        <f>IF($B281="","",IF(C281="","",TEXT(C281,"MMM")))</f>
        <v/>
      </c>
      <c r="K281">
        <f>IF($B281="","",IF(I281=0,0,J281/I281))</f>
        <v/>
      </c>
      <c r="O281">
        <f>IF($B281="","",IF(M281=0,0,N281/M281))</f>
        <v/>
      </c>
    </row>
    <row r="282">
      <c r="A282">
        <f>IF($B282="","",ROW()-5)</f>
        <v/>
      </c>
      <c r="D282">
        <f>IF($B282="","",IF(C282="","",TEXT(C282,"MMM")))</f>
        <v/>
      </c>
      <c r="K282">
        <f>IF($B282="","",IF(I282=0,0,J282/I282))</f>
        <v/>
      </c>
      <c r="O282">
        <f>IF($B282="","",IF(M282=0,0,N282/M282))</f>
        <v/>
      </c>
    </row>
    <row r="283">
      <c r="A283">
        <f>IF($B283="","",ROW()-5)</f>
        <v/>
      </c>
      <c r="D283">
        <f>IF($B283="","",IF(C283="","",TEXT(C283,"MMM")))</f>
        <v/>
      </c>
      <c r="K283">
        <f>IF($B283="","",IF(I283=0,0,J283/I283))</f>
        <v/>
      </c>
      <c r="O283">
        <f>IF($B283="","",IF(M283=0,0,N283/M283))</f>
        <v/>
      </c>
    </row>
    <row r="284">
      <c r="A284">
        <f>IF($B284="","",ROW()-5)</f>
        <v/>
      </c>
      <c r="D284">
        <f>IF($B284="","",IF(C284="","",TEXT(C284,"MMM")))</f>
        <v/>
      </c>
      <c r="K284">
        <f>IF($B284="","",IF(I284=0,0,J284/I284))</f>
        <v/>
      </c>
      <c r="O284">
        <f>IF($B284="","",IF(M284=0,0,N284/M284))</f>
        <v/>
      </c>
    </row>
    <row r="285">
      <c r="A285">
        <f>IF($B285="","",ROW()-5)</f>
        <v/>
      </c>
      <c r="D285">
        <f>IF($B285="","",IF(C285="","",TEXT(C285,"MMM")))</f>
        <v/>
      </c>
      <c r="K285">
        <f>IF($B285="","",IF(I285=0,0,J285/I285))</f>
        <v/>
      </c>
      <c r="O285">
        <f>IF($B285="","",IF(M285=0,0,N285/M285))</f>
        <v/>
      </c>
    </row>
    <row r="286">
      <c r="A286">
        <f>IF($B286="","",ROW()-5)</f>
        <v/>
      </c>
      <c r="D286">
        <f>IF($B286="","",IF(C286="","",TEXT(C286,"MMM")))</f>
        <v/>
      </c>
      <c r="K286">
        <f>IF($B286="","",IF(I286=0,0,J286/I286))</f>
        <v/>
      </c>
      <c r="O286">
        <f>IF($B286="","",IF(M286=0,0,N286/M286))</f>
        <v/>
      </c>
    </row>
    <row r="287">
      <c r="A287">
        <f>IF($B287="","",ROW()-5)</f>
        <v/>
      </c>
      <c r="D287">
        <f>IF($B287="","",IF(C287="","",TEXT(C287,"MMM")))</f>
        <v/>
      </c>
      <c r="K287">
        <f>IF($B287="","",IF(I287=0,0,J287/I287))</f>
        <v/>
      </c>
      <c r="O287">
        <f>IF($B287="","",IF(M287=0,0,N287/M287))</f>
        <v/>
      </c>
    </row>
    <row r="288">
      <c r="A288">
        <f>IF($B288="","",ROW()-5)</f>
        <v/>
      </c>
      <c r="D288">
        <f>IF($B288="","",IF(C288="","",TEXT(C288,"MMM")))</f>
        <v/>
      </c>
      <c r="K288">
        <f>IF($B288="","",IF(I288=0,0,J288/I288))</f>
        <v/>
      </c>
      <c r="O288">
        <f>IF($B288="","",IF(M288=0,0,N288/M288))</f>
        <v/>
      </c>
    </row>
    <row r="289">
      <c r="A289">
        <f>IF($B289="","",ROW()-5)</f>
        <v/>
      </c>
      <c r="D289">
        <f>IF($B289="","",IF(C289="","",TEXT(C289,"MMM")))</f>
        <v/>
      </c>
      <c r="K289">
        <f>IF($B289="","",IF(I289=0,0,J289/I289))</f>
        <v/>
      </c>
      <c r="O289">
        <f>IF($B289="","",IF(M289=0,0,N289/M289))</f>
        <v/>
      </c>
    </row>
    <row r="290">
      <c r="A290">
        <f>IF($B290="","",ROW()-5)</f>
        <v/>
      </c>
      <c r="D290">
        <f>IF($B290="","",IF(C290="","",TEXT(C290,"MMM")))</f>
        <v/>
      </c>
      <c r="K290">
        <f>IF($B290="","",IF(I290=0,0,J290/I290))</f>
        <v/>
      </c>
      <c r="O290">
        <f>IF($B290="","",IF(M290=0,0,N290/M290))</f>
        <v/>
      </c>
    </row>
    <row r="291">
      <c r="A291">
        <f>IF($B291="","",ROW()-5)</f>
        <v/>
      </c>
      <c r="D291">
        <f>IF($B291="","",IF(C291="","",TEXT(C291,"MMM")))</f>
        <v/>
      </c>
      <c r="K291">
        <f>IF($B291="","",IF(I291=0,0,J291/I291))</f>
        <v/>
      </c>
      <c r="O291">
        <f>IF($B291="","",IF(M291=0,0,N291/M291))</f>
        <v/>
      </c>
    </row>
    <row r="292">
      <c r="A292">
        <f>IF($B292="","",ROW()-5)</f>
        <v/>
      </c>
      <c r="D292">
        <f>IF($B292="","",IF(C292="","",TEXT(C292,"MMM")))</f>
        <v/>
      </c>
      <c r="K292">
        <f>IF($B292="","",IF(I292=0,0,J292/I292))</f>
        <v/>
      </c>
      <c r="O292">
        <f>IF($B292="","",IF(M292=0,0,N292/M292))</f>
        <v/>
      </c>
    </row>
    <row r="293">
      <c r="A293">
        <f>IF($B293="","",ROW()-5)</f>
        <v/>
      </c>
      <c r="D293">
        <f>IF($B293="","",IF(C293="","",TEXT(C293,"MMM")))</f>
        <v/>
      </c>
      <c r="K293">
        <f>IF($B293="","",IF(I293=0,0,J293/I293))</f>
        <v/>
      </c>
      <c r="O293">
        <f>IF($B293="","",IF(M293=0,0,N293/M293))</f>
        <v/>
      </c>
    </row>
    <row r="294">
      <c r="A294">
        <f>IF($B294="","",ROW()-5)</f>
        <v/>
      </c>
      <c r="D294">
        <f>IF($B294="","",IF(C294="","",TEXT(C294,"MMM")))</f>
        <v/>
      </c>
      <c r="K294">
        <f>IF($B294="","",IF(I294=0,0,J294/I294))</f>
        <v/>
      </c>
      <c r="O294">
        <f>IF($B294="","",IF(M294=0,0,N294/M294))</f>
        <v/>
      </c>
    </row>
    <row r="295">
      <c r="A295">
        <f>IF($B295="","",ROW()-5)</f>
        <v/>
      </c>
      <c r="D295">
        <f>IF($B295="","",IF(C295="","",TEXT(C295,"MMM")))</f>
        <v/>
      </c>
      <c r="K295">
        <f>IF($B295="","",IF(I295=0,0,J295/I295))</f>
        <v/>
      </c>
      <c r="O295">
        <f>IF($B295="","",IF(M295=0,0,N295/M295))</f>
        <v/>
      </c>
    </row>
    <row r="296">
      <c r="A296">
        <f>IF($B296="","",ROW()-5)</f>
        <v/>
      </c>
      <c r="D296">
        <f>IF($B296="","",IF(C296="","",TEXT(C296,"MMM")))</f>
        <v/>
      </c>
      <c r="K296">
        <f>IF($B296="","",IF(I296=0,0,J296/I296))</f>
        <v/>
      </c>
      <c r="O296">
        <f>IF($B296="","",IF(M296=0,0,N296/M296))</f>
        <v/>
      </c>
    </row>
    <row r="297">
      <c r="A297">
        <f>IF($B297="","",ROW()-5)</f>
        <v/>
      </c>
      <c r="D297">
        <f>IF($B297="","",IF(C297="","",TEXT(C297,"MMM")))</f>
        <v/>
      </c>
      <c r="K297">
        <f>IF($B297="","",IF(I297=0,0,J297/I297))</f>
        <v/>
      </c>
      <c r="O297">
        <f>IF($B297="","",IF(M297=0,0,N297/M297))</f>
        <v/>
      </c>
    </row>
    <row r="298">
      <c r="A298">
        <f>IF($B298="","",ROW()-5)</f>
        <v/>
      </c>
      <c r="D298">
        <f>IF($B298="","",IF(C298="","",TEXT(C298,"MMM")))</f>
        <v/>
      </c>
      <c r="K298">
        <f>IF($B298="","",IF(I298=0,0,J298/I298))</f>
        <v/>
      </c>
      <c r="O298">
        <f>IF($B298="","",IF(M298=0,0,N298/M298))</f>
        <v/>
      </c>
    </row>
    <row r="299">
      <c r="A299">
        <f>IF($B299="","",ROW()-5)</f>
        <v/>
      </c>
      <c r="D299">
        <f>IF($B299="","",IF(C299="","",TEXT(C299,"MMM")))</f>
        <v/>
      </c>
      <c r="K299">
        <f>IF($B299="","",IF(I299=0,0,J299/I299))</f>
        <v/>
      </c>
      <c r="O299">
        <f>IF($B299="","",IF(M299=0,0,N299/M299))</f>
        <v/>
      </c>
    </row>
    <row r="300">
      <c r="A300">
        <f>IF($B300="","",ROW()-5)</f>
        <v/>
      </c>
      <c r="D300">
        <f>IF($B300="","",IF(C300="","",TEXT(C300,"MMM")))</f>
        <v/>
      </c>
      <c r="K300">
        <f>IF($B300="","",IF(I300=0,0,J300/I300))</f>
        <v/>
      </c>
      <c r="O300">
        <f>IF($B300="","",IF(M300=0,0,N300/M300))</f>
        <v/>
      </c>
    </row>
    <row r="301">
      <c r="A301">
        <f>IF($B301="","",ROW()-5)</f>
        <v/>
      </c>
      <c r="D301">
        <f>IF($B301="","",IF(C301="","",TEXT(C301,"MMM")))</f>
        <v/>
      </c>
      <c r="K301">
        <f>IF($B301="","",IF(I301=0,0,J301/I301))</f>
        <v/>
      </c>
      <c r="O301">
        <f>IF($B301="","",IF(M301=0,0,N301/M301))</f>
        <v/>
      </c>
    </row>
    <row r="302">
      <c r="A302">
        <f>IF($B302="","",ROW()-5)</f>
        <v/>
      </c>
      <c r="D302">
        <f>IF($B302="","",IF(C302="","",TEXT(C302,"MMM")))</f>
        <v/>
      </c>
      <c r="K302">
        <f>IF($B302="","",IF(I302=0,0,J302/I302))</f>
        <v/>
      </c>
      <c r="O302">
        <f>IF($B302="","",IF(M302=0,0,N302/M302))</f>
        <v/>
      </c>
    </row>
    <row r="303">
      <c r="A303">
        <f>IF($B303="","",ROW()-5)</f>
        <v/>
      </c>
      <c r="D303">
        <f>IF($B303="","",IF(C303="","",TEXT(C303,"MMM")))</f>
        <v/>
      </c>
      <c r="K303">
        <f>IF($B303="","",IF(I303=0,0,J303/I303))</f>
        <v/>
      </c>
      <c r="O303">
        <f>IF($B303="","",IF(M303=0,0,N303/M303))</f>
        <v/>
      </c>
    </row>
    <row r="304">
      <c r="A304">
        <f>IF($B304="","",ROW()-5)</f>
        <v/>
      </c>
      <c r="D304">
        <f>IF($B304="","",IF(C304="","",TEXT(C304,"MMM")))</f>
        <v/>
      </c>
      <c r="K304">
        <f>IF($B304="","",IF(I304=0,0,J304/I304))</f>
        <v/>
      </c>
      <c r="O304">
        <f>IF($B304="","",IF(M304=0,0,N304/M304))</f>
        <v/>
      </c>
    </row>
    <row r="305">
      <c r="A305">
        <f>IF($B305="","",ROW()-5)</f>
        <v/>
      </c>
      <c r="D305">
        <f>IF($B305="","",IF(C305="","",TEXT(C305,"MMM")))</f>
        <v/>
      </c>
      <c r="K305">
        <f>IF($B305="","",IF(I305=0,0,J305/I305))</f>
        <v/>
      </c>
      <c r="O305">
        <f>IF($B305="","",IF(M305=0,0,N305/M305))</f>
        <v/>
      </c>
    </row>
    <row r="306">
      <c r="A306">
        <f>IF($B306="","",ROW()-5)</f>
        <v/>
      </c>
      <c r="D306">
        <f>IF($B306="","",IF(C306="","",TEXT(C306,"MMM")))</f>
        <v/>
      </c>
      <c r="K306">
        <f>IF($B306="","",IF(I306=0,0,J306/I306))</f>
        <v/>
      </c>
      <c r="O306">
        <f>IF($B306="","",IF(M306=0,0,N306/M306))</f>
        <v/>
      </c>
    </row>
    <row r="307">
      <c r="A307">
        <f>IF($B307="","",ROW()-5)</f>
        <v/>
      </c>
      <c r="D307">
        <f>IF($B307="","",IF(C307="","",TEXT(C307,"MMM")))</f>
        <v/>
      </c>
      <c r="K307">
        <f>IF($B307="","",IF(I307=0,0,J307/I307))</f>
        <v/>
      </c>
      <c r="O307">
        <f>IF($B307="","",IF(M307=0,0,N307/M307))</f>
        <v/>
      </c>
    </row>
    <row r="308">
      <c r="A308">
        <f>IF($B308="","",ROW()-5)</f>
        <v/>
      </c>
      <c r="D308">
        <f>IF($B308="","",IF(C308="","",TEXT(C308,"MMM")))</f>
        <v/>
      </c>
      <c r="K308">
        <f>IF($B308="","",IF(I308=0,0,J308/I308))</f>
        <v/>
      </c>
      <c r="O308">
        <f>IF($B308="","",IF(M308=0,0,N308/M308))</f>
        <v/>
      </c>
    </row>
    <row r="309">
      <c r="A309">
        <f>IF($B309="","",ROW()-5)</f>
        <v/>
      </c>
      <c r="D309">
        <f>IF($B309="","",IF(C309="","",TEXT(C309,"MMM")))</f>
        <v/>
      </c>
      <c r="K309">
        <f>IF($B309="","",IF(I309=0,0,J309/I309))</f>
        <v/>
      </c>
      <c r="O309">
        <f>IF($B309="","",IF(M309=0,0,N309/M309))</f>
        <v/>
      </c>
    </row>
    <row r="310">
      <c r="A310">
        <f>IF($B310="","",ROW()-5)</f>
        <v/>
      </c>
      <c r="D310">
        <f>IF($B310="","",IF(C310="","",TEXT(C310,"MMM")))</f>
        <v/>
      </c>
      <c r="K310">
        <f>IF($B310="","",IF(I310=0,0,J310/I310))</f>
        <v/>
      </c>
      <c r="O310">
        <f>IF($B310="","",IF(M310=0,0,N310/M310))</f>
        <v/>
      </c>
    </row>
    <row r="311">
      <c r="A311">
        <f>IF($B311="","",ROW()-5)</f>
        <v/>
      </c>
      <c r="D311">
        <f>IF($B311="","",IF(C311="","",TEXT(C311,"MMM")))</f>
        <v/>
      </c>
      <c r="K311">
        <f>IF($B311="","",IF(I311=0,0,J311/I311))</f>
        <v/>
      </c>
      <c r="O311">
        <f>IF($B311="","",IF(M311=0,0,N311/M311))</f>
        <v/>
      </c>
    </row>
    <row r="312">
      <c r="A312">
        <f>IF($B312="","",ROW()-5)</f>
        <v/>
      </c>
      <c r="D312">
        <f>IF($B312="","",IF(C312="","",TEXT(C312,"MMM")))</f>
        <v/>
      </c>
      <c r="K312">
        <f>IF($B312="","",IF(I312=0,0,J312/I312))</f>
        <v/>
      </c>
      <c r="O312">
        <f>IF($B312="","",IF(M312=0,0,N312/M312))</f>
        <v/>
      </c>
    </row>
    <row r="313">
      <c r="A313">
        <f>IF($B313="","",ROW()-5)</f>
        <v/>
      </c>
      <c r="D313">
        <f>IF($B313="","",IF(C313="","",TEXT(C313,"MMM")))</f>
        <v/>
      </c>
      <c r="K313">
        <f>IF($B313="","",IF(I313=0,0,J313/I313))</f>
        <v/>
      </c>
      <c r="O313">
        <f>IF($B313="","",IF(M313=0,0,N313/M313))</f>
        <v/>
      </c>
    </row>
    <row r="314">
      <c r="A314">
        <f>IF($B314="","",ROW()-5)</f>
        <v/>
      </c>
      <c r="D314">
        <f>IF($B314="","",IF(C314="","",TEXT(C314,"MMM")))</f>
        <v/>
      </c>
      <c r="K314">
        <f>IF($B314="","",IF(I314=0,0,J314/I314))</f>
        <v/>
      </c>
      <c r="O314">
        <f>IF($B314="","",IF(M314=0,0,N314/M314))</f>
        <v/>
      </c>
    </row>
    <row r="315">
      <c r="A315">
        <f>IF($B315="","",ROW()-5)</f>
        <v/>
      </c>
      <c r="D315">
        <f>IF($B315="","",IF(C315="","",TEXT(C315,"MMM")))</f>
        <v/>
      </c>
      <c r="K315">
        <f>IF($B315="","",IF(I315=0,0,J315/I315))</f>
        <v/>
      </c>
      <c r="O315">
        <f>IF($B315="","",IF(M315=0,0,N315/M315))</f>
        <v/>
      </c>
    </row>
    <row r="316">
      <c r="A316">
        <f>IF($B316="","",ROW()-5)</f>
        <v/>
      </c>
      <c r="D316">
        <f>IF($B316="","",IF(C316="","",TEXT(C316,"MMM")))</f>
        <v/>
      </c>
      <c r="K316">
        <f>IF($B316="","",IF(I316=0,0,J316/I316))</f>
        <v/>
      </c>
      <c r="O316">
        <f>IF($B316="","",IF(M316=0,0,N316/M316))</f>
        <v/>
      </c>
    </row>
    <row r="317">
      <c r="A317">
        <f>IF($B317="","",ROW()-5)</f>
        <v/>
      </c>
      <c r="D317">
        <f>IF($B317="","",IF(C317="","",TEXT(C317,"MMM")))</f>
        <v/>
      </c>
      <c r="K317">
        <f>IF($B317="","",IF(I317=0,0,J317/I317))</f>
        <v/>
      </c>
      <c r="O317">
        <f>IF($B317="","",IF(M317=0,0,N317/M317))</f>
        <v/>
      </c>
    </row>
    <row r="318">
      <c r="A318">
        <f>IF($B318="","",ROW()-5)</f>
        <v/>
      </c>
      <c r="D318">
        <f>IF($B318="","",IF(C318="","",TEXT(C318,"MMM")))</f>
        <v/>
      </c>
      <c r="K318">
        <f>IF($B318="","",IF(I318=0,0,J318/I318))</f>
        <v/>
      </c>
      <c r="O318">
        <f>IF($B318="","",IF(M318=0,0,N318/M318))</f>
        <v/>
      </c>
    </row>
    <row r="319">
      <c r="A319">
        <f>IF($B319="","",ROW()-5)</f>
        <v/>
      </c>
      <c r="D319">
        <f>IF($B319="","",IF(C319="","",TEXT(C319,"MMM")))</f>
        <v/>
      </c>
      <c r="K319">
        <f>IF($B319="","",IF(I319=0,0,J319/I319))</f>
        <v/>
      </c>
      <c r="O319">
        <f>IF($B319="","",IF(M319=0,0,N319/M319))</f>
        <v/>
      </c>
    </row>
    <row r="320">
      <c r="A320">
        <f>IF($B320="","",ROW()-5)</f>
        <v/>
      </c>
      <c r="D320">
        <f>IF($B320="","",IF(C320="","",TEXT(C320,"MMM")))</f>
        <v/>
      </c>
      <c r="K320">
        <f>IF($B320="","",IF(I320=0,0,J320/I320))</f>
        <v/>
      </c>
      <c r="O320">
        <f>IF($B320="","",IF(M320=0,0,N320/M320))</f>
        <v/>
      </c>
    </row>
    <row r="321">
      <c r="A321">
        <f>IF($B321="","",ROW()-5)</f>
        <v/>
      </c>
      <c r="D321">
        <f>IF($B321="","",IF(C321="","",TEXT(C321,"MMM")))</f>
        <v/>
      </c>
      <c r="K321">
        <f>IF($B321="","",IF(I321=0,0,J321/I321))</f>
        <v/>
      </c>
      <c r="O321">
        <f>IF($B321="","",IF(M321=0,0,N321/M321))</f>
        <v/>
      </c>
    </row>
    <row r="322">
      <c r="A322">
        <f>IF($B322="","",ROW()-5)</f>
        <v/>
      </c>
      <c r="D322">
        <f>IF($B322="","",IF(C322="","",TEXT(C322,"MMM")))</f>
        <v/>
      </c>
      <c r="K322">
        <f>IF($B322="","",IF(I322=0,0,J322/I322))</f>
        <v/>
      </c>
      <c r="O322">
        <f>IF($B322="","",IF(M322=0,0,N322/M322))</f>
        <v/>
      </c>
    </row>
    <row r="323">
      <c r="A323">
        <f>IF($B323="","",ROW()-5)</f>
        <v/>
      </c>
      <c r="D323">
        <f>IF($B323="","",IF(C323="","",TEXT(C323,"MMM")))</f>
        <v/>
      </c>
      <c r="K323">
        <f>IF($B323="","",IF(I323=0,0,J323/I323))</f>
        <v/>
      </c>
      <c r="O323">
        <f>IF($B323="","",IF(M323=0,0,N323/M323))</f>
        <v/>
      </c>
    </row>
    <row r="324">
      <c r="A324">
        <f>IF($B324="","",ROW()-5)</f>
        <v/>
      </c>
      <c r="D324">
        <f>IF($B324="","",IF(C324="","",TEXT(C324,"MMM")))</f>
        <v/>
      </c>
      <c r="K324">
        <f>IF($B324="","",IF(I324=0,0,J324/I324))</f>
        <v/>
      </c>
      <c r="O324">
        <f>IF($B324="","",IF(M324=0,0,N324/M324))</f>
        <v/>
      </c>
    </row>
    <row r="325">
      <c r="A325">
        <f>IF($B325="","",ROW()-5)</f>
        <v/>
      </c>
      <c r="D325">
        <f>IF($B325="","",IF(C325="","",TEXT(C325,"MMM")))</f>
        <v/>
      </c>
      <c r="K325">
        <f>IF($B325="","",IF(I325=0,0,J325/I325))</f>
        <v/>
      </c>
      <c r="O325">
        <f>IF($B325="","",IF(M325=0,0,N325/M325))</f>
        <v/>
      </c>
    </row>
    <row r="326">
      <c r="A326">
        <f>IF($B326="","",ROW()-5)</f>
        <v/>
      </c>
      <c r="D326">
        <f>IF($B326="","",IF(C326="","",TEXT(C326,"MMM")))</f>
        <v/>
      </c>
      <c r="K326">
        <f>IF($B326="","",IF(I326=0,0,J326/I326))</f>
        <v/>
      </c>
      <c r="O326">
        <f>IF($B326="","",IF(M326=0,0,N326/M326))</f>
        <v/>
      </c>
    </row>
    <row r="327">
      <c r="A327">
        <f>IF($B327="","",ROW()-5)</f>
        <v/>
      </c>
      <c r="D327">
        <f>IF($B327="","",IF(C327="","",TEXT(C327,"MMM")))</f>
        <v/>
      </c>
      <c r="K327">
        <f>IF($B327="","",IF(I327=0,0,J327/I327))</f>
        <v/>
      </c>
      <c r="O327">
        <f>IF($B327="","",IF(M327=0,0,N327/M327))</f>
        <v/>
      </c>
    </row>
    <row r="328">
      <c r="A328">
        <f>IF($B328="","",ROW()-5)</f>
        <v/>
      </c>
      <c r="D328">
        <f>IF($B328="","",IF(C328="","",TEXT(C328,"MMM")))</f>
        <v/>
      </c>
      <c r="K328">
        <f>IF($B328="","",IF(I328=0,0,J328/I328))</f>
        <v/>
      </c>
      <c r="O328">
        <f>IF($B328="","",IF(M328=0,0,N328/M328))</f>
        <v/>
      </c>
    </row>
    <row r="329">
      <c r="A329">
        <f>IF($B329="","",ROW()-5)</f>
        <v/>
      </c>
      <c r="D329">
        <f>IF($B329="","",IF(C329="","",TEXT(C329,"MMM")))</f>
        <v/>
      </c>
      <c r="K329">
        <f>IF($B329="","",IF(I329=0,0,J329/I329))</f>
        <v/>
      </c>
      <c r="O329">
        <f>IF($B329="","",IF(M329=0,0,N329/M329))</f>
        <v/>
      </c>
    </row>
    <row r="330">
      <c r="A330">
        <f>IF($B330="","",ROW()-5)</f>
        <v/>
      </c>
      <c r="D330">
        <f>IF($B330="","",IF(C330="","",TEXT(C330,"MMM")))</f>
        <v/>
      </c>
      <c r="K330">
        <f>IF($B330="","",IF(I330=0,0,J330/I330))</f>
        <v/>
      </c>
      <c r="O330">
        <f>IF($B330="","",IF(M330=0,0,N330/M330))</f>
        <v/>
      </c>
    </row>
    <row r="331">
      <c r="A331">
        <f>IF($B331="","",ROW()-5)</f>
        <v/>
      </c>
      <c r="D331">
        <f>IF($B331="","",IF(C331="","",TEXT(C331,"MMM")))</f>
        <v/>
      </c>
      <c r="K331">
        <f>IF($B331="","",IF(I331=0,0,J331/I331))</f>
        <v/>
      </c>
      <c r="O331">
        <f>IF($B331="","",IF(M331=0,0,N331/M331))</f>
        <v/>
      </c>
    </row>
    <row r="332">
      <c r="A332">
        <f>IF($B332="","",ROW()-5)</f>
        <v/>
      </c>
      <c r="D332">
        <f>IF($B332="","",IF(C332="","",TEXT(C332,"MMM")))</f>
        <v/>
      </c>
      <c r="K332">
        <f>IF($B332="","",IF(I332=0,0,J332/I332))</f>
        <v/>
      </c>
      <c r="O332">
        <f>IF($B332="","",IF(M332=0,0,N332/M332))</f>
        <v/>
      </c>
    </row>
    <row r="333">
      <c r="A333">
        <f>IF($B333="","",ROW()-5)</f>
        <v/>
      </c>
      <c r="D333">
        <f>IF($B333="","",IF(C333="","",TEXT(C333,"MMM")))</f>
        <v/>
      </c>
      <c r="K333">
        <f>IF($B333="","",IF(I333=0,0,J333/I333))</f>
        <v/>
      </c>
      <c r="O333">
        <f>IF($B333="","",IF(M333=0,0,N333/M333))</f>
        <v/>
      </c>
    </row>
    <row r="334">
      <c r="A334">
        <f>IF($B334="","",ROW()-5)</f>
        <v/>
      </c>
      <c r="D334">
        <f>IF($B334="","",IF(C334="","",TEXT(C334,"MMM")))</f>
        <v/>
      </c>
      <c r="K334">
        <f>IF($B334="","",IF(I334=0,0,J334/I334))</f>
        <v/>
      </c>
      <c r="O334">
        <f>IF($B334="","",IF(M334=0,0,N334/M334))</f>
        <v/>
      </c>
    </row>
    <row r="335">
      <c r="A335">
        <f>IF($B335="","",ROW()-5)</f>
        <v/>
      </c>
      <c r="D335">
        <f>IF($B335="","",IF(C335="","",TEXT(C335,"MMM")))</f>
        <v/>
      </c>
      <c r="K335">
        <f>IF($B335="","",IF(I335=0,0,J335/I335))</f>
        <v/>
      </c>
      <c r="O335">
        <f>IF($B335="","",IF(M335=0,0,N335/M335))</f>
        <v/>
      </c>
    </row>
    <row r="336">
      <c r="A336">
        <f>IF($B336="","",ROW()-5)</f>
        <v/>
      </c>
      <c r="D336">
        <f>IF($B336="","",IF(C336="","",TEXT(C336,"MMM")))</f>
        <v/>
      </c>
      <c r="K336">
        <f>IF($B336="","",IF(I336=0,0,J336/I336))</f>
        <v/>
      </c>
      <c r="O336">
        <f>IF($B336="","",IF(M336=0,0,N336/M336))</f>
        <v/>
      </c>
    </row>
    <row r="337">
      <c r="A337">
        <f>IF($B337="","",ROW()-5)</f>
        <v/>
      </c>
      <c r="D337">
        <f>IF($B337="","",IF(C337="","",TEXT(C337,"MMM")))</f>
        <v/>
      </c>
      <c r="K337">
        <f>IF($B337="","",IF(I337=0,0,J337/I337))</f>
        <v/>
      </c>
      <c r="O337">
        <f>IF($B337="","",IF(M337=0,0,N337/M337))</f>
        <v/>
      </c>
    </row>
    <row r="338">
      <c r="A338">
        <f>IF($B338="","",ROW()-5)</f>
        <v/>
      </c>
      <c r="D338">
        <f>IF($B338="","",IF(C338="","",TEXT(C338,"MMM")))</f>
        <v/>
      </c>
      <c r="K338">
        <f>IF($B338="","",IF(I338=0,0,J338/I338))</f>
        <v/>
      </c>
      <c r="O338">
        <f>IF($B338="","",IF(M338=0,0,N338/M338))</f>
        <v/>
      </c>
    </row>
    <row r="339">
      <c r="A339">
        <f>IF($B339="","",ROW()-5)</f>
        <v/>
      </c>
      <c r="D339">
        <f>IF($B339="","",IF(C339="","",TEXT(C339,"MMM")))</f>
        <v/>
      </c>
      <c r="K339">
        <f>IF($B339="","",IF(I339=0,0,J339/I339))</f>
        <v/>
      </c>
      <c r="O339">
        <f>IF($B339="","",IF(M339=0,0,N339/M339))</f>
        <v/>
      </c>
    </row>
    <row r="340">
      <c r="A340">
        <f>IF($B340="","",ROW()-5)</f>
        <v/>
      </c>
      <c r="D340">
        <f>IF($B340="","",IF(C340="","",TEXT(C340,"MMM")))</f>
        <v/>
      </c>
      <c r="K340">
        <f>IF($B340="","",IF(I340=0,0,J340/I340))</f>
        <v/>
      </c>
      <c r="O340">
        <f>IF($B340="","",IF(M340=0,0,N340/M340))</f>
        <v/>
      </c>
    </row>
    <row r="341">
      <c r="A341">
        <f>IF($B341="","",ROW()-5)</f>
        <v/>
      </c>
      <c r="D341">
        <f>IF($B341="","",IF(C341="","",TEXT(C341,"MMM")))</f>
        <v/>
      </c>
      <c r="K341">
        <f>IF($B341="","",IF(I341=0,0,J341/I341))</f>
        <v/>
      </c>
      <c r="O341">
        <f>IF($B341="","",IF(M341=0,0,N341/M341))</f>
        <v/>
      </c>
    </row>
    <row r="342">
      <c r="A342">
        <f>IF($B342="","",ROW()-5)</f>
        <v/>
      </c>
      <c r="D342">
        <f>IF($B342="","",IF(C342="","",TEXT(C342,"MMM")))</f>
        <v/>
      </c>
      <c r="K342">
        <f>IF($B342="","",IF(I342=0,0,J342/I342))</f>
        <v/>
      </c>
      <c r="O342">
        <f>IF($B342="","",IF(M342=0,0,N342/M342))</f>
        <v/>
      </c>
    </row>
    <row r="343">
      <c r="A343">
        <f>IF($B343="","",ROW()-5)</f>
        <v/>
      </c>
      <c r="D343">
        <f>IF($B343="","",IF(C343="","",TEXT(C343,"MMM")))</f>
        <v/>
      </c>
      <c r="K343">
        <f>IF($B343="","",IF(I343=0,0,J343/I343))</f>
        <v/>
      </c>
      <c r="O343">
        <f>IF($B343="","",IF(M343=0,0,N343/M343))</f>
        <v/>
      </c>
    </row>
    <row r="344">
      <c r="A344">
        <f>IF($B344="","",ROW()-5)</f>
        <v/>
      </c>
      <c r="D344">
        <f>IF($B344="","",IF(C344="","",TEXT(C344,"MMM")))</f>
        <v/>
      </c>
      <c r="K344">
        <f>IF($B344="","",IF(I344=0,0,J344/I344))</f>
        <v/>
      </c>
      <c r="O344">
        <f>IF($B344="","",IF(M344=0,0,N344/M344))</f>
        <v/>
      </c>
    </row>
    <row r="345">
      <c r="A345">
        <f>IF($B345="","",ROW()-5)</f>
        <v/>
      </c>
      <c r="D345">
        <f>IF($B345="","",IF(C345="","",TEXT(C345,"MMM")))</f>
        <v/>
      </c>
      <c r="K345">
        <f>IF($B345="","",IF(I345=0,0,J345/I345))</f>
        <v/>
      </c>
      <c r="O345">
        <f>IF($B345="","",IF(M345=0,0,N345/M345))</f>
        <v/>
      </c>
    </row>
    <row r="346">
      <c r="A346">
        <f>IF($B346="","",ROW()-5)</f>
        <v/>
      </c>
      <c r="D346">
        <f>IF($B346="","",IF(C346="","",TEXT(C346,"MMM")))</f>
        <v/>
      </c>
      <c r="K346">
        <f>IF($B346="","",IF(I346=0,0,J346/I346))</f>
        <v/>
      </c>
      <c r="O346">
        <f>IF($B346="","",IF(M346=0,0,N346/M346))</f>
        <v/>
      </c>
    </row>
    <row r="347">
      <c r="A347">
        <f>IF($B347="","",ROW()-5)</f>
        <v/>
      </c>
      <c r="D347">
        <f>IF($B347="","",IF(C347="","",TEXT(C347,"MMM")))</f>
        <v/>
      </c>
      <c r="K347">
        <f>IF($B347="","",IF(I347=0,0,J347/I347))</f>
        <v/>
      </c>
      <c r="O347">
        <f>IF($B347="","",IF(M347=0,0,N347/M347))</f>
        <v/>
      </c>
    </row>
    <row r="348">
      <c r="A348">
        <f>IF($B348="","",ROW()-5)</f>
        <v/>
      </c>
      <c r="D348">
        <f>IF($B348="","",IF(C348="","",TEXT(C348,"MMM")))</f>
        <v/>
      </c>
      <c r="K348">
        <f>IF($B348="","",IF(I348=0,0,J348/I348))</f>
        <v/>
      </c>
      <c r="O348">
        <f>IF($B348="","",IF(M348=0,0,N348/M348))</f>
        <v/>
      </c>
    </row>
    <row r="349">
      <c r="A349">
        <f>IF($B349="","",ROW()-5)</f>
        <v/>
      </c>
      <c r="D349">
        <f>IF($B349="","",IF(C349="","",TEXT(C349,"MMM")))</f>
        <v/>
      </c>
      <c r="K349">
        <f>IF($B349="","",IF(I349=0,0,J349/I349))</f>
        <v/>
      </c>
      <c r="O349">
        <f>IF($B349="","",IF(M349=0,0,N349/M349))</f>
        <v/>
      </c>
    </row>
    <row r="350">
      <c r="A350">
        <f>IF($B350="","",ROW()-5)</f>
        <v/>
      </c>
      <c r="D350">
        <f>IF($B350="","",IF(C350="","",TEXT(C350,"MMM")))</f>
        <v/>
      </c>
      <c r="K350">
        <f>IF($B350="","",IF(I350=0,0,J350/I350))</f>
        <v/>
      </c>
      <c r="O350">
        <f>IF($B350="","",IF(M350=0,0,N350/M350))</f>
        <v/>
      </c>
    </row>
    <row r="351">
      <c r="A351">
        <f>IF($B351="","",ROW()-5)</f>
        <v/>
      </c>
      <c r="D351">
        <f>IF($B351="","",IF(C351="","",TEXT(C351,"MMM")))</f>
        <v/>
      </c>
      <c r="K351">
        <f>IF($B351="","",IF(I351=0,0,J351/I351))</f>
        <v/>
      </c>
      <c r="O351">
        <f>IF($B351="","",IF(M351=0,0,N351/M351))</f>
        <v/>
      </c>
    </row>
    <row r="352">
      <c r="A352">
        <f>IF($B352="","",ROW()-5)</f>
        <v/>
      </c>
      <c r="D352">
        <f>IF($B352="","",IF(C352="","",TEXT(C352,"MMM")))</f>
        <v/>
      </c>
      <c r="K352">
        <f>IF($B352="","",IF(I352=0,0,J352/I352))</f>
        <v/>
      </c>
      <c r="O352">
        <f>IF($B352="","",IF(M352=0,0,N352/M352))</f>
        <v/>
      </c>
    </row>
    <row r="353">
      <c r="A353">
        <f>IF($B353="","",ROW()-5)</f>
        <v/>
      </c>
      <c r="D353">
        <f>IF($B353="","",IF(C353="","",TEXT(C353,"MMM")))</f>
        <v/>
      </c>
      <c r="K353">
        <f>IF($B353="","",IF(I353=0,0,J353/I353))</f>
        <v/>
      </c>
      <c r="O353">
        <f>IF($B353="","",IF(M353=0,0,N353/M353))</f>
        <v/>
      </c>
    </row>
    <row r="354">
      <c r="A354">
        <f>IF($B354="","",ROW()-5)</f>
        <v/>
      </c>
      <c r="D354">
        <f>IF($B354="","",IF(C354="","",TEXT(C354,"MMM")))</f>
        <v/>
      </c>
      <c r="K354">
        <f>IF($B354="","",IF(I354=0,0,J354/I354))</f>
        <v/>
      </c>
      <c r="O354">
        <f>IF($B354="","",IF(M354=0,0,N354/M354))</f>
        <v/>
      </c>
    </row>
    <row r="355">
      <c r="A355">
        <f>IF($B355="","",ROW()-5)</f>
        <v/>
      </c>
      <c r="D355">
        <f>IF($B355="","",IF(C355="","",TEXT(C355,"MMM")))</f>
        <v/>
      </c>
      <c r="K355">
        <f>IF($B355="","",IF(I355=0,0,J355/I355))</f>
        <v/>
      </c>
      <c r="O355">
        <f>IF($B355="","",IF(M355=0,0,N355/M355))</f>
        <v/>
      </c>
    </row>
    <row r="356">
      <c r="A356">
        <f>IF($B356="","",ROW()-5)</f>
        <v/>
      </c>
      <c r="D356">
        <f>IF($B356="","",IF(C356="","",TEXT(C356,"MMM")))</f>
        <v/>
      </c>
      <c r="K356">
        <f>IF($B356="","",IF(I356=0,0,J356/I356))</f>
        <v/>
      </c>
      <c r="O356">
        <f>IF($B356="","",IF(M356=0,0,N356/M356))</f>
        <v/>
      </c>
    </row>
    <row r="357">
      <c r="A357">
        <f>IF($B357="","",ROW()-5)</f>
        <v/>
      </c>
      <c r="D357">
        <f>IF($B357="","",IF(C357="","",TEXT(C357,"MMM")))</f>
        <v/>
      </c>
      <c r="K357">
        <f>IF($B357="","",IF(I357=0,0,J357/I357))</f>
        <v/>
      </c>
      <c r="O357">
        <f>IF($B357="","",IF(M357=0,0,N357/M357))</f>
        <v/>
      </c>
    </row>
    <row r="358">
      <c r="A358">
        <f>IF($B358="","",ROW()-5)</f>
        <v/>
      </c>
      <c r="D358">
        <f>IF($B358="","",IF(C358="","",TEXT(C358,"MMM")))</f>
        <v/>
      </c>
      <c r="K358">
        <f>IF($B358="","",IF(I358=0,0,J358/I358))</f>
        <v/>
      </c>
      <c r="O358">
        <f>IF($B358="","",IF(M358=0,0,N358/M358))</f>
        <v/>
      </c>
    </row>
    <row r="359">
      <c r="A359">
        <f>IF($B359="","",ROW()-5)</f>
        <v/>
      </c>
      <c r="D359">
        <f>IF($B359="","",IF(C359="","",TEXT(C359,"MMM")))</f>
        <v/>
      </c>
      <c r="K359">
        <f>IF($B359="","",IF(I359=0,0,J359/I359))</f>
        <v/>
      </c>
      <c r="O359">
        <f>IF($B359="","",IF(M359=0,0,N359/M359))</f>
        <v/>
      </c>
    </row>
    <row r="360">
      <c r="A360">
        <f>IF($B360="","",ROW()-5)</f>
        <v/>
      </c>
      <c r="D360">
        <f>IF($B360="","",IF(C360="","",TEXT(C360,"MMM")))</f>
        <v/>
      </c>
      <c r="K360">
        <f>IF($B360="","",IF(I360=0,0,J360/I360))</f>
        <v/>
      </c>
      <c r="O360">
        <f>IF($B360="","",IF(M360=0,0,N360/M360))</f>
        <v/>
      </c>
    </row>
    <row r="361">
      <c r="A361">
        <f>IF($B361="","",ROW()-5)</f>
        <v/>
      </c>
      <c r="D361">
        <f>IF($B361="","",IF(C361="","",TEXT(C361,"MMM")))</f>
        <v/>
      </c>
      <c r="K361">
        <f>IF($B361="","",IF(I361=0,0,J361/I361))</f>
        <v/>
      </c>
      <c r="O361">
        <f>IF($B361="","",IF(M361=0,0,N361/M361))</f>
        <v/>
      </c>
    </row>
    <row r="362">
      <c r="A362">
        <f>IF($B362="","",ROW()-5)</f>
        <v/>
      </c>
      <c r="D362">
        <f>IF($B362="","",IF(C362="","",TEXT(C362,"MMM")))</f>
        <v/>
      </c>
      <c r="K362">
        <f>IF($B362="","",IF(I362=0,0,J362/I362))</f>
        <v/>
      </c>
      <c r="O362">
        <f>IF($B362="","",IF(M362=0,0,N362/M362))</f>
        <v/>
      </c>
    </row>
    <row r="363">
      <c r="A363">
        <f>IF($B363="","",ROW()-5)</f>
        <v/>
      </c>
      <c r="D363">
        <f>IF($B363="","",IF(C363="","",TEXT(C363,"MMM")))</f>
        <v/>
      </c>
      <c r="K363">
        <f>IF($B363="","",IF(I363=0,0,J363/I363))</f>
        <v/>
      </c>
      <c r="O363">
        <f>IF($B363="","",IF(M363=0,0,N363/M363))</f>
        <v/>
      </c>
    </row>
    <row r="364">
      <c r="A364">
        <f>IF($B364="","",ROW()-5)</f>
        <v/>
      </c>
      <c r="D364">
        <f>IF($B364="","",IF(C364="","",TEXT(C364,"MMM")))</f>
        <v/>
      </c>
      <c r="K364">
        <f>IF($B364="","",IF(I364=0,0,J364/I364))</f>
        <v/>
      </c>
      <c r="O364">
        <f>IF($B364="","",IF(M364=0,0,N364/M364))</f>
        <v/>
      </c>
    </row>
    <row r="365">
      <c r="A365">
        <f>IF($B365="","",ROW()-5)</f>
        <v/>
      </c>
      <c r="D365">
        <f>IF($B365="","",IF(C365="","",TEXT(C365,"MMM")))</f>
        <v/>
      </c>
      <c r="K365">
        <f>IF($B365="","",IF(I365=0,0,J365/I365))</f>
        <v/>
      </c>
      <c r="O365">
        <f>IF($B365="","",IF(M365=0,0,N365/M365))</f>
        <v/>
      </c>
    </row>
    <row r="366">
      <c r="A366">
        <f>IF($B366="","",ROW()-5)</f>
        <v/>
      </c>
      <c r="D366">
        <f>IF($B366="","",IF(C366="","",TEXT(C366,"MMM")))</f>
        <v/>
      </c>
      <c r="K366">
        <f>IF($B366="","",IF(I366=0,0,J366/I366))</f>
        <v/>
      </c>
      <c r="O366">
        <f>IF($B366="","",IF(M366=0,0,N366/M366))</f>
        <v/>
      </c>
    </row>
    <row r="367">
      <c r="A367">
        <f>IF($B367="","",ROW()-5)</f>
        <v/>
      </c>
      <c r="D367">
        <f>IF($B367="","",IF(C367="","",TEXT(C367,"MMM")))</f>
        <v/>
      </c>
      <c r="K367">
        <f>IF($B367="","",IF(I367=0,0,J367/I367))</f>
        <v/>
      </c>
      <c r="O367">
        <f>IF($B367="","",IF(M367=0,0,N367/M367))</f>
        <v/>
      </c>
    </row>
    <row r="368">
      <c r="A368">
        <f>IF($B368="","",ROW()-5)</f>
        <v/>
      </c>
      <c r="D368">
        <f>IF($B368="","",IF(C368="","",TEXT(C368,"MMM")))</f>
        <v/>
      </c>
      <c r="K368">
        <f>IF($B368="","",IF(I368=0,0,J368/I368))</f>
        <v/>
      </c>
      <c r="O368">
        <f>IF($B368="","",IF(M368=0,0,N368/M368))</f>
        <v/>
      </c>
    </row>
    <row r="369">
      <c r="A369">
        <f>IF($B369="","",ROW()-5)</f>
        <v/>
      </c>
      <c r="D369">
        <f>IF($B369="","",IF(C369="","",TEXT(C369,"MMM")))</f>
        <v/>
      </c>
      <c r="K369">
        <f>IF($B369="","",IF(I369=0,0,J369/I369))</f>
        <v/>
      </c>
      <c r="O369">
        <f>IF($B369="","",IF(M369=0,0,N369/M369))</f>
        <v/>
      </c>
    </row>
    <row r="370">
      <c r="A370">
        <f>IF($B370="","",ROW()-5)</f>
        <v/>
      </c>
      <c r="D370">
        <f>IF($B370="","",IF(C370="","",TEXT(C370,"MMM")))</f>
        <v/>
      </c>
      <c r="K370">
        <f>IF($B370="","",IF(I370=0,0,J370/I370))</f>
        <v/>
      </c>
      <c r="O370">
        <f>IF($B370="","",IF(M370=0,0,N370/M370))</f>
        <v/>
      </c>
    </row>
    <row r="371">
      <c r="A371">
        <f>IF($B371="","",ROW()-5)</f>
        <v/>
      </c>
      <c r="D371">
        <f>IF($B371="","",IF(C371="","",TEXT(C371,"MMM")))</f>
        <v/>
      </c>
      <c r="K371">
        <f>IF($B371="","",IF(I371=0,0,J371/I371))</f>
        <v/>
      </c>
      <c r="O371">
        <f>IF($B371="","",IF(M371=0,0,N371/M371))</f>
        <v/>
      </c>
    </row>
    <row r="372">
      <c r="A372">
        <f>IF($B372="","",ROW()-5)</f>
        <v/>
      </c>
      <c r="D372">
        <f>IF($B372="","",IF(C372="","",TEXT(C372,"MMM")))</f>
        <v/>
      </c>
      <c r="K372">
        <f>IF($B372="","",IF(I372=0,0,J372/I372))</f>
        <v/>
      </c>
      <c r="O372">
        <f>IF($B372="","",IF(M372=0,0,N372/M372))</f>
        <v/>
      </c>
    </row>
    <row r="373">
      <c r="A373">
        <f>IF($B373="","",ROW()-5)</f>
        <v/>
      </c>
      <c r="D373">
        <f>IF($B373="","",IF(C373="","",TEXT(C373,"MMM")))</f>
        <v/>
      </c>
      <c r="K373">
        <f>IF($B373="","",IF(I373=0,0,J373/I373))</f>
        <v/>
      </c>
      <c r="O373">
        <f>IF($B373="","",IF(M373=0,0,N373/M373))</f>
        <v/>
      </c>
    </row>
    <row r="374">
      <c r="A374">
        <f>IF($B374="","",ROW()-5)</f>
        <v/>
      </c>
      <c r="D374">
        <f>IF($B374="","",IF(C374="","",TEXT(C374,"MMM")))</f>
        <v/>
      </c>
      <c r="K374">
        <f>IF($B374="","",IF(I374=0,0,J374/I374))</f>
        <v/>
      </c>
      <c r="O374">
        <f>IF($B374="","",IF(M374=0,0,N374/M374))</f>
        <v/>
      </c>
    </row>
    <row r="375">
      <c r="A375">
        <f>IF($B375="","",ROW()-5)</f>
        <v/>
      </c>
      <c r="D375">
        <f>IF($B375="","",IF(C375="","",TEXT(C375,"MMM")))</f>
        <v/>
      </c>
      <c r="K375">
        <f>IF($B375="","",IF(I375=0,0,J375/I375))</f>
        <v/>
      </c>
      <c r="O375">
        <f>IF($B375="","",IF(M375=0,0,N375/M375))</f>
        <v/>
      </c>
    </row>
    <row r="376">
      <c r="A376">
        <f>IF($B376="","",ROW()-5)</f>
        <v/>
      </c>
      <c r="D376">
        <f>IF($B376="","",IF(C376="","",TEXT(C376,"MMM")))</f>
        <v/>
      </c>
      <c r="K376">
        <f>IF($B376="","",IF(I376=0,0,J376/I376))</f>
        <v/>
      </c>
      <c r="O376">
        <f>IF($B376="","",IF(M376=0,0,N376/M376))</f>
        <v/>
      </c>
    </row>
    <row r="377">
      <c r="A377">
        <f>IF($B377="","",ROW()-5)</f>
        <v/>
      </c>
      <c r="D377">
        <f>IF($B377="","",IF(C377="","",TEXT(C377,"MMM")))</f>
        <v/>
      </c>
      <c r="K377">
        <f>IF($B377="","",IF(I377=0,0,J377/I377))</f>
        <v/>
      </c>
      <c r="O377">
        <f>IF($B377="","",IF(M377=0,0,N377/M377))</f>
        <v/>
      </c>
    </row>
    <row r="378">
      <c r="A378">
        <f>IF($B378="","",ROW()-5)</f>
        <v/>
      </c>
      <c r="D378">
        <f>IF($B378="","",IF(C378="","",TEXT(C378,"MMM")))</f>
        <v/>
      </c>
      <c r="K378">
        <f>IF($B378="","",IF(I378=0,0,J378/I378))</f>
        <v/>
      </c>
      <c r="O378">
        <f>IF($B378="","",IF(M378=0,0,N378/M378))</f>
        <v/>
      </c>
    </row>
    <row r="379">
      <c r="A379">
        <f>IF($B379="","",ROW()-5)</f>
        <v/>
      </c>
      <c r="D379">
        <f>IF($B379="","",IF(C379="","",TEXT(C379,"MMM")))</f>
        <v/>
      </c>
      <c r="K379">
        <f>IF($B379="","",IF(I379=0,0,J379/I379))</f>
        <v/>
      </c>
      <c r="O379">
        <f>IF($B379="","",IF(M379=0,0,N379/M379))</f>
        <v/>
      </c>
    </row>
    <row r="380">
      <c r="A380">
        <f>IF($B380="","",ROW()-5)</f>
        <v/>
      </c>
      <c r="D380">
        <f>IF($B380="","",IF(C380="","",TEXT(C380,"MMM")))</f>
        <v/>
      </c>
      <c r="K380">
        <f>IF($B380="","",IF(I380=0,0,J380/I380))</f>
        <v/>
      </c>
      <c r="O380">
        <f>IF($B380="","",IF(M380=0,0,N380/M380))</f>
        <v/>
      </c>
    </row>
    <row r="381">
      <c r="A381">
        <f>IF($B381="","",ROW()-5)</f>
        <v/>
      </c>
      <c r="D381">
        <f>IF($B381="","",IF(C381="","",TEXT(C381,"MMM")))</f>
        <v/>
      </c>
      <c r="K381">
        <f>IF($B381="","",IF(I381=0,0,J381/I381))</f>
        <v/>
      </c>
      <c r="O381">
        <f>IF($B381="","",IF(M381=0,0,N381/M381))</f>
        <v/>
      </c>
    </row>
    <row r="382">
      <c r="A382">
        <f>IF($B382="","",ROW()-5)</f>
        <v/>
      </c>
      <c r="D382">
        <f>IF($B382="","",IF(C382="","",TEXT(C382,"MMM")))</f>
        <v/>
      </c>
      <c r="K382">
        <f>IF($B382="","",IF(I382=0,0,J382/I382))</f>
        <v/>
      </c>
      <c r="O382">
        <f>IF($B382="","",IF(M382=0,0,N382/M382))</f>
        <v/>
      </c>
    </row>
    <row r="383">
      <c r="A383">
        <f>IF($B383="","",ROW()-5)</f>
        <v/>
      </c>
      <c r="D383">
        <f>IF($B383="","",IF(C383="","",TEXT(C383,"MMM")))</f>
        <v/>
      </c>
      <c r="K383">
        <f>IF($B383="","",IF(I383=0,0,J383/I383))</f>
        <v/>
      </c>
      <c r="O383">
        <f>IF($B383="","",IF(M383=0,0,N383/M383))</f>
        <v/>
      </c>
    </row>
    <row r="384">
      <c r="A384">
        <f>IF($B384="","",ROW()-5)</f>
        <v/>
      </c>
      <c r="D384">
        <f>IF($B384="","",IF(C384="","",TEXT(C384,"MMM")))</f>
        <v/>
      </c>
      <c r="K384">
        <f>IF($B384="","",IF(I384=0,0,J384/I384))</f>
        <v/>
      </c>
      <c r="O384">
        <f>IF($B384="","",IF(M384=0,0,N384/M384))</f>
        <v/>
      </c>
    </row>
    <row r="385">
      <c r="A385">
        <f>IF($B385="","",ROW()-5)</f>
        <v/>
      </c>
      <c r="D385">
        <f>IF($B385="","",IF(C385="","",TEXT(C385,"MMM")))</f>
        <v/>
      </c>
      <c r="K385">
        <f>IF($B385="","",IF(I385=0,0,J385/I385))</f>
        <v/>
      </c>
      <c r="O385">
        <f>IF($B385="","",IF(M385=0,0,N385/M385))</f>
        <v/>
      </c>
    </row>
    <row r="386">
      <c r="A386">
        <f>IF($B386="","",ROW()-5)</f>
        <v/>
      </c>
      <c r="D386">
        <f>IF($B386="","",IF(C386="","",TEXT(C386,"MMM")))</f>
        <v/>
      </c>
      <c r="K386">
        <f>IF($B386="","",IF(I386=0,0,J386/I386))</f>
        <v/>
      </c>
      <c r="O386">
        <f>IF($B386="","",IF(M386=0,0,N386/M386))</f>
        <v/>
      </c>
    </row>
    <row r="387">
      <c r="A387">
        <f>IF($B387="","",ROW()-5)</f>
        <v/>
      </c>
      <c r="D387">
        <f>IF($B387="","",IF(C387="","",TEXT(C387,"MMM")))</f>
        <v/>
      </c>
      <c r="K387">
        <f>IF($B387="","",IF(I387=0,0,J387/I387))</f>
        <v/>
      </c>
      <c r="O387">
        <f>IF($B387="","",IF(M387=0,0,N387/M387))</f>
        <v/>
      </c>
    </row>
    <row r="388">
      <c r="A388">
        <f>IF($B388="","",ROW()-5)</f>
        <v/>
      </c>
      <c r="D388">
        <f>IF($B388="","",IF(C388="","",TEXT(C388,"MMM")))</f>
        <v/>
      </c>
      <c r="K388">
        <f>IF($B388="","",IF(I388=0,0,J388/I388))</f>
        <v/>
      </c>
      <c r="O388">
        <f>IF($B388="","",IF(M388=0,0,N388/M388))</f>
        <v/>
      </c>
    </row>
    <row r="389">
      <c r="A389">
        <f>IF($B389="","",ROW()-5)</f>
        <v/>
      </c>
      <c r="D389">
        <f>IF($B389="","",IF(C389="","",TEXT(C389,"MMM")))</f>
        <v/>
      </c>
      <c r="K389">
        <f>IF($B389="","",IF(I389=0,0,J389/I389))</f>
        <v/>
      </c>
      <c r="O389">
        <f>IF($B389="","",IF(M389=0,0,N389/M389))</f>
        <v/>
      </c>
    </row>
    <row r="390">
      <c r="A390">
        <f>IF($B390="","",ROW()-5)</f>
        <v/>
      </c>
      <c r="D390">
        <f>IF($B390="","",IF(C390="","",TEXT(C390,"MMM")))</f>
        <v/>
      </c>
      <c r="K390">
        <f>IF($B390="","",IF(I390=0,0,J390/I390))</f>
        <v/>
      </c>
      <c r="O390">
        <f>IF($B390="","",IF(M390=0,0,N390/M390))</f>
        <v/>
      </c>
    </row>
    <row r="391">
      <c r="A391">
        <f>IF($B391="","",ROW()-5)</f>
        <v/>
      </c>
      <c r="D391">
        <f>IF($B391="","",IF(C391="","",TEXT(C391,"MMM")))</f>
        <v/>
      </c>
      <c r="K391">
        <f>IF($B391="","",IF(I391=0,0,J391/I391))</f>
        <v/>
      </c>
      <c r="O391">
        <f>IF($B391="","",IF(M391=0,0,N391/M391))</f>
        <v/>
      </c>
    </row>
    <row r="392">
      <c r="A392">
        <f>IF($B392="","",ROW()-5)</f>
        <v/>
      </c>
      <c r="D392">
        <f>IF($B392="","",IF(C392="","",TEXT(C392,"MMM")))</f>
        <v/>
      </c>
      <c r="K392">
        <f>IF($B392="","",IF(I392=0,0,J392/I392))</f>
        <v/>
      </c>
      <c r="O392">
        <f>IF($B392="","",IF(M392=0,0,N392/M392))</f>
        <v/>
      </c>
    </row>
    <row r="393">
      <c r="A393">
        <f>IF($B393="","",ROW()-5)</f>
        <v/>
      </c>
      <c r="D393">
        <f>IF($B393="","",IF(C393="","",TEXT(C393,"MMM")))</f>
        <v/>
      </c>
      <c r="K393">
        <f>IF($B393="","",IF(I393=0,0,J393/I393))</f>
        <v/>
      </c>
      <c r="O393">
        <f>IF($B393="","",IF(M393=0,0,N393/M393))</f>
        <v/>
      </c>
    </row>
    <row r="394">
      <c r="A394">
        <f>IF($B394="","",ROW()-5)</f>
        <v/>
      </c>
      <c r="D394">
        <f>IF($B394="","",IF(C394="","",TEXT(C394,"MMM")))</f>
        <v/>
      </c>
      <c r="K394">
        <f>IF($B394="","",IF(I394=0,0,J394/I394))</f>
        <v/>
      </c>
      <c r="O394">
        <f>IF($B394="","",IF(M394=0,0,N394/M394))</f>
        <v/>
      </c>
    </row>
    <row r="395">
      <c r="A395">
        <f>IF($B395="","",ROW()-5)</f>
        <v/>
      </c>
      <c r="D395">
        <f>IF($B395="","",IF(C395="","",TEXT(C395,"MMM")))</f>
        <v/>
      </c>
      <c r="K395">
        <f>IF($B395="","",IF(I395=0,0,J395/I395))</f>
        <v/>
      </c>
      <c r="O395">
        <f>IF($B395="","",IF(M395=0,0,N395/M395))</f>
        <v/>
      </c>
    </row>
    <row r="396">
      <c r="A396">
        <f>IF($B396="","",ROW()-5)</f>
        <v/>
      </c>
      <c r="D396">
        <f>IF($B396="","",IF(C396="","",TEXT(C396,"MMM")))</f>
        <v/>
      </c>
      <c r="K396">
        <f>IF($B396="","",IF(I396=0,0,J396/I396))</f>
        <v/>
      </c>
      <c r="O396">
        <f>IF($B396="","",IF(M396=0,0,N396/M396))</f>
        <v/>
      </c>
    </row>
    <row r="397">
      <c r="A397">
        <f>IF($B397="","",ROW()-5)</f>
        <v/>
      </c>
      <c r="D397">
        <f>IF($B397="","",IF(C397="","",TEXT(C397,"MMM")))</f>
        <v/>
      </c>
      <c r="K397">
        <f>IF($B397="","",IF(I397=0,0,J397/I397))</f>
        <v/>
      </c>
      <c r="O397">
        <f>IF($B397="","",IF(M397=0,0,N397/M397))</f>
        <v/>
      </c>
    </row>
    <row r="398">
      <c r="A398">
        <f>IF($B398="","",ROW()-5)</f>
        <v/>
      </c>
      <c r="D398">
        <f>IF($B398="","",IF(C398="","",TEXT(C398,"MMM")))</f>
        <v/>
      </c>
      <c r="K398">
        <f>IF($B398="","",IF(I398=0,0,J398/I398))</f>
        <v/>
      </c>
      <c r="O398">
        <f>IF($B398="","",IF(M398=0,0,N398/M398))</f>
        <v/>
      </c>
    </row>
    <row r="399">
      <c r="A399">
        <f>IF($B399="","",ROW()-5)</f>
        <v/>
      </c>
      <c r="D399">
        <f>IF($B399="","",IF(C399="","",TEXT(C399,"MMM")))</f>
        <v/>
      </c>
      <c r="K399">
        <f>IF($B399="","",IF(I399=0,0,J399/I399))</f>
        <v/>
      </c>
      <c r="O399">
        <f>IF($B399="","",IF(M399=0,0,N399/M399))</f>
        <v/>
      </c>
    </row>
    <row r="400">
      <c r="A400">
        <f>IF($B400="","",ROW()-5)</f>
        <v/>
      </c>
      <c r="D400">
        <f>IF($B400="","",IF(C400="","",TEXT(C400,"MMM")))</f>
        <v/>
      </c>
      <c r="K400">
        <f>IF($B400="","",IF(I400=0,0,J400/I400))</f>
        <v/>
      </c>
      <c r="O400">
        <f>IF($B400="","",IF(M400=0,0,N400/M400))</f>
        <v/>
      </c>
    </row>
    <row r="401">
      <c r="A401">
        <f>IF($B401="","",ROW()-5)</f>
        <v/>
      </c>
      <c r="D401">
        <f>IF($B401="","",IF(C401="","",TEXT(C401,"MMM")))</f>
        <v/>
      </c>
      <c r="K401">
        <f>IF($B401="","",IF(I401=0,0,J401/I401))</f>
        <v/>
      </c>
      <c r="O401">
        <f>IF($B401="","",IF(M401=0,0,N401/M401))</f>
        <v/>
      </c>
    </row>
    <row r="402">
      <c r="A402">
        <f>IF($B402="","",ROW()-5)</f>
        <v/>
      </c>
      <c r="D402">
        <f>IF($B402="","",IF(C402="","",TEXT(C402,"MMM")))</f>
        <v/>
      </c>
      <c r="K402">
        <f>IF($B402="","",IF(I402=0,0,J402/I402))</f>
        <v/>
      </c>
      <c r="O402">
        <f>IF($B402="","",IF(M402=0,0,N402/M402))</f>
        <v/>
      </c>
    </row>
    <row r="403">
      <c r="A403">
        <f>IF($B403="","",ROW()-5)</f>
        <v/>
      </c>
      <c r="D403">
        <f>IF($B403="","",IF(C403="","",TEXT(C403,"MMM")))</f>
        <v/>
      </c>
      <c r="K403">
        <f>IF($B403="","",IF(I403=0,0,J403/I403))</f>
        <v/>
      </c>
      <c r="O403">
        <f>IF($B403="","",IF(M403=0,0,N403/M403))</f>
        <v/>
      </c>
    </row>
    <row r="404">
      <c r="A404">
        <f>IF($B404="","",ROW()-5)</f>
        <v/>
      </c>
      <c r="D404">
        <f>IF($B404="","",IF(C404="","",TEXT(C404,"MMM")))</f>
        <v/>
      </c>
      <c r="K404">
        <f>IF($B404="","",IF(I404=0,0,J404/I404))</f>
        <v/>
      </c>
      <c r="O404">
        <f>IF($B404="","",IF(M404=0,0,N404/M404))</f>
        <v/>
      </c>
    </row>
    <row r="405">
      <c r="A405">
        <f>IF($B405="","",ROW()-5)</f>
        <v/>
      </c>
      <c r="D405">
        <f>IF($B405="","",IF(C405="","",TEXT(C405,"MMM")))</f>
        <v/>
      </c>
      <c r="K405">
        <f>IF($B405="","",IF(I405=0,0,J405/I405))</f>
        <v/>
      </c>
      <c r="O405">
        <f>IF($B405="","",IF(M405=0,0,N405/M405))</f>
        <v/>
      </c>
    </row>
    <row r="406">
      <c r="A406">
        <f>IF($B406="","",ROW()-5)</f>
        <v/>
      </c>
      <c r="D406">
        <f>IF($B406="","",IF(C406="","",TEXT(C406,"MMM")))</f>
        <v/>
      </c>
      <c r="K406">
        <f>IF($B406="","",IF(I406=0,0,J406/I406))</f>
        <v/>
      </c>
      <c r="O406">
        <f>IF($B406="","",IF(M406=0,0,N406/M406))</f>
        <v/>
      </c>
    </row>
    <row r="407">
      <c r="A407">
        <f>IF($B407="","",ROW()-5)</f>
        <v/>
      </c>
      <c r="D407">
        <f>IF($B407="","",IF(C407="","",TEXT(C407,"MMM")))</f>
        <v/>
      </c>
      <c r="K407">
        <f>IF($B407="","",IF(I407=0,0,J407/I407))</f>
        <v/>
      </c>
      <c r="O407">
        <f>IF($B407="","",IF(M407=0,0,N407/M407))</f>
        <v/>
      </c>
    </row>
    <row r="408">
      <c r="A408">
        <f>IF($B408="","",ROW()-5)</f>
        <v/>
      </c>
      <c r="D408">
        <f>IF($B408="","",IF(C408="","",TEXT(C408,"MMM")))</f>
        <v/>
      </c>
      <c r="K408">
        <f>IF($B408="","",IF(I408=0,0,J408/I408))</f>
        <v/>
      </c>
      <c r="O408">
        <f>IF($B408="","",IF(M408=0,0,N408/M408))</f>
        <v/>
      </c>
    </row>
    <row r="409">
      <c r="A409">
        <f>IF($B409="","",ROW()-5)</f>
        <v/>
      </c>
      <c r="D409">
        <f>IF($B409="","",IF(C409="","",TEXT(C409,"MMM")))</f>
        <v/>
      </c>
      <c r="K409">
        <f>IF($B409="","",IF(I409=0,0,J409/I409))</f>
        <v/>
      </c>
      <c r="O409">
        <f>IF($B409="","",IF(M409=0,0,N409/M409))</f>
        <v/>
      </c>
    </row>
    <row r="410">
      <c r="A410">
        <f>IF($B410="","",ROW()-5)</f>
        <v/>
      </c>
      <c r="D410">
        <f>IF($B410="","",IF(C410="","",TEXT(C410,"MMM")))</f>
        <v/>
      </c>
      <c r="K410">
        <f>IF($B410="","",IF(I410=0,0,J410/I410))</f>
        <v/>
      </c>
      <c r="O410">
        <f>IF($B410="","",IF(M410=0,0,N410/M410))</f>
        <v/>
      </c>
    </row>
    <row r="411">
      <c r="A411">
        <f>IF($B411="","",ROW()-5)</f>
        <v/>
      </c>
      <c r="D411">
        <f>IF($B411="","",IF(C411="","",TEXT(C411,"MMM")))</f>
        <v/>
      </c>
      <c r="K411">
        <f>IF($B411="","",IF(I411=0,0,J411/I411))</f>
        <v/>
      </c>
      <c r="O411">
        <f>IF($B411="","",IF(M411=0,0,N411/M411))</f>
        <v/>
      </c>
    </row>
    <row r="412">
      <c r="A412">
        <f>IF($B412="","",ROW()-5)</f>
        <v/>
      </c>
      <c r="D412">
        <f>IF($B412="","",IF(C412="","",TEXT(C412,"MMM")))</f>
        <v/>
      </c>
      <c r="K412">
        <f>IF($B412="","",IF(I412=0,0,J412/I412))</f>
        <v/>
      </c>
      <c r="O412">
        <f>IF($B412="","",IF(M412=0,0,N412/M412))</f>
        <v/>
      </c>
    </row>
    <row r="413">
      <c r="A413">
        <f>IF($B413="","",ROW()-5)</f>
        <v/>
      </c>
      <c r="D413">
        <f>IF($B413="","",IF(C413="","",TEXT(C413,"MMM")))</f>
        <v/>
      </c>
      <c r="K413">
        <f>IF($B413="","",IF(I413=0,0,J413/I413))</f>
        <v/>
      </c>
      <c r="O413">
        <f>IF($B413="","",IF(M413=0,0,N413/M413))</f>
        <v/>
      </c>
    </row>
    <row r="414">
      <c r="A414">
        <f>IF($B414="","",ROW()-5)</f>
        <v/>
      </c>
      <c r="D414">
        <f>IF($B414="","",IF(C414="","",TEXT(C414,"MMM")))</f>
        <v/>
      </c>
      <c r="K414">
        <f>IF($B414="","",IF(I414=0,0,J414/I414))</f>
        <v/>
      </c>
      <c r="O414">
        <f>IF($B414="","",IF(M414=0,0,N414/M414))</f>
        <v/>
      </c>
    </row>
    <row r="415">
      <c r="A415">
        <f>IF($B415="","",ROW()-5)</f>
        <v/>
      </c>
      <c r="D415">
        <f>IF($B415="","",IF(C415="","",TEXT(C415,"MMM")))</f>
        <v/>
      </c>
      <c r="K415">
        <f>IF($B415="","",IF(I415=0,0,J415/I415))</f>
        <v/>
      </c>
      <c r="O415">
        <f>IF($B415="","",IF(M415=0,0,N415/M415))</f>
        <v/>
      </c>
    </row>
    <row r="416">
      <c r="A416">
        <f>IF($B416="","",ROW()-5)</f>
        <v/>
      </c>
      <c r="D416">
        <f>IF($B416="","",IF(C416="","",TEXT(C416,"MMM")))</f>
        <v/>
      </c>
      <c r="K416">
        <f>IF($B416="","",IF(I416=0,0,J416/I416))</f>
        <v/>
      </c>
      <c r="O416">
        <f>IF($B416="","",IF(M416=0,0,N416/M416))</f>
        <v/>
      </c>
    </row>
    <row r="417">
      <c r="A417">
        <f>IF($B417="","",ROW()-5)</f>
        <v/>
      </c>
      <c r="D417">
        <f>IF($B417="","",IF(C417="","",TEXT(C417,"MMM")))</f>
        <v/>
      </c>
      <c r="K417">
        <f>IF($B417="","",IF(I417=0,0,J417/I417))</f>
        <v/>
      </c>
      <c r="O417">
        <f>IF($B417="","",IF(M417=0,0,N417/M417))</f>
        <v/>
      </c>
    </row>
    <row r="418">
      <c r="A418">
        <f>IF($B418="","",ROW()-5)</f>
        <v/>
      </c>
      <c r="D418">
        <f>IF($B418="","",IF(C418="","",TEXT(C418,"MMM")))</f>
        <v/>
      </c>
      <c r="K418">
        <f>IF($B418="","",IF(I418=0,0,J418/I418))</f>
        <v/>
      </c>
      <c r="O418">
        <f>IF($B418="","",IF(M418=0,0,N418/M418))</f>
        <v/>
      </c>
    </row>
    <row r="419">
      <c r="A419">
        <f>IF($B419="","",ROW()-5)</f>
        <v/>
      </c>
      <c r="D419">
        <f>IF($B419="","",IF(C419="","",TEXT(C419,"MMM")))</f>
        <v/>
      </c>
      <c r="K419">
        <f>IF($B419="","",IF(I419=0,0,J419/I419))</f>
        <v/>
      </c>
      <c r="O419">
        <f>IF($B419="","",IF(M419=0,0,N419/M419))</f>
        <v/>
      </c>
    </row>
    <row r="420">
      <c r="A420">
        <f>IF($B420="","",ROW()-5)</f>
        <v/>
      </c>
      <c r="D420">
        <f>IF($B420="","",IF(C420="","",TEXT(C420,"MMM")))</f>
        <v/>
      </c>
      <c r="K420">
        <f>IF($B420="","",IF(I420=0,0,J420/I420))</f>
        <v/>
      </c>
      <c r="O420">
        <f>IF($B420="","",IF(M420=0,0,N420/M420))</f>
        <v/>
      </c>
    </row>
    <row r="421">
      <c r="A421">
        <f>IF($B421="","",ROW()-5)</f>
        <v/>
      </c>
      <c r="D421">
        <f>IF($B421="","",IF(C421="","",TEXT(C421,"MMM")))</f>
        <v/>
      </c>
      <c r="K421">
        <f>IF($B421="","",IF(I421=0,0,J421/I421))</f>
        <v/>
      </c>
      <c r="O421">
        <f>IF($B421="","",IF(M421=0,0,N421/M421))</f>
        <v/>
      </c>
    </row>
    <row r="422">
      <c r="A422">
        <f>IF($B422="","",ROW()-5)</f>
        <v/>
      </c>
      <c r="D422">
        <f>IF($B422="","",IF(C422="","",TEXT(C422,"MMM")))</f>
        <v/>
      </c>
      <c r="K422">
        <f>IF($B422="","",IF(I422=0,0,J422/I422))</f>
        <v/>
      </c>
      <c r="O422">
        <f>IF($B422="","",IF(M422=0,0,N422/M422))</f>
        <v/>
      </c>
    </row>
    <row r="423">
      <c r="A423">
        <f>IF($B423="","",ROW()-5)</f>
        <v/>
      </c>
      <c r="D423">
        <f>IF($B423="","",IF(C423="","",TEXT(C423,"MMM")))</f>
        <v/>
      </c>
      <c r="K423">
        <f>IF($B423="","",IF(I423=0,0,J423/I423))</f>
        <v/>
      </c>
      <c r="O423">
        <f>IF($B423="","",IF(M423=0,0,N423/M423))</f>
        <v/>
      </c>
    </row>
    <row r="424">
      <c r="A424">
        <f>IF($B424="","",ROW()-5)</f>
        <v/>
      </c>
      <c r="D424">
        <f>IF($B424="","",IF(C424="","",TEXT(C424,"MMM")))</f>
        <v/>
      </c>
      <c r="K424">
        <f>IF($B424="","",IF(I424=0,0,J424/I424))</f>
        <v/>
      </c>
      <c r="O424">
        <f>IF($B424="","",IF(M424=0,0,N424/M424))</f>
        <v/>
      </c>
    </row>
    <row r="425">
      <c r="A425">
        <f>IF($B425="","",ROW()-5)</f>
        <v/>
      </c>
      <c r="D425">
        <f>IF($B425="","",IF(C425="","",TEXT(C425,"MMM")))</f>
        <v/>
      </c>
      <c r="K425">
        <f>IF($B425="","",IF(I425=0,0,J425/I425))</f>
        <v/>
      </c>
      <c r="O425">
        <f>IF($B425="","",IF(M425=0,0,N425/M425))</f>
        <v/>
      </c>
    </row>
    <row r="426">
      <c r="A426">
        <f>IF($B426="","",ROW()-5)</f>
        <v/>
      </c>
      <c r="D426">
        <f>IF($B426="","",IF(C426="","",TEXT(C426,"MMM")))</f>
        <v/>
      </c>
      <c r="K426">
        <f>IF($B426="","",IF(I426=0,0,J426/I426))</f>
        <v/>
      </c>
      <c r="O426">
        <f>IF($B426="","",IF(M426=0,0,N426/M426))</f>
        <v/>
      </c>
    </row>
    <row r="427">
      <c r="A427">
        <f>IF($B427="","",ROW()-5)</f>
        <v/>
      </c>
      <c r="D427">
        <f>IF($B427="","",IF(C427="","",TEXT(C427,"MMM")))</f>
        <v/>
      </c>
      <c r="K427">
        <f>IF($B427="","",IF(I427=0,0,J427/I427))</f>
        <v/>
      </c>
      <c r="O427">
        <f>IF($B427="","",IF(M427=0,0,N427/M427))</f>
        <v/>
      </c>
    </row>
    <row r="428">
      <c r="A428">
        <f>IF($B428="","",ROW()-5)</f>
        <v/>
      </c>
      <c r="D428">
        <f>IF($B428="","",IF(C428="","",TEXT(C428,"MMM")))</f>
        <v/>
      </c>
      <c r="K428">
        <f>IF($B428="","",IF(I428=0,0,J428/I428))</f>
        <v/>
      </c>
      <c r="O428">
        <f>IF($B428="","",IF(M428=0,0,N428/M428))</f>
        <v/>
      </c>
    </row>
    <row r="429">
      <c r="A429">
        <f>IF($B429="","",ROW()-5)</f>
        <v/>
      </c>
      <c r="D429">
        <f>IF($B429="","",IF(C429="","",TEXT(C429,"MMM")))</f>
        <v/>
      </c>
      <c r="K429">
        <f>IF($B429="","",IF(I429=0,0,J429/I429))</f>
        <v/>
      </c>
      <c r="O429">
        <f>IF($B429="","",IF(M429=0,0,N429/M429))</f>
        <v/>
      </c>
    </row>
    <row r="430">
      <c r="A430">
        <f>IF($B430="","",ROW()-5)</f>
        <v/>
      </c>
      <c r="D430">
        <f>IF($B430="","",IF(C430="","",TEXT(C430,"MMM")))</f>
        <v/>
      </c>
      <c r="K430">
        <f>IF($B430="","",IF(I430=0,0,J430/I430))</f>
        <v/>
      </c>
      <c r="O430">
        <f>IF($B430="","",IF(M430=0,0,N430/M430))</f>
        <v/>
      </c>
    </row>
    <row r="431">
      <c r="A431">
        <f>IF($B431="","",ROW()-5)</f>
        <v/>
      </c>
      <c r="D431">
        <f>IF($B431="","",IF(C431="","",TEXT(C431,"MMM")))</f>
        <v/>
      </c>
      <c r="K431">
        <f>IF($B431="","",IF(I431=0,0,J431/I431))</f>
        <v/>
      </c>
      <c r="O431">
        <f>IF($B431="","",IF(M431=0,0,N431/M431))</f>
        <v/>
      </c>
    </row>
    <row r="432">
      <c r="A432">
        <f>IF($B432="","",ROW()-5)</f>
        <v/>
      </c>
      <c r="D432">
        <f>IF($B432="","",IF(C432="","",TEXT(C432,"MMM")))</f>
        <v/>
      </c>
      <c r="K432">
        <f>IF($B432="","",IF(I432=0,0,J432/I432))</f>
        <v/>
      </c>
      <c r="O432">
        <f>IF($B432="","",IF(M432=0,0,N432/M432))</f>
        <v/>
      </c>
    </row>
    <row r="433">
      <c r="A433">
        <f>IF($B433="","",ROW()-5)</f>
        <v/>
      </c>
      <c r="D433">
        <f>IF($B433="","",IF(C433="","",TEXT(C433,"MMM")))</f>
        <v/>
      </c>
      <c r="K433">
        <f>IF($B433="","",IF(I433=0,0,J433/I433))</f>
        <v/>
      </c>
      <c r="O433">
        <f>IF($B433="","",IF(M433=0,0,N433/M433))</f>
        <v/>
      </c>
    </row>
    <row r="434">
      <c r="A434">
        <f>IF($B434="","",ROW()-5)</f>
        <v/>
      </c>
      <c r="D434">
        <f>IF($B434="","",IF(C434="","",TEXT(C434,"MMM")))</f>
        <v/>
      </c>
      <c r="K434">
        <f>IF($B434="","",IF(I434=0,0,J434/I434))</f>
        <v/>
      </c>
      <c r="O434">
        <f>IF($B434="","",IF(M434=0,0,N434/M434))</f>
        <v/>
      </c>
    </row>
    <row r="435">
      <c r="A435">
        <f>IF($B435="","",ROW()-5)</f>
        <v/>
      </c>
      <c r="D435">
        <f>IF($B435="","",IF(C435="","",TEXT(C435,"MMM")))</f>
        <v/>
      </c>
      <c r="K435">
        <f>IF($B435="","",IF(I435=0,0,J435/I435))</f>
        <v/>
      </c>
      <c r="O435">
        <f>IF($B435="","",IF(M435=0,0,N435/M435))</f>
        <v/>
      </c>
    </row>
    <row r="436">
      <c r="A436">
        <f>IF($B436="","",ROW()-5)</f>
        <v/>
      </c>
      <c r="D436">
        <f>IF($B436="","",IF(C436="","",TEXT(C436,"MMM")))</f>
        <v/>
      </c>
      <c r="K436">
        <f>IF($B436="","",IF(I436=0,0,J436/I436))</f>
        <v/>
      </c>
      <c r="O436">
        <f>IF($B436="","",IF(M436=0,0,N436/M436))</f>
        <v/>
      </c>
    </row>
    <row r="437">
      <c r="A437">
        <f>IF($B437="","",ROW()-5)</f>
        <v/>
      </c>
      <c r="D437">
        <f>IF($B437="","",IF(C437="","",TEXT(C437,"MMM")))</f>
        <v/>
      </c>
      <c r="K437">
        <f>IF($B437="","",IF(I437=0,0,J437/I437))</f>
        <v/>
      </c>
      <c r="O437">
        <f>IF($B437="","",IF(M437=0,0,N437/M437))</f>
        <v/>
      </c>
    </row>
    <row r="438">
      <c r="A438">
        <f>IF($B438="","",ROW()-5)</f>
        <v/>
      </c>
      <c r="D438">
        <f>IF($B438="","",IF(C438="","",TEXT(C438,"MMM")))</f>
        <v/>
      </c>
      <c r="K438">
        <f>IF($B438="","",IF(I438=0,0,J438/I438))</f>
        <v/>
      </c>
      <c r="O438">
        <f>IF($B438="","",IF(M438=0,0,N438/M438))</f>
        <v/>
      </c>
    </row>
    <row r="439">
      <c r="A439">
        <f>IF($B439="","",ROW()-5)</f>
        <v/>
      </c>
      <c r="D439">
        <f>IF($B439="","",IF(C439="","",TEXT(C439,"MMM")))</f>
        <v/>
      </c>
      <c r="K439">
        <f>IF($B439="","",IF(I439=0,0,J439/I439))</f>
        <v/>
      </c>
      <c r="O439">
        <f>IF($B439="","",IF(M439=0,0,N439/M439))</f>
        <v/>
      </c>
    </row>
    <row r="440">
      <c r="A440">
        <f>IF($B440="","",ROW()-5)</f>
        <v/>
      </c>
      <c r="D440">
        <f>IF($B440="","",IF(C440="","",TEXT(C440,"MMM")))</f>
        <v/>
      </c>
      <c r="K440">
        <f>IF($B440="","",IF(I440=0,0,J440/I440))</f>
        <v/>
      </c>
      <c r="O440">
        <f>IF($B440="","",IF(M440=0,0,N440/M440))</f>
        <v/>
      </c>
    </row>
    <row r="441">
      <c r="A441">
        <f>IF($B441="","",ROW()-5)</f>
        <v/>
      </c>
      <c r="D441">
        <f>IF($B441="","",IF(C441="","",TEXT(C441,"MMM")))</f>
        <v/>
      </c>
      <c r="K441">
        <f>IF($B441="","",IF(I441=0,0,J441/I441))</f>
        <v/>
      </c>
      <c r="O441">
        <f>IF($B441="","",IF(M441=0,0,N441/M441))</f>
        <v/>
      </c>
    </row>
    <row r="442">
      <c r="A442">
        <f>IF($B442="","",ROW()-5)</f>
        <v/>
      </c>
      <c r="D442">
        <f>IF($B442="","",IF(C442="","",TEXT(C442,"MMM")))</f>
        <v/>
      </c>
      <c r="K442">
        <f>IF($B442="","",IF(I442=0,0,J442/I442))</f>
        <v/>
      </c>
      <c r="O442">
        <f>IF($B442="","",IF(M442=0,0,N442/M442))</f>
        <v/>
      </c>
    </row>
    <row r="443">
      <c r="A443">
        <f>IF($B443="","",ROW()-5)</f>
        <v/>
      </c>
      <c r="D443">
        <f>IF($B443="","",IF(C443="","",TEXT(C443,"MMM")))</f>
        <v/>
      </c>
      <c r="K443">
        <f>IF($B443="","",IF(I443=0,0,J443/I443))</f>
        <v/>
      </c>
      <c r="O443">
        <f>IF($B443="","",IF(M443=0,0,N443/M443))</f>
        <v/>
      </c>
    </row>
    <row r="444">
      <c r="A444">
        <f>IF($B444="","",ROW()-5)</f>
        <v/>
      </c>
      <c r="D444">
        <f>IF($B444="","",IF(C444="","",TEXT(C444,"MMM")))</f>
        <v/>
      </c>
      <c r="K444">
        <f>IF($B444="","",IF(I444=0,0,J444/I444))</f>
        <v/>
      </c>
      <c r="O444">
        <f>IF($B444="","",IF(M444=0,0,N444/M444))</f>
        <v/>
      </c>
    </row>
    <row r="445">
      <c r="A445">
        <f>IF($B445="","",ROW()-5)</f>
        <v/>
      </c>
      <c r="D445">
        <f>IF($B445="","",IF(C445="","",TEXT(C445,"MMM")))</f>
        <v/>
      </c>
      <c r="K445">
        <f>IF($B445="","",IF(I445=0,0,J445/I445))</f>
        <v/>
      </c>
      <c r="O445">
        <f>IF($B445="","",IF(M445=0,0,N445/M445))</f>
        <v/>
      </c>
    </row>
    <row r="446">
      <c r="A446">
        <f>IF($B446="","",ROW()-5)</f>
        <v/>
      </c>
      <c r="D446">
        <f>IF($B446="","",IF(C446="","",TEXT(C446,"MMM")))</f>
        <v/>
      </c>
      <c r="K446">
        <f>IF($B446="","",IF(I446=0,0,J446/I446))</f>
        <v/>
      </c>
      <c r="O446">
        <f>IF($B446="","",IF(M446=0,0,N446/M446))</f>
        <v/>
      </c>
    </row>
    <row r="447">
      <c r="A447">
        <f>IF($B447="","",ROW()-5)</f>
        <v/>
      </c>
      <c r="D447">
        <f>IF($B447="","",IF(C447="","",TEXT(C447,"MMM")))</f>
        <v/>
      </c>
      <c r="K447">
        <f>IF($B447="","",IF(I447=0,0,J447/I447))</f>
        <v/>
      </c>
      <c r="O447">
        <f>IF($B447="","",IF(M447=0,0,N447/M447))</f>
        <v/>
      </c>
    </row>
    <row r="448">
      <c r="A448">
        <f>IF($B448="","",ROW()-5)</f>
        <v/>
      </c>
      <c r="D448">
        <f>IF($B448="","",IF(C448="","",TEXT(C448,"MMM")))</f>
        <v/>
      </c>
      <c r="K448">
        <f>IF($B448="","",IF(I448=0,0,J448/I448))</f>
        <v/>
      </c>
      <c r="O448">
        <f>IF($B448="","",IF(M448=0,0,N448/M448))</f>
        <v/>
      </c>
    </row>
    <row r="449">
      <c r="A449">
        <f>IF($B449="","",ROW()-5)</f>
        <v/>
      </c>
      <c r="D449">
        <f>IF($B449="","",IF(C449="","",TEXT(C449,"MMM")))</f>
        <v/>
      </c>
      <c r="K449">
        <f>IF($B449="","",IF(I449=0,0,J449/I449))</f>
        <v/>
      </c>
      <c r="O449">
        <f>IF($B449="","",IF(M449=0,0,N449/M449))</f>
        <v/>
      </c>
    </row>
    <row r="450">
      <c r="A450">
        <f>IF($B450="","",ROW()-5)</f>
        <v/>
      </c>
      <c r="D450">
        <f>IF($B450="","",IF(C450="","",TEXT(C450,"MMM")))</f>
        <v/>
      </c>
      <c r="K450">
        <f>IF($B450="","",IF(I450=0,0,J450/I450))</f>
        <v/>
      </c>
      <c r="O450">
        <f>IF($B450="","",IF(M450=0,0,N450/M450))</f>
        <v/>
      </c>
    </row>
    <row r="451">
      <c r="A451">
        <f>IF($B451="","",ROW()-5)</f>
        <v/>
      </c>
      <c r="D451">
        <f>IF($B451="","",IF(C451="","",TEXT(C451,"MMM")))</f>
        <v/>
      </c>
      <c r="K451">
        <f>IF($B451="","",IF(I451=0,0,J451/I451))</f>
        <v/>
      </c>
      <c r="O451">
        <f>IF($B451="","",IF(M451=0,0,N451/M451))</f>
        <v/>
      </c>
    </row>
    <row r="452">
      <c r="A452">
        <f>IF($B452="","",ROW()-5)</f>
        <v/>
      </c>
      <c r="D452">
        <f>IF($B452="","",IF(C452="","",TEXT(C452,"MMM")))</f>
        <v/>
      </c>
      <c r="K452">
        <f>IF($B452="","",IF(I452=0,0,J452/I452))</f>
        <v/>
      </c>
      <c r="O452">
        <f>IF($B452="","",IF(M452=0,0,N452/M452))</f>
        <v/>
      </c>
    </row>
    <row r="453">
      <c r="A453">
        <f>IF($B453="","",ROW()-5)</f>
        <v/>
      </c>
      <c r="D453">
        <f>IF($B453="","",IF(C453="","",TEXT(C453,"MMM")))</f>
        <v/>
      </c>
      <c r="K453">
        <f>IF($B453="","",IF(I453=0,0,J453/I453))</f>
        <v/>
      </c>
      <c r="O453">
        <f>IF($B453="","",IF(M453=0,0,N453/M453))</f>
        <v/>
      </c>
    </row>
    <row r="454">
      <c r="A454">
        <f>IF($B454="","",ROW()-5)</f>
        <v/>
      </c>
      <c r="D454">
        <f>IF($B454="","",IF(C454="","",TEXT(C454,"MMM")))</f>
        <v/>
      </c>
      <c r="K454">
        <f>IF($B454="","",IF(I454=0,0,J454/I454))</f>
        <v/>
      </c>
      <c r="O454">
        <f>IF($B454="","",IF(M454=0,0,N454/M454))</f>
        <v/>
      </c>
    </row>
    <row r="455">
      <c r="A455">
        <f>IF($B455="","",ROW()-5)</f>
        <v/>
      </c>
      <c r="D455">
        <f>IF($B455="","",IF(C455="","",TEXT(C455,"MMM")))</f>
        <v/>
      </c>
      <c r="K455">
        <f>IF($B455="","",IF(I455=0,0,J455/I455))</f>
        <v/>
      </c>
      <c r="O455">
        <f>IF($B455="","",IF(M455=0,0,N455/M455))</f>
        <v/>
      </c>
    </row>
    <row r="456">
      <c r="A456">
        <f>IF($B456="","",ROW()-5)</f>
        <v/>
      </c>
      <c r="D456">
        <f>IF($B456="","",IF(C456="","",TEXT(C456,"MMM")))</f>
        <v/>
      </c>
      <c r="K456">
        <f>IF($B456="","",IF(I456=0,0,J456/I456))</f>
        <v/>
      </c>
      <c r="O456">
        <f>IF($B456="","",IF(M456=0,0,N456/M456))</f>
        <v/>
      </c>
    </row>
    <row r="457">
      <c r="A457">
        <f>IF($B457="","",ROW()-5)</f>
        <v/>
      </c>
      <c r="D457">
        <f>IF($B457="","",IF(C457="","",TEXT(C457,"MMM")))</f>
        <v/>
      </c>
      <c r="K457">
        <f>IF($B457="","",IF(I457=0,0,J457/I457))</f>
        <v/>
      </c>
      <c r="O457">
        <f>IF($B457="","",IF(M457=0,0,N457/M457))</f>
        <v/>
      </c>
    </row>
    <row r="458">
      <c r="A458">
        <f>IF($B458="","",ROW()-5)</f>
        <v/>
      </c>
      <c r="D458">
        <f>IF($B458="","",IF(C458="","",TEXT(C458,"MMM")))</f>
        <v/>
      </c>
      <c r="K458">
        <f>IF($B458="","",IF(I458=0,0,J458/I458))</f>
        <v/>
      </c>
      <c r="O458">
        <f>IF($B458="","",IF(M458=0,0,N458/M458))</f>
        <v/>
      </c>
    </row>
    <row r="459">
      <c r="A459">
        <f>IF($B459="","",ROW()-5)</f>
        <v/>
      </c>
      <c r="D459">
        <f>IF($B459="","",IF(C459="","",TEXT(C459,"MMM")))</f>
        <v/>
      </c>
      <c r="K459">
        <f>IF($B459="","",IF(I459=0,0,J459/I459))</f>
        <v/>
      </c>
      <c r="O459">
        <f>IF($B459="","",IF(M459=0,0,N459/M459))</f>
        <v/>
      </c>
    </row>
    <row r="460">
      <c r="A460">
        <f>IF($B460="","",ROW()-5)</f>
        <v/>
      </c>
      <c r="D460">
        <f>IF($B460="","",IF(C460="","",TEXT(C460,"MMM")))</f>
        <v/>
      </c>
      <c r="K460">
        <f>IF($B460="","",IF(I460=0,0,J460/I460))</f>
        <v/>
      </c>
      <c r="O460">
        <f>IF($B460="","",IF(M460=0,0,N460/M460))</f>
        <v/>
      </c>
    </row>
    <row r="461">
      <c r="A461">
        <f>IF($B461="","",ROW()-5)</f>
        <v/>
      </c>
      <c r="D461">
        <f>IF($B461="","",IF(C461="","",TEXT(C461,"MMM")))</f>
        <v/>
      </c>
      <c r="K461">
        <f>IF($B461="","",IF(I461=0,0,J461/I461))</f>
        <v/>
      </c>
      <c r="O461">
        <f>IF($B461="","",IF(M461=0,0,N461/M461))</f>
        <v/>
      </c>
    </row>
    <row r="462">
      <c r="A462">
        <f>IF($B462="","",ROW()-5)</f>
        <v/>
      </c>
      <c r="D462">
        <f>IF($B462="","",IF(C462="","",TEXT(C462,"MMM")))</f>
        <v/>
      </c>
      <c r="K462">
        <f>IF($B462="","",IF(I462=0,0,J462/I462))</f>
        <v/>
      </c>
      <c r="O462">
        <f>IF($B462="","",IF(M462=0,0,N462/M462))</f>
        <v/>
      </c>
    </row>
    <row r="463">
      <c r="A463">
        <f>IF($B463="","",ROW()-5)</f>
        <v/>
      </c>
      <c r="D463">
        <f>IF($B463="","",IF(C463="","",TEXT(C463,"MMM")))</f>
        <v/>
      </c>
      <c r="K463">
        <f>IF($B463="","",IF(I463=0,0,J463/I463))</f>
        <v/>
      </c>
      <c r="O463">
        <f>IF($B463="","",IF(M463=0,0,N463/M463))</f>
        <v/>
      </c>
    </row>
    <row r="464">
      <c r="A464">
        <f>IF($B464="","",ROW()-5)</f>
        <v/>
      </c>
      <c r="D464">
        <f>IF($B464="","",IF(C464="","",TEXT(C464,"MMM")))</f>
        <v/>
      </c>
      <c r="K464">
        <f>IF($B464="","",IF(I464=0,0,J464/I464))</f>
        <v/>
      </c>
      <c r="O464">
        <f>IF($B464="","",IF(M464=0,0,N464/M464))</f>
        <v/>
      </c>
    </row>
    <row r="465">
      <c r="A465">
        <f>IF($B465="","",ROW()-5)</f>
        <v/>
      </c>
      <c r="D465">
        <f>IF($B465="","",IF(C465="","",TEXT(C465,"MMM")))</f>
        <v/>
      </c>
      <c r="K465">
        <f>IF($B465="","",IF(I465=0,0,J465/I465))</f>
        <v/>
      </c>
      <c r="O465">
        <f>IF($B465="","",IF(M465=0,0,N465/M465))</f>
        <v/>
      </c>
    </row>
    <row r="466">
      <c r="A466">
        <f>IF($B466="","",ROW()-5)</f>
        <v/>
      </c>
      <c r="D466">
        <f>IF($B466="","",IF(C466="","",TEXT(C466,"MMM")))</f>
        <v/>
      </c>
      <c r="K466">
        <f>IF($B466="","",IF(I466=0,0,J466/I466))</f>
        <v/>
      </c>
      <c r="O466">
        <f>IF($B466="","",IF(M466=0,0,N466/M466))</f>
        <v/>
      </c>
    </row>
    <row r="467">
      <c r="A467">
        <f>IF($B467="","",ROW()-5)</f>
        <v/>
      </c>
      <c r="D467">
        <f>IF($B467="","",IF(C467="","",TEXT(C467,"MMM")))</f>
        <v/>
      </c>
      <c r="K467">
        <f>IF($B467="","",IF(I467=0,0,J467/I467))</f>
        <v/>
      </c>
      <c r="O467">
        <f>IF($B467="","",IF(M467=0,0,N467/M467))</f>
        <v/>
      </c>
    </row>
    <row r="468">
      <c r="A468">
        <f>IF($B468="","",ROW()-5)</f>
        <v/>
      </c>
      <c r="D468">
        <f>IF($B468="","",IF(C468="","",TEXT(C468,"MMM")))</f>
        <v/>
      </c>
      <c r="K468">
        <f>IF($B468="","",IF(I468=0,0,J468/I468))</f>
        <v/>
      </c>
      <c r="O468">
        <f>IF($B468="","",IF(M468=0,0,N468/M468))</f>
        <v/>
      </c>
    </row>
    <row r="469">
      <c r="A469">
        <f>IF($B469="","",ROW()-5)</f>
        <v/>
      </c>
      <c r="D469">
        <f>IF($B469="","",IF(C469="","",TEXT(C469,"MMM")))</f>
        <v/>
      </c>
      <c r="K469">
        <f>IF($B469="","",IF(I469=0,0,J469/I469))</f>
        <v/>
      </c>
      <c r="O469">
        <f>IF($B469="","",IF(M469=0,0,N469/M469))</f>
        <v/>
      </c>
    </row>
    <row r="470">
      <c r="A470">
        <f>IF($B470="","",ROW()-5)</f>
        <v/>
      </c>
      <c r="D470">
        <f>IF($B470="","",IF(C470="","",TEXT(C470,"MMM")))</f>
        <v/>
      </c>
      <c r="K470">
        <f>IF($B470="","",IF(I470=0,0,J470/I470))</f>
        <v/>
      </c>
      <c r="O470">
        <f>IF($B470="","",IF(M470=0,0,N470/M470))</f>
        <v/>
      </c>
    </row>
    <row r="471">
      <c r="A471">
        <f>IF($B471="","",ROW()-5)</f>
        <v/>
      </c>
      <c r="D471">
        <f>IF($B471="","",IF(C471="","",TEXT(C471,"MMM")))</f>
        <v/>
      </c>
      <c r="K471">
        <f>IF($B471="","",IF(I471=0,0,J471/I471))</f>
        <v/>
      </c>
      <c r="O471">
        <f>IF($B471="","",IF(M471=0,0,N471/M471))</f>
        <v/>
      </c>
    </row>
    <row r="472">
      <c r="A472">
        <f>IF($B472="","",ROW()-5)</f>
        <v/>
      </c>
      <c r="D472">
        <f>IF($B472="","",IF(C472="","",TEXT(C472,"MMM")))</f>
        <v/>
      </c>
      <c r="K472">
        <f>IF($B472="","",IF(I472=0,0,J472/I472))</f>
        <v/>
      </c>
      <c r="O472">
        <f>IF($B472="","",IF(M472=0,0,N472/M472))</f>
        <v/>
      </c>
    </row>
    <row r="473">
      <c r="A473">
        <f>IF($B473="","",ROW()-5)</f>
        <v/>
      </c>
      <c r="D473">
        <f>IF($B473="","",IF(C473="","",TEXT(C473,"MMM")))</f>
        <v/>
      </c>
      <c r="K473">
        <f>IF($B473="","",IF(I473=0,0,J473/I473))</f>
        <v/>
      </c>
      <c r="O473">
        <f>IF($B473="","",IF(M473=0,0,N473/M473))</f>
        <v/>
      </c>
    </row>
    <row r="474">
      <c r="A474">
        <f>IF($B474="","",ROW()-5)</f>
        <v/>
      </c>
      <c r="D474">
        <f>IF($B474="","",IF(C474="","",TEXT(C474,"MMM")))</f>
        <v/>
      </c>
      <c r="K474">
        <f>IF($B474="","",IF(I474=0,0,J474/I474))</f>
        <v/>
      </c>
      <c r="O474">
        <f>IF($B474="","",IF(M474=0,0,N474/M474))</f>
        <v/>
      </c>
    </row>
    <row r="475">
      <c r="A475">
        <f>IF($B475="","",ROW()-5)</f>
        <v/>
      </c>
      <c r="D475">
        <f>IF($B475="","",IF(C475="","",TEXT(C475,"MMM")))</f>
        <v/>
      </c>
      <c r="K475">
        <f>IF($B475="","",IF(I475=0,0,J475/I475))</f>
        <v/>
      </c>
      <c r="O475">
        <f>IF($B475="","",IF(M475=0,0,N475/M475))</f>
        <v/>
      </c>
    </row>
    <row r="476">
      <c r="A476">
        <f>IF($B476="","",ROW()-5)</f>
        <v/>
      </c>
      <c r="D476">
        <f>IF($B476="","",IF(C476="","",TEXT(C476,"MMM")))</f>
        <v/>
      </c>
      <c r="K476">
        <f>IF($B476="","",IF(I476=0,0,J476/I476))</f>
        <v/>
      </c>
      <c r="O476">
        <f>IF($B476="","",IF(M476=0,0,N476/M476))</f>
        <v/>
      </c>
    </row>
    <row r="477">
      <c r="A477">
        <f>IF($B477="","",ROW()-5)</f>
        <v/>
      </c>
      <c r="D477">
        <f>IF($B477="","",IF(C477="","",TEXT(C477,"MMM")))</f>
        <v/>
      </c>
      <c r="K477">
        <f>IF($B477="","",IF(I477=0,0,J477/I477))</f>
        <v/>
      </c>
      <c r="O477">
        <f>IF($B477="","",IF(M477=0,0,N477/M477))</f>
        <v/>
      </c>
    </row>
    <row r="478">
      <c r="A478">
        <f>IF($B478="","",ROW()-5)</f>
        <v/>
      </c>
      <c r="D478">
        <f>IF($B478="","",IF(C478="","",TEXT(C478,"MMM")))</f>
        <v/>
      </c>
      <c r="K478">
        <f>IF($B478="","",IF(I478=0,0,J478/I478))</f>
        <v/>
      </c>
      <c r="O478">
        <f>IF($B478="","",IF(M478=0,0,N478/M478))</f>
        <v/>
      </c>
    </row>
    <row r="479">
      <c r="A479">
        <f>IF($B479="","",ROW()-5)</f>
        <v/>
      </c>
      <c r="D479">
        <f>IF($B479="","",IF(C479="","",TEXT(C479,"MMM")))</f>
        <v/>
      </c>
      <c r="K479">
        <f>IF($B479="","",IF(I479=0,0,J479/I479))</f>
        <v/>
      </c>
      <c r="O479">
        <f>IF($B479="","",IF(M479=0,0,N479/M479))</f>
        <v/>
      </c>
    </row>
    <row r="480">
      <c r="A480">
        <f>IF($B480="","",ROW()-5)</f>
        <v/>
      </c>
      <c r="D480">
        <f>IF($B480="","",IF(C480="","",TEXT(C480,"MMM")))</f>
        <v/>
      </c>
      <c r="K480">
        <f>IF($B480="","",IF(I480=0,0,J480/I480))</f>
        <v/>
      </c>
      <c r="O480">
        <f>IF($B480="","",IF(M480=0,0,N480/M480))</f>
        <v/>
      </c>
    </row>
    <row r="481">
      <c r="A481">
        <f>IF($B481="","",ROW()-5)</f>
        <v/>
      </c>
      <c r="D481">
        <f>IF($B481="","",IF(C481="","",TEXT(C481,"MMM")))</f>
        <v/>
      </c>
      <c r="K481">
        <f>IF($B481="","",IF(I481=0,0,J481/I481))</f>
        <v/>
      </c>
      <c r="O481">
        <f>IF($B481="","",IF(M481=0,0,N481/M481))</f>
        <v/>
      </c>
    </row>
    <row r="482">
      <c r="A482">
        <f>IF($B482="","",ROW()-5)</f>
        <v/>
      </c>
      <c r="D482">
        <f>IF($B482="","",IF(C482="","",TEXT(C482,"MMM")))</f>
        <v/>
      </c>
      <c r="K482">
        <f>IF($B482="","",IF(I482=0,0,J482/I482))</f>
        <v/>
      </c>
      <c r="O482">
        <f>IF($B482="","",IF(M482=0,0,N482/M482))</f>
        <v/>
      </c>
    </row>
    <row r="483">
      <c r="A483">
        <f>IF($B483="","",ROW()-5)</f>
        <v/>
      </c>
      <c r="D483">
        <f>IF($B483="","",IF(C483="","",TEXT(C483,"MMM")))</f>
        <v/>
      </c>
      <c r="K483">
        <f>IF($B483="","",IF(I483=0,0,J483/I483))</f>
        <v/>
      </c>
      <c r="O483">
        <f>IF($B483="","",IF(M483=0,0,N483/M483))</f>
        <v/>
      </c>
    </row>
    <row r="484">
      <c r="A484">
        <f>IF($B484="","",ROW()-5)</f>
        <v/>
      </c>
      <c r="D484">
        <f>IF($B484="","",IF(C484="","",TEXT(C484,"MMM")))</f>
        <v/>
      </c>
      <c r="K484">
        <f>IF($B484="","",IF(I484=0,0,J484/I484))</f>
        <v/>
      </c>
      <c r="O484">
        <f>IF($B484="","",IF(M484=0,0,N484/M484))</f>
        <v/>
      </c>
    </row>
    <row r="485">
      <c r="A485">
        <f>IF($B485="","",ROW()-5)</f>
        <v/>
      </c>
      <c r="D485">
        <f>IF($B485="","",IF(C485="","",TEXT(C485,"MMM")))</f>
        <v/>
      </c>
      <c r="K485">
        <f>IF($B485="","",IF(I485=0,0,J485/I485))</f>
        <v/>
      </c>
      <c r="O485">
        <f>IF($B485="","",IF(M485=0,0,N485/M485))</f>
        <v/>
      </c>
    </row>
    <row r="486">
      <c r="A486">
        <f>IF($B486="","",ROW()-5)</f>
        <v/>
      </c>
      <c r="D486">
        <f>IF($B486="","",IF(C486="","",TEXT(C486,"MMM")))</f>
        <v/>
      </c>
      <c r="K486">
        <f>IF($B486="","",IF(I486=0,0,J486/I486))</f>
        <v/>
      </c>
      <c r="O486">
        <f>IF($B486="","",IF(M486=0,0,N486/M486))</f>
        <v/>
      </c>
    </row>
    <row r="487">
      <c r="A487">
        <f>IF($B487="","",ROW()-5)</f>
        <v/>
      </c>
      <c r="D487">
        <f>IF($B487="","",IF(C487="","",TEXT(C487,"MMM")))</f>
        <v/>
      </c>
      <c r="K487">
        <f>IF($B487="","",IF(I487=0,0,J487/I487))</f>
        <v/>
      </c>
      <c r="O487">
        <f>IF($B487="","",IF(M487=0,0,N487/M487))</f>
        <v/>
      </c>
    </row>
    <row r="488">
      <c r="A488">
        <f>IF($B488="","",ROW()-5)</f>
        <v/>
      </c>
      <c r="D488">
        <f>IF($B488="","",IF(C488="","",TEXT(C488,"MMM")))</f>
        <v/>
      </c>
      <c r="K488">
        <f>IF($B488="","",IF(I488=0,0,J488/I488))</f>
        <v/>
      </c>
      <c r="O488">
        <f>IF($B488="","",IF(M488=0,0,N488/M488))</f>
        <v/>
      </c>
    </row>
    <row r="489">
      <c r="A489">
        <f>IF($B489="","",ROW()-5)</f>
        <v/>
      </c>
      <c r="D489">
        <f>IF($B489="","",IF(C489="","",TEXT(C489,"MMM")))</f>
        <v/>
      </c>
      <c r="K489">
        <f>IF($B489="","",IF(I489=0,0,J489/I489))</f>
        <v/>
      </c>
      <c r="O489">
        <f>IF($B489="","",IF(M489=0,0,N489/M489))</f>
        <v/>
      </c>
    </row>
    <row r="490">
      <c r="A490">
        <f>IF($B490="","",ROW()-5)</f>
        <v/>
      </c>
      <c r="D490">
        <f>IF($B490="","",IF(C490="","",TEXT(C490,"MMM")))</f>
        <v/>
      </c>
      <c r="K490">
        <f>IF($B490="","",IF(I490=0,0,J490/I490))</f>
        <v/>
      </c>
      <c r="O490">
        <f>IF($B490="","",IF(M490=0,0,N490/M490))</f>
        <v/>
      </c>
    </row>
    <row r="491">
      <c r="A491">
        <f>IF($B491="","",ROW()-5)</f>
        <v/>
      </c>
      <c r="D491">
        <f>IF($B491="","",IF(C491="","",TEXT(C491,"MMM")))</f>
        <v/>
      </c>
      <c r="K491">
        <f>IF($B491="","",IF(I491=0,0,J491/I491))</f>
        <v/>
      </c>
      <c r="O491">
        <f>IF($B491="","",IF(M491=0,0,N491/M491))</f>
        <v/>
      </c>
    </row>
    <row r="492">
      <c r="A492">
        <f>IF($B492="","",ROW()-5)</f>
        <v/>
      </c>
      <c r="D492">
        <f>IF($B492="","",IF(C492="","",TEXT(C492,"MMM")))</f>
        <v/>
      </c>
      <c r="K492">
        <f>IF($B492="","",IF(I492=0,0,J492/I492))</f>
        <v/>
      </c>
      <c r="O492">
        <f>IF($B492="","",IF(M492=0,0,N492/M492))</f>
        <v/>
      </c>
    </row>
    <row r="493">
      <c r="A493">
        <f>IF($B493="","",ROW()-5)</f>
        <v/>
      </c>
      <c r="D493">
        <f>IF($B493="","",IF(C493="","",TEXT(C493,"MMM")))</f>
        <v/>
      </c>
      <c r="K493">
        <f>IF($B493="","",IF(I493=0,0,J493/I493))</f>
        <v/>
      </c>
      <c r="O493">
        <f>IF($B493="","",IF(M493=0,0,N493/M493))</f>
        <v/>
      </c>
    </row>
    <row r="494">
      <c r="A494">
        <f>IF($B494="","",ROW()-5)</f>
        <v/>
      </c>
      <c r="D494">
        <f>IF($B494="","",IF(C494="","",TEXT(C494,"MMM")))</f>
        <v/>
      </c>
      <c r="K494">
        <f>IF($B494="","",IF(I494=0,0,J494/I494))</f>
        <v/>
      </c>
      <c r="O494">
        <f>IF($B494="","",IF(M494=0,0,N494/M494))</f>
        <v/>
      </c>
    </row>
    <row r="495">
      <c r="A495">
        <f>IF($B495="","",ROW()-5)</f>
        <v/>
      </c>
      <c r="D495">
        <f>IF($B495="","",IF(C495="","",TEXT(C495,"MMM")))</f>
        <v/>
      </c>
      <c r="K495">
        <f>IF($B495="","",IF(I495=0,0,J495/I495))</f>
        <v/>
      </c>
      <c r="O495">
        <f>IF($B495="","",IF(M495=0,0,N495/M495))</f>
        <v/>
      </c>
    </row>
    <row r="496">
      <c r="A496">
        <f>IF($B496="","",ROW()-5)</f>
        <v/>
      </c>
      <c r="D496">
        <f>IF($B496="","",IF(C496="","",TEXT(C496,"MMM")))</f>
        <v/>
      </c>
      <c r="K496">
        <f>IF($B496="","",IF(I496=0,0,J496/I496))</f>
        <v/>
      </c>
      <c r="O496">
        <f>IF($B496="","",IF(M496=0,0,N496/M496))</f>
        <v/>
      </c>
    </row>
    <row r="497">
      <c r="A497">
        <f>IF($B497="","",ROW()-5)</f>
        <v/>
      </c>
      <c r="D497">
        <f>IF($B497="","",IF(C497="","",TEXT(C497,"MMM")))</f>
        <v/>
      </c>
      <c r="K497">
        <f>IF($B497="","",IF(I497=0,0,J497/I497))</f>
        <v/>
      </c>
      <c r="O497">
        <f>IF($B497="","",IF(M497=0,0,N497/M497))</f>
        <v/>
      </c>
    </row>
    <row r="498">
      <c r="A498">
        <f>IF($B498="","",ROW()-5)</f>
        <v/>
      </c>
      <c r="D498">
        <f>IF($B498="","",IF(C498="","",TEXT(C498,"MMM")))</f>
        <v/>
      </c>
      <c r="K498">
        <f>IF($B498="","",IF(I498=0,0,J498/I498))</f>
        <v/>
      </c>
      <c r="O498">
        <f>IF($B498="","",IF(M498=0,0,N498/M498))</f>
        <v/>
      </c>
    </row>
    <row r="499">
      <c r="A499">
        <f>IF($B499="","",ROW()-5)</f>
        <v/>
      </c>
      <c r="D499">
        <f>IF($B499="","",IF(C499="","",TEXT(C499,"MMM")))</f>
        <v/>
      </c>
      <c r="K499">
        <f>IF($B499="","",IF(I499=0,0,J499/I499))</f>
        <v/>
      </c>
      <c r="O499">
        <f>IF($B499="","",IF(M499=0,0,N499/M499))</f>
        <v/>
      </c>
    </row>
    <row r="500">
      <c r="A500">
        <f>IF($B500="","",ROW()-5)</f>
        <v/>
      </c>
      <c r="D500">
        <f>IF($B500="","",IF(C500="","",TEXT(C500,"MMM")))</f>
        <v/>
      </c>
      <c r="K500">
        <f>IF($B500="","",IF(I500=0,0,J500/I500))</f>
        <v/>
      </c>
      <c r="O500">
        <f>IF($B500="","",IF(M500=0,0,N500/M500))</f>
        <v/>
      </c>
    </row>
    <row r="501">
      <c r="A501">
        <f>IF($B501="","",ROW()-5)</f>
        <v/>
      </c>
      <c r="D501">
        <f>IF($B501="","",IF(C501="","",TEXT(C501,"MMM")))</f>
        <v/>
      </c>
      <c r="K501">
        <f>IF($B501="","",IF(I501=0,0,J501/I501))</f>
        <v/>
      </c>
      <c r="O501">
        <f>IF($B501="","",IF(M501=0,0,N501/M501))</f>
        <v/>
      </c>
    </row>
    <row r="502">
      <c r="A502">
        <f>IF($B502="","",ROW()-5)</f>
        <v/>
      </c>
      <c r="D502">
        <f>IF($B502="","",IF(C502="","",TEXT(C502,"MMM")))</f>
        <v/>
      </c>
      <c r="K502">
        <f>IF($B502="","",IF(I502=0,0,J502/I502))</f>
        <v/>
      </c>
      <c r="O502">
        <f>IF($B502="","",IF(M502=0,0,N502/M502))</f>
        <v/>
      </c>
    </row>
    <row r="503">
      <c r="A503">
        <f>IF($B503="","",ROW()-5)</f>
        <v/>
      </c>
      <c r="D503">
        <f>IF($B503="","",IF(C503="","",TEXT(C503,"MMM")))</f>
        <v/>
      </c>
      <c r="K503">
        <f>IF($B503="","",IF(I503=0,0,J503/I503))</f>
        <v/>
      </c>
      <c r="O503">
        <f>IF($B503="","",IF(M503=0,0,N503/M503))</f>
        <v/>
      </c>
    </row>
    <row r="504">
      <c r="A504">
        <f>IF($B504="","",ROW()-5)</f>
        <v/>
      </c>
      <c r="D504">
        <f>IF($B504="","",IF(C504="","",TEXT(C504,"MMM")))</f>
        <v/>
      </c>
      <c r="K504">
        <f>IF($B504="","",IF(I504=0,0,J504/I504))</f>
        <v/>
      </c>
      <c r="O504">
        <f>IF($B504="","",IF(M504=0,0,N504/M504))</f>
        <v/>
      </c>
    </row>
    <row r="505">
      <c r="A505">
        <f>IF($B505="","",ROW()-5)</f>
        <v/>
      </c>
      <c r="D505">
        <f>IF($B505="","",IF(C505="","",TEXT(C505,"MMM")))</f>
        <v/>
      </c>
      <c r="K505">
        <f>IF($B505="","",IF(I505=0,0,J505/I505))</f>
        <v/>
      </c>
      <c r="O505">
        <f>IF($B505="","",IF(M505=0,0,N505/M505))</f>
        <v/>
      </c>
    </row>
    <row r="506">
      <c r="A506">
        <f>IF($B506="","",ROW()-5)</f>
        <v/>
      </c>
      <c r="D506">
        <f>IF($B506="","",IF(C506="","",TEXT(C506,"MMM")))</f>
        <v/>
      </c>
      <c r="K506">
        <f>IF($B506="","",IF(I506=0,0,J506/I506))</f>
        <v/>
      </c>
      <c r="O506">
        <f>IF($B506="","",IF(M506=0,0,N506/M506))</f>
        <v/>
      </c>
    </row>
  </sheetData>
  <autoFilter ref="A4:P23"/>
  <mergeCells count="5">
    <mergeCell ref="A1:P1"/>
    <mergeCell ref="A3:D3"/>
    <mergeCell ref="M3:O3"/>
    <mergeCell ref="I3:K3"/>
    <mergeCell ref="A2:P2"/>
  </mergeCells>
  <dataValidations count="3">
    <dataValidation sqref="E6:E506" showDropDown="0" showInputMessage="0" showErrorMessage="0" allowBlank="1" type="list">
      <formula1>L_Frequency</formula1>
      <formula2>0</formula2>
    </dataValidation>
    <dataValidation sqref="G6:G506" showDropDown="0" showInputMessage="0" showErrorMessage="0" allowBlank="1" type="list">
      <formula1>L_Department</formula1>
      <formula2>0</formula2>
    </dataValidation>
    <dataValidation sqref="P6:P506" showDropDown="0" showInputMessage="0" showErrorMessage="0" allowBlank="1" type="list">
      <formula1>L_Action_Required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FF6F00"/>
    <outlinePr summaryBelow="1" summaryRight="1"/>
    <pageSetUpPr/>
  </sheetPr>
  <dimension ref="A1:N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4" customWidth="1" style="15" min="5" max="5"/>
    <col width="24" customWidth="1" style="15" min="6" max="6"/>
    <col width="16" customWidth="1" style="15" min="7" max="8"/>
    <col width="14" customWidth="1" style="15" min="9" max="9"/>
    <col width="10" customWidth="1" style="15" min="10" max="10"/>
    <col width="12" customWidth="1" style="15" min="11" max="11"/>
    <col width="10" customWidth="1" style="15" min="12" max="14"/>
  </cols>
  <sheetData>
    <row r="1" ht="42" customHeight="1" s="15">
      <c r="A1" s="212" t="inlineStr">
        <is>
          <t>📢  SAFETY BULLETINS / ALERTS — DATA ENTRY</t>
        </is>
      </c>
    </row>
    <row r="2" ht="21.75" customHeight="1" s="15">
      <c r="A2" s="213" t="inlineStr">
        <is>
          <t>🔵 Blue = User Input  |  ⚫ Gray = Auto-Calculated  |  Use dropdowns where available</t>
        </is>
      </c>
    </row>
    <row r="3" ht="19.5" customHeight="1" s="15">
      <c r="A3" s="214" t="inlineStr">
        <is>
          <t>IDENTIFICATION</t>
        </is>
      </c>
      <c r="E3" s="16" t="inlineStr">
        <is>
          <t>CLASSIFICATION</t>
        </is>
      </c>
      <c r="F3" s="39" t="inlineStr">
        <is>
          <t>CONTENT</t>
        </is>
      </c>
      <c r="G3" s="17" t="inlineStr">
        <is>
          <t>ORGANIZATIONAL</t>
        </is>
      </c>
      <c r="H3" s="40" t="inlineStr">
        <is>
          <t>PEOPLE</t>
        </is>
      </c>
      <c r="I3" s="18" t="inlineStr">
        <is>
          <t>DISTRIBUTION</t>
        </is>
      </c>
      <c r="J3" s="19" t="inlineStr">
        <is>
          <t>CLASSIFICATION</t>
        </is>
      </c>
      <c r="K3" s="20" t="inlineStr">
        <is>
          <t>STATUS</t>
        </is>
      </c>
      <c r="L3" s="214" t="inlineStr">
        <is>
          <t>REACH</t>
        </is>
      </c>
    </row>
    <row r="4" ht="31.5" customHeight="1" s="15">
      <c r="A4" s="49" t="inlineStr">
        <is>
          <t>S.No</t>
        </is>
      </c>
      <c r="B4" s="49" t="inlineStr">
        <is>
          <t>Bulletin No.</t>
        </is>
      </c>
      <c r="C4" s="49" t="inlineStr">
        <is>
          <t>Date Issued</t>
        </is>
      </c>
      <c r="D4" s="49" t="inlineStr">
        <is>
          <t>Month</t>
        </is>
      </c>
      <c r="E4" s="49" t="inlineStr">
        <is>
          <t>Type</t>
        </is>
      </c>
      <c r="F4" s="49" t="inlineStr">
        <is>
          <t>Subject/Title</t>
        </is>
      </c>
      <c r="G4" s="49" t="inlineStr">
        <is>
          <t>Target Audience</t>
        </is>
      </c>
      <c r="H4" s="49" t="inlineStr">
        <is>
          <t>Issued By</t>
        </is>
      </c>
      <c r="I4" s="49" t="inlineStr">
        <is>
          <t>Distribution Method</t>
        </is>
      </c>
      <c r="J4" s="49" t="inlineStr">
        <is>
          <t>Priority</t>
        </is>
      </c>
      <c r="K4" s="49" t="inlineStr">
        <is>
          <t>Status</t>
        </is>
      </c>
      <c r="L4" s="49" t="inlineStr">
        <is>
          <t>Target Reach</t>
        </is>
      </c>
      <c r="M4" s="49" t="inlineStr">
        <is>
          <t>Actual Reach</t>
        </is>
      </c>
      <c r="N4" s="49" t="inlineStr">
        <is>
          <t>Reach %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2" t="inlineStr">
        <is>
          <t>⚙️ AUTO</t>
        </is>
      </c>
    </row>
    <row r="6" ht="15" customHeight="1" s="15">
      <c r="A6" s="24" t="n">
        <v>1</v>
      </c>
      <c r="B6" s="25" t="inlineStr">
        <is>
          <t>BUL-001</t>
        </is>
      </c>
      <c r="C6" s="26" t="n">
        <v>46339</v>
      </c>
      <c r="D6" s="24">
        <f>IF(C6="","",TEXT(C6,"MMM"))</f>
        <v/>
      </c>
      <c r="E6" s="28" t="inlineStr">
        <is>
          <t>Toolbox Topic</t>
        </is>
      </c>
      <c r="F6" s="27" t="inlineStr">
        <is>
          <t>Fire Prevention</t>
        </is>
      </c>
      <c r="G6" s="27" t="inlineStr">
        <is>
          <t>Operations</t>
        </is>
      </c>
      <c r="H6" s="27" t="inlineStr">
        <is>
          <t>Ahmed Khan</t>
        </is>
      </c>
      <c r="I6" s="28" t="inlineStr">
        <is>
          <t>Notice Board</t>
        </is>
      </c>
      <c r="J6" s="28" t="inlineStr">
        <is>
          <t>Medium</t>
        </is>
      </c>
      <c r="K6" s="28" t="inlineStr">
        <is>
          <t>Acknowledged</t>
        </is>
      </c>
      <c r="L6" s="29" t="n">
        <v>143</v>
      </c>
      <c r="M6" s="29" t="n">
        <v>133</v>
      </c>
      <c r="N6" s="30">
        <f>IF(L6=0,0,M6/L6)</f>
        <v/>
      </c>
    </row>
    <row r="7" ht="15" customHeight="1" s="15">
      <c r="A7" s="31" t="n">
        <v>2</v>
      </c>
      <c r="B7" s="32" t="inlineStr">
        <is>
          <t>BUL-002</t>
        </is>
      </c>
      <c r="C7" s="33" t="n">
        <v>46123</v>
      </c>
      <c r="D7" s="31">
        <f>IF(C7="","",TEXT(C7,"MMM"))</f>
        <v/>
      </c>
      <c r="E7" s="35" t="inlineStr">
        <is>
          <t>Best Practice</t>
        </is>
      </c>
      <c r="F7" s="34" t="inlineStr">
        <is>
          <t>H2S Awareness</t>
        </is>
      </c>
      <c r="G7" s="34" t="inlineStr">
        <is>
          <t>Safety</t>
        </is>
      </c>
      <c r="H7" s="34" t="inlineStr">
        <is>
          <t>Fatima Al-Said</t>
        </is>
      </c>
      <c r="I7" s="35" t="inlineStr">
        <is>
          <t>Toolbox Talk</t>
        </is>
      </c>
      <c r="J7" s="35" t="inlineStr">
        <is>
          <t>Medium</t>
        </is>
      </c>
      <c r="K7" s="35" t="inlineStr">
        <is>
          <t>Issued</t>
        </is>
      </c>
      <c r="L7" s="36" t="n">
        <v>114</v>
      </c>
      <c r="M7" s="36" t="n">
        <v>146</v>
      </c>
      <c r="N7" s="37">
        <f>IF(L7=0,0,M7/L7)</f>
        <v/>
      </c>
    </row>
    <row r="8" ht="15" customHeight="1" s="15">
      <c r="A8" s="24" t="n">
        <v>3</v>
      </c>
      <c r="B8" s="25" t="inlineStr">
        <is>
          <t>BUL-003</t>
        </is>
      </c>
      <c r="C8" s="26" t="n">
        <v>46269</v>
      </c>
      <c r="D8" s="24">
        <f>IF(C8="","",TEXT(C8,"MMM"))</f>
        <v/>
      </c>
      <c r="E8" s="28" t="inlineStr">
        <is>
          <t>Toolbox Topic</t>
        </is>
      </c>
      <c r="F8" s="27" t="inlineStr">
        <is>
          <t>PPE Compliance</t>
        </is>
      </c>
      <c r="G8" s="27" t="inlineStr">
        <is>
          <t>Quality</t>
        </is>
      </c>
      <c r="H8" s="27" t="inlineStr">
        <is>
          <t>Sarah Wilson</t>
        </is>
      </c>
      <c r="I8" s="28" t="inlineStr">
        <is>
          <t>Toolbox Talk</t>
        </is>
      </c>
      <c r="J8" s="28" t="inlineStr">
        <is>
          <t>Medium</t>
        </is>
      </c>
      <c r="K8" s="28" t="inlineStr">
        <is>
          <t>Issued</t>
        </is>
      </c>
      <c r="L8" s="29" t="n">
        <v>56</v>
      </c>
      <c r="M8" s="29" t="n">
        <v>39</v>
      </c>
      <c r="N8" s="30">
        <f>IF(L8=0,0,M8/L8)</f>
        <v/>
      </c>
    </row>
    <row r="9" ht="15" customHeight="1" s="15">
      <c r="A9" s="31" t="n">
        <v>4</v>
      </c>
      <c r="B9" s="32" t="inlineStr">
        <is>
          <t>BUL-004</t>
        </is>
      </c>
      <c r="C9" s="33" t="n">
        <v>46032</v>
      </c>
      <c r="D9" s="31">
        <f>IF(C9="","",TEXT(C9,"MMM"))</f>
        <v/>
      </c>
      <c r="E9" s="35" t="inlineStr">
        <is>
          <t>Lesson Learned</t>
        </is>
      </c>
      <c r="F9" s="34" t="inlineStr">
        <is>
          <t>COVID Protocol</t>
        </is>
      </c>
      <c r="G9" s="34" t="inlineStr">
        <is>
          <t>Logistics</t>
        </is>
      </c>
      <c r="H9" s="34" t="inlineStr">
        <is>
          <t>Maria Garcia</t>
        </is>
      </c>
      <c r="I9" s="35" t="inlineStr">
        <is>
          <t>Notice Board</t>
        </is>
      </c>
      <c r="J9" s="35" t="inlineStr">
        <is>
          <t>Medium</t>
        </is>
      </c>
      <c r="K9" s="35" t="inlineStr">
        <is>
          <t>Closed</t>
        </is>
      </c>
      <c r="L9" s="36" t="n">
        <v>100</v>
      </c>
      <c r="M9" s="36" t="n">
        <v>63</v>
      </c>
      <c r="N9" s="37">
        <f>IF(L9=0,0,M9/L9)</f>
        <v/>
      </c>
    </row>
    <row r="10" ht="15" customHeight="1" s="15">
      <c r="A10" s="24" t="n">
        <v>5</v>
      </c>
      <c r="B10" s="25" t="inlineStr">
        <is>
          <t>BUL-005</t>
        </is>
      </c>
      <c r="C10" s="26" t="n">
        <v>46097</v>
      </c>
      <c r="D10" s="24">
        <f>IF(C10="","",TEXT(C10,"MMM"))</f>
        <v/>
      </c>
      <c r="E10" s="28" t="inlineStr">
        <is>
          <t>Best Practice</t>
        </is>
      </c>
      <c r="F10" s="27" t="inlineStr">
        <is>
          <t>Fire Prevention</t>
        </is>
      </c>
      <c r="G10" s="27" t="inlineStr">
        <is>
          <t>Quality</t>
        </is>
      </c>
      <c r="H10" s="27" t="inlineStr">
        <is>
          <t>John Smith</t>
        </is>
      </c>
      <c r="I10" s="28" t="inlineStr">
        <is>
          <t>App Notification</t>
        </is>
      </c>
      <c r="J10" s="28" t="inlineStr">
        <is>
          <t>High</t>
        </is>
      </c>
      <c r="K10" s="28" t="inlineStr">
        <is>
          <t>Issued</t>
        </is>
      </c>
      <c r="L10" s="29" t="n">
        <v>120</v>
      </c>
      <c r="M10" s="29" t="n">
        <v>144</v>
      </c>
      <c r="N10" s="30">
        <f>IF(L10=0,0,M10/L10)</f>
        <v/>
      </c>
    </row>
    <row r="11" ht="15" customHeight="1" s="15">
      <c r="A11" s="31" t="n">
        <v>6</v>
      </c>
      <c r="B11" s="32" t="inlineStr">
        <is>
          <t>BUL-006</t>
        </is>
      </c>
      <c r="C11" s="33" t="n">
        <v>46242</v>
      </c>
      <c r="D11" s="31">
        <f>IF(C11="","",TEXT(C11,"MMM"))</f>
        <v/>
      </c>
      <c r="E11" s="35" t="inlineStr">
        <is>
          <t>Bulletin</t>
        </is>
      </c>
      <c r="F11" s="34" t="inlineStr">
        <is>
          <t>COVID Protocol</t>
        </is>
      </c>
      <c r="G11" s="34" t="inlineStr">
        <is>
          <t>Safety</t>
        </is>
      </c>
      <c r="H11" s="34" t="inlineStr">
        <is>
          <t>Ahmed Khan</t>
        </is>
      </c>
      <c r="I11" s="35" t="inlineStr">
        <is>
          <t>Email</t>
        </is>
      </c>
      <c r="J11" s="35" t="inlineStr">
        <is>
          <t>Medium</t>
        </is>
      </c>
      <c r="K11" s="35" t="inlineStr">
        <is>
          <t>Acknowledged</t>
        </is>
      </c>
      <c r="L11" s="36" t="n">
        <v>140</v>
      </c>
      <c r="M11" s="36" t="n">
        <v>88</v>
      </c>
      <c r="N11" s="37">
        <f>IF(L11=0,0,M11/L11)</f>
        <v/>
      </c>
    </row>
    <row r="12" ht="15" customHeight="1" s="15">
      <c r="A12" s="24" t="n">
        <v>7</v>
      </c>
      <c r="B12" s="25" t="inlineStr">
        <is>
          <t>BUL-007</t>
        </is>
      </c>
      <c r="C12" s="26" t="n">
        <v>46266</v>
      </c>
      <c r="D12" s="24">
        <f>IF(C12="","",TEXT(C12,"MMM"))</f>
        <v/>
      </c>
      <c r="E12" s="28" t="inlineStr">
        <is>
          <t>Safety Alert</t>
        </is>
      </c>
      <c r="F12" s="27" t="inlineStr">
        <is>
          <t>Road Safety Week</t>
        </is>
      </c>
      <c r="G12" s="27" t="inlineStr">
        <is>
          <t>Maintenance</t>
        </is>
      </c>
      <c r="H12" s="27" t="inlineStr">
        <is>
          <t>John Smith</t>
        </is>
      </c>
      <c r="I12" s="28" t="inlineStr">
        <is>
          <t>Toolbox Talk</t>
        </is>
      </c>
      <c r="J12" s="28" t="inlineStr">
        <is>
          <t>Medium</t>
        </is>
      </c>
      <c r="K12" s="28" t="inlineStr">
        <is>
          <t>Acknowledged</t>
        </is>
      </c>
      <c r="L12" s="29" t="n">
        <v>31</v>
      </c>
      <c r="M12" s="29" t="n">
        <v>117</v>
      </c>
      <c r="N12" s="30">
        <f>IF(L12=0,0,M12/L12)</f>
        <v/>
      </c>
    </row>
    <row r="13" ht="15" customHeight="1" s="15">
      <c r="A13" s="31" t="n">
        <v>8</v>
      </c>
      <c r="B13" s="32" t="inlineStr">
        <is>
          <t>BUL-008</t>
        </is>
      </c>
      <c r="C13" s="33" t="n">
        <v>46041</v>
      </c>
      <c r="D13" s="31">
        <f>IF(C13="","",TEXT(C13,"MMM"))</f>
        <v/>
      </c>
      <c r="E13" s="35" t="inlineStr">
        <is>
          <t>Best Practice</t>
        </is>
      </c>
      <c r="F13" s="34" t="inlineStr">
        <is>
          <t>PPE Compliance</t>
        </is>
      </c>
      <c r="G13" s="34" t="inlineStr">
        <is>
          <t>Safety</t>
        </is>
      </c>
      <c r="H13" s="34" t="inlineStr">
        <is>
          <t>Tom Brown</t>
        </is>
      </c>
      <c r="I13" s="35" t="inlineStr">
        <is>
          <t>Toolbox Talk</t>
        </is>
      </c>
      <c r="J13" s="35" t="inlineStr">
        <is>
          <t>High</t>
        </is>
      </c>
      <c r="K13" s="35" t="inlineStr">
        <is>
          <t>Acknowledged</t>
        </is>
      </c>
      <c r="L13" s="36" t="n">
        <v>149</v>
      </c>
      <c r="M13" s="36" t="n">
        <v>130</v>
      </c>
      <c r="N13" s="37">
        <f>IF(L13=0,0,M13/L13)</f>
        <v/>
      </c>
    </row>
    <row r="14" ht="15" customHeight="1" s="15">
      <c r="A14" s="24" t="n">
        <v>9</v>
      </c>
      <c r="B14" s="25" t="inlineStr">
        <is>
          <t>BUL-009</t>
        </is>
      </c>
      <c r="C14" s="26" t="n">
        <v>46274</v>
      </c>
      <c r="D14" s="24">
        <f>IF(C14="","",TEXT(C14,"MMM"))</f>
        <v/>
      </c>
      <c r="E14" s="28" t="inlineStr">
        <is>
          <t>Best Practice</t>
        </is>
      </c>
      <c r="F14" s="27" t="inlineStr">
        <is>
          <t>COVID Protocol</t>
        </is>
      </c>
      <c r="G14" s="27" t="inlineStr">
        <is>
          <t>Operations</t>
        </is>
      </c>
      <c r="H14" s="27" t="inlineStr">
        <is>
          <t>Raj Patel</t>
        </is>
      </c>
      <c r="I14" s="28" t="inlineStr">
        <is>
          <t>Email</t>
        </is>
      </c>
      <c r="J14" s="28" t="inlineStr">
        <is>
          <t>Medium</t>
        </is>
      </c>
      <c r="K14" s="28" t="inlineStr">
        <is>
          <t>Acknowledged</t>
        </is>
      </c>
      <c r="L14" s="29" t="n">
        <v>106</v>
      </c>
      <c r="M14" s="29" t="n">
        <v>108</v>
      </c>
      <c r="N14" s="30">
        <f>IF(L14=0,0,M14/L14)</f>
        <v/>
      </c>
    </row>
    <row r="15" ht="15" customHeight="1" s="15">
      <c r="A15" s="31" t="n">
        <v>10</v>
      </c>
      <c r="B15" s="32" t="inlineStr">
        <is>
          <t>BUL-010</t>
        </is>
      </c>
      <c r="C15" s="33" t="n">
        <v>46088</v>
      </c>
      <c r="D15" s="31">
        <f>IF(C15="","",TEXT(C15,"MMM"))</f>
        <v/>
      </c>
      <c r="E15" s="35" t="inlineStr">
        <is>
          <t>Best Practice</t>
        </is>
      </c>
      <c r="F15" s="34" t="inlineStr">
        <is>
          <t>Chemical Spill Alert</t>
        </is>
      </c>
      <c r="G15" s="34" t="inlineStr">
        <is>
          <t>Logistics</t>
        </is>
      </c>
      <c r="H15" s="34" t="inlineStr">
        <is>
          <t>Tom Brown</t>
        </is>
      </c>
      <c r="I15" s="35" t="inlineStr">
        <is>
          <t>Email</t>
        </is>
      </c>
      <c r="J15" s="35" t="inlineStr">
        <is>
          <t>High</t>
        </is>
      </c>
      <c r="K15" s="35" t="inlineStr">
        <is>
          <t>Issued</t>
        </is>
      </c>
      <c r="L15" s="36" t="n">
        <v>55</v>
      </c>
      <c r="M15" s="36" t="n">
        <v>100</v>
      </c>
      <c r="N15" s="37">
        <f>IF(L15=0,0,M15/L15)</f>
        <v/>
      </c>
    </row>
    <row r="16" ht="15" customHeight="1" s="15">
      <c r="A16" s="24" t="n">
        <v>11</v>
      </c>
      <c r="B16" s="25" t="inlineStr">
        <is>
          <t>BUL-011</t>
        </is>
      </c>
      <c r="C16" s="26" t="n">
        <v>46251</v>
      </c>
      <c r="D16" s="24">
        <f>IF(C16="","",TEXT(C16,"MMM"))</f>
        <v/>
      </c>
      <c r="E16" s="28" t="inlineStr">
        <is>
          <t>Lesson Learned</t>
        </is>
      </c>
      <c r="F16" s="27" t="inlineStr">
        <is>
          <t>H2S Awareness</t>
        </is>
      </c>
      <c r="G16" s="27" t="inlineStr">
        <is>
          <t>Projects</t>
        </is>
      </c>
      <c r="H16" s="27" t="inlineStr">
        <is>
          <t>Tom Brown</t>
        </is>
      </c>
      <c r="I16" s="28" t="inlineStr">
        <is>
          <t>Notice Board</t>
        </is>
      </c>
      <c r="J16" s="28" t="inlineStr">
        <is>
          <t>Medium</t>
        </is>
      </c>
      <c r="K16" s="28" t="inlineStr">
        <is>
          <t>Closed</t>
        </is>
      </c>
      <c r="L16" s="29" t="n">
        <v>101</v>
      </c>
      <c r="M16" s="29" t="n">
        <v>56</v>
      </c>
      <c r="N16" s="30">
        <f>IF(L16=0,0,M16/L16)</f>
        <v/>
      </c>
    </row>
    <row r="17" ht="15" customHeight="1" s="15">
      <c r="A17" s="31" t="n">
        <v>12</v>
      </c>
      <c r="B17" s="32" t="inlineStr">
        <is>
          <t>BUL-012</t>
        </is>
      </c>
      <c r="C17" s="33" t="n">
        <v>46223</v>
      </c>
      <c r="D17" s="31">
        <f>IF(C17="","",TEXT(C17,"MMM"))</f>
        <v/>
      </c>
      <c r="E17" s="35" t="inlineStr">
        <is>
          <t>Advisory</t>
        </is>
      </c>
      <c r="F17" s="34" t="inlineStr">
        <is>
          <t>Scaffold Safety</t>
        </is>
      </c>
      <c r="G17" s="34" t="inlineStr">
        <is>
          <t>Projects</t>
        </is>
      </c>
      <c r="H17" s="34" t="inlineStr">
        <is>
          <t>Fatima Al-Said</t>
        </is>
      </c>
      <c r="I17" s="35" t="inlineStr">
        <is>
          <t>All Channels</t>
        </is>
      </c>
      <c r="J17" s="35" t="inlineStr">
        <is>
          <t>Low</t>
        </is>
      </c>
      <c r="K17" s="35" t="inlineStr">
        <is>
          <t>Closed</t>
        </is>
      </c>
      <c r="L17" s="36" t="n">
        <v>145</v>
      </c>
      <c r="M17" s="36" t="n">
        <v>91</v>
      </c>
      <c r="N17" s="37">
        <f>IF(L17=0,0,M17/L17)</f>
        <v/>
      </c>
    </row>
    <row r="18" ht="15" customHeight="1" s="15">
      <c r="A18" s="24" t="n">
        <v>13</v>
      </c>
      <c r="B18" s="25" t="inlineStr">
        <is>
          <t>BUL-013</t>
        </is>
      </c>
      <c r="C18" s="26" t="n">
        <v>46261</v>
      </c>
      <c r="D18" s="24">
        <f>IF(C18="","",TEXT(C18,"MMM"))</f>
        <v/>
      </c>
      <c r="E18" s="28" t="inlineStr">
        <is>
          <t>Safety Alert</t>
        </is>
      </c>
      <c r="F18" s="27" t="inlineStr">
        <is>
          <t>Electrical Safety Alert</t>
        </is>
      </c>
      <c r="G18" s="27" t="inlineStr">
        <is>
          <t>Safety</t>
        </is>
      </c>
      <c r="H18" s="27" t="inlineStr">
        <is>
          <t>Sarah Wilson</t>
        </is>
      </c>
      <c r="I18" s="28" t="inlineStr">
        <is>
          <t>App Notification</t>
        </is>
      </c>
      <c r="J18" s="28" t="inlineStr">
        <is>
          <t>Low</t>
        </is>
      </c>
      <c r="K18" s="28" t="inlineStr">
        <is>
          <t>Acknowledged</t>
        </is>
      </c>
      <c r="L18" s="29" t="n">
        <v>26</v>
      </c>
      <c r="M18" s="29" t="n">
        <v>136</v>
      </c>
      <c r="N18" s="30">
        <f>IF(L18=0,0,M18/L18)</f>
        <v/>
      </c>
    </row>
    <row r="19" ht="15" customHeight="1" s="15">
      <c r="A19" s="31" t="n">
        <v>14</v>
      </c>
      <c r="B19" s="32" t="inlineStr">
        <is>
          <t>BUL-014</t>
        </is>
      </c>
      <c r="C19" s="33" t="n">
        <v>46163</v>
      </c>
      <c r="D19" s="31">
        <f>IF(C19="","",TEXT(C19,"MMM"))</f>
        <v/>
      </c>
      <c r="E19" s="35" t="inlineStr">
        <is>
          <t>Best Practice</t>
        </is>
      </c>
      <c r="F19" s="34" t="inlineStr">
        <is>
          <t>COVID Protocol</t>
        </is>
      </c>
      <c r="G19" s="34" t="inlineStr">
        <is>
          <t>Engineering</t>
        </is>
      </c>
      <c r="H19" s="34" t="inlineStr">
        <is>
          <t>Ahmed Khan</t>
        </is>
      </c>
      <c r="I19" s="35" t="inlineStr">
        <is>
          <t>All Channels</t>
        </is>
      </c>
      <c r="J19" s="35" t="inlineStr">
        <is>
          <t>Medium</t>
        </is>
      </c>
      <c r="K19" s="35" t="inlineStr">
        <is>
          <t>Issued</t>
        </is>
      </c>
      <c r="L19" s="36" t="n">
        <v>117</v>
      </c>
      <c r="M19" s="36" t="n">
        <v>52</v>
      </c>
      <c r="N19" s="37">
        <f>IF(L19=0,0,M19/L19)</f>
        <v/>
      </c>
    </row>
    <row r="20" ht="15" customHeight="1" s="15">
      <c r="A20" s="24" t="n">
        <v>15</v>
      </c>
      <c r="B20" s="25" t="inlineStr">
        <is>
          <t>BUL-015</t>
        </is>
      </c>
      <c r="C20" s="26" t="n">
        <v>46334</v>
      </c>
      <c r="D20" s="24">
        <f>IF(C20="","",TEXT(C20,"MMM"))</f>
        <v/>
      </c>
      <c r="E20" s="28" t="inlineStr">
        <is>
          <t>Safety Alert</t>
        </is>
      </c>
      <c r="F20" s="27" t="inlineStr">
        <is>
          <t>COVID Protocol</t>
        </is>
      </c>
      <c r="G20" s="27" t="inlineStr">
        <is>
          <t>Operations</t>
        </is>
      </c>
      <c r="H20" s="27" t="inlineStr">
        <is>
          <t>Maria Garcia</t>
        </is>
      </c>
      <c r="I20" s="28" t="inlineStr">
        <is>
          <t>Email</t>
        </is>
      </c>
      <c r="J20" s="28" t="inlineStr">
        <is>
          <t>Medium</t>
        </is>
      </c>
      <c r="K20" s="28" t="inlineStr">
        <is>
          <t>Acknowledged</t>
        </is>
      </c>
      <c r="L20" s="29" t="n">
        <v>127</v>
      </c>
      <c r="M20" s="29" t="n">
        <v>53</v>
      </c>
      <c r="N20" s="30">
        <f>IF(L20=0,0,M20/L20)</f>
        <v/>
      </c>
    </row>
    <row r="21">
      <c r="A21">
        <f>IF($B21="","",ROW()-5)</f>
        <v/>
      </c>
      <c r="D21">
        <f>IF($B21="","",IF(C21="","",TEXT(C21,"MMM")))</f>
        <v/>
      </c>
      <c r="N21">
        <f>IF($B21="","",IF(L21=0,0,M21/L21))</f>
        <v/>
      </c>
    </row>
    <row r="22">
      <c r="A22">
        <f>IF($B22="","",ROW()-5)</f>
        <v/>
      </c>
      <c r="D22">
        <f>IF($B22="","",IF(C22="","",TEXT(C22,"MMM")))</f>
        <v/>
      </c>
      <c r="N22">
        <f>IF($B22="","",IF(L22=0,0,M22/L22))</f>
        <v/>
      </c>
    </row>
    <row r="23">
      <c r="A23">
        <f>IF($B23="","",ROW()-5)</f>
        <v/>
      </c>
      <c r="D23">
        <f>IF($B23="","",IF(C23="","",TEXT(C23,"MMM")))</f>
        <v/>
      </c>
      <c r="N23">
        <f>IF($B23="","",IF(L23=0,0,M23/L23))</f>
        <v/>
      </c>
    </row>
    <row r="24">
      <c r="A24">
        <f>IF($B24="","",ROW()-5)</f>
        <v/>
      </c>
      <c r="D24">
        <f>IF($B24="","",IF(C24="","",TEXT(C24,"MMM")))</f>
        <v/>
      </c>
      <c r="N24">
        <f>IF($B24="","",IF(L24=0,0,M24/L24))</f>
        <v/>
      </c>
    </row>
    <row r="25">
      <c r="A25">
        <f>IF($B25="","",ROW()-5)</f>
        <v/>
      </c>
      <c r="D25">
        <f>IF($B25="","",IF(C25="","",TEXT(C25,"MMM")))</f>
        <v/>
      </c>
      <c r="N25">
        <f>IF($B25="","",IF(L25=0,0,M25/L25))</f>
        <v/>
      </c>
    </row>
    <row r="26">
      <c r="A26">
        <f>IF($B26="","",ROW()-5)</f>
        <v/>
      </c>
      <c r="D26">
        <f>IF($B26="","",IF(C26="","",TEXT(C26,"MMM")))</f>
        <v/>
      </c>
      <c r="N26">
        <f>IF($B26="","",IF(L26=0,0,M26/L26))</f>
        <v/>
      </c>
    </row>
    <row r="27">
      <c r="A27">
        <f>IF($B27="","",ROW()-5)</f>
        <v/>
      </c>
      <c r="D27">
        <f>IF($B27="","",IF(C27="","",TEXT(C27,"MMM")))</f>
        <v/>
      </c>
      <c r="N27">
        <f>IF($B27="","",IF(L27=0,0,M27/L27))</f>
        <v/>
      </c>
    </row>
    <row r="28">
      <c r="A28">
        <f>IF($B28="","",ROW()-5)</f>
        <v/>
      </c>
      <c r="D28">
        <f>IF($B28="","",IF(C28="","",TEXT(C28,"MMM")))</f>
        <v/>
      </c>
      <c r="N28">
        <f>IF($B28="","",IF(L28=0,0,M28/L28))</f>
        <v/>
      </c>
    </row>
    <row r="29">
      <c r="A29">
        <f>IF($B29="","",ROW()-5)</f>
        <v/>
      </c>
      <c r="D29">
        <f>IF($B29="","",IF(C29="","",TEXT(C29,"MMM")))</f>
        <v/>
      </c>
      <c r="N29">
        <f>IF($B29="","",IF(L29=0,0,M29/L29))</f>
        <v/>
      </c>
    </row>
    <row r="30">
      <c r="A30">
        <f>IF($B30="","",ROW()-5)</f>
        <v/>
      </c>
      <c r="D30">
        <f>IF($B30="","",IF(C30="","",TEXT(C30,"MMM")))</f>
        <v/>
      </c>
      <c r="N30">
        <f>IF($B30="","",IF(L30=0,0,M30/L30))</f>
        <v/>
      </c>
    </row>
    <row r="31">
      <c r="A31">
        <f>IF($B31="","",ROW()-5)</f>
        <v/>
      </c>
      <c r="D31">
        <f>IF($B31="","",IF(C31="","",TEXT(C31,"MMM")))</f>
        <v/>
      </c>
      <c r="N31">
        <f>IF($B31="","",IF(L31=0,0,M31/L31))</f>
        <v/>
      </c>
    </row>
    <row r="32">
      <c r="A32">
        <f>IF($B32="","",ROW()-5)</f>
        <v/>
      </c>
      <c r="D32">
        <f>IF($B32="","",IF(C32="","",TEXT(C32,"MMM")))</f>
        <v/>
      </c>
      <c r="N32">
        <f>IF($B32="","",IF(L32=0,0,M32/L32))</f>
        <v/>
      </c>
    </row>
    <row r="33">
      <c r="A33">
        <f>IF($B33="","",ROW()-5)</f>
        <v/>
      </c>
      <c r="D33">
        <f>IF($B33="","",IF(C33="","",TEXT(C33,"MMM")))</f>
        <v/>
      </c>
      <c r="N33">
        <f>IF($B33="","",IF(L33=0,0,M33/L33))</f>
        <v/>
      </c>
    </row>
    <row r="34">
      <c r="A34">
        <f>IF($B34="","",ROW()-5)</f>
        <v/>
      </c>
      <c r="D34">
        <f>IF($B34="","",IF(C34="","",TEXT(C34,"MMM")))</f>
        <v/>
      </c>
      <c r="N34">
        <f>IF($B34="","",IF(L34=0,0,M34/L34))</f>
        <v/>
      </c>
    </row>
    <row r="35">
      <c r="A35">
        <f>IF($B35="","",ROW()-5)</f>
        <v/>
      </c>
      <c r="D35">
        <f>IF($B35="","",IF(C35="","",TEXT(C35,"MMM")))</f>
        <v/>
      </c>
      <c r="N35">
        <f>IF($B35="","",IF(L35=0,0,M35/L35))</f>
        <v/>
      </c>
    </row>
    <row r="36">
      <c r="A36">
        <f>IF($B36="","",ROW()-5)</f>
        <v/>
      </c>
      <c r="D36">
        <f>IF($B36="","",IF(C36="","",TEXT(C36,"MMM")))</f>
        <v/>
      </c>
      <c r="N36">
        <f>IF($B36="","",IF(L36=0,0,M36/L36))</f>
        <v/>
      </c>
    </row>
    <row r="37">
      <c r="A37">
        <f>IF($B37="","",ROW()-5)</f>
        <v/>
      </c>
      <c r="D37">
        <f>IF($B37="","",IF(C37="","",TEXT(C37,"MMM")))</f>
        <v/>
      </c>
      <c r="N37">
        <f>IF($B37="","",IF(L37=0,0,M37/L37))</f>
        <v/>
      </c>
    </row>
    <row r="38">
      <c r="A38">
        <f>IF($B38="","",ROW()-5)</f>
        <v/>
      </c>
      <c r="D38">
        <f>IF($B38="","",IF(C38="","",TEXT(C38,"MMM")))</f>
        <v/>
      </c>
      <c r="N38">
        <f>IF($B38="","",IF(L38=0,0,M38/L38))</f>
        <v/>
      </c>
    </row>
    <row r="39">
      <c r="A39">
        <f>IF($B39="","",ROW()-5)</f>
        <v/>
      </c>
      <c r="D39">
        <f>IF($B39="","",IF(C39="","",TEXT(C39,"MMM")))</f>
        <v/>
      </c>
      <c r="N39">
        <f>IF($B39="","",IF(L39=0,0,M39/L39))</f>
        <v/>
      </c>
    </row>
    <row r="40">
      <c r="A40">
        <f>IF($B40="","",ROW()-5)</f>
        <v/>
      </c>
      <c r="D40">
        <f>IF($B40="","",IF(C40="","",TEXT(C40,"MMM")))</f>
        <v/>
      </c>
      <c r="N40">
        <f>IF($B40="","",IF(L40=0,0,M40/L40))</f>
        <v/>
      </c>
    </row>
    <row r="41">
      <c r="A41">
        <f>IF($B41="","",ROW()-5)</f>
        <v/>
      </c>
      <c r="D41">
        <f>IF($B41="","",IF(C41="","",TEXT(C41,"MMM")))</f>
        <v/>
      </c>
      <c r="N41">
        <f>IF($B41="","",IF(L41=0,0,M41/L41))</f>
        <v/>
      </c>
    </row>
    <row r="42">
      <c r="A42">
        <f>IF($B42="","",ROW()-5)</f>
        <v/>
      </c>
      <c r="D42">
        <f>IF($B42="","",IF(C42="","",TEXT(C42,"MMM")))</f>
        <v/>
      </c>
      <c r="N42">
        <f>IF($B42="","",IF(L42=0,0,M42/L42))</f>
        <v/>
      </c>
    </row>
    <row r="43">
      <c r="A43">
        <f>IF($B43="","",ROW()-5)</f>
        <v/>
      </c>
      <c r="D43">
        <f>IF($B43="","",IF(C43="","",TEXT(C43,"MMM")))</f>
        <v/>
      </c>
      <c r="N43">
        <f>IF($B43="","",IF(L43=0,0,M43/L43))</f>
        <v/>
      </c>
    </row>
    <row r="44">
      <c r="A44">
        <f>IF($B44="","",ROW()-5)</f>
        <v/>
      </c>
      <c r="D44">
        <f>IF($B44="","",IF(C44="","",TEXT(C44,"MMM")))</f>
        <v/>
      </c>
      <c r="N44">
        <f>IF($B44="","",IF(L44=0,0,M44/L44))</f>
        <v/>
      </c>
    </row>
    <row r="45">
      <c r="A45">
        <f>IF($B45="","",ROW()-5)</f>
        <v/>
      </c>
      <c r="D45">
        <f>IF($B45="","",IF(C45="","",TEXT(C45,"MMM")))</f>
        <v/>
      </c>
      <c r="N45">
        <f>IF($B45="","",IF(L45=0,0,M45/L45))</f>
        <v/>
      </c>
    </row>
    <row r="46">
      <c r="A46">
        <f>IF($B46="","",ROW()-5)</f>
        <v/>
      </c>
      <c r="D46">
        <f>IF($B46="","",IF(C46="","",TEXT(C46,"MMM")))</f>
        <v/>
      </c>
      <c r="N46">
        <f>IF($B46="","",IF(L46=0,0,M46/L46))</f>
        <v/>
      </c>
    </row>
    <row r="47">
      <c r="A47">
        <f>IF($B47="","",ROW()-5)</f>
        <v/>
      </c>
      <c r="D47">
        <f>IF($B47="","",IF(C47="","",TEXT(C47,"MMM")))</f>
        <v/>
      </c>
      <c r="N47">
        <f>IF($B47="","",IF(L47=0,0,M47/L47))</f>
        <v/>
      </c>
    </row>
    <row r="48">
      <c r="A48">
        <f>IF($B48="","",ROW()-5)</f>
        <v/>
      </c>
      <c r="D48">
        <f>IF($B48="","",IF(C48="","",TEXT(C48,"MMM")))</f>
        <v/>
      </c>
      <c r="N48">
        <f>IF($B48="","",IF(L48=0,0,M48/L48))</f>
        <v/>
      </c>
    </row>
    <row r="49">
      <c r="A49">
        <f>IF($B49="","",ROW()-5)</f>
        <v/>
      </c>
      <c r="D49">
        <f>IF($B49="","",IF(C49="","",TEXT(C49,"MMM")))</f>
        <v/>
      </c>
      <c r="N49">
        <f>IF($B49="","",IF(L49=0,0,M49/L49))</f>
        <v/>
      </c>
    </row>
    <row r="50">
      <c r="A50">
        <f>IF($B50="","",ROW()-5)</f>
        <v/>
      </c>
      <c r="D50">
        <f>IF($B50="","",IF(C50="","",TEXT(C50,"MMM")))</f>
        <v/>
      </c>
      <c r="N50">
        <f>IF($B50="","",IF(L50=0,0,M50/L50))</f>
        <v/>
      </c>
    </row>
    <row r="51">
      <c r="A51">
        <f>IF($B51="","",ROW()-5)</f>
        <v/>
      </c>
      <c r="D51">
        <f>IF($B51="","",IF(C51="","",TEXT(C51,"MMM")))</f>
        <v/>
      </c>
      <c r="N51">
        <f>IF($B51="","",IF(L51=0,0,M51/L51))</f>
        <v/>
      </c>
    </row>
    <row r="52">
      <c r="A52">
        <f>IF($B52="","",ROW()-5)</f>
        <v/>
      </c>
      <c r="D52">
        <f>IF($B52="","",IF(C52="","",TEXT(C52,"MMM")))</f>
        <v/>
      </c>
      <c r="N52">
        <f>IF($B52="","",IF(L52=0,0,M52/L52))</f>
        <v/>
      </c>
    </row>
    <row r="53">
      <c r="A53">
        <f>IF($B53="","",ROW()-5)</f>
        <v/>
      </c>
      <c r="D53">
        <f>IF($B53="","",IF(C53="","",TEXT(C53,"MMM")))</f>
        <v/>
      </c>
      <c r="N53">
        <f>IF($B53="","",IF(L53=0,0,M53/L53))</f>
        <v/>
      </c>
    </row>
    <row r="54">
      <c r="A54">
        <f>IF($B54="","",ROW()-5)</f>
        <v/>
      </c>
      <c r="D54">
        <f>IF($B54="","",IF(C54="","",TEXT(C54,"MMM")))</f>
        <v/>
      </c>
      <c r="N54">
        <f>IF($B54="","",IF(L54=0,0,M54/L54))</f>
        <v/>
      </c>
    </row>
    <row r="55">
      <c r="A55">
        <f>IF($B55="","",ROW()-5)</f>
        <v/>
      </c>
      <c r="D55">
        <f>IF($B55="","",IF(C55="","",TEXT(C55,"MMM")))</f>
        <v/>
      </c>
      <c r="N55">
        <f>IF($B55="","",IF(L55=0,0,M55/L55))</f>
        <v/>
      </c>
    </row>
    <row r="56">
      <c r="A56">
        <f>IF($B56="","",ROW()-5)</f>
        <v/>
      </c>
      <c r="D56">
        <f>IF($B56="","",IF(C56="","",TEXT(C56,"MMM")))</f>
        <v/>
      </c>
      <c r="N56">
        <f>IF($B56="","",IF(L56=0,0,M56/L56))</f>
        <v/>
      </c>
    </row>
    <row r="57">
      <c r="A57">
        <f>IF($B57="","",ROW()-5)</f>
        <v/>
      </c>
      <c r="D57">
        <f>IF($B57="","",IF(C57="","",TEXT(C57,"MMM")))</f>
        <v/>
      </c>
      <c r="N57">
        <f>IF($B57="","",IF(L57=0,0,M57/L57))</f>
        <v/>
      </c>
    </row>
    <row r="58">
      <c r="A58">
        <f>IF($B58="","",ROW()-5)</f>
        <v/>
      </c>
      <c r="D58">
        <f>IF($B58="","",IF(C58="","",TEXT(C58,"MMM")))</f>
        <v/>
      </c>
      <c r="N58">
        <f>IF($B58="","",IF(L58=0,0,M58/L58))</f>
        <v/>
      </c>
    </row>
    <row r="59">
      <c r="A59">
        <f>IF($B59="","",ROW()-5)</f>
        <v/>
      </c>
      <c r="D59">
        <f>IF($B59="","",IF(C59="","",TEXT(C59,"MMM")))</f>
        <v/>
      </c>
      <c r="N59">
        <f>IF($B59="","",IF(L59=0,0,M59/L59))</f>
        <v/>
      </c>
    </row>
    <row r="60">
      <c r="A60">
        <f>IF($B60="","",ROW()-5)</f>
        <v/>
      </c>
      <c r="D60">
        <f>IF($B60="","",IF(C60="","",TEXT(C60,"MMM")))</f>
        <v/>
      </c>
      <c r="N60">
        <f>IF($B60="","",IF(L60=0,0,M60/L60))</f>
        <v/>
      </c>
    </row>
    <row r="61">
      <c r="A61">
        <f>IF($B61="","",ROW()-5)</f>
        <v/>
      </c>
      <c r="D61">
        <f>IF($B61="","",IF(C61="","",TEXT(C61,"MMM")))</f>
        <v/>
      </c>
      <c r="N61">
        <f>IF($B61="","",IF(L61=0,0,M61/L61))</f>
        <v/>
      </c>
    </row>
    <row r="62">
      <c r="A62">
        <f>IF($B62="","",ROW()-5)</f>
        <v/>
      </c>
      <c r="D62">
        <f>IF($B62="","",IF(C62="","",TEXT(C62,"MMM")))</f>
        <v/>
      </c>
      <c r="N62">
        <f>IF($B62="","",IF(L62=0,0,M62/L62))</f>
        <v/>
      </c>
    </row>
    <row r="63">
      <c r="A63">
        <f>IF($B63="","",ROW()-5)</f>
        <v/>
      </c>
      <c r="D63">
        <f>IF($B63="","",IF(C63="","",TEXT(C63,"MMM")))</f>
        <v/>
      </c>
      <c r="N63">
        <f>IF($B63="","",IF(L63=0,0,M63/L63))</f>
        <v/>
      </c>
    </row>
    <row r="64">
      <c r="A64">
        <f>IF($B64="","",ROW()-5)</f>
        <v/>
      </c>
      <c r="D64">
        <f>IF($B64="","",IF(C64="","",TEXT(C64,"MMM")))</f>
        <v/>
      </c>
      <c r="N64">
        <f>IF($B64="","",IF(L64=0,0,M64/L64))</f>
        <v/>
      </c>
    </row>
    <row r="65">
      <c r="A65">
        <f>IF($B65="","",ROW()-5)</f>
        <v/>
      </c>
      <c r="D65">
        <f>IF($B65="","",IF(C65="","",TEXT(C65,"MMM")))</f>
        <v/>
      </c>
      <c r="N65">
        <f>IF($B65="","",IF(L65=0,0,M65/L65))</f>
        <v/>
      </c>
    </row>
    <row r="66">
      <c r="A66">
        <f>IF($B66="","",ROW()-5)</f>
        <v/>
      </c>
      <c r="D66">
        <f>IF($B66="","",IF(C66="","",TEXT(C66,"MMM")))</f>
        <v/>
      </c>
      <c r="N66">
        <f>IF($B66="","",IF(L66=0,0,M66/L66))</f>
        <v/>
      </c>
    </row>
    <row r="67">
      <c r="A67">
        <f>IF($B67="","",ROW()-5)</f>
        <v/>
      </c>
      <c r="D67">
        <f>IF($B67="","",IF(C67="","",TEXT(C67,"MMM")))</f>
        <v/>
      </c>
      <c r="N67">
        <f>IF($B67="","",IF(L67=0,0,M67/L67))</f>
        <v/>
      </c>
    </row>
    <row r="68">
      <c r="A68">
        <f>IF($B68="","",ROW()-5)</f>
        <v/>
      </c>
      <c r="D68">
        <f>IF($B68="","",IF(C68="","",TEXT(C68,"MMM")))</f>
        <v/>
      </c>
      <c r="N68">
        <f>IF($B68="","",IF(L68=0,0,M68/L68))</f>
        <v/>
      </c>
    </row>
    <row r="69">
      <c r="A69">
        <f>IF($B69="","",ROW()-5)</f>
        <v/>
      </c>
      <c r="D69">
        <f>IF($B69="","",IF(C69="","",TEXT(C69,"MMM")))</f>
        <v/>
      </c>
      <c r="N69">
        <f>IF($B69="","",IF(L69=0,0,M69/L69))</f>
        <v/>
      </c>
    </row>
    <row r="70">
      <c r="A70">
        <f>IF($B70="","",ROW()-5)</f>
        <v/>
      </c>
      <c r="D70">
        <f>IF($B70="","",IF(C70="","",TEXT(C70,"MMM")))</f>
        <v/>
      </c>
      <c r="N70">
        <f>IF($B70="","",IF(L70=0,0,M70/L70))</f>
        <v/>
      </c>
    </row>
    <row r="71">
      <c r="A71">
        <f>IF($B71="","",ROW()-5)</f>
        <v/>
      </c>
      <c r="D71">
        <f>IF($B71="","",IF(C71="","",TEXT(C71,"MMM")))</f>
        <v/>
      </c>
      <c r="N71">
        <f>IF($B71="","",IF(L71=0,0,M71/L71))</f>
        <v/>
      </c>
    </row>
    <row r="72">
      <c r="A72">
        <f>IF($B72="","",ROW()-5)</f>
        <v/>
      </c>
      <c r="D72">
        <f>IF($B72="","",IF(C72="","",TEXT(C72,"MMM")))</f>
        <v/>
      </c>
      <c r="N72">
        <f>IF($B72="","",IF(L72=0,0,M72/L72))</f>
        <v/>
      </c>
    </row>
    <row r="73">
      <c r="A73">
        <f>IF($B73="","",ROW()-5)</f>
        <v/>
      </c>
      <c r="D73">
        <f>IF($B73="","",IF(C73="","",TEXT(C73,"MMM")))</f>
        <v/>
      </c>
      <c r="N73">
        <f>IF($B73="","",IF(L73=0,0,M73/L73))</f>
        <v/>
      </c>
    </row>
    <row r="74">
      <c r="A74">
        <f>IF($B74="","",ROW()-5)</f>
        <v/>
      </c>
      <c r="D74">
        <f>IF($B74="","",IF(C74="","",TEXT(C74,"MMM")))</f>
        <v/>
      </c>
      <c r="N74">
        <f>IF($B74="","",IF(L74=0,0,M74/L74))</f>
        <v/>
      </c>
    </row>
    <row r="75">
      <c r="A75">
        <f>IF($B75="","",ROW()-5)</f>
        <v/>
      </c>
      <c r="D75">
        <f>IF($B75="","",IF(C75="","",TEXT(C75,"MMM")))</f>
        <v/>
      </c>
      <c r="N75">
        <f>IF($B75="","",IF(L75=0,0,M75/L75))</f>
        <v/>
      </c>
    </row>
    <row r="76">
      <c r="A76">
        <f>IF($B76="","",ROW()-5)</f>
        <v/>
      </c>
      <c r="D76">
        <f>IF($B76="","",IF(C76="","",TEXT(C76,"MMM")))</f>
        <v/>
      </c>
      <c r="N76">
        <f>IF($B76="","",IF(L76=0,0,M76/L76))</f>
        <v/>
      </c>
    </row>
    <row r="77">
      <c r="A77">
        <f>IF($B77="","",ROW()-5)</f>
        <v/>
      </c>
      <c r="D77">
        <f>IF($B77="","",IF(C77="","",TEXT(C77,"MMM")))</f>
        <v/>
      </c>
      <c r="N77">
        <f>IF($B77="","",IF(L77=0,0,M77/L77))</f>
        <v/>
      </c>
    </row>
    <row r="78">
      <c r="A78">
        <f>IF($B78="","",ROW()-5)</f>
        <v/>
      </c>
      <c r="D78">
        <f>IF($B78="","",IF(C78="","",TEXT(C78,"MMM")))</f>
        <v/>
      </c>
      <c r="N78">
        <f>IF($B78="","",IF(L78=0,0,M78/L78))</f>
        <v/>
      </c>
    </row>
    <row r="79">
      <c r="A79">
        <f>IF($B79="","",ROW()-5)</f>
        <v/>
      </c>
      <c r="D79">
        <f>IF($B79="","",IF(C79="","",TEXT(C79,"MMM")))</f>
        <v/>
      </c>
      <c r="N79">
        <f>IF($B79="","",IF(L79=0,0,M79/L79))</f>
        <v/>
      </c>
    </row>
    <row r="80">
      <c r="A80">
        <f>IF($B80="","",ROW()-5)</f>
        <v/>
      </c>
      <c r="D80">
        <f>IF($B80="","",IF(C80="","",TEXT(C80,"MMM")))</f>
        <v/>
      </c>
      <c r="N80">
        <f>IF($B80="","",IF(L80=0,0,M80/L80))</f>
        <v/>
      </c>
    </row>
    <row r="81">
      <c r="A81">
        <f>IF($B81="","",ROW()-5)</f>
        <v/>
      </c>
      <c r="D81">
        <f>IF($B81="","",IF(C81="","",TEXT(C81,"MMM")))</f>
        <v/>
      </c>
      <c r="N81">
        <f>IF($B81="","",IF(L81=0,0,M81/L81))</f>
        <v/>
      </c>
    </row>
    <row r="82">
      <c r="A82">
        <f>IF($B82="","",ROW()-5)</f>
        <v/>
      </c>
      <c r="D82">
        <f>IF($B82="","",IF(C82="","",TEXT(C82,"MMM")))</f>
        <v/>
      </c>
      <c r="N82">
        <f>IF($B82="","",IF(L82=0,0,M82/L82))</f>
        <v/>
      </c>
    </row>
    <row r="83">
      <c r="A83">
        <f>IF($B83="","",ROW()-5)</f>
        <v/>
      </c>
      <c r="D83">
        <f>IF($B83="","",IF(C83="","",TEXT(C83,"MMM")))</f>
        <v/>
      </c>
      <c r="N83">
        <f>IF($B83="","",IF(L83=0,0,M83/L83))</f>
        <v/>
      </c>
    </row>
    <row r="84">
      <c r="A84">
        <f>IF($B84="","",ROW()-5)</f>
        <v/>
      </c>
      <c r="D84">
        <f>IF($B84="","",IF(C84="","",TEXT(C84,"MMM")))</f>
        <v/>
      </c>
      <c r="N84">
        <f>IF($B84="","",IF(L84=0,0,M84/L84))</f>
        <v/>
      </c>
    </row>
    <row r="85">
      <c r="A85">
        <f>IF($B85="","",ROW()-5)</f>
        <v/>
      </c>
      <c r="D85">
        <f>IF($B85="","",IF(C85="","",TEXT(C85,"MMM")))</f>
        <v/>
      </c>
      <c r="N85">
        <f>IF($B85="","",IF(L85=0,0,M85/L85))</f>
        <v/>
      </c>
    </row>
    <row r="86">
      <c r="A86">
        <f>IF($B86="","",ROW()-5)</f>
        <v/>
      </c>
      <c r="D86">
        <f>IF($B86="","",IF(C86="","",TEXT(C86,"MMM")))</f>
        <v/>
      </c>
      <c r="N86">
        <f>IF($B86="","",IF(L86=0,0,M86/L86))</f>
        <v/>
      </c>
    </row>
    <row r="87">
      <c r="A87">
        <f>IF($B87="","",ROW()-5)</f>
        <v/>
      </c>
      <c r="D87">
        <f>IF($B87="","",IF(C87="","",TEXT(C87,"MMM")))</f>
        <v/>
      </c>
      <c r="N87">
        <f>IF($B87="","",IF(L87=0,0,M87/L87))</f>
        <v/>
      </c>
    </row>
    <row r="88">
      <c r="A88">
        <f>IF($B88="","",ROW()-5)</f>
        <v/>
      </c>
      <c r="D88">
        <f>IF($B88="","",IF(C88="","",TEXT(C88,"MMM")))</f>
        <v/>
      </c>
      <c r="N88">
        <f>IF($B88="","",IF(L88=0,0,M88/L88))</f>
        <v/>
      </c>
    </row>
    <row r="89">
      <c r="A89">
        <f>IF($B89="","",ROW()-5)</f>
        <v/>
      </c>
      <c r="D89">
        <f>IF($B89="","",IF(C89="","",TEXT(C89,"MMM")))</f>
        <v/>
      </c>
      <c r="N89">
        <f>IF($B89="","",IF(L89=0,0,M89/L89))</f>
        <v/>
      </c>
    </row>
    <row r="90">
      <c r="A90">
        <f>IF($B90="","",ROW()-5)</f>
        <v/>
      </c>
      <c r="D90">
        <f>IF($B90="","",IF(C90="","",TEXT(C90,"MMM")))</f>
        <v/>
      </c>
      <c r="N90">
        <f>IF($B90="","",IF(L90=0,0,M90/L90))</f>
        <v/>
      </c>
    </row>
    <row r="91">
      <c r="A91">
        <f>IF($B91="","",ROW()-5)</f>
        <v/>
      </c>
      <c r="D91">
        <f>IF($B91="","",IF(C91="","",TEXT(C91,"MMM")))</f>
        <v/>
      </c>
      <c r="N91">
        <f>IF($B91="","",IF(L91=0,0,M91/L91))</f>
        <v/>
      </c>
    </row>
    <row r="92">
      <c r="A92">
        <f>IF($B92="","",ROW()-5)</f>
        <v/>
      </c>
      <c r="D92">
        <f>IF($B92="","",IF(C92="","",TEXT(C92,"MMM")))</f>
        <v/>
      </c>
      <c r="N92">
        <f>IF($B92="","",IF(L92=0,0,M92/L92))</f>
        <v/>
      </c>
    </row>
    <row r="93">
      <c r="A93">
        <f>IF($B93="","",ROW()-5)</f>
        <v/>
      </c>
      <c r="D93">
        <f>IF($B93="","",IF(C93="","",TEXT(C93,"MMM")))</f>
        <v/>
      </c>
      <c r="N93">
        <f>IF($B93="","",IF(L93=0,0,M93/L93))</f>
        <v/>
      </c>
    </row>
    <row r="94">
      <c r="A94">
        <f>IF($B94="","",ROW()-5)</f>
        <v/>
      </c>
      <c r="D94">
        <f>IF($B94="","",IF(C94="","",TEXT(C94,"MMM")))</f>
        <v/>
      </c>
      <c r="N94">
        <f>IF($B94="","",IF(L94=0,0,M94/L94))</f>
        <v/>
      </c>
    </row>
    <row r="95">
      <c r="A95">
        <f>IF($B95="","",ROW()-5)</f>
        <v/>
      </c>
      <c r="D95">
        <f>IF($B95="","",IF(C95="","",TEXT(C95,"MMM")))</f>
        <v/>
      </c>
      <c r="N95">
        <f>IF($B95="","",IF(L95=0,0,M95/L95))</f>
        <v/>
      </c>
    </row>
    <row r="96">
      <c r="A96">
        <f>IF($B96="","",ROW()-5)</f>
        <v/>
      </c>
      <c r="D96">
        <f>IF($B96="","",IF(C96="","",TEXT(C96,"MMM")))</f>
        <v/>
      </c>
      <c r="N96">
        <f>IF($B96="","",IF(L96=0,0,M96/L96))</f>
        <v/>
      </c>
    </row>
    <row r="97">
      <c r="A97">
        <f>IF($B97="","",ROW()-5)</f>
        <v/>
      </c>
      <c r="D97">
        <f>IF($B97="","",IF(C97="","",TEXT(C97,"MMM")))</f>
        <v/>
      </c>
      <c r="N97">
        <f>IF($B97="","",IF(L97=0,0,M97/L97))</f>
        <v/>
      </c>
    </row>
    <row r="98">
      <c r="A98">
        <f>IF($B98="","",ROW()-5)</f>
        <v/>
      </c>
      <c r="D98">
        <f>IF($B98="","",IF(C98="","",TEXT(C98,"MMM")))</f>
        <v/>
      </c>
      <c r="N98">
        <f>IF($B98="","",IF(L98=0,0,M98/L98))</f>
        <v/>
      </c>
    </row>
    <row r="99">
      <c r="A99">
        <f>IF($B99="","",ROW()-5)</f>
        <v/>
      </c>
      <c r="D99">
        <f>IF($B99="","",IF(C99="","",TEXT(C99,"MMM")))</f>
        <v/>
      </c>
      <c r="N99">
        <f>IF($B99="","",IF(L99=0,0,M99/L99))</f>
        <v/>
      </c>
    </row>
    <row r="100">
      <c r="A100">
        <f>IF($B100="","",ROW()-5)</f>
        <v/>
      </c>
      <c r="D100">
        <f>IF($B100="","",IF(C100="","",TEXT(C100,"MMM")))</f>
        <v/>
      </c>
      <c r="N100">
        <f>IF($B100="","",IF(L100=0,0,M100/L100))</f>
        <v/>
      </c>
    </row>
    <row r="101">
      <c r="A101">
        <f>IF($B101="","",ROW()-5)</f>
        <v/>
      </c>
      <c r="D101">
        <f>IF($B101="","",IF(C101="","",TEXT(C101,"MMM")))</f>
        <v/>
      </c>
      <c r="N101">
        <f>IF($B101="","",IF(L101=0,0,M101/L101))</f>
        <v/>
      </c>
    </row>
    <row r="102">
      <c r="A102">
        <f>IF($B102="","",ROW()-5)</f>
        <v/>
      </c>
      <c r="D102">
        <f>IF($B102="","",IF(C102="","",TEXT(C102,"MMM")))</f>
        <v/>
      </c>
      <c r="N102">
        <f>IF($B102="","",IF(L102=0,0,M102/L102))</f>
        <v/>
      </c>
    </row>
    <row r="103">
      <c r="A103">
        <f>IF($B103="","",ROW()-5)</f>
        <v/>
      </c>
      <c r="D103">
        <f>IF($B103="","",IF(C103="","",TEXT(C103,"MMM")))</f>
        <v/>
      </c>
      <c r="N103">
        <f>IF($B103="","",IF(L103=0,0,M103/L103))</f>
        <v/>
      </c>
    </row>
    <row r="104">
      <c r="A104">
        <f>IF($B104="","",ROW()-5)</f>
        <v/>
      </c>
      <c r="D104">
        <f>IF($B104="","",IF(C104="","",TEXT(C104,"MMM")))</f>
        <v/>
      </c>
      <c r="N104">
        <f>IF($B104="","",IF(L104=0,0,M104/L104))</f>
        <v/>
      </c>
    </row>
    <row r="105">
      <c r="A105">
        <f>IF($B105="","",ROW()-5)</f>
        <v/>
      </c>
      <c r="D105">
        <f>IF($B105="","",IF(C105="","",TEXT(C105,"MMM")))</f>
        <v/>
      </c>
      <c r="N105">
        <f>IF($B105="","",IF(L105=0,0,M105/L105))</f>
        <v/>
      </c>
    </row>
    <row r="106">
      <c r="A106">
        <f>IF($B106="","",ROW()-5)</f>
        <v/>
      </c>
      <c r="D106">
        <f>IF($B106="","",IF(C106="","",TEXT(C106,"MMM")))</f>
        <v/>
      </c>
      <c r="N106">
        <f>IF($B106="","",IF(L106=0,0,M106/L106))</f>
        <v/>
      </c>
    </row>
    <row r="107">
      <c r="A107">
        <f>IF($B107="","",ROW()-5)</f>
        <v/>
      </c>
      <c r="D107">
        <f>IF($B107="","",IF(C107="","",TEXT(C107,"MMM")))</f>
        <v/>
      </c>
      <c r="N107">
        <f>IF($B107="","",IF(L107=0,0,M107/L107))</f>
        <v/>
      </c>
    </row>
    <row r="108">
      <c r="A108">
        <f>IF($B108="","",ROW()-5)</f>
        <v/>
      </c>
      <c r="D108">
        <f>IF($B108="","",IF(C108="","",TEXT(C108,"MMM")))</f>
        <v/>
      </c>
      <c r="N108">
        <f>IF($B108="","",IF(L108=0,0,M108/L108))</f>
        <v/>
      </c>
    </row>
    <row r="109">
      <c r="A109">
        <f>IF($B109="","",ROW()-5)</f>
        <v/>
      </c>
      <c r="D109">
        <f>IF($B109="","",IF(C109="","",TEXT(C109,"MMM")))</f>
        <v/>
      </c>
      <c r="N109">
        <f>IF($B109="","",IF(L109=0,0,M109/L109))</f>
        <v/>
      </c>
    </row>
    <row r="110">
      <c r="A110">
        <f>IF($B110="","",ROW()-5)</f>
        <v/>
      </c>
      <c r="D110">
        <f>IF($B110="","",IF(C110="","",TEXT(C110,"MMM")))</f>
        <v/>
      </c>
      <c r="N110">
        <f>IF($B110="","",IF(L110=0,0,M110/L110))</f>
        <v/>
      </c>
    </row>
    <row r="111">
      <c r="A111">
        <f>IF($B111="","",ROW()-5)</f>
        <v/>
      </c>
      <c r="D111">
        <f>IF($B111="","",IF(C111="","",TEXT(C111,"MMM")))</f>
        <v/>
      </c>
      <c r="N111">
        <f>IF($B111="","",IF(L111=0,0,M111/L111))</f>
        <v/>
      </c>
    </row>
    <row r="112">
      <c r="A112">
        <f>IF($B112="","",ROW()-5)</f>
        <v/>
      </c>
      <c r="D112">
        <f>IF($B112="","",IF(C112="","",TEXT(C112,"MMM")))</f>
        <v/>
      </c>
      <c r="N112">
        <f>IF($B112="","",IF(L112=0,0,M112/L112))</f>
        <v/>
      </c>
    </row>
    <row r="113">
      <c r="A113">
        <f>IF($B113="","",ROW()-5)</f>
        <v/>
      </c>
      <c r="D113">
        <f>IF($B113="","",IF(C113="","",TEXT(C113,"MMM")))</f>
        <v/>
      </c>
      <c r="N113">
        <f>IF($B113="","",IF(L113=0,0,M113/L113))</f>
        <v/>
      </c>
    </row>
    <row r="114">
      <c r="A114">
        <f>IF($B114="","",ROW()-5)</f>
        <v/>
      </c>
      <c r="D114">
        <f>IF($B114="","",IF(C114="","",TEXT(C114,"MMM")))</f>
        <v/>
      </c>
      <c r="N114">
        <f>IF($B114="","",IF(L114=0,0,M114/L114))</f>
        <v/>
      </c>
    </row>
    <row r="115">
      <c r="A115">
        <f>IF($B115="","",ROW()-5)</f>
        <v/>
      </c>
      <c r="D115">
        <f>IF($B115="","",IF(C115="","",TEXT(C115,"MMM")))</f>
        <v/>
      </c>
      <c r="N115">
        <f>IF($B115="","",IF(L115=0,0,M115/L115))</f>
        <v/>
      </c>
    </row>
    <row r="116">
      <c r="A116">
        <f>IF($B116="","",ROW()-5)</f>
        <v/>
      </c>
      <c r="D116">
        <f>IF($B116="","",IF(C116="","",TEXT(C116,"MMM")))</f>
        <v/>
      </c>
      <c r="N116">
        <f>IF($B116="","",IF(L116=0,0,M116/L116))</f>
        <v/>
      </c>
    </row>
    <row r="117">
      <c r="A117">
        <f>IF($B117="","",ROW()-5)</f>
        <v/>
      </c>
      <c r="D117">
        <f>IF($B117="","",IF(C117="","",TEXT(C117,"MMM")))</f>
        <v/>
      </c>
      <c r="N117">
        <f>IF($B117="","",IF(L117=0,0,M117/L117))</f>
        <v/>
      </c>
    </row>
    <row r="118">
      <c r="A118">
        <f>IF($B118="","",ROW()-5)</f>
        <v/>
      </c>
      <c r="D118">
        <f>IF($B118="","",IF(C118="","",TEXT(C118,"MMM")))</f>
        <v/>
      </c>
      <c r="N118">
        <f>IF($B118="","",IF(L118=0,0,M118/L118))</f>
        <v/>
      </c>
    </row>
    <row r="119">
      <c r="A119">
        <f>IF($B119="","",ROW()-5)</f>
        <v/>
      </c>
      <c r="D119">
        <f>IF($B119="","",IF(C119="","",TEXT(C119,"MMM")))</f>
        <v/>
      </c>
      <c r="N119">
        <f>IF($B119="","",IF(L119=0,0,M119/L119))</f>
        <v/>
      </c>
    </row>
    <row r="120">
      <c r="A120">
        <f>IF($B120="","",ROW()-5)</f>
        <v/>
      </c>
      <c r="D120">
        <f>IF($B120="","",IF(C120="","",TEXT(C120,"MMM")))</f>
        <v/>
      </c>
      <c r="N120">
        <f>IF($B120="","",IF(L120=0,0,M120/L120))</f>
        <v/>
      </c>
    </row>
    <row r="121">
      <c r="A121">
        <f>IF($B121="","",ROW()-5)</f>
        <v/>
      </c>
      <c r="D121">
        <f>IF($B121="","",IF(C121="","",TEXT(C121,"MMM")))</f>
        <v/>
      </c>
      <c r="N121">
        <f>IF($B121="","",IF(L121=0,0,M121/L121))</f>
        <v/>
      </c>
    </row>
    <row r="122">
      <c r="A122">
        <f>IF($B122="","",ROW()-5)</f>
        <v/>
      </c>
      <c r="D122">
        <f>IF($B122="","",IF(C122="","",TEXT(C122,"MMM")))</f>
        <v/>
      </c>
      <c r="N122">
        <f>IF($B122="","",IF(L122=0,0,M122/L122))</f>
        <v/>
      </c>
    </row>
    <row r="123">
      <c r="A123">
        <f>IF($B123="","",ROW()-5)</f>
        <v/>
      </c>
      <c r="D123">
        <f>IF($B123="","",IF(C123="","",TEXT(C123,"MMM")))</f>
        <v/>
      </c>
      <c r="N123">
        <f>IF($B123="","",IF(L123=0,0,M123/L123))</f>
        <v/>
      </c>
    </row>
    <row r="124">
      <c r="A124">
        <f>IF($B124="","",ROW()-5)</f>
        <v/>
      </c>
      <c r="D124">
        <f>IF($B124="","",IF(C124="","",TEXT(C124,"MMM")))</f>
        <v/>
      </c>
      <c r="N124">
        <f>IF($B124="","",IF(L124=0,0,M124/L124))</f>
        <v/>
      </c>
    </row>
    <row r="125">
      <c r="A125">
        <f>IF($B125="","",ROW()-5)</f>
        <v/>
      </c>
      <c r="D125">
        <f>IF($B125="","",IF(C125="","",TEXT(C125,"MMM")))</f>
        <v/>
      </c>
      <c r="N125">
        <f>IF($B125="","",IF(L125=0,0,M125/L125))</f>
        <v/>
      </c>
    </row>
    <row r="126">
      <c r="A126">
        <f>IF($B126="","",ROW()-5)</f>
        <v/>
      </c>
      <c r="D126">
        <f>IF($B126="","",IF(C126="","",TEXT(C126,"MMM")))</f>
        <v/>
      </c>
      <c r="N126">
        <f>IF($B126="","",IF(L126=0,0,M126/L126))</f>
        <v/>
      </c>
    </row>
    <row r="127">
      <c r="A127">
        <f>IF($B127="","",ROW()-5)</f>
        <v/>
      </c>
      <c r="D127">
        <f>IF($B127="","",IF(C127="","",TEXT(C127,"MMM")))</f>
        <v/>
      </c>
      <c r="N127">
        <f>IF($B127="","",IF(L127=0,0,M127/L127))</f>
        <v/>
      </c>
    </row>
    <row r="128">
      <c r="A128">
        <f>IF($B128="","",ROW()-5)</f>
        <v/>
      </c>
      <c r="D128">
        <f>IF($B128="","",IF(C128="","",TEXT(C128,"MMM")))</f>
        <v/>
      </c>
      <c r="N128">
        <f>IF($B128="","",IF(L128=0,0,M128/L128))</f>
        <v/>
      </c>
    </row>
    <row r="129">
      <c r="A129">
        <f>IF($B129="","",ROW()-5)</f>
        <v/>
      </c>
      <c r="D129">
        <f>IF($B129="","",IF(C129="","",TEXT(C129,"MMM")))</f>
        <v/>
      </c>
      <c r="N129">
        <f>IF($B129="","",IF(L129=0,0,M129/L129))</f>
        <v/>
      </c>
    </row>
    <row r="130">
      <c r="A130">
        <f>IF($B130="","",ROW()-5)</f>
        <v/>
      </c>
      <c r="D130">
        <f>IF($B130="","",IF(C130="","",TEXT(C130,"MMM")))</f>
        <v/>
      </c>
      <c r="N130">
        <f>IF($B130="","",IF(L130=0,0,M130/L130))</f>
        <v/>
      </c>
    </row>
    <row r="131">
      <c r="A131">
        <f>IF($B131="","",ROW()-5)</f>
        <v/>
      </c>
      <c r="D131">
        <f>IF($B131="","",IF(C131="","",TEXT(C131,"MMM")))</f>
        <v/>
      </c>
      <c r="N131">
        <f>IF($B131="","",IF(L131=0,0,M131/L131))</f>
        <v/>
      </c>
    </row>
    <row r="132">
      <c r="A132">
        <f>IF($B132="","",ROW()-5)</f>
        <v/>
      </c>
      <c r="D132">
        <f>IF($B132="","",IF(C132="","",TEXT(C132,"MMM")))</f>
        <v/>
      </c>
      <c r="N132">
        <f>IF($B132="","",IF(L132=0,0,M132/L132))</f>
        <v/>
      </c>
    </row>
    <row r="133">
      <c r="A133">
        <f>IF($B133="","",ROW()-5)</f>
        <v/>
      </c>
      <c r="D133">
        <f>IF($B133="","",IF(C133="","",TEXT(C133,"MMM")))</f>
        <v/>
      </c>
      <c r="N133">
        <f>IF($B133="","",IF(L133=0,0,M133/L133))</f>
        <v/>
      </c>
    </row>
    <row r="134">
      <c r="A134">
        <f>IF($B134="","",ROW()-5)</f>
        <v/>
      </c>
      <c r="D134">
        <f>IF($B134="","",IF(C134="","",TEXT(C134,"MMM")))</f>
        <v/>
      </c>
      <c r="N134">
        <f>IF($B134="","",IF(L134=0,0,M134/L134))</f>
        <v/>
      </c>
    </row>
    <row r="135">
      <c r="A135">
        <f>IF($B135="","",ROW()-5)</f>
        <v/>
      </c>
      <c r="D135">
        <f>IF($B135="","",IF(C135="","",TEXT(C135,"MMM")))</f>
        <v/>
      </c>
      <c r="N135">
        <f>IF($B135="","",IF(L135=0,0,M135/L135))</f>
        <v/>
      </c>
    </row>
    <row r="136">
      <c r="A136">
        <f>IF($B136="","",ROW()-5)</f>
        <v/>
      </c>
      <c r="D136">
        <f>IF($B136="","",IF(C136="","",TEXT(C136,"MMM")))</f>
        <v/>
      </c>
      <c r="N136">
        <f>IF($B136="","",IF(L136=0,0,M136/L136))</f>
        <v/>
      </c>
    </row>
    <row r="137">
      <c r="A137">
        <f>IF($B137="","",ROW()-5)</f>
        <v/>
      </c>
      <c r="D137">
        <f>IF($B137="","",IF(C137="","",TEXT(C137,"MMM")))</f>
        <v/>
      </c>
      <c r="N137">
        <f>IF($B137="","",IF(L137=0,0,M137/L137))</f>
        <v/>
      </c>
    </row>
    <row r="138">
      <c r="A138">
        <f>IF($B138="","",ROW()-5)</f>
        <v/>
      </c>
      <c r="D138">
        <f>IF($B138="","",IF(C138="","",TEXT(C138,"MMM")))</f>
        <v/>
      </c>
      <c r="N138">
        <f>IF($B138="","",IF(L138=0,0,M138/L138))</f>
        <v/>
      </c>
    </row>
    <row r="139">
      <c r="A139">
        <f>IF($B139="","",ROW()-5)</f>
        <v/>
      </c>
      <c r="D139">
        <f>IF($B139="","",IF(C139="","",TEXT(C139,"MMM")))</f>
        <v/>
      </c>
      <c r="N139">
        <f>IF($B139="","",IF(L139=0,0,M139/L139))</f>
        <v/>
      </c>
    </row>
    <row r="140">
      <c r="A140">
        <f>IF($B140="","",ROW()-5)</f>
        <v/>
      </c>
      <c r="D140">
        <f>IF($B140="","",IF(C140="","",TEXT(C140,"MMM")))</f>
        <v/>
      </c>
      <c r="N140">
        <f>IF($B140="","",IF(L140=0,0,M140/L140))</f>
        <v/>
      </c>
    </row>
    <row r="141">
      <c r="A141">
        <f>IF($B141="","",ROW()-5)</f>
        <v/>
      </c>
      <c r="D141">
        <f>IF($B141="","",IF(C141="","",TEXT(C141,"MMM")))</f>
        <v/>
      </c>
      <c r="N141">
        <f>IF($B141="","",IF(L141=0,0,M141/L141))</f>
        <v/>
      </c>
    </row>
    <row r="142">
      <c r="A142">
        <f>IF($B142="","",ROW()-5)</f>
        <v/>
      </c>
      <c r="D142">
        <f>IF($B142="","",IF(C142="","",TEXT(C142,"MMM")))</f>
        <v/>
      </c>
      <c r="N142">
        <f>IF($B142="","",IF(L142=0,0,M142/L142))</f>
        <v/>
      </c>
    </row>
    <row r="143">
      <c r="A143">
        <f>IF($B143="","",ROW()-5)</f>
        <v/>
      </c>
      <c r="D143">
        <f>IF($B143="","",IF(C143="","",TEXT(C143,"MMM")))</f>
        <v/>
      </c>
      <c r="N143">
        <f>IF($B143="","",IF(L143=0,0,M143/L143))</f>
        <v/>
      </c>
    </row>
    <row r="144">
      <c r="A144">
        <f>IF($B144="","",ROW()-5)</f>
        <v/>
      </c>
      <c r="D144">
        <f>IF($B144="","",IF(C144="","",TEXT(C144,"MMM")))</f>
        <v/>
      </c>
      <c r="N144">
        <f>IF($B144="","",IF(L144=0,0,M144/L144))</f>
        <v/>
      </c>
    </row>
    <row r="145">
      <c r="A145">
        <f>IF($B145="","",ROW()-5)</f>
        <v/>
      </c>
      <c r="D145">
        <f>IF($B145="","",IF(C145="","",TEXT(C145,"MMM")))</f>
        <v/>
      </c>
      <c r="N145">
        <f>IF($B145="","",IF(L145=0,0,M145/L145))</f>
        <v/>
      </c>
    </row>
    <row r="146">
      <c r="A146">
        <f>IF($B146="","",ROW()-5)</f>
        <v/>
      </c>
      <c r="D146">
        <f>IF($B146="","",IF(C146="","",TEXT(C146,"MMM")))</f>
        <v/>
      </c>
      <c r="N146">
        <f>IF($B146="","",IF(L146=0,0,M146/L146))</f>
        <v/>
      </c>
    </row>
    <row r="147">
      <c r="A147">
        <f>IF($B147="","",ROW()-5)</f>
        <v/>
      </c>
      <c r="D147">
        <f>IF($B147="","",IF(C147="","",TEXT(C147,"MMM")))</f>
        <v/>
      </c>
      <c r="N147">
        <f>IF($B147="","",IF(L147=0,0,M147/L147))</f>
        <v/>
      </c>
    </row>
    <row r="148">
      <c r="A148">
        <f>IF($B148="","",ROW()-5)</f>
        <v/>
      </c>
      <c r="D148">
        <f>IF($B148="","",IF(C148="","",TEXT(C148,"MMM")))</f>
        <v/>
      </c>
      <c r="N148">
        <f>IF($B148="","",IF(L148=0,0,M148/L148))</f>
        <v/>
      </c>
    </row>
    <row r="149">
      <c r="A149">
        <f>IF($B149="","",ROW()-5)</f>
        <v/>
      </c>
      <c r="D149">
        <f>IF($B149="","",IF(C149="","",TEXT(C149,"MMM")))</f>
        <v/>
      </c>
      <c r="N149">
        <f>IF($B149="","",IF(L149=0,0,M149/L149))</f>
        <v/>
      </c>
    </row>
    <row r="150">
      <c r="A150">
        <f>IF($B150="","",ROW()-5)</f>
        <v/>
      </c>
      <c r="D150">
        <f>IF($B150="","",IF(C150="","",TEXT(C150,"MMM")))</f>
        <v/>
      </c>
      <c r="N150">
        <f>IF($B150="","",IF(L150=0,0,M150/L150))</f>
        <v/>
      </c>
    </row>
    <row r="151">
      <c r="A151">
        <f>IF($B151="","",ROW()-5)</f>
        <v/>
      </c>
      <c r="D151">
        <f>IF($B151="","",IF(C151="","",TEXT(C151,"MMM")))</f>
        <v/>
      </c>
      <c r="N151">
        <f>IF($B151="","",IF(L151=0,0,M151/L151))</f>
        <v/>
      </c>
    </row>
    <row r="152">
      <c r="A152">
        <f>IF($B152="","",ROW()-5)</f>
        <v/>
      </c>
      <c r="D152">
        <f>IF($B152="","",IF(C152="","",TEXT(C152,"MMM")))</f>
        <v/>
      </c>
      <c r="N152">
        <f>IF($B152="","",IF(L152=0,0,M152/L152))</f>
        <v/>
      </c>
    </row>
    <row r="153">
      <c r="A153">
        <f>IF($B153="","",ROW()-5)</f>
        <v/>
      </c>
      <c r="D153">
        <f>IF($B153="","",IF(C153="","",TEXT(C153,"MMM")))</f>
        <v/>
      </c>
      <c r="N153">
        <f>IF($B153="","",IF(L153=0,0,M153/L153))</f>
        <v/>
      </c>
    </row>
    <row r="154">
      <c r="A154">
        <f>IF($B154="","",ROW()-5)</f>
        <v/>
      </c>
      <c r="D154">
        <f>IF($B154="","",IF(C154="","",TEXT(C154,"MMM")))</f>
        <v/>
      </c>
      <c r="N154">
        <f>IF($B154="","",IF(L154=0,0,M154/L154))</f>
        <v/>
      </c>
    </row>
    <row r="155">
      <c r="A155">
        <f>IF($B155="","",ROW()-5)</f>
        <v/>
      </c>
      <c r="D155">
        <f>IF($B155="","",IF(C155="","",TEXT(C155,"MMM")))</f>
        <v/>
      </c>
      <c r="N155">
        <f>IF($B155="","",IF(L155=0,0,M155/L155))</f>
        <v/>
      </c>
    </row>
    <row r="156">
      <c r="A156">
        <f>IF($B156="","",ROW()-5)</f>
        <v/>
      </c>
      <c r="D156">
        <f>IF($B156="","",IF(C156="","",TEXT(C156,"MMM")))</f>
        <v/>
      </c>
      <c r="N156">
        <f>IF($B156="","",IF(L156=0,0,M156/L156))</f>
        <v/>
      </c>
    </row>
    <row r="157">
      <c r="A157">
        <f>IF($B157="","",ROW()-5)</f>
        <v/>
      </c>
      <c r="D157">
        <f>IF($B157="","",IF(C157="","",TEXT(C157,"MMM")))</f>
        <v/>
      </c>
      <c r="N157">
        <f>IF($B157="","",IF(L157=0,0,M157/L157))</f>
        <v/>
      </c>
    </row>
    <row r="158">
      <c r="A158">
        <f>IF($B158="","",ROW()-5)</f>
        <v/>
      </c>
      <c r="D158">
        <f>IF($B158="","",IF(C158="","",TEXT(C158,"MMM")))</f>
        <v/>
      </c>
      <c r="N158">
        <f>IF($B158="","",IF(L158=0,0,M158/L158))</f>
        <v/>
      </c>
    </row>
    <row r="159">
      <c r="A159">
        <f>IF($B159="","",ROW()-5)</f>
        <v/>
      </c>
      <c r="D159">
        <f>IF($B159="","",IF(C159="","",TEXT(C159,"MMM")))</f>
        <v/>
      </c>
      <c r="N159">
        <f>IF($B159="","",IF(L159=0,0,M159/L159))</f>
        <v/>
      </c>
    </row>
    <row r="160">
      <c r="A160">
        <f>IF($B160="","",ROW()-5)</f>
        <v/>
      </c>
      <c r="D160">
        <f>IF($B160="","",IF(C160="","",TEXT(C160,"MMM")))</f>
        <v/>
      </c>
      <c r="N160">
        <f>IF($B160="","",IF(L160=0,0,M160/L160))</f>
        <v/>
      </c>
    </row>
    <row r="161">
      <c r="A161">
        <f>IF($B161="","",ROW()-5)</f>
        <v/>
      </c>
      <c r="D161">
        <f>IF($B161="","",IF(C161="","",TEXT(C161,"MMM")))</f>
        <v/>
      </c>
      <c r="N161">
        <f>IF($B161="","",IF(L161=0,0,M161/L161))</f>
        <v/>
      </c>
    </row>
    <row r="162">
      <c r="A162">
        <f>IF($B162="","",ROW()-5)</f>
        <v/>
      </c>
      <c r="D162">
        <f>IF($B162="","",IF(C162="","",TEXT(C162,"MMM")))</f>
        <v/>
      </c>
      <c r="N162">
        <f>IF($B162="","",IF(L162=0,0,M162/L162))</f>
        <v/>
      </c>
    </row>
    <row r="163">
      <c r="A163">
        <f>IF($B163="","",ROW()-5)</f>
        <v/>
      </c>
      <c r="D163">
        <f>IF($B163="","",IF(C163="","",TEXT(C163,"MMM")))</f>
        <v/>
      </c>
      <c r="N163">
        <f>IF($B163="","",IF(L163=0,0,M163/L163))</f>
        <v/>
      </c>
    </row>
    <row r="164">
      <c r="A164">
        <f>IF($B164="","",ROW()-5)</f>
        <v/>
      </c>
      <c r="D164">
        <f>IF($B164="","",IF(C164="","",TEXT(C164,"MMM")))</f>
        <v/>
      </c>
      <c r="N164">
        <f>IF($B164="","",IF(L164=0,0,M164/L164))</f>
        <v/>
      </c>
    </row>
    <row r="165">
      <c r="A165">
        <f>IF($B165="","",ROW()-5)</f>
        <v/>
      </c>
      <c r="D165">
        <f>IF($B165="","",IF(C165="","",TEXT(C165,"MMM")))</f>
        <v/>
      </c>
      <c r="N165">
        <f>IF($B165="","",IF(L165=0,0,M165/L165))</f>
        <v/>
      </c>
    </row>
    <row r="166">
      <c r="A166">
        <f>IF($B166="","",ROW()-5)</f>
        <v/>
      </c>
      <c r="D166">
        <f>IF($B166="","",IF(C166="","",TEXT(C166,"MMM")))</f>
        <v/>
      </c>
      <c r="N166">
        <f>IF($B166="","",IF(L166=0,0,M166/L166))</f>
        <v/>
      </c>
    </row>
    <row r="167">
      <c r="A167">
        <f>IF($B167="","",ROW()-5)</f>
        <v/>
      </c>
      <c r="D167">
        <f>IF($B167="","",IF(C167="","",TEXT(C167,"MMM")))</f>
        <v/>
      </c>
      <c r="N167">
        <f>IF($B167="","",IF(L167=0,0,M167/L167))</f>
        <v/>
      </c>
    </row>
    <row r="168">
      <c r="A168">
        <f>IF($B168="","",ROW()-5)</f>
        <v/>
      </c>
      <c r="D168">
        <f>IF($B168="","",IF(C168="","",TEXT(C168,"MMM")))</f>
        <v/>
      </c>
      <c r="N168">
        <f>IF($B168="","",IF(L168=0,0,M168/L168))</f>
        <v/>
      </c>
    </row>
    <row r="169">
      <c r="A169">
        <f>IF($B169="","",ROW()-5)</f>
        <v/>
      </c>
      <c r="D169">
        <f>IF($B169="","",IF(C169="","",TEXT(C169,"MMM")))</f>
        <v/>
      </c>
      <c r="N169">
        <f>IF($B169="","",IF(L169=0,0,M169/L169))</f>
        <v/>
      </c>
    </row>
    <row r="170">
      <c r="A170">
        <f>IF($B170="","",ROW()-5)</f>
        <v/>
      </c>
      <c r="D170">
        <f>IF($B170="","",IF(C170="","",TEXT(C170,"MMM")))</f>
        <v/>
      </c>
      <c r="N170">
        <f>IF($B170="","",IF(L170=0,0,M170/L170))</f>
        <v/>
      </c>
    </row>
    <row r="171">
      <c r="A171">
        <f>IF($B171="","",ROW()-5)</f>
        <v/>
      </c>
      <c r="D171">
        <f>IF($B171="","",IF(C171="","",TEXT(C171,"MMM")))</f>
        <v/>
      </c>
      <c r="N171">
        <f>IF($B171="","",IF(L171=0,0,M171/L171))</f>
        <v/>
      </c>
    </row>
    <row r="172">
      <c r="A172">
        <f>IF($B172="","",ROW()-5)</f>
        <v/>
      </c>
      <c r="D172">
        <f>IF($B172="","",IF(C172="","",TEXT(C172,"MMM")))</f>
        <v/>
      </c>
      <c r="N172">
        <f>IF($B172="","",IF(L172=0,0,M172/L172))</f>
        <v/>
      </c>
    </row>
    <row r="173">
      <c r="A173">
        <f>IF($B173="","",ROW()-5)</f>
        <v/>
      </c>
      <c r="D173">
        <f>IF($B173="","",IF(C173="","",TEXT(C173,"MMM")))</f>
        <v/>
      </c>
      <c r="N173">
        <f>IF($B173="","",IF(L173=0,0,M173/L173))</f>
        <v/>
      </c>
    </row>
    <row r="174">
      <c r="A174">
        <f>IF($B174="","",ROW()-5)</f>
        <v/>
      </c>
      <c r="D174">
        <f>IF($B174="","",IF(C174="","",TEXT(C174,"MMM")))</f>
        <v/>
      </c>
      <c r="N174">
        <f>IF($B174="","",IF(L174=0,0,M174/L174))</f>
        <v/>
      </c>
    </row>
    <row r="175">
      <c r="A175">
        <f>IF($B175="","",ROW()-5)</f>
        <v/>
      </c>
      <c r="D175">
        <f>IF($B175="","",IF(C175="","",TEXT(C175,"MMM")))</f>
        <v/>
      </c>
      <c r="N175">
        <f>IF($B175="","",IF(L175=0,0,M175/L175))</f>
        <v/>
      </c>
    </row>
    <row r="176">
      <c r="A176">
        <f>IF($B176="","",ROW()-5)</f>
        <v/>
      </c>
      <c r="D176">
        <f>IF($B176="","",IF(C176="","",TEXT(C176,"MMM")))</f>
        <v/>
      </c>
      <c r="N176">
        <f>IF($B176="","",IF(L176=0,0,M176/L176))</f>
        <v/>
      </c>
    </row>
    <row r="177">
      <c r="A177">
        <f>IF($B177="","",ROW()-5)</f>
        <v/>
      </c>
      <c r="D177">
        <f>IF($B177="","",IF(C177="","",TEXT(C177,"MMM")))</f>
        <v/>
      </c>
      <c r="N177">
        <f>IF($B177="","",IF(L177=0,0,M177/L177))</f>
        <v/>
      </c>
    </row>
    <row r="178">
      <c r="A178">
        <f>IF($B178="","",ROW()-5)</f>
        <v/>
      </c>
      <c r="D178">
        <f>IF($B178="","",IF(C178="","",TEXT(C178,"MMM")))</f>
        <v/>
      </c>
      <c r="N178">
        <f>IF($B178="","",IF(L178=0,0,M178/L178))</f>
        <v/>
      </c>
    </row>
    <row r="179">
      <c r="A179">
        <f>IF($B179="","",ROW()-5)</f>
        <v/>
      </c>
      <c r="D179">
        <f>IF($B179="","",IF(C179="","",TEXT(C179,"MMM")))</f>
        <v/>
      </c>
      <c r="N179">
        <f>IF($B179="","",IF(L179=0,0,M179/L179))</f>
        <v/>
      </c>
    </row>
    <row r="180">
      <c r="A180">
        <f>IF($B180="","",ROW()-5)</f>
        <v/>
      </c>
      <c r="D180">
        <f>IF($B180="","",IF(C180="","",TEXT(C180,"MMM")))</f>
        <v/>
      </c>
      <c r="N180">
        <f>IF($B180="","",IF(L180=0,0,M180/L180))</f>
        <v/>
      </c>
    </row>
    <row r="181">
      <c r="A181">
        <f>IF($B181="","",ROW()-5)</f>
        <v/>
      </c>
      <c r="D181">
        <f>IF($B181="","",IF(C181="","",TEXT(C181,"MMM")))</f>
        <v/>
      </c>
      <c r="N181">
        <f>IF($B181="","",IF(L181=0,0,M181/L181))</f>
        <v/>
      </c>
    </row>
    <row r="182">
      <c r="A182">
        <f>IF($B182="","",ROW()-5)</f>
        <v/>
      </c>
      <c r="D182">
        <f>IF($B182="","",IF(C182="","",TEXT(C182,"MMM")))</f>
        <v/>
      </c>
      <c r="N182">
        <f>IF($B182="","",IF(L182=0,0,M182/L182))</f>
        <v/>
      </c>
    </row>
    <row r="183">
      <c r="A183">
        <f>IF($B183="","",ROW()-5)</f>
        <v/>
      </c>
      <c r="D183">
        <f>IF($B183="","",IF(C183="","",TEXT(C183,"MMM")))</f>
        <v/>
      </c>
      <c r="N183">
        <f>IF($B183="","",IF(L183=0,0,M183/L183))</f>
        <v/>
      </c>
    </row>
    <row r="184">
      <c r="A184">
        <f>IF($B184="","",ROW()-5)</f>
        <v/>
      </c>
      <c r="D184">
        <f>IF($B184="","",IF(C184="","",TEXT(C184,"MMM")))</f>
        <v/>
      </c>
      <c r="N184">
        <f>IF($B184="","",IF(L184=0,0,M184/L184))</f>
        <v/>
      </c>
    </row>
    <row r="185">
      <c r="A185">
        <f>IF($B185="","",ROW()-5)</f>
        <v/>
      </c>
      <c r="D185">
        <f>IF($B185="","",IF(C185="","",TEXT(C185,"MMM")))</f>
        <v/>
      </c>
      <c r="N185">
        <f>IF($B185="","",IF(L185=0,0,M185/L185))</f>
        <v/>
      </c>
    </row>
    <row r="186">
      <c r="A186">
        <f>IF($B186="","",ROW()-5)</f>
        <v/>
      </c>
      <c r="D186">
        <f>IF($B186="","",IF(C186="","",TEXT(C186,"MMM")))</f>
        <v/>
      </c>
      <c r="N186">
        <f>IF($B186="","",IF(L186=0,0,M186/L186))</f>
        <v/>
      </c>
    </row>
    <row r="187">
      <c r="A187">
        <f>IF($B187="","",ROW()-5)</f>
        <v/>
      </c>
      <c r="D187">
        <f>IF($B187="","",IF(C187="","",TEXT(C187,"MMM")))</f>
        <v/>
      </c>
      <c r="N187">
        <f>IF($B187="","",IF(L187=0,0,M187/L187))</f>
        <v/>
      </c>
    </row>
    <row r="188">
      <c r="A188">
        <f>IF($B188="","",ROW()-5)</f>
        <v/>
      </c>
      <c r="D188">
        <f>IF($B188="","",IF(C188="","",TEXT(C188,"MMM")))</f>
        <v/>
      </c>
      <c r="N188">
        <f>IF($B188="","",IF(L188=0,0,M188/L188))</f>
        <v/>
      </c>
    </row>
    <row r="189">
      <c r="A189">
        <f>IF($B189="","",ROW()-5)</f>
        <v/>
      </c>
      <c r="D189">
        <f>IF($B189="","",IF(C189="","",TEXT(C189,"MMM")))</f>
        <v/>
      </c>
      <c r="N189">
        <f>IF($B189="","",IF(L189=0,0,M189/L189))</f>
        <v/>
      </c>
    </row>
    <row r="190">
      <c r="A190">
        <f>IF($B190="","",ROW()-5)</f>
        <v/>
      </c>
      <c r="D190">
        <f>IF($B190="","",IF(C190="","",TEXT(C190,"MMM")))</f>
        <v/>
      </c>
      <c r="N190">
        <f>IF($B190="","",IF(L190=0,0,M190/L190))</f>
        <v/>
      </c>
    </row>
    <row r="191">
      <c r="A191">
        <f>IF($B191="","",ROW()-5)</f>
        <v/>
      </c>
      <c r="D191">
        <f>IF($B191="","",IF(C191="","",TEXT(C191,"MMM")))</f>
        <v/>
      </c>
      <c r="N191">
        <f>IF($B191="","",IF(L191=0,0,M191/L191))</f>
        <v/>
      </c>
    </row>
    <row r="192">
      <c r="A192">
        <f>IF($B192="","",ROW()-5)</f>
        <v/>
      </c>
      <c r="D192">
        <f>IF($B192="","",IF(C192="","",TEXT(C192,"MMM")))</f>
        <v/>
      </c>
      <c r="N192">
        <f>IF($B192="","",IF(L192=0,0,M192/L192))</f>
        <v/>
      </c>
    </row>
    <row r="193">
      <c r="A193">
        <f>IF($B193="","",ROW()-5)</f>
        <v/>
      </c>
      <c r="D193">
        <f>IF($B193="","",IF(C193="","",TEXT(C193,"MMM")))</f>
        <v/>
      </c>
      <c r="N193">
        <f>IF($B193="","",IF(L193=0,0,M193/L193))</f>
        <v/>
      </c>
    </row>
    <row r="194">
      <c r="A194">
        <f>IF($B194="","",ROW()-5)</f>
        <v/>
      </c>
      <c r="D194">
        <f>IF($B194="","",IF(C194="","",TEXT(C194,"MMM")))</f>
        <v/>
      </c>
      <c r="N194">
        <f>IF($B194="","",IF(L194=0,0,M194/L194))</f>
        <v/>
      </c>
    </row>
    <row r="195">
      <c r="A195">
        <f>IF($B195="","",ROW()-5)</f>
        <v/>
      </c>
      <c r="D195">
        <f>IF($B195="","",IF(C195="","",TEXT(C195,"MMM")))</f>
        <v/>
      </c>
      <c r="N195">
        <f>IF($B195="","",IF(L195=0,0,M195/L195))</f>
        <v/>
      </c>
    </row>
    <row r="196">
      <c r="A196">
        <f>IF($B196="","",ROW()-5)</f>
        <v/>
      </c>
      <c r="D196">
        <f>IF($B196="","",IF(C196="","",TEXT(C196,"MMM")))</f>
        <v/>
      </c>
      <c r="N196">
        <f>IF($B196="","",IF(L196=0,0,M196/L196))</f>
        <v/>
      </c>
    </row>
    <row r="197">
      <c r="A197">
        <f>IF($B197="","",ROW()-5)</f>
        <v/>
      </c>
      <c r="D197">
        <f>IF($B197="","",IF(C197="","",TEXT(C197,"MMM")))</f>
        <v/>
      </c>
      <c r="N197">
        <f>IF($B197="","",IF(L197=0,0,M197/L197))</f>
        <v/>
      </c>
    </row>
    <row r="198">
      <c r="A198">
        <f>IF($B198="","",ROW()-5)</f>
        <v/>
      </c>
      <c r="D198">
        <f>IF($B198="","",IF(C198="","",TEXT(C198,"MMM")))</f>
        <v/>
      </c>
      <c r="N198">
        <f>IF($B198="","",IF(L198=0,0,M198/L198))</f>
        <v/>
      </c>
    </row>
    <row r="199">
      <c r="A199">
        <f>IF($B199="","",ROW()-5)</f>
        <v/>
      </c>
      <c r="D199">
        <f>IF($B199="","",IF(C199="","",TEXT(C199,"MMM")))</f>
        <v/>
      </c>
      <c r="N199">
        <f>IF($B199="","",IF(L199=0,0,M199/L199))</f>
        <v/>
      </c>
    </row>
    <row r="200">
      <c r="A200">
        <f>IF($B200="","",ROW()-5)</f>
        <v/>
      </c>
      <c r="D200">
        <f>IF($B200="","",IF(C200="","",TEXT(C200,"MMM")))</f>
        <v/>
      </c>
      <c r="N200">
        <f>IF($B200="","",IF(L200=0,0,M200/L200))</f>
        <v/>
      </c>
    </row>
    <row r="201">
      <c r="A201">
        <f>IF($B201="","",ROW()-5)</f>
        <v/>
      </c>
      <c r="D201">
        <f>IF($B201="","",IF(C201="","",TEXT(C201,"MMM")))</f>
        <v/>
      </c>
      <c r="N201">
        <f>IF($B201="","",IF(L201=0,0,M201/L201))</f>
        <v/>
      </c>
    </row>
    <row r="202">
      <c r="A202">
        <f>IF($B202="","",ROW()-5)</f>
        <v/>
      </c>
      <c r="D202">
        <f>IF($B202="","",IF(C202="","",TEXT(C202,"MMM")))</f>
        <v/>
      </c>
      <c r="N202">
        <f>IF($B202="","",IF(L202=0,0,M202/L202))</f>
        <v/>
      </c>
    </row>
    <row r="203">
      <c r="A203">
        <f>IF($B203="","",ROW()-5)</f>
        <v/>
      </c>
      <c r="D203">
        <f>IF($B203="","",IF(C203="","",TEXT(C203,"MMM")))</f>
        <v/>
      </c>
      <c r="N203">
        <f>IF($B203="","",IF(L203=0,0,M203/L203))</f>
        <v/>
      </c>
    </row>
    <row r="204">
      <c r="A204">
        <f>IF($B204="","",ROW()-5)</f>
        <v/>
      </c>
      <c r="D204">
        <f>IF($B204="","",IF(C204="","",TEXT(C204,"MMM")))</f>
        <v/>
      </c>
      <c r="N204">
        <f>IF($B204="","",IF(L204=0,0,M204/L204))</f>
        <v/>
      </c>
    </row>
    <row r="205">
      <c r="A205">
        <f>IF($B205="","",ROW()-5)</f>
        <v/>
      </c>
      <c r="D205">
        <f>IF($B205="","",IF(C205="","",TEXT(C205,"MMM")))</f>
        <v/>
      </c>
      <c r="N205">
        <f>IF($B205="","",IF(L205=0,0,M205/L205))</f>
        <v/>
      </c>
    </row>
    <row r="206">
      <c r="A206">
        <f>IF($B206="","",ROW()-5)</f>
        <v/>
      </c>
      <c r="D206">
        <f>IF($B206="","",IF(C206="","",TEXT(C206,"MMM")))</f>
        <v/>
      </c>
      <c r="N206">
        <f>IF($B206="","",IF(L206=0,0,M206/L206))</f>
        <v/>
      </c>
    </row>
    <row r="207">
      <c r="A207">
        <f>IF($B207="","",ROW()-5)</f>
        <v/>
      </c>
      <c r="D207">
        <f>IF($B207="","",IF(C207="","",TEXT(C207,"MMM")))</f>
        <v/>
      </c>
      <c r="N207">
        <f>IF($B207="","",IF(L207=0,0,M207/L207))</f>
        <v/>
      </c>
    </row>
    <row r="208">
      <c r="A208">
        <f>IF($B208="","",ROW()-5)</f>
        <v/>
      </c>
      <c r="D208">
        <f>IF($B208="","",IF(C208="","",TEXT(C208,"MMM")))</f>
        <v/>
      </c>
      <c r="N208">
        <f>IF($B208="","",IF(L208=0,0,M208/L208))</f>
        <v/>
      </c>
    </row>
    <row r="209">
      <c r="A209">
        <f>IF($B209="","",ROW()-5)</f>
        <v/>
      </c>
      <c r="D209">
        <f>IF($B209="","",IF(C209="","",TEXT(C209,"MMM")))</f>
        <v/>
      </c>
      <c r="N209">
        <f>IF($B209="","",IF(L209=0,0,M209/L209))</f>
        <v/>
      </c>
    </row>
    <row r="210">
      <c r="A210">
        <f>IF($B210="","",ROW()-5)</f>
        <v/>
      </c>
      <c r="D210">
        <f>IF($B210="","",IF(C210="","",TEXT(C210,"MMM")))</f>
        <v/>
      </c>
      <c r="N210">
        <f>IF($B210="","",IF(L210=0,0,M210/L210))</f>
        <v/>
      </c>
    </row>
    <row r="211">
      <c r="A211">
        <f>IF($B211="","",ROW()-5)</f>
        <v/>
      </c>
      <c r="D211">
        <f>IF($B211="","",IF(C211="","",TEXT(C211,"MMM")))</f>
        <v/>
      </c>
      <c r="N211">
        <f>IF($B211="","",IF(L211=0,0,M211/L211))</f>
        <v/>
      </c>
    </row>
    <row r="212">
      <c r="A212">
        <f>IF($B212="","",ROW()-5)</f>
        <v/>
      </c>
      <c r="D212">
        <f>IF($B212="","",IF(C212="","",TEXT(C212,"MMM")))</f>
        <v/>
      </c>
      <c r="N212">
        <f>IF($B212="","",IF(L212=0,0,M212/L212))</f>
        <v/>
      </c>
    </row>
    <row r="213">
      <c r="A213">
        <f>IF($B213="","",ROW()-5)</f>
        <v/>
      </c>
      <c r="D213">
        <f>IF($B213="","",IF(C213="","",TEXT(C213,"MMM")))</f>
        <v/>
      </c>
      <c r="N213">
        <f>IF($B213="","",IF(L213=0,0,M213/L213))</f>
        <v/>
      </c>
    </row>
    <row r="214">
      <c r="A214">
        <f>IF($B214="","",ROW()-5)</f>
        <v/>
      </c>
      <c r="D214">
        <f>IF($B214="","",IF(C214="","",TEXT(C214,"MMM")))</f>
        <v/>
      </c>
      <c r="N214">
        <f>IF($B214="","",IF(L214=0,0,M214/L214))</f>
        <v/>
      </c>
    </row>
    <row r="215">
      <c r="A215">
        <f>IF($B215="","",ROW()-5)</f>
        <v/>
      </c>
      <c r="D215">
        <f>IF($B215="","",IF(C215="","",TEXT(C215,"MMM")))</f>
        <v/>
      </c>
      <c r="N215">
        <f>IF($B215="","",IF(L215=0,0,M215/L215))</f>
        <v/>
      </c>
    </row>
    <row r="216">
      <c r="A216">
        <f>IF($B216="","",ROW()-5)</f>
        <v/>
      </c>
      <c r="D216">
        <f>IF($B216="","",IF(C216="","",TEXT(C216,"MMM")))</f>
        <v/>
      </c>
      <c r="N216">
        <f>IF($B216="","",IF(L216=0,0,M216/L216))</f>
        <v/>
      </c>
    </row>
    <row r="217">
      <c r="A217">
        <f>IF($B217="","",ROW()-5)</f>
        <v/>
      </c>
      <c r="D217">
        <f>IF($B217="","",IF(C217="","",TEXT(C217,"MMM")))</f>
        <v/>
      </c>
      <c r="N217">
        <f>IF($B217="","",IF(L217=0,0,M217/L217))</f>
        <v/>
      </c>
    </row>
    <row r="218">
      <c r="A218">
        <f>IF($B218="","",ROW()-5)</f>
        <v/>
      </c>
      <c r="D218">
        <f>IF($B218="","",IF(C218="","",TEXT(C218,"MMM")))</f>
        <v/>
      </c>
      <c r="N218">
        <f>IF($B218="","",IF(L218=0,0,M218/L218))</f>
        <v/>
      </c>
    </row>
    <row r="219">
      <c r="A219">
        <f>IF($B219="","",ROW()-5)</f>
        <v/>
      </c>
      <c r="D219">
        <f>IF($B219="","",IF(C219="","",TEXT(C219,"MMM")))</f>
        <v/>
      </c>
      <c r="N219">
        <f>IF($B219="","",IF(L219=0,0,M219/L219))</f>
        <v/>
      </c>
    </row>
    <row r="220">
      <c r="A220">
        <f>IF($B220="","",ROW()-5)</f>
        <v/>
      </c>
      <c r="D220">
        <f>IF($B220="","",IF(C220="","",TEXT(C220,"MMM")))</f>
        <v/>
      </c>
      <c r="N220">
        <f>IF($B220="","",IF(L220=0,0,M220/L220))</f>
        <v/>
      </c>
    </row>
    <row r="221">
      <c r="A221">
        <f>IF($B221="","",ROW()-5)</f>
        <v/>
      </c>
      <c r="D221">
        <f>IF($B221="","",IF(C221="","",TEXT(C221,"MMM")))</f>
        <v/>
      </c>
      <c r="N221">
        <f>IF($B221="","",IF(L221=0,0,M221/L221))</f>
        <v/>
      </c>
    </row>
    <row r="222">
      <c r="A222">
        <f>IF($B222="","",ROW()-5)</f>
        <v/>
      </c>
      <c r="D222">
        <f>IF($B222="","",IF(C222="","",TEXT(C222,"MMM")))</f>
        <v/>
      </c>
      <c r="N222">
        <f>IF($B222="","",IF(L222=0,0,M222/L222))</f>
        <v/>
      </c>
    </row>
    <row r="223">
      <c r="A223">
        <f>IF($B223="","",ROW()-5)</f>
        <v/>
      </c>
      <c r="D223">
        <f>IF($B223="","",IF(C223="","",TEXT(C223,"MMM")))</f>
        <v/>
      </c>
      <c r="N223">
        <f>IF($B223="","",IF(L223=0,0,M223/L223))</f>
        <v/>
      </c>
    </row>
    <row r="224">
      <c r="A224">
        <f>IF($B224="","",ROW()-5)</f>
        <v/>
      </c>
      <c r="D224">
        <f>IF($B224="","",IF(C224="","",TEXT(C224,"MMM")))</f>
        <v/>
      </c>
      <c r="N224">
        <f>IF($B224="","",IF(L224=0,0,M224/L224))</f>
        <v/>
      </c>
    </row>
    <row r="225">
      <c r="A225">
        <f>IF($B225="","",ROW()-5)</f>
        <v/>
      </c>
      <c r="D225">
        <f>IF($B225="","",IF(C225="","",TEXT(C225,"MMM")))</f>
        <v/>
      </c>
      <c r="N225">
        <f>IF($B225="","",IF(L225=0,0,M225/L225))</f>
        <v/>
      </c>
    </row>
    <row r="226">
      <c r="A226">
        <f>IF($B226="","",ROW()-5)</f>
        <v/>
      </c>
      <c r="D226">
        <f>IF($B226="","",IF(C226="","",TEXT(C226,"MMM")))</f>
        <v/>
      </c>
      <c r="N226">
        <f>IF($B226="","",IF(L226=0,0,M226/L226))</f>
        <v/>
      </c>
    </row>
    <row r="227">
      <c r="A227">
        <f>IF($B227="","",ROW()-5)</f>
        <v/>
      </c>
      <c r="D227">
        <f>IF($B227="","",IF(C227="","",TEXT(C227,"MMM")))</f>
        <v/>
      </c>
      <c r="N227">
        <f>IF($B227="","",IF(L227=0,0,M227/L227))</f>
        <v/>
      </c>
    </row>
    <row r="228">
      <c r="A228">
        <f>IF($B228="","",ROW()-5)</f>
        <v/>
      </c>
      <c r="D228">
        <f>IF($B228="","",IF(C228="","",TEXT(C228,"MMM")))</f>
        <v/>
      </c>
      <c r="N228">
        <f>IF($B228="","",IF(L228=0,0,M228/L228))</f>
        <v/>
      </c>
    </row>
    <row r="229">
      <c r="A229">
        <f>IF($B229="","",ROW()-5)</f>
        <v/>
      </c>
      <c r="D229">
        <f>IF($B229="","",IF(C229="","",TEXT(C229,"MMM")))</f>
        <v/>
      </c>
      <c r="N229">
        <f>IF($B229="","",IF(L229=0,0,M229/L229))</f>
        <v/>
      </c>
    </row>
    <row r="230">
      <c r="A230">
        <f>IF($B230="","",ROW()-5)</f>
        <v/>
      </c>
      <c r="D230">
        <f>IF($B230="","",IF(C230="","",TEXT(C230,"MMM")))</f>
        <v/>
      </c>
      <c r="N230">
        <f>IF($B230="","",IF(L230=0,0,M230/L230))</f>
        <v/>
      </c>
    </row>
    <row r="231">
      <c r="A231">
        <f>IF($B231="","",ROW()-5)</f>
        <v/>
      </c>
      <c r="D231">
        <f>IF($B231="","",IF(C231="","",TEXT(C231,"MMM")))</f>
        <v/>
      </c>
      <c r="N231">
        <f>IF($B231="","",IF(L231=0,0,M231/L231))</f>
        <v/>
      </c>
    </row>
    <row r="232">
      <c r="A232">
        <f>IF($B232="","",ROW()-5)</f>
        <v/>
      </c>
      <c r="D232">
        <f>IF($B232="","",IF(C232="","",TEXT(C232,"MMM")))</f>
        <v/>
      </c>
      <c r="N232">
        <f>IF($B232="","",IF(L232=0,0,M232/L232))</f>
        <v/>
      </c>
    </row>
    <row r="233">
      <c r="A233">
        <f>IF($B233="","",ROW()-5)</f>
        <v/>
      </c>
      <c r="D233">
        <f>IF($B233="","",IF(C233="","",TEXT(C233,"MMM")))</f>
        <v/>
      </c>
      <c r="N233">
        <f>IF($B233="","",IF(L233=0,0,M233/L233))</f>
        <v/>
      </c>
    </row>
    <row r="234">
      <c r="A234">
        <f>IF($B234="","",ROW()-5)</f>
        <v/>
      </c>
      <c r="D234">
        <f>IF($B234="","",IF(C234="","",TEXT(C234,"MMM")))</f>
        <v/>
      </c>
      <c r="N234">
        <f>IF($B234="","",IF(L234=0,0,M234/L234))</f>
        <v/>
      </c>
    </row>
    <row r="235">
      <c r="A235">
        <f>IF($B235="","",ROW()-5)</f>
        <v/>
      </c>
      <c r="D235">
        <f>IF($B235="","",IF(C235="","",TEXT(C235,"MMM")))</f>
        <v/>
      </c>
      <c r="N235">
        <f>IF($B235="","",IF(L235=0,0,M235/L235))</f>
        <v/>
      </c>
    </row>
    <row r="236">
      <c r="A236">
        <f>IF($B236="","",ROW()-5)</f>
        <v/>
      </c>
      <c r="D236">
        <f>IF($B236="","",IF(C236="","",TEXT(C236,"MMM")))</f>
        <v/>
      </c>
      <c r="N236">
        <f>IF($B236="","",IF(L236=0,0,M236/L236))</f>
        <v/>
      </c>
    </row>
    <row r="237">
      <c r="A237">
        <f>IF($B237="","",ROW()-5)</f>
        <v/>
      </c>
      <c r="D237">
        <f>IF($B237="","",IF(C237="","",TEXT(C237,"MMM")))</f>
        <v/>
      </c>
      <c r="N237">
        <f>IF($B237="","",IF(L237=0,0,M237/L237))</f>
        <v/>
      </c>
    </row>
    <row r="238">
      <c r="A238">
        <f>IF($B238="","",ROW()-5)</f>
        <v/>
      </c>
      <c r="D238">
        <f>IF($B238="","",IF(C238="","",TEXT(C238,"MMM")))</f>
        <v/>
      </c>
      <c r="N238">
        <f>IF($B238="","",IF(L238=0,0,M238/L238))</f>
        <v/>
      </c>
    </row>
    <row r="239">
      <c r="A239">
        <f>IF($B239="","",ROW()-5)</f>
        <v/>
      </c>
      <c r="D239">
        <f>IF($B239="","",IF(C239="","",TEXT(C239,"MMM")))</f>
        <v/>
      </c>
      <c r="N239">
        <f>IF($B239="","",IF(L239=0,0,M239/L239))</f>
        <v/>
      </c>
    </row>
    <row r="240">
      <c r="A240">
        <f>IF($B240="","",ROW()-5)</f>
        <v/>
      </c>
      <c r="D240">
        <f>IF($B240="","",IF(C240="","",TEXT(C240,"MMM")))</f>
        <v/>
      </c>
      <c r="N240">
        <f>IF($B240="","",IF(L240=0,0,M240/L240))</f>
        <v/>
      </c>
    </row>
    <row r="241">
      <c r="A241">
        <f>IF($B241="","",ROW()-5)</f>
        <v/>
      </c>
      <c r="D241">
        <f>IF($B241="","",IF(C241="","",TEXT(C241,"MMM")))</f>
        <v/>
      </c>
      <c r="N241">
        <f>IF($B241="","",IF(L241=0,0,M241/L241))</f>
        <v/>
      </c>
    </row>
    <row r="242">
      <c r="A242">
        <f>IF($B242="","",ROW()-5)</f>
        <v/>
      </c>
      <c r="D242">
        <f>IF($B242="","",IF(C242="","",TEXT(C242,"MMM")))</f>
        <v/>
      </c>
      <c r="N242">
        <f>IF($B242="","",IF(L242=0,0,M242/L242))</f>
        <v/>
      </c>
    </row>
    <row r="243">
      <c r="A243">
        <f>IF($B243="","",ROW()-5)</f>
        <v/>
      </c>
      <c r="D243">
        <f>IF($B243="","",IF(C243="","",TEXT(C243,"MMM")))</f>
        <v/>
      </c>
      <c r="N243">
        <f>IF($B243="","",IF(L243=0,0,M243/L243))</f>
        <v/>
      </c>
    </row>
    <row r="244">
      <c r="A244">
        <f>IF($B244="","",ROW()-5)</f>
        <v/>
      </c>
      <c r="D244">
        <f>IF($B244="","",IF(C244="","",TEXT(C244,"MMM")))</f>
        <v/>
      </c>
      <c r="N244">
        <f>IF($B244="","",IF(L244=0,0,M244/L244))</f>
        <v/>
      </c>
    </row>
    <row r="245">
      <c r="A245">
        <f>IF($B245="","",ROW()-5)</f>
        <v/>
      </c>
      <c r="D245">
        <f>IF($B245="","",IF(C245="","",TEXT(C245,"MMM")))</f>
        <v/>
      </c>
      <c r="N245">
        <f>IF($B245="","",IF(L245=0,0,M245/L245))</f>
        <v/>
      </c>
    </row>
    <row r="246">
      <c r="A246">
        <f>IF($B246="","",ROW()-5)</f>
        <v/>
      </c>
      <c r="D246">
        <f>IF($B246="","",IF(C246="","",TEXT(C246,"MMM")))</f>
        <v/>
      </c>
      <c r="N246">
        <f>IF($B246="","",IF(L246=0,0,M246/L246))</f>
        <v/>
      </c>
    </row>
    <row r="247">
      <c r="A247">
        <f>IF($B247="","",ROW()-5)</f>
        <v/>
      </c>
      <c r="D247">
        <f>IF($B247="","",IF(C247="","",TEXT(C247,"MMM")))</f>
        <v/>
      </c>
      <c r="N247">
        <f>IF($B247="","",IF(L247=0,0,M247/L247))</f>
        <v/>
      </c>
    </row>
    <row r="248">
      <c r="A248">
        <f>IF($B248="","",ROW()-5)</f>
        <v/>
      </c>
      <c r="D248">
        <f>IF($B248="","",IF(C248="","",TEXT(C248,"MMM")))</f>
        <v/>
      </c>
      <c r="N248">
        <f>IF($B248="","",IF(L248=0,0,M248/L248))</f>
        <v/>
      </c>
    </row>
    <row r="249">
      <c r="A249">
        <f>IF($B249="","",ROW()-5)</f>
        <v/>
      </c>
      <c r="D249">
        <f>IF($B249="","",IF(C249="","",TEXT(C249,"MMM")))</f>
        <v/>
      </c>
      <c r="N249">
        <f>IF($B249="","",IF(L249=0,0,M249/L249))</f>
        <v/>
      </c>
    </row>
    <row r="250">
      <c r="A250">
        <f>IF($B250="","",ROW()-5)</f>
        <v/>
      </c>
      <c r="D250">
        <f>IF($B250="","",IF(C250="","",TEXT(C250,"MMM")))</f>
        <v/>
      </c>
      <c r="N250">
        <f>IF($B250="","",IF(L250=0,0,M250/L250))</f>
        <v/>
      </c>
    </row>
    <row r="251">
      <c r="A251">
        <f>IF($B251="","",ROW()-5)</f>
        <v/>
      </c>
      <c r="D251">
        <f>IF($B251="","",IF(C251="","",TEXT(C251,"MMM")))</f>
        <v/>
      </c>
      <c r="N251">
        <f>IF($B251="","",IF(L251=0,0,M251/L251))</f>
        <v/>
      </c>
    </row>
    <row r="252">
      <c r="A252">
        <f>IF($B252="","",ROW()-5)</f>
        <v/>
      </c>
      <c r="D252">
        <f>IF($B252="","",IF(C252="","",TEXT(C252,"MMM")))</f>
        <v/>
      </c>
      <c r="N252">
        <f>IF($B252="","",IF(L252=0,0,M252/L252))</f>
        <v/>
      </c>
    </row>
    <row r="253">
      <c r="A253">
        <f>IF($B253="","",ROW()-5)</f>
        <v/>
      </c>
      <c r="D253">
        <f>IF($B253="","",IF(C253="","",TEXT(C253,"MMM")))</f>
        <v/>
      </c>
      <c r="N253">
        <f>IF($B253="","",IF(L253=0,0,M253/L253))</f>
        <v/>
      </c>
    </row>
    <row r="254">
      <c r="A254">
        <f>IF($B254="","",ROW()-5)</f>
        <v/>
      </c>
      <c r="D254">
        <f>IF($B254="","",IF(C254="","",TEXT(C254,"MMM")))</f>
        <v/>
      </c>
      <c r="N254">
        <f>IF($B254="","",IF(L254=0,0,M254/L254))</f>
        <v/>
      </c>
    </row>
    <row r="255">
      <c r="A255">
        <f>IF($B255="","",ROW()-5)</f>
        <v/>
      </c>
      <c r="D255">
        <f>IF($B255="","",IF(C255="","",TEXT(C255,"MMM")))</f>
        <v/>
      </c>
      <c r="N255">
        <f>IF($B255="","",IF(L255=0,0,M255/L255))</f>
        <v/>
      </c>
    </row>
    <row r="256">
      <c r="A256">
        <f>IF($B256="","",ROW()-5)</f>
        <v/>
      </c>
      <c r="D256">
        <f>IF($B256="","",IF(C256="","",TEXT(C256,"MMM")))</f>
        <v/>
      </c>
      <c r="N256">
        <f>IF($B256="","",IF(L256=0,0,M256/L256))</f>
        <v/>
      </c>
    </row>
    <row r="257">
      <c r="A257">
        <f>IF($B257="","",ROW()-5)</f>
        <v/>
      </c>
      <c r="D257">
        <f>IF($B257="","",IF(C257="","",TEXT(C257,"MMM")))</f>
        <v/>
      </c>
      <c r="N257">
        <f>IF($B257="","",IF(L257=0,0,M257/L257))</f>
        <v/>
      </c>
    </row>
    <row r="258">
      <c r="A258">
        <f>IF($B258="","",ROW()-5)</f>
        <v/>
      </c>
      <c r="D258">
        <f>IF($B258="","",IF(C258="","",TEXT(C258,"MMM")))</f>
        <v/>
      </c>
      <c r="N258">
        <f>IF($B258="","",IF(L258=0,0,M258/L258))</f>
        <v/>
      </c>
    </row>
    <row r="259">
      <c r="A259">
        <f>IF($B259="","",ROW()-5)</f>
        <v/>
      </c>
      <c r="D259">
        <f>IF($B259="","",IF(C259="","",TEXT(C259,"MMM")))</f>
        <v/>
      </c>
      <c r="N259">
        <f>IF($B259="","",IF(L259=0,0,M259/L259))</f>
        <v/>
      </c>
    </row>
    <row r="260">
      <c r="A260">
        <f>IF($B260="","",ROW()-5)</f>
        <v/>
      </c>
      <c r="D260">
        <f>IF($B260="","",IF(C260="","",TEXT(C260,"MMM")))</f>
        <v/>
      </c>
      <c r="N260">
        <f>IF($B260="","",IF(L260=0,0,M260/L260))</f>
        <v/>
      </c>
    </row>
    <row r="261">
      <c r="A261">
        <f>IF($B261="","",ROW()-5)</f>
        <v/>
      </c>
      <c r="D261">
        <f>IF($B261="","",IF(C261="","",TEXT(C261,"MMM")))</f>
        <v/>
      </c>
      <c r="N261">
        <f>IF($B261="","",IF(L261=0,0,M261/L261))</f>
        <v/>
      </c>
    </row>
    <row r="262">
      <c r="A262">
        <f>IF($B262="","",ROW()-5)</f>
        <v/>
      </c>
      <c r="D262">
        <f>IF($B262="","",IF(C262="","",TEXT(C262,"MMM")))</f>
        <v/>
      </c>
      <c r="N262">
        <f>IF($B262="","",IF(L262=0,0,M262/L262))</f>
        <v/>
      </c>
    </row>
    <row r="263">
      <c r="A263">
        <f>IF($B263="","",ROW()-5)</f>
        <v/>
      </c>
      <c r="D263">
        <f>IF($B263="","",IF(C263="","",TEXT(C263,"MMM")))</f>
        <v/>
      </c>
      <c r="N263">
        <f>IF($B263="","",IF(L263=0,0,M263/L263))</f>
        <v/>
      </c>
    </row>
    <row r="264">
      <c r="A264">
        <f>IF($B264="","",ROW()-5)</f>
        <v/>
      </c>
      <c r="D264">
        <f>IF($B264="","",IF(C264="","",TEXT(C264,"MMM")))</f>
        <v/>
      </c>
      <c r="N264">
        <f>IF($B264="","",IF(L264=0,0,M264/L264))</f>
        <v/>
      </c>
    </row>
    <row r="265">
      <c r="A265">
        <f>IF($B265="","",ROW()-5)</f>
        <v/>
      </c>
      <c r="D265">
        <f>IF($B265="","",IF(C265="","",TEXT(C265,"MMM")))</f>
        <v/>
      </c>
      <c r="N265">
        <f>IF($B265="","",IF(L265=0,0,M265/L265))</f>
        <v/>
      </c>
    </row>
    <row r="266">
      <c r="A266">
        <f>IF($B266="","",ROW()-5)</f>
        <v/>
      </c>
      <c r="D266">
        <f>IF($B266="","",IF(C266="","",TEXT(C266,"MMM")))</f>
        <v/>
      </c>
      <c r="N266">
        <f>IF($B266="","",IF(L266=0,0,M266/L266))</f>
        <v/>
      </c>
    </row>
    <row r="267">
      <c r="A267">
        <f>IF($B267="","",ROW()-5)</f>
        <v/>
      </c>
      <c r="D267">
        <f>IF($B267="","",IF(C267="","",TEXT(C267,"MMM")))</f>
        <v/>
      </c>
      <c r="N267">
        <f>IF($B267="","",IF(L267=0,0,M267/L267))</f>
        <v/>
      </c>
    </row>
    <row r="268">
      <c r="A268">
        <f>IF($B268="","",ROW()-5)</f>
        <v/>
      </c>
      <c r="D268">
        <f>IF($B268="","",IF(C268="","",TEXT(C268,"MMM")))</f>
        <v/>
      </c>
      <c r="N268">
        <f>IF($B268="","",IF(L268=0,0,M268/L268))</f>
        <v/>
      </c>
    </row>
    <row r="269">
      <c r="A269">
        <f>IF($B269="","",ROW()-5)</f>
        <v/>
      </c>
      <c r="D269">
        <f>IF($B269="","",IF(C269="","",TEXT(C269,"MMM")))</f>
        <v/>
      </c>
      <c r="N269">
        <f>IF($B269="","",IF(L269=0,0,M269/L269))</f>
        <v/>
      </c>
    </row>
    <row r="270">
      <c r="A270">
        <f>IF($B270="","",ROW()-5)</f>
        <v/>
      </c>
      <c r="D270">
        <f>IF($B270="","",IF(C270="","",TEXT(C270,"MMM")))</f>
        <v/>
      </c>
      <c r="N270">
        <f>IF($B270="","",IF(L270=0,0,M270/L270))</f>
        <v/>
      </c>
    </row>
    <row r="271">
      <c r="A271">
        <f>IF($B271="","",ROW()-5)</f>
        <v/>
      </c>
      <c r="D271">
        <f>IF($B271="","",IF(C271="","",TEXT(C271,"MMM")))</f>
        <v/>
      </c>
      <c r="N271">
        <f>IF($B271="","",IF(L271=0,0,M271/L271))</f>
        <v/>
      </c>
    </row>
    <row r="272">
      <c r="A272">
        <f>IF($B272="","",ROW()-5)</f>
        <v/>
      </c>
      <c r="D272">
        <f>IF($B272="","",IF(C272="","",TEXT(C272,"MMM")))</f>
        <v/>
      </c>
      <c r="N272">
        <f>IF($B272="","",IF(L272=0,0,M272/L272))</f>
        <v/>
      </c>
    </row>
    <row r="273">
      <c r="A273">
        <f>IF($B273="","",ROW()-5)</f>
        <v/>
      </c>
      <c r="D273">
        <f>IF($B273="","",IF(C273="","",TEXT(C273,"MMM")))</f>
        <v/>
      </c>
      <c r="N273">
        <f>IF($B273="","",IF(L273=0,0,M273/L273))</f>
        <v/>
      </c>
    </row>
    <row r="274">
      <c r="A274">
        <f>IF($B274="","",ROW()-5)</f>
        <v/>
      </c>
      <c r="D274">
        <f>IF($B274="","",IF(C274="","",TEXT(C274,"MMM")))</f>
        <v/>
      </c>
      <c r="N274">
        <f>IF($B274="","",IF(L274=0,0,M274/L274))</f>
        <v/>
      </c>
    </row>
    <row r="275">
      <c r="A275">
        <f>IF($B275="","",ROW()-5)</f>
        <v/>
      </c>
      <c r="D275">
        <f>IF($B275="","",IF(C275="","",TEXT(C275,"MMM")))</f>
        <v/>
      </c>
      <c r="N275">
        <f>IF($B275="","",IF(L275=0,0,M275/L275))</f>
        <v/>
      </c>
    </row>
    <row r="276">
      <c r="A276">
        <f>IF($B276="","",ROW()-5)</f>
        <v/>
      </c>
      <c r="D276">
        <f>IF($B276="","",IF(C276="","",TEXT(C276,"MMM")))</f>
        <v/>
      </c>
      <c r="N276">
        <f>IF($B276="","",IF(L276=0,0,M276/L276))</f>
        <v/>
      </c>
    </row>
    <row r="277">
      <c r="A277">
        <f>IF($B277="","",ROW()-5)</f>
        <v/>
      </c>
      <c r="D277">
        <f>IF($B277="","",IF(C277="","",TEXT(C277,"MMM")))</f>
        <v/>
      </c>
      <c r="N277">
        <f>IF($B277="","",IF(L277=0,0,M277/L277))</f>
        <v/>
      </c>
    </row>
    <row r="278">
      <c r="A278">
        <f>IF($B278="","",ROW()-5)</f>
        <v/>
      </c>
      <c r="D278">
        <f>IF($B278="","",IF(C278="","",TEXT(C278,"MMM")))</f>
        <v/>
      </c>
      <c r="N278">
        <f>IF($B278="","",IF(L278=0,0,M278/L278))</f>
        <v/>
      </c>
    </row>
    <row r="279">
      <c r="A279">
        <f>IF($B279="","",ROW()-5)</f>
        <v/>
      </c>
      <c r="D279">
        <f>IF($B279="","",IF(C279="","",TEXT(C279,"MMM")))</f>
        <v/>
      </c>
      <c r="N279">
        <f>IF($B279="","",IF(L279=0,0,M279/L279))</f>
        <v/>
      </c>
    </row>
    <row r="280">
      <c r="A280">
        <f>IF($B280="","",ROW()-5)</f>
        <v/>
      </c>
      <c r="D280">
        <f>IF($B280="","",IF(C280="","",TEXT(C280,"MMM")))</f>
        <v/>
      </c>
      <c r="N280">
        <f>IF($B280="","",IF(L280=0,0,M280/L280))</f>
        <v/>
      </c>
    </row>
    <row r="281">
      <c r="A281">
        <f>IF($B281="","",ROW()-5)</f>
        <v/>
      </c>
      <c r="D281">
        <f>IF($B281="","",IF(C281="","",TEXT(C281,"MMM")))</f>
        <v/>
      </c>
      <c r="N281">
        <f>IF($B281="","",IF(L281=0,0,M281/L281))</f>
        <v/>
      </c>
    </row>
    <row r="282">
      <c r="A282">
        <f>IF($B282="","",ROW()-5)</f>
        <v/>
      </c>
      <c r="D282">
        <f>IF($B282="","",IF(C282="","",TEXT(C282,"MMM")))</f>
        <v/>
      </c>
      <c r="N282">
        <f>IF($B282="","",IF(L282=0,0,M282/L282))</f>
        <v/>
      </c>
    </row>
    <row r="283">
      <c r="A283">
        <f>IF($B283="","",ROW()-5)</f>
        <v/>
      </c>
      <c r="D283">
        <f>IF($B283="","",IF(C283="","",TEXT(C283,"MMM")))</f>
        <v/>
      </c>
      <c r="N283">
        <f>IF($B283="","",IF(L283=0,0,M283/L283))</f>
        <v/>
      </c>
    </row>
    <row r="284">
      <c r="A284">
        <f>IF($B284="","",ROW()-5)</f>
        <v/>
      </c>
      <c r="D284">
        <f>IF($B284="","",IF(C284="","",TEXT(C284,"MMM")))</f>
        <v/>
      </c>
      <c r="N284">
        <f>IF($B284="","",IF(L284=0,0,M284/L284))</f>
        <v/>
      </c>
    </row>
    <row r="285">
      <c r="A285">
        <f>IF($B285="","",ROW()-5)</f>
        <v/>
      </c>
      <c r="D285">
        <f>IF($B285="","",IF(C285="","",TEXT(C285,"MMM")))</f>
        <v/>
      </c>
      <c r="N285">
        <f>IF($B285="","",IF(L285=0,0,M285/L285))</f>
        <v/>
      </c>
    </row>
    <row r="286">
      <c r="A286">
        <f>IF($B286="","",ROW()-5)</f>
        <v/>
      </c>
      <c r="D286">
        <f>IF($B286="","",IF(C286="","",TEXT(C286,"MMM")))</f>
        <v/>
      </c>
      <c r="N286">
        <f>IF($B286="","",IF(L286=0,0,M286/L286))</f>
        <v/>
      </c>
    </row>
    <row r="287">
      <c r="A287">
        <f>IF($B287="","",ROW()-5)</f>
        <v/>
      </c>
      <c r="D287">
        <f>IF($B287="","",IF(C287="","",TEXT(C287,"MMM")))</f>
        <v/>
      </c>
      <c r="N287">
        <f>IF($B287="","",IF(L287=0,0,M287/L287))</f>
        <v/>
      </c>
    </row>
    <row r="288">
      <c r="A288">
        <f>IF($B288="","",ROW()-5)</f>
        <v/>
      </c>
      <c r="D288">
        <f>IF($B288="","",IF(C288="","",TEXT(C288,"MMM")))</f>
        <v/>
      </c>
      <c r="N288">
        <f>IF($B288="","",IF(L288=0,0,M288/L288))</f>
        <v/>
      </c>
    </row>
    <row r="289">
      <c r="A289">
        <f>IF($B289="","",ROW()-5)</f>
        <v/>
      </c>
      <c r="D289">
        <f>IF($B289="","",IF(C289="","",TEXT(C289,"MMM")))</f>
        <v/>
      </c>
      <c r="N289">
        <f>IF($B289="","",IF(L289=0,0,M289/L289))</f>
        <v/>
      </c>
    </row>
    <row r="290">
      <c r="A290">
        <f>IF($B290="","",ROW()-5)</f>
        <v/>
      </c>
      <c r="D290">
        <f>IF($B290="","",IF(C290="","",TEXT(C290,"MMM")))</f>
        <v/>
      </c>
      <c r="N290">
        <f>IF($B290="","",IF(L290=0,0,M290/L290))</f>
        <v/>
      </c>
    </row>
    <row r="291">
      <c r="A291">
        <f>IF($B291="","",ROW()-5)</f>
        <v/>
      </c>
      <c r="D291">
        <f>IF($B291="","",IF(C291="","",TEXT(C291,"MMM")))</f>
        <v/>
      </c>
      <c r="N291">
        <f>IF($B291="","",IF(L291=0,0,M291/L291))</f>
        <v/>
      </c>
    </row>
    <row r="292">
      <c r="A292">
        <f>IF($B292="","",ROW()-5)</f>
        <v/>
      </c>
      <c r="D292">
        <f>IF($B292="","",IF(C292="","",TEXT(C292,"MMM")))</f>
        <v/>
      </c>
      <c r="N292">
        <f>IF($B292="","",IF(L292=0,0,M292/L292))</f>
        <v/>
      </c>
    </row>
    <row r="293">
      <c r="A293">
        <f>IF($B293="","",ROW()-5)</f>
        <v/>
      </c>
      <c r="D293">
        <f>IF($B293="","",IF(C293="","",TEXT(C293,"MMM")))</f>
        <v/>
      </c>
      <c r="N293">
        <f>IF($B293="","",IF(L293=0,0,M293/L293))</f>
        <v/>
      </c>
    </row>
    <row r="294">
      <c r="A294">
        <f>IF($B294="","",ROW()-5)</f>
        <v/>
      </c>
      <c r="D294">
        <f>IF($B294="","",IF(C294="","",TEXT(C294,"MMM")))</f>
        <v/>
      </c>
      <c r="N294">
        <f>IF($B294="","",IF(L294=0,0,M294/L294))</f>
        <v/>
      </c>
    </row>
    <row r="295">
      <c r="A295">
        <f>IF($B295="","",ROW()-5)</f>
        <v/>
      </c>
      <c r="D295">
        <f>IF($B295="","",IF(C295="","",TEXT(C295,"MMM")))</f>
        <v/>
      </c>
      <c r="N295">
        <f>IF($B295="","",IF(L295=0,0,M295/L295))</f>
        <v/>
      </c>
    </row>
    <row r="296">
      <c r="A296">
        <f>IF($B296="","",ROW()-5)</f>
        <v/>
      </c>
      <c r="D296">
        <f>IF($B296="","",IF(C296="","",TEXT(C296,"MMM")))</f>
        <v/>
      </c>
      <c r="N296">
        <f>IF($B296="","",IF(L296=0,0,M296/L296))</f>
        <v/>
      </c>
    </row>
    <row r="297">
      <c r="A297">
        <f>IF($B297="","",ROW()-5)</f>
        <v/>
      </c>
      <c r="D297">
        <f>IF($B297="","",IF(C297="","",TEXT(C297,"MMM")))</f>
        <v/>
      </c>
      <c r="N297">
        <f>IF($B297="","",IF(L297=0,0,M297/L297))</f>
        <v/>
      </c>
    </row>
    <row r="298">
      <c r="A298">
        <f>IF($B298="","",ROW()-5)</f>
        <v/>
      </c>
      <c r="D298">
        <f>IF($B298="","",IF(C298="","",TEXT(C298,"MMM")))</f>
        <v/>
      </c>
      <c r="N298">
        <f>IF($B298="","",IF(L298=0,0,M298/L298))</f>
        <v/>
      </c>
    </row>
    <row r="299">
      <c r="A299">
        <f>IF($B299="","",ROW()-5)</f>
        <v/>
      </c>
      <c r="D299">
        <f>IF($B299="","",IF(C299="","",TEXT(C299,"MMM")))</f>
        <v/>
      </c>
      <c r="N299">
        <f>IF($B299="","",IF(L299=0,0,M299/L299))</f>
        <v/>
      </c>
    </row>
    <row r="300">
      <c r="A300">
        <f>IF($B300="","",ROW()-5)</f>
        <v/>
      </c>
      <c r="D300">
        <f>IF($B300="","",IF(C300="","",TEXT(C300,"MMM")))</f>
        <v/>
      </c>
      <c r="N300">
        <f>IF($B300="","",IF(L300=0,0,M300/L300))</f>
        <v/>
      </c>
    </row>
    <row r="301">
      <c r="A301">
        <f>IF($B301="","",ROW()-5)</f>
        <v/>
      </c>
      <c r="D301">
        <f>IF($B301="","",IF(C301="","",TEXT(C301,"MMM")))</f>
        <v/>
      </c>
      <c r="N301">
        <f>IF($B301="","",IF(L301=0,0,M301/L301))</f>
        <v/>
      </c>
    </row>
    <row r="302">
      <c r="A302">
        <f>IF($B302="","",ROW()-5)</f>
        <v/>
      </c>
      <c r="D302">
        <f>IF($B302="","",IF(C302="","",TEXT(C302,"MMM")))</f>
        <v/>
      </c>
      <c r="N302">
        <f>IF($B302="","",IF(L302=0,0,M302/L302))</f>
        <v/>
      </c>
    </row>
    <row r="303">
      <c r="A303">
        <f>IF($B303="","",ROW()-5)</f>
        <v/>
      </c>
      <c r="D303">
        <f>IF($B303="","",IF(C303="","",TEXT(C303,"MMM")))</f>
        <v/>
      </c>
      <c r="N303">
        <f>IF($B303="","",IF(L303=0,0,M303/L303))</f>
        <v/>
      </c>
    </row>
    <row r="304">
      <c r="A304">
        <f>IF($B304="","",ROW()-5)</f>
        <v/>
      </c>
      <c r="D304">
        <f>IF($B304="","",IF(C304="","",TEXT(C304,"MMM")))</f>
        <v/>
      </c>
      <c r="N304">
        <f>IF($B304="","",IF(L304=0,0,M304/L304))</f>
        <v/>
      </c>
    </row>
    <row r="305">
      <c r="A305">
        <f>IF($B305="","",ROW()-5)</f>
        <v/>
      </c>
      <c r="D305">
        <f>IF($B305="","",IF(C305="","",TEXT(C305,"MMM")))</f>
        <v/>
      </c>
      <c r="N305">
        <f>IF($B305="","",IF(L305=0,0,M305/L305))</f>
        <v/>
      </c>
    </row>
    <row r="306">
      <c r="A306">
        <f>IF($B306="","",ROW()-5)</f>
        <v/>
      </c>
      <c r="D306">
        <f>IF($B306="","",IF(C306="","",TEXT(C306,"MMM")))</f>
        <v/>
      </c>
      <c r="N306">
        <f>IF($B306="","",IF(L306=0,0,M306/L306))</f>
        <v/>
      </c>
    </row>
    <row r="307">
      <c r="A307">
        <f>IF($B307="","",ROW()-5)</f>
        <v/>
      </c>
      <c r="D307">
        <f>IF($B307="","",IF(C307="","",TEXT(C307,"MMM")))</f>
        <v/>
      </c>
      <c r="N307">
        <f>IF($B307="","",IF(L307=0,0,M307/L307))</f>
        <v/>
      </c>
    </row>
    <row r="308">
      <c r="A308">
        <f>IF($B308="","",ROW()-5)</f>
        <v/>
      </c>
      <c r="D308">
        <f>IF($B308="","",IF(C308="","",TEXT(C308,"MMM")))</f>
        <v/>
      </c>
      <c r="N308">
        <f>IF($B308="","",IF(L308=0,0,M308/L308))</f>
        <v/>
      </c>
    </row>
    <row r="309">
      <c r="A309">
        <f>IF($B309="","",ROW()-5)</f>
        <v/>
      </c>
      <c r="D309">
        <f>IF($B309="","",IF(C309="","",TEXT(C309,"MMM")))</f>
        <v/>
      </c>
      <c r="N309">
        <f>IF($B309="","",IF(L309=0,0,M309/L309))</f>
        <v/>
      </c>
    </row>
    <row r="310">
      <c r="A310">
        <f>IF($B310="","",ROW()-5)</f>
        <v/>
      </c>
      <c r="D310">
        <f>IF($B310="","",IF(C310="","",TEXT(C310,"MMM")))</f>
        <v/>
      </c>
      <c r="N310">
        <f>IF($B310="","",IF(L310=0,0,M310/L310))</f>
        <v/>
      </c>
    </row>
    <row r="311">
      <c r="A311">
        <f>IF($B311="","",ROW()-5)</f>
        <v/>
      </c>
      <c r="D311">
        <f>IF($B311="","",IF(C311="","",TEXT(C311,"MMM")))</f>
        <v/>
      </c>
      <c r="N311">
        <f>IF($B311="","",IF(L311=0,0,M311/L311))</f>
        <v/>
      </c>
    </row>
    <row r="312">
      <c r="A312">
        <f>IF($B312="","",ROW()-5)</f>
        <v/>
      </c>
      <c r="D312">
        <f>IF($B312="","",IF(C312="","",TEXT(C312,"MMM")))</f>
        <v/>
      </c>
      <c r="N312">
        <f>IF($B312="","",IF(L312=0,0,M312/L312))</f>
        <v/>
      </c>
    </row>
    <row r="313">
      <c r="A313">
        <f>IF($B313="","",ROW()-5)</f>
        <v/>
      </c>
      <c r="D313">
        <f>IF($B313="","",IF(C313="","",TEXT(C313,"MMM")))</f>
        <v/>
      </c>
      <c r="N313">
        <f>IF($B313="","",IF(L313=0,0,M313/L313))</f>
        <v/>
      </c>
    </row>
    <row r="314">
      <c r="A314">
        <f>IF($B314="","",ROW()-5)</f>
        <v/>
      </c>
      <c r="D314">
        <f>IF($B314="","",IF(C314="","",TEXT(C314,"MMM")))</f>
        <v/>
      </c>
      <c r="N314">
        <f>IF($B314="","",IF(L314=0,0,M314/L314))</f>
        <v/>
      </c>
    </row>
    <row r="315">
      <c r="A315">
        <f>IF($B315="","",ROW()-5)</f>
        <v/>
      </c>
      <c r="D315">
        <f>IF($B315="","",IF(C315="","",TEXT(C315,"MMM")))</f>
        <v/>
      </c>
      <c r="N315">
        <f>IF($B315="","",IF(L315=0,0,M315/L315))</f>
        <v/>
      </c>
    </row>
    <row r="316">
      <c r="A316">
        <f>IF($B316="","",ROW()-5)</f>
        <v/>
      </c>
      <c r="D316">
        <f>IF($B316="","",IF(C316="","",TEXT(C316,"MMM")))</f>
        <v/>
      </c>
      <c r="N316">
        <f>IF($B316="","",IF(L316=0,0,M316/L316))</f>
        <v/>
      </c>
    </row>
    <row r="317">
      <c r="A317">
        <f>IF($B317="","",ROW()-5)</f>
        <v/>
      </c>
      <c r="D317">
        <f>IF($B317="","",IF(C317="","",TEXT(C317,"MMM")))</f>
        <v/>
      </c>
      <c r="N317">
        <f>IF($B317="","",IF(L317=0,0,M317/L317))</f>
        <v/>
      </c>
    </row>
    <row r="318">
      <c r="A318">
        <f>IF($B318="","",ROW()-5)</f>
        <v/>
      </c>
      <c r="D318">
        <f>IF($B318="","",IF(C318="","",TEXT(C318,"MMM")))</f>
        <v/>
      </c>
      <c r="N318">
        <f>IF($B318="","",IF(L318=0,0,M318/L318))</f>
        <v/>
      </c>
    </row>
    <row r="319">
      <c r="A319">
        <f>IF($B319="","",ROW()-5)</f>
        <v/>
      </c>
      <c r="D319">
        <f>IF($B319="","",IF(C319="","",TEXT(C319,"MMM")))</f>
        <v/>
      </c>
      <c r="N319">
        <f>IF($B319="","",IF(L319=0,0,M319/L319))</f>
        <v/>
      </c>
    </row>
    <row r="320">
      <c r="A320">
        <f>IF($B320="","",ROW()-5)</f>
        <v/>
      </c>
      <c r="D320">
        <f>IF($B320="","",IF(C320="","",TEXT(C320,"MMM")))</f>
        <v/>
      </c>
      <c r="N320">
        <f>IF($B320="","",IF(L320=0,0,M320/L320))</f>
        <v/>
      </c>
    </row>
    <row r="321">
      <c r="A321">
        <f>IF($B321="","",ROW()-5)</f>
        <v/>
      </c>
      <c r="D321">
        <f>IF($B321="","",IF(C321="","",TEXT(C321,"MMM")))</f>
        <v/>
      </c>
      <c r="N321">
        <f>IF($B321="","",IF(L321=0,0,M321/L321))</f>
        <v/>
      </c>
    </row>
    <row r="322">
      <c r="A322">
        <f>IF($B322="","",ROW()-5)</f>
        <v/>
      </c>
      <c r="D322">
        <f>IF($B322="","",IF(C322="","",TEXT(C322,"MMM")))</f>
        <v/>
      </c>
      <c r="N322">
        <f>IF($B322="","",IF(L322=0,0,M322/L322))</f>
        <v/>
      </c>
    </row>
    <row r="323">
      <c r="A323">
        <f>IF($B323="","",ROW()-5)</f>
        <v/>
      </c>
      <c r="D323">
        <f>IF($B323="","",IF(C323="","",TEXT(C323,"MMM")))</f>
        <v/>
      </c>
      <c r="N323">
        <f>IF($B323="","",IF(L323=0,0,M323/L323))</f>
        <v/>
      </c>
    </row>
    <row r="324">
      <c r="A324">
        <f>IF($B324="","",ROW()-5)</f>
        <v/>
      </c>
      <c r="D324">
        <f>IF($B324="","",IF(C324="","",TEXT(C324,"MMM")))</f>
        <v/>
      </c>
      <c r="N324">
        <f>IF($B324="","",IF(L324=0,0,M324/L324))</f>
        <v/>
      </c>
    </row>
    <row r="325">
      <c r="A325">
        <f>IF($B325="","",ROW()-5)</f>
        <v/>
      </c>
      <c r="D325">
        <f>IF($B325="","",IF(C325="","",TEXT(C325,"MMM")))</f>
        <v/>
      </c>
      <c r="N325">
        <f>IF($B325="","",IF(L325=0,0,M325/L325))</f>
        <v/>
      </c>
    </row>
    <row r="326">
      <c r="A326">
        <f>IF($B326="","",ROW()-5)</f>
        <v/>
      </c>
      <c r="D326">
        <f>IF($B326="","",IF(C326="","",TEXT(C326,"MMM")))</f>
        <v/>
      </c>
      <c r="N326">
        <f>IF($B326="","",IF(L326=0,0,M326/L326))</f>
        <v/>
      </c>
    </row>
    <row r="327">
      <c r="A327">
        <f>IF($B327="","",ROW()-5)</f>
        <v/>
      </c>
      <c r="D327">
        <f>IF($B327="","",IF(C327="","",TEXT(C327,"MMM")))</f>
        <v/>
      </c>
      <c r="N327">
        <f>IF($B327="","",IF(L327=0,0,M327/L327))</f>
        <v/>
      </c>
    </row>
    <row r="328">
      <c r="A328">
        <f>IF($B328="","",ROW()-5)</f>
        <v/>
      </c>
      <c r="D328">
        <f>IF($B328="","",IF(C328="","",TEXT(C328,"MMM")))</f>
        <v/>
      </c>
      <c r="N328">
        <f>IF($B328="","",IF(L328=0,0,M328/L328))</f>
        <v/>
      </c>
    </row>
    <row r="329">
      <c r="A329">
        <f>IF($B329="","",ROW()-5)</f>
        <v/>
      </c>
      <c r="D329">
        <f>IF($B329="","",IF(C329="","",TEXT(C329,"MMM")))</f>
        <v/>
      </c>
      <c r="N329">
        <f>IF($B329="","",IF(L329=0,0,M329/L329))</f>
        <v/>
      </c>
    </row>
    <row r="330">
      <c r="A330">
        <f>IF($B330="","",ROW()-5)</f>
        <v/>
      </c>
      <c r="D330">
        <f>IF($B330="","",IF(C330="","",TEXT(C330,"MMM")))</f>
        <v/>
      </c>
      <c r="N330">
        <f>IF($B330="","",IF(L330=0,0,M330/L330))</f>
        <v/>
      </c>
    </row>
    <row r="331">
      <c r="A331">
        <f>IF($B331="","",ROW()-5)</f>
        <v/>
      </c>
      <c r="D331">
        <f>IF($B331="","",IF(C331="","",TEXT(C331,"MMM")))</f>
        <v/>
      </c>
      <c r="N331">
        <f>IF($B331="","",IF(L331=0,0,M331/L331))</f>
        <v/>
      </c>
    </row>
    <row r="332">
      <c r="A332">
        <f>IF($B332="","",ROW()-5)</f>
        <v/>
      </c>
      <c r="D332">
        <f>IF($B332="","",IF(C332="","",TEXT(C332,"MMM")))</f>
        <v/>
      </c>
      <c r="N332">
        <f>IF($B332="","",IF(L332=0,0,M332/L332))</f>
        <v/>
      </c>
    </row>
    <row r="333">
      <c r="A333">
        <f>IF($B333="","",ROW()-5)</f>
        <v/>
      </c>
      <c r="D333">
        <f>IF($B333="","",IF(C333="","",TEXT(C333,"MMM")))</f>
        <v/>
      </c>
      <c r="N333">
        <f>IF($B333="","",IF(L333=0,0,M333/L333))</f>
        <v/>
      </c>
    </row>
    <row r="334">
      <c r="A334">
        <f>IF($B334="","",ROW()-5)</f>
        <v/>
      </c>
      <c r="D334">
        <f>IF($B334="","",IF(C334="","",TEXT(C334,"MMM")))</f>
        <v/>
      </c>
      <c r="N334">
        <f>IF($B334="","",IF(L334=0,0,M334/L334))</f>
        <v/>
      </c>
    </row>
    <row r="335">
      <c r="A335">
        <f>IF($B335="","",ROW()-5)</f>
        <v/>
      </c>
      <c r="D335">
        <f>IF($B335="","",IF(C335="","",TEXT(C335,"MMM")))</f>
        <v/>
      </c>
      <c r="N335">
        <f>IF($B335="","",IF(L335=0,0,M335/L335))</f>
        <v/>
      </c>
    </row>
    <row r="336">
      <c r="A336">
        <f>IF($B336="","",ROW()-5)</f>
        <v/>
      </c>
      <c r="D336">
        <f>IF($B336="","",IF(C336="","",TEXT(C336,"MMM")))</f>
        <v/>
      </c>
      <c r="N336">
        <f>IF($B336="","",IF(L336=0,0,M336/L336))</f>
        <v/>
      </c>
    </row>
    <row r="337">
      <c r="A337">
        <f>IF($B337="","",ROW()-5)</f>
        <v/>
      </c>
      <c r="D337">
        <f>IF($B337="","",IF(C337="","",TEXT(C337,"MMM")))</f>
        <v/>
      </c>
      <c r="N337">
        <f>IF($B337="","",IF(L337=0,0,M337/L337))</f>
        <v/>
      </c>
    </row>
    <row r="338">
      <c r="A338">
        <f>IF($B338="","",ROW()-5)</f>
        <v/>
      </c>
      <c r="D338">
        <f>IF($B338="","",IF(C338="","",TEXT(C338,"MMM")))</f>
        <v/>
      </c>
      <c r="N338">
        <f>IF($B338="","",IF(L338=0,0,M338/L338))</f>
        <v/>
      </c>
    </row>
    <row r="339">
      <c r="A339">
        <f>IF($B339="","",ROW()-5)</f>
        <v/>
      </c>
      <c r="D339">
        <f>IF($B339="","",IF(C339="","",TEXT(C339,"MMM")))</f>
        <v/>
      </c>
      <c r="N339">
        <f>IF($B339="","",IF(L339=0,0,M339/L339))</f>
        <v/>
      </c>
    </row>
    <row r="340">
      <c r="A340">
        <f>IF($B340="","",ROW()-5)</f>
        <v/>
      </c>
      <c r="D340">
        <f>IF($B340="","",IF(C340="","",TEXT(C340,"MMM")))</f>
        <v/>
      </c>
      <c r="N340">
        <f>IF($B340="","",IF(L340=0,0,M340/L340))</f>
        <v/>
      </c>
    </row>
    <row r="341">
      <c r="A341">
        <f>IF($B341="","",ROW()-5)</f>
        <v/>
      </c>
      <c r="D341">
        <f>IF($B341="","",IF(C341="","",TEXT(C341,"MMM")))</f>
        <v/>
      </c>
      <c r="N341">
        <f>IF($B341="","",IF(L341=0,0,M341/L341))</f>
        <v/>
      </c>
    </row>
    <row r="342">
      <c r="A342">
        <f>IF($B342="","",ROW()-5)</f>
        <v/>
      </c>
      <c r="D342">
        <f>IF($B342="","",IF(C342="","",TEXT(C342,"MMM")))</f>
        <v/>
      </c>
      <c r="N342">
        <f>IF($B342="","",IF(L342=0,0,M342/L342))</f>
        <v/>
      </c>
    </row>
    <row r="343">
      <c r="A343">
        <f>IF($B343="","",ROW()-5)</f>
        <v/>
      </c>
      <c r="D343">
        <f>IF($B343="","",IF(C343="","",TEXT(C343,"MMM")))</f>
        <v/>
      </c>
      <c r="N343">
        <f>IF($B343="","",IF(L343=0,0,M343/L343))</f>
        <v/>
      </c>
    </row>
    <row r="344">
      <c r="A344">
        <f>IF($B344="","",ROW()-5)</f>
        <v/>
      </c>
      <c r="D344">
        <f>IF($B344="","",IF(C344="","",TEXT(C344,"MMM")))</f>
        <v/>
      </c>
      <c r="N344">
        <f>IF($B344="","",IF(L344=0,0,M344/L344))</f>
        <v/>
      </c>
    </row>
    <row r="345">
      <c r="A345">
        <f>IF($B345="","",ROW()-5)</f>
        <v/>
      </c>
      <c r="D345">
        <f>IF($B345="","",IF(C345="","",TEXT(C345,"MMM")))</f>
        <v/>
      </c>
      <c r="N345">
        <f>IF($B345="","",IF(L345=0,0,M345/L345))</f>
        <v/>
      </c>
    </row>
    <row r="346">
      <c r="A346">
        <f>IF($B346="","",ROW()-5)</f>
        <v/>
      </c>
      <c r="D346">
        <f>IF($B346="","",IF(C346="","",TEXT(C346,"MMM")))</f>
        <v/>
      </c>
      <c r="N346">
        <f>IF($B346="","",IF(L346=0,0,M346/L346))</f>
        <v/>
      </c>
    </row>
    <row r="347">
      <c r="A347">
        <f>IF($B347="","",ROW()-5)</f>
        <v/>
      </c>
      <c r="D347">
        <f>IF($B347="","",IF(C347="","",TEXT(C347,"MMM")))</f>
        <v/>
      </c>
      <c r="N347">
        <f>IF($B347="","",IF(L347=0,0,M347/L347))</f>
        <v/>
      </c>
    </row>
    <row r="348">
      <c r="A348">
        <f>IF($B348="","",ROW()-5)</f>
        <v/>
      </c>
      <c r="D348">
        <f>IF($B348="","",IF(C348="","",TEXT(C348,"MMM")))</f>
        <v/>
      </c>
      <c r="N348">
        <f>IF($B348="","",IF(L348=0,0,M348/L348))</f>
        <v/>
      </c>
    </row>
    <row r="349">
      <c r="A349">
        <f>IF($B349="","",ROW()-5)</f>
        <v/>
      </c>
      <c r="D349">
        <f>IF($B349="","",IF(C349="","",TEXT(C349,"MMM")))</f>
        <v/>
      </c>
      <c r="N349">
        <f>IF($B349="","",IF(L349=0,0,M349/L349))</f>
        <v/>
      </c>
    </row>
    <row r="350">
      <c r="A350">
        <f>IF($B350="","",ROW()-5)</f>
        <v/>
      </c>
      <c r="D350">
        <f>IF($B350="","",IF(C350="","",TEXT(C350,"MMM")))</f>
        <v/>
      </c>
      <c r="N350">
        <f>IF($B350="","",IF(L350=0,0,M350/L350))</f>
        <v/>
      </c>
    </row>
    <row r="351">
      <c r="A351">
        <f>IF($B351="","",ROW()-5)</f>
        <v/>
      </c>
      <c r="D351">
        <f>IF($B351="","",IF(C351="","",TEXT(C351,"MMM")))</f>
        <v/>
      </c>
      <c r="N351">
        <f>IF($B351="","",IF(L351=0,0,M351/L351))</f>
        <v/>
      </c>
    </row>
    <row r="352">
      <c r="A352">
        <f>IF($B352="","",ROW()-5)</f>
        <v/>
      </c>
      <c r="D352">
        <f>IF($B352="","",IF(C352="","",TEXT(C352,"MMM")))</f>
        <v/>
      </c>
      <c r="N352">
        <f>IF($B352="","",IF(L352=0,0,M352/L352))</f>
        <v/>
      </c>
    </row>
    <row r="353">
      <c r="A353">
        <f>IF($B353="","",ROW()-5)</f>
        <v/>
      </c>
      <c r="D353">
        <f>IF($B353="","",IF(C353="","",TEXT(C353,"MMM")))</f>
        <v/>
      </c>
      <c r="N353">
        <f>IF($B353="","",IF(L353=0,0,M353/L353))</f>
        <v/>
      </c>
    </row>
    <row r="354">
      <c r="A354">
        <f>IF($B354="","",ROW()-5)</f>
        <v/>
      </c>
      <c r="D354">
        <f>IF($B354="","",IF(C354="","",TEXT(C354,"MMM")))</f>
        <v/>
      </c>
      <c r="N354">
        <f>IF($B354="","",IF(L354=0,0,M354/L354))</f>
        <v/>
      </c>
    </row>
    <row r="355">
      <c r="A355">
        <f>IF($B355="","",ROW()-5)</f>
        <v/>
      </c>
      <c r="D355">
        <f>IF($B355="","",IF(C355="","",TEXT(C355,"MMM")))</f>
        <v/>
      </c>
      <c r="N355">
        <f>IF($B355="","",IF(L355=0,0,M355/L355))</f>
        <v/>
      </c>
    </row>
    <row r="356">
      <c r="A356">
        <f>IF($B356="","",ROW()-5)</f>
        <v/>
      </c>
      <c r="D356">
        <f>IF($B356="","",IF(C356="","",TEXT(C356,"MMM")))</f>
        <v/>
      </c>
      <c r="N356">
        <f>IF($B356="","",IF(L356=0,0,M356/L356))</f>
        <v/>
      </c>
    </row>
    <row r="357">
      <c r="A357">
        <f>IF($B357="","",ROW()-5)</f>
        <v/>
      </c>
      <c r="D357">
        <f>IF($B357="","",IF(C357="","",TEXT(C357,"MMM")))</f>
        <v/>
      </c>
      <c r="N357">
        <f>IF($B357="","",IF(L357=0,0,M357/L357))</f>
        <v/>
      </c>
    </row>
    <row r="358">
      <c r="A358">
        <f>IF($B358="","",ROW()-5)</f>
        <v/>
      </c>
      <c r="D358">
        <f>IF($B358="","",IF(C358="","",TEXT(C358,"MMM")))</f>
        <v/>
      </c>
      <c r="N358">
        <f>IF($B358="","",IF(L358=0,0,M358/L358))</f>
        <v/>
      </c>
    </row>
    <row r="359">
      <c r="A359">
        <f>IF($B359="","",ROW()-5)</f>
        <v/>
      </c>
      <c r="D359">
        <f>IF($B359="","",IF(C359="","",TEXT(C359,"MMM")))</f>
        <v/>
      </c>
      <c r="N359">
        <f>IF($B359="","",IF(L359=0,0,M359/L359))</f>
        <v/>
      </c>
    </row>
    <row r="360">
      <c r="A360">
        <f>IF($B360="","",ROW()-5)</f>
        <v/>
      </c>
      <c r="D360">
        <f>IF($B360="","",IF(C360="","",TEXT(C360,"MMM")))</f>
        <v/>
      </c>
      <c r="N360">
        <f>IF($B360="","",IF(L360=0,0,M360/L360))</f>
        <v/>
      </c>
    </row>
    <row r="361">
      <c r="A361">
        <f>IF($B361="","",ROW()-5)</f>
        <v/>
      </c>
      <c r="D361">
        <f>IF($B361="","",IF(C361="","",TEXT(C361,"MMM")))</f>
        <v/>
      </c>
      <c r="N361">
        <f>IF($B361="","",IF(L361=0,0,M361/L361))</f>
        <v/>
      </c>
    </row>
    <row r="362">
      <c r="A362">
        <f>IF($B362="","",ROW()-5)</f>
        <v/>
      </c>
      <c r="D362">
        <f>IF($B362="","",IF(C362="","",TEXT(C362,"MMM")))</f>
        <v/>
      </c>
      <c r="N362">
        <f>IF($B362="","",IF(L362=0,0,M362/L362))</f>
        <v/>
      </c>
    </row>
    <row r="363">
      <c r="A363">
        <f>IF($B363="","",ROW()-5)</f>
        <v/>
      </c>
      <c r="D363">
        <f>IF($B363="","",IF(C363="","",TEXT(C363,"MMM")))</f>
        <v/>
      </c>
      <c r="N363">
        <f>IF($B363="","",IF(L363=0,0,M363/L363))</f>
        <v/>
      </c>
    </row>
    <row r="364">
      <c r="A364">
        <f>IF($B364="","",ROW()-5)</f>
        <v/>
      </c>
      <c r="D364">
        <f>IF($B364="","",IF(C364="","",TEXT(C364,"MMM")))</f>
        <v/>
      </c>
      <c r="N364">
        <f>IF($B364="","",IF(L364=0,0,M364/L364))</f>
        <v/>
      </c>
    </row>
    <row r="365">
      <c r="A365">
        <f>IF($B365="","",ROW()-5)</f>
        <v/>
      </c>
      <c r="D365">
        <f>IF($B365="","",IF(C365="","",TEXT(C365,"MMM")))</f>
        <v/>
      </c>
      <c r="N365">
        <f>IF($B365="","",IF(L365=0,0,M365/L365))</f>
        <v/>
      </c>
    </row>
    <row r="366">
      <c r="A366">
        <f>IF($B366="","",ROW()-5)</f>
        <v/>
      </c>
      <c r="D366">
        <f>IF($B366="","",IF(C366="","",TEXT(C366,"MMM")))</f>
        <v/>
      </c>
      <c r="N366">
        <f>IF($B366="","",IF(L366=0,0,M366/L366))</f>
        <v/>
      </c>
    </row>
    <row r="367">
      <c r="A367">
        <f>IF($B367="","",ROW()-5)</f>
        <v/>
      </c>
      <c r="D367">
        <f>IF($B367="","",IF(C367="","",TEXT(C367,"MMM")))</f>
        <v/>
      </c>
      <c r="N367">
        <f>IF($B367="","",IF(L367=0,0,M367/L367))</f>
        <v/>
      </c>
    </row>
    <row r="368">
      <c r="A368">
        <f>IF($B368="","",ROW()-5)</f>
        <v/>
      </c>
      <c r="D368">
        <f>IF($B368="","",IF(C368="","",TEXT(C368,"MMM")))</f>
        <v/>
      </c>
      <c r="N368">
        <f>IF($B368="","",IF(L368=0,0,M368/L368))</f>
        <v/>
      </c>
    </row>
    <row r="369">
      <c r="A369">
        <f>IF($B369="","",ROW()-5)</f>
        <v/>
      </c>
      <c r="D369">
        <f>IF($B369="","",IF(C369="","",TEXT(C369,"MMM")))</f>
        <v/>
      </c>
      <c r="N369">
        <f>IF($B369="","",IF(L369=0,0,M369/L369))</f>
        <v/>
      </c>
    </row>
    <row r="370">
      <c r="A370">
        <f>IF($B370="","",ROW()-5)</f>
        <v/>
      </c>
      <c r="D370">
        <f>IF($B370="","",IF(C370="","",TEXT(C370,"MMM")))</f>
        <v/>
      </c>
      <c r="N370">
        <f>IF($B370="","",IF(L370=0,0,M370/L370))</f>
        <v/>
      </c>
    </row>
    <row r="371">
      <c r="A371">
        <f>IF($B371="","",ROW()-5)</f>
        <v/>
      </c>
      <c r="D371">
        <f>IF($B371="","",IF(C371="","",TEXT(C371,"MMM")))</f>
        <v/>
      </c>
      <c r="N371">
        <f>IF($B371="","",IF(L371=0,0,M371/L371))</f>
        <v/>
      </c>
    </row>
    <row r="372">
      <c r="A372">
        <f>IF($B372="","",ROW()-5)</f>
        <v/>
      </c>
      <c r="D372">
        <f>IF($B372="","",IF(C372="","",TEXT(C372,"MMM")))</f>
        <v/>
      </c>
      <c r="N372">
        <f>IF($B372="","",IF(L372=0,0,M372/L372))</f>
        <v/>
      </c>
    </row>
    <row r="373">
      <c r="A373">
        <f>IF($B373="","",ROW()-5)</f>
        <v/>
      </c>
      <c r="D373">
        <f>IF($B373="","",IF(C373="","",TEXT(C373,"MMM")))</f>
        <v/>
      </c>
      <c r="N373">
        <f>IF($B373="","",IF(L373=0,0,M373/L373))</f>
        <v/>
      </c>
    </row>
    <row r="374">
      <c r="A374">
        <f>IF($B374="","",ROW()-5)</f>
        <v/>
      </c>
      <c r="D374">
        <f>IF($B374="","",IF(C374="","",TEXT(C374,"MMM")))</f>
        <v/>
      </c>
      <c r="N374">
        <f>IF($B374="","",IF(L374=0,0,M374/L374))</f>
        <v/>
      </c>
    </row>
    <row r="375">
      <c r="A375">
        <f>IF($B375="","",ROW()-5)</f>
        <v/>
      </c>
      <c r="D375">
        <f>IF($B375="","",IF(C375="","",TEXT(C375,"MMM")))</f>
        <v/>
      </c>
      <c r="N375">
        <f>IF($B375="","",IF(L375=0,0,M375/L375))</f>
        <v/>
      </c>
    </row>
    <row r="376">
      <c r="A376">
        <f>IF($B376="","",ROW()-5)</f>
        <v/>
      </c>
      <c r="D376">
        <f>IF($B376="","",IF(C376="","",TEXT(C376,"MMM")))</f>
        <v/>
      </c>
      <c r="N376">
        <f>IF($B376="","",IF(L376=0,0,M376/L376))</f>
        <v/>
      </c>
    </row>
    <row r="377">
      <c r="A377">
        <f>IF($B377="","",ROW()-5)</f>
        <v/>
      </c>
      <c r="D377">
        <f>IF($B377="","",IF(C377="","",TEXT(C377,"MMM")))</f>
        <v/>
      </c>
      <c r="N377">
        <f>IF($B377="","",IF(L377=0,0,M377/L377))</f>
        <v/>
      </c>
    </row>
    <row r="378">
      <c r="A378">
        <f>IF($B378="","",ROW()-5)</f>
        <v/>
      </c>
      <c r="D378">
        <f>IF($B378="","",IF(C378="","",TEXT(C378,"MMM")))</f>
        <v/>
      </c>
      <c r="N378">
        <f>IF($B378="","",IF(L378=0,0,M378/L378))</f>
        <v/>
      </c>
    </row>
    <row r="379">
      <c r="A379">
        <f>IF($B379="","",ROW()-5)</f>
        <v/>
      </c>
      <c r="D379">
        <f>IF($B379="","",IF(C379="","",TEXT(C379,"MMM")))</f>
        <v/>
      </c>
      <c r="N379">
        <f>IF($B379="","",IF(L379=0,0,M379/L379))</f>
        <v/>
      </c>
    </row>
    <row r="380">
      <c r="A380">
        <f>IF($B380="","",ROW()-5)</f>
        <v/>
      </c>
      <c r="D380">
        <f>IF($B380="","",IF(C380="","",TEXT(C380,"MMM")))</f>
        <v/>
      </c>
      <c r="N380">
        <f>IF($B380="","",IF(L380=0,0,M380/L380))</f>
        <v/>
      </c>
    </row>
    <row r="381">
      <c r="A381">
        <f>IF($B381="","",ROW()-5)</f>
        <v/>
      </c>
      <c r="D381">
        <f>IF($B381="","",IF(C381="","",TEXT(C381,"MMM")))</f>
        <v/>
      </c>
      <c r="N381">
        <f>IF($B381="","",IF(L381=0,0,M381/L381))</f>
        <v/>
      </c>
    </row>
    <row r="382">
      <c r="A382">
        <f>IF($B382="","",ROW()-5)</f>
        <v/>
      </c>
      <c r="D382">
        <f>IF($B382="","",IF(C382="","",TEXT(C382,"MMM")))</f>
        <v/>
      </c>
      <c r="N382">
        <f>IF($B382="","",IF(L382=0,0,M382/L382))</f>
        <v/>
      </c>
    </row>
    <row r="383">
      <c r="A383">
        <f>IF($B383="","",ROW()-5)</f>
        <v/>
      </c>
      <c r="D383">
        <f>IF($B383="","",IF(C383="","",TEXT(C383,"MMM")))</f>
        <v/>
      </c>
      <c r="N383">
        <f>IF($B383="","",IF(L383=0,0,M383/L383))</f>
        <v/>
      </c>
    </row>
    <row r="384">
      <c r="A384">
        <f>IF($B384="","",ROW()-5)</f>
        <v/>
      </c>
      <c r="D384">
        <f>IF($B384="","",IF(C384="","",TEXT(C384,"MMM")))</f>
        <v/>
      </c>
      <c r="N384">
        <f>IF($B384="","",IF(L384=0,0,M384/L384))</f>
        <v/>
      </c>
    </row>
    <row r="385">
      <c r="A385">
        <f>IF($B385="","",ROW()-5)</f>
        <v/>
      </c>
      <c r="D385">
        <f>IF($B385="","",IF(C385="","",TEXT(C385,"MMM")))</f>
        <v/>
      </c>
      <c r="N385">
        <f>IF($B385="","",IF(L385=0,0,M385/L385))</f>
        <v/>
      </c>
    </row>
    <row r="386">
      <c r="A386">
        <f>IF($B386="","",ROW()-5)</f>
        <v/>
      </c>
      <c r="D386">
        <f>IF($B386="","",IF(C386="","",TEXT(C386,"MMM")))</f>
        <v/>
      </c>
      <c r="N386">
        <f>IF($B386="","",IF(L386=0,0,M386/L386))</f>
        <v/>
      </c>
    </row>
    <row r="387">
      <c r="A387">
        <f>IF($B387="","",ROW()-5)</f>
        <v/>
      </c>
      <c r="D387">
        <f>IF($B387="","",IF(C387="","",TEXT(C387,"MMM")))</f>
        <v/>
      </c>
      <c r="N387">
        <f>IF($B387="","",IF(L387=0,0,M387/L387))</f>
        <v/>
      </c>
    </row>
    <row r="388">
      <c r="A388">
        <f>IF($B388="","",ROW()-5)</f>
        <v/>
      </c>
      <c r="D388">
        <f>IF($B388="","",IF(C388="","",TEXT(C388,"MMM")))</f>
        <v/>
      </c>
      <c r="N388">
        <f>IF($B388="","",IF(L388=0,0,M388/L388))</f>
        <v/>
      </c>
    </row>
    <row r="389">
      <c r="A389">
        <f>IF($B389="","",ROW()-5)</f>
        <v/>
      </c>
      <c r="D389">
        <f>IF($B389="","",IF(C389="","",TEXT(C389,"MMM")))</f>
        <v/>
      </c>
      <c r="N389">
        <f>IF($B389="","",IF(L389=0,0,M389/L389))</f>
        <v/>
      </c>
    </row>
    <row r="390">
      <c r="A390">
        <f>IF($B390="","",ROW()-5)</f>
        <v/>
      </c>
      <c r="D390">
        <f>IF($B390="","",IF(C390="","",TEXT(C390,"MMM")))</f>
        <v/>
      </c>
      <c r="N390">
        <f>IF($B390="","",IF(L390=0,0,M390/L390))</f>
        <v/>
      </c>
    </row>
    <row r="391">
      <c r="A391">
        <f>IF($B391="","",ROW()-5)</f>
        <v/>
      </c>
      <c r="D391">
        <f>IF($B391="","",IF(C391="","",TEXT(C391,"MMM")))</f>
        <v/>
      </c>
      <c r="N391">
        <f>IF($B391="","",IF(L391=0,0,M391/L391))</f>
        <v/>
      </c>
    </row>
    <row r="392">
      <c r="A392">
        <f>IF($B392="","",ROW()-5)</f>
        <v/>
      </c>
      <c r="D392">
        <f>IF($B392="","",IF(C392="","",TEXT(C392,"MMM")))</f>
        <v/>
      </c>
      <c r="N392">
        <f>IF($B392="","",IF(L392=0,0,M392/L392))</f>
        <v/>
      </c>
    </row>
    <row r="393">
      <c r="A393">
        <f>IF($B393="","",ROW()-5)</f>
        <v/>
      </c>
      <c r="D393">
        <f>IF($B393="","",IF(C393="","",TEXT(C393,"MMM")))</f>
        <v/>
      </c>
      <c r="N393">
        <f>IF($B393="","",IF(L393=0,0,M393/L393))</f>
        <v/>
      </c>
    </row>
    <row r="394">
      <c r="A394">
        <f>IF($B394="","",ROW()-5)</f>
        <v/>
      </c>
      <c r="D394">
        <f>IF($B394="","",IF(C394="","",TEXT(C394,"MMM")))</f>
        <v/>
      </c>
      <c r="N394">
        <f>IF($B394="","",IF(L394=0,0,M394/L394))</f>
        <v/>
      </c>
    </row>
    <row r="395">
      <c r="A395">
        <f>IF($B395="","",ROW()-5)</f>
        <v/>
      </c>
      <c r="D395">
        <f>IF($B395="","",IF(C395="","",TEXT(C395,"MMM")))</f>
        <v/>
      </c>
      <c r="N395">
        <f>IF($B395="","",IF(L395=0,0,M395/L395))</f>
        <v/>
      </c>
    </row>
    <row r="396">
      <c r="A396">
        <f>IF($B396="","",ROW()-5)</f>
        <v/>
      </c>
      <c r="D396">
        <f>IF($B396="","",IF(C396="","",TEXT(C396,"MMM")))</f>
        <v/>
      </c>
      <c r="N396">
        <f>IF($B396="","",IF(L396=0,0,M396/L396))</f>
        <v/>
      </c>
    </row>
    <row r="397">
      <c r="A397">
        <f>IF($B397="","",ROW()-5)</f>
        <v/>
      </c>
      <c r="D397">
        <f>IF($B397="","",IF(C397="","",TEXT(C397,"MMM")))</f>
        <v/>
      </c>
      <c r="N397">
        <f>IF($B397="","",IF(L397=0,0,M397/L397))</f>
        <v/>
      </c>
    </row>
    <row r="398">
      <c r="A398">
        <f>IF($B398="","",ROW()-5)</f>
        <v/>
      </c>
      <c r="D398">
        <f>IF($B398="","",IF(C398="","",TEXT(C398,"MMM")))</f>
        <v/>
      </c>
      <c r="N398">
        <f>IF($B398="","",IF(L398=0,0,M398/L398))</f>
        <v/>
      </c>
    </row>
    <row r="399">
      <c r="A399">
        <f>IF($B399="","",ROW()-5)</f>
        <v/>
      </c>
      <c r="D399">
        <f>IF($B399="","",IF(C399="","",TEXT(C399,"MMM")))</f>
        <v/>
      </c>
      <c r="N399">
        <f>IF($B399="","",IF(L399=0,0,M399/L399))</f>
        <v/>
      </c>
    </row>
    <row r="400">
      <c r="A400">
        <f>IF($B400="","",ROW()-5)</f>
        <v/>
      </c>
      <c r="D400">
        <f>IF($B400="","",IF(C400="","",TEXT(C400,"MMM")))</f>
        <v/>
      </c>
      <c r="N400">
        <f>IF($B400="","",IF(L400=0,0,M400/L400))</f>
        <v/>
      </c>
    </row>
    <row r="401">
      <c r="A401">
        <f>IF($B401="","",ROW()-5)</f>
        <v/>
      </c>
      <c r="D401">
        <f>IF($B401="","",IF(C401="","",TEXT(C401,"MMM")))</f>
        <v/>
      </c>
      <c r="N401">
        <f>IF($B401="","",IF(L401=0,0,M401/L401))</f>
        <v/>
      </c>
    </row>
    <row r="402">
      <c r="A402">
        <f>IF($B402="","",ROW()-5)</f>
        <v/>
      </c>
      <c r="D402">
        <f>IF($B402="","",IF(C402="","",TEXT(C402,"MMM")))</f>
        <v/>
      </c>
      <c r="N402">
        <f>IF($B402="","",IF(L402=0,0,M402/L402))</f>
        <v/>
      </c>
    </row>
    <row r="403">
      <c r="A403">
        <f>IF($B403="","",ROW()-5)</f>
        <v/>
      </c>
      <c r="D403">
        <f>IF($B403="","",IF(C403="","",TEXT(C403,"MMM")))</f>
        <v/>
      </c>
      <c r="N403">
        <f>IF($B403="","",IF(L403=0,0,M403/L403))</f>
        <v/>
      </c>
    </row>
    <row r="404">
      <c r="A404">
        <f>IF($B404="","",ROW()-5)</f>
        <v/>
      </c>
      <c r="D404">
        <f>IF($B404="","",IF(C404="","",TEXT(C404,"MMM")))</f>
        <v/>
      </c>
      <c r="N404">
        <f>IF($B404="","",IF(L404=0,0,M404/L404))</f>
        <v/>
      </c>
    </row>
    <row r="405">
      <c r="A405">
        <f>IF($B405="","",ROW()-5)</f>
        <v/>
      </c>
      <c r="D405">
        <f>IF($B405="","",IF(C405="","",TEXT(C405,"MMM")))</f>
        <v/>
      </c>
      <c r="N405">
        <f>IF($B405="","",IF(L405=0,0,M405/L405))</f>
        <v/>
      </c>
    </row>
    <row r="406">
      <c r="A406">
        <f>IF($B406="","",ROW()-5)</f>
        <v/>
      </c>
      <c r="D406">
        <f>IF($B406="","",IF(C406="","",TEXT(C406,"MMM")))</f>
        <v/>
      </c>
      <c r="N406">
        <f>IF($B406="","",IF(L406=0,0,M406/L406))</f>
        <v/>
      </c>
    </row>
    <row r="407">
      <c r="A407">
        <f>IF($B407="","",ROW()-5)</f>
        <v/>
      </c>
      <c r="D407">
        <f>IF($B407="","",IF(C407="","",TEXT(C407,"MMM")))</f>
        <v/>
      </c>
      <c r="N407">
        <f>IF($B407="","",IF(L407=0,0,M407/L407))</f>
        <v/>
      </c>
    </row>
    <row r="408">
      <c r="A408">
        <f>IF($B408="","",ROW()-5)</f>
        <v/>
      </c>
      <c r="D408">
        <f>IF($B408="","",IF(C408="","",TEXT(C408,"MMM")))</f>
        <v/>
      </c>
      <c r="N408">
        <f>IF($B408="","",IF(L408=0,0,M408/L408))</f>
        <v/>
      </c>
    </row>
    <row r="409">
      <c r="A409">
        <f>IF($B409="","",ROW()-5)</f>
        <v/>
      </c>
      <c r="D409">
        <f>IF($B409="","",IF(C409="","",TEXT(C409,"MMM")))</f>
        <v/>
      </c>
      <c r="N409">
        <f>IF($B409="","",IF(L409=0,0,M409/L409))</f>
        <v/>
      </c>
    </row>
    <row r="410">
      <c r="A410">
        <f>IF($B410="","",ROW()-5)</f>
        <v/>
      </c>
      <c r="D410">
        <f>IF($B410="","",IF(C410="","",TEXT(C410,"MMM")))</f>
        <v/>
      </c>
      <c r="N410">
        <f>IF($B410="","",IF(L410=0,0,M410/L410))</f>
        <v/>
      </c>
    </row>
    <row r="411">
      <c r="A411">
        <f>IF($B411="","",ROW()-5)</f>
        <v/>
      </c>
      <c r="D411">
        <f>IF($B411="","",IF(C411="","",TEXT(C411,"MMM")))</f>
        <v/>
      </c>
      <c r="N411">
        <f>IF($B411="","",IF(L411=0,0,M411/L411))</f>
        <v/>
      </c>
    </row>
    <row r="412">
      <c r="A412">
        <f>IF($B412="","",ROW()-5)</f>
        <v/>
      </c>
      <c r="D412">
        <f>IF($B412="","",IF(C412="","",TEXT(C412,"MMM")))</f>
        <v/>
      </c>
      <c r="N412">
        <f>IF($B412="","",IF(L412=0,0,M412/L412))</f>
        <v/>
      </c>
    </row>
    <row r="413">
      <c r="A413">
        <f>IF($B413="","",ROW()-5)</f>
        <v/>
      </c>
      <c r="D413">
        <f>IF($B413="","",IF(C413="","",TEXT(C413,"MMM")))</f>
        <v/>
      </c>
      <c r="N413">
        <f>IF($B413="","",IF(L413=0,0,M413/L413))</f>
        <v/>
      </c>
    </row>
    <row r="414">
      <c r="A414">
        <f>IF($B414="","",ROW()-5)</f>
        <v/>
      </c>
      <c r="D414">
        <f>IF($B414="","",IF(C414="","",TEXT(C414,"MMM")))</f>
        <v/>
      </c>
      <c r="N414">
        <f>IF($B414="","",IF(L414=0,0,M414/L414))</f>
        <v/>
      </c>
    </row>
    <row r="415">
      <c r="A415">
        <f>IF($B415="","",ROW()-5)</f>
        <v/>
      </c>
      <c r="D415">
        <f>IF($B415="","",IF(C415="","",TEXT(C415,"MMM")))</f>
        <v/>
      </c>
      <c r="N415">
        <f>IF($B415="","",IF(L415=0,0,M415/L415))</f>
        <v/>
      </c>
    </row>
    <row r="416">
      <c r="A416">
        <f>IF($B416="","",ROW()-5)</f>
        <v/>
      </c>
      <c r="D416">
        <f>IF($B416="","",IF(C416="","",TEXT(C416,"MMM")))</f>
        <v/>
      </c>
      <c r="N416">
        <f>IF($B416="","",IF(L416=0,0,M416/L416))</f>
        <v/>
      </c>
    </row>
    <row r="417">
      <c r="A417">
        <f>IF($B417="","",ROW()-5)</f>
        <v/>
      </c>
      <c r="D417">
        <f>IF($B417="","",IF(C417="","",TEXT(C417,"MMM")))</f>
        <v/>
      </c>
      <c r="N417">
        <f>IF($B417="","",IF(L417=0,0,M417/L417))</f>
        <v/>
      </c>
    </row>
    <row r="418">
      <c r="A418">
        <f>IF($B418="","",ROW()-5)</f>
        <v/>
      </c>
      <c r="D418">
        <f>IF($B418="","",IF(C418="","",TEXT(C418,"MMM")))</f>
        <v/>
      </c>
      <c r="N418">
        <f>IF($B418="","",IF(L418=0,0,M418/L418))</f>
        <v/>
      </c>
    </row>
    <row r="419">
      <c r="A419">
        <f>IF($B419="","",ROW()-5)</f>
        <v/>
      </c>
      <c r="D419">
        <f>IF($B419="","",IF(C419="","",TEXT(C419,"MMM")))</f>
        <v/>
      </c>
      <c r="N419">
        <f>IF($B419="","",IF(L419=0,0,M419/L419))</f>
        <v/>
      </c>
    </row>
    <row r="420">
      <c r="A420">
        <f>IF($B420="","",ROW()-5)</f>
        <v/>
      </c>
      <c r="D420">
        <f>IF($B420="","",IF(C420="","",TEXT(C420,"MMM")))</f>
        <v/>
      </c>
      <c r="N420">
        <f>IF($B420="","",IF(L420=0,0,M420/L420))</f>
        <v/>
      </c>
    </row>
    <row r="421">
      <c r="A421">
        <f>IF($B421="","",ROW()-5)</f>
        <v/>
      </c>
      <c r="D421">
        <f>IF($B421="","",IF(C421="","",TEXT(C421,"MMM")))</f>
        <v/>
      </c>
      <c r="N421">
        <f>IF($B421="","",IF(L421=0,0,M421/L421))</f>
        <v/>
      </c>
    </row>
    <row r="422">
      <c r="A422">
        <f>IF($B422="","",ROW()-5)</f>
        <v/>
      </c>
      <c r="D422">
        <f>IF($B422="","",IF(C422="","",TEXT(C422,"MMM")))</f>
        <v/>
      </c>
      <c r="N422">
        <f>IF($B422="","",IF(L422=0,0,M422/L422))</f>
        <v/>
      </c>
    </row>
    <row r="423">
      <c r="A423">
        <f>IF($B423="","",ROW()-5)</f>
        <v/>
      </c>
      <c r="D423">
        <f>IF($B423="","",IF(C423="","",TEXT(C423,"MMM")))</f>
        <v/>
      </c>
      <c r="N423">
        <f>IF($B423="","",IF(L423=0,0,M423/L423))</f>
        <v/>
      </c>
    </row>
    <row r="424">
      <c r="A424">
        <f>IF($B424="","",ROW()-5)</f>
        <v/>
      </c>
      <c r="D424">
        <f>IF($B424="","",IF(C424="","",TEXT(C424,"MMM")))</f>
        <v/>
      </c>
      <c r="N424">
        <f>IF($B424="","",IF(L424=0,0,M424/L424))</f>
        <v/>
      </c>
    </row>
    <row r="425">
      <c r="A425">
        <f>IF($B425="","",ROW()-5)</f>
        <v/>
      </c>
      <c r="D425">
        <f>IF($B425="","",IF(C425="","",TEXT(C425,"MMM")))</f>
        <v/>
      </c>
      <c r="N425">
        <f>IF($B425="","",IF(L425=0,0,M425/L425))</f>
        <v/>
      </c>
    </row>
    <row r="426">
      <c r="A426">
        <f>IF($B426="","",ROW()-5)</f>
        <v/>
      </c>
      <c r="D426">
        <f>IF($B426="","",IF(C426="","",TEXT(C426,"MMM")))</f>
        <v/>
      </c>
      <c r="N426">
        <f>IF($B426="","",IF(L426=0,0,M426/L426))</f>
        <v/>
      </c>
    </row>
    <row r="427">
      <c r="A427">
        <f>IF($B427="","",ROW()-5)</f>
        <v/>
      </c>
      <c r="D427">
        <f>IF($B427="","",IF(C427="","",TEXT(C427,"MMM")))</f>
        <v/>
      </c>
      <c r="N427">
        <f>IF($B427="","",IF(L427=0,0,M427/L427))</f>
        <v/>
      </c>
    </row>
    <row r="428">
      <c r="A428">
        <f>IF($B428="","",ROW()-5)</f>
        <v/>
      </c>
      <c r="D428">
        <f>IF($B428="","",IF(C428="","",TEXT(C428,"MMM")))</f>
        <v/>
      </c>
      <c r="N428">
        <f>IF($B428="","",IF(L428=0,0,M428/L428))</f>
        <v/>
      </c>
    </row>
    <row r="429">
      <c r="A429">
        <f>IF($B429="","",ROW()-5)</f>
        <v/>
      </c>
      <c r="D429">
        <f>IF($B429="","",IF(C429="","",TEXT(C429,"MMM")))</f>
        <v/>
      </c>
      <c r="N429">
        <f>IF($B429="","",IF(L429=0,0,M429/L429))</f>
        <v/>
      </c>
    </row>
    <row r="430">
      <c r="A430">
        <f>IF($B430="","",ROW()-5)</f>
        <v/>
      </c>
      <c r="D430">
        <f>IF($B430="","",IF(C430="","",TEXT(C430,"MMM")))</f>
        <v/>
      </c>
      <c r="N430">
        <f>IF($B430="","",IF(L430=0,0,M430/L430))</f>
        <v/>
      </c>
    </row>
    <row r="431">
      <c r="A431">
        <f>IF($B431="","",ROW()-5)</f>
        <v/>
      </c>
      <c r="D431">
        <f>IF($B431="","",IF(C431="","",TEXT(C431,"MMM")))</f>
        <v/>
      </c>
      <c r="N431">
        <f>IF($B431="","",IF(L431=0,0,M431/L431))</f>
        <v/>
      </c>
    </row>
    <row r="432">
      <c r="A432">
        <f>IF($B432="","",ROW()-5)</f>
        <v/>
      </c>
      <c r="D432">
        <f>IF($B432="","",IF(C432="","",TEXT(C432,"MMM")))</f>
        <v/>
      </c>
      <c r="N432">
        <f>IF($B432="","",IF(L432=0,0,M432/L432))</f>
        <v/>
      </c>
    </row>
    <row r="433">
      <c r="A433">
        <f>IF($B433="","",ROW()-5)</f>
        <v/>
      </c>
      <c r="D433">
        <f>IF($B433="","",IF(C433="","",TEXT(C433,"MMM")))</f>
        <v/>
      </c>
      <c r="N433">
        <f>IF($B433="","",IF(L433=0,0,M433/L433))</f>
        <v/>
      </c>
    </row>
    <row r="434">
      <c r="A434">
        <f>IF($B434="","",ROW()-5)</f>
        <v/>
      </c>
      <c r="D434">
        <f>IF($B434="","",IF(C434="","",TEXT(C434,"MMM")))</f>
        <v/>
      </c>
      <c r="N434">
        <f>IF($B434="","",IF(L434=0,0,M434/L434))</f>
        <v/>
      </c>
    </row>
    <row r="435">
      <c r="A435">
        <f>IF($B435="","",ROW()-5)</f>
        <v/>
      </c>
      <c r="D435">
        <f>IF($B435="","",IF(C435="","",TEXT(C435,"MMM")))</f>
        <v/>
      </c>
      <c r="N435">
        <f>IF($B435="","",IF(L435=0,0,M435/L435))</f>
        <v/>
      </c>
    </row>
    <row r="436">
      <c r="A436">
        <f>IF($B436="","",ROW()-5)</f>
        <v/>
      </c>
      <c r="D436">
        <f>IF($B436="","",IF(C436="","",TEXT(C436,"MMM")))</f>
        <v/>
      </c>
      <c r="N436">
        <f>IF($B436="","",IF(L436=0,0,M436/L436))</f>
        <v/>
      </c>
    </row>
    <row r="437">
      <c r="A437">
        <f>IF($B437="","",ROW()-5)</f>
        <v/>
      </c>
      <c r="D437">
        <f>IF($B437="","",IF(C437="","",TEXT(C437,"MMM")))</f>
        <v/>
      </c>
      <c r="N437">
        <f>IF($B437="","",IF(L437=0,0,M437/L437))</f>
        <v/>
      </c>
    </row>
    <row r="438">
      <c r="A438">
        <f>IF($B438="","",ROW()-5)</f>
        <v/>
      </c>
      <c r="D438">
        <f>IF($B438="","",IF(C438="","",TEXT(C438,"MMM")))</f>
        <v/>
      </c>
      <c r="N438">
        <f>IF($B438="","",IF(L438=0,0,M438/L438))</f>
        <v/>
      </c>
    </row>
    <row r="439">
      <c r="A439">
        <f>IF($B439="","",ROW()-5)</f>
        <v/>
      </c>
      <c r="D439">
        <f>IF($B439="","",IF(C439="","",TEXT(C439,"MMM")))</f>
        <v/>
      </c>
      <c r="N439">
        <f>IF($B439="","",IF(L439=0,0,M439/L439))</f>
        <v/>
      </c>
    </row>
    <row r="440">
      <c r="A440">
        <f>IF($B440="","",ROW()-5)</f>
        <v/>
      </c>
      <c r="D440">
        <f>IF($B440="","",IF(C440="","",TEXT(C440,"MMM")))</f>
        <v/>
      </c>
      <c r="N440">
        <f>IF($B440="","",IF(L440=0,0,M440/L440))</f>
        <v/>
      </c>
    </row>
    <row r="441">
      <c r="A441">
        <f>IF($B441="","",ROW()-5)</f>
        <v/>
      </c>
      <c r="D441">
        <f>IF($B441="","",IF(C441="","",TEXT(C441,"MMM")))</f>
        <v/>
      </c>
      <c r="N441">
        <f>IF($B441="","",IF(L441=0,0,M441/L441))</f>
        <v/>
      </c>
    </row>
    <row r="442">
      <c r="A442">
        <f>IF($B442="","",ROW()-5)</f>
        <v/>
      </c>
      <c r="D442">
        <f>IF($B442="","",IF(C442="","",TEXT(C442,"MMM")))</f>
        <v/>
      </c>
      <c r="N442">
        <f>IF($B442="","",IF(L442=0,0,M442/L442))</f>
        <v/>
      </c>
    </row>
    <row r="443">
      <c r="A443">
        <f>IF($B443="","",ROW()-5)</f>
        <v/>
      </c>
      <c r="D443">
        <f>IF($B443="","",IF(C443="","",TEXT(C443,"MMM")))</f>
        <v/>
      </c>
      <c r="N443">
        <f>IF($B443="","",IF(L443=0,0,M443/L443))</f>
        <v/>
      </c>
    </row>
    <row r="444">
      <c r="A444">
        <f>IF($B444="","",ROW()-5)</f>
        <v/>
      </c>
      <c r="D444">
        <f>IF($B444="","",IF(C444="","",TEXT(C444,"MMM")))</f>
        <v/>
      </c>
      <c r="N444">
        <f>IF($B444="","",IF(L444=0,0,M444/L444))</f>
        <v/>
      </c>
    </row>
    <row r="445">
      <c r="A445">
        <f>IF($B445="","",ROW()-5)</f>
        <v/>
      </c>
      <c r="D445">
        <f>IF($B445="","",IF(C445="","",TEXT(C445,"MMM")))</f>
        <v/>
      </c>
      <c r="N445">
        <f>IF($B445="","",IF(L445=0,0,M445/L445))</f>
        <v/>
      </c>
    </row>
    <row r="446">
      <c r="A446">
        <f>IF($B446="","",ROW()-5)</f>
        <v/>
      </c>
      <c r="D446">
        <f>IF($B446="","",IF(C446="","",TEXT(C446,"MMM")))</f>
        <v/>
      </c>
      <c r="N446">
        <f>IF($B446="","",IF(L446=0,0,M446/L446))</f>
        <v/>
      </c>
    </row>
    <row r="447">
      <c r="A447">
        <f>IF($B447="","",ROW()-5)</f>
        <v/>
      </c>
      <c r="D447">
        <f>IF($B447="","",IF(C447="","",TEXT(C447,"MMM")))</f>
        <v/>
      </c>
      <c r="N447">
        <f>IF($B447="","",IF(L447=0,0,M447/L447))</f>
        <v/>
      </c>
    </row>
    <row r="448">
      <c r="A448">
        <f>IF($B448="","",ROW()-5)</f>
        <v/>
      </c>
      <c r="D448">
        <f>IF($B448="","",IF(C448="","",TEXT(C448,"MMM")))</f>
        <v/>
      </c>
      <c r="N448">
        <f>IF($B448="","",IF(L448=0,0,M448/L448))</f>
        <v/>
      </c>
    </row>
    <row r="449">
      <c r="A449">
        <f>IF($B449="","",ROW()-5)</f>
        <v/>
      </c>
      <c r="D449">
        <f>IF($B449="","",IF(C449="","",TEXT(C449,"MMM")))</f>
        <v/>
      </c>
      <c r="N449">
        <f>IF($B449="","",IF(L449=0,0,M449/L449))</f>
        <v/>
      </c>
    </row>
    <row r="450">
      <c r="A450">
        <f>IF($B450="","",ROW()-5)</f>
        <v/>
      </c>
      <c r="D450">
        <f>IF($B450="","",IF(C450="","",TEXT(C450,"MMM")))</f>
        <v/>
      </c>
      <c r="N450">
        <f>IF($B450="","",IF(L450=0,0,M450/L450))</f>
        <v/>
      </c>
    </row>
    <row r="451">
      <c r="A451">
        <f>IF($B451="","",ROW()-5)</f>
        <v/>
      </c>
      <c r="D451">
        <f>IF($B451="","",IF(C451="","",TEXT(C451,"MMM")))</f>
        <v/>
      </c>
      <c r="N451">
        <f>IF($B451="","",IF(L451=0,0,M451/L451))</f>
        <v/>
      </c>
    </row>
    <row r="452">
      <c r="A452">
        <f>IF($B452="","",ROW()-5)</f>
        <v/>
      </c>
      <c r="D452">
        <f>IF($B452="","",IF(C452="","",TEXT(C452,"MMM")))</f>
        <v/>
      </c>
      <c r="N452">
        <f>IF($B452="","",IF(L452=0,0,M452/L452))</f>
        <v/>
      </c>
    </row>
    <row r="453">
      <c r="A453">
        <f>IF($B453="","",ROW()-5)</f>
        <v/>
      </c>
      <c r="D453">
        <f>IF($B453="","",IF(C453="","",TEXT(C453,"MMM")))</f>
        <v/>
      </c>
      <c r="N453">
        <f>IF($B453="","",IF(L453=0,0,M453/L453))</f>
        <v/>
      </c>
    </row>
    <row r="454">
      <c r="A454">
        <f>IF($B454="","",ROW()-5)</f>
        <v/>
      </c>
      <c r="D454">
        <f>IF($B454="","",IF(C454="","",TEXT(C454,"MMM")))</f>
        <v/>
      </c>
      <c r="N454">
        <f>IF($B454="","",IF(L454=0,0,M454/L454))</f>
        <v/>
      </c>
    </row>
    <row r="455">
      <c r="A455">
        <f>IF($B455="","",ROW()-5)</f>
        <v/>
      </c>
      <c r="D455">
        <f>IF($B455="","",IF(C455="","",TEXT(C455,"MMM")))</f>
        <v/>
      </c>
      <c r="N455">
        <f>IF($B455="","",IF(L455=0,0,M455/L455))</f>
        <v/>
      </c>
    </row>
    <row r="456">
      <c r="A456">
        <f>IF($B456="","",ROW()-5)</f>
        <v/>
      </c>
      <c r="D456">
        <f>IF($B456="","",IF(C456="","",TEXT(C456,"MMM")))</f>
        <v/>
      </c>
      <c r="N456">
        <f>IF($B456="","",IF(L456=0,0,M456/L456))</f>
        <v/>
      </c>
    </row>
    <row r="457">
      <c r="A457">
        <f>IF($B457="","",ROW()-5)</f>
        <v/>
      </c>
      <c r="D457">
        <f>IF($B457="","",IF(C457="","",TEXT(C457,"MMM")))</f>
        <v/>
      </c>
      <c r="N457">
        <f>IF($B457="","",IF(L457=0,0,M457/L457))</f>
        <v/>
      </c>
    </row>
    <row r="458">
      <c r="A458">
        <f>IF($B458="","",ROW()-5)</f>
        <v/>
      </c>
      <c r="D458">
        <f>IF($B458="","",IF(C458="","",TEXT(C458,"MMM")))</f>
        <v/>
      </c>
      <c r="N458">
        <f>IF($B458="","",IF(L458=0,0,M458/L458))</f>
        <v/>
      </c>
    </row>
    <row r="459">
      <c r="A459">
        <f>IF($B459="","",ROW()-5)</f>
        <v/>
      </c>
      <c r="D459">
        <f>IF($B459="","",IF(C459="","",TEXT(C459,"MMM")))</f>
        <v/>
      </c>
      <c r="N459">
        <f>IF($B459="","",IF(L459=0,0,M459/L459))</f>
        <v/>
      </c>
    </row>
    <row r="460">
      <c r="A460">
        <f>IF($B460="","",ROW()-5)</f>
        <v/>
      </c>
      <c r="D460">
        <f>IF($B460="","",IF(C460="","",TEXT(C460,"MMM")))</f>
        <v/>
      </c>
      <c r="N460">
        <f>IF($B460="","",IF(L460=0,0,M460/L460))</f>
        <v/>
      </c>
    </row>
    <row r="461">
      <c r="A461">
        <f>IF($B461="","",ROW()-5)</f>
        <v/>
      </c>
      <c r="D461">
        <f>IF($B461="","",IF(C461="","",TEXT(C461,"MMM")))</f>
        <v/>
      </c>
      <c r="N461">
        <f>IF($B461="","",IF(L461=0,0,M461/L461))</f>
        <v/>
      </c>
    </row>
    <row r="462">
      <c r="A462">
        <f>IF($B462="","",ROW()-5)</f>
        <v/>
      </c>
      <c r="D462">
        <f>IF($B462="","",IF(C462="","",TEXT(C462,"MMM")))</f>
        <v/>
      </c>
      <c r="N462">
        <f>IF($B462="","",IF(L462=0,0,M462/L462))</f>
        <v/>
      </c>
    </row>
    <row r="463">
      <c r="A463">
        <f>IF($B463="","",ROW()-5)</f>
        <v/>
      </c>
      <c r="D463">
        <f>IF($B463="","",IF(C463="","",TEXT(C463,"MMM")))</f>
        <v/>
      </c>
      <c r="N463">
        <f>IF($B463="","",IF(L463=0,0,M463/L463))</f>
        <v/>
      </c>
    </row>
    <row r="464">
      <c r="A464">
        <f>IF($B464="","",ROW()-5)</f>
        <v/>
      </c>
      <c r="D464">
        <f>IF($B464="","",IF(C464="","",TEXT(C464,"MMM")))</f>
        <v/>
      </c>
      <c r="N464">
        <f>IF($B464="","",IF(L464=0,0,M464/L464))</f>
        <v/>
      </c>
    </row>
    <row r="465">
      <c r="A465">
        <f>IF($B465="","",ROW()-5)</f>
        <v/>
      </c>
      <c r="D465">
        <f>IF($B465="","",IF(C465="","",TEXT(C465,"MMM")))</f>
        <v/>
      </c>
      <c r="N465">
        <f>IF($B465="","",IF(L465=0,0,M465/L465))</f>
        <v/>
      </c>
    </row>
    <row r="466">
      <c r="A466">
        <f>IF($B466="","",ROW()-5)</f>
        <v/>
      </c>
      <c r="D466">
        <f>IF($B466="","",IF(C466="","",TEXT(C466,"MMM")))</f>
        <v/>
      </c>
      <c r="N466">
        <f>IF($B466="","",IF(L466=0,0,M466/L466))</f>
        <v/>
      </c>
    </row>
    <row r="467">
      <c r="A467">
        <f>IF($B467="","",ROW()-5)</f>
        <v/>
      </c>
      <c r="D467">
        <f>IF($B467="","",IF(C467="","",TEXT(C467,"MMM")))</f>
        <v/>
      </c>
      <c r="N467">
        <f>IF($B467="","",IF(L467=0,0,M467/L467))</f>
        <v/>
      </c>
    </row>
    <row r="468">
      <c r="A468">
        <f>IF($B468="","",ROW()-5)</f>
        <v/>
      </c>
      <c r="D468">
        <f>IF($B468="","",IF(C468="","",TEXT(C468,"MMM")))</f>
        <v/>
      </c>
      <c r="N468">
        <f>IF($B468="","",IF(L468=0,0,M468/L468))</f>
        <v/>
      </c>
    </row>
    <row r="469">
      <c r="A469">
        <f>IF($B469="","",ROW()-5)</f>
        <v/>
      </c>
      <c r="D469">
        <f>IF($B469="","",IF(C469="","",TEXT(C469,"MMM")))</f>
        <v/>
      </c>
      <c r="N469">
        <f>IF($B469="","",IF(L469=0,0,M469/L469))</f>
        <v/>
      </c>
    </row>
    <row r="470">
      <c r="A470">
        <f>IF($B470="","",ROW()-5)</f>
        <v/>
      </c>
      <c r="D470">
        <f>IF($B470="","",IF(C470="","",TEXT(C470,"MMM")))</f>
        <v/>
      </c>
      <c r="N470">
        <f>IF($B470="","",IF(L470=0,0,M470/L470))</f>
        <v/>
      </c>
    </row>
    <row r="471">
      <c r="A471">
        <f>IF($B471="","",ROW()-5)</f>
        <v/>
      </c>
      <c r="D471">
        <f>IF($B471="","",IF(C471="","",TEXT(C471,"MMM")))</f>
        <v/>
      </c>
      <c r="N471">
        <f>IF($B471="","",IF(L471=0,0,M471/L471))</f>
        <v/>
      </c>
    </row>
    <row r="472">
      <c r="A472">
        <f>IF($B472="","",ROW()-5)</f>
        <v/>
      </c>
      <c r="D472">
        <f>IF($B472="","",IF(C472="","",TEXT(C472,"MMM")))</f>
        <v/>
      </c>
      <c r="N472">
        <f>IF($B472="","",IF(L472=0,0,M472/L472))</f>
        <v/>
      </c>
    </row>
    <row r="473">
      <c r="A473">
        <f>IF($B473="","",ROW()-5)</f>
        <v/>
      </c>
      <c r="D473">
        <f>IF($B473="","",IF(C473="","",TEXT(C473,"MMM")))</f>
        <v/>
      </c>
      <c r="N473">
        <f>IF($B473="","",IF(L473=0,0,M473/L473))</f>
        <v/>
      </c>
    </row>
    <row r="474">
      <c r="A474">
        <f>IF($B474="","",ROW()-5)</f>
        <v/>
      </c>
      <c r="D474">
        <f>IF($B474="","",IF(C474="","",TEXT(C474,"MMM")))</f>
        <v/>
      </c>
      <c r="N474">
        <f>IF($B474="","",IF(L474=0,0,M474/L474))</f>
        <v/>
      </c>
    </row>
    <row r="475">
      <c r="A475">
        <f>IF($B475="","",ROW()-5)</f>
        <v/>
      </c>
      <c r="D475">
        <f>IF($B475="","",IF(C475="","",TEXT(C475,"MMM")))</f>
        <v/>
      </c>
      <c r="N475">
        <f>IF($B475="","",IF(L475=0,0,M475/L475))</f>
        <v/>
      </c>
    </row>
    <row r="476">
      <c r="A476">
        <f>IF($B476="","",ROW()-5)</f>
        <v/>
      </c>
      <c r="D476">
        <f>IF($B476="","",IF(C476="","",TEXT(C476,"MMM")))</f>
        <v/>
      </c>
      <c r="N476">
        <f>IF($B476="","",IF(L476=0,0,M476/L476))</f>
        <v/>
      </c>
    </row>
    <row r="477">
      <c r="A477">
        <f>IF($B477="","",ROW()-5)</f>
        <v/>
      </c>
      <c r="D477">
        <f>IF($B477="","",IF(C477="","",TEXT(C477,"MMM")))</f>
        <v/>
      </c>
      <c r="N477">
        <f>IF($B477="","",IF(L477=0,0,M477/L477))</f>
        <v/>
      </c>
    </row>
    <row r="478">
      <c r="A478">
        <f>IF($B478="","",ROW()-5)</f>
        <v/>
      </c>
      <c r="D478">
        <f>IF($B478="","",IF(C478="","",TEXT(C478,"MMM")))</f>
        <v/>
      </c>
      <c r="N478">
        <f>IF($B478="","",IF(L478=0,0,M478/L478))</f>
        <v/>
      </c>
    </row>
    <row r="479">
      <c r="A479">
        <f>IF($B479="","",ROW()-5)</f>
        <v/>
      </c>
      <c r="D479">
        <f>IF($B479="","",IF(C479="","",TEXT(C479,"MMM")))</f>
        <v/>
      </c>
      <c r="N479">
        <f>IF($B479="","",IF(L479=0,0,M479/L479))</f>
        <v/>
      </c>
    </row>
    <row r="480">
      <c r="A480">
        <f>IF($B480="","",ROW()-5)</f>
        <v/>
      </c>
      <c r="D480">
        <f>IF($B480="","",IF(C480="","",TEXT(C480,"MMM")))</f>
        <v/>
      </c>
      <c r="N480">
        <f>IF($B480="","",IF(L480=0,0,M480/L480))</f>
        <v/>
      </c>
    </row>
    <row r="481">
      <c r="A481">
        <f>IF($B481="","",ROW()-5)</f>
        <v/>
      </c>
      <c r="D481">
        <f>IF($B481="","",IF(C481="","",TEXT(C481,"MMM")))</f>
        <v/>
      </c>
      <c r="N481">
        <f>IF($B481="","",IF(L481=0,0,M481/L481))</f>
        <v/>
      </c>
    </row>
    <row r="482">
      <c r="A482">
        <f>IF($B482="","",ROW()-5)</f>
        <v/>
      </c>
      <c r="D482">
        <f>IF($B482="","",IF(C482="","",TEXT(C482,"MMM")))</f>
        <v/>
      </c>
      <c r="N482">
        <f>IF($B482="","",IF(L482=0,0,M482/L482))</f>
        <v/>
      </c>
    </row>
    <row r="483">
      <c r="A483">
        <f>IF($B483="","",ROW()-5)</f>
        <v/>
      </c>
      <c r="D483">
        <f>IF($B483="","",IF(C483="","",TEXT(C483,"MMM")))</f>
        <v/>
      </c>
      <c r="N483">
        <f>IF($B483="","",IF(L483=0,0,M483/L483))</f>
        <v/>
      </c>
    </row>
    <row r="484">
      <c r="A484">
        <f>IF($B484="","",ROW()-5)</f>
        <v/>
      </c>
      <c r="D484">
        <f>IF($B484="","",IF(C484="","",TEXT(C484,"MMM")))</f>
        <v/>
      </c>
      <c r="N484">
        <f>IF($B484="","",IF(L484=0,0,M484/L484))</f>
        <v/>
      </c>
    </row>
    <row r="485">
      <c r="A485">
        <f>IF($B485="","",ROW()-5)</f>
        <v/>
      </c>
      <c r="D485">
        <f>IF($B485="","",IF(C485="","",TEXT(C485,"MMM")))</f>
        <v/>
      </c>
      <c r="N485">
        <f>IF($B485="","",IF(L485=0,0,M485/L485))</f>
        <v/>
      </c>
    </row>
    <row r="486">
      <c r="A486">
        <f>IF($B486="","",ROW()-5)</f>
        <v/>
      </c>
      <c r="D486">
        <f>IF($B486="","",IF(C486="","",TEXT(C486,"MMM")))</f>
        <v/>
      </c>
      <c r="N486">
        <f>IF($B486="","",IF(L486=0,0,M486/L486))</f>
        <v/>
      </c>
    </row>
    <row r="487">
      <c r="A487">
        <f>IF($B487="","",ROW()-5)</f>
        <v/>
      </c>
      <c r="D487">
        <f>IF($B487="","",IF(C487="","",TEXT(C487,"MMM")))</f>
        <v/>
      </c>
      <c r="N487">
        <f>IF($B487="","",IF(L487=0,0,M487/L487))</f>
        <v/>
      </c>
    </row>
    <row r="488">
      <c r="A488">
        <f>IF($B488="","",ROW()-5)</f>
        <v/>
      </c>
      <c r="D488">
        <f>IF($B488="","",IF(C488="","",TEXT(C488,"MMM")))</f>
        <v/>
      </c>
      <c r="N488">
        <f>IF($B488="","",IF(L488=0,0,M488/L488))</f>
        <v/>
      </c>
    </row>
    <row r="489">
      <c r="A489">
        <f>IF($B489="","",ROW()-5)</f>
        <v/>
      </c>
      <c r="D489">
        <f>IF($B489="","",IF(C489="","",TEXT(C489,"MMM")))</f>
        <v/>
      </c>
      <c r="N489">
        <f>IF($B489="","",IF(L489=0,0,M489/L489))</f>
        <v/>
      </c>
    </row>
    <row r="490">
      <c r="A490">
        <f>IF($B490="","",ROW()-5)</f>
        <v/>
      </c>
      <c r="D490">
        <f>IF($B490="","",IF(C490="","",TEXT(C490,"MMM")))</f>
        <v/>
      </c>
      <c r="N490">
        <f>IF($B490="","",IF(L490=0,0,M490/L490))</f>
        <v/>
      </c>
    </row>
    <row r="491">
      <c r="A491">
        <f>IF($B491="","",ROW()-5)</f>
        <v/>
      </c>
      <c r="D491">
        <f>IF($B491="","",IF(C491="","",TEXT(C491,"MMM")))</f>
        <v/>
      </c>
      <c r="N491">
        <f>IF($B491="","",IF(L491=0,0,M491/L491))</f>
        <v/>
      </c>
    </row>
    <row r="492">
      <c r="A492">
        <f>IF($B492="","",ROW()-5)</f>
        <v/>
      </c>
      <c r="D492">
        <f>IF($B492="","",IF(C492="","",TEXT(C492,"MMM")))</f>
        <v/>
      </c>
      <c r="N492">
        <f>IF($B492="","",IF(L492=0,0,M492/L492))</f>
        <v/>
      </c>
    </row>
    <row r="493">
      <c r="A493">
        <f>IF($B493="","",ROW()-5)</f>
        <v/>
      </c>
      <c r="D493">
        <f>IF($B493="","",IF(C493="","",TEXT(C493,"MMM")))</f>
        <v/>
      </c>
      <c r="N493">
        <f>IF($B493="","",IF(L493=0,0,M493/L493))</f>
        <v/>
      </c>
    </row>
    <row r="494">
      <c r="A494">
        <f>IF($B494="","",ROW()-5)</f>
        <v/>
      </c>
      <c r="D494">
        <f>IF($B494="","",IF(C494="","",TEXT(C494,"MMM")))</f>
        <v/>
      </c>
      <c r="N494">
        <f>IF($B494="","",IF(L494=0,0,M494/L494))</f>
        <v/>
      </c>
    </row>
    <row r="495">
      <c r="A495">
        <f>IF($B495="","",ROW()-5)</f>
        <v/>
      </c>
      <c r="D495">
        <f>IF($B495="","",IF(C495="","",TEXT(C495,"MMM")))</f>
        <v/>
      </c>
      <c r="N495">
        <f>IF($B495="","",IF(L495=0,0,M495/L495))</f>
        <v/>
      </c>
    </row>
    <row r="496">
      <c r="A496">
        <f>IF($B496="","",ROW()-5)</f>
        <v/>
      </c>
      <c r="D496">
        <f>IF($B496="","",IF(C496="","",TEXT(C496,"MMM")))</f>
        <v/>
      </c>
      <c r="N496">
        <f>IF($B496="","",IF(L496=0,0,M496/L496))</f>
        <v/>
      </c>
    </row>
    <row r="497">
      <c r="A497">
        <f>IF($B497="","",ROW()-5)</f>
        <v/>
      </c>
      <c r="D497">
        <f>IF($B497="","",IF(C497="","",TEXT(C497,"MMM")))</f>
        <v/>
      </c>
      <c r="N497">
        <f>IF($B497="","",IF(L497=0,0,M497/L497))</f>
        <v/>
      </c>
    </row>
    <row r="498">
      <c r="A498">
        <f>IF($B498="","",ROW()-5)</f>
        <v/>
      </c>
      <c r="D498">
        <f>IF($B498="","",IF(C498="","",TEXT(C498,"MMM")))</f>
        <v/>
      </c>
      <c r="N498">
        <f>IF($B498="","",IF(L498=0,0,M498/L498))</f>
        <v/>
      </c>
    </row>
    <row r="499">
      <c r="A499">
        <f>IF($B499="","",ROW()-5)</f>
        <v/>
      </c>
      <c r="D499">
        <f>IF($B499="","",IF(C499="","",TEXT(C499,"MMM")))</f>
        <v/>
      </c>
      <c r="N499">
        <f>IF($B499="","",IF(L499=0,0,M499/L499))</f>
        <v/>
      </c>
    </row>
    <row r="500">
      <c r="A500">
        <f>IF($B500="","",ROW()-5)</f>
        <v/>
      </c>
      <c r="D500">
        <f>IF($B500="","",IF(C500="","",TEXT(C500,"MMM")))</f>
        <v/>
      </c>
      <c r="N500">
        <f>IF($B500="","",IF(L500=0,0,M500/L500))</f>
        <v/>
      </c>
    </row>
    <row r="501">
      <c r="A501">
        <f>IF($B501="","",ROW()-5)</f>
        <v/>
      </c>
      <c r="D501">
        <f>IF($B501="","",IF(C501="","",TEXT(C501,"MMM")))</f>
        <v/>
      </c>
      <c r="N501">
        <f>IF($B501="","",IF(L501=0,0,M501/L501))</f>
        <v/>
      </c>
    </row>
    <row r="502">
      <c r="A502">
        <f>IF($B502="","",ROW()-5)</f>
        <v/>
      </c>
      <c r="D502">
        <f>IF($B502="","",IF(C502="","",TEXT(C502,"MMM")))</f>
        <v/>
      </c>
      <c r="N502">
        <f>IF($B502="","",IF(L502=0,0,M502/L502))</f>
        <v/>
      </c>
    </row>
    <row r="503">
      <c r="A503">
        <f>IF($B503="","",ROW()-5)</f>
        <v/>
      </c>
      <c r="D503">
        <f>IF($B503="","",IF(C503="","",TEXT(C503,"MMM")))</f>
        <v/>
      </c>
      <c r="N503">
        <f>IF($B503="","",IF(L503=0,0,M503/L503))</f>
        <v/>
      </c>
    </row>
    <row r="504">
      <c r="A504">
        <f>IF($B504="","",ROW()-5)</f>
        <v/>
      </c>
      <c r="D504">
        <f>IF($B504="","",IF(C504="","",TEXT(C504,"MMM")))</f>
        <v/>
      </c>
      <c r="N504">
        <f>IF($B504="","",IF(L504=0,0,M504/L504))</f>
        <v/>
      </c>
    </row>
    <row r="505">
      <c r="A505">
        <f>IF($B505="","",ROW()-5)</f>
        <v/>
      </c>
      <c r="D505">
        <f>IF($B505="","",IF(C505="","",TEXT(C505,"MMM")))</f>
        <v/>
      </c>
      <c r="N505">
        <f>IF($B505="","",IF(L505=0,0,M505/L505))</f>
        <v/>
      </c>
    </row>
    <row r="506">
      <c r="A506">
        <f>IF($B506="","",ROW()-5)</f>
        <v/>
      </c>
      <c r="D506">
        <f>IF($B506="","",IF(C506="","",TEXT(C506,"MMM")))</f>
        <v/>
      </c>
      <c r="N506">
        <f>IF($B506="","",IF(L506=0,0,M506/L506))</f>
        <v/>
      </c>
    </row>
  </sheetData>
  <autoFilter ref="A4:N20"/>
  <mergeCells count="4">
    <mergeCell ref="L3:N3"/>
    <mergeCell ref="A2:N2"/>
    <mergeCell ref="A3:D3"/>
    <mergeCell ref="A1:N1"/>
  </mergeCells>
  <conditionalFormatting sqref="J6:J20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K6:K20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4">
    <dataValidation sqref="E6:E506" showDropDown="0" showInputMessage="0" showErrorMessage="0" allowBlank="1" type="list">
      <formula1>L_Type</formula1>
      <formula2>0</formula2>
    </dataValidation>
    <dataValidation sqref="I6:I506" showDropDown="0" showInputMessage="0" showErrorMessage="0" allowBlank="1" type="list">
      <formula1>L_Distribution_Method</formula1>
      <formula2>0</formula2>
    </dataValidation>
    <dataValidation sqref="J6:J506" showDropDown="0" showInputMessage="0" showErrorMessage="0" allowBlank="1" type="list">
      <formula1>L_Risk_Level</formula1>
      <formula2>0</formula2>
    </dataValidation>
    <dataValidation sqref="K6:K506" showDropDown="0" showInputMessage="0" showErrorMessage="0" allowBlank="1" type="list">
      <formula1>L_Status_2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B71C1C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8" customWidth="1" style="15" min="5" max="5"/>
    <col width="14" customWidth="1" style="15" min="6" max="6"/>
    <col width="16" customWidth="1" style="15" min="7" max="7"/>
    <col width="12" customWidth="1" style="15" min="8" max="9"/>
    <col width="10" customWidth="1" style="15" min="10" max="10"/>
    <col width="12" customWidth="1" style="15" min="11" max="12"/>
    <col width="14" customWidth="1" style="15" min="13" max="13"/>
    <col width="12" customWidth="1" style="15" min="14" max="15"/>
  </cols>
  <sheetData>
    <row r="1" ht="42" customHeight="1" s="15">
      <c r="A1" s="202" t="inlineStr">
        <is>
          <t>🚨  EMERGENCY DRILLS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CLASSIFICATION</t>
        </is>
      </c>
      <c r="F3" s="39" t="inlineStr">
        <is>
          <t>ORGANIZATIONAL</t>
        </is>
      </c>
      <c r="G3" s="17" t="inlineStr">
        <is>
          <t>PEOPLE</t>
        </is>
      </c>
      <c r="H3" s="40" t="inlineStr">
        <is>
          <t>PARTICIPATION</t>
        </is>
      </c>
      <c r="K3" s="18" t="inlineStr">
        <is>
          <t>PERFORMANCE</t>
        </is>
      </c>
      <c r="M3" s="19" t="inlineStr">
        <is>
          <t>QUALITY</t>
        </is>
      </c>
      <c r="N3" s="20" t="inlineStr">
        <is>
          <t>FOLLOW-UP</t>
        </is>
      </c>
      <c r="O3" s="204" t="inlineStr">
        <is>
          <t>STATUS</t>
        </is>
      </c>
    </row>
    <row r="4" ht="31.5" customHeight="1" s="15">
      <c r="A4" s="45" t="inlineStr">
        <is>
          <t>S.No</t>
        </is>
      </c>
      <c r="B4" s="45" t="inlineStr">
        <is>
          <t>Drill ID</t>
        </is>
      </c>
      <c r="C4" s="45" t="inlineStr">
        <is>
          <t>Date</t>
        </is>
      </c>
      <c r="D4" s="45" t="inlineStr">
        <is>
          <t>Month</t>
        </is>
      </c>
      <c r="E4" s="45" t="inlineStr">
        <is>
          <t>Drill Type</t>
        </is>
      </c>
      <c r="F4" s="45" t="inlineStr">
        <is>
          <t>Location</t>
        </is>
      </c>
      <c r="G4" s="45" t="inlineStr">
        <is>
          <t>Drill Leader</t>
        </is>
      </c>
      <c r="H4" s="45" t="inlineStr">
        <is>
          <t>Target Participants</t>
        </is>
      </c>
      <c r="I4" s="45" t="inlineStr">
        <is>
          <t>Actual Participants</t>
        </is>
      </c>
      <c r="J4" s="45" t="inlineStr">
        <is>
          <t>Participation %</t>
        </is>
      </c>
      <c r="K4" s="45" t="inlineStr">
        <is>
          <t>Target Response (min)</t>
        </is>
      </c>
      <c r="L4" s="45" t="inlineStr">
        <is>
          <t>Actual Response (min)</t>
        </is>
      </c>
      <c r="M4" s="45" t="inlineStr">
        <is>
          <t>Overall Rating</t>
        </is>
      </c>
      <c r="N4" s="45" t="inlineStr">
        <is>
          <t>Improvement Areas</t>
        </is>
      </c>
      <c r="O4" s="45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2" t="inlineStr">
        <is>
          <t>⚙️ AUTO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DRL-001</t>
        </is>
      </c>
      <c r="C6" s="26" t="n">
        <v>46226</v>
      </c>
      <c r="D6" s="24">
        <f>IF(C6="","",TEXT(C6,"MMM"))</f>
        <v/>
      </c>
      <c r="E6" s="27" t="inlineStr">
        <is>
          <t>Earthquake</t>
        </is>
      </c>
      <c r="F6" s="28" t="inlineStr">
        <is>
          <t>Office</t>
        </is>
      </c>
      <c r="G6" s="27" t="inlineStr">
        <is>
          <t>Tom Brown</t>
        </is>
      </c>
      <c r="H6" s="29" t="n">
        <v>98</v>
      </c>
      <c r="I6" s="29" t="n">
        <v>75</v>
      </c>
      <c r="J6" s="30">
        <f>IF(H6=0,0,I6/H6)</f>
        <v/>
      </c>
      <c r="K6" s="29" t="n">
        <v>14</v>
      </c>
      <c r="L6" s="29" t="n">
        <v>2</v>
      </c>
      <c r="M6" s="28" t="inlineStr">
        <is>
          <t>Good</t>
        </is>
      </c>
      <c r="N6" s="29" t="n">
        <v>4</v>
      </c>
      <c r="O6" s="28" t="inlineStr">
        <is>
          <t>Completed</t>
        </is>
      </c>
    </row>
    <row r="7" ht="15" customHeight="1" s="15">
      <c r="A7" s="31" t="n">
        <v>2</v>
      </c>
      <c r="B7" s="32" t="inlineStr">
        <is>
          <t>DRL-002</t>
        </is>
      </c>
      <c r="C7" s="33" t="n">
        <v>46276</v>
      </c>
      <c r="D7" s="31">
        <f>IF(C7="","",TEXT(C7,"MMM"))</f>
        <v/>
      </c>
      <c r="E7" s="34" t="inlineStr">
        <is>
          <t>Bomb Threat</t>
        </is>
      </c>
      <c r="F7" s="35" t="inlineStr">
        <is>
          <t>Office</t>
        </is>
      </c>
      <c r="G7" s="34" t="inlineStr">
        <is>
          <t>Fatima Al-Said</t>
        </is>
      </c>
      <c r="H7" s="36" t="n">
        <v>42</v>
      </c>
      <c r="I7" s="36" t="n">
        <v>73</v>
      </c>
      <c r="J7" s="37">
        <f>IF(H7=0,0,I7/H7)</f>
        <v/>
      </c>
      <c r="K7" s="36" t="n">
        <v>11</v>
      </c>
      <c r="L7" s="36" t="n">
        <v>7</v>
      </c>
      <c r="M7" s="35" t="inlineStr">
        <is>
          <t>Excellent</t>
        </is>
      </c>
      <c r="N7" s="36" t="n">
        <v>5</v>
      </c>
      <c r="O7" s="35" t="inlineStr">
        <is>
          <t>Action Pending</t>
        </is>
      </c>
    </row>
    <row r="8" ht="15" customHeight="1" s="15">
      <c r="A8" s="24" t="n">
        <v>3</v>
      </c>
      <c r="B8" s="25" t="inlineStr">
        <is>
          <t>DRL-003</t>
        </is>
      </c>
      <c r="C8" s="26" t="n">
        <v>46347</v>
      </c>
      <c r="D8" s="24">
        <f>IF(C8="","",TEXT(C8,"MMM"))</f>
        <v/>
      </c>
      <c r="E8" s="27" t="inlineStr">
        <is>
          <t>Gas Leak</t>
        </is>
      </c>
      <c r="F8" s="28" t="inlineStr">
        <is>
          <t>Tank Farm</t>
        </is>
      </c>
      <c r="G8" s="27" t="inlineStr">
        <is>
          <t>Maria Garcia</t>
        </is>
      </c>
      <c r="H8" s="29" t="n">
        <v>51</v>
      </c>
      <c r="I8" s="29" t="n">
        <v>50</v>
      </c>
      <c r="J8" s="30">
        <f>IF(H8=0,0,I8/H8)</f>
        <v/>
      </c>
      <c r="K8" s="29" t="n">
        <v>11</v>
      </c>
      <c r="L8" s="29" t="n">
        <v>6</v>
      </c>
      <c r="M8" s="28" t="inlineStr">
        <is>
          <t>Good</t>
        </is>
      </c>
      <c r="N8" s="29" t="n">
        <v>2</v>
      </c>
      <c r="O8" s="28" t="inlineStr">
        <is>
          <t>Completed</t>
        </is>
      </c>
    </row>
    <row r="9" ht="15" customHeight="1" s="15">
      <c r="A9" s="31" t="n">
        <v>4</v>
      </c>
      <c r="B9" s="32" t="inlineStr">
        <is>
          <t>DRL-004</t>
        </is>
      </c>
      <c r="C9" s="33" t="n">
        <v>46363</v>
      </c>
      <c r="D9" s="31">
        <f>IF(C9="","",TEXT(C9,"MMM"))</f>
        <v/>
      </c>
      <c r="E9" s="34" t="inlineStr">
        <is>
          <t>Bomb Threat</t>
        </is>
      </c>
      <c r="F9" s="35" t="inlineStr">
        <is>
          <t>Control Room</t>
        </is>
      </c>
      <c r="G9" s="34" t="inlineStr">
        <is>
          <t>Priya Sharma</t>
        </is>
      </c>
      <c r="H9" s="36" t="n">
        <v>64</v>
      </c>
      <c r="I9" s="36" t="n">
        <v>86</v>
      </c>
      <c r="J9" s="37">
        <f>IF(H9=0,0,I9/H9)</f>
        <v/>
      </c>
      <c r="K9" s="36" t="n">
        <v>15</v>
      </c>
      <c r="L9" s="36" t="n">
        <v>6</v>
      </c>
      <c r="M9" s="35" t="inlineStr">
        <is>
          <t>Excellent</t>
        </is>
      </c>
      <c r="N9" s="36" t="n">
        <v>0</v>
      </c>
      <c r="O9" s="35" t="inlineStr">
        <is>
          <t>Action Pending</t>
        </is>
      </c>
    </row>
    <row r="10" ht="15" customHeight="1" s="15">
      <c r="A10" s="24" t="n">
        <v>5</v>
      </c>
      <c r="B10" s="25" t="inlineStr">
        <is>
          <t>DRL-005</t>
        </is>
      </c>
      <c r="C10" s="26" t="n">
        <v>46344</v>
      </c>
      <c r="D10" s="24">
        <f>IF(C10="","",TEXT(C10,"MMM"))</f>
        <v/>
      </c>
      <c r="E10" s="27" t="inlineStr">
        <is>
          <t>Man Overboard</t>
        </is>
      </c>
      <c r="F10" s="28" t="inlineStr">
        <is>
          <t>Office</t>
        </is>
      </c>
      <c r="G10" s="27" t="inlineStr">
        <is>
          <t>Fatima Al-Said</t>
        </is>
      </c>
      <c r="H10" s="29" t="n">
        <v>38</v>
      </c>
      <c r="I10" s="29" t="n">
        <v>52</v>
      </c>
      <c r="J10" s="30">
        <f>IF(H10=0,0,I10/H10)</f>
        <v/>
      </c>
      <c r="K10" s="29" t="n">
        <v>3</v>
      </c>
      <c r="L10" s="29" t="n">
        <v>6</v>
      </c>
      <c r="M10" s="28" t="inlineStr">
        <is>
          <t>Satisfactory</t>
        </is>
      </c>
      <c r="N10" s="29" t="n">
        <v>2</v>
      </c>
      <c r="O10" s="28" t="inlineStr">
        <is>
          <t>Completed</t>
        </is>
      </c>
    </row>
    <row r="11" ht="15" customHeight="1" s="15">
      <c r="A11" s="31" t="n">
        <v>6</v>
      </c>
      <c r="B11" s="32" t="inlineStr">
        <is>
          <t>DRL-006</t>
        </is>
      </c>
      <c r="C11" s="33" t="n">
        <v>46335</v>
      </c>
      <c r="D11" s="31">
        <f>IF(C11="","",TEXT(C11,"MMM"))</f>
        <v/>
      </c>
      <c r="E11" s="34" t="inlineStr">
        <is>
          <t>Bomb Threat</t>
        </is>
      </c>
      <c r="F11" s="35" t="inlineStr">
        <is>
          <t>Workshop</t>
        </is>
      </c>
      <c r="G11" s="34" t="inlineStr">
        <is>
          <t>Maria Garcia</t>
        </is>
      </c>
      <c r="H11" s="36" t="n">
        <v>88</v>
      </c>
      <c r="I11" s="36" t="n">
        <v>49</v>
      </c>
      <c r="J11" s="37">
        <f>IF(H11=0,0,I11/H11)</f>
        <v/>
      </c>
      <c r="K11" s="36" t="n">
        <v>11</v>
      </c>
      <c r="L11" s="36" t="n">
        <v>6</v>
      </c>
      <c r="M11" s="35" t="inlineStr">
        <is>
          <t>Good</t>
        </is>
      </c>
      <c r="N11" s="36" t="n">
        <v>0</v>
      </c>
      <c r="O11" s="35" t="inlineStr">
        <is>
          <t>Action Pending</t>
        </is>
      </c>
    </row>
    <row r="12" ht="15" customHeight="1" s="15">
      <c r="A12" s="24" t="n">
        <v>7</v>
      </c>
      <c r="B12" s="25" t="inlineStr">
        <is>
          <t>DRL-007</t>
        </is>
      </c>
      <c r="C12" s="26" t="n">
        <v>46375</v>
      </c>
      <c r="D12" s="24">
        <f>IF(C12="","",TEXT(C12,"MMM"))</f>
        <v/>
      </c>
      <c r="E12" s="27" t="inlineStr">
        <is>
          <t>Earthquake</t>
        </is>
      </c>
      <c r="F12" s="28" t="inlineStr">
        <is>
          <t>Workshop</t>
        </is>
      </c>
      <c r="G12" s="27" t="inlineStr">
        <is>
          <t>Ahmed Khan</t>
        </is>
      </c>
      <c r="H12" s="29" t="n">
        <v>87</v>
      </c>
      <c r="I12" s="29" t="n">
        <v>43</v>
      </c>
      <c r="J12" s="30">
        <f>IF(H12=0,0,I12/H12)</f>
        <v/>
      </c>
      <c r="K12" s="29" t="n">
        <v>13</v>
      </c>
      <c r="L12" s="29" t="n">
        <v>5</v>
      </c>
      <c r="M12" s="28" t="inlineStr">
        <is>
          <t>Satisfactory</t>
        </is>
      </c>
      <c r="N12" s="29" t="n">
        <v>0</v>
      </c>
      <c r="O12" s="28" t="inlineStr">
        <is>
          <t>Completed</t>
        </is>
      </c>
    </row>
    <row r="13" ht="21.75" customHeight="1" s="15">
      <c r="A13" s="31" t="n">
        <v>8</v>
      </c>
      <c r="B13" s="32" t="inlineStr">
        <is>
          <t>DRL-008</t>
        </is>
      </c>
      <c r="C13" s="33" t="n">
        <v>46196</v>
      </c>
      <c r="D13" s="31">
        <f>IF(C13="","",TEXT(C13,"MMM"))</f>
        <v/>
      </c>
      <c r="E13" s="34" t="inlineStr">
        <is>
          <t>Bomb Threat</t>
        </is>
      </c>
      <c r="F13" s="35" t="inlineStr">
        <is>
          <t>Plant B</t>
        </is>
      </c>
      <c r="G13" s="34" t="inlineStr">
        <is>
          <t>Raj Patel</t>
        </is>
      </c>
      <c r="H13" s="36" t="n">
        <v>20</v>
      </c>
      <c r="I13" s="36" t="n">
        <v>85</v>
      </c>
      <c r="J13" s="37">
        <f>IF(H13=0,0,I13/H13)</f>
        <v/>
      </c>
      <c r="K13" s="36" t="n">
        <v>5</v>
      </c>
      <c r="L13" s="36" t="n">
        <v>8</v>
      </c>
      <c r="M13" s="35" t="inlineStr">
        <is>
          <t>Needs Improvement</t>
        </is>
      </c>
      <c r="N13" s="36" t="n">
        <v>3</v>
      </c>
      <c r="O13" s="35" t="inlineStr">
        <is>
          <t>Action Pending</t>
        </is>
      </c>
    </row>
    <row r="14" ht="15" customHeight="1" s="15">
      <c r="A14" s="24" t="n">
        <v>9</v>
      </c>
      <c r="B14" s="25" t="inlineStr">
        <is>
          <t>DRL-009</t>
        </is>
      </c>
      <c r="C14" s="26" t="n">
        <v>46137</v>
      </c>
      <c r="D14" s="24">
        <f>IF(C14="","",TEXT(C14,"MMM"))</f>
        <v/>
      </c>
      <c r="E14" s="27" t="inlineStr">
        <is>
          <t>Gas Leak</t>
        </is>
      </c>
      <c r="F14" s="28" t="inlineStr">
        <is>
          <t>Control Room</t>
        </is>
      </c>
      <c r="G14" s="27" t="inlineStr">
        <is>
          <t>John Smith</t>
        </is>
      </c>
      <c r="H14" s="29" t="n">
        <v>27</v>
      </c>
      <c r="I14" s="29" t="n">
        <v>26</v>
      </c>
      <c r="J14" s="30">
        <f>IF(H14=0,0,I14/H14)</f>
        <v/>
      </c>
      <c r="K14" s="29" t="n">
        <v>13</v>
      </c>
      <c r="L14" s="29" t="n">
        <v>11</v>
      </c>
      <c r="M14" s="28" t="inlineStr">
        <is>
          <t>Good</t>
        </is>
      </c>
      <c r="N14" s="29" t="n">
        <v>4</v>
      </c>
      <c r="O14" s="28" t="inlineStr">
        <is>
          <t>Action Pending</t>
        </is>
      </c>
    </row>
    <row r="15" ht="15" customHeight="1" s="15">
      <c r="A15" s="31" t="n">
        <v>10</v>
      </c>
      <c r="B15" s="32" t="inlineStr">
        <is>
          <t>DRL-010</t>
        </is>
      </c>
      <c r="C15" s="33" t="n">
        <v>46384</v>
      </c>
      <c r="D15" s="31">
        <f>IF(C15="","",TEXT(C15,"MMM"))</f>
        <v/>
      </c>
      <c r="E15" s="34" t="inlineStr">
        <is>
          <t>Fire Evacuation</t>
        </is>
      </c>
      <c r="F15" s="35" t="inlineStr">
        <is>
          <t>Warehouse</t>
        </is>
      </c>
      <c r="G15" s="34" t="inlineStr">
        <is>
          <t>David Chen</t>
        </is>
      </c>
      <c r="H15" s="36" t="n">
        <v>42</v>
      </c>
      <c r="I15" s="36" t="n">
        <v>19</v>
      </c>
      <c r="J15" s="37">
        <f>IF(H15=0,0,I15/H15)</f>
        <v/>
      </c>
      <c r="K15" s="36" t="n">
        <v>9</v>
      </c>
      <c r="L15" s="36" t="n">
        <v>9</v>
      </c>
      <c r="M15" s="35" t="inlineStr">
        <is>
          <t>Good</t>
        </is>
      </c>
      <c r="N15" s="36" t="n">
        <v>5</v>
      </c>
      <c r="O15" s="35" t="inlineStr">
        <is>
          <t>Completed</t>
        </is>
      </c>
    </row>
    <row r="16" ht="21.75" customHeight="1" s="15">
      <c r="A16" s="24" t="n">
        <v>11</v>
      </c>
      <c r="B16" s="25" t="inlineStr">
        <is>
          <t>DRL-011</t>
        </is>
      </c>
      <c r="C16" s="26" t="n">
        <v>46023</v>
      </c>
      <c r="D16" s="24">
        <f>IF(C16="","",TEXT(C16,"MMM"))</f>
        <v/>
      </c>
      <c r="E16" s="27" t="inlineStr">
        <is>
          <t>Gas Leak</t>
        </is>
      </c>
      <c r="F16" s="28" t="inlineStr">
        <is>
          <t>Plant B</t>
        </is>
      </c>
      <c r="G16" s="27" t="inlineStr">
        <is>
          <t>Fatima Al-Said</t>
        </is>
      </c>
      <c r="H16" s="29" t="n">
        <v>56</v>
      </c>
      <c r="I16" s="29" t="n">
        <v>73</v>
      </c>
      <c r="J16" s="30">
        <f>IF(H16=0,0,I16/H16)</f>
        <v/>
      </c>
      <c r="K16" s="29" t="n">
        <v>13</v>
      </c>
      <c r="L16" s="29" t="n">
        <v>10</v>
      </c>
      <c r="M16" s="28" t="inlineStr">
        <is>
          <t>Needs Improvement</t>
        </is>
      </c>
      <c r="N16" s="29" t="n">
        <v>1</v>
      </c>
      <c r="O16" s="28" t="inlineStr">
        <is>
          <t>Action Pending</t>
        </is>
      </c>
    </row>
    <row r="17" ht="15" customHeight="1" s="15">
      <c r="A17" s="31" t="n">
        <v>12</v>
      </c>
      <c r="B17" s="32" t="inlineStr">
        <is>
          <t>DRL-012</t>
        </is>
      </c>
      <c r="C17" s="33" t="n">
        <v>46243</v>
      </c>
      <c r="D17" s="31">
        <f>IF(C17="","",TEXT(C17,"MMM"))</f>
        <v/>
      </c>
      <c r="E17" s="34" t="inlineStr">
        <is>
          <t>Earthquake</t>
        </is>
      </c>
      <c r="F17" s="35" t="inlineStr">
        <is>
          <t>Plant B</t>
        </is>
      </c>
      <c r="G17" s="34" t="inlineStr">
        <is>
          <t>Fatima Al-Said</t>
        </is>
      </c>
      <c r="H17" s="36" t="n">
        <v>40</v>
      </c>
      <c r="I17" s="36" t="n">
        <v>73</v>
      </c>
      <c r="J17" s="37">
        <f>IF(H17=0,0,I17/H17)</f>
        <v/>
      </c>
      <c r="K17" s="36" t="n">
        <v>13</v>
      </c>
      <c r="L17" s="36" t="n">
        <v>6</v>
      </c>
      <c r="M17" s="35" t="inlineStr">
        <is>
          <t>Good</t>
        </is>
      </c>
      <c r="N17" s="36" t="n">
        <v>0</v>
      </c>
      <c r="O17" s="35" t="inlineStr">
        <is>
          <t>Action Pending</t>
        </is>
      </c>
    </row>
    <row r="18">
      <c r="A18">
        <f>IF($B18="","",ROW()-5)</f>
        <v/>
      </c>
      <c r="D18">
        <f>IF($B18="","",IF(C18="","",TEXT(C18,"MMM")))</f>
        <v/>
      </c>
      <c r="J18">
        <f>IF($B18="","",IF(H18=0,0,I18/H18))</f>
        <v/>
      </c>
    </row>
    <row r="19">
      <c r="A19">
        <f>IF($B19="","",ROW()-5)</f>
        <v/>
      </c>
      <c r="D19">
        <f>IF($B19="","",IF(C19="","",TEXT(C19,"MMM")))</f>
        <v/>
      </c>
      <c r="J19">
        <f>IF($B19="","",IF(H19=0,0,I19/H19))</f>
        <v/>
      </c>
    </row>
    <row r="20">
      <c r="A20">
        <f>IF($B20="","",ROW()-5)</f>
        <v/>
      </c>
      <c r="D20">
        <f>IF($B20="","",IF(C20="","",TEXT(C20,"MMM")))</f>
        <v/>
      </c>
      <c r="J20">
        <f>IF($B20="","",IF(H20=0,0,I20/H20))</f>
        <v/>
      </c>
    </row>
    <row r="21">
      <c r="A21">
        <f>IF($B21="","",ROW()-5)</f>
        <v/>
      </c>
      <c r="D21">
        <f>IF($B21="","",IF(C21="","",TEXT(C21,"MMM")))</f>
        <v/>
      </c>
      <c r="J21">
        <f>IF($B21="","",IF(H21=0,0,I21/H21))</f>
        <v/>
      </c>
    </row>
    <row r="22">
      <c r="A22">
        <f>IF($B22="","",ROW()-5)</f>
        <v/>
      </c>
      <c r="D22">
        <f>IF($B22="","",IF(C22="","",TEXT(C22,"MMM")))</f>
        <v/>
      </c>
      <c r="J22">
        <f>IF($B22="","",IF(H22=0,0,I22/H22))</f>
        <v/>
      </c>
    </row>
    <row r="23">
      <c r="A23">
        <f>IF($B23="","",ROW()-5)</f>
        <v/>
      </c>
      <c r="D23">
        <f>IF($B23="","",IF(C23="","",TEXT(C23,"MMM")))</f>
        <v/>
      </c>
      <c r="J23">
        <f>IF($B23="","",IF(H23=0,0,I23/H23))</f>
        <v/>
      </c>
    </row>
    <row r="24">
      <c r="A24">
        <f>IF($B24="","",ROW()-5)</f>
        <v/>
      </c>
      <c r="D24">
        <f>IF($B24="","",IF(C24="","",TEXT(C24,"MMM")))</f>
        <v/>
      </c>
      <c r="J24">
        <f>IF($B24="","",IF(H24=0,0,I24/H24))</f>
        <v/>
      </c>
    </row>
    <row r="25">
      <c r="A25">
        <f>IF($B25="","",ROW()-5)</f>
        <v/>
      </c>
      <c r="D25">
        <f>IF($B25="","",IF(C25="","",TEXT(C25,"MMM")))</f>
        <v/>
      </c>
      <c r="J25">
        <f>IF($B25="","",IF(H25=0,0,I25/H25))</f>
        <v/>
      </c>
    </row>
    <row r="26">
      <c r="A26">
        <f>IF($B26="","",ROW()-5)</f>
        <v/>
      </c>
      <c r="D26">
        <f>IF($B26="","",IF(C26="","",TEXT(C26,"MMM")))</f>
        <v/>
      </c>
      <c r="J26">
        <f>IF($B26="","",IF(H26=0,0,I26/H26))</f>
        <v/>
      </c>
    </row>
    <row r="27">
      <c r="A27">
        <f>IF($B27="","",ROW()-5)</f>
        <v/>
      </c>
      <c r="D27">
        <f>IF($B27="","",IF(C27="","",TEXT(C27,"MMM")))</f>
        <v/>
      </c>
      <c r="J27">
        <f>IF($B27="","",IF(H27=0,0,I27/H27))</f>
        <v/>
      </c>
    </row>
    <row r="28">
      <c r="A28">
        <f>IF($B28="","",ROW()-5)</f>
        <v/>
      </c>
      <c r="D28">
        <f>IF($B28="","",IF(C28="","",TEXT(C28,"MMM")))</f>
        <v/>
      </c>
      <c r="J28">
        <f>IF($B28="","",IF(H28=0,0,I28/H28))</f>
        <v/>
      </c>
    </row>
    <row r="29">
      <c r="A29">
        <f>IF($B29="","",ROW()-5)</f>
        <v/>
      </c>
      <c r="D29">
        <f>IF($B29="","",IF(C29="","",TEXT(C29,"MMM")))</f>
        <v/>
      </c>
      <c r="J29">
        <f>IF($B29="","",IF(H29=0,0,I29/H29))</f>
        <v/>
      </c>
    </row>
    <row r="30">
      <c r="A30">
        <f>IF($B30="","",ROW()-5)</f>
        <v/>
      </c>
      <c r="D30">
        <f>IF($B30="","",IF(C30="","",TEXT(C30,"MMM")))</f>
        <v/>
      </c>
      <c r="J30">
        <f>IF($B30="","",IF(H30=0,0,I30/H30))</f>
        <v/>
      </c>
    </row>
    <row r="31">
      <c r="A31">
        <f>IF($B31="","",ROW()-5)</f>
        <v/>
      </c>
      <c r="D31">
        <f>IF($B31="","",IF(C31="","",TEXT(C31,"MMM")))</f>
        <v/>
      </c>
      <c r="J31">
        <f>IF($B31="","",IF(H31=0,0,I31/H31))</f>
        <v/>
      </c>
    </row>
    <row r="32">
      <c r="A32">
        <f>IF($B32="","",ROW()-5)</f>
        <v/>
      </c>
      <c r="D32">
        <f>IF($B32="","",IF(C32="","",TEXT(C32,"MMM")))</f>
        <v/>
      </c>
      <c r="J32">
        <f>IF($B32="","",IF(H32=0,0,I32/H32))</f>
        <v/>
      </c>
    </row>
    <row r="33">
      <c r="A33">
        <f>IF($B33="","",ROW()-5)</f>
        <v/>
      </c>
      <c r="D33">
        <f>IF($B33="","",IF(C33="","",TEXT(C33,"MMM")))</f>
        <v/>
      </c>
      <c r="J33">
        <f>IF($B33="","",IF(H33=0,0,I33/H33))</f>
        <v/>
      </c>
    </row>
    <row r="34">
      <c r="A34">
        <f>IF($B34="","",ROW()-5)</f>
        <v/>
      </c>
      <c r="D34">
        <f>IF($B34="","",IF(C34="","",TEXT(C34,"MMM")))</f>
        <v/>
      </c>
      <c r="J34">
        <f>IF($B34="","",IF(H34=0,0,I34/H34))</f>
        <v/>
      </c>
    </row>
    <row r="35">
      <c r="A35">
        <f>IF($B35="","",ROW()-5)</f>
        <v/>
      </c>
      <c r="D35">
        <f>IF($B35="","",IF(C35="","",TEXT(C35,"MMM")))</f>
        <v/>
      </c>
      <c r="J35">
        <f>IF($B35="","",IF(H35=0,0,I35/H35))</f>
        <v/>
      </c>
    </row>
    <row r="36">
      <c r="A36">
        <f>IF($B36="","",ROW()-5)</f>
        <v/>
      </c>
      <c r="D36">
        <f>IF($B36="","",IF(C36="","",TEXT(C36,"MMM")))</f>
        <v/>
      </c>
      <c r="J36">
        <f>IF($B36="","",IF(H36=0,0,I36/H36))</f>
        <v/>
      </c>
    </row>
    <row r="37">
      <c r="A37">
        <f>IF($B37="","",ROW()-5)</f>
        <v/>
      </c>
      <c r="D37">
        <f>IF($B37="","",IF(C37="","",TEXT(C37,"MMM")))</f>
        <v/>
      </c>
      <c r="J37">
        <f>IF($B37="","",IF(H37=0,0,I37/H37))</f>
        <v/>
      </c>
    </row>
    <row r="38">
      <c r="A38">
        <f>IF($B38="","",ROW()-5)</f>
        <v/>
      </c>
      <c r="D38">
        <f>IF($B38="","",IF(C38="","",TEXT(C38,"MMM")))</f>
        <v/>
      </c>
      <c r="J38">
        <f>IF($B38="","",IF(H38=0,0,I38/H38))</f>
        <v/>
      </c>
    </row>
    <row r="39">
      <c r="A39">
        <f>IF($B39="","",ROW()-5)</f>
        <v/>
      </c>
      <c r="D39">
        <f>IF($B39="","",IF(C39="","",TEXT(C39,"MMM")))</f>
        <v/>
      </c>
      <c r="J39">
        <f>IF($B39="","",IF(H39=0,0,I39/H39))</f>
        <v/>
      </c>
    </row>
    <row r="40">
      <c r="A40">
        <f>IF($B40="","",ROW()-5)</f>
        <v/>
      </c>
      <c r="D40">
        <f>IF($B40="","",IF(C40="","",TEXT(C40,"MMM")))</f>
        <v/>
      </c>
      <c r="J40">
        <f>IF($B40="","",IF(H40=0,0,I40/H40))</f>
        <v/>
      </c>
    </row>
    <row r="41">
      <c r="A41">
        <f>IF($B41="","",ROW()-5)</f>
        <v/>
      </c>
      <c r="D41">
        <f>IF($B41="","",IF(C41="","",TEXT(C41,"MMM")))</f>
        <v/>
      </c>
      <c r="J41">
        <f>IF($B41="","",IF(H41=0,0,I41/H41))</f>
        <v/>
      </c>
    </row>
    <row r="42">
      <c r="A42">
        <f>IF($B42="","",ROW()-5)</f>
        <v/>
      </c>
      <c r="D42">
        <f>IF($B42="","",IF(C42="","",TEXT(C42,"MMM")))</f>
        <v/>
      </c>
      <c r="J42">
        <f>IF($B42="","",IF(H42=0,0,I42/H42))</f>
        <v/>
      </c>
    </row>
    <row r="43">
      <c r="A43">
        <f>IF($B43="","",ROW()-5)</f>
        <v/>
      </c>
      <c r="D43">
        <f>IF($B43="","",IF(C43="","",TEXT(C43,"MMM")))</f>
        <v/>
      </c>
      <c r="J43">
        <f>IF($B43="","",IF(H43=0,0,I43/H43))</f>
        <v/>
      </c>
    </row>
    <row r="44">
      <c r="A44">
        <f>IF($B44="","",ROW()-5)</f>
        <v/>
      </c>
      <c r="D44">
        <f>IF($B44="","",IF(C44="","",TEXT(C44,"MMM")))</f>
        <v/>
      </c>
      <c r="J44">
        <f>IF($B44="","",IF(H44=0,0,I44/H44))</f>
        <v/>
      </c>
    </row>
    <row r="45">
      <c r="A45">
        <f>IF($B45="","",ROW()-5)</f>
        <v/>
      </c>
      <c r="D45">
        <f>IF($B45="","",IF(C45="","",TEXT(C45,"MMM")))</f>
        <v/>
      </c>
      <c r="J45">
        <f>IF($B45="","",IF(H45=0,0,I45/H45))</f>
        <v/>
      </c>
    </row>
    <row r="46">
      <c r="A46">
        <f>IF($B46="","",ROW()-5)</f>
        <v/>
      </c>
      <c r="D46">
        <f>IF($B46="","",IF(C46="","",TEXT(C46,"MMM")))</f>
        <v/>
      </c>
      <c r="J46">
        <f>IF($B46="","",IF(H46=0,0,I46/H46))</f>
        <v/>
      </c>
    </row>
    <row r="47">
      <c r="A47">
        <f>IF($B47="","",ROW()-5)</f>
        <v/>
      </c>
      <c r="D47">
        <f>IF($B47="","",IF(C47="","",TEXT(C47,"MMM")))</f>
        <v/>
      </c>
      <c r="J47">
        <f>IF($B47="","",IF(H47=0,0,I47/H47))</f>
        <v/>
      </c>
    </row>
    <row r="48">
      <c r="A48">
        <f>IF($B48="","",ROW()-5)</f>
        <v/>
      </c>
      <c r="D48">
        <f>IF($B48="","",IF(C48="","",TEXT(C48,"MMM")))</f>
        <v/>
      </c>
      <c r="J48">
        <f>IF($B48="","",IF(H48=0,0,I48/H48))</f>
        <v/>
      </c>
    </row>
    <row r="49">
      <c r="A49">
        <f>IF($B49="","",ROW()-5)</f>
        <v/>
      </c>
      <c r="D49">
        <f>IF($B49="","",IF(C49="","",TEXT(C49,"MMM")))</f>
        <v/>
      </c>
      <c r="J49">
        <f>IF($B49="","",IF(H49=0,0,I49/H49))</f>
        <v/>
      </c>
    </row>
    <row r="50">
      <c r="A50">
        <f>IF($B50="","",ROW()-5)</f>
        <v/>
      </c>
      <c r="D50">
        <f>IF($B50="","",IF(C50="","",TEXT(C50,"MMM")))</f>
        <v/>
      </c>
      <c r="J50">
        <f>IF($B50="","",IF(H50=0,0,I50/H50))</f>
        <v/>
      </c>
    </row>
    <row r="51">
      <c r="A51">
        <f>IF($B51="","",ROW()-5)</f>
        <v/>
      </c>
      <c r="D51">
        <f>IF($B51="","",IF(C51="","",TEXT(C51,"MMM")))</f>
        <v/>
      </c>
      <c r="J51">
        <f>IF($B51="","",IF(H51=0,0,I51/H51))</f>
        <v/>
      </c>
    </row>
    <row r="52">
      <c r="A52">
        <f>IF($B52="","",ROW()-5)</f>
        <v/>
      </c>
      <c r="D52">
        <f>IF($B52="","",IF(C52="","",TEXT(C52,"MMM")))</f>
        <v/>
      </c>
      <c r="J52">
        <f>IF($B52="","",IF(H52=0,0,I52/H52))</f>
        <v/>
      </c>
    </row>
    <row r="53">
      <c r="A53">
        <f>IF($B53="","",ROW()-5)</f>
        <v/>
      </c>
      <c r="D53">
        <f>IF($B53="","",IF(C53="","",TEXT(C53,"MMM")))</f>
        <v/>
      </c>
      <c r="J53">
        <f>IF($B53="","",IF(H53=0,0,I53/H53))</f>
        <v/>
      </c>
    </row>
    <row r="54">
      <c r="A54">
        <f>IF($B54="","",ROW()-5)</f>
        <v/>
      </c>
      <c r="D54">
        <f>IF($B54="","",IF(C54="","",TEXT(C54,"MMM")))</f>
        <v/>
      </c>
      <c r="J54">
        <f>IF($B54="","",IF(H54=0,0,I54/H54))</f>
        <v/>
      </c>
    </row>
    <row r="55">
      <c r="A55">
        <f>IF($B55="","",ROW()-5)</f>
        <v/>
      </c>
      <c r="D55">
        <f>IF($B55="","",IF(C55="","",TEXT(C55,"MMM")))</f>
        <v/>
      </c>
      <c r="J55">
        <f>IF($B55="","",IF(H55=0,0,I55/H55))</f>
        <v/>
      </c>
    </row>
    <row r="56">
      <c r="A56">
        <f>IF($B56="","",ROW()-5)</f>
        <v/>
      </c>
      <c r="D56">
        <f>IF($B56="","",IF(C56="","",TEXT(C56,"MMM")))</f>
        <v/>
      </c>
      <c r="J56">
        <f>IF($B56="","",IF(H56=0,0,I56/H56))</f>
        <v/>
      </c>
    </row>
    <row r="57">
      <c r="A57">
        <f>IF($B57="","",ROW()-5)</f>
        <v/>
      </c>
      <c r="D57">
        <f>IF($B57="","",IF(C57="","",TEXT(C57,"MMM")))</f>
        <v/>
      </c>
      <c r="J57">
        <f>IF($B57="","",IF(H57=0,0,I57/H57))</f>
        <v/>
      </c>
    </row>
    <row r="58">
      <c r="A58">
        <f>IF($B58="","",ROW()-5)</f>
        <v/>
      </c>
      <c r="D58">
        <f>IF($B58="","",IF(C58="","",TEXT(C58,"MMM")))</f>
        <v/>
      </c>
      <c r="J58">
        <f>IF($B58="","",IF(H58=0,0,I58/H58))</f>
        <v/>
      </c>
    </row>
    <row r="59">
      <c r="A59">
        <f>IF($B59="","",ROW()-5)</f>
        <v/>
      </c>
      <c r="D59">
        <f>IF($B59="","",IF(C59="","",TEXT(C59,"MMM")))</f>
        <v/>
      </c>
      <c r="J59">
        <f>IF($B59="","",IF(H59=0,0,I59/H59))</f>
        <v/>
      </c>
    </row>
    <row r="60">
      <c r="A60">
        <f>IF($B60="","",ROW()-5)</f>
        <v/>
      </c>
      <c r="D60">
        <f>IF($B60="","",IF(C60="","",TEXT(C60,"MMM")))</f>
        <v/>
      </c>
      <c r="J60">
        <f>IF($B60="","",IF(H60=0,0,I60/H60))</f>
        <v/>
      </c>
    </row>
    <row r="61">
      <c r="A61">
        <f>IF($B61="","",ROW()-5)</f>
        <v/>
      </c>
      <c r="D61">
        <f>IF($B61="","",IF(C61="","",TEXT(C61,"MMM")))</f>
        <v/>
      </c>
      <c r="J61">
        <f>IF($B61="","",IF(H61=0,0,I61/H61))</f>
        <v/>
      </c>
    </row>
    <row r="62">
      <c r="A62">
        <f>IF($B62="","",ROW()-5)</f>
        <v/>
      </c>
      <c r="D62">
        <f>IF($B62="","",IF(C62="","",TEXT(C62,"MMM")))</f>
        <v/>
      </c>
      <c r="J62">
        <f>IF($B62="","",IF(H62=0,0,I62/H62))</f>
        <v/>
      </c>
    </row>
    <row r="63">
      <c r="A63">
        <f>IF($B63="","",ROW()-5)</f>
        <v/>
      </c>
      <c r="D63">
        <f>IF($B63="","",IF(C63="","",TEXT(C63,"MMM")))</f>
        <v/>
      </c>
      <c r="J63">
        <f>IF($B63="","",IF(H63=0,0,I63/H63))</f>
        <v/>
      </c>
    </row>
    <row r="64">
      <c r="A64">
        <f>IF($B64="","",ROW()-5)</f>
        <v/>
      </c>
      <c r="D64">
        <f>IF($B64="","",IF(C64="","",TEXT(C64,"MMM")))</f>
        <v/>
      </c>
      <c r="J64">
        <f>IF($B64="","",IF(H64=0,0,I64/H64))</f>
        <v/>
      </c>
    </row>
    <row r="65">
      <c r="A65">
        <f>IF($B65="","",ROW()-5)</f>
        <v/>
      </c>
      <c r="D65">
        <f>IF($B65="","",IF(C65="","",TEXT(C65,"MMM")))</f>
        <v/>
      </c>
      <c r="J65">
        <f>IF($B65="","",IF(H65=0,0,I65/H65))</f>
        <v/>
      </c>
    </row>
    <row r="66">
      <c r="A66">
        <f>IF($B66="","",ROW()-5)</f>
        <v/>
      </c>
      <c r="D66">
        <f>IF($B66="","",IF(C66="","",TEXT(C66,"MMM")))</f>
        <v/>
      </c>
      <c r="J66">
        <f>IF($B66="","",IF(H66=0,0,I66/H66))</f>
        <v/>
      </c>
    </row>
    <row r="67">
      <c r="A67">
        <f>IF($B67="","",ROW()-5)</f>
        <v/>
      </c>
      <c r="D67">
        <f>IF($B67="","",IF(C67="","",TEXT(C67,"MMM")))</f>
        <v/>
      </c>
      <c r="J67">
        <f>IF($B67="","",IF(H67=0,0,I67/H67))</f>
        <v/>
      </c>
    </row>
    <row r="68">
      <c r="A68">
        <f>IF($B68="","",ROW()-5)</f>
        <v/>
      </c>
      <c r="D68">
        <f>IF($B68="","",IF(C68="","",TEXT(C68,"MMM")))</f>
        <v/>
      </c>
      <c r="J68">
        <f>IF($B68="","",IF(H68=0,0,I68/H68))</f>
        <v/>
      </c>
    </row>
    <row r="69">
      <c r="A69">
        <f>IF($B69="","",ROW()-5)</f>
        <v/>
      </c>
      <c r="D69">
        <f>IF($B69="","",IF(C69="","",TEXT(C69,"MMM")))</f>
        <v/>
      </c>
      <c r="J69">
        <f>IF($B69="","",IF(H69=0,0,I69/H69))</f>
        <v/>
      </c>
    </row>
    <row r="70">
      <c r="A70">
        <f>IF($B70="","",ROW()-5)</f>
        <v/>
      </c>
      <c r="D70">
        <f>IF($B70="","",IF(C70="","",TEXT(C70,"MMM")))</f>
        <v/>
      </c>
      <c r="J70">
        <f>IF($B70="","",IF(H70=0,0,I70/H70))</f>
        <v/>
      </c>
    </row>
    <row r="71">
      <c r="A71">
        <f>IF($B71="","",ROW()-5)</f>
        <v/>
      </c>
      <c r="D71">
        <f>IF($B71="","",IF(C71="","",TEXT(C71,"MMM")))</f>
        <v/>
      </c>
      <c r="J71">
        <f>IF($B71="","",IF(H71=0,0,I71/H71))</f>
        <v/>
      </c>
    </row>
    <row r="72">
      <c r="A72">
        <f>IF($B72="","",ROW()-5)</f>
        <v/>
      </c>
      <c r="D72">
        <f>IF($B72="","",IF(C72="","",TEXT(C72,"MMM")))</f>
        <v/>
      </c>
      <c r="J72">
        <f>IF($B72="","",IF(H72=0,0,I72/H72))</f>
        <v/>
      </c>
    </row>
    <row r="73">
      <c r="A73">
        <f>IF($B73="","",ROW()-5)</f>
        <v/>
      </c>
      <c r="D73">
        <f>IF($B73="","",IF(C73="","",TEXT(C73,"MMM")))</f>
        <v/>
      </c>
      <c r="J73">
        <f>IF($B73="","",IF(H73=0,0,I73/H73))</f>
        <v/>
      </c>
    </row>
    <row r="74">
      <c r="A74">
        <f>IF($B74="","",ROW()-5)</f>
        <v/>
      </c>
      <c r="D74">
        <f>IF($B74="","",IF(C74="","",TEXT(C74,"MMM")))</f>
        <v/>
      </c>
      <c r="J74">
        <f>IF($B74="","",IF(H74=0,0,I74/H74))</f>
        <v/>
      </c>
    </row>
    <row r="75">
      <c r="A75">
        <f>IF($B75="","",ROW()-5)</f>
        <v/>
      </c>
      <c r="D75">
        <f>IF($B75="","",IF(C75="","",TEXT(C75,"MMM")))</f>
        <v/>
      </c>
      <c r="J75">
        <f>IF($B75="","",IF(H75=0,0,I75/H75))</f>
        <v/>
      </c>
    </row>
    <row r="76">
      <c r="A76">
        <f>IF($B76="","",ROW()-5)</f>
        <v/>
      </c>
      <c r="D76">
        <f>IF($B76="","",IF(C76="","",TEXT(C76,"MMM")))</f>
        <v/>
      </c>
      <c r="J76">
        <f>IF($B76="","",IF(H76=0,0,I76/H76))</f>
        <v/>
      </c>
    </row>
    <row r="77">
      <c r="A77">
        <f>IF($B77="","",ROW()-5)</f>
        <v/>
      </c>
      <c r="D77">
        <f>IF($B77="","",IF(C77="","",TEXT(C77,"MMM")))</f>
        <v/>
      </c>
      <c r="J77">
        <f>IF($B77="","",IF(H77=0,0,I77/H77))</f>
        <v/>
      </c>
    </row>
    <row r="78">
      <c r="A78">
        <f>IF($B78="","",ROW()-5)</f>
        <v/>
      </c>
      <c r="D78">
        <f>IF($B78="","",IF(C78="","",TEXT(C78,"MMM")))</f>
        <v/>
      </c>
      <c r="J78">
        <f>IF($B78="","",IF(H78=0,0,I78/H78))</f>
        <v/>
      </c>
    </row>
    <row r="79">
      <c r="A79">
        <f>IF($B79="","",ROW()-5)</f>
        <v/>
      </c>
      <c r="D79">
        <f>IF($B79="","",IF(C79="","",TEXT(C79,"MMM")))</f>
        <v/>
      </c>
      <c r="J79">
        <f>IF($B79="","",IF(H79=0,0,I79/H79))</f>
        <v/>
      </c>
    </row>
    <row r="80">
      <c r="A80">
        <f>IF($B80="","",ROW()-5)</f>
        <v/>
      </c>
      <c r="D80">
        <f>IF($B80="","",IF(C80="","",TEXT(C80,"MMM")))</f>
        <v/>
      </c>
      <c r="J80">
        <f>IF($B80="","",IF(H80=0,0,I80/H80))</f>
        <v/>
      </c>
    </row>
    <row r="81">
      <c r="A81">
        <f>IF($B81="","",ROW()-5)</f>
        <v/>
      </c>
      <c r="D81">
        <f>IF($B81="","",IF(C81="","",TEXT(C81,"MMM")))</f>
        <v/>
      </c>
      <c r="J81">
        <f>IF($B81="","",IF(H81=0,0,I81/H81))</f>
        <v/>
      </c>
    </row>
    <row r="82">
      <c r="A82">
        <f>IF($B82="","",ROW()-5)</f>
        <v/>
      </c>
      <c r="D82">
        <f>IF($B82="","",IF(C82="","",TEXT(C82,"MMM")))</f>
        <v/>
      </c>
      <c r="J82">
        <f>IF($B82="","",IF(H82=0,0,I82/H82))</f>
        <v/>
      </c>
    </row>
    <row r="83">
      <c r="A83">
        <f>IF($B83="","",ROW()-5)</f>
        <v/>
      </c>
      <c r="D83">
        <f>IF($B83="","",IF(C83="","",TEXT(C83,"MMM")))</f>
        <v/>
      </c>
      <c r="J83">
        <f>IF($B83="","",IF(H83=0,0,I83/H83))</f>
        <v/>
      </c>
    </row>
    <row r="84">
      <c r="A84">
        <f>IF($B84="","",ROW()-5)</f>
        <v/>
      </c>
      <c r="D84">
        <f>IF($B84="","",IF(C84="","",TEXT(C84,"MMM")))</f>
        <v/>
      </c>
      <c r="J84">
        <f>IF($B84="","",IF(H84=0,0,I84/H84))</f>
        <v/>
      </c>
    </row>
    <row r="85">
      <c r="A85">
        <f>IF($B85="","",ROW()-5)</f>
        <v/>
      </c>
      <c r="D85">
        <f>IF($B85="","",IF(C85="","",TEXT(C85,"MMM")))</f>
        <v/>
      </c>
      <c r="J85">
        <f>IF($B85="","",IF(H85=0,0,I85/H85))</f>
        <v/>
      </c>
    </row>
    <row r="86">
      <c r="A86">
        <f>IF($B86="","",ROW()-5)</f>
        <v/>
      </c>
      <c r="D86">
        <f>IF($B86="","",IF(C86="","",TEXT(C86,"MMM")))</f>
        <v/>
      </c>
      <c r="J86">
        <f>IF($B86="","",IF(H86=0,0,I86/H86))</f>
        <v/>
      </c>
    </row>
    <row r="87">
      <c r="A87">
        <f>IF($B87="","",ROW()-5)</f>
        <v/>
      </c>
      <c r="D87">
        <f>IF($B87="","",IF(C87="","",TEXT(C87,"MMM")))</f>
        <v/>
      </c>
      <c r="J87">
        <f>IF($B87="","",IF(H87=0,0,I87/H87))</f>
        <v/>
      </c>
    </row>
    <row r="88">
      <c r="A88">
        <f>IF($B88="","",ROW()-5)</f>
        <v/>
      </c>
      <c r="D88">
        <f>IF($B88="","",IF(C88="","",TEXT(C88,"MMM")))</f>
        <v/>
      </c>
      <c r="J88">
        <f>IF($B88="","",IF(H88=0,0,I88/H88))</f>
        <v/>
      </c>
    </row>
    <row r="89">
      <c r="A89">
        <f>IF($B89="","",ROW()-5)</f>
        <v/>
      </c>
      <c r="D89">
        <f>IF($B89="","",IF(C89="","",TEXT(C89,"MMM")))</f>
        <v/>
      </c>
      <c r="J89">
        <f>IF($B89="","",IF(H89=0,0,I89/H89))</f>
        <v/>
      </c>
    </row>
    <row r="90">
      <c r="A90">
        <f>IF($B90="","",ROW()-5)</f>
        <v/>
      </c>
      <c r="D90">
        <f>IF($B90="","",IF(C90="","",TEXT(C90,"MMM")))</f>
        <v/>
      </c>
      <c r="J90">
        <f>IF($B90="","",IF(H90=0,0,I90/H90))</f>
        <v/>
      </c>
    </row>
    <row r="91">
      <c r="A91">
        <f>IF($B91="","",ROW()-5)</f>
        <v/>
      </c>
      <c r="D91">
        <f>IF($B91="","",IF(C91="","",TEXT(C91,"MMM")))</f>
        <v/>
      </c>
      <c r="J91">
        <f>IF($B91="","",IF(H91=0,0,I91/H91))</f>
        <v/>
      </c>
    </row>
    <row r="92">
      <c r="A92">
        <f>IF($B92="","",ROW()-5)</f>
        <v/>
      </c>
      <c r="D92">
        <f>IF($B92="","",IF(C92="","",TEXT(C92,"MMM")))</f>
        <v/>
      </c>
      <c r="J92">
        <f>IF($B92="","",IF(H92=0,0,I92/H92))</f>
        <v/>
      </c>
    </row>
    <row r="93">
      <c r="A93">
        <f>IF($B93="","",ROW()-5)</f>
        <v/>
      </c>
      <c r="D93">
        <f>IF($B93="","",IF(C93="","",TEXT(C93,"MMM")))</f>
        <v/>
      </c>
      <c r="J93">
        <f>IF($B93="","",IF(H93=0,0,I93/H93))</f>
        <v/>
      </c>
    </row>
    <row r="94">
      <c r="A94">
        <f>IF($B94="","",ROW()-5)</f>
        <v/>
      </c>
      <c r="D94">
        <f>IF($B94="","",IF(C94="","",TEXT(C94,"MMM")))</f>
        <v/>
      </c>
      <c r="J94">
        <f>IF($B94="","",IF(H94=0,0,I94/H94))</f>
        <v/>
      </c>
    </row>
    <row r="95">
      <c r="A95">
        <f>IF($B95="","",ROW()-5)</f>
        <v/>
      </c>
      <c r="D95">
        <f>IF($B95="","",IF(C95="","",TEXT(C95,"MMM")))</f>
        <v/>
      </c>
      <c r="J95">
        <f>IF($B95="","",IF(H95=0,0,I95/H95))</f>
        <v/>
      </c>
    </row>
    <row r="96">
      <c r="A96">
        <f>IF($B96="","",ROW()-5)</f>
        <v/>
      </c>
      <c r="D96">
        <f>IF($B96="","",IF(C96="","",TEXT(C96,"MMM")))</f>
        <v/>
      </c>
      <c r="J96">
        <f>IF($B96="","",IF(H96=0,0,I96/H96))</f>
        <v/>
      </c>
    </row>
    <row r="97">
      <c r="A97">
        <f>IF($B97="","",ROW()-5)</f>
        <v/>
      </c>
      <c r="D97">
        <f>IF($B97="","",IF(C97="","",TEXT(C97,"MMM")))</f>
        <v/>
      </c>
      <c r="J97">
        <f>IF($B97="","",IF(H97=0,0,I97/H97))</f>
        <v/>
      </c>
    </row>
    <row r="98">
      <c r="A98">
        <f>IF($B98="","",ROW()-5)</f>
        <v/>
      </c>
      <c r="D98">
        <f>IF($B98="","",IF(C98="","",TEXT(C98,"MMM")))</f>
        <v/>
      </c>
      <c r="J98">
        <f>IF($B98="","",IF(H98=0,0,I98/H98))</f>
        <v/>
      </c>
    </row>
    <row r="99">
      <c r="A99">
        <f>IF($B99="","",ROW()-5)</f>
        <v/>
      </c>
      <c r="D99">
        <f>IF($B99="","",IF(C99="","",TEXT(C99,"MMM")))</f>
        <v/>
      </c>
      <c r="J99">
        <f>IF($B99="","",IF(H99=0,0,I99/H99))</f>
        <v/>
      </c>
    </row>
    <row r="100">
      <c r="A100">
        <f>IF($B100="","",ROW()-5)</f>
        <v/>
      </c>
      <c r="D100">
        <f>IF($B100="","",IF(C100="","",TEXT(C100,"MMM")))</f>
        <v/>
      </c>
      <c r="J100">
        <f>IF($B100="","",IF(H100=0,0,I100/H100))</f>
        <v/>
      </c>
    </row>
    <row r="101">
      <c r="A101">
        <f>IF($B101="","",ROW()-5)</f>
        <v/>
      </c>
      <c r="D101">
        <f>IF($B101="","",IF(C101="","",TEXT(C101,"MMM")))</f>
        <v/>
      </c>
      <c r="J101">
        <f>IF($B101="","",IF(H101=0,0,I101/H101))</f>
        <v/>
      </c>
    </row>
    <row r="102">
      <c r="A102">
        <f>IF($B102="","",ROW()-5)</f>
        <v/>
      </c>
      <c r="D102">
        <f>IF($B102="","",IF(C102="","",TEXT(C102,"MMM")))</f>
        <v/>
      </c>
      <c r="J102">
        <f>IF($B102="","",IF(H102=0,0,I102/H102))</f>
        <v/>
      </c>
    </row>
    <row r="103">
      <c r="A103">
        <f>IF($B103="","",ROW()-5)</f>
        <v/>
      </c>
      <c r="D103">
        <f>IF($B103="","",IF(C103="","",TEXT(C103,"MMM")))</f>
        <v/>
      </c>
      <c r="J103">
        <f>IF($B103="","",IF(H103=0,0,I103/H103))</f>
        <v/>
      </c>
    </row>
    <row r="104">
      <c r="A104">
        <f>IF($B104="","",ROW()-5)</f>
        <v/>
      </c>
      <c r="D104">
        <f>IF($B104="","",IF(C104="","",TEXT(C104,"MMM")))</f>
        <v/>
      </c>
      <c r="J104">
        <f>IF($B104="","",IF(H104=0,0,I104/H104))</f>
        <v/>
      </c>
    </row>
    <row r="105">
      <c r="A105">
        <f>IF($B105="","",ROW()-5)</f>
        <v/>
      </c>
      <c r="D105">
        <f>IF($B105="","",IF(C105="","",TEXT(C105,"MMM")))</f>
        <v/>
      </c>
      <c r="J105">
        <f>IF($B105="","",IF(H105=0,0,I105/H105))</f>
        <v/>
      </c>
    </row>
    <row r="106">
      <c r="A106">
        <f>IF($B106="","",ROW()-5)</f>
        <v/>
      </c>
      <c r="D106">
        <f>IF($B106="","",IF(C106="","",TEXT(C106,"MMM")))</f>
        <v/>
      </c>
      <c r="J106">
        <f>IF($B106="","",IF(H106=0,0,I106/H106))</f>
        <v/>
      </c>
    </row>
    <row r="107">
      <c r="A107">
        <f>IF($B107="","",ROW()-5)</f>
        <v/>
      </c>
      <c r="D107">
        <f>IF($B107="","",IF(C107="","",TEXT(C107,"MMM")))</f>
        <v/>
      </c>
      <c r="J107">
        <f>IF($B107="","",IF(H107=0,0,I107/H107))</f>
        <v/>
      </c>
    </row>
    <row r="108">
      <c r="A108">
        <f>IF($B108="","",ROW()-5)</f>
        <v/>
      </c>
      <c r="D108">
        <f>IF($B108="","",IF(C108="","",TEXT(C108,"MMM")))</f>
        <v/>
      </c>
      <c r="J108">
        <f>IF($B108="","",IF(H108=0,0,I108/H108))</f>
        <v/>
      </c>
    </row>
    <row r="109">
      <c r="A109">
        <f>IF($B109="","",ROW()-5)</f>
        <v/>
      </c>
      <c r="D109">
        <f>IF($B109="","",IF(C109="","",TEXT(C109,"MMM")))</f>
        <v/>
      </c>
      <c r="J109">
        <f>IF($B109="","",IF(H109=0,0,I109/H109))</f>
        <v/>
      </c>
    </row>
    <row r="110">
      <c r="A110">
        <f>IF($B110="","",ROW()-5)</f>
        <v/>
      </c>
      <c r="D110">
        <f>IF($B110="","",IF(C110="","",TEXT(C110,"MMM")))</f>
        <v/>
      </c>
      <c r="J110">
        <f>IF($B110="","",IF(H110=0,0,I110/H110))</f>
        <v/>
      </c>
    </row>
    <row r="111">
      <c r="A111">
        <f>IF($B111="","",ROW()-5)</f>
        <v/>
      </c>
      <c r="D111">
        <f>IF($B111="","",IF(C111="","",TEXT(C111,"MMM")))</f>
        <v/>
      </c>
      <c r="J111">
        <f>IF($B111="","",IF(H111=0,0,I111/H111))</f>
        <v/>
      </c>
    </row>
    <row r="112">
      <c r="A112">
        <f>IF($B112="","",ROW()-5)</f>
        <v/>
      </c>
      <c r="D112">
        <f>IF($B112="","",IF(C112="","",TEXT(C112,"MMM")))</f>
        <v/>
      </c>
      <c r="J112">
        <f>IF($B112="","",IF(H112=0,0,I112/H112))</f>
        <v/>
      </c>
    </row>
    <row r="113">
      <c r="A113">
        <f>IF($B113="","",ROW()-5)</f>
        <v/>
      </c>
      <c r="D113">
        <f>IF($B113="","",IF(C113="","",TEXT(C113,"MMM")))</f>
        <v/>
      </c>
      <c r="J113">
        <f>IF($B113="","",IF(H113=0,0,I113/H113))</f>
        <v/>
      </c>
    </row>
    <row r="114">
      <c r="A114">
        <f>IF($B114="","",ROW()-5)</f>
        <v/>
      </c>
      <c r="D114">
        <f>IF($B114="","",IF(C114="","",TEXT(C114,"MMM")))</f>
        <v/>
      </c>
      <c r="J114">
        <f>IF($B114="","",IF(H114=0,0,I114/H114))</f>
        <v/>
      </c>
    </row>
    <row r="115">
      <c r="A115">
        <f>IF($B115="","",ROW()-5)</f>
        <v/>
      </c>
      <c r="D115">
        <f>IF($B115="","",IF(C115="","",TEXT(C115,"MMM")))</f>
        <v/>
      </c>
      <c r="J115">
        <f>IF($B115="","",IF(H115=0,0,I115/H115))</f>
        <v/>
      </c>
    </row>
    <row r="116">
      <c r="A116">
        <f>IF($B116="","",ROW()-5)</f>
        <v/>
      </c>
      <c r="D116">
        <f>IF($B116="","",IF(C116="","",TEXT(C116,"MMM")))</f>
        <v/>
      </c>
      <c r="J116">
        <f>IF($B116="","",IF(H116=0,0,I116/H116))</f>
        <v/>
      </c>
    </row>
    <row r="117">
      <c r="A117">
        <f>IF($B117="","",ROW()-5)</f>
        <v/>
      </c>
      <c r="D117">
        <f>IF($B117="","",IF(C117="","",TEXT(C117,"MMM")))</f>
        <v/>
      </c>
      <c r="J117">
        <f>IF($B117="","",IF(H117=0,0,I117/H117))</f>
        <v/>
      </c>
    </row>
    <row r="118">
      <c r="A118">
        <f>IF($B118="","",ROW()-5)</f>
        <v/>
      </c>
      <c r="D118">
        <f>IF($B118="","",IF(C118="","",TEXT(C118,"MMM")))</f>
        <v/>
      </c>
      <c r="J118">
        <f>IF($B118="","",IF(H118=0,0,I118/H118))</f>
        <v/>
      </c>
    </row>
    <row r="119">
      <c r="A119">
        <f>IF($B119="","",ROW()-5)</f>
        <v/>
      </c>
      <c r="D119">
        <f>IF($B119="","",IF(C119="","",TEXT(C119,"MMM")))</f>
        <v/>
      </c>
      <c r="J119">
        <f>IF($B119="","",IF(H119=0,0,I119/H119))</f>
        <v/>
      </c>
    </row>
    <row r="120">
      <c r="A120">
        <f>IF($B120="","",ROW()-5)</f>
        <v/>
      </c>
      <c r="D120">
        <f>IF($B120="","",IF(C120="","",TEXT(C120,"MMM")))</f>
        <v/>
      </c>
      <c r="J120">
        <f>IF($B120="","",IF(H120=0,0,I120/H120))</f>
        <v/>
      </c>
    </row>
    <row r="121">
      <c r="A121">
        <f>IF($B121="","",ROW()-5)</f>
        <v/>
      </c>
      <c r="D121">
        <f>IF($B121="","",IF(C121="","",TEXT(C121,"MMM")))</f>
        <v/>
      </c>
      <c r="J121">
        <f>IF($B121="","",IF(H121=0,0,I121/H121))</f>
        <v/>
      </c>
    </row>
    <row r="122">
      <c r="A122">
        <f>IF($B122="","",ROW()-5)</f>
        <v/>
      </c>
      <c r="D122">
        <f>IF($B122="","",IF(C122="","",TEXT(C122,"MMM")))</f>
        <v/>
      </c>
      <c r="J122">
        <f>IF($B122="","",IF(H122=0,0,I122/H122))</f>
        <v/>
      </c>
    </row>
    <row r="123">
      <c r="A123">
        <f>IF($B123="","",ROW()-5)</f>
        <v/>
      </c>
      <c r="D123">
        <f>IF($B123="","",IF(C123="","",TEXT(C123,"MMM")))</f>
        <v/>
      </c>
      <c r="J123">
        <f>IF($B123="","",IF(H123=0,0,I123/H123))</f>
        <v/>
      </c>
    </row>
    <row r="124">
      <c r="A124">
        <f>IF($B124="","",ROW()-5)</f>
        <v/>
      </c>
      <c r="D124">
        <f>IF($B124="","",IF(C124="","",TEXT(C124,"MMM")))</f>
        <v/>
      </c>
      <c r="J124">
        <f>IF($B124="","",IF(H124=0,0,I124/H124))</f>
        <v/>
      </c>
    </row>
    <row r="125">
      <c r="A125">
        <f>IF($B125="","",ROW()-5)</f>
        <v/>
      </c>
      <c r="D125">
        <f>IF($B125="","",IF(C125="","",TEXT(C125,"MMM")))</f>
        <v/>
      </c>
      <c r="J125">
        <f>IF($B125="","",IF(H125=0,0,I125/H125))</f>
        <v/>
      </c>
    </row>
    <row r="126">
      <c r="A126">
        <f>IF($B126="","",ROW()-5)</f>
        <v/>
      </c>
      <c r="D126">
        <f>IF($B126="","",IF(C126="","",TEXT(C126,"MMM")))</f>
        <v/>
      </c>
      <c r="J126">
        <f>IF($B126="","",IF(H126=0,0,I126/H126))</f>
        <v/>
      </c>
    </row>
    <row r="127">
      <c r="A127">
        <f>IF($B127="","",ROW()-5)</f>
        <v/>
      </c>
      <c r="D127">
        <f>IF($B127="","",IF(C127="","",TEXT(C127,"MMM")))</f>
        <v/>
      </c>
      <c r="J127">
        <f>IF($B127="","",IF(H127=0,0,I127/H127))</f>
        <v/>
      </c>
    </row>
    <row r="128">
      <c r="A128">
        <f>IF($B128="","",ROW()-5)</f>
        <v/>
      </c>
      <c r="D128">
        <f>IF($B128="","",IF(C128="","",TEXT(C128,"MMM")))</f>
        <v/>
      </c>
      <c r="J128">
        <f>IF($B128="","",IF(H128=0,0,I128/H128))</f>
        <v/>
      </c>
    </row>
    <row r="129">
      <c r="A129">
        <f>IF($B129="","",ROW()-5)</f>
        <v/>
      </c>
      <c r="D129">
        <f>IF($B129="","",IF(C129="","",TEXT(C129,"MMM")))</f>
        <v/>
      </c>
      <c r="J129">
        <f>IF($B129="","",IF(H129=0,0,I129/H129))</f>
        <v/>
      </c>
    </row>
    <row r="130">
      <c r="A130">
        <f>IF($B130="","",ROW()-5)</f>
        <v/>
      </c>
      <c r="D130">
        <f>IF($B130="","",IF(C130="","",TEXT(C130,"MMM")))</f>
        <v/>
      </c>
      <c r="J130">
        <f>IF($B130="","",IF(H130=0,0,I130/H130))</f>
        <v/>
      </c>
    </row>
    <row r="131">
      <c r="A131">
        <f>IF($B131="","",ROW()-5)</f>
        <v/>
      </c>
      <c r="D131">
        <f>IF($B131="","",IF(C131="","",TEXT(C131,"MMM")))</f>
        <v/>
      </c>
      <c r="J131">
        <f>IF($B131="","",IF(H131=0,0,I131/H131))</f>
        <v/>
      </c>
    </row>
    <row r="132">
      <c r="A132">
        <f>IF($B132="","",ROW()-5)</f>
        <v/>
      </c>
      <c r="D132">
        <f>IF($B132="","",IF(C132="","",TEXT(C132,"MMM")))</f>
        <v/>
      </c>
      <c r="J132">
        <f>IF($B132="","",IF(H132=0,0,I132/H132))</f>
        <v/>
      </c>
    </row>
    <row r="133">
      <c r="A133">
        <f>IF($B133="","",ROW()-5)</f>
        <v/>
      </c>
      <c r="D133">
        <f>IF($B133="","",IF(C133="","",TEXT(C133,"MMM")))</f>
        <v/>
      </c>
      <c r="J133">
        <f>IF($B133="","",IF(H133=0,0,I133/H133))</f>
        <v/>
      </c>
    </row>
    <row r="134">
      <c r="A134">
        <f>IF($B134="","",ROW()-5)</f>
        <v/>
      </c>
      <c r="D134">
        <f>IF($B134="","",IF(C134="","",TEXT(C134,"MMM")))</f>
        <v/>
      </c>
      <c r="J134">
        <f>IF($B134="","",IF(H134=0,0,I134/H134))</f>
        <v/>
      </c>
    </row>
    <row r="135">
      <c r="A135">
        <f>IF($B135="","",ROW()-5)</f>
        <v/>
      </c>
      <c r="D135">
        <f>IF($B135="","",IF(C135="","",TEXT(C135,"MMM")))</f>
        <v/>
      </c>
      <c r="J135">
        <f>IF($B135="","",IF(H135=0,0,I135/H135))</f>
        <v/>
      </c>
    </row>
    <row r="136">
      <c r="A136">
        <f>IF($B136="","",ROW()-5)</f>
        <v/>
      </c>
      <c r="D136">
        <f>IF($B136="","",IF(C136="","",TEXT(C136,"MMM")))</f>
        <v/>
      </c>
      <c r="J136">
        <f>IF($B136="","",IF(H136=0,0,I136/H136))</f>
        <v/>
      </c>
    </row>
    <row r="137">
      <c r="A137">
        <f>IF($B137="","",ROW()-5)</f>
        <v/>
      </c>
      <c r="D137">
        <f>IF($B137="","",IF(C137="","",TEXT(C137,"MMM")))</f>
        <v/>
      </c>
      <c r="J137">
        <f>IF($B137="","",IF(H137=0,0,I137/H137))</f>
        <v/>
      </c>
    </row>
    <row r="138">
      <c r="A138">
        <f>IF($B138="","",ROW()-5)</f>
        <v/>
      </c>
      <c r="D138">
        <f>IF($B138="","",IF(C138="","",TEXT(C138,"MMM")))</f>
        <v/>
      </c>
      <c r="J138">
        <f>IF($B138="","",IF(H138=0,0,I138/H138))</f>
        <v/>
      </c>
    </row>
    <row r="139">
      <c r="A139">
        <f>IF($B139="","",ROW()-5)</f>
        <v/>
      </c>
      <c r="D139">
        <f>IF($B139="","",IF(C139="","",TEXT(C139,"MMM")))</f>
        <v/>
      </c>
      <c r="J139">
        <f>IF($B139="","",IF(H139=0,0,I139/H139))</f>
        <v/>
      </c>
    </row>
    <row r="140">
      <c r="A140">
        <f>IF($B140="","",ROW()-5)</f>
        <v/>
      </c>
      <c r="D140">
        <f>IF($B140="","",IF(C140="","",TEXT(C140,"MMM")))</f>
        <v/>
      </c>
      <c r="J140">
        <f>IF($B140="","",IF(H140=0,0,I140/H140))</f>
        <v/>
      </c>
    </row>
    <row r="141">
      <c r="A141">
        <f>IF($B141="","",ROW()-5)</f>
        <v/>
      </c>
      <c r="D141">
        <f>IF($B141="","",IF(C141="","",TEXT(C141,"MMM")))</f>
        <v/>
      </c>
      <c r="J141">
        <f>IF($B141="","",IF(H141=0,0,I141/H141))</f>
        <v/>
      </c>
    </row>
    <row r="142">
      <c r="A142">
        <f>IF($B142="","",ROW()-5)</f>
        <v/>
      </c>
      <c r="D142">
        <f>IF($B142="","",IF(C142="","",TEXT(C142,"MMM")))</f>
        <v/>
      </c>
      <c r="J142">
        <f>IF($B142="","",IF(H142=0,0,I142/H142))</f>
        <v/>
      </c>
    </row>
    <row r="143">
      <c r="A143">
        <f>IF($B143="","",ROW()-5)</f>
        <v/>
      </c>
      <c r="D143">
        <f>IF($B143="","",IF(C143="","",TEXT(C143,"MMM")))</f>
        <v/>
      </c>
      <c r="J143">
        <f>IF($B143="","",IF(H143=0,0,I143/H143))</f>
        <v/>
      </c>
    </row>
    <row r="144">
      <c r="A144">
        <f>IF($B144="","",ROW()-5)</f>
        <v/>
      </c>
      <c r="D144">
        <f>IF($B144="","",IF(C144="","",TEXT(C144,"MMM")))</f>
        <v/>
      </c>
      <c r="J144">
        <f>IF($B144="","",IF(H144=0,0,I144/H144))</f>
        <v/>
      </c>
    </row>
    <row r="145">
      <c r="A145">
        <f>IF($B145="","",ROW()-5)</f>
        <v/>
      </c>
      <c r="D145">
        <f>IF($B145="","",IF(C145="","",TEXT(C145,"MMM")))</f>
        <v/>
      </c>
      <c r="J145">
        <f>IF($B145="","",IF(H145=0,0,I145/H145))</f>
        <v/>
      </c>
    </row>
    <row r="146">
      <c r="A146">
        <f>IF($B146="","",ROW()-5)</f>
        <v/>
      </c>
      <c r="D146">
        <f>IF($B146="","",IF(C146="","",TEXT(C146,"MMM")))</f>
        <v/>
      </c>
      <c r="J146">
        <f>IF($B146="","",IF(H146=0,0,I146/H146))</f>
        <v/>
      </c>
    </row>
    <row r="147">
      <c r="A147">
        <f>IF($B147="","",ROW()-5)</f>
        <v/>
      </c>
      <c r="D147">
        <f>IF($B147="","",IF(C147="","",TEXT(C147,"MMM")))</f>
        <v/>
      </c>
      <c r="J147">
        <f>IF($B147="","",IF(H147=0,0,I147/H147))</f>
        <v/>
      </c>
    </row>
    <row r="148">
      <c r="A148">
        <f>IF($B148="","",ROW()-5)</f>
        <v/>
      </c>
      <c r="D148">
        <f>IF($B148="","",IF(C148="","",TEXT(C148,"MMM")))</f>
        <v/>
      </c>
      <c r="J148">
        <f>IF($B148="","",IF(H148=0,0,I148/H148))</f>
        <v/>
      </c>
    </row>
    <row r="149">
      <c r="A149">
        <f>IF($B149="","",ROW()-5)</f>
        <v/>
      </c>
      <c r="D149">
        <f>IF($B149="","",IF(C149="","",TEXT(C149,"MMM")))</f>
        <v/>
      </c>
      <c r="J149">
        <f>IF($B149="","",IF(H149=0,0,I149/H149))</f>
        <v/>
      </c>
    </row>
    <row r="150">
      <c r="A150">
        <f>IF($B150="","",ROW()-5)</f>
        <v/>
      </c>
      <c r="D150">
        <f>IF($B150="","",IF(C150="","",TEXT(C150,"MMM")))</f>
        <v/>
      </c>
      <c r="J150">
        <f>IF($B150="","",IF(H150=0,0,I150/H150))</f>
        <v/>
      </c>
    </row>
    <row r="151">
      <c r="A151">
        <f>IF($B151="","",ROW()-5)</f>
        <v/>
      </c>
      <c r="D151">
        <f>IF($B151="","",IF(C151="","",TEXT(C151,"MMM")))</f>
        <v/>
      </c>
      <c r="J151">
        <f>IF($B151="","",IF(H151=0,0,I151/H151))</f>
        <v/>
      </c>
    </row>
    <row r="152">
      <c r="A152">
        <f>IF($B152="","",ROW()-5)</f>
        <v/>
      </c>
      <c r="D152">
        <f>IF($B152="","",IF(C152="","",TEXT(C152,"MMM")))</f>
        <v/>
      </c>
      <c r="J152">
        <f>IF($B152="","",IF(H152=0,0,I152/H152))</f>
        <v/>
      </c>
    </row>
    <row r="153">
      <c r="A153">
        <f>IF($B153="","",ROW()-5)</f>
        <v/>
      </c>
      <c r="D153">
        <f>IF($B153="","",IF(C153="","",TEXT(C153,"MMM")))</f>
        <v/>
      </c>
      <c r="J153">
        <f>IF($B153="","",IF(H153=0,0,I153/H153))</f>
        <v/>
      </c>
    </row>
    <row r="154">
      <c r="A154">
        <f>IF($B154="","",ROW()-5)</f>
        <v/>
      </c>
      <c r="D154">
        <f>IF($B154="","",IF(C154="","",TEXT(C154,"MMM")))</f>
        <v/>
      </c>
      <c r="J154">
        <f>IF($B154="","",IF(H154=0,0,I154/H154))</f>
        <v/>
      </c>
    </row>
    <row r="155">
      <c r="A155">
        <f>IF($B155="","",ROW()-5)</f>
        <v/>
      </c>
      <c r="D155">
        <f>IF($B155="","",IF(C155="","",TEXT(C155,"MMM")))</f>
        <v/>
      </c>
      <c r="J155">
        <f>IF($B155="","",IF(H155=0,0,I155/H155))</f>
        <v/>
      </c>
    </row>
    <row r="156">
      <c r="A156">
        <f>IF($B156="","",ROW()-5)</f>
        <v/>
      </c>
      <c r="D156">
        <f>IF($B156="","",IF(C156="","",TEXT(C156,"MMM")))</f>
        <v/>
      </c>
      <c r="J156">
        <f>IF($B156="","",IF(H156=0,0,I156/H156))</f>
        <v/>
      </c>
    </row>
    <row r="157">
      <c r="A157">
        <f>IF($B157="","",ROW()-5)</f>
        <v/>
      </c>
      <c r="D157">
        <f>IF($B157="","",IF(C157="","",TEXT(C157,"MMM")))</f>
        <v/>
      </c>
      <c r="J157">
        <f>IF($B157="","",IF(H157=0,0,I157/H157))</f>
        <v/>
      </c>
    </row>
    <row r="158">
      <c r="A158">
        <f>IF($B158="","",ROW()-5)</f>
        <v/>
      </c>
      <c r="D158">
        <f>IF($B158="","",IF(C158="","",TEXT(C158,"MMM")))</f>
        <v/>
      </c>
      <c r="J158">
        <f>IF($B158="","",IF(H158=0,0,I158/H158))</f>
        <v/>
      </c>
    </row>
    <row r="159">
      <c r="A159">
        <f>IF($B159="","",ROW()-5)</f>
        <v/>
      </c>
      <c r="D159">
        <f>IF($B159="","",IF(C159="","",TEXT(C159,"MMM")))</f>
        <v/>
      </c>
      <c r="J159">
        <f>IF($B159="","",IF(H159=0,0,I159/H159))</f>
        <v/>
      </c>
    </row>
    <row r="160">
      <c r="A160">
        <f>IF($B160="","",ROW()-5)</f>
        <v/>
      </c>
      <c r="D160">
        <f>IF($B160="","",IF(C160="","",TEXT(C160,"MMM")))</f>
        <v/>
      </c>
      <c r="J160">
        <f>IF($B160="","",IF(H160=0,0,I160/H160))</f>
        <v/>
      </c>
    </row>
    <row r="161">
      <c r="A161">
        <f>IF($B161="","",ROW()-5)</f>
        <v/>
      </c>
      <c r="D161">
        <f>IF($B161="","",IF(C161="","",TEXT(C161,"MMM")))</f>
        <v/>
      </c>
      <c r="J161">
        <f>IF($B161="","",IF(H161=0,0,I161/H161))</f>
        <v/>
      </c>
    </row>
    <row r="162">
      <c r="A162">
        <f>IF($B162="","",ROW()-5)</f>
        <v/>
      </c>
      <c r="D162">
        <f>IF($B162="","",IF(C162="","",TEXT(C162,"MMM")))</f>
        <v/>
      </c>
      <c r="J162">
        <f>IF($B162="","",IF(H162=0,0,I162/H162))</f>
        <v/>
      </c>
    </row>
    <row r="163">
      <c r="A163">
        <f>IF($B163="","",ROW()-5)</f>
        <v/>
      </c>
      <c r="D163">
        <f>IF($B163="","",IF(C163="","",TEXT(C163,"MMM")))</f>
        <v/>
      </c>
      <c r="J163">
        <f>IF($B163="","",IF(H163=0,0,I163/H163))</f>
        <v/>
      </c>
    </row>
    <row r="164">
      <c r="A164">
        <f>IF($B164="","",ROW()-5)</f>
        <v/>
      </c>
      <c r="D164">
        <f>IF($B164="","",IF(C164="","",TEXT(C164,"MMM")))</f>
        <v/>
      </c>
      <c r="J164">
        <f>IF($B164="","",IF(H164=0,0,I164/H164))</f>
        <v/>
      </c>
    </row>
    <row r="165">
      <c r="A165">
        <f>IF($B165="","",ROW()-5)</f>
        <v/>
      </c>
      <c r="D165">
        <f>IF($B165="","",IF(C165="","",TEXT(C165,"MMM")))</f>
        <v/>
      </c>
      <c r="J165">
        <f>IF($B165="","",IF(H165=0,0,I165/H165))</f>
        <v/>
      </c>
    </row>
    <row r="166">
      <c r="A166">
        <f>IF($B166="","",ROW()-5)</f>
        <v/>
      </c>
      <c r="D166">
        <f>IF($B166="","",IF(C166="","",TEXT(C166,"MMM")))</f>
        <v/>
      </c>
      <c r="J166">
        <f>IF($B166="","",IF(H166=0,0,I166/H166))</f>
        <v/>
      </c>
    </row>
    <row r="167">
      <c r="A167">
        <f>IF($B167="","",ROW()-5)</f>
        <v/>
      </c>
      <c r="D167">
        <f>IF($B167="","",IF(C167="","",TEXT(C167,"MMM")))</f>
        <v/>
      </c>
      <c r="J167">
        <f>IF($B167="","",IF(H167=0,0,I167/H167))</f>
        <v/>
      </c>
    </row>
    <row r="168">
      <c r="A168">
        <f>IF($B168="","",ROW()-5)</f>
        <v/>
      </c>
      <c r="D168">
        <f>IF($B168="","",IF(C168="","",TEXT(C168,"MMM")))</f>
        <v/>
      </c>
      <c r="J168">
        <f>IF($B168="","",IF(H168=0,0,I168/H168))</f>
        <v/>
      </c>
    </row>
    <row r="169">
      <c r="A169">
        <f>IF($B169="","",ROW()-5)</f>
        <v/>
      </c>
      <c r="D169">
        <f>IF($B169="","",IF(C169="","",TEXT(C169,"MMM")))</f>
        <v/>
      </c>
      <c r="J169">
        <f>IF($B169="","",IF(H169=0,0,I169/H169))</f>
        <v/>
      </c>
    </row>
    <row r="170">
      <c r="A170">
        <f>IF($B170="","",ROW()-5)</f>
        <v/>
      </c>
      <c r="D170">
        <f>IF($B170="","",IF(C170="","",TEXT(C170,"MMM")))</f>
        <v/>
      </c>
      <c r="J170">
        <f>IF($B170="","",IF(H170=0,0,I170/H170))</f>
        <v/>
      </c>
    </row>
    <row r="171">
      <c r="A171">
        <f>IF($B171="","",ROW()-5)</f>
        <v/>
      </c>
      <c r="D171">
        <f>IF($B171="","",IF(C171="","",TEXT(C171,"MMM")))</f>
        <v/>
      </c>
      <c r="J171">
        <f>IF($B171="","",IF(H171=0,0,I171/H171))</f>
        <v/>
      </c>
    </row>
    <row r="172">
      <c r="A172">
        <f>IF($B172="","",ROW()-5)</f>
        <v/>
      </c>
      <c r="D172">
        <f>IF($B172="","",IF(C172="","",TEXT(C172,"MMM")))</f>
        <v/>
      </c>
      <c r="J172">
        <f>IF($B172="","",IF(H172=0,0,I172/H172))</f>
        <v/>
      </c>
    </row>
    <row r="173">
      <c r="A173">
        <f>IF($B173="","",ROW()-5)</f>
        <v/>
      </c>
      <c r="D173">
        <f>IF($B173="","",IF(C173="","",TEXT(C173,"MMM")))</f>
        <v/>
      </c>
      <c r="J173">
        <f>IF($B173="","",IF(H173=0,0,I173/H173))</f>
        <v/>
      </c>
    </row>
    <row r="174">
      <c r="A174">
        <f>IF($B174="","",ROW()-5)</f>
        <v/>
      </c>
      <c r="D174">
        <f>IF($B174="","",IF(C174="","",TEXT(C174,"MMM")))</f>
        <v/>
      </c>
      <c r="J174">
        <f>IF($B174="","",IF(H174=0,0,I174/H174))</f>
        <v/>
      </c>
    </row>
    <row r="175">
      <c r="A175">
        <f>IF($B175="","",ROW()-5)</f>
        <v/>
      </c>
      <c r="D175">
        <f>IF($B175="","",IF(C175="","",TEXT(C175,"MMM")))</f>
        <v/>
      </c>
      <c r="J175">
        <f>IF($B175="","",IF(H175=0,0,I175/H175))</f>
        <v/>
      </c>
    </row>
    <row r="176">
      <c r="A176">
        <f>IF($B176="","",ROW()-5)</f>
        <v/>
      </c>
      <c r="D176">
        <f>IF($B176="","",IF(C176="","",TEXT(C176,"MMM")))</f>
        <v/>
      </c>
      <c r="J176">
        <f>IF($B176="","",IF(H176=0,0,I176/H176))</f>
        <v/>
      </c>
    </row>
    <row r="177">
      <c r="A177">
        <f>IF($B177="","",ROW()-5)</f>
        <v/>
      </c>
      <c r="D177">
        <f>IF($B177="","",IF(C177="","",TEXT(C177,"MMM")))</f>
        <v/>
      </c>
      <c r="J177">
        <f>IF($B177="","",IF(H177=0,0,I177/H177))</f>
        <v/>
      </c>
    </row>
    <row r="178">
      <c r="A178">
        <f>IF($B178="","",ROW()-5)</f>
        <v/>
      </c>
      <c r="D178">
        <f>IF($B178="","",IF(C178="","",TEXT(C178,"MMM")))</f>
        <v/>
      </c>
      <c r="J178">
        <f>IF($B178="","",IF(H178=0,0,I178/H178))</f>
        <v/>
      </c>
    </row>
    <row r="179">
      <c r="A179">
        <f>IF($B179="","",ROW()-5)</f>
        <v/>
      </c>
      <c r="D179">
        <f>IF($B179="","",IF(C179="","",TEXT(C179,"MMM")))</f>
        <v/>
      </c>
      <c r="J179">
        <f>IF($B179="","",IF(H179=0,0,I179/H179))</f>
        <v/>
      </c>
    </row>
    <row r="180">
      <c r="A180">
        <f>IF($B180="","",ROW()-5)</f>
        <v/>
      </c>
      <c r="D180">
        <f>IF($B180="","",IF(C180="","",TEXT(C180,"MMM")))</f>
        <v/>
      </c>
      <c r="J180">
        <f>IF($B180="","",IF(H180=0,0,I180/H180))</f>
        <v/>
      </c>
    </row>
    <row r="181">
      <c r="A181">
        <f>IF($B181="","",ROW()-5)</f>
        <v/>
      </c>
      <c r="D181">
        <f>IF($B181="","",IF(C181="","",TEXT(C181,"MMM")))</f>
        <v/>
      </c>
      <c r="J181">
        <f>IF($B181="","",IF(H181=0,0,I181/H181))</f>
        <v/>
      </c>
    </row>
    <row r="182">
      <c r="A182">
        <f>IF($B182="","",ROW()-5)</f>
        <v/>
      </c>
      <c r="D182">
        <f>IF($B182="","",IF(C182="","",TEXT(C182,"MMM")))</f>
        <v/>
      </c>
      <c r="J182">
        <f>IF($B182="","",IF(H182=0,0,I182/H182))</f>
        <v/>
      </c>
    </row>
    <row r="183">
      <c r="A183">
        <f>IF($B183="","",ROW()-5)</f>
        <v/>
      </c>
      <c r="D183">
        <f>IF($B183="","",IF(C183="","",TEXT(C183,"MMM")))</f>
        <v/>
      </c>
      <c r="J183">
        <f>IF($B183="","",IF(H183=0,0,I183/H183))</f>
        <v/>
      </c>
    </row>
    <row r="184">
      <c r="A184">
        <f>IF($B184="","",ROW()-5)</f>
        <v/>
      </c>
      <c r="D184">
        <f>IF($B184="","",IF(C184="","",TEXT(C184,"MMM")))</f>
        <v/>
      </c>
      <c r="J184">
        <f>IF($B184="","",IF(H184=0,0,I184/H184))</f>
        <v/>
      </c>
    </row>
    <row r="185">
      <c r="A185">
        <f>IF($B185="","",ROW()-5)</f>
        <v/>
      </c>
      <c r="D185">
        <f>IF($B185="","",IF(C185="","",TEXT(C185,"MMM")))</f>
        <v/>
      </c>
      <c r="J185">
        <f>IF($B185="","",IF(H185=0,0,I185/H185))</f>
        <v/>
      </c>
    </row>
    <row r="186">
      <c r="A186">
        <f>IF($B186="","",ROW()-5)</f>
        <v/>
      </c>
      <c r="D186">
        <f>IF($B186="","",IF(C186="","",TEXT(C186,"MMM")))</f>
        <v/>
      </c>
      <c r="J186">
        <f>IF($B186="","",IF(H186=0,0,I186/H186))</f>
        <v/>
      </c>
    </row>
    <row r="187">
      <c r="A187">
        <f>IF($B187="","",ROW()-5)</f>
        <v/>
      </c>
      <c r="D187">
        <f>IF($B187="","",IF(C187="","",TEXT(C187,"MMM")))</f>
        <v/>
      </c>
      <c r="J187">
        <f>IF($B187="","",IF(H187=0,0,I187/H187))</f>
        <v/>
      </c>
    </row>
    <row r="188">
      <c r="A188">
        <f>IF($B188="","",ROW()-5)</f>
        <v/>
      </c>
      <c r="D188">
        <f>IF($B188="","",IF(C188="","",TEXT(C188,"MMM")))</f>
        <v/>
      </c>
      <c r="J188">
        <f>IF($B188="","",IF(H188=0,0,I188/H188))</f>
        <v/>
      </c>
    </row>
    <row r="189">
      <c r="A189">
        <f>IF($B189="","",ROW()-5)</f>
        <v/>
      </c>
      <c r="D189">
        <f>IF($B189="","",IF(C189="","",TEXT(C189,"MMM")))</f>
        <v/>
      </c>
      <c r="J189">
        <f>IF($B189="","",IF(H189=0,0,I189/H189))</f>
        <v/>
      </c>
    </row>
    <row r="190">
      <c r="A190">
        <f>IF($B190="","",ROW()-5)</f>
        <v/>
      </c>
      <c r="D190">
        <f>IF($B190="","",IF(C190="","",TEXT(C190,"MMM")))</f>
        <v/>
      </c>
      <c r="J190">
        <f>IF($B190="","",IF(H190=0,0,I190/H190))</f>
        <v/>
      </c>
    </row>
    <row r="191">
      <c r="A191">
        <f>IF($B191="","",ROW()-5)</f>
        <v/>
      </c>
      <c r="D191">
        <f>IF($B191="","",IF(C191="","",TEXT(C191,"MMM")))</f>
        <v/>
      </c>
      <c r="J191">
        <f>IF($B191="","",IF(H191=0,0,I191/H191))</f>
        <v/>
      </c>
    </row>
    <row r="192">
      <c r="A192">
        <f>IF($B192="","",ROW()-5)</f>
        <v/>
      </c>
      <c r="D192">
        <f>IF($B192="","",IF(C192="","",TEXT(C192,"MMM")))</f>
        <v/>
      </c>
      <c r="J192">
        <f>IF($B192="","",IF(H192=0,0,I192/H192))</f>
        <v/>
      </c>
    </row>
    <row r="193">
      <c r="A193">
        <f>IF($B193="","",ROW()-5)</f>
        <v/>
      </c>
      <c r="D193">
        <f>IF($B193="","",IF(C193="","",TEXT(C193,"MMM")))</f>
        <v/>
      </c>
      <c r="J193">
        <f>IF($B193="","",IF(H193=0,0,I193/H193))</f>
        <v/>
      </c>
    </row>
    <row r="194">
      <c r="A194">
        <f>IF($B194="","",ROW()-5)</f>
        <v/>
      </c>
      <c r="D194">
        <f>IF($B194="","",IF(C194="","",TEXT(C194,"MMM")))</f>
        <v/>
      </c>
      <c r="J194">
        <f>IF($B194="","",IF(H194=0,0,I194/H194))</f>
        <v/>
      </c>
    </row>
    <row r="195">
      <c r="A195">
        <f>IF($B195="","",ROW()-5)</f>
        <v/>
      </c>
      <c r="D195">
        <f>IF($B195="","",IF(C195="","",TEXT(C195,"MMM")))</f>
        <v/>
      </c>
      <c r="J195">
        <f>IF($B195="","",IF(H195=0,0,I195/H195))</f>
        <v/>
      </c>
    </row>
    <row r="196">
      <c r="A196">
        <f>IF($B196="","",ROW()-5)</f>
        <v/>
      </c>
      <c r="D196">
        <f>IF($B196="","",IF(C196="","",TEXT(C196,"MMM")))</f>
        <v/>
      </c>
      <c r="J196">
        <f>IF($B196="","",IF(H196=0,0,I196/H196))</f>
        <v/>
      </c>
    </row>
    <row r="197">
      <c r="A197">
        <f>IF($B197="","",ROW()-5)</f>
        <v/>
      </c>
      <c r="D197">
        <f>IF($B197="","",IF(C197="","",TEXT(C197,"MMM")))</f>
        <v/>
      </c>
      <c r="J197">
        <f>IF($B197="","",IF(H197=0,0,I197/H197))</f>
        <v/>
      </c>
    </row>
    <row r="198">
      <c r="A198">
        <f>IF($B198="","",ROW()-5)</f>
        <v/>
      </c>
      <c r="D198">
        <f>IF($B198="","",IF(C198="","",TEXT(C198,"MMM")))</f>
        <v/>
      </c>
      <c r="J198">
        <f>IF($B198="","",IF(H198=0,0,I198/H198))</f>
        <v/>
      </c>
    </row>
    <row r="199">
      <c r="A199">
        <f>IF($B199="","",ROW()-5)</f>
        <v/>
      </c>
      <c r="D199">
        <f>IF($B199="","",IF(C199="","",TEXT(C199,"MMM")))</f>
        <v/>
      </c>
      <c r="J199">
        <f>IF($B199="","",IF(H199=0,0,I199/H199))</f>
        <v/>
      </c>
    </row>
    <row r="200">
      <c r="A200">
        <f>IF($B200="","",ROW()-5)</f>
        <v/>
      </c>
      <c r="D200">
        <f>IF($B200="","",IF(C200="","",TEXT(C200,"MMM")))</f>
        <v/>
      </c>
      <c r="J200">
        <f>IF($B200="","",IF(H200=0,0,I200/H200))</f>
        <v/>
      </c>
    </row>
    <row r="201">
      <c r="A201">
        <f>IF($B201="","",ROW()-5)</f>
        <v/>
      </c>
      <c r="D201">
        <f>IF($B201="","",IF(C201="","",TEXT(C201,"MMM")))</f>
        <v/>
      </c>
      <c r="J201">
        <f>IF($B201="","",IF(H201=0,0,I201/H201))</f>
        <v/>
      </c>
    </row>
    <row r="202">
      <c r="A202">
        <f>IF($B202="","",ROW()-5)</f>
        <v/>
      </c>
      <c r="D202">
        <f>IF($B202="","",IF(C202="","",TEXT(C202,"MMM")))</f>
        <v/>
      </c>
      <c r="J202">
        <f>IF($B202="","",IF(H202=0,0,I202/H202))</f>
        <v/>
      </c>
    </row>
    <row r="203">
      <c r="A203">
        <f>IF($B203="","",ROW()-5)</f>
        <v/>
      </c>
      <c r="D203">
        <f>IF($B203="","",IF(C203="","",TEXT(C203,"MMM")))</f>
        <v/>
      </c>
      <c r="J203">
        <f>IF($B203="","",IF(H203=0,0,I203/H203))</f>
        <v/>
      </c>
    </row>
    <row r="204">
      <c r="A204">
        <f>IF($B204="","",ROW()-5)</f>
        <v/>
      </c>
      <c r="D204">
        <f>IF($B204="","",IF(C204="","",TEXT(C204,"MMM")))</f>
        <v/>
      </c>
      <c r="J204">
        <f>IF($B204="","",IF(H204=0,0,I204/H204))</f>
        <v/>
      </c>
    </row>
    <row r="205">
      <c r="A205">
        <f>IF($B205="","",ROW()-5)</f>
        <v/>
      </c>
      <c r="D205">
        <f>IF($B205="","",IF(C205="","",TEXT(C205,"MMM")))</f>
        <v/>
      </c>
      <c r="J205">
        <f>IF($B205="","",IF(H205=0,0,I205/H205))</f>
        <v/>
      </c>
    </row>
    <row r="206">
      <c r="A206">
        <f>IF($B206="","",ROW()-5)</f>
        <v/>
      </c>
      <c r="D206">
        <f>IF($B206="","",IF(C206="","",TEXT(C206,"MMM")))</f>
        <v/>
      </c>
      <c r="J206">
        <f>IF($B206="","",IF(H206=0,0,I206/H206))</f>
        <v/>
      </c>
    </row>
    <row r="207">
      <c r="A207">
        <f>IF($B207="","",ROW()-5)</f>
        <v/>
      </c>
      <c r="D207">
        <f>IF($B207="","",IF(C207="","",TEXT(C207,"MMM")))</f>
        <v/>
      </c>
      <c r="J207">
        <f>IF($B207="","",IF(H207=0,0,I207/H207))</f>
        <v/>
      </c>
    </row>
    <row r="208">
      <c r="A208">
        <f>IF($B208="","",ROW()-5)</f>
        <v/>
      </c>
      <c r="D208">
        <f>IF($B208="","",IF(C208="","",TEXT(C208,"MMM")))</f>
        <v/>
      </c>
      <c r="J208">
        <f>IF($B208="","",IF(H208=0,0,I208/H208))</f>
        <v/>
      </c>
    </row>
    <row r="209">
      <c r="A209">
        <f>IF($B209="","",ROW()-5)</f>
        <v/>
      </c>
      <c r="D209">
        <f>IF($B209="","",IF(C209="","",TEXT(C209,"MMM")))</f>
        <v/>
      </c>
      <c r="J209">
        <f>IF($B209="","",IF(H209=0,0,I209/H209))</f>
        <v/>
      </c>
    </row>
    <row r="210">
      <c r="A210">
        <f>IF($B210="","",ROW()-5)</f>
        <v/>
      </c>
      <c r="D210">
        <f>IF($B210="","",IF(C210="","",TEXT(C210,"MMM")))</f>
        <v/>
      </c>
      <c r="J210">
        <f>IF($B210="","",IF(H210=0,0,I210/H210))</f>
        <v/>
      </c>
    </row>
    <row r="211">
      <c r="A211">
        <f>IF($B211="","",ROW()-5)</f>
        <v/>
      </c>
      <c r="D211">
        <f>IF($B211="","",IF(C211="","",TEXT(C211,"MMM")))</f>
        <v/>
      </c>
      <c r="J211">
        <f>IF($B211="","",IF(H211=0,0,I211/H211))</f>
        <v/>
      </c>
    </row>
    <row r="212">
      <c r="A212">
        <f>IF($B212="","",ROW()-5)</f>
        <v/>
      </c>
      <c r="D212">
        <f>IF($B212="","",IF(C212="","",TEXT(C212,"MMM")))</f>
        <v/>
      </c>
      <c r="J212">
        <f>IF($B212="","",IF(H212=0,0,I212/H212))</f>
        <v/>
      </c>
    </row>
    <row r="213">
      <c r="A213">
        <f>IF($B213="","",ROW()-5)</f>
        <v/>
      </c>
      <c r="D213">
        <f>IF($B213="","",IF(C213="","",TEXT(C213,"MMM")))</f>
        <v/>
      </c>
      <c r="J213">
        <f>IF($B213="","",IF(H213=0,0,I213/H213))</f>
        <v/>
      </c>
    </row>
    <row r="214">
      <c r="A214">
        <f>IF($B214="","",ROW()-5)</f>
        <v/>
      </c>
      <c r="D214">
        <f>IF($B214="","",IF(C214="","",TEXT(C214,"MMM")))</f>
        <v/>
      </c>
      <c r="J214">
        <f>IF($B214="","",IF(H214=0,0,I214/H214))</f>
        <v/>
      </c>
    </row>
    <row r="215">
      <c r="A215">
        <f>IF($B215="","",ROW()-5)</f>
        <v/>
      </c>
      <c r="D215">
        <f>IF($B215="","",IF(C215="","",TEXT(C215,"MMM")))</f>
        <v/>
      </c>
      <c r="J215">
        <f>IF($B215="","",IF(H215=0,0,I215/H215))</f>
        <v/>
      </c>
    </row>
    <row r="216">
      <c r="A216">
        <f>IF($B216="","",ROW()-5)</f>
        <v/>
      </c>
      <c r="D216">
        <f>IF($B216="","",IF(C216="","",TEXT(C216,"MMM")))</f>
        <v/>
      </c>
      <c r="J216">
        <f>IF($B216="","",IF(H216=0,0,I216/H216))</f>
        <v/>
      </c>
    </row>
    <row r="217">
      <c r="A217">
        <f>IF($B217="","",ROW()-5)</f>
        <v/>
      </c>
      <c r="D217">
        <f>IF($B217="","",IF(C217="","",TEXT(C217,"MMM")))</f>
        <v/>
      </c>
      <c r="J217">
        <f>IF($B217="","",IF(H217=0,0,I217/H217))</f>
        <v/>
      </c>
    </row>
    <row r="218">
      <c r="A218">
        <f>IF($B218="","",ROW()-5)</f>
        <v/>
      </c>
      <c r="D218">
        <f>IF($B218="","",IF(C218="","",TEXT(C218,"MMM")))</f>
        <v/>
      </c>
      <c r="J218">
        <f>IF($B218="","",IF(H218=0,0,I218/H218))</f>
        <v/>
      </c>
    </row>
    <row r="219">
      <c r="A219">
        <f>IF($B219="","",ROW()-5)</f>
        <v/>
      </c>
      <c r="D219">
        <f>IF($B219="","",IF(C219="","",TEXT(C219,"MMM")))</f>
        <v/>
      </c>
      <c r="J219">
        <f>IF($B219="","",IF(H219=0,0,I219/H219))</f>
        <v/>
      </c>
    </row>
    <row r="220">
      <c r="A220">
        <f>IF($B220="","",ROW()-5)</f>
        <v/>
      </c>
      <c r="D220">
        <f>IF($B220="","",IF(C220="","",TEXT(C220,"MMM")))</f>
        <v/>
      </c>
      <c r="J220">
        <f>IF($B220="","",IF(H220=0,0,I220/H220))</f>
        <v/>
      </c>
    </row>
    <row r="221">
      <c r="A221">
        <f>IF($B221="","",ROW()-5)</f>
        <v/>
      </c>
      <c r="D221">
        <f>IF($B221="","",IF(C221="","",TEXT(C221,"MMM")))</f>
        <v/>
      </c>
      <c r="J221">
        <f>IF($B221="","",IF(H221=0,0,I221/H221))</f>
        <v/>
      </c>
    </row>
    <row r="222">
      <c r="A222">
        <f>IF($B222="","",ROW()-5)</f>
        <v/>
      </c>
      <c r="D222">
        <f>IF($B222="","",IF(C222="","",TEXT(C222,"MMM")))</f>
        <v/>
      </c>
      <c r="J222">
        <f>IF($B222="","",IF(H222=0,0,I222/H222))</f>
        <v/>
      </c>
    </row>
    <row r="223">
      <c r="A223">
        <f>IF($B223="","",ROW()-5)</f>
        <v/>
      </c>
      <c r="D223">
        <f>IF($B223="","",IF(C223="","",TEXT(C223,"MMM")))</f>
        <v/>
      </c>
      <c r="J223">
        <f>IF($B223="","",IF(H223=0,0,I223/H223))</f>
        <v/>
      </c>
    </row>
    <row r="224">
      <c r="A224">
        <f>IF($B224="","",ROW()-5)</f>
        <v/>
      </c>
      <c r="D224">
        <f>IF($B224="","",IF(C224="","",TEXT(C224,"MMM")))</f>
        <v/>
      </c>
      <c r="J224">
        <f>IF($B224="","",IF(H224=0,0,I224/H224))</f>
        <v/>
      </c>
    </row>
    <row r="225">
      <c r="A225">
        <f>IF($B225="","",ROW()-5)</f>
        <v/>
      </c>
      <c r="D225">
        <f>IF($B225="","",IF(C225="","",TEXT(C225,"MMM")))</f>
        <v/>
      </c>
      <c r="J225">
        <f>IF($B225="","",IF(H225=0,0,I225/H225))</f>
        <v/>
      </c>
    </row>
    <row r="226">
      <c r="A226">
        <f>IF($B226="","",ROW()-5)</f>
        <v/>
      </c>
      <c r="D226">
        <f>IF($B226="","",IF(C226="","",TEXT(C226,"MMM")))</f>
        <v/>
      </c>
      <c r="J226">
        <f>IF($B226="","",IF(H226=0,0,I226/H226))</f>
        <v/>
      </c>
    </row>
    <row r="227">
      <c r="A227">
        <f>IF($B227="","",ROW()-5)</f>
        <v/>
      </c>
      <c r="D227">
        <f>IF($B227="","",IF(C227="","",TEXT(C227,"MMM")))</f>
        <v/>
      </c>
      <c r="J227">
        <f>IF($B227="","",IF(H227=0,0,I227/H227))</f>
        <v/>
      </c>
    </row>
    <row r="228">
      <c r="A228">
        <f>IF($B228="","",ROW()-5)</f>
        <v/>
      </c>
      <c r="D228">
        <f>IF($B228="","",IF(C228="","",TEXT(C228,"MMM")))</f>
        <v/>
      </c>
      <c r="J228">
        <f>IF($B228="","",IF(H228=0,0,I228/H228))</f>
        <v/>
      </c>
    </row>
    <row r="229">
      <c r="A229">
        <f>IF($B229="","",ROW()-5)</f>
        <v/>
      </c>
      <c r="D229">
        <f>IF($B229="","",IF(C229="","",TEXT(C229,"MMM")))</f>
        <v/>
      </c>
      <c r="J229">
        <f>IF($B229="","",IF(H229=0,0,I229/H229))</f>
        <v/>
      </c>
    </row>
    <row r="230">
      <c r="A230">
        <f>IF($B230="","",ROW()-5)</f>
        <v/>
      </c>
      <c r="D230">
        <f>IF($B230="","",IF(C230="","",TEXT(C230,"MMM")))</f>
        <v/>
      </c>
      <c r="J230">
        <f>IF($B230="","",IF(H230=0,0,I230/H230))</f>
        <v/>
      </c>
    </row>
    <row r="231">
      <c r="A231">
        <f>IF($B231="","",ROW()-5)</f>
        <v/>
      </c>
      <c r="D231">
        <f>IF($B231="","",IF(C231="","",TEXT(C231,"MMM")))</f>
        <v/>
      </c>
      <c r="J231">
        <f>IF($B231="","",IF(H231=0,0,I231/H231))</f>
        <v/>
      </c>
    </row>
    <row r="232">
      <c r="A232">
        <f>IF($B232="","",ROW()-5)</f>
        <v/>
      </c>
      <c r="D232">
        <f>IF($B232="","",IF(C232="","",TEXT(C232,"MMM")))</f>
        <v/>
      </c>
      <c r="J232">
        <f>IF($B232="","",IF(H232=0,0,I232/H232))</f>
        <v/>
      </c>
    </row>
    <row r="233">
      <c r="A233">
        <f>IF($B233="","",ROW()-5)</f>
        <v/>
      </c>
      <c r="D233">
        <f>IF($B233="","",IF(C233="","",TEXT(C233,"MMM")))</f>
        <v/>
      </c>
      <c r="J233">
        <f>IF($B233="","",IF(H233=0,0,I233/H233))</f>
        <v/>
      </c>
    </row>
    <row r="234">
      <c r="A234">
        <f>IF($B234="","",ROW()-5)</f>
        <v/>
      </c>
      <c r="D234">
        <f>IF($B234="","",IF(C234="","",TEXT(C234,"MMM")))</f>
        <v/>
      </c>
      <c r="J234">
        <f>IF($B234="","",IF(H234=0,0,I234/H234))</f>
        <v/>
      </c>
    </row>
    <row r="235">
      <c r="A235">
        <f>IF($B235="","",ROW()-5)</f>
        <v/>
      </c>
      <c r="D235">
        <f>IF($B235="","",IF(C235="","",TEXT(C235,"MMM")))</f>
        <v/>
      </c>
      <c r="J235">
        <f>IF($B235="","",IF(H235=0,0,I235/H235))</f>
        <v/>
      </c>
    </row>
    <row r="236">
      <c r="A236">
        <f>IF($B236="","",ROW()-5)</f>
        <v/>
      </c>
      <c r="D236">
        <f>IF($B236="","",IF(C236="","",TEXT(C236,"MMM")))</f>
        <v/>
      </c>
      <c r="J236">
        <f>IF($B236="","",IF(H236=0,0,I236/H236))</f>
        <v/>
      </c>
    </row>
    <row r="237">
      <c r="A237">
        <f>IF($B237="","",ROW()-5)</f>
        <v/>
      </c>
      <c r="D237">
        <f>IF($B237="","",IF(C237="","",TEXT(C237,"MMM")))</f>
        <v/>
      </c>
      <c r="J237">
        <f>IF($B237="","",IF(H237=0,0,I237/H237))</f>
        <v/>
      </c>
    </row>
    <row r="238">
      <c r="A238">
        <f>IF($B238="","",ROW()-5)</f>
        <v/>
      </c>
      <c r="D238">
        <f>IF($B238="","",IF(C238="","",TEXT(C238,"MMM")))</f>
        <v/>
      </c>
      <c r="J238">
        <f>IF($B238="","",IF(H238=0,0,I238/H238))</f>
        <v/>
      </c>
    </row>
    <row r="239">
      <c r="A239">
        <f>IF($B239="","",ROW()-5)</f>
        <v/>
      </c>
      <c r="D239">
        <f>IF($B239="","",IF(C239="","",TEXT(C239,"MMM")))</f>
        <v/>
      </c>
      <c r="J239">
        <f>IF($B239="","",IF(H239=0,0,I239/H239))</f>
        <v/>
      </c>
    </row>
    <row r="240">
      <c r="A240">
        <f>IF($B240="","",ROW()-5)</f>
        <v/>
      </c>
      <c r="D240">
        <f>IF($B240="","",IF(C240="","",TEXT(C240,"MMM")))</f>
        <v/>
      </c>
      <c r="J240">
        <f>IF($B240="","",IF(H240=0,0,I240/H240))</f>
        <v/>
      </c>
    </row>
    <row r="241">
      <c r="A241">
        <f>IF($B241="","",ROW()-5)</f>
        <v/>
      </c>
      <c r="D241">
        <f>IF($B241="","",IF(C241="","",TEXT(C241,"MMM")))</f>
        <v/>
      </c>
      <c r="J241">
        <f>IF($B241="","",IF(H241=0,0,I241/H241))</f>
        <v/>
      </c>
    </row>
    <row r="242">
      <c r="A242">
        <f>IF($B242="","",ROW()-5)</f>
        <v/>
      </c>
      <c r="D242">
        <f>IF($B242="","",IF(C242="","",TEXT(C242,"MMM")))</f>
        <v/>
      </c>
      <c r="J242">
        <f>IF($B242="","",IF(H242=0,0,I242/H242))</f>
        <v/>
      </c>
    </row>
    <row r="243">
      <c r="A243">
        <f>IF($B243="","",ROW()-5)</f>
        <v/>
      </c>
      <c r="D243">
        <f>IF($B243="","",IF(C243="","",TEXT(C243,"MMM")))</f>
        <v/>
      </c>
      <c r="J243">
        <f>IF($B243="","",IF(H243=0,0,I243/H243))</f>
        <v/>
      </c>
    </row>
    <row r="244">
      <c r="A244">
        <f>IF($B244="","",ROW()-5)</f>
        <v/>
      </c>
      <c r="D244">
        <f>IF($B244="","",IF(C244="","",TEXT(C244,"MMM")))</f>
        <v/>
      </c>
      <c r="J244">
        <f>IF($B244="","",IF(H244=0,0,I244/H244))</f>
        <v/>
      </c>
    </row>
    <row r="245">
      <c r="A245">
        <f>IF($B245="","",ROW()-5)</f>
        <v/>
      </c>
      <c r="D245">
        <f>IF($B245="","",IF(C245="","",TEXT(C245,"MMM")))</f>
        <v/>
      </c>
      <c r="J245">
        <f>IF($B245="","",IF(H245=0,0,I245/H245))</f>
        <v/>
      </c>
    </row>
    <row r="246">
      <c r="A246">
        <f>IF($B246="","",ROW()-5)</f>
        <v/>
      </c>
      <c r="D246">
        <f>IF($B246="","",IF(C246="","",TEXT(C246,"MMM")))</f>
        <v/>
      </c>
      <c r="J246">
        <f>IF($B246="","",IF(H246=0,0,I246/H246))</f>
        <v/>
      </c>
    </row>
    <row r="247">
      <c r="A247">
        <f>IF($B247="","",ROW()-5)</f>
        <v/>
      </c>
      <c r="D247">
        <f>IF($B247="","",IF(C247="","",TEXT(C247,"MMM")))</f>
        <v/>
      </c>
      <c r="J247">
        <f>IF($B247="","",IF(H247=0,0,I247/H247))</f>
        <v/>
      </c>
    </row>
    <row r="248">
      <c r="A248">
        <f>IF($B248="","",ROW()-5)</f>
        <v/>
      </c>
      <c r="D248">
        <f>IF($B248="","",IF(C248="","",TEXT(C248,"MMM")))</f>
        <v/>
      </c>
      <c r="J248">
        <f>IF($B248="","",IF(H248=0,0,I248/H248))</f>
        <v/>
      </c>
    </row>
    <row r="249">
      <c r="A249">
        <f>IF($B249="","",ROW()-5)</f>
        <v/>
      </c>
      <c r="D249">
        <f>IF($B249="","",IF(C249="","",TEXT(C249,"MMM")))</f>
        <v/>
      </c>
      <c r="J249">
        <f>IF($B249="","",IF(H249=0,0,I249/H249))</f>
        <v/>
      </c>
    </row>
    <row r="250">
      <c r="A250">
        <f>IF($B250="","",ROW()-5)</f>
        <v/>
      </c>
      <c r="D250">
        <f>IF($B250="","",IF(C250="","",TEXT(C250,"MMM")))</f>
        <v/>
      </c>
      <c r="J250">
        <f>IF($B250="","",IF(H250=0,0,I250/H250))</f>
        <v/>
      </c>
    </row>
    <row r="251">
      <c r="A251">
        <f>IF($B251="","",ROW()-5)</f>
        <v/>
      </c>
      <c r="D251">
        <f>IF($B251="","",IF(C251="","",TEXT(C251,"MMM")))</f>
        <v/>
      </c>
      <c r="J251">
        <f>IF($B251="","",IF(H251=0,0,I251/H251))</f>
        <v/>
      </c>
    </row>
    <row r="252">
      <c r="A252">
        <f>IF($B252="","",ROW()-5)</f>
        <v/>
      </c>
      <c r="D252">
        <f>IF($B252="","",IF(C252="","",TEXT(C252,"MMM")))</f>
        <v/>
      </c>
      <c r="J252">
        <f>IF($B252="","",IF(H252=0,0,I252/H252))</f>
        <v/>
      </c>
    </row>
    <row r="253">
      <c r="A253">
        <f>IF($B253="","",ROW()-5)</f>
        <v/>
      </c>
      <c r="D253">
        <f>IF($B253="","",IF(C253="","",TEXT(C253,"MMM")))</f>
        <v/>
      </c>
      <c r="J253">
        <f>IF($B253="","",IF(H253=0,0,I253/H253))</f>
        <v/>
      </c>
    </row>
    <row r="254">
      <c r="A254">
        <f>IF($B254="","",ROW()-5)</f>
        <v/>
      </c>
      <c r="D254">
        <f>IF($B254="","",IF(C254="","",TEXT(C254,"MMM")))</f>
        <v/>
      </c>
      <c r="J254">
        <f>IF($B254="","",IF(H254=0,0,I254/H254))</f>
        <v/>
      </c>
    </row>
    <row r="255">
      <c r="A255">
        <f>IF($B255="","",ROW()-5)</f>
        <v/>
      </c>
      <c r="D255">
        <f>IF($B255="","",IF(C255="","",TEXT(C255,"MMM")))</f>
        <v/>
      </c>
      <c r="J255">
        <f>IF($B255="","",IF(H255=0,0,I255/H255))</f>
        <v/>
      </c>
    </row>
    <row r="256">
      <c r="A256">
        <f>IF($B256="","",ROW()-5)</f>
        <v/>
      </c>
      <c r="D256">
        <f>IF($B256="","",IF(C256="","",TEXT(C256,"MMM")))</f>
        <v/>
      </c>
      <c r="J256">
        <f>IF($B256="","",IF(H256=0,0,I256/H256))</f>
        <v/>
      </c>
    </row>
    <row r="257">
      <c r="A257">
        <f>IF($B257="","",ROW()-5)</f>
        <v/>
      </c>
      <c r="D257">
        <f>IF($B257="","",IF(C257="","",TEXT(C257,"MMM")))</f>
        <v/>
      </c>
      <c r="J257">
        <f>IF($B257="","",IF(H257=0,0,I257/H257))</f>
        <v/>
      </c>
    </row>
    <row r="258">
      <c r="A258">
        <f>IF($B258="","",ROW()-5)</f>
        <v/>
      </c>
      <c r="D258">
        <f>IF($B258="","",IF(C258="","",TEXT(C258,"MMM")))</f>
        <v/>
      </c>
      <c r="J258">
        <f>IF($B258="","",IF(H258=0,0,I258/H258))</f>
        <v/>
      </c>
    </row>
    <row r="259">
      <c r="A259">
        <f>IF($B259="","",ROW()-5)</f>
        <v/>
      </c>
      <c r="D259">
        <f>IF($B259="","",IF(C259="","",TEXT(C259,"MMM")))</f>
        <v/>
      </c>
      <c r="J259">
        <f>IF($B259="","",IF(H259=0,0,I259/H259))</f>
        <v/>
      </c>
    </row>
    <row r="260">
      <c r="A260">
        <f>IF($B260="","",ROW()-5)</f>
        <v/>
      </c>
      <c r="D260">
        <f>IF($B260="","",IF(C260="","",TEXT(C260,"MMM")))</f>
        <v/>
      </c>
      <c r="J260">
        <f>IF($B260="","",IF(H260=0,0,I260/H260))</f>
        <v/>
      </c>
    </row>
    <row r="261">
      <c r="A261">
        <f>IF($B261="","",ROW()-5)</f>
        <v/>
      </c>
      <c r="D261">
        <f>IF($B261="","",IF(C261="","",TEXT(C261,"MMM")))</f>
        <v/>
      </c>
      <c r="J261">
        <f>IF($B261="","",IF(H261=0,0,I261/H261))</f>
        <v/>
      </c>
    </row>
    <row r="262">
      <c r="A262">
        <f>IF($B262="","",ROW()-5)</f>
        <v/>
      </c>
      <c r="D262">
        <f>IF($B262="","",IF(C262="","",TEXT(C262,"MMM")))</f>
        <v/>
      </c>
      <c r="J262">
        <f>IF($B262="","",IF(H262=0,0,I262/H262))</f>
        <v/>
      </c>
    </row>
    <row r="263">
      <c r="A263">
        <f>IF($B263="","",ROW()-5)</f>
        <v/>
      </c>
      <c r="D263">
        <f>IF($B263="","",IF(C263="","",TEXT(C263,"MMM")))</f>
        <v/>
      </c>
      <c r="J263">
        <f>IF($B263="","",IF(H263=0,0,I263/H263))</f>
        <v/>
      </c>
    </row>
    <row r="264">
      <c r="A264">
        <f>IF($B264="","",ROW()-5)</f>
        <v/>
      </c>
      <c r="D264">
        <f>IF($B264="","",IF(C264="","",TEXT(C264,"MMM")))</f>
        <v/>
      </c>
      <c r="J264">
        <f>IF($B264="","",IF(H264=0,0,I264/H264))</f>
        <v/>
      </c>
    </row>
    <row r="265">
      <c r="A265">
        <f>IF($B265="","",ROW()-5)</f>
        <v/>
      </c>
      <c r="D265">
        <f>IF($B265="","",IF(C265="","",TEXT(C265,"MMM")))</f>
        <v/>
      </c>
      <c r="J265">
        <f>IF($B265="","",IF(H265=0,0,I265/H265))</f>
        <v/>
      </c>
    </row>
    <row r="266">
      <c r="A266">
        <f>IF($B266="","",ROW()-5)</f>
        <v/>
      </c>
      <c r="D266">
        <f>IF($B266="","",IF(C266="","",TEXT(C266,"MMM")))</f>
        <v/>
      </c>
      <c r="J266">
        <f>IF($B266="","",IF(H266=0,0,I266/H266))</f>
        <v/>
      </c>
    </row>
    <row r="267">
      <c r="A267">
        <f>IF($B267="","",ROW()-5)</f>
        <v/>
      </c>
      <c r="D267">
        <f>IF($B267="","",IF(C267="","",TEXT(C267,"MMM")))</f>
        <v/>
      </c>
      <c r="J267">
        <f>IF($B267="","",IF(H267=0,0,I267/H267))</f>
        <v/>
      </c>
    </row>
    <row r="268">
      <c r="A268">
        <f>IF($B268="","",ROW()-5)</f>
        <v/>
      </c>
      <c r="D268">
        <f>IF($B268="","",IF(C268="","",TEXT(C268,"MMM")))</f>
        <v/>
      </c>
      <c r="J268">
        <f>IF($B268="","",IF(H268=0,0,I268/H268))</f>
        <v/>
      </c>
    </row>
    <row r="269">
      <c r="A269">
        <f>IF($B269="","",ROW()-5)</f>
        <v/>
      </c>
      <c r="D269">
        <f>IF($B269="","",IF(C269="","",TEXT(C269,"MMM")))</f>
        <v/>
      </c>
      <c r="J269">
        <f>IF($B269="","",IF(H269=0,0,I269/H269))</f>
        <v/>
      </c>
    </row>
    <row r="270">
      <c r="A270">
        <f>IF($B270="","",ROW()-5)</f>
        <v/>
      </c>
      <c r="D270">
        <f>IF($B270="","",IF(C270="","",TEXT(C270,"MMM")))</f>
        <v/>
      </c>
      <c r="J270">
        <f>IF($B270="","",IF(H270=0,0,I270/H270))</f>
        <v/>
      </c>
    </row>
    <row r="271">
      <c r="A271">
        <f>IF($B271="","",ROW()-5)</f>
        <v/>
      </c>
      <c r="D271">
        <f>IF($B271="","",IF(C271="","",TEXT(C271,"MMM")))</f>
        <v/>
      </c>
      <c r="J271">
        <f>IF($B271="","",IF(H271=0,0,I271/H271))</f>
        <v/>
      </c>
    </row>
    <row r="272">
      <c r="A272">
        <f>IF($B272="","",ROW()-5)</f>
        <v/>
      </c>
      <c r="D272">
        <f>IF($B272="","",IF(C272="","",TEXT(C272,"MMM")))</f>
        <v/>
      </c>
      <c r="J272">
        <f>IF($B272="","",IF(H272=0,0,I272/H272))</f>
        <v/>
      </c>
    </row>
    <row r="273">
      <c r="A273">
        <f>IF($B273="","",ROW()-5)</f>
        <v/>
      </c>
      <c r="D273">
        <f>IF($B273="","",IF(C273="","",TEXT(C273,"MMM")))</f>
        <v/>
      </c>
      <c r="J273">
        <f>IF($B273="","",IF(H273=0,0,I273/H273))</f>
        <v/>
      </c>
    </row>
    <row r="274">
      <c r="A274">
        <f>IF($B274="","",ROW()-5)</f>
        <v/>
      </c>
      <c r="D274">
        <f>IF($B274="","",IF(C274="","",TEXT(C274,"MMM")))</f>
        <v/>
      </c>
      <c r="J274">
        <f>IF($B274="","",IF(H274=0,0,I274/H274))</f>
        <v/>
      </c>
    </row>
    <row r="275">
      <c r="A275">
        <f>IF($B275="","",ROW()-5)</f>
        <v/>
      </c>
      <c r="D275">
        <f>IF($B275="","",IF(C275="","",TEXT(C275,"MMM")))</f>
        <v/>
      </c>
      <c r="J275">
        <f>IF($B275="","",IF(H275=0,0,I275/H275))</f>
        <v/>
      </c>
    </row>
    <row r="276">
      <c r="A276">
        <f>IF($B276="","",ROW()-5)</f>
        <v/>
      </c>
      <c r="D276">
        <f>IF($B276="","",IF(C276="","",TEXT(C276,"MMM")))</f>
        <v/>
      </c>
      <c r="J276">
        <f>IF($B276="","",IF(H276=0,0,I276/H276))</f>
        <v/>
      </c>
    </row>
    <row r="277">
      <c r="A277">
        <f>IF($B277="","",ROW()-5)</f>
        <v/>
      </c>
      <c r="D277">
        <f>IF($B277="","",IF(C277="","",TEXT(C277,"MMM")))</f>
        <v/>
      </c>
      <c r="J277">
        <f>IF($B277="","",IF(H277=0,0,I277/H277))</f>
        <v/>
      </c>
    </row>
    <row r="278">
      <c r="A278">
        <f>IF($B278="","",ROW()-5)</f>
        <v/>
      </c>
      <c r="D278">
        <f>IF($B278="","",IF(C278="","",TEXT(C278,"MMM")))</f>
        <v/>
      </c>
      <c r="J278">
        <f>IF($B278="","",IF(H278=0,0,I278/H278))</f>
        <v/>
      </c>
    </row>
    <row r="279">
      <c r="A279">
        <f>IF($B279="","",ROW()-5)</f>
        <v/>
      </c>
      <c r="D279">
        <f>IF($B279="","",IF(C279="","",TEXT(C279,"MMM")))</f>
        <v/>
      </c>
      <c r="J279">
        <f>IF($B279="","",IF(H279=0,0,I279/H279))</f>
        <v/>
      </c>
    </row>
    <row r="280">
      <c r="A280">
        <f>IF($B280="","",ROW()-5)</f>
        <v/>
      </c>
      <c r="D280">
        <f>IF($B280="","",IF(C280="","",TEXT(C280,"MMM")))</f>
        <v/>
      </c>
      <c r="J280">
        <f>IF($B280="","",IF(H280=0,0,I280/H280))</f>
        <v/>
      </c>
    </row>
    <row r="281">
      <c r="A281">
        <f>IF($B281="","",ROW()-5)</f>
        <v/>
      </c>
      <c r="D281">
        <f>IF($B281="","",IF(C281="","",TEXT(C281,"MMM")))</f>
        <v/>
      </c>
      <c r="J281">
        <f>IF($B281="","",IF(H281=0,0,I281/H281))</f>
        <v/>
      </c>
    </row>
    <row r="282">
      <c r="A282">
        <f>IF($B282="","",ROW()-5)</f>
        <v/>
      </c>
      <c r="D282">
        <f>IF($B282="","",IF(C282="","",TEXT(C282,"MMM")))</f>
        <v/>
      </c>
      <c r="J282">
        <f>IF($B282="","",IF(H282=0,0,I282/H282))</f>
        <v/>
      </c>
    </row>
    <row r="283">
      <c r="A283">
        <f>IF($B283="","",ROW()-5)</f>
        <v/>
      </c>
      <c r="D283">
        <f>IF($B283="","",IF(C283="","",TEXT(C283,"MMM")))</f>
        <v/>
      </c>
      <c r="J283">
        <f>IF($B283="","",IF(H283=0,0,I283/H283))</f>
        <v/>
      </c>
    </row>
    <row r="284">
      <c r="A284">
        <f>IF($B284="","",ROW()-5)</f>
        <v/>
      </c>
      <c r="D284">
        <f>IF($B284="","",IF(C284="","",TEXT(C284,"MMM")))</f>
        <v/>
      </c>
      <c r="J284">
        <f>IF($B284="","",IF(H284=0,0,I284/H284))</f>
        <v/>
      </c>
    </row>
    <row r="285">
      <c r="A285">
        <f>IF($B285="","",ROW()-5)</f>
        <v/>
      </c>
      <c r="D285">
        <f>IF($B285="","",IF(C285="","",TEXT(C285,"MMM")))</f>
        <v/>
      </c>
      <c r="J285">
        <f>IF($B285="","",IF(H285=0,0,I285/H285))</f>
        <v/>
      </c>
    </row>
    <row r="286">
      <c r="A286">
        <f>IF($B286="","",ROW()-5)</f>
        <v/>
      </c>
      <c r="D286">
        <f>IF($B286="","",IF(C286="","",TEXT(C286,"MMM")))</f>
        <v/>
      </c>
      <c r="J286">
        <f>IF($B286="","",IF(H286=0,0,I286/H286))</f>
        <v/>
      </c>
    </row>
    <row r="287">
      <c r="A287">
        <f>IF($B287="","",ROW()-5)</f>
        <v/>
      </c>
      <c r="D287">
        <f>IF($B287="","",IF(C287="","",TEXT(C287,"MMM")))</f>
        <v/>
      </c>
      <c r="J287">
        <f>IF($B287="","",IF(H287=0,0,I287/H287))</f>
        <v/>
      </c>
    </row>
    <row r="288">
      <c r="A288">
        <f>IF($B288="","",ROW()-5)</f>
        <v/>
      </c>
      <c r="D288">
        <f>IF($B288="","",IF(C288="","",TEXT(C288,"MMM")))</f>
        <v/>
      </c>
      <c r="J288">
        <f>IF($B288="","",IF(H288=0,0,I288/H288))</f>
        <v/>
      </c>
    </row>
    <row r="289">
      <c r="A289">
        <f>IF($B289="","",ROW()-5)</f>
        <v/>
      </c>
      <c r="D289">
        <f>IF($B289="","",IF(C289="","",TEXT(C289,"MMM")))</f>
        <v/>
      </c>
      <c r="J289">
        <f>IF($B289="","",IF(H289=0,0,I289/H289))</f>
        <v/>
      </c>
    </row>
    <row r="290">
      <c r="A290">
        <f>IF($B290="","",ROW()-5)</f>
        <v/>
      </c>
      <c r="D290">
        <f>IF($B290="","",IF(C290="","",TEXT(C290,"MMM")))</f>
        <v/>
      </c>
      <c r="J290">
        <f>IF($B290="","",IF(H290=0,0,I290/H290))</f>
        <v/>
      </c>
    </row>
    <row r="291">
      <c r="A291">
        <f>IF($B291="","",ROW()-5)</f>
        <v/>
      </c>
      <c r="D291">
        <f>IF($B291="","",IF(C291="","",TEXT(C291,"MMM")))</f>
        <v/>
      </c>
      <c r="J291">
        <f>IF($B291="","",IF(H291=0,0,I291/H291))</f>
        <v/>
      </c>
    </row>
    <row r="292">
      <c r="A292">
        <f>IF($B292="","",ROW()-5)</f>
        <v/>
      </c>
      <c r="D292">
        <f>IF($B292="","",IF(C292="","",TEXT(C292,"MMM")))</f>
        <v/>
      </c>
      <c r="J292">
        <f>IF($B292="","",IF(H292=0,0,I292/H292))</f>
        <v/>
      </c>
    </row>
    <row r="293">
      <c r="A293">
        <f>IF($B293="","",ROW()-5)</f>
        <v/>
      </c>
      <c r="D293">
        <f>IF($B293="","",IF(C293="","",TEXT(C293,"MMM")))</f>
        <v/>
      </c>
      <c r="J293">
        <f>IF($B293="","",IF(H293=0,0,I293/H293))</f>
        <v/>
      </c>
    </row>
    <row r="294">
      <c r="A294">
        <f>IF($B294="","",ROW()-5)</f>
        <v/>
      </c>
      <c r="D294">
        <f>IF($B294="","",IF(C294="","",TEXT(C294,"MMM")))</f>
        <v/>
      </c>
      <c r="J294">
        <f>IF($B294="","",IF(H294=0,0,I294/H294))</f>
        <v/>
      </c>
    </row>
    <row r="295">
      <c r="A295">
        <f>IF($B295="","",ROW()-5)</f>
        <v/>
      </c>
      <c r="D295">
        <f>IF($B295="","",IF(C295="","",TEXT(C295,"MMM")))</f>
        <v/>
      </c>
      <c r="J295">
        <f>IF($B295="","",IF(H295=0,0,I295/H295))</f>
        <v/>
      </c>
    </row>
    <row r="296">
      <c r="A296">
        <f>IF($B296="","",ROW()-5)</f>
        <v/>
      </c>
      <c r="D296">
        <f>IF($B296="","",IF(C296="","",TEXT(C296,"MMM")))</f>
        <v/>
      </c>
      <c r="J296">
        <f>IF($B296="","",IF(H296=0,0,I296/H296))</f>
        <v/>
      </c>
    </row>
    <row r="297">
      <c r="A297">
        <f>IF($B297="","",ROW()-5)</f>
        <v/>
      </c>
      <c r="D297">
        <f>IF($B297="","",IF(C297="","",TEXT(C297,"MMM")))</f>
        <v/>
      </c>
      <c r="J297">
        <f>IF($B297="","",IF(H297=0,0,I297/H297))</f>
        <v/>
      </c>
    </row>
    <row r="298">
      <c r="A298">
        <f>IF($B298="","",ROW()-5)</f>
        <v/>
      </c>
      <c r="D298">
        <f>IF($B298="","",IF(C298="","",TEXT(C298,"MMM")))</f>
        <v/>
      </c>
      <c r="J298">
        <f>IF($B298="","",IF(H298=0,0,I298/H298))</f>
        <v/>
      </c>
    </row>
    <row r="299">
      <c r="A299">
        <f>IF($B299="","",ROW()-5)</f>
        <v/>
      </c>
      <c r="D299">
        <f>IF($B299="","",IF(C299="","",TEXT(C299,"MMM")))</f>
        <v/>
      </c>
      <c r="J299">
        <f>IF($B299="","",IF(H299=0,0,I299/H299))</f>
        <v/>
      </c>
    </row>
    <row r="300">
      <c r="A300">
        <f>IF($B300="","",ROW()-5)</f>
        <v/>
      </c>
      <c r="D300">
        <f>IF($B300="","",IF(C300="","",TEXT(C300,"MMM")))</f>
        <v/>
      </c>
      <c r="J300">
        <f>IF($B300="","",IF(H300=0,0,I300/H300))</f>
        <v/>
      </c>
    </row>
    <row r="301">
      <c r="A301">
        <f>IF($B301="","",ROW()-5)</f>
        <v/>
      </c>
      <c r="D301">
        <f>IF($B301="","",IF(C301="","",TEXT(C301,"MMM")))</f>
        <v/>
      </c>
      <c r="J301">
        <f>IF($B301="","",IF(H301=0,0,I301/H301))</f>
        <v/>
      </c>
    </row>
    <row r="302">
      <c r="A302">
        <f>IF($B302="","",ROW()-5)</f>
        <v/>
      </c>
      <c r="D302">
        <f>IF($B302="","",IF(C302="","",TEXT(C302,"MMM")))</f>
        <v/>
      </c>
      <c r="J302">
        <f>IF($B302="","",IF(H302=0,0,I302/H302))</f>
        <v/>
      </c>
    </row>
    <row r="303">
      <c r="A303">
        <f>IF($B303="","",ROW()-5)</f>
        <v/>
      </c>
      <c r="D303">
        <f>IF($B303="","",IF(C303="","",TEXT(C303,"MMM")))</f>
        <v/>
      </c>
      <c r="J303">
        <f>IF($B303="","",IF(H303=0,0,I303/H303))</f>
        <v/>
      </c>
    </row>
    <row r="304">
      <c r="A304">
        <f>IF($B304="","",ROW()-5)</f>
        <v/>
      </c>
      <c r="D304">
        <f>IF($B304="","",IF(C304="","",TEXT(C304,"MMM")))</f>
        <v/>
      </c>
      <c r="J304">
        <f>IF($B304="","",IF(H304=0,0,I304/H304))</f>
        <v/>
      </c>
    </row>
    <row r="305">
      <c r="A305">
        <f>IF($B305="","",ROW()-5)</f>
        <v/>
      </c>
      <c r="D305">
        <f>IF($B305="","",IF(C305="","",TEXT(C305,"MMM")))</f>
        <v/>
      </c>
      <c r="J305">
        <f>IF($B305="","",IF(H305=0,0,I305/H305))</f>
        <v/>
      </c>
    </row>
    <row r="306">
      <c r="A306">
        <f>IF($B306="","",ROW()-5)</f>
        <v/>
      </c>
      <c r="D306">
        <f>IF($B306="","",IF(C306="","",TEXT(C306,"MMM")))</f>
        <v/>
      </c>
      <c r="J306">
        <f>IF($B306="","",IF(H306=0,0,I306/H306))</f>
        <v/>
      </c>
    </row>
    <row r="307">
      <c r="A307">
        <f>IF($B307="","",ROW()-5)</f>
        <v/>
      </c>
      <c r="D307">
        <f>IF($B307="","",IF(C307="","",TEXT(C307,"MMM")))</f>
        <v/>
      </c>
      <c r="J307">
        <f>IF($B307="","",IF(H307=0,0,I307/H307))</f>
        <v/>
      </c>
    </row>
    <row r="308">
      <c r="A308">
        <f>IF($B308="","",ROW()-5)</f>
        <v/>
      </c>
      <c r="D308">
        <f>IF($B308="","",IF(C308="","",TEXT(C308,"MMM")))</f>
        <v/>
      </c>
      <c r="J308">
        <f>IF($B308="","",IF(H308=0,0,I308/H308))</f>
        <v/>
      </c>
    </row>
    <row r="309">
      <c r="A309">
        <f>IF($B309="","",ROW()-5)</f>
        <v/>
      </c>
      <c r="D309">
        <f>IF($B309="","",IF(C309="","",TEXT(C309,"MMM")))</f>
        <v/>
      </c>
      <c r="J309">
        <f>IF($B309="","",IF(H309=0,0,I309/H309))</f>
        <v/>
      </c>
    </row>
    <row r="310">
      <c r="A310">
        <f>IF($B310="","",ROW()-5)</f>
        <v/>
      </c>
      <c r="D310">
        <f>IF($B310="","",IF(C310="","",TEXT(C310,"MMM")))</f>
        <v/>
      </c>
      <c r="J310">
        <f>IF($B310="","",IF(H310=0,0,I310/H310))</f>
        <v/>
      </c>
    </row>
    <row r="311">
      <c r="A311">
        <f>IF($B311="","",ROW()-5)</f>
        <v/>
      </c>
      <c r="D311">
        <f>IF($B311="","",IF(C311="","",TEXT(C311,"MMM")))</f>
        <v/>
      </c>
      <c r="J311">
        <f>IF($B311="","",IF(H311=0,0,I311/H311))</f>
        <v/>
      </c>
    </row>
    <row r="312">
      <c r="A312">
        <f>IF($B312="","",ROW()-5)</f>
        <v/>
      </c>
      <c r="D312">
        <f>IF($B312="","",IF(C312="","",TEXT(C312,"MMM")))</f>
        <v/>
      </c>
      <c r="J312">
        <f>IF($B312="","",IF(H312=0,0,I312/H312))</f>
        <v/>
      </c>
    </row>
    <row r="313">
      <c r="A313">
        <f>IF($B313="","",ROW()-5)</f>
        <v/>
      </c>
      <c r="D313">
        <f>IF($B313="","",IF(C313="","",TEXT(C313,"MMM")))</f>
        <v/>
      </c>
      <c r="J313">
        <f>IF($B313="","",IF(H313=0,0,I313/H313))</f>
        <v/>
      </c>
    </row>
    <row r="314">
      <c r="A314">
        <f>IF($B314="","",ROW()-5)</f>
        <v/>
      </c>
      <c r="D314">
        <f>IF($B314="","",IF(C314="","",TEXT(C314,"MMM")))</f>
        <v/>
      </c>
      <c r="J314">
        <f>IF($B314="","",IF(H314=0,0,I314/H314))</f>
        <v/>
      </c>
    </row>
    <row r="315">
      <c r="A315">
        <f>IF($B315="","",ROW()-5)</f>
        <v/>
      </c>
      <c r="D315">
        <f>IF($B315="","",IF(C315="","",TEXT(C315,"MMM")))</f>
        <v/>
      </c>
      <c r="J315">
        <f>IF($B315="","",IF(H315=0,0,I315/H315))</f>
        <v/>
      </c>
    </row>
    <row r="316">
      <c r="A316">
        <f>IF($B316="","",ROW()-5)</f>
        <v/>
      </c>
      <c r="D316">
        <f>IF($B316="","",IF(C316="","",TEXT(C316,"MMM")))</f>
        <v/>
      </c>
      <c r="J316">
        <f>IF($B316="","",IF(H316=0,0,I316/H316))</f>
        <v/>
      </c>
    </row>
    <row r="317">
      <c r="A317">
        <f>IF($B317="","",ROW()-5)</f>
        <v/>
      </c>
      <c r="D317">
        <f>IF($B317="","",IF(C317="","",TEXT(C317,"MMM")))</f>
        <v/>
      </c>
      <c r="J317">
        <f>IF($B317="","",IF(H317=0,0,I317/H317))</f>
        <v/>
      </c>
    </row>
    <row r="318">
      <c r="A318">
        <f>IF($B318="","",ROW()-5)</f>
        <v/>
      </c>
      <c r="D318">
        <f>IF($B318="","",IF(C318="","",TEXT(C318,"MMM")))</f>
        <v/>
      </c>
      <c r="J318">
        <f>IF($B318="","",IF(H318=0,0,I318/H318))</f>
        <v/>
      </c>
    </row>
    <row r="319">
      <c r="A319">
        <f>IF($B319="","",ROW()-5)</f>
        <v/>
      </c>
      <c r="D319">
        <f>IF($B319="","",IF(C319="","",TEXT(C319,"MMM")))</f>
        <v/>
      </c>
      <c r="J319">
        <f>IF($B319="","",IF(H319=0,0,I319/H319))</f>
        <v/>
      </c>
    </row>
    <row r="320">
      <c r="A320">
        <f>IF($B320="","",ROW()-5)</f>
        <v/>
      </c>
      <c r="D320">
        <f>IF($B320="","",IF(C320="","",TEXT(C320,"MMM")))</f>
        <v/>
      </c>
      <c r="J320">
        <f>IF($B320="","",IF(H320=0,0,I320/H320))</f>
        <v/>
      </c>
    </row>
    <row r="321">
      <c r="A321">
        <f>IF($B321="","",ROW()-5)</f>
        <v/>
      </c>
      <c r="D321">
        <f>IF($B321="","",IF(C321="","",TEXT(C321,"MMM")))</f>
        <v/>
      </c>
      <c r="J321">
        <f>IF($B321="","",IF(H321=0,0,I321/H321))</f>
        <v/>
      </c>
    </row>
    <row r="322">
      <c r="A322">
        <f>IF($B322="","",ROW()-5)</f>
        <v/>
      </c>
      <c r="D322">
        <f>IF($B322="","",IF(C322="","",TEXT(C322,"MMM")))</f>
        <v/>
      </c>
      <c r="J322">
        <f>IF($B322="","",IF(H322=0,0,I322/H322))</f>
        <v/>
      </c>
    </row>
    <row r="323">
      <c r="A323">
        <f>IF($B323="","",ROW()-5)</f>
        <v/>
      </c>
      <c r="D323">
        <f>IF($B323="","",IF(C323="","",TEXT(C323,"MMM")))</f>
        <v/>
      </c>
      <c r="J323">
        <f>IF($B323="","",IF(H323=0,0,I323/H323))</f>
        <v/>
      </c>
    </row>
    <row r="324">
      <c r="A324">
        <f>IF($B324="","",ROW()-5)</f>
        <v/>
      </c>
      <c r="D324">
        <f>IF($B324="","",IF(C324="","",TEXT(C324,"MMM")))</f>
        <v/>
      </c>
      <c r="J324">
        <f>IF($B324="","",IF(H324=0,0,I324/H324))</f>
        <v/>
      </c>
    </row>
    <row r="325">
      <c r="A325">
        <f>IF($B325="","",ROW()-5)</f>
        <v/>
      </c>
      <c r="D325">
        <f>IF($B325="","",IF(C325="","",TEXT(C325,"MMM")))</f>
        <v/>
      </c>
      <c r="J325">
        <f>IF($B325="","",IF(H325=0,0,I325/H325))</f>
        <v/>
      </c>
    </row>
    <row r="326">
      <c r="A326">
        <f>IF($B326="","",ROW()-5)</f>
        <v/>
      </c>
      <c r="D326">
        <f>IF($B326="","",IF(C326="","",TEXT(C326,"MMM")))</f>
        <v/>
      </c>
      <c r="J326">
        <f>IF($B326="","",IF(H326=0,0,I326/H326))</f>
        <v/>
      </c>
    </row>
    <row r="327">
      <c r="A327">
        <f>IF($B327="","",ROW()-5)</f>
        <v/>
      </c>
      <c r="D327">
        <f>IF($B327="","",IF(C327="","",TEXT(C327,"MMM")))</f>
        <v/>
      </c>
      <c r="J327">
        <f>IF($B327="","",IF(H327=0,0,I327/H327))</f>
        <v/>
      </c>
    </row>
    <row r="328">
      <c r="A328">
        <f>IF($B328="","",ROW()-5)</f>
        <v/>
      </c>
      <c r="D328">
        <f>IF($B328="","",IF(C328="","",TEXT(C328,"MMM")))</f>
        <v/>
      </c>
      <c r="J328">
        <f>IF($B328="","",IF(H328=0,0,I328/H328))</f>
        <v/>
      </c>
    </row>
    <row r="329">
      <c r="A329">
        <f>IF($B329="","",ROW()-5)</f>
        <v/>
      </c>
      <c r="D329">
        <f>IF($B329="","",IF(C329="","",TEXT(C329,"MMM")))</f>
        <v/>
      </c>
      <c r="J329">
        <f>IF($B329="","",IF(H329=0,0,I329/H329))</f>
        <v/>
      </c>
    </row>
    <row r="330">
      <c r="A330">
        <f>IF($B330="","",ROW()-5)</f>
        <v/>
      </c>
      <c r="D330">
        <f>IF($B330="","",IF(C330="","",TEXT(C330,"MMM")))</f>
        <v/>
      </c>
      <c r="J330">
        <f>IF($B330="","",IF(H330=0,0,I330/H330))</f>
        <v/>
      </c>
    </row>
    <row r="331">
      <c r="A331">
        <f>IF($B331="","",ROW()-5)</f>
        <v/>
      </c>
      <c r="D331">
        <f>IF($B331="","",IF(C331="","",TEXT(C331,"MMM")))</f>
        <v/>
      </c>
      <c r="J331">
        <f>IF($B331="","",IF(H331=0,0,I331/H331))</f>
        <v/>
      </c>
    </row>
    <row r="332">
      <c r="A332">
        <f>IF($B332="","",ROW()-5)</f>
        <v/>
      </c>
      <c r="D332">
        <f>IF($B332="","",IF(C332="","",TEXT(C332,"MMM")))</f>
        <v/>
      </c>
      <c r="J332">
        <f>IF($B332="","",IF(H332=0,0,I332/H332))</f>
        <v/>
      </c>
    </row>
    <row r="333">
      <c r="A333">
        <f>IF($B333="","",ROW()-5)</f>
        <v/>
      </c>
      <c r="D333">
        <f>IF($B333="","",IF(C333="","",TEXT(C333,"MMM")))</f>
        <v/>
      </c>
      <c r="J333">
        <f>IF($B333="","",IF(H333=0,0,I333/H333))</f>
        <v/>
      </c>
    </row>
    <row r="334">
      <c r="A334">
        <f>IF($B334="","",ROW()-5)</f>
        <v/>
      </c>
      <c r="D334">
        <f>IF($B334="","",IF(C334="","",TEXT(C334,"MMM")))</f>
        <v/>
      </c>
      <c r="J334">
        <f>IF($B334="","",IF(H334=0,0,I334/H334))</f>
        <v/>
      </c>
    </row>
    <row r="335">
      <c r="A335">
        <f>IF($B335="","",ROW()-5)</f>
        <v/>
      </c>
      <c r="D335">
        <f>IF($B335="","",IF(C335="","",TEXT(C335,"MMM")))</f>
        <v/>
      </c>
      <c r="J335">
        <f>IF($B335="","",IF(H335=0,0,I335/H335))</f>
        <v/>
      </c>
    </row>
    <row r="336">
      <c r="A336">
        <f>IF($B336="","",ROW()-5)</f>
        <v/>
      </c>
      <c r="D336">
        <f>IF($B336="","",IF(C336="","",TEXT(C336,"MMM")))</f>
        <v/>
      </c>
      <c r="J336">
        <f>IF($B336="","",IF(H336=0,0,I336/H336))</f>
        <v/>
      </c>
    </row>
    <row r="337">
      <c r="A337">
        <f>IF($B337="","",ROW()-5)</f>
        <v/>
      </c>
      <c r="D337">
        <f>IF($B337="","",IF(C337="","",TEXT(C337,"MMM")))</f>
        <v/>
      </c>
      <c r="J337">
        <f>IF($B337="","",IF(H337=0,0,I337/H337))</f>
        <v/>
      </c>
    </row>
    <row r="338">
      <c r="A338">
        <f>IF($B338="","",ROW()-5)</f>
        <v/>
      </c>
      <c r="D338">
        <f>IF($B338="","",IF(C338="","",TEXT(C338,"MMM")))</f>
        <v/>
      </c>
      <c r="J338">
        <f>IF($B338="","",IF(H338=0,0,I338/H338))</f>
        <v/>
      </c>
    </row>
    <row r="339">
      <c r="A339">
        <f>IF($B339="","",ROW()-5)</f>
        <v/>
      </c>
      <c r="D339">
        <f>IF($B339="","",IF(C339="","",TEXT(C339,"MMM")))</f>
        <v/>
      </c>
      <c r="J339">
        <f>IF($B339="","",IF(H339=0,0,I339/H339))</f>
        <v/>
      </c>
    </row>
    <row r="340">
      <c r="A340">
        <f>IF($B340="","",ROW()-5)</f>
        <v/>
      </c>
      <c r="D340">
        <f>IF($B340="","",IF(C340="","",TEXT(C340,"MMM")))</f>
        <v/>
      </c>
      <c r="J340">
        <f>IF($B340="","",IF(H340=0,0,I340/H340))</f>
        <v/>
      </c>
    </row>
    <row r="341">
      <c r="A341">
        <f>IF($B341="","",ROW()-5)</f>
        <v/>
      </c>
      <c r="D341">
        <f>IF($B341="","",IF(C341="","",TEXT(C341,"MMM")))</f>
        <v/>
      </c>
      <c r="J341">
        <f>IF($B341="","",IF(H341=0,0,I341/H341))</f>
        <v/>
      </c>
    </row>
    <row r="342">
      <c r="A342">
        <f>IF($B342="","",ROW()-5)</f>
        <v/>
      </c>
      <c r="D342">
        <f>IF($B342="","",IF(C342="","",TEXT(C342,"MMM")))</f>
        <v/>
      </c>
      <c r="J342">
        <f>IF($B342="","",IF(H342=0,0,I342/H342))</f>
        <v/>
      </c>
    </row>
    <row r="343">
      <c r="A343">
        <f>IF($B343="","",ROW()-5)</f>
        <v/>
      </c>
      <c r="D343">
        <f>IF($B343="","",IF(C343="","",TEXT(C343,"MMM")))</f>
        <v/>
      </c>
      <c r="J343">
        <f>IF($B343="","",IF(H343=0,0,I343/H343))</f>
        <v/>
      </c>
    </row>
    <row r="344">
      <c r="A344">
        <f>IF($B344="","",ROW()-5)</f>
        <v/>
      </c>
      <c r="D344">
        <f>IF($B344="","",IF(C344="","",TEXT(C344,"MMM")))</f>
        <v/>
      </c>
      <c r="J344">
        <f>IF($B344="","",IF(H344=0,0,I344/H344))</f>
        <v/>
      </c>
    </row>
    <row r="345">
      <c r="A345">
        <f>IF($B345="","",ROW()-5)</f>
        <v/>
      </c>
      <c r="D345">
        <f>IF($B345="","",IF(C345="","",TEXT(C345,"MMM")))</f>
        <v/>
      </c>
      <c r="J345">
        <f>IF($B345="","",IF(H345=0,0,I345/H345))</f>
        <v/>
      </c>
    </row>
    <row r="346">
      <c r="A346">
        <f>IF($B346="","",ROW()-5)</f>
        <v/>
      </c>
      <c r="D346">
        <f>IF($B346="","",IF(C346="","",TEXT(C346,"MMM")))</f>
        <v/>
      </c>
      <c r="J346">
        <f>IF($B346="","",IF(H346=0,0,I346/H346))</f>
        <v/>
      </c>
    </row>
    <row r="347">
      <c r="A347">
        <f>IF($B347="","",ROW()-5)</f>
        <v/>
      </c>
      <c r="D347">
        <f>IF($B347="","",IF(C347="","",TEXT(C347,"MMM")))</f>
        <v/>
      </c>
      <c r="J347">
        <f>IF($B347="","",IF(H347=0,0,I347/H347))</f>
        <v/>
      </c>
    </row>
    <row r="348">
      <c r="A348">
        <f>IF($B348="","",ROW()-5)</f>
        <v/>
      </c>
      <c r="D348">
        <f>IF($B348="","",IF(C348="","",TEXT(C348,"MMM")))</f>
        <v/>
      </c>
      <c r="J348">
        <f>IF($B348="","",IF(H348=0,0,I348/H348))</f>
        <v/>
      </c>
    </row>
    <row r="349">
      <c r="A349">
        <f>IF($B349="","",ROW()-5)</f>
        <v/>
      </c>
      <c r="D349">
        <f>IF($B349="","",IF(C349="","",TEXT(C349,"MMM")))</f>
        <v/>
      </c>
      <c r="J349">
        <f>IF($B349="","",IF(H349=0,0,I349/H349))</f>
        <v/>
      </c>
    </row>
    <row r="350">
      <c r="A350">
        <f>IF($B350="","",ROW()-5)</f>
        <v/>
      </c>
      <c r="D350">
        <f>IF($B350="","",IF(C350="","",TEXT(C350,"MMM")))</f>
        <v/>
      </c>
      <c r="J350">
        <f>IF($B350="","",IF(H350=0,0,I350/H350))</f>
        <v/>
      </c>
    </row>
    <row r="351">
      <c r="A351">
        <f>IF($B351="","",ROW()-5)</f>
        <v/>
      </c>
      <c r="D351">
        <f>IF($B351="","",IF(C351="","",TEXT(C351,"MMM")))</f>
        <v/>
      </c>
      <c r="J351">
        <f>IF($B351="","",IF(H351=0,0,I351/H351))</f>
        <v/>
      </c>
    </row>
    <row r="352">
      <c r="A352">
        <f>IF($B352="","",ROW()-5)</f>
        <v/>
      </c>
      <c r="D352">
        <f>IF($B352="","",IF(C352="","",TEXT(C352,"MMM")))</f>
        <v/>
      </c>
      <c r="J352">
        <f>IF($B352="","",IF(H352=0,0,I352/H352))</f>
        <v/>
      </c>
    </row>
    <row r="353">
      <c r="A353">
        <f>IF($B353="","",ROW()-5)</f>
        <v/>
      </c>
      <c r="D353">
        <f>IF($B353="","",IF(C353="","",TEXT(C353,"MMM")))</f>
        <v/>
      </c>
      <c r="J353">
        <f>IF($B353="","",IF(H353=0,0,I353/H353))</f>
        <v/>
      </c>
    </row>
    <row r="354">
      <c r="A354">
        <f>IF($B354="","",ROW()-5)</f>
        <v/>
      </c>
      <c r="D354">
        <f>IF($B354="","",IF(C354="","",TEXT(C354,"MMM")))</f>
        <v/>
      </c>
      <c r="J354">
        <f>IF($B354="","",IF(H354=0,0,I354/H354))</f>
        <v/>
      </c>
    </row>
    <row r="355">
      <c r="A355">
        <f>IF($B355="","",ROW()-5)</f>
        <v/>
      </c>
      <c r="D355">
        <f>IF($B355="","",IF(C355="","",TEXT(C355,"MMM")))</f>
        <v/>
      </c>
      <c r="J355">
        <f>IF($B355="","",IF(H355=0,0,I355/H355))</f>
        <v/>
      </c>
    </row>
    <row r="356">
      <c r="A356">
        <f>IF($B356="","",ROW()-5)</f>
        <v/>
      </c>
      <c r="D356">
        <f>IF($B356="","",IF(C356="","",TEXT(C356,"MMM")))</f>
        <v/>
      </c>
      <c r="J356">
        <f>IF($B356="","",IF(H356=0,0,I356/H356))</f>
        <v/>
      </c>
    </row>
    <row r="357">
      <c r="A357">
        <f>IF($B357="","",ROW()-5)</f>
        <v/>
      </c>
      <c r="D357">
        <f>IF($B357="","",IF(C357="","",TEXT(C357,"MMM")))</f>
        <v/>
      </c>
      <c r="J357">
        <f>IF($B357="","",IF(H357=0,0,I357/H357))</f>
        <v/>
      </c>
    </row>
    <row r="358">
      <c r="A358">
        <f>IF($B358="","",ROW()-5)</f>
        <v/>
      </c>
      <c r="D358">
        <f>IF($B358="","",IF(C358="","",TEXT(C358,"MMM")))</f>
        <v/>
      </c>
      <c r="J358">
        <f>IF($B358="","",IF(H358=0,0,I358/H358))</f>
        <v/>
      </c>
    </row>
    <row r="359">
      <c r="A359">
        <f>IF($B359="","",ROW()-5)</f>
        <v/>
      </c>
      <c r="D359">
        <f>IF($B359="","",IF(C359="","",TEXT(C359,"MMM")))</f>
        <v/>
      </c>
      <c r="J359">
        <f>IF($B359="","",IF(H359=0,0,I359/H359))</f>
        <v/>
      </c>
    </row>
    <row r="360">
      <c r="A360">
        <f>IF($B360="","",ROW()-5)</f>
        <v/>
      </c>
      <c r="D360">
        <f>IF($B360="","",IF(C360="","",TEXT(C360,"MMM")))</f>
        <v/>
      </c>
      <c r="J360">
        <f>IF($B360="","",IF(H360=0,0,I360/H360))</f>
        <v/>
      </c>
    </row>
    <row r="361">
      <c r="A361">
        <f>IF($B361="","",ROW()-5)</f>
        <v/>
      </c>
      <c r="D361">
        <f>IF($B361="","",IF(C361="","",TEXT(C361,"MMM")))</f>
        <v/>
      </c>
      <c r="J361">
        <f>IF($B361="","",IF(H361=0,0,I361/H361))</f>
        <v/>
      </c>
    </row>
    <row r="362">
      <c r="A362">
        <f>IF($B362="","",ROW()-5)</f>
        <v/>
      </c>
      <c r="D362">
        <f>IF($B362="","",IF(C362="","",TEXT(C362,"MMM")))</f>
        <v/>
      </c>
      <c r="J362">
        <f>IF($B362="","",IF(H362=0,0,I362/H362))</f>
        <v/>
      </c>
    </row>
    <row r="363">
      <c r="A363">
        <f>IF($B363="","",ROW()-5)</f>
        <v/>
      </c>
      <c r="D363">
        <f>IF($B363="","",IF(C363="","",TEXT(C363,"MMM")))</f>
        <v/>
      </c>
      <c r="J363">
        <f>IF($B363="","",IF(H363=0,0,I363/H363))</f>
        <v/>
      </c>
    </row>
    <row r="364">
      <c r="A364">
        <f>IF($B364="","",ROW()-5)</f>
        <v/>
      </c>
      <c r="D364">
        <f>IF($B364="","",IF(C364="","",TEXT(C364,"MMM")))</f>
        <v/>
      </c>
      <c r="J364">
        <f>IF($B364="","",IF(H364=0,0,I364/H364))</f>
        <v/>
      </c>
    </row>
    <row r="365">
      <c r="A365">
        <f>IF($B365="","",ROW()-5)</f>
        <v/>
      </c>
      <c r="D365">
        <f>IF($B365="","",IF(C365="","",TEXT(C365,"MMM")))</f>
        <v/>
      </c>
      <c r="J365">
        <f>IF($B365="","",IF(H365=0,0,I365/H365))</f>
        <v/>
      </c>
    </row>
    <row r="366">
      <c r="A366">
        <f>IF($B366="","",ROW()-5)</f>
        <v/>
      </c>
      <c r="D366">
        <f>IF($B366="","",IF(C366="","",TEXT(C366,"MMM")))</f>
        <v/>
      </c>
      <c r="J366">
        <f>IF($B366="","",IF(H366=0,0,I366/H366))</f>
        <v/>
      </c>
    </row>
    <row r="367">
      <c r="A367">
        <f>IF($B367="","",ROW()-5)</f>
        <v/>
      </c>
      <c r="D367">
        <f>IF($B367="","",IF(C367="","",TEXT(C367,"MMM")))</f>
        <v/>
      </c>
      <c r="J367">
        <f>IF($B367="","",IF(H367=0,0,I367/H367))</f>
        <v/>
      </c>
    </row>
    <row r="368">
      <c r="A368">
        <f>IF($B368="","",ROW()-5)</f>
        <v/>
      </c>
      <c r="D368">
        <f>IF($B368="","",IF(C368="","",TEXT(C368,"MMM")))</f>
        <v/>
      </c>
      <c r="J368">
        <f>IF($B368="","",IF(H368=0,0,I368/H368))</f>
        <v/>
      </c>
    </row>
    <row r="369">
      <c r="A369">
        <f>IF($B369="","",ROW()-5)</f>
        <v/>
      </c>
      <c r="D369">
        <f>IF($B369="","",IF(C369="","",TEXT(C369,"MMM")))</f>
        <v/>
      </c>
      <c r="J369">
        <f>IF($B369="","",IF(H369=0,0,I369/H369))</f>
        <v/>
      </c>
    </row>
    <row r="370">
      <c r="A370">
        <f>IF($B370="","",ROW()-5)</f>
        <v/>
      </c>
      <c r="D370">
        <f>IF($B370="","",IF(C370="","",TEXT(C370,"MMM")))</f>
        <v/>
      </c>
      <c r="J370">
        <f>IF($B370="","",IF(H370=0,0,I370/H370))</f>
        <v/>
      </c>
    </row>
    <row r="371">
      <c r="A371">
        <f>IF($B371="","",ROW()-5)</f>
        <v/>
      </c>
      <c r="D371">
        <f>IF($B371="","",IF(C371="","",TEXT(C371,"MMM")))</f>
        <v/>
      </c>
      <c r="J371">
        <f>IF($B371="","",IF(H371=0,0,I371/H371))</f>
        <v/>
      </c>
    </row>
    <row r="372">
      <c r="A372">
        <f>IF($B372="","",ROW()-5)</f>
        <v/>
      </c>
      <c r="D372">
        <f>IF($B372="","",IF(C372="","",TEXT(C372,"MMM")))</f>
        <v/>
      </c>
      <c r="J372">
        <f>IF($B372="","",IF(H372=0,0,I372/H372))</f>
        <v/>
      </c>
    </row>
    <row r="373">
      <c r="A373">
        <f>IF($B373="","",ROW()-5)</f>
        <v/>
      </c>
      <c r="D373">
        <f>IF($B373="","",IF(C373="","",TEXT(C373,"MMM")))</f>
        <v/>
      </c>
      <c r="J373">
        <f>IF($B373="","",IF(H373=0,0,I373/H373))</f>
        <v/>
      </c>
    </row>
    <row r="374">
      <c r="A374">
        <f>IF($B374="","",ROW()-5)</f>
        <v/>
      </c>
      <c r="D374">
        <f>IF($B374="","",IF(C374="","",TEXT(C374,"MMM")))</f>
        <v/>
      </c>
      <c r="J374">
        <f>IF($B374="","",IF(H374=0,0,I374/H374))</f>
        <v/>
      </c>
    </row>
    <row r="375">
      <c r="A375">
        <f>IF($B375="","",ROW()-5)</f>
        <v/>
      </c>
      <c r="D375">
        <f>IF($B375="","",IF(C375="","",TEXT(C375,"MMM")))</f>
        <v/>
      </c>
      <c r="J375">
        <f>IF($B375="","",IF(H375=0,0,I375/H375))</f>
        <v/>
      </c>
    </row>
    <row r="376">
      <c r="A376">
        <f>IF($B376="","",ROW()-5)</f>
        <v/>
      </c>
      <c r="D376">
        <f>IF($B376="","",IF(C376="","",TEXT(C376,"MMM")))</f>
        <v/>
      </c>
      <c r="J376">
        <f>IF($B376="","",IF(H376=0,0,I376/H376))</f>
        <v/>
      </c>
    </row>
    <row r="377">
      <c r="A377">
        <f>IF($B377="","",ROW()-5)</f>
        <v/>
      </c>
      <c r="D377">
        <f>IF($B377="","",IF(C377="","",TEXT(C377,"MMM")))</f>
        <v/>
      </c>
      <c r="J377">
        <f>IF($B377="","",IF(H377=0,0,I377/H377))</f>
        <v/>
      </c>
    </row>
    <row r="378">
      <c r="A378">
        <f>IF($B378="","",ROW()-5)</f>
        <v/>
      </c>
      <c r="D378">
        <f>IF($B378="","",IF(C378="","",TEXT(C378,"MMM")))</f>
        <v/>
      </c>
      <c r="J378">
        <f>IF($B378="","",IF(H378=0,0,I378/H378))</f>
        <v/>
      </c>
    </row>
    <row r="379">
      <c r="A379">
        <f>IF($B379="","",ROW()-5)</f>
        <v/>
      </c>
      <c r="D379">
        <f>IF($B379="","",IF(C379="","",TEXT(C379,"MMM")))</f>
        <v/>
      </c>
      <c r="J379">
        <f>IF($B379="","",IF(H379=0,0,I379/H379))</f>
        <v/>
      </c>
    </row>
    <row r="380">
      <c r="A380">
        <f>IF($B380="","",ROW()-5)</f>
        <v/>
      </c>
      <c r="D380">
        <f>IF($B380="","",IF(C380="","",TEXT(C380,"MMM")))</f>
        <v/>
      </c>
      <c r="J380">
        <f>IF($B380="","",IF(H380=0,0,I380/H380))</f>
        <v/>
      </c>
    </row>
    <row r="381">
      <c r="A381">
        <f>IF($B381="","",ROW()-5)</f>
        <v/>
      </c>
      <c r="D381">
        <f>IF($B381="","",IF(C381="","",TEXT(C381,"MMM")))</f>
        <v/>
      </c>
      <c r="J381">
        <f>IF($B381="","",IF(H381=0,0,I381/H381))</f>
        <v/>
      </c>
    </row>
    <row r="382">
      <c r="A382">
        <f>IF($B382="","",ROW()-5)</f>
        <v/>
      </c>
      <c r="D382">
        <f>IF($B382="","",IF(C382="","",TEXT(C382,"MMM")))</f>
        <v/>
      </c>
      <c r="J382">
        <f>IF($B382="","",IF(H382=0,0,I382/H382))</f>
        <v/>
      </c>
    </row>
    <row r="383">
      <c r="A383">
        <f>IF($B383="","",ROW()-5)</f>
        <v/>
      </c>
      <c r="D383">
        <f>IF($B383="","",IF(C383="","",TEXT(C383,"MMM")))</f>
        <v/>
      </c>
      <c r="J383">
        <f>IF($B383="","",IF(H383=0,0,I383/H383))</f>
        <v/>
      </c>
    </row>
    <row r="384">
      <c r="A384">
        <f>IF($B384="","",ROW()-5)</f>
        <v/>
      </c>
      <c r="D384">
        <f>IF($B384="","",IF(C384="","",TEXT(C384,"MMM")))</f>
        <v/>
      </c>
      <c r="J384">
        <f>IF($B384="","",IF(H384=0,0,I384/H384))</f>
        <v/>
      </c>
    </row>
    <row r="385">
      <c r="A385">
        <f>IF($B385="","",ROW()-5)</f>
        <v/>
      </c>
      <c r="D385">
        <f>IF($B385="","",IF(C385="","",TEXT(C385,"MMM")))</f>
        <v/>
      </c>
      <c r="J385">
        <f>IF($B385="","",IF(H385=0,0,I385/H385))</f>
        <v/>
      </c>
    </row>
    <row r="386">
      <c r="A386">
        <f>IF($B386="","",ROW()-5)</f>
        <v/>
      </c>
      <c r="D386">
        <f>IF($B386="","",IF(C386="","",TEXT(C386,"MMM")))</f>
        <v/>
      </c>
      <c r="J386">
        <f>IF($B386="","",IF(H386=0,0,I386/H386))</f>
        <v/>
      </c>
    </row>
    <row r="387">
      <c r="A387">
        <f>IF($B387="","",ROW()-5)</f>
        <v/>
      </c>
      <c r="D387">
        <f>IF($B387="","",IF(C387="","",TEXT(C387,"MMM")))</f>
        <v/>
      </c>
      <c r="J387">
        <f>IF($B387="","",IF(H387=0,0,I387/H387))</f>
        <v/>
      </c>
    </row>
    <row r="388">
      <c r="A388">
        <f>IF($B388="","",ROW()-5)</f>
        <v/>
      </c>
      <c r="D388">
        <f>IF($B388="","",IF(C388="","",TEXT(C388,"MMM")))</f>
        <v/>
      </c>
      <c r="J388">
        <f>IF($B388="","",IF(H388=0,0,I388/H388))</f>
        <v/>
      </c>
    </row>
    <row r="389">
      <c r="A389">
        <f>IF($B389="","",ROW()-5)</f>
        <v/>
      </c>
      <c r="D389">
        <f>IF($B389="","",IF(C389="","",TEXT(C389,"MMM")))</f>
        <v/>
      </c>
      <c r="J389">
        <f>IF($B389="","",IF(H389=0,0,I389/H389))</f>
        <v/>
      </c>
    </row>
    <row r="390">
      <c r="A390">
        <f>IF($B390="","",ROW()-5)</f>
        <v/>
      </c>
      <c r="D390">
        <f>IF($B390="","",IF(C390="","",TEXT(C390,"MMM")))</f>
        <v/>
      </c>
      <c r="J390">
        <f>IF($B390="","",IF(H390=0,0,I390/H390))</f>
        <v/>
      </c>
    </row>
    <row r="391">
      <c r="A391">
        <f>IF($B391="","",ROW()-5)</f>
        <v/>
      </c>
      <c r="D391">
        <f>IF($B391="","",IF(C391="","",TEXT(C391,"MMM")))</f>
        <v/>
      </c>
      <c r="J391">
        <f>IF($B391="","",IF(H391=0,0,I391/H391))</f>
        <v/>
      </c>
    </row>
    <row r="392">
      <c r="A392">
        <f>IF($B392="","",ROW()-5)</f>
        <v/>
      </c>
      <c r="D392">
        <f>IF($B392="","",IF(C392="","",TEXT(C392,"MMM")))</f>
        <v/>
      </c>
      <c r="J392">
        <f>IF($B392="","",IF(H392=0,0,I392/H392))</f>
        <v/>
      </c>
    </row>
    <row r="393">
      <c r="A393">
        <f>IF($B393="","",ROW()-5)</f>
        <v/>
      </c>
      <c r="D393">
        <f>IF($B393="","",IF(C393="","",TEXT(C393,"MMM")))</f>
        <v/>
      </c>
      <c r="J393">
        <f>IF($B393="","",IF(H393=0,0,I393/H393))</f>
        <v/>
      </c>
    </row>
    <row r="394">
      <c r="A394">
        <f>IF($B394="","",ROW()-5)</f>
        <v/>
      </c>
      <c r="D394">
        <f>IF($B394="","",IF(C394="","",TEXT(C394,"MMM")))</f>
        <v/>
      </c>
      <c r="J394">
        <f>IF($B394="","",IF(H394=0,0,I394/H394))</f>
        <v/>
      </c>
    </row>
    <row r="395">
      <c r="A395">
        <f>IF($B395="","",ROW()-5)</f>
        <v/>
      </c>
      <c r="D395">
        <f>IF($B395="","",IF(C395="","",TEXT(C395,"MMM")))</f>
        <v/>
      </c>
      <c r="J395">
        <f>IF($B395="","",IF(H395=0,0,I395/H395))</f>
        <v/>
      </c>
    </row>
    <row r="396">
      <c r="A396">
        <f>IF($B396="","",ROW()-5)</f>
        <v/>
      </c>
      <c r="D396">
        <f>IF($B396="","",IF(C396="","",TEXT(C396,"MMM")))</f>
        <v/>
      </c>
      <c r="J396">
        <f>IF($B396="","",IF(H396=0,0,I396/H396))</f>
        <v/>
      </c>
    </row>
    <row r="397">
      <c r="A397">
        <f>IF($B397="","",ROW()-5)</f>
        <v/>
      </c>
      <c r="D397">
        <f>IF($B397="","",IF(C397="","",TEXT(C397,"MMM")))</f>
        <v/>
      </c>
      <c r="J397">
        <f>IF($B397="","",IF(H397=0,0,I397/H397))</f>
        <v/>
      </c>
    </row>
    <row r="398">
      <c r="A398">
        <f>IF($B398="","",ROW()-5)</f>
        <v/>
      </c>
      <c r="D398">
        <f>IF($B398="","",IF(C398="","",TEXT(C398,"MMM")))</f>
        <v/>
      </c>
      <c r="J398">
        <f>IF($B398="","",IF(H398=0,0,I398/H398))</f>
        <v/>
      </c>
    </row>
    <row r="399">
      <c r="A399">
        <f>IF($B399="","",ROW()-5)</f>
        <v/>
      </c>
      <c r="D399">
        <f>IF($B399="","",IF(C399="","",TEXT(C399,"MMM")))</f>
        <v/>
      </c>
      <c r="J399">
        <f>IF($B399="","",IF(H399=0,0,I399/H399))</f>
        <v/>
      </c>
    </row>
    <row r="400">
      <c r="A400">
        <f>IF($B400="","",ROW()-5)</f>
        <v/>
      </c>
      <c r="D400">
        <f>IF($B400="","",IF(C400="","",TEXT(C400,"MMM")))</f>
        <v/>
      </c>
      <c r="J400">
        <f>IF($B400="","",IF(H400=0,0,I400/H400))</f>
        <v/>
      </c>
    </row>
    <row r="401">
      <c r="A401">
        <f>IF($B401="","",ROW()-5)</f>
        <v/>
      </c>
      <c r="D401">
        <f>IF($B401="","",IF(C401="","",TEXT(C401,"MMM")))</f>
        <v/>
      </c>
      <c r="J401">
        <f>IF($B401="","",IF(H401=0,0,I401/H401))</f>
        <v/>
      </c>
    </row>
    <row r="402">
      <c r="A402">
        <f>IF($B402="","",ROW()-5)</f>
        <v/>
      </c>
      <c r="D402">
        <f>IF($B402="","",IF(C402="","",TEXT(C402,"MMM")))</f>
        <v/>
      </c>
      <c r="J402">
        <f>IF($B402="","",IF(H402=0,0,I402/H402))</f>
        <v/>
      </c>
    </row>
    <row r="403">
      <c r="A403">
        <f>IF($B403="","",ROW()-5)</f>
        <v/>
      </c>
      <c r="D403">
        <f>IF($B403="","",IF(C403="","",TEXT(C403,"MMM")))</f>
        <v/>
      </c>
      <c r="J403">
        <f>IF($B403="","",IF(H403=0,0,I403/H403))</f>
        <v/>
      </c>
    </row>
    <row r="404">
      <c r="A404">
        <f>IF($B404="","",ROW()-5)</f>
        <v/>
      </c>
      <c r="D404">
        <f>IF($B404="","",IF(C404="","",TEXT(C404,"MMM")))</f>
        <v/>
      </c>
      <c r="J404">
        <f>IF($B404="","",IF(H404=0,0,I404/H404))</f>
        <v/>
      </c>
    </row>
    <row r="405">
      <c r="A405">
        <f>IF($B405="","",ROW()-5)</f>
        <v/>
      </c>
      <c r="D405">
        <f>IF($B405="","",IF(C405="","",TEXT(C405,"MMM")))</f>
        <v/>
      </c>
      <c r="J405">
        <f>IF($B405="","",IF(H405=0,0,I405/H405))</f>
        <v/>
      </c>
    </row>
    <row r="406">
      <c r="A406">
        <f>IF($B406="","",ROW()-5)</f>
        <v/>
      </c>
      <c r="D406">
        <f>IF($B406="","",IF(C406="","",TEXT(C406,"MMM")))</f>
        <v/>
      </c>
      <c r="J406">
        <f>IF($B406="","",IF(H406=0,0,I406/H406))</f>
        <v/>
      </c>
    </row>
    <row r="407">
      <c r="A407">
        <f>IF($B407="","",ROW()-5)</f>
        <v/>
      </c>
      <c r="D407">
        <f>IF($B407="","",IF(C407="","",TEXT(C407,"MMM")))</f>
        <v/>
      </c>
      <c r="J407">
        <f>IF($B407="","",IF(H407=0,0,I407/H407))</f>
        <v/>
      </c>
    </row>
    <row r="408">
      <c r="A408">
        <f>IF($B408="","",ROW()-5)</f>
        <v/>
      </c>
      <c r="D408">
        <f>IF($B408="","",IF(C408="","",TEXT(C408,"MMM")))</f>
        <v/>
      </c>
      <c r="J408">
        <f>IF($B408="","",IF(H408=0,0,I408/H408))</f>
        <v/>
      </c>
    </row>
    <row r="409">
      <c r="A409">
        <f>IF($B409="","",ROW()-5)</f>
        <v/>
      </c>
      <c r="D409">
        <f>IF($B409="","",IF(C409="","",TEXT(C409,"MMM")))</f>
        <v/>
      </c>
      <c r="J409">
        <f>IF($B409="","",IF(H409=0,0,I409/H409))</f>
        <v/>
      </c>
    </row>
    <row r="410">
      <c r="A410">
        <f>IF($B410="","",ROW()-5)</f>
        <v/>
      </c>
      <c r="D410">
        <f>IF($B410="","",IF(C410="","",TEXT(C410,"MMM")))</f>
        <v/>
      </c>
      <c r="J410">
        <f>IF($B410="","",IF(H410=0,0,I410/H410))</f>
        <v/>
      </c>
    </row>
    <row r="411">
      <c r="A411">
        <f>IF($B411="","",ROW()-5)</f>
        <v/>
      </c>
      <c r="D411">
        <f>IF($B411="","",IF(C411="","",TEXT(C411,"MMM")))</f>
        <v/>
      </c>
      <c r="J411">
        <f>IF($B411="","",IF(H411=0,0,I411/H411))</f>
        <v/>
      </c>
    </row>
    <row r="412">
      <c r="A412">
        <f>IF($B412="","",ROW()-5)</f>
        <v/>
      </c>
      <c r="D412">
        <f>IF($B412="","",IF(C412="","",TEXT(C412,"MMM")))</f>
        <v/>
      </c>
      <c r="J412">
        <f>IF($B412="","",IF(H412=0,0,I412/H412))</f>
        <v/>
      </c>
    </row>
    <row r="413">
      <c r="A413">
        <f>IF($B413="","",ROW()-5)</f>
        <v/>
      </c>
      <c r="D413">
        <f>IF($B413="","",IF(C413="","",TEXT(C413,"MMM")))</f>
        <v/>
      </c>
      <c r="J413">
        <f>IF($B413="","",IF(H413=0,0,I413/H413))</f>
        <v/>
      </c>
    </row>
    <row r="414">
      <c r="A414">
        <f>IF($B414="","",ROW()-5)</f>
        <v/>
      </c>
      <c r="D414">
        <f>IF($B414="","",IF(C414="","",TEXT(C414,"MMM")))</f>
        <v/>
      </c>
      <c r="J414">
        <f>IF($B414="","",IF(H414=0,0,I414/H414))</f>
        <v/>
      </c>
    </row>
    <row r="415">
      <c r="A415">
        <f>IF($B415="","",ROW()-5)</f>
        <v/>
      </c>
      <c r="D415">
        <f>IF($B415="","",IF(C415="","",TEXT(C415,"MMM")))</f>
        <v/>
      </c>
      <c r="J415">
        <f>IF($B415="","",IF(H415=0,0,I415/H415))</f>
        <v/>
      </c>
    </row>
    <row r="416">
      <c r="A416">
        <f>IF($B416="","",ROW()-5)</f>
        <v/>
      </c>
      <c r="D416">
        <f>IF($B416="","",IF(C416="","",TEXT(C416,"MMM")))</f>
        <v/>
      </c>
      <c r="J416">
        <f>IF($B416="","",IF(H416=0,0,I416/H416))</f>
        <v/>
      </c>
    </row>
    <row r="417">
      <c r="A417">
        <f>IF($B417="","",ROW()-5)</f>
        <v/>
      </c>
      <c r="D417">
        <f>IF($B417="","",IF(C417="","",TEXT(C417,"MMM")))</f>
        <v/>
      </c>
      <c r="J417">
        <f>IF($B417="","",IF(H417=0,0,I417/H417))</f>
        <v/>
      </c>
    </row>
    <row r="418">
      <c r="A418">
        <f>IF($B418="","",ROW()-5)</f>
        <v/>
      </c>
      <c r="D418">
        <f>IF($B418="","",IF(C418="","",TEXT(C418,"MMM")))</f>
        <v/>
      </c>
      <c r="J418">
        <f>IF($B418="","",IF(H418=0,0,I418/H418))</f>
        <v/>
      </c>
    </row>
    <row r="419">
      <c r="A419">
        <f>IF($B419="","",ROW()-5)</f>
        <v/>
      </c>
      <c r="D419">
        <f>IF($B419="","",IF(C419="","",TEXT(C419,"MMM")))</f>
        <v/>
      </c>
      <c r="J419">
        <f>IF($B419="","",IF(H419=0,0,I419/H419))</f>
        <v/>
      </c>
    </row>
    <row r="420">
      <c r="A420">
        <f>IF($B420="","",ROW()-5)</f>
        <v/>
      </c>
      <c r="D420">
        <f>IF($B420="","",IF(C420="","",TEXT(C420,"MMM")))</f>
        <v/>
      </c>
      <c r="J420">
        <f>IF($B420="","",IF(H420=0,0,I420/H420))</f>
        <v/>
      </c>
    </row>
    <row r="421">
      <c r="A421">
        <f>IF($B421="","",ROW()-5)</f>
        <v/>
      </c>
      <c r="D421">
        <f>IF($B421="","",IF(C421="","",TEXT(C421,"MMM")))</f>
        <v/>
      </c>
      <c r="J421">
        <f>IF($B421="","",IF(H421=0,0,I421/H421))</f>
        <v/>
      </c>
    </row>
    <row r="422">
      <c r="A422">
        <f>IF($B422="","",ROW()-5)</f>
        <v/>
      </c>
      <c r="D422">
        <f>IF($B422="","",IF(C422="","",TEXT(C422,"MMM")))</f>
        <v/>
      </c>
      <c r="J422">
        <f>IF($B422="","",IF(H422=0,0,I422/H422))</f>
        <v/>
      </c>
    </row>
    <row r="423">
      <c r="A423">
        <f>IF($B423="","",ROW()-5)</f>
        <v/>
      </c>
      <c r="D423">
        <f>IF($B423="","",IF(C423="","",TEXT(C423,"MMM")))</f>
        <v/>
      </c>
      <c r="J423">
        <f>IF($B423="","",IF(H423=0,0,I423/H423))</f>
        <v/>
      </c>
    </row>
    <row r="424">
      <c r="A424">
        <f>IF($B424="","",ROW()-5)</f>
        <v/>
      </c>
      <c r="D424">
        <f>IF($B424="","",IF(C424="","",TEXT(C424,"MMM")))</f>
        <v/>
      </c>
      <c r="J424">
        <f>IF($B424="","",IF(H424=0,0,I424/H424))</f>
        <v/>
      </c>
    </row>
    <row r="425">
      <c r="A425">
        <f>IF($B425="","",ROW()-5)</f>
        <v/>
      </c>
      <c r="D425">
        <f>IF($B425="","",IF(C425="","",TEXT(C425,"MMM")))</f>
        <v/>
      </c>
      <c r="J425">
        <f>IF($B425="","",IF(H425=0,0,I425/H425))</f>
        <v/>
      </c>
    </row>
    <row r="426">
      <c r="A426">
        <f>IF($B426="","",ROW()-5)</f>
        <v/>
      </c>
      <c r="D426">
        <f>IF($B426="","",IF(C426="","",TEXT(C426,"MMM")))</f>
        <v/>
      </c>
      <c r="J426">
        <f>IF($B426="","",IF(H426=0,0,I426/H426))</f>
        <v/>
      </c>
    </row>
    <row r="427">
      <c r="A427">
        <f>IF($B427="","",ROW()-5)</f>
        <v/>
      </c>
      <c r="D427">
        <f>IF($B427="","",IF(C427="","",TEXT(C427,"MMM")))</f>
        <v/>
      </c>
      <c r="J427">
        <f>IF($B427="","",IF(H427=0,0,I427/H427))</f>
        <v/>
      </c>
    </row>
    <row r="428">
      <c r="A428">
        <f>IF($B428="","",ROW()-5)</f>
        <v/>
      </c>
      <c r="D428">
        <f>IF($B428="","",IF(C428="","",TEXT(C428,"MMM")))</f>
        <v/>
      </c>
      <c r="J428">
        <f>IF($B428="","",IF(H428=0,0,I428/H428))</f>
        <v/>
      </c>
    </row>
    <row r="429">
      <c r="A429">
        <f>IF($B429="","",ROW()-5)</f>
        <v/>
      </c>
      <c r="D429">
        <f>IF($B429="","",IF(C429="","",TEXT(C429,"MMM")))</f>
        <v/>
      </c>
      <c r="J429">
        <f>IF($B429="","",IF(H429=0,0,I429/H429))</f>
        <v/>
      </c>
    </row>
    <row r="430">
      <c r="A430">
        <f>IF($B430="","",ROW()-5)</f>
        <v/>
      </c>
      <c r="D430">
        <f>IF($B430="","",IF(C430="","",TEXT(C430,"MMM")))</f>
        <v/>
      </c>
      <c r="J430">
        <f>IF($B430="","",IF(H430=0,0,I430/H430))</f>
        <v/>
      </c>
    </row>
    <row r="431">
      <c r="A431">
        <f>IF($B431="","",ROW()-5)</f>
        <v/>
      </c>
      <c r="D431">
        <f>IF($B431="","",IF(C431="","",TEXT(C431,"MMM")))</f>
        <v/>
      </c>
      <c r="J431">
        <f>IF($B431="","",IF(H431=0,0,I431/H431))</f>
        <v/>
      </c>
    </row>
    <row r="432">
      <c r="A432">
        <f>IF($B432="","",ROW()-5)</f>
        <v/>
      </c>
      <c r="D432">
        <f>IF($B432="","",IF(C432="","",TEXT(C432,"MMM")))</f>
        <v/>
      </c>
      <c r="J432">
        <f>IF($B432="","",IF(H432=0,0,I432/H432))</f>
        <v/>
      </c>
    </row>
    <row r="433">
      <c r="A433">
        <f>IF($B433="","",ROW()-5)</f>
        <v/>
      </c>
      <c r="D433">
        <f>IF($B433="","",IF(C433="","",TEXT(C433,"MMM")))</f>
        <v/>
      </c>
      <c r="J433">
        <f>IF($B433="","",IF(H433=0,0,I433/H433))</f>
        <v/>
      </c>
    </row>
    <row r="434">
      <c r="A434">
        <f>IF($B434="","",ROW()-5)</f>
        <v/>
      </c>
      <c r="D434">
        <f>IF($B434="","",IF(C434="","",TEXT(C434,"MMM")))</f>
        <v/>
      </c>
      <c r="J434">
        <f>IF($B434="","",IF(H434=0,0,I434/H434))</f>
        <v/>
      </c>
    </row>
    <row r="435">
      <c r="A435">
        <f>IF($B435="","",ROW()-5)</f>
        <v/>
      </c>
      <c r="D435">
        <f>IF($B435="","",IF(C435="","",TEXT(C435,"MMM")))</f>
        <v/>
      </c>
      <c r="J435">
        <f>IF($B435="","",IF(H435=0,0,I435/H435))</f>
        <v/>
      </c>
    </row>
    <row r="436">
      <c r="A436">
        <f>IF($B436="","",ROW()-5)</f>
        <v/>
      </c>
      <c r="D436">
        <f>IF($B436="","",IF(C436="","",TEXT(C436,"MMM")))</f>
        <v/>
      </c>
      <c r="J436">
        <f>IF($B436="","",IF(H436=0,0,I436/H436))</f>
        <v/>
      </c>
    </row>
    <row r="437">
      <c r="A437">
        <f>IF($B437="","",ROW()-5)</f>
        <v/>
      </c>
      <c r="D437">
        <f>IF($B437="","",IF(C437="","",TEXT(C437,"MMM")))</f>
        <v/>
      </c>
      <c r="J437">
        <f>IF($B437="","",IF(H437=0,0,I437/H437))</f>
        <v/>
      </c>
    </row>
    <row r="438">
      <c r="A438">
        <f>IF($B438="","",ROW()-5)</f>
        <v/>
      </c>
      <c r="D438">
        <f>IF($B438="","",IF(C438="","",TEXT(C438,"MMM")))</f>
        <v/>
      </c>
      <c r="J438">
        <f>IF($B438="","",IF(H438=0,0,I438/H438))</f>
        <v/>
      </c>
    </row>
    <row r="439">
      <c r="A439">
        <f>IF($B439="","",ROW()-5)</f>
        <v/>
      </c>
      <c r="D439">
        <f>IF($B439="","",IF(C439="","",TEXT(C439,"MMM")))</f>
        <v/>
      </c>
      <c r="J439">
        <f>IF($B439="","",IF(H439=0,0,I439/H439))</f>
        <v/>
      </c>
    </row>
    <row r="440">
      <c r="A440">
        <f>IF($B440="","",ROW()-5)</f>
        <v/>
      </c>
      <c r="D440">
        <f>IF($B440="","",IF(C440="","",TEXT(C440,"MMM")))</f>
        <v/>
      </c>
      <c r="J440">
        <f>IF($B440="","",IF(H440=0,0,I440/H440))</f>
        <v/>
      </c>
    </row>
    <row r="441">
      <c r="A441">
        <f>IF($B441="","",ROW()-5)</f>
        <v/>
      </c>
      <c r="D441">
        <f>IF($B441="","",IF(C441="","",TEXT(C441,"MMM")))</f>
        <v/>
      </c>
      <c r="J441">
        <f>IF($B441="","",IF(H441=0,0,I441/H441))</f>
        <v/>
      </c>
    </row>
    <row r="442">
      <c r="A442">
        <f>IF($B442="","",ROW()-5)</f>
        <v/>
      </c>
      <c r="D442">
        <f>IF($B442="","",IF(C442="","",TEXT(C442,"MMM")))</f>
        <v/>
      </c>
      <c r="J442">
        <f>IF($B442="","",IF(H442=0,0,I442/H442))</f>
        <v/>
      </c>
    </row>
    <row r="443">
      <c r="A443">
        <f>IF($B443="","",ROW()-5)</f>
        <v/>
      </c>
      <c r="D443">
        <f>IF($B443="","",IF(C443="","",TEXT(C443,"MMM")))</f>
        <v/>
      </c>
      <c r="J443">
        <f>IF($B443="","",IF(H443=0,0,I443/H443))</f>
        <v/>
      </c>
    </row>
    <row r="444">
      <c r="A444">
        <f>IF($B444="","",ROW()-5)</f>
        <v/>
      </c>
      <c r="D444">
        <f>IF($B444="","",IF(C444="","",TEXT(C444,"MMM")))</f>
        <v/>
      </c>
      <c r="J444">
        <f>IF($B444="","",IF(H444=0,0,I444/H444))</f>
        <v/>
      </c>
    </row>
    <row r="445">
      <c r="A445">
        <f>IF($B445="","",ROW()-5)</f>
        <v/>
      </c>
      <c r="D445">
        <f>IF($B445="","",IF(C445="","",TEXT(C445,"MMM")))</f>
        <v/>
      </c>
      <c r="J445">
        <f>IF($B445="","",IF(H445=0,0,I445/H445))</f>
        <v/>
      </c>
    </row>
    <row r="446">
      <c r="A446">
        <f>IF($B446="","",ROW()-5)</f>
        <v/>
      </c>
      <c r="D446">
        <f>IF($B446="","",IF(C446="","",TEXT(C446,"MMM")))</f>
        <v/>
      </c>
      <c r="J446">
        <f>IF($B446="","",IF(H446=0,0,I446/H446))</f>
        <v/>
      </c>
    </row>
    <row r="447">
      <c r="A447">
        <f>IF($B447="","",ROW()-5)</f>
        <v/>
      </c>
      <c r="D447">
        <f>IF($B447="","",IF(C447="","",TEXT(C447,"MMM")))</f>
        <v/>
      </c>
      <c r="J447">
        <f>IF($B447="","",IF(H447=0,0,I447/H447))</f>
        <v/>
      </c>
    </row>
    <row r="448">
      <c r="A448">
        <f>IF($B448="","",ROW()-5)</f>
        <v/>
      </c>
      <c r="D448">
        <f>IF($B448="","",IF(C448="","",TEXT(C448,"MMM")))</f>
        <v/>
      </c>
      <c r="J448">
        <f>IF($B448="","",IF(H448=0,0,I448/H448))</f>
        <v/>
      </c>
    </row>
    <row r="449">
      <c r="A449">
        <f>IF($B449="","",ROW()-5)</f>
        <v/>
      </c>
      <c r="D449">
        <f>IF($B449="","",IF(C449="","",TEXT(C449,"MMM")))</f>
        <v/>
      </c>
      <c r="J449">
        <f>IF($B449="","",IF(H449=0,0,I449/H449))</f>
        <v/>
      </c>
    </row>
    <row r="450">
      <c r="A450">
        <f>IF($B450="","",ROW()-5)</f>
        <v/>
      </c>
      <c r="D450">
        <f>IF($B450="","",IF(C450="","",TEXT(C450,"MMM")))</f>
        <v/>
      </c>
      <c r="J450">
        <f>IF($B450="","",IF(H450=0,0,I450/H450))</f>
        <v/>
      </c>
    </row>
    <row r="451">
      <c r="A451">
        <f>IF($B451="","",ROW()-5)</f>
        <v/>
      </c>
      <c r="D451">
        <f>IF($B451="","",IF(C451="","",TEXT(C451,"MMM")))</f>
        <v/>
      </c>
      <c r="J451">
        <f>IF($B451="","",IF(H451=0,0,I451/H451))</f>
        <v/>
      </c>
    </row>
    <row r="452">
      <c r="A452">
        <f>IF($B452="","",ROW()-5)</f>
        <v/>
      </c>
      <c r="D452">
        <f>IF($B452="","",IF(C452="","",TEXT(C452,"MMM")))</f>
        <v/>
      </c>
      <c r="J452">
        <f>IF($B452="","",IF(H452=0,0,I452/H452))</f>
        <v/>
      </c>
    </row>
    <row r="453">
      <c r="A453">
        <f>IF($B453="","",ROW()-5)</f>
        <v/>
      </c>
      <c r="D453">
        <f>IF($B453="","",IF(C453="","",TEXT(C453,"MMM")))</f>
        <v/>
      </c>
      <c r="J453">
        <f>IF($B453="","",IF(H453=0,0,I453/H453))</f>
        <v/>
      </c>
    </row>
    <row r="454">
      <c r="A454">
        <f>IF($B454="","",ROW()-5)</f>
        <v/>
      </c>
      <c r="D454">
        <f>IF($B454="","",IF(C454="","",TEXT(C454,"MMM")))</f>
        <v/>
      </c>
      <c r="J454">
        <f>IF($B454="","",IF(H454=0,0,I454/H454))</f>
        <v/>
      </c>
    </row>
    <row r="455">
      <c r="A455">
        <f>IF($B455="","",ROW()-5)</f>
        <v/>
      </c>
      <c r="D455">
        <f>IF($B455="","",IF(C455="","",TEXT(C455,"MMM")))</f>
        <v/>
      </c>
      <c r="J455">
        <f>IF($B455="","",IF(H455=0,0,I455/H455))</f>
        <v/>
      </c>
    </row>
    <row r="456">
      <c r="A456">
        <f>IF($B456="","",ROW()-5)</f>
        <v/>
      </c>
      <c r="D456">
        <f>IF($B456="","",IF(C456="","",TEXT(C456,"MMM")))</f>
        <v/>
      </c>
      <c r="J456">
        <f>IF($B456="","",IF(H456=0,0,I456/H456))</f>
        <v/>
      </c>
    </row>
    <row r="457">
      <c r="A457">
        <f>IF($B457="","",ROW()-5)</f>
        <v/>
      </c>
      <c r="D457">
        <f>IF($B457="","",IF(C457="","",TEXT(C457,"MMM")))</f>
        <v/>
      </c>
      <c r="J457">
        <f>IF($B457="","",IF(H457=0,0,I457/H457))</f>
        <v/>
      </c>
    </row>
    <row r="458">
      <c r="A458">
        <f>IF($B458="","",ROW()-5)</f>
        <v/>
      </c>
      <c r="D458">
        <f>IF($B458="","",IF(C458="","",TEXT(C458,"MMM")))</f>
        <v/>
      </c>
      <c r="J458">
        <f>IF($B458="","",IF(H458=0,0,I458/H458))</f>
        <v/>
      </c>
    </row>
    <row r="459">
      <c r="A459">
        <f>IF($B459="","",ROW()-5)</f>
        <v/>
      </c>
      <c r="D459">
        <f>IF($B459="","",IF(C459="","",TEXT(C459,"MMM")))</f>
        <v/>
      </c>
      <c r="J459">
        <f>IF($B459="","",IF(H459=0,0,I459/H459))</f>
        <v/>
      </c>
    </row>
    <row r="460">
      <c r="A460">
        <f>IF($B460="","",ROW()-5)</f>
        <v/>
      </c>
      <c r="D460">
        <f>IF($B460="","",IF(C460="","",TEXT(C460,"MMM")))</f>
        <v/>
      </c>
      <c r="J460">
        <f>IF($B460="","",IF(H460=0,0,I460/H460))</f>
        <v/>
      </c>
    </row>
    <row r="461">
      <c r="A461">
        <f>IF($B461="","",ROW()-5)</f>
        <v/>
      </c>
      <c r="D461">
        <f>IF($B461="","",IF(C461="","",TEXT(C461,"MMM")))</f>
        <v/>
      </c>
      <c r="J461">
        <f>IF($B461="","",IF(H461=0,0,I461/H461))</f>
        <v/>
      </c>
    </row>
    <row r="462">
      <c r="A462">
        <f>IF($B462="","",ROW()-5)</f>
        <v/>
      </c>
      <c r="D462">
        <f>IF($B462="","",IF(C462="","",TEXT(C462,"MMM")))</f>
        <v/>
      </c>
      <c r="J462">
        <f>IF($B462="","",IF(H462=0,0,I462/H462))</f>
        <v/>
      </c>
    </row>
    <row r="463">
      <c r="A463">
        <f>IF($B463="","",ROW()-5)</f>
        <v/>
      </c>
      <c r="D463">
        <f>IF($B463="","",IF(C463="","",TEXT(C463,"MMM")))</f>
        <v/>
      </c>
      <c r="J463">
        <f>IF($B463="","",IF(H463=0,0,I463/H463))</f>
        <v/>
      </c>
    </row>
    <row r="464">
      <c r="A464">
        <f>IF($B464="","",ROW()-5)</f>
        <v/>
      </c>
      <c r="D464">
        <f>IF($B464="","",IF(C464="","",TEXT(C464,"MMM")))</f>
        <v/>
      </c>
      <c r="J464">
        <f>IF($B464="","",IF(H464=0,0,I464/H464))</f>
        <v/>
      </c>
    </row>
    <row r="465">
      <c r="A465">
        <f>IF($B465="","",ROW()-5)</f>
        <v/>
      </c>
      <c r="D465">
        <f>IF($B465="","",IF(C465="","",TEXT(C465,"MMM")))</f>
        <v/>
      </c>
      <c r="J465">
        <f>IF($B465="","",IF(H465=0,0,I465/H465))</f>
        <v/>
      </c>
    </row>
    <row r="466">
      <c r="A466">
        <f>IF($B466="","",ROW()-5)</f>
        <v/>
      </c>
      <c r="D466">
        <f>IF($B466="","",IF(C466="","",TEXT(C466,"MMM")))</f>
        <v/>
      </c>
      <c r="J466">
        <f>IF($B466="","",IF(H466=0,0,I466/H466))</f>
        <v/>
      </c>
    </row>
    <row r="467">
      <c r="A467">
        <f>IF($B467="","",ROW()-5)</f>
        <v/>
      </c>
      <c r="D467">
        <f>IF($B467="","",IF(C467="","",TEXT(C467,"MMM")))</f>
        <v/>
      </c>
      <c r="J467">
        <f>IF($B467="","",IF(H467=0,0,I467/H467))</f>
        <v/>
      </c>
    </row>
    <row r="468">
      <c r="A468">
        <f>IF($B468="","",ROW()-5)</f>
        <v/>
      </c>
      <c r="D468">
        <f>IF($B468="","",IF(C468="","",TEXT(C468,"MMM")))</f>
        <v/>
      </c>
      <c r="J468">
        <f>IF($B468="","",IF(H468=0,0,I468/H468))</f>
        <v/>
      </c>
    </row>
    <row r="469">
      <c r="A469">
        <f>IF($B469="","",ROW()-5)</f>
        <v/>
      </c>
      <c r="D469">
        <f>IF($B469="","",IF(C469="","",TEXT(C469,"MMM")))</f>
        <v/>
      </c>
      <c r="J469">
        <f>IF($B469="","",IF(H469=0,0,I469/H469))</f>
        <v/>
      </c>
    </row>
    <row r="470">
      <c r="A470">
        <f>IF($B470="","",ROW()-5)</f>
        <v/>
      </c>
      <c r="D470">
        <f>IF($B470="","",IF(C470="","",TEXT(C470,"MMM")))</f>
        <v/>
      </c>
      <c r="J470">
        <f>IF($B470="","",IF(H470=0,0,I470/H470))</f>
        <v/>
      </c>
    </row>
    <row r="471">
      <c r="A471">
        <f>IF($B471="","",ROW()-5)</f>
        <v/>
      </c>
      <c r="D471">
        <f>IF($B471="","",IF(C471="","",TEXT(C471,"MMM")))</f>
        <v/>
      </c>
      <c r="J471">
        <f>IF($B471="","",IF(H471=0,0,I471/H471))</f>
        <v/>
      </c>
    </row>
    <row r="472">
      <c r="A472">
        <f>IF($B472="","",ROW()-5)</f>
        <v/>
      </c>
      <c r="D472">
        <f>IF($B472="","",IF(C472="","",TEXT(C472,"MMM")))</f>
        <v/>
      </c>
      <c r="J472">
        <f>IF($B472="","",IF(H472=0,0,I472/H472))</f>
        <v/>
      </c>
    </row>
    <row r="473">
      <c r="A473">
        <f>IF($B473="","",ROW()-5)</f>
        <v/>
      </c>
      <c r="D473">
        <f>IF($B473="","",IF(C473="","",TEXT(C473,"MMM")))</f>
        <v/>
      </c>
      <c r="J473">
        <f>IF($B473="","",IF(H473=0,0,I473/H473))</f>
        <v/>
      </c>
    </row>
    <row r="474">
      <c r="A474">
        <f>IF($B474="","",ROW()-5)</f>
        <v/>
      </c>
      <c r="D474">
        <f>IF($B474="","",IF(C474="","",TEXT(C474,"MMM")))</f>
        <v/>
      </c>
      <c r="J474">
        <f>IF($B474="","",IF(H474=0,0,I474/H474))</f>
        <v/>
      </c>
    </row>
    <row r="475">
      <c r="A475">
        <f>IF($B475="","",ROW()-5)</f>
        <v/>
      </c>
      <c r="D475">
        <f>IF($B475="","",IF(C475="","",TEXT(C475,"MMM")))</f>
        <v/>
      </c>
      <c r="J475">
        <f>IF($B475="","",IF(H475=0,0,I475/H475))</f>
        <v/>
      </c>
    </row>
    <row r="476">
      <c r="A476">
        <f>IF($B476="","",ROW()-5)</f>
        <v/>
      </c>
      <c r="D476">
        <f>IF($B476="","",IF(C476="","",TEXT(C476,"MMM")))</f>
        <v/>
      </c>
      <c r="J476">
        <f>IF($B476="","",IF(H476=0,0,I476/H476))</f>
        <v/>
      </c>
    </row>
    <row r="477">
      <c r="A477">
        <f>IF($B477="","",ROW()-5)</f>
        <v/>
      </c>
      <c r="D477">
        <f>IF($B477="","",IF(C477="","",TEXT(C477,"MMM")))</f>
        <v/>
      </c>
      <c r="J477">
        <f>IF($B477="","",IF(H477=0,0,I477/H477))</f>
        <v/>
      </c>
    </row>
    <row r="478">
      <c r="A478">
        <f>IF($B478="","",ROW()-5)</f>
        <v/>
      </c>
      <c r="D478">
        <f>IF($B478="","",IF(C478="","",TEXT(C478,"MMM")))</f>
        <v/>
      </c>
      <c r="J478">
        <f>IF($B478="","",IF(H478=0,0,I478/H478))</f>
        <v/>
      </c>
    </row>
    <row r="479">
      <c r="A479">
        <f>IF($B479="","",ROW()-5)</f>
        <v/>
      </c>
      <c r="D479">
        <f>IF($B479="","",IF(C479="","",TEXT(C479,"MMM")))</f>
        <v/>
      </c>
      <c r="J479">
        <f>IF($B479="","",IF(H479=0,0,I479/H479))</f>
        <v/>
      </c>
    </row>
    <row r="480">
      <c r="A480">
        <f>IF($B480="","",ROW()-5)</f>
        <v/>
      </c>
      <c r="D480">
        <f>IF($B480="","",IF(C480="","",TEXT(C480,"MMM")))</f>
        <v/>
      </c>
      <c r="J480">
        <f>IF($B480="","",IF(H480=0,0,I480/H480))</f>
        <v/>
      </c>
    </row>
    <row r="481">
      <c r="A481">
        <f>IF($B481="","",ROW()-5)</f>
        <v/>
      </c>
      <c r="D481">
        <f>IF($B481="","",IF(C481="","",TEXT(C481,"MMM")))</f>
        <v/>
      </c>
      <c r="J481">
        <f>IF($B481="","",IF(H481=0,0,I481/H481))</f>
        <v/>
      </c>
    </row>
    <row r="482">
      <c r="A482">
        <f>IF($B482="","",ROW()-5)</f>
        <v/>
      </c>
      <c r="D482">
        <f>IF($B482="","",IF(C482="","",TEXT(C482,"MMM")))</f>
        <v/>
      </c>
      <c r="J482">
        <f>IF($B482="","",IF(H482=0,0,I482/H482))</f>
        <v/>
      </c>
    </row>
    <row r="483">
      <c r="A483">
        <f>IF($B483="","",ROW()-5)</f>
        <v/>
      </c>
      <c r="D483">
        <f>IF($B483="","",IF(C483="","",TEXT(C483,"MMM")))</f>
        <v/>
      </c>
      <c r="J483">
        <f>IF($B483="","",IF(H483=0,0,I483/H483))</f>
        <v/>
      </c>
    </row>
    <row r="484">
      <c r="A484">
        <f>IF($B484="","",ROW()-5)</f>
        <v/>
      </c>
      <c r="D484">
        <f>IF($B484="","",IF(C484="","",TEXT(C484,"MMM")))</f>
        <v/>
      </c>
      <c r="J484">
        <f>IF($B484="","",IF(H484=0,0,I484/H484))</f>
        <v/>
      </c>
    </row>
    <row r="485">
      <c r="A485">
        <f>IF($B485="","",ROW()-5)</f>
        <v/>
      </c>
      <c r="D485">
        <f>IF($B485="","",IF(C485="","",TEXT(C485,"MMM")))</f>
        <v/>
      </c>
      <c r="J485">
        <f>IF($B485="","",IF(H485=0,0,I485/H485))</f>
        <v/>
      </c>
    </row>
    <row r="486">
      <c r="A486">
        <f>IF($B486="","",ROW()-5)</f>
        <v/>
      </c>
      <c r="D486">
        <f>IF($B486="","",IF(C486="","",TEXT(C486,"MMM")))</f>
        <v/>
      </c>
      <c r="J486">
        <f>IF($B486="","",IF(H486=0,0,I486/H486))</f>
        <v/>
      </c>
    </row>
    <row r="487">
      <c r="A487">
        <f>IF($B487="","",ROW()-5)</f>
        <v/>
      </c>
      <c r="D487">
        <f>IF($B487="","",IF(C487="","",TEXT(C487,"MMM")))</f>
        <v/>
      </c>
      <c r="J487">
        <f>IF($B487="","",IF(H487=0,0,I487/H487))</f>
        <v/>
      </c>
    </row>
    <row r="488">
      <c r="A488">
        <f>IF($B488="","",ROW()-5)</f>
        <v/>
      </c>
      <c r="D488">
        <f>IF($B488="","",IF(C488="","",TEXT(C488,"MMM")))</f>
        <v/>
      </c>
      <c r="J488">
        <f>IF($B488="","",IF(H488=0,0,I488/H488))</f>
        <v/>
      </c>
    </row>
    <row r="489">
      <c r="A489">
        <f>IF($B489="","",ROW()-5)</f>
        <v/>
      </c>
      <c r="D489">
        <f>IF($B489="","",IF(C489="","",TEXT(C489,"MMM")))</f>
        <v/>
      </c>
      <c r="J489">
        <f>IF($B489="","",IF(H489=0,0,I489/H489))</f>
        <v/>
      </c>
    </row>
    <row r="490">
      <c r="A490">
        <f>IF($B490="","",ROW()-5)</f>
        <v/>
      </c>
      <c r="D490">
        <f>IF($B490="","",IF(C490="","",TEXT(C490,"MMM")))</f>
        <v/>
      </c>
      <c r="J490">
        <f>IF($B490="","",IF(H490=0,0,I490/H490))</f>
        <v/>
      </c>
    </row>
    <row r="491">
      <c r="A491">
        <f>IF($B491="","",ROW()-5)</f>
        <v/>
      </c>
      <c r="D491">
        <f>IF($B491="","",IF(C491="","",TEXT(C491,"MMM")))</f>
        <v/>
      </c>
      <c r="J491">
        <f>IF($B491="","",IF(H491=0,0,I491/H491))</f>
        <v/>
      </c>
    </row>
    <row r="492">
      <c r="A492">
        <f>IF($B492="","",ROW()-5)</f>
        <v/>
      </c>
      <c r="D492">
        <f>IF($B492="","",IF(C492="","",TEXT(C492,"MMM")))</f>
        <v/>
      </c>
      <c r="J492">
        <f>IF($B492="","",IF(H492=0,0,I492/H492))</f>
        <v/>
      </c>
    </row>
    <row r="493">
      <c r="A493">
        <f>IF($B493="","",ROW()-5)</f>
        <v/>
      </c>
      <c r="D493">
        <f>IF($B493="","",IF(C493="","",TEXT(C493,"MMM")))</f>
        <v/>
      </c>
      <c r="J493">
        <f>IF($B493="","",IF(H493=0,0,I493/H493))</f>
        <v/>
      </c>
    </row>
    <row r="494">
      <c r="A494">
        <f>IF($B494="","",ROW()-5)</f>
        <v/>
      </c>
      <c r="D494">
        <f>IF($B494="","",IF(C494="","",TEXT(C494,"MMM")))</f>
        <v/>
      </c>
      <c r="J494">
        <f>IF($B494="","",IF(H494=0,0,I494/H494))</f>
        <v/>
      </c>
    </row>
    <row r="495">
      <c r="A495">
        <f>IF($B495="","",ROW()-5)</f>
        <v/>
      </c>
      <c r="D495">
        <f>IF($B495="","",IF(C495="","",TEXT(C495,"MMM")))</f>
        <v/>
      </c>
      <c r="J495">
        <f>IF($B495="","",IF(H495=0,0,I495/H495))</f>
        <v/>
      </c>
    </row>
    <row r="496">
      <c r="A496">
        <f>IF($B496="","",ROW()-5)</f>
        <v/>
      </c>
      <c r="D496">
        <f>IF($B496="","",IF(C496="","",TEXT(C496,"MMM")))</f>
        <v/>
      </c>
      <c r="J496">
        <f>IF($B496="","",IF(H496=0,0,I496/H496))</f>
        <v/>
      </c>
    </row>
    <row r="497">
      <c r="A497">
        <f>IF($B497="","",ROW()-5)</f>
        <v/>
      </c>
      <c r="D497">
        <f>IF($B497="","",IF(C497="","",TEXT(C497,"MMM")))</f>
        <v/>
      </c>
      <c r="J497">
        <f>IF($B497="","",IF(H497=0,0,I497/H497))</f>
        <v/>
      </c>
    </row>
    <row r="498">
      <c r="A498">
        <f>IF($B498="","",ROW()-5)</f>
        <v/>
      </c>
      <c r="D498">
        <f>IF($B498="","",IF(C498="","",TEXT(C498,"MMM")))</f>
        <v/>
      </c>
      <c r="J498">
        <f>IF($B498="","",IF(H498=0,0,I498/H498))</f>
        <v/>
      </c>
    </row>
    <row r="499">
      <c r="A499">
        <f>IF($B499="","",ROW()-5)</f>
        <v/>
      </c>
      <c r="D499">
        <f>IF($B499="","",IF(C499="","",TEXT(C499,"MMM")))</f>
        <v/>
      </c>
      <c r="J499">
        <f>IF($B499="","",IF(H499=0,0,I499/H499))</f>
        <v/>
      </c>
    </row>
    <row r="500">
      <c r="A500">
        <f>IF($B500="","",ROW()-5)</f>
        <v/>
      </c>
      <c r="D500">
        <f>IF($B500="","",IF(C500="","",TEXT(C500,"MMM")))</f>
        <v/>
      </c>
      <c r="J500">
        <f>IF($B500="","",IF(H500=0,0,I500/H500))</f>
        <v/>
      </c>
    </row>
    <row r="501">
      <c r="A501">
        <f>IF($B501="","",ROW()-5)</f>
        <v/>
      </c>
      <c r="D501">
        <f>IF($B501="","",IF(C501="","",TEXT(C501,"MMM")))</f>
        <v/>
      </c>
      <c r="J501">
        <f>IF($B501="","",IF(H501=0,0,I501/H501))</f>
        <v/>
      </c>
    </row>
    <row r="502">
      <c r="A502">
        <f>IF($B502="","",ROW()-5)</f>
        <v/>
      </c>
      <c r="D502">
        <f>IF($B502="","",IF(C502="","",TEXT(C502,"MMM")))</f>
        <v/>
      </c>
      <c r="J502">
        <f>IF($B502="","",IF(H502=0,0,I502/H502))</f>
        <v/>
      </c>
    </row>
    <row r="503">
      <c r="A503">
        <f>IF($B503="","",ROW()-5)</f>
        <v/>
      </c>
      <c r="D503">
        <f>IF($B503="","",IF(C503="","",TEXT(C503,"MMM")))</f>
        <v/>
      </c>
      <c r="J503">
        <f>IF($B503="","",IF(H503=0,0,I503/H503))</f>
        <v/>
      </c>
    </row>
    <row r="504">
      <c r="A504">
        <f>IF($B504="","",ROW()-5)</f>
        <v/>
      </c>
      <c r="D504">
        <f>IF($B504="","",IF(C504="","",TEXT(C504,"MMM")))</f>
        <v/>
      </c>
      <c r="J504">
        <f>IF($B504="","",IF(H504=0,0,I504/H504))</f>
        <v/>
      </c>
    </row>
    <row r="505">
      <c r="A505">
        <f>IF($B505="","",ROW()-5)</f>
        <v/>
      </c>
      <c r="D505">
        <f>IF($B505="","",IF(C505="","",TEXT(C505,"MMM")))</f>
        <v/>
      </c>
      <c r="J505">
        <f>IF($B505="","",IF(H505=0,0,I505/H505))</f>
        <v/>
      </c>
    </row>
    <row r="506">
      <c r="A506">
        <f>IF($B506="","",ROW()-5)</f>
        <v/>
      </c>
      <c r="D506">
        <f>IF($B506="","",IF(C506="","",TEXT(C506,"MMM")))</f>
        <v/>
      </c>
      <c r="J506">
        <f>IF($B506="","",IF(H506=0,0,I506/H506))</f>
        <v/>
      </c>
    </row>
  </sheetData>
  <autoFilter ref="A4:O17"/>
  <mergeCells count="5">
    <mergeCell ref="A2:O2"/>
    <mergeCell ref="A3:D3"/>
    <mergeCell ref="A1:O1"/>
    <mergeCell ref="H3:J3"/>
    <mergeCell ref="K3:L3"/>
  </mergeCells>
  <conditionalFormatting sqref="O6:O17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E6:E506" showDropDown="0" showInputMessage="0" showErrorMessage="0" allowBlank="1" type="list">
      <formula1>L_Drill_Type</formula1>
      <formula2>0</formula2>
    </dataValidation>
    <dataValidation sqref="F6:F506" showDropDown="0" showInputMessage="0" showErrorMessage="0" allowBlank="1" type="list">
      <formula1>L_Location</formula1>
      <formula2>0</formula2>
    </dataValidation>
    <dataValidation sqref="M6:M506" showDropDown="0" showInputMessage="0" showErrorMessage="0" allowBlank="1" type="list">
      <formula1>L_Overall_Rating_2</formula1>
      <formula2>0</formula2>
    </dataValidation>
    <dataValidation sqref="O6:O506" showDropDown="0" showInputMessage="0" showErrorMessage="0" allowBlank="1" type="list">
      <formula1>L_Status_3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1A237E"/>
    <outlinePr summaryBelow="1" summaryRight="1"/>
    <pageSetUpPr/>
  </sheetPr>
  <dimension ref="A1:P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0" customWidth="1" style="15" min="5" max="5"/>
    <col width="14" customWidth="1" style="15" min="6" max="8"/>
    <col width="16" customWidth="1" style="15" min="9" max="10"/>
    <col width="12" customWidth="1" style="15" min="11" max="11"/>
    <col width="10" customWidth="1" style="15" min="12" max="15"/>
    <col width="12" customWidth="1" style="15" min="16" max="16"/>
  </cols>
  <sheetData>
    <row r="1" ht="42" customHeight="1" s="15">
      <c r="A1" s="208" t="inlineStr">
        <is>
          <t>📑  INTERNAL AUDITS — DATA ENTRY</t>
        </is>
      </c>
    </row>
    <row r="2" ht="21.75" customHeight="1" s="15">
      <c r="A2" s="209" t="inlineStr">
        <is>
          <t>🔵 Blue = User Input  |  ⚫ Gray = Auto-Calculated  |  Use dropdowns where available</t>
        </is>
      </c>
    </row>
    <row r="3" ht="19.5" customHeight="1" s="15">
      <c r="A3" s="20" t="inlineStr">
        <is>
          <t>IDENTIFICATION</t>
        </is>
      </c>
      <c r="E3" s="16" t="inlineStr">
        <is>
          <t>SCOPE</t>
        </is>
      </c>
      <c r="F3" s="39" t="inlineStr">
        <is>
          <t>CLASSIFICATION</t>
        </is>
      </c>
      <c r="G3" s="17" t="inlineStr">
        <is>
          <t>ORGANIZATIONAL</t>
        </is>
      </c>
      <c r="I3" s="40" t="inlineStr">
        <is>
          <t>PEOPLE</t>
        </is>
      </c>
      <c r="K3" s="18" t="inlineStr">
        <is>
          <t>FINDINGS</t>
        </is>
      </c>
      <c r="P3" s="19" t="inlineStr">
        <is>
          <t>STATUS</t>
        </is>
      </c>
    </row>
    <row r="4" ht="31.5" customHeight="1" s="15">
      <c r="A4" s="47" t="inlineStr">
        <is>
          <t>S.No</t>
        </is>
      </c>
      <c r="B4" s="47" t="inlineStr">
        <is>
          <t>Audit No.</t>
        </is>
      </c>
      <c r="C4" s="47" t="inlineStr">
        <is>
          <t>Date</t>
        </is>
      </c>
      <c r="D4" s="47" t="inlineStr">
        <is>
          <t>Month</t>
        </is>
      </c>
      <c r="E4" s="47" t="inlineStr">
        <is>
          <t>Audit Scope</t>
        </is>
      </c>
      <c r="F4" s="47" t="inlineStr">
        <is>
          <t>Audit Type</t>
        </is>
      </c>
      <c r="G4" s="47" t="inlineStr">
        <is>
          <t>Department</t>
        </is>
      </c>
      <c r="H4" s="47" t="inlineStr">
        <is>
          <t>Location</t>
        </is>
      </c>
      <c r="I4" s="47" t="inlineStr">
        <is>
          <t>Lead Auditor</t>
        </is>
      </c>
      <c r="J4" s="47" t="inlineStr">
        <is>
          <t>Approved By</t>
        </is>
      </c>
      <c r="K4" s="47" t="inlineStr">
        <is>
          <t>Checklist Items</t>
        </is>
      </c>
      <c r="L4" s="47" t="inlineStr">
        <is>
          <t>Minor NC</t>
        </is>
      </c>
      <c r="M4" s="47" t="inlineStr">
        <is>
          <t>Major NC</t>
        </is>
      </c>
      <c r="N4" s="47" t="inlineStr">
        <is>
          <t>Observations</t>
        </is>
      </c>
      <c r="O4" s="47" t="inlineStr">
        <is>
          <t>Recommendations</t>
        </is>
      </c>
      <c r="P4" s="47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  <c r="P5" s="23" t="inlineStr">
        <is>
          <t>✏️ INPUT</t>
        </is>
      </c>
    </row>
    <row r="6" ht="15" customHeight="1" s="15">
      <c r="A6" s="24" t="n">
        <v>1</v>
      </c>
      <c r="B6" s="25" t="inlineStr">
        <is>
          <t>IA-001</t>
        </is>
      </c>
      <c r="C6" s="26" t="n">
        <v>46199</v>
      </c>
      <c r="D6" s="24">
        <f>IF(C6="","",TEXT(C6,"MMM"))</f>
        <v/>
      </c>
      <c r="E6" s="27" t="inlineStr">
        <is>
          <t>Contractor Safety</t>
        </is>
      </c>
      <c r="F6" s="28" t="inlineStr">
        <is>
          <t>Surveillance</t>
        </is>
      </c>
      <c r="G6" s="28" t="inlineStr">
        <is>
          <t>Construction</t>
        </is>
      </c>
      <c r="H6" s="28" t="inlineStr">
        <is>
          <t>Warehouse</t>
        </is>
      </c>
      <c r="I6" s="27" t="inlineStr">
        <is>
          <t>Lisa Park</t>
        </is>
      </c>
      <c r="J6" s="27" t="inlineStr">
        <is>
          <t>David Chen</t>
        </is>
      </c>
      <c r="K6" s="29" t="n">
        <v>23</v>
      </c>
      <c r="L6" s="29" t="n">
        <v>8</v>
      </c>
      <c r="M6" s="29" t="n">
        <v>2</v>
      </c>
      <c r="N6" s="29" t="n">
        <v>0</v>
      </c>
      <c r="O6" s="29" t="n">
        <v>3</v>
      </c>
      <c r="P6" s="28" t="inlineStr">
        <is>
          <t>Scheduled</t>
        </is>
      </c>
    </row>
    <row r="7" ht="15" customHeight="1" s="15">
      <c r="A7" s="31" t="n">
        <v>2</v>
      </c>
      <c r="B7" s="32" t="inlineStr">
        <is>
          <t>IA-002</t>
        </is>
      </c>
      <c r="C7" s="33" t="n">
        <v>46059</v>
      </c>
      <c r="D7" s="31">
        <f>IF(C7="","",TEXT(C7,"MMM"))</f>
        <v/>
      </c>
      <c r="E7" s="34" t="inlineStr">
        <is>
          <t>Fire Safety</t>
        </is>
      </c>
      <c r="F7" s="35" t="inlineStr">
        <is>
          <t>Theme Audit</t>
        </is>
      </c>
      <c r="G7" s="35" t="inlineStr">
        <is>
          <t>Logistics</t>
        </is>
      </c>
      <c r="H7" s="35" t="inlineStr">
        <is>
          <t>Workshop</t>
        </is>
      </c>
      <c r="I7" s="34" t="inlineStr">
        <is>
          <t>Ahmed Khan</t>
        </is>
      </c>
      <c r="J7" s="34" t="inlineStr">
        <is>
          <t>John Smith</t>
        </is>
      </c>
      <c r="K7" s="36" t="n">
        <v>22</v>
      </c>
      <c r="L7" s="36" t="n">
        <v>3</v>
      </c>
      <c r="M7" s="36" t="n">
        <v>3</v>
      </c>
      <c r="N7" s="36" t="n">
        <v>2</v>
      </c>
      <c r="O7" s="36" t="n">
        <v>2</v>
      </c>
      <c r="P7" s="35" t="inlineStr">
        <is>
          <t>In Progress</t>
        </is>
      </c>
    </row>
    <row r="8" ht="15" customHeight="1" s="15">
      <c r="A8" s="24" t="n">
        <v>3</v>
      </c>
      <c r="B8" s="25" t="inlineStr">
        <is>
          <t>IA-003</t>
        </is>
      </c>
      <c r="C8" s="26" t="n">
        <v>46319</v>
      </c>
      <c r="D8" s="24">
        <f>IF(C8="","",TEXT(C8,"MMM"))</f>
        <v/>
      </c>
      <c r="E8" s="27" t="inlineStr">
        <is>
          <t>Housekeeping</t>
        </is>
      </c>
      <c r="F8" s="28" t="inlineStr">
        <is>
          <t>System Audit</t>
        </is>
      </c>
      <c r="G8" s="28" t="inlineStr">
        <is>
          <t>Safety</t>
        </is>
      </c>
      <c r="H8" s="28" t="inlineStr">
        <is>
          <t>Control Room</t>
        </is>
      </c>
      <c r="I8" s="27" t="inlineStr">
        <is>
          <t>Maria Garcia</t>
        </is>
      </c>
      <c r="J8" s="27" t="inlineStr">
        <is>
          <t>Ahmed Khan</t>
        </is>
      </c>
      <c r="K8" s="29" t="n">
        <v>13</v>
      </c>
      <c r="L8" s="29" t="n">
        <v>7</v>
      </c>
      <c r="M8" s="29" t="n">
        <v>2</v>
      </c>
      <c r="N8" s="29" t="n">
        <v>1</v>
      </c>
      <c r="O8" s="29" t="n">
        <v>3</v>
      </c>
      <c r="P8" s="28" t="inlineStr">
        <is>
          <t>Scheduled</t>
        </is>
      </c>
    </row>
    <row r="9" ht="15" customHeight="1" s="15">
      <c r="A9" s="31" t="n">
        <v>4</v>
      </c>
      <c r="B9" s="32" t="inlineStr">
        <is>
          <t>IA-004</t>
        </is>
      </c>
      <c r="C9" s="33" t="n">
        <v>46288</v>
      </c>
      <c r="D9" s="31">
        <f>IF(C9="","",TEXT(C9,"MMM"))</f>
        <v/>
      </c>
      <c r="E9" s="34" t="inlineStr">
        <is>
          <t>Contractor Safety</t>
        </is>
      </c>
      <c r="F9" s="35" t="inlineStr">
        <is>
          <t>System Audit</t>
        </is>
      </c>
      <c r="G9" s="35" t="inlineStr">
        <is>
          <t>Safety</t>
        </is>
      </c>
      <c r="H9" s="35" t="inlineStr">
        <is>
          <t>Control Room</t>
        </is>
      </c>
      <c r="I9" s="34" t="inlineStr">
        <is>
          <t>Lisa Park</t>
        </is>
      </c>
      <c r="J9" s="34" t="inlineStr">
        <is>
          <t>Maria Garcia</t>
        </is>
      </c>
      <c r="K9" s="36" t="n">
        <v>17</v>
      </c>
      <c r="L9" s="36" t="n">
        <v>2</v>
      </c>
      <c r="M9" s="36" t="n">
        <v>3</v>
      </c>
      <c r="N9" s="36" t="n">
        <v>1</v>
      </c>
      <c r="O9" s="36" t="n">
        <v>3</v>
      </c>
      <c r="P9" s="35" t="inlineStr">
        <is>
          <t>Scheduled</t>
        </is>
      </c>
    </row>
    <row r="10" ht="15" customHeight="1" s="15">
      <c r="A10" s="24" t="n">
        <v>5</v>
      </c>
      <c r="B10" s="25" t="inlineStr">
        <is>
          <t>IA-005</t>
        </is>
      </c>
      <c r="C10" s="26" t="n">
        <v>46307</v>
      </c>
      <c r="D10" s="24">
        <f>IF(C10="","",TEXT(C10,"MMM"))</f>
        <v/>
      </c>
      <c r="E10" s="27" t="inlineStr">
        <is>
          <t>Waste Management</t>
        </is>
      </c>
      <c r="F10" s="28" t="inlineStr">
        <is>
          <t>Surveillance</t>
        </is>
      </c>
      <c r="G10" s="28" t="inlineStr">
        <is>
          <t>Admin</t>
        </is>
      </c>
      <c r="H10" s="28" t="inlineStr">
        <is>
          <t>Workshop</t>
        </is>
      </c>
      <c r="I10" s="27" t="inlineStr">
        <is>
          <t>Maria Garcia</t>
        </is>
      </c>
      <c r="J10" s="27" t="inlineStr">
        <is>
          <t>Lisa Park</t>
        </is>
      </c>
      <c r="K10" s="29" t="n">
        <v>12</v>
      </c>
      <c r="L10" s="29" t="n">
        <v>8</v>
      </c>
      <c r="M10" s="29" t="n">
        <v>3</v>
      </c>
      <c r="N10" s="29" t="n">
        <v>4</v>
      </c>
      <c r="O10" s="29" t="n">
        <v>2</v>
      </c>
      <c r="P10" s="28" t="inlineStr">
        <is>
          <t>Completed</t>
        </is>
      </c>
    </row>
    <row r="11" ht="15" customHeight="1" s="15">
      <c r="A11" s="31" t="n">
        <v>6</v>
      </c>
      <c r="B11" s="32" t="inlineStr">
        <is>
          <t>IA-006</t>
        </is>
      </c>
      <c r="C11" s="33" t="n">
        <v>46299</v>
      </c>
      <c r="D11" s="31">
        <f>IF(C11="","",TEXT(C11,"MMM"))</f>
        <v/>
      </c>
      <c r="E11" s="34" t="inlineStr">
        <is>
          <t>ISO 45001</t>
        </is>
      </c>
      <c r="F11" s="35" t="inlineStr">
        <is>
          <t>Surveillance</t>
        </is>
      </c>
      <c r="G11" s="35" t="inlineStr">
        <is>
          <t>Projects</t>
        </is>
      </c>
      <c r="H11" s="35" t="inlineStr">
        <is>
          <t>Workshop</t>
        </is>
      </c>
      <c r="I11" s="34" t="inlineStr">
        <is>
          <t>Lisa Park</t>
        </is>
      </c>
      <c r="J11" s="34" t="inlineStr">
        <is>
          <t>Tom Brown</t>
        </is>
      </c>
      <c r="K11" s="36" t="n">
        <v>14</v>
      </c>
      <c r="L11" s="36" t="n">
        <v>2</v>
      </c>
      <c r="M11" s="36" t="n">
        <v>2</v>
      </c>
      <c r="N11" s="36" t="n">
        <v>4</v>
      </c>
      <c r="O11" s="36" t="n">
        <v>3</v>
      </c>
      <c r="P11" s="35" t="inlineStr">
        <is>
          <t>Completed</t>
        </is>
      </c>
    </row>
    <row r="12" ht="15" customHeight="1" s="15">
      <c r="A12" s="24" t="n">
        <v>7</v>
      </c>
      <c r="B12" s="25" t="inlineStr">
        <is>
          <t>IA-007</t>
        </is>
      </c>
      <c r="C12" s="26" t="n">
        <v>46333</v>
      </c>
      <c r="D12" s="24">
        <f>IF(C12="","",TEXT(C12,"MMM"))</f>
        <v/>
      </c>
      <c r="E12" s="27" t="inlineStr">
        <is>
          <t>Housekeeping</t>
        </is>
      </c>
      <c r="F12" s="28" t="inlineStr">
        <is>
          <t>Theme Audit</t>
        </is>
      </c>
      <c r="G12" s="28" t="inlineStr">
        <is>
          <t>Maintenance</t>
        </is>
      </c>
      <c r="H12" s="28" t="inlineStr">
        <is>
          <t>Tank Farm</t>
        </is>
      </c>
      <c r="I12" s="27" t="inlineStr">
        <is>
          <t>Ahmed Khan</t>
        </is>
      </c>
      <c r="J12" s="27" t="inlineStr">
        <is>
          <t>Priya Sharma</t>
        </is>
      </c>
      <c r="K12" s="29" t="n">
        <v>14</v>
      </c>
      <c r="L12" s="29" t="n">
        <v>8</v>
      </c>
      <c r="M12" s="29" t="n">
        <v>3</v>
      </c>
      <c r="N12" s="29" t="n">
        <v>3</v>
      </c>
      <c r="O12" s="29" t="n">
        <v>4</v>
      </c>
      <c r="P12" s="28" t="inlineStr">
        <is>
          <t>Completed</t>
        </is>
      </c>
    </row>
    <row r="13" ht="15" customHeight="1" s="15">
      <c r="A13" s="31" t="n">
        <v>8</v>
      </c>
      <c r="B13" s="32" t="inlineStr">
        <is>
          <t>IA-008</t>
        </is>
      </c>
      <c r="C13" s="33" t="n">
        <v>46280</v>
      </c>
      <c r="D13" s="31">
        <f>IF(C13="","",TEXT(C13,"MMM"))</f>
        <v/>
      </c>
      <c r="E13" s="34" t="inlineStr">
        <is>
          <t>Contractor Safety</t>
        </is>
      </c>
      <c r="F13" s="35" t="inlineStr">
        <is>
          <t>System Audit</t>
        </is>
      </c>
      <c r="G13" s="35" t="inlineStr">
        <is>
          <t>Quality</t>
        </is>
      </c>
      <c r="H13" s="35" t="inlineStr">
        <is>
          <t>Field Site</t>
        </is>
      </c>
      <c r="I13" s="34" t="inlineStr">
        <is>
          <t>Ahmed Khan</t>
        </is>
      </c>
      <c r="J13" s="34" t="inlineStr">
        <is>
          <t>Maria Garcia</t>
        </is>
      </c>
      <c r="K13" s="36" t="n">
        <v>28</v>
      </c>
      <c r="L13" s="36" t="n">
        <v>1</v>
      </c>
      <c r="M13" s="36" t="n">
        <v>0</v>
      </c>
      <c r="N13" s="36" t="n">
        <v>3</v>
      </c>
      <c r="O13" s="36" t="n">
        <v>2</v>
      </c>
      <c r="P13" s="35" t="inlineStr">
        <is>
          <t>Scheduled</t>
        </is>
      </c>
    </row>
    <row r="14" ht="15" customHeight="1" s="15">
      <c r="A14" s="24" t="n">
        <v>9</v>
      </c>
      <c r="B14" s="25" t="inlineStr">
        <is>
          <t>IA-009</t>
        </is>
      </c>
      <c r="C14" s="26" t="n">
        <v>46071</v>
      </c>
      <c r="D14" s="24">
        <f>IF(C14="","",TEXT(C14,"MMM"))</f>
        <v/>
      </c>
      <c r="E14" s="27" t="inlineStr">
        <is>
          <t>ISO 45001</t>
        </is>
      </c>
      <c r="F14" s="28" t="inlineStr">
        <is>
          <t>System Audit</t>
        </is>
      </c>
      <c r="G14" s="28" t="inlineStr">
        <is>
          <t>Admin</t>
        </is>
      </c>
      <c r="H14" s="28" t="inlineStr">
        <is>
          <t>Plant A</t>
        </is>
      </c>
      <c r="I14" s="27" t="inlineStr">
        <is>
          <t>John Smith</t>
        </is>
      </c>
      <c r="J14" s="27" t="inlineStr">
        <is>
          <t>David Chen</t>
        </is>
      </c>
      <c r="K14" s="29" t="n">
        <v>15</v>
      </c>
      <c r="L14" s="29" t="n">
        <v>2</v>
      </c>
      <c r="M14" s="29" t="n">
        <v>3</v>
      </c>
      <c r="N14" s="29" t="n">
        <v>2</v>
      </c>
      <c r="O14" s="29" t="n">
        <v>3</v>
      </c>
      <c r="P14" s="28" t="inlineStr">
        <is>
          <t>In Progress</t>
        </is>
      </c>
    </row>
    <row r="15" ht="15" customHeight="1" s="15">
      <c r="A15" s="31" t="n">
        <v>10</v>
      </c>
      <c r="B15" s="32" t="inlineStr">
        <is>
          <t>IA-010</t>
        </is>
      </c>
      <c r="C15" s="33" t="n">
        <v>46216</v>
      </c>
      <c r="D15" s="31">
        <f>IF(C15="","",TEXT(C15,"MMM"))</f>
        <v/>
      </c>
      <c r="E15" s="34" t="inlineStr">
        <is>
          <t>ISO 14001</t>
        </is>
      </c>
      <c r="F15" s="35" t="inlineStr">
        <is>
          <t>Surveillance</t>
        </is>
      </c>
      <c r="G15" s="35" t="inlineStr">
        <is>
          <t>Engineering</t>
        </is>
      </c>
      <c r="H15" s="35" t="inlineStr">
        <is>
          <t>Control Room</t>
        </is>
      </c>
      <c r="I15" s="34" t="inlineStr">
        <is>
          <t>Sarah Wilson</t>
        </is>
      </c>
      <c r="J15" s="34" t="inlineStr">
        <is>
          <t>Raj Patel</t>
        </is>
      </c>
      <c r="K15" s="36" t="n">
        <v>27</v>
      </c>
      <c r="L15" s="36" t="n">
        <v>6</v>
      </c>
      <c r="M15" s="36" t="n">
        <v>1</v>
      </c>
      <c r="N15" s="36" t="n">
        <v>5</v>
      </c>
      <c r="O15" s="36" t="n">
        <v>1</v>
      </c>
      <c r="P15" s="35" t="inlineStr">
        <is>
          <t>Completed</t>
        </is>
      </c>
    </row>
    <row r="16" ht="15" customHeight="1" s="15">
      <c r="A16" s="24" t="n">
        <v>11</v>
      </c>
      <c r="B16" s="25" t="inlineStr">
        <is>
          <t>IA-011</t>
        </is>
      </c>
      <c r="C16" s="26" t="n">
        <v>46032</v>
      </c>
      <c r="D16" s="24">
        <f>IF(C16="","",TEXT(C16,"MMM"))</f>
        <v/>
      </c>
      <c r="E16" s="27" t="inlineStr">
        <is>
          <t>Emergency Preparedness</t>
        </is>
      </c>
      <c r="F16" s="28" t="inlineStr">
        <is>
          <t>Surveillance</t>
        </is>
      </c>
      <c r="G16" s="28" t="inlineStr">
        <is>
          <t>Quality</t>
        </is>
      </c>
      <c r="H16" s="28" t="inlineStr">
        <is>
          <t>Office</t>
        </is>
      </c>
      <c r="I16" s="27" t="inlineStr">
        <is>
          <t>Maria Garcia</t>
        </is>
      </c>
      <c r="J16" s="27" t="inlineStr">
        <is>
          <t>Maria Garcia</t>
        </is>
      </c>
      <c r="K16" s="29" t="n">
        <v>24</v>
      </c>
      <c r="L16" s="29" t="n">
        <v>5</v>
      </c>
      <c r="M16" s="29" t="n">
        <v>1</v>
      </c>
      <c r="N16" s="29" t="n">
        <v>2</v>
      </c>
      <c r="O16" s="29" t="n">
        <v>1</v>
      </c>
      <c r="P16" s="28" t="inlineStr">
        <is>
          <t>Scheduled</t>
        </is>
      </c>
    </row>
    <row r="17" ht="15" customHeight="1" s="15">
      <c r="A17" s="31" t="n">
        <v>12</v>
      </c>
      <c r="B17" s="32" t="inlineStr">
        <is>
          <t>IA-012</t>
        </is>
      </c>
      <c r="C17" s="33" t="n">
        <v>46055</v>
      </c>
      <c r="D17" s="31">
        <f>IF(C17="","",TEXT(C17,"MMM"))</f>
        <v/>
      </c>
      <c r="E17" s="34" t="inlineStr">
        <is>
          <t>Waste Management</t>
        </is>
      </c>
      <c r="F17" s="35" t="inlineStr">
        <is>
          <t>Surveillance</t>
        </is>
      </c>
      <c r="G17" s="35" t="inlineStr">
        <is>
          <t>Operations</t>
        </is>
      </c>
      <c r="H17" s="35" t="inlineStr">
        <is>
          <t>Workshop</t>
        </is>
      </c>
      <c r="I17" s="34" t="inlineStr">
        <is>
          <t>Maria Garcia</t>
        </is>
      </c>
      <c r="J17" s="34" t="inlineStr">
        <is>
          <t>Sarah Wilson</t>
        </is>
      </c>
      <c r="K17" s="36" t="n">
        <v>13</v>
      </c>
      <c r="L17" s="36" t="n">
        <v>0</v>
      </c>
      <c r="M17" s="36" t="n">
        <v>3</v>
      </c>
      <c r="N17" s="36" t="n">
        <v>4</v>
      </c>
      <c r="O17" s="36" t="n">
        <v>0</v>
      </c>
      <c r="P17" s="35" t="inlineStr">
        <is>
          <t>Completed</t>
        </is>
      </c>
    </row>
    <row r="18">
      <c r="A18">
        <f>IF($B18="","",ROW()-5)</f>
        <v/>
      </c>
      <c r="D18">
        <f>IF($B18="","",IF(C18="","",TEXT(C18,"MMM")))</f>
        <v/>
      </c>
    </row>
    <row r="19">
      <c r="A19">
        <f>IF($B19="","",ROW()-5)</f>
        <v/>
      </c>
      <c r="D19">
        <f>IF($B19="","",IF(C19="","",TEXT(C19,"MMM")))</f>
        <v/>
      </c>
    </row>
    <row r="20">
      <c r="A20">
        <f>IF($B20="","",ROW()-5)</f>
        <v/>
      </c>
      <c r="D20">
        <f>IF($B20="","",IF(C20="","",TEXT(C20,"MMM")))</f>
        <v/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P17"/>
  <mergeCells count="6">
    <mergeCell ref="K3:O3"/>
    <mergeCell ref="I3:J3"/>
    <mergeCell ref="A1:P1"/>
    <mergeCell ref="A3:D3"/>
    <mergeCell ref="G3:H3"/>
    <mergeCell ref="A2:P2"/>
  </mergeCells>
  <conditionalFormatting sqref="P6:P17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F6:F506" showDropDown="0" showInputMessage="0" showErrorMessage="0" allowBlank="1" type="list">
      <formula1>L_Audit_Type</formula1>
      <formula2>0</formula2>
    </dataValidation>
    <dataValidation sqref="G6:G506" showDropDown="0" showInputMessage="0" showErrorMessage="0" allowBlank="1" type="list">
      <formula1>L_Department</formula1>
      <formula2>0</formula2>
    </dataValidation>
    <dataValidation sqref="H6:H506" showDropDown="0" showInputMessage="0" showErrorMessage="0" allowBlank="1" type="list">
      <formula1>L_Location</formula1>
      <formula2>0</formula2>
    </dataValidation>
    <dataValidation sqref="P6:P506" showDropDown="0" showInputMessage="0" showErrorMessage="0" allowBlank="1" type="list">
      <formula1>L_Status_4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3E2723"/>
    <outlinePr summaryBelow="1" summaryRight="1"/>
    <pageSetUpPr/>
  </sheetPr>
  <dimension ref="A1:P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0" customWidth="1" style="15" min="5" max="5"/>
    <col width="14" customWidth="1" style="15" min="6" max="8"/>
    <col width="16" customWidth="1" style="15" min="9" max="10"/>
    <col width="12" customWidth="1" style="15" min="11" max="11"/>
    <col width="10" customWidth="1" style="15" min="12" max="15"/>
    <col width="12" customWidth="1" style="15" min="16" max="16"/>
  </cols>
  <sheetData>
    <row r="1" ht="42" customHeight="1" s="15">
      <c r="A1" s="215" t="inlineStr">
        <is>
          <t>📋  EXTERNAL AUDITS — DATA ENTRY</t>
        </is>
      </c>
    </row>
    <row r="2" ht="21.75" customHeight="1" s="15">
      <c r="A2" s="216" t="inlineStr">
        <is>
          <t>🔵 Blue = User Input  |  ⚫ Gray = Auto-Calculated  |  Use dropdowns where available</t>
        </is>
      </c>
    </row>
    <row r="3" ht="19.5" customHeight="1" s="15">
      <c r="A3" s="217" t="inlineStr">
        <is>
          <t>IDENTIFICATION</t>
        </is>
      </c>
      <c r="E3" s="16" t="inlineStr">
        <is>
          <t>SCOPE</t>
        </is>
      </c>
      <c r="F3" s="39" t="inlineStr">
        <is>
          <t>CLASSIFICATION</t>
        </is>
      </c>
      <c r="G3" s="17" t="inlineStr">
        <is>
          <t>ORGANIZATIONAL</t>
        </is>
      </c>
      <c r="I3" s="40" t="inlineStr">
        <is>
          <t>PEOPLE</t>
        </is>
      </c>
      <c r="K3" s="18" t="inlineStr">
        <is>
          <t>FINDINGS</t>
        </is>
      </c>
      <c r="P3" s="19" t="inlineStr">
        <is>
          <t>STATUS</t>
        </is>
      </c>
    </row>
    <row r="4" ht="31.5" customHeight="1" s="15">
      <c r="A4" s="51" t="inlineStr">
        <is>
          <t>S.No</t>
        </is>
      </c>
      <c r="B4" s="51" t="inlineStr">
        <is>
          <t>Audit No.</t>
        </is>
      </c>
      <c r="C4" s="51" t="inlineStr">
        <is>
          <t>Date</t>
        </is>
      </c>
      <c r="D4" s="51" t="inlineStr">
        <is>
          <t>Month</t>
        </is>
      </c>
      <c r="E4" s="51" t="inlineStr">
        <is>
          <t>Audit Scope</t>
        </is>
      </c>
      <c r="F4" s="51" t="inlineStr">
        <is>
          <t>Audit Type</t>
        </is>
      </c>
      <c r="G4" s="51" t="inlineStr">
        <is>
          <t>Department</t>
        </is>
      </c>
      <c r="H4" s="51" t="inlineStr">
        <is>
          <t>Location</t>
        </is>
      </c>
      <c r="I4" s="51" t="inlineStr">
        <is>
          <t>Lead Auditor</t>
        </is>
      </c>
      <c r="J4" s="51" t="inlineStr">
        <is>
          <t>Approved By</t>
        </is>
      </c>
      <c r="K4" s="51" t="inlineStr">
        <is>
          <t>Checklist Items</t>
        </is>
      </c>
      <c r="L4" s="51" t="inlineStr">
        <is>
          <t>Minor NC</t>
        </is>
      </c>
      <c r="M4" s="51" t="inlineStr">
        <is>
          <t>Major NC</t>
        </is>
      </c>
      <c r="N4" s="51" t="inlineStr">
        <is>
          <t>Observations</t>
        </is>
      </c>
      <c r="O4" s="51" t="inlineStr">
        <is>
          <t>Recommendations</t>
        </is>
      </c>
      <c r="P4" s="51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3" t="inlineStr">
        <is>
          <t>✏️ INPUT</t>
        </is>
      </c>
      <c r="P5" s="23" t="inlineStr">
        <is>
          <t>✏️ INPUT</t>
        </is>
      </c>
    </row>
    <row r="6" ht="15" customHeight="1" s="15">
      <c r="A6" s="24" t="n">
        <v>1</v>
      </c>
      <c r="B6" s="25" t="inlineStr">
        <is>
          <t>EA-001</t>
        </is>
      </c>
      <c r="C6" s="26" t="n">
        <v>46358</v>
      </c>
      <c r="D6" s="24">
        <f>IF(C6="","",TEXT(C6,"MMM"))</f>
        <v/>
      </c>
      <c r="E6" s="27" t="inlineStr">
        <is>
          <t>Waste Management</t>
        </is>
      </c>
      <c r="F6" s="28" t="inlineStr">
        <is>
          <t>Theme Audit</t>
        </is>
      </c>
      <c r="G6" s="28" t="inlineStr">
        <is>
          <t>Construction</t>
        </is>
      </c>
      <c r="H6" s="28" t="inlineStr">
        <is>
          <t>Workshop</t>
        </is>
      </c>
      <c r="I6" s="27" t="inlineStr">
        <is>
          <t>Ahmed Khan</t>
        </is>
      </c>
      <c r="J6" s="27" t="inlineStr">
        <is>
          <t>Raj Patel</t>
        </is>
      </c>
      <c r="K6" s="29" t="n">
        <v>26</v>
      </c>
      <c r="L6" s="29" t="n">
        <v>4</v>
      </c>
      <c r="M6" s="29" t="n">
        <v>1</v>
      </c>
      <c r="N6" s="29" t="n">
        <v>5</v>
      </c>
      <c r="O6" s="29" t="n">
        <v>4</v>
      </c>
      <c r="P6" s="28" t="inlineStr">
        <is>
          <t>In Progress</t>
        </is>
      </c>
    </row>
    <row r="7" ht="15" customHeight="1" s="15">
      <c r="A7" s="31" t="n">
        <v>2</v>
      </c>
      <c r="B7" s="32" t="inlineStr">
        <is>
          <t>EA-002</t>
        </is>
      </c>
      <c r="C7" s="33" t="n">
        <v>46315</v>
      </c>
      <c r="D7" s="31">
        <f>IF(C7="","",TEXT(C7,"MMM"))</f>
        <v/>
      </c>
      <c r="E7" s="34" t="inlineStr">
        <is>
          <t>Environmental</t>
        </is>
      </c>
      <c r="F7" s="35" t="inlineStr">
        <is>
          <t>Compliance Audit</t>
        </is>
      </c>
      <c r="G7" s="35" t="inlineStr">
        <is>
          <t>Safety</t>
        </is>
      </c>
      <c r="H7" s="35" t="inlineStr">
        <is>
          <t>Warehouse</t>
        </is>
      </c>
      <c r="I7" s="34" t="inlineStr">
        <is>
          <t>Tom Brown</t>
        </is>
      </c>
      <c r="J7" s="34" t="inlineStr">
        <is>
          <t>Maria Garcia</t>
        </is>
      </c>
      <c r="K7" s="36" t="n">
        <v>23</v>
      </c>
      <c r="L7" s="36" t="n">
        <v>4</v>
      </c>
      <c r="M7" s="36" t="n">
        <v>2</v>
      </c>
      <c r="N7" s="36" t="n">
        <v>0</v>
      </c>
      <c r="O7" s="36" t="n">
        <v>4</v>
      </c>
      <c r="P7" s="35" t="inlineStr">
        <is>
          <t>Scheduled</t>
        </is>
      </c>
    </row>
    <row r="8" ht="15" customHeight="1" s="15">
      <c r="A8" s="24" t="n">
        <v>3</v>
      </c>
      <c r="B8" s="25" t="inlineStr">
        <is>
          <t>EA-003</t>
        </is>
      </c>
      <c r="C8" s="26" t="n">
        <v>46362</v>
      </c>
      <c r="D8" s="24">
        <f>IF(C8="","",TEXT(C8,"MMM"))</f>
        <v/>
      </c>
      <c r="E8" s="27" t="inlineStr">
        <is>
          <t>Waste Management</t>
        </is>
      </c>
      <c r="F8" s="28" t="inlineStr">
        <is>
          <t>Surveillance</t>
        </is>
      </c>
      <c r="G8" s="28" t="inlineStr">
        <is>
          <t>Admin</t>
        </is>
      </c>
      <c r="H8" s="28" t="inlineStr">
        <is>
          <t>Plant A</t>
        </is>
      </c>
      <c r="I8" s="27" t="inlineStr">
        <is>
          <t>Fatima Al-Said</t>
        </is>
      </c>
      <c r="J8" s="27" t="inlineStr">
        <is>
          <t>David Chen</t>
        </is>
      </c>
      <c r="K8" s="29" t="n">
        <v>26</v>
      </c>
      <c r="L8" s="29" t="n">
        <v>5</v>
      </c>
      <c r="M8" s="29" t="n">
        <v>3</v>
      </c>
      <c r="N8" s="29" t="n">
        <v>3</v>
      </c>
      <c r="O8" s="29" t="n">
        <v>1</v>
      </c>
      <c r="P8" s="28" t="inlineStr">
        <is>
          <t>In Progress</t>
        </is>
      </c>
    </row>
    <row r="9" ht="15" customHeight="1" s="15">
      <c r="A9" s="31" t="n">
        <v>4</v>
      </c>
      <c r="B9" s="32" t="inlineStr">
        <is>
          <t>EA-004</t>
        </is>
      </c>
      <c r="C9" s="33" t="n">
        <v>46209</v>
      </c>
      <c r="D9" s="31">
        <f>IF(C9="","",TEXT(C9,"MMM"))</f>
        <v/>
      </c>
      <c r="E9" s="34" t="inlineStr">
        <is>
          <t>PPE Compliance</t>
        </is>
      </c>
      <c r="F9" s="35" t="inlineStr">
        <is>
          <t>Theme Audit</t>
        </is>
      </c>
      <c r="G9" s="35" t="inlineStr">
        <is>
          <t>Construction</t>
        </is>
      </c>
      <c r="H9" s="35" t="inlineStr">
        <is>
          <t>Workshop</t>
        </is>
      </c>
      <c r="I9" s="34" t="inlineStr">
        <is>
          <t>John Smith</t>
        </is>
      </c>
      <c r="J9" s="34" t="inlineStr">
        <is>
          <t>Raj Patel</t>
        </is>
      </c>
      <c r="K9" s="36" t="n">
        <v>24</v>
      </c>
      <c r="L9" s="36" t="n">
        <v>0</v>
      </c>
      <c r="M9" s="36" t="n">
        <v>3</v>
      </c>
      <c r="N9" s="36" t="n">
        <v>3</v>
      </c>
      <c r="O9" s="36" t="n">
        <v>4</v>
      </c>
      <c r="P9" s="35" t="inlineStr">
        <is>
          <t>Scheduled</t>
        </is>
      </c>
    </row>
    <row r="10" ht="15" customHeight="1" s="15">
      <c r="A10" s="24" t="n">
        <v>5</v>
      </c>
      <c r="B10" s="25" t="inlineStr">
        <is>
          <t>EA-005</t>
        </is>
      </c>
      <c r="C10" s="26" t="n">
        <v>46094</v>
      </c>
      <c r="D10" s="24">
        <f>IF(C10="","",TEXT(C10,"MMM"))</f>
        <v/>
      </c>
      <c r="E10" s="27" t="inlineStr">
        <is>
          <t>PTW System</t>
        </is>
      </c>
      <c r="F10" s="28" t="inlineStr">
        <is>
          <t>Process Audit</t>
        </is>
      </c>
      <c r="G10" s="28" t="inlineStr">
        <is>
          <t>Construction</t>
        </is>
      </c>
      <c r="H10" s="28" t="inlineStr">
        <is>
          <t>Control Room</t>
        </is>
      </c>
      <c r="I10" s="27" t="inlineStr">
        <is>
          <t>Sarah Wilson</t>
        </is>
      </c>
      <c r="J10" s="27" t="inlineStr">
        <is>
          <t>Priya Sharma</t>
        </is>
      </c>
      <c r="K10" s="29" t="n">
        <v>21</v>
      </c>
      <c r="L10" s="29" t="n">
        <v>1</v>
      </c>
      <c r="M10" s="29" t="n">
        <v>1</v>
      </c>
      <c r="N10" s="29" t="n">
        <v>0</v>
      </c>
      <c r="O10" s="29" t="n">
        <v>2</v>
      </c>
      <c r="P10" s="28" t="inlineStr">
        <is>
          <t>In Progress</t>
        </is>
      </c>
    </row>
    <row r="11" ht="15" customHeight="1" s="15">
      <c r="A11" s="31" t="n">
        <v>6</v>
      </c>
      <c r="B11" s="32" t="inlineStr">
        <is>
          <t>EA-006</t>
        </is>
      </c>
      <c r="C11" s="33" t="n">
        <v>46346</v>
      </c>
      <c r="D11" s="31">
        <f>IF(C11="","",TEXT(C11,"MMM"))</f>
        <v/>
      </c>
      <c r="E11" s="34" t="inlineStr">
        <is>
          <t>Housekeeping</t>
        </is>
      </c>
      <c r="F11" s="35" t="inlineStr">
        <is>
          <t>System Audit</t>
        </is>
      </c>
      <c r="G11" s="35" t="inlineStr">
        <is>
          <t>Maintenance</t>
        </is>
      </c>
      <c r="H11" s="35" t="inlineStr">
        <is>
          <t>Workshop</t>
        </is>
      </c>
      <c r="I11" s="34" t="inlineStr">
        <is>
          <t>Lisa Park</t>
        </is>
      </c>
      <c r="J11" s="34" t="inlineStr">
        <is>
          <t>Tom Brown</t>
        </is>
      </c>
      <c r="K11" s="36" t="n">
        <v>16</v>
      </c>
      <c r="L11" s="36" t="n">
        <v>7</v>
      </c>
      <c r="M11" s="36" t="n">
        <v>1</v>
      </c>
      <c r="N11" s="36" t="n">
        <v>2</v>
      </c>
      <c r="O11" s="36" t="n">
        <v>2</v>
      </c>
      <c r="P11" s="35" t="inlineStr">
        <is>
          <t>Completed</t>
        </is>
      </c>
    </row>
    <row r="12" ht="15" customHeight="1" s="15">
      <c r="A12" s="24" t="n">
        <v>7</v>
      </c>
      <c r="B12" s="25" t="inlineStr">
        <is>
          <t>EA-007</t>
        </is>
      </c>
      <c r="C12" s="26" t="n">
        <v>46119</v>
      </c>
      <c r="D12" s="24">
        <f>IF(C12="","",TEXT(C12,"MMM"))</f>
        <v/>
      </c>
      <c r="E12" s="27" t="inlineStr">
        <is>
          <t>ISO 14001</t>
        </is>
      </c>
      <c r="F12" s="28" t="inlineStr">
        <is>
          <t>Theme Audit</t>
        </is>
      </c>
      <c r="G12" s="28" t="inlineStr">
        <is>
          <t>Construction</t>
        </is>
      </c>
      <c r="H12" s="28" t="inlineStr">
        <is>
          <t>Workshop</t>
        </is>
      </c>
      <c r="I12" s="27" t="inlineStr">
        <is>
          <t>David Chen</t>
        </is>
      </c>
      <c r="J12" s="27" t="inlineStr">
        <is>
          <t>Maria Garcia</t>
        </is>
      </c>
      <c r="K12" s="29" t="n">
        <v>27</v>
      </c>
      <c r="L12" s="29" t="n">
        <v>5</v>
      </c>
      <c r="M12" s="29" t="n">
        <v>2</v>
      </c>
      <c r="N12" s="29" t="n">
        <v>3</v>
      </c>
      <c r="O12" s="29" t="n">
        <v>3</v>
      </c>
      <c r="P12" s="28" t="inlineStr">
        <is>
          <t>Scheduled</t>
        </is>
      </c>
    </row>
    <row r="13" ht="15" customHeight="1" s="15">
      <c r="A13" s="31" t="n">
        <v>8</v>
      </c>
      <c r="B13" s="32" t="inlineStr">
        <is>
          <t>EA-008</t>
        </is>
      </c>
      <c r="C13" s="33" t="n">
        <v>46338</v>
      </c>
      <c r="D13" s="31">
        <f>IF(C13="","",TEXT(C13,"MMM"))</f>
        <v/>
      </c>
      <c r="E13" s="34" t="inlineStr">
        <is>
          <t>Contractor Safety</t>
        </is>
      </c>
      <c r="F13" s="35" t="inlineStr">
        <is>
          <t>Process Audit</t>
        </is>
      </c>
      <c r="G13" s="35" t="inlineStr">
        <is>
          <t>Logistics</t>
        </is>
      </c>
      <c r="H13" s="35" t="inlineStr">
        <is>
          <t>Tank Farm</t>
        </is>
      </c>
      <c r="I13" s="34" t="inlineStr">
        <is>
          <t>Priya Sharma</t>
        </is>
      </c>
      <c r="J13" s="34" t="inlineStr">
        <is>
          <t>Sarah Wilson</t>
        </is>
      </c>
      <c r="K13" s="36" t="n">
        <v>25</v>
      </c>
      <c r="L13" s="36" t="n">
        <v>5</v>
      </c>
      <c r="M13" s="36" t="n">
        <v>1</v>
      </c>
      <c r="N13" s="36" t="n">
        <v>2</v>
      </c>
      <c r="O13" s="36" t="n">
        <v>2</v>
      </c>
      <c r="P13" s="35" t="inlineStr">
        <is>
          <t>In Progress</t>
        </is>
      </c>
    </row>
    <row r="14">
      <c r="A14">
        <f>IF($B14="","",ROW()-5)</f>
        <v/>
      </c>
      <c r="D14">
        <f>IF($B14="","",IF(C14="","",TEXT(C14,"MMM")))</f>
        <v/>
      </c>
    </row>
    <row r="15">
      <c r="A15">
        <f>IF($B15="","",ROW()-5)</f>
        <v/>
      </c>
      <c r="D15">
        <f>IF($B15="","",IF(C15="","",TEXT(C15,"MMM")))</f>
        <v/>
      </c>
    </row>
    <row r="16">
      <c r="A16">
        <f>IF($B16="","",ROW()-5)</f>
        <v/>
      </c>
      <c r="D16">
        <f>IF($B16="","",IF(C16="","",TEXT(C16,"MMM")))</f>
        <v/>
      </c>
    </row>
    <row r="17">
      <c r="A17">
        <f>IF($B17="","",ROW()-5)</f>
        <v/>
      </c>
      <c r="D17">
        <f>IF($B17="","",IF(C17="","",TEXT(C17,"MMM")))</f>
        <v/>
      </c>
    </row>
    <row r="18">
      <c r="A18">
        <f>IF($B18="","",ROW()-5)</f>
        <v/>
      </c>
      <c r="D18">
        <f>IF($B18="","",IF(C18="","",TEXT(C18,"MMM")))</f>
        <v/>
      </c>
    </row>
    <row r="19">
      <c r="A19">
        <f>IF($B19="","",ROW()-5)</f>
        <v/>
      </c>
      <c r="D19">
        <f>IF($B19="","",IF(C19="","",TEXT(C19,"MMM")))</f>
        <v/>
      </c>
    </row>
    <row r="20">
      <c r="A20">
        <f>IF($B20="","",ROW()-5)</f>
        <v/>
      </c>
      <c r="D20">
        <f>IF($B20="","",IF(C20="","",TEXT(C20,"MMM")))</f>
        <v/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P13"/>
  <mergeCells count="6">
    <mergeCell ref="K3:O3"/>
    <mergeCell ref="I3:J3"/>
    <mergeCell ref="A1:P1"/>
    <mergeCell ref="A3:D3"/>
    <mergeCell ref="G3:H3"/>
    <mergeCell ref="A2:P2"/>
  </mergeCells>
  <conditionalFormatting sqref="P6:P13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F6:F506" showDropDown="0" showInputMessage="0" showErrorMessage="0" allowBlank="1" type="list">
      <formula1>L_Audit_Type</formula1>
      <formula2>0</formula2>
    </dataValidation>
    <dataValidation sqref="G6:G506" showDropDown="0" showInputMessage="0" showErrorMessage="0" allowBlank="1" type="list">
      <formula1>L_Department</formula1>
      <formula2>0</formula2>
    </dataValidation>
    <dataValidation sqref="H6:H506" showDropDown="0" showInputMessage="0" showErrorMessage="0" allowBlank="1" type="list">
      <formula1>L_Location</formula1>
      <formula2>0</formula2>
    </dataValidation>
    <dataValidation sqref="P6:P506" showDropDown="0" showInputMessage="0" showErrorMessage="0" allowBlank="1" type="list">
      <formula1>L_Status_4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FF006064"/>
    <outlinePr summaryBelow="1" summaryRight="1"/>
    <pageSetUpPr/>
  </sheetPr>
  <dimension ref="A1:N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8" customWidth="1" style="15" min="5" max="5"/>
    <col width="14" customWidth="1" style="15" min="6" max="7"/>
    <col width="16" customWidth="1" style="15" min="8" max="8"/>
    <col width="10" customWidth="1" style="15" min="9" max="9"/>
    <col width="12" customWidth="1" style="15" min="10" max="12"/>
    <col width="10" customWidth="1" style="15" min="13" max="13"/>
    <col width="12" customWidth="1" style="15" min="14" max="14"/>
  </cols>
  <sheetData>
    <row r="1" ht="42" customHeight="1" s="15">
      <c r="A1" s="218" t="inlineStr">
        <is>
          <t>👔  MANAGEMENT VISITS — DATA ENTRY</t>
        </is>
      </c>
    </row>
    <row r="2" ht="21.75" customHeight="1" s="15">
      <c r="A2" s="219" t="inlineStr">
        <is>
          <t>🔵 Blue = User Input  |  ⚫ Gray = Auto-Calculated  |  Use dropdowns where available</t>
        </is>
      </c>
    </row>
    <row r="3" ht="19.5" customHeight="1" s="15">
      <c r="A3" s="220" t="inlineStr">
        <is>
          <t>IDENTIFICATION</t>
        </is>
      </c>
      <c r="E3" s="16" t="inlineStr">
        <is>
          <t>CLASSIFICATION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TIMING</t>
        </is>
      </c>
      <c r="J3" s="18" t="inlineStr">
        <is>
          <t>FINDINGS</t>
        </is>
      </c>
      <c r="K3" s="19" t="inlineStr">
        <is>
          <t>ACTIONS</t>
        </is>
      </c>
      <c r="N3" s="20" t="inlineStr">
        <is>
          <t>STATUS</t>
        </is>
      </c>
    </row>
    <row r="4" ht="31.5" customHeight="1" s="15">
      <c r="A4" s="52" t="inlineStr">
        <is>
          <t>S.No</t>
        </is>
      </c>
      <c r="B4" s="52" t="inlineStr">
        <is>
          <t>Visit ID</t>
        </is>
      </c>
      <c r="C4" s="52" t="inlineStr">
        <is>
          <t>Date</t>
        </is>
      </c>
      <c r="D4" s="52" t="inlineStr">
        <is>
          <t>Month</t>
        </is>
      </c>
      <c r="E4" s="52" t="inlineStr">
        <is>
          <t>Visit Type</t>
        </is>
      </c>
      <c r="F4" s="52" t="inlineStr">
        <is>
          <t>Department</t>
        </is>
      </c>
      <c r="G4" s="52" t="inlineStr">
        <is>
          <t>Location</t>
        </is>
      </c>
      <c r="H4" s="52" t="inlineStr">
        <is>
          <t>Visited By</t>
        </is>
      </c>
      <c r="I4" s="52" t="inlineStr">
        <is>
          <t>Duration (min)</t>
        </is>
      </c>
      <c r="J4" s="52" t="inlineStr">
        <is>
          <t>Observations Made</t>
        </is>
      </c>
      <c r="K4" s="52" t="inlineStr">
        <is>
          <t>Actions Raised</t>
        </is>
      </c>
      <c r="L4" s="52" t="inlineStr">
        <is>
          <t>Actions Closed</t>
        </is>
      </c>
      <c r="M4" s="52" t="inlineStr">
        <is>
          <t>Close-out %</t>
        </is>
      </c>
      <c r="N4" s="52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2" t="inlineStr">
        <is>
          <t>⚙️ AUTO</t>
        </is>
      </c>
      <c r="N5" s="23" t="inlineStr">
        <is>
          <t>✏️ INPUT</t>
        </is>
      </c>
    </row>
    <row r="6" ht="15" customHeight="1" s="15">
      <c r="A6" s="24" t="n">
        <v>1</v>
      </c>
      <c r="B6" s="25" t="inlineStr">
        <is>
          <t>MV-001</t>
        </is>
      </c>
      <c r="C6" s="26" t="n">
        <v>46041</v>
      </c>
      <c r="D6" s="24">
        <f>IF(C6="","",TEXT(C6,"MMM"))</f>
        <v/>
      </c>
      <c r="E6" s="27" t="inlineStr">
        <is>
          <t>Plant Visit</t>
        </is>
      </c>
      <c r="F6" s="28" t="inlineStr">
        <is>
          <t>Engineering</t>
        </is>
      </c>
      <c r="G6" s="28" t="inlineStr">
        <is>
          <t>Plant A</t>
        </is>
      </c>
      <c r="H6" s="27" t="inlineStr">
        <is>
          <t>John Smith</t>
        </is>
      </c>
      <c r="I6" s="29" t="n">
        <v>171</v>
      </c>
      <c r="J6" s="29" t="n">
        <v>6</v>
      </c>
      <c r="K6" s="29" t="n">
        <v>2</v>
      </c>
      <c r="L6" s="29" t="n">
        <v>1</v>
      </c>
      <c r="M6" s="30">
        <f>IF((J6+K6)=0,0,L6/(J6+K6))</f>
        <v/>
      </c>
      <c r="N6" s="28" t="inlineStr">
        <is>
          <t>Completed</t>
        </is>
      </c>
    </row>
    <row r="7" ht="15" customHeight="1" s="15">
      <c r="A7" s="31" t="n">
        <v>2</v>
      </c>
      <c r="B7" s="32" t="inlineStr">
        <is>
          <t>MV-002</t>
        </is>
      </c>
      <c r="C7" s="33" t="n">
        <v>46181</v>
      </c>
      <c r="D7" s="31">
        <f>IF(C7="","",TEXT(C7,"MMM"))</f>
        <v/>
      </c>
      <c r="E7" s="34" t="inlineStr">
        <is>
          <t>Contractor Review</t>
        </is>
      </c>
      <c r="F7" s="35" t="inlineStr">
        <is>
          <t>Contractor</t>
        </is>
      </c>
      <c r="G7" s="35" t="inlineStr">
        <is>
          <t>Workshop</t>
        </is>
      </c>
      <c r="H7" s="34" t="inlineStr">
        <is>
          <t>Priya Sharma</t>
        </is>
      </c>
      <c r="I7" s="36" t="n">
        <v>170</v>
      </c>
      <c r="J7" s="36" t="n">
        <v>5</v>
      </c>
      <c r="K7" s="36" t="n">
        <v>2</v>
      </c>
      <c r="L7" s="36" t="n">
        <v>3</v>
      </c>
      <c r="M7" s="37">
        <f>IF((J7+K7)=0,0,L7/(J7+K7))</f>
        <v/>
      </c>
      <c r="N7" s="35" t="inlineStr">
        <is>
          <t>Action Pending</t>
        </is>
      </c>
    </row>
    <row r="8" ht="15" customHeight="1" s="15">
      <c r="A8" s="24" t="n">
        <v>3</v>
      </c>
      <c r="B8" s="25" t="inlineStr">
        <is>
          <t>MV-003</t>
        </is>
      </c>
      <c r="C8" s="26" t="n">
        <v>46350</v>
      </c>
      <c r="D8" s="24">
        <f>IF(C8="","",TEXT(C8,"MMM"))</f>
        <v/>
      </c>
      <c r="E8" s="27" t="inlineStr">
        <is>
          <t>Contractor Review</t>
        </is>
      </c>
      <c r="F8" s="28" t="inlineStr">
        <is>
          <t>Admin</t>
        </is>
      </c>
      <c r="G8" s="28" t="inlineStr">
        <is>
          <t>Warehouse</t>
        </is>
      </c>
      <c r="H8" s="27" t="inlineStr">
        <is>
          <t>Fatima Al-Said</t>
        </is>
      </c>
      <c r="I8" s="29" t="n">
        <v>73</v>
      </c>
      <c r="J8" s="29" t="n">
        <v>2</v>
      </c>
      <c r="K8" s="29" t="n">
        <v>5</v>
      </c>
      <c r="L8" s="29" t="n">
        <v>4</v>
      </c>
      <c r="M8" s="30">
        <f>IF((J8+K8)=0,0,L8/(J8+K8))</f>
        <v/>
      </c>
      <c r="N8" s="28" t="inlineStr">
        <is>
          <t>Completed</t>
        </is>
      </c>
    </row>
    <row r="9" ht="15" customHeight="1" s="15">
      <c r="A9" s="31" t="n">
        <v>4</v>
      </c>
      <c r="B9" s="32" t="inlineStr">
        <is>
          <t>MV-004</t>
        </is>
      </c>
      <c r="C9" s="33" t="n">
        <v>46099</v>
      </c>
      <c r="D9" s="31">
        <f>IF(C9="","",TEXT(C9,"MMM"))</f>
        <v/>
      </c>
      <c r="E9" s="34" t="inlineStr">
        <is>
          <t>Emergency Review</t>
        </is>
      </c>
      <c r="F9" s="35" t="inlineStr">
        <is>
          <t>Operations</t>
        </is>
      </c>
      <c r="G9" s="35" t="inlineStr">
        <is>
          <t>Plant A</t>
        </is>
      </c>
      <c r="H9" s="34" t="inlineStr">
        <is>
          <t>Sarah Wilson</t>
        </is>
      </c>
      <c r="I9" s="36" t="n">
        <v>42</v>
      </c>
      <c r="J9" s="36" t="n">
        <v>0</v>
      </c>
      <c r="K9" s="36" t="n">
        <v>3</v>
      </c>
      <c r="L9" s="36" t="n">
        <v>1</v>
      </c>
      <c r="M9" s="37">
        <f>IF((J9+K9)=0,0,L9/(J9+K9))</f>
        <v/>
      </c>
      <c r="N9" s="35" t="inlineStr">
        <is>
          <t>Action Pending</t>
        </is>
      </c>
    </row>
    <row r="10" ht="15" customHeight="1" s="15">
      <c r="A10" s="24" t="n">
        <v>5</v>
      </c>
      <c r="B10" s="25" t="inlineStr">
        <is>
          <t>MV-005</t>
        </is>
      </c>
      <c r="C10" s="26" t="n">
        <v>46115</v>
      </c>
      <c r="D10" s="24">
        <f>IF(C10="","",TEXT(C10,"MMM"))</f>
        <v/>
      </c>
      <c r="E10" s="27" t="inlineStr">
        <is>
          <t>Emergency Review</t>
        </is>
      </c>
      <c r="F10" s="28" t="inlineStr">
        <is>
          <t>Engineering</t>
        </is>
      </c>
      <c r="G10" s="28" t="inlineStr">
        <is>
          <t>Plant A</t>
        </is>
      </c>
      <c r="H10" s="27" t="inlineStr">
        <is>
          <t>Maria Garcia</t>
        </is>
      </c>
      <c r="I10" s="29" t="n">
        <v>159</v>
      </c>
      <c r="J10" s="29" t="n">
        <v>7</v>
      </c>
      <c r="K10" s="29" t="n">
        <v>2</v>
      </c>
      <c r="L10" s="29" t="n">
        <v>0</v>
      </c>
      <c r="M10" s="30">
        <f>IF((J10+K10)=0,0,L10/(J10+K10))</f>
        <v/>
      </c>
      <c r="N10" s="28" t="inlineStr">
        <is>
          <t>Action Pending</t>
        </is>
      </c>
    </row>
    <row r="11" ht="15" customHeight="1" s="15">
      <c r="A11" s="31" t="n">
        <v>6</v>
      </c>
      <c r="B11" s="32" t="inlineStr">
        <is>
          <t>MV-006</t>
        </is>
      </c>
      <c r="C11" s="33" t="n">
        <v>46348</v>
      </c>
      <c r="D11" s="31">
        <f>IF(C11="","",TEXT(C11,"MMM"))</f>
        <v/>
      </c>
      <c r="E11" s="34" t="inlineStr">
        <is>
          <t>Project Visit</t>
        </is>
      </c>
      <c r="F11" s="35" t="inlineStr">
        <is>
          <t>Admin</t>
        </is>
      </c>
      <c r="G11" s="35" t="inlineStr">
        <is>
          <t>Tank Farm</t>
        </is>
      </c>
      <c r="H11" s="34" t="inlineStr">
        <is>
          <t>Ahmed Khan</t>
        </is>
      </c>
      <c r="I11" s="36" t="n">
        <v>31</v>
      </c>
      <c r="J11" s="36" t="n">
        <v>8</v>
      </c>
      <c r="K11" s="36" t="n">
        <v>4</v>
      </c>
      <c r="L11" s="36" t="n">
        <v>3</v>
      </c>
      <c r="M11" s="37">
        <f>IF((J11+K11)=0,0,L11/(J11+K11))</f>
        <v/>
      </c>
      <c r="N11" s="35" t="inlineStr">
        <is>
          <t>Completed</t>
        </is>
      </c>
    </row>
    <row r="12" ht="15" customHeight="1" s="15">
      <c r="A12" s="24" t="n">
        <v>7</v>
      </c>
      <c r="B12" s="25" t="inlineStr">
        <is>
          <t>MV-007</t>
        </is>
      </c>
      <c r="C12" s="26" t="n">
        <v>46039</v>
      </c>
      <c r="D12" s="24">
        <f>IF(C12="","",TEXT(C12,"MMM"))</f>
        <v/>
      </c>
      <c r="E12" s="27" t="inlineStr">
        <is>
          <t>Emergency Review</t>
        </is>
      </c>
      <c r="F12" s="28" t="inlineStr">
        <is>
          <t>Safety</t>
        </is>
      </c>
      <c r="G12" s="28" t="inlineStr">
        <is>
          <t>Field Site</t>
        </is>
      </c>
      <c r="H12" s="27" t="inlineStr">
        <is>
          <t>Ahmed Khan</t>
        </is>
      </c>
      <c r="I12" s="29" t="n">
        <v>158</v>
      </c>
      <c r="J12" s="29" t="n">
        <v>6</v>
      </c>
      <c r="K12" s="29" t="n">
        <v>1</v>
      </c>
      <c r="L12" s="29" t="n">
        <v>0</v>
      </c>
      <c r="M12" s="30">
        <f>IF((J12+K12)=0,0,L12/(J12+K12))</f>
        <v/>
      </c>
      <c r="N12" s="28" t="inlineStr">
        <is>
          <t>Completed</t>
        </is>
      </c>
    </row>
    <row r="13" ht="15" customHeight="1" s="15">
      <c r="A13" s="31" t="n">
        <v>8</v>
      </c>
      <c r="B13" s="32" t="inlineStr">
        <is>
          <t>MV-008</t>
        </is>
      </c>
      <c r="C13" s="33" t="n">
        <v>46270</v>
      </c>
      <c r="D13" s="31">
        <f>IF(C13="","",TEXT(C13,"MMM"))</f>
        <v/>
      </c>
      <c r="E13" s="34" t="inlineStr">
        <is>
          <t>Plant Visit</t>
        </is>
      </c>
      <c r="F13" s="35" t="inlineStr">
        <is>
          <t>Construction</t>
        </is>
      </c>
      <c r="G13" s="35" t="inlineStr">
        <is>
          <t>Field Site</t>
        </is>
      </c>
      <c r="H13" s="34" t="inlineStr">
        <is>
          <t>Fatima Al-Said</t>
        </is>
      </c>
      <c r="I13" s="36" t="n">
        <v>98</v>
      </c>
      <c r="J13" s="36" t="n">
        <v>6</v>
      </c>
      <c r="K13" s="36" t="n">
        <v>0</v>
      </c>
      <c r="L13" s="36" t="n">
        <v>2</v>
      </c>
      <c r="M13" s="37">
        <f>IF((J13+K13)=0,0,L13/(J13+K13))</f>
        <v/>
      </c>
      <c r="N13" s="35" t="inlineStr">
        <is>
          <t>Completed</t>
        </is>
      </c>
    </row>
    <row r="14" ht="15" customHeight="1" s="15">
      <c r="A14" s="24" t="n">
        <v>9</v>
      </c>
      <c r="B14" s="25" t="inlineStr">
        <is>
          <t>MV-009</t>
        </is>
      </c>
      <c r="C14" s="26" t="n">
        <v>46253</v>
      </c>
      <c r="D14" s="24">
        <f>IF(C14="","",TEXT(C14,"MMM"))</f>
        <v/>
      </c>
      <c r="E14" s="27" t="inlineStr">
        <is>
          <t>Plant Visit</t>
        </is>
      </c>
      <c r="F14" s="28" t="inlineStr">
        <is>
          <t>Construction</t>
        </is>
      </c>
      <c r="G14" s="28" t="inlineStr">
        <is>
          <t>Field Site</t>
        </is>
      </c>
      <c r="H14" s="27" t="inlineStr">
        <is>
          <t>Sarah Wilson</t>
        </is>
      </c>
      <c r="I14" s="29" t="n">
        <v>38</v>
      </c>
      <c r="J14" s="29" t="n">
        <v>1</v>
      </c>
      <c r="K14" s="29" t="n">
        <v>3</v>
      </c>
      <c r="L14" s="29" t="n">
        <v>3</v>
      </c>
      <c r="M14" s="30">
        <f>IF((J14+K14)=0,0,L14/(J14+K14))</f>
        <v/>
      </c>
      <c r="N14" s="28" t="inlineStr">
        <is>
          <t>Completed</t>
        </is>
      </c>
    </row>
    <row r="15" ht="15" customHeight="1" s="15">
      <c r="A15" s="31" t="n">
        <v>10</v>
      </c>
      <c r="B15" s="32" t="inlineStr">
        <is>
          <t>MV-010</t>
        </is>
      </c>
      <c r="C15" s="33" t="n">
        <v>46281</v>
      </c>
      <c r="D15" s="31">
        <f>IF(C15="","",TEXT(C15,"MMM"))</f>
        <v/>
      </c>
      <c r="E15" s="34" t="inlineStr">
        <is>
          <t>Site Walk</t>
        </is>
      </c>
      <c r="F15" s="35" t="inlineStr">
        <is>
          <t>Operations</t>
        </is>
      </c>
      <c r="G15" s="35" t="inlineStr">
        <is>
          <t>Warehouse</t>
        </is>
      </c>
      <c r="H15" s="34" t="inlineStr">
        <is>
          <t>Sarah Wilson</t>
        </is>
      </c>
      <c r="I15" s="36" t="n">
        <v>157</v>
      </c>
      <c r="J15" s="36" t="n">
        <v>6</v>
      </c>
      <c r="K15" s="36" t="n">
        <v>5</v>
      </c>
      <c r="L15" s="36" t="n">
        <v>2</v>
      </c>
      <c r="M15" s="37">
        <f>IF((J15+K15)=0,0,L15/(J15+K15))</f>
        <v/>
      </c>
      <c r="N15" s="35" t="inlineStr">
        <is>
          <t>Action Pending</t>
        </is>
      </c>
    </row>
    <row r="16" ht="15" customHeight="1" s="15">
      <c r="A16" s="24" t="n">
        <v>11</v>
      </c>
      <c r="B16" s="25" t="inlineStr">
        <is>
          <t>MV-011</t>
        </is>
      </c>
      <c r="C16" s="26" t="n">
        <v>46070</v>
      </c>
      <c r="D16" s="24">
        <f>IF(C16="","",TEXT(C16,"MMM"))</f>
        <v/>
      </c>
      <c r="E16" s="27" t="inlineStr">
        <is>
          <t>Site Walk</t>
        </is>
      </c>
      <c r="F16" s="28" t="inlineStr">
        <is>
          <t>Construction</t>
        </is>
      </c>
      <c r="G16" s="28" t="inlineStr">
        <is>
          <t>Workshop</t>
        </is>
      </c>
      <c r="H16" s="27" t="inlineStr">
        <is>
          <t>Lisa Park</t>
        </is>
      </c>
      <c r="I16" s="29" t="n">
        <v>151</v>
      </c>
      <c r="J16" s="29" t="n">
        <v>4</v>
      </c>
      <c r="K16" s="29" t="n">
        <v>0</v>
      </c>
      <c r="L16" s="29" t="n">
        <v>0</v>
      </c>
      <c r="M16" s="30">
        <f>IF((J16+K16)=0,0,L16/(J16+K16))</f>
        <v/>
      </c>
      <c r="N16" s="28" t="inlineStr">
        <is>
          <t>Action Pending</t>
        </is>
      </c>
    </row>
    <row r="17" ht="15" customHeight="1" s="15">
      <c r="A17" s="31" t="n">
        <v>12</v>
      </c>
      <c r="B17" s="32" t="inlineStr">
        <is>
          <t>MV-012</t>
        </is>
      </c>
      <c r="C17" s="33" t="n">
        <v>46160</v>
      </c>
      <c r="D17" s="31">
        <f>IF(C17="","",TEXT(C17,"MMM"))</f>
        <v/>
      </c>
      <c r="E17" s="34" t="inlineStr">
        <is>
          <t>Project Visit</t>
        </is>
      </c>
      <c r="F17" s="35" t="inlineStr">
        <is>
          <t>Operations</t>
        </is>
      </c>
      <c r="G17" s="35" t="inlineStr">
        <is>
          <t>Warehouse</t>
        </is>
      </c>
      <c r="H17" s="34" t="inlineStr">
        <is>
          <t>Fatima Al-Said</t>
        </is>
      </c>
      <c r="I17" s="36" t="n">
        <v>34</v>
      </c>
      <c r="J17" s="36" t="n">
        <v>3</v>
      </c>
      <c r="K17" s="36" t="n">
        <v>4</v>
      </c>
      <c r="L17" s="36" t="n">
        <v>1</v>
      </c>
      <c r="M17" s="37">
        <f>IF((J17+K17)=0,0,L17/(J17+K17))</f>
        <v/>
      </c>
      <c r="N17" s="35" t="inlineStr">
        <is>
          <t>Action Pending</t>
        </is>
      </c>
    </row>
    <row r="18">
      <c r="A18">
        <f>IF($B18="","",ROW()-5)</f>
        <v/>
      </c>
      <c r="D18">
        <f>IF($B18="","",IF(C18="","",TEXT(C18,"MMM")))</f>
        <v/>
      </c>
      <c r="M18">
        <f>IF($B18="","",IF((J18+K18)=0,0,L18/(J18+K18)))</f>
        <v/>
      </c>
    </row>
    <row r="19">
      <c r="A19">
        <f>IF($B19="","",ROW()-5)</f>
        <v/>
      </c>
      <c r="D19">
        <f>IF($B19="","",IF(C19="","",TEXT(C19,"MMM")))</f>
        <v/>
      </c>
      <c r="M19">
        <f>IF($B19="","",IF((J19+K19)=0,0,L19/(J19+K19)))</f>
        <v/>
      </c>
    </row>
    <row r="20">
      <c r="A20">
        <f>IF($B20="","",ROW()-5)</f>
        <v/>
      </c>
      <c r="D20">
        <f>IF($B20="","",IF(C20="","",TEXT(C20,"MMM")))</f>
        <v/>
      </c>
      <c r="M20">
        <f>IF($B20="","",IF((J20+K20)=0,0,L20/(J20+K20)))</f>
        <v/>
      </c>
    </row>
    <row r="21">
      <c r="A21">
        <f>IF($B21="","",ROW()-5)</f>
        <v/>
      </c>
      <c r="D21">
        <f>IF($B21="","",IF(C21="","",TEXT(C21,"MMM")))</f>
        <v/>
      </c>
      <c r="M21">
        <f>IF($B21="","",IF((J21+K21)=0,0,L21/(J21+K21)))</f>
        <v/>
      </c>
    </row>
    <row r="22">
      <c r="A22">
        <f>IF($B22="","",ROW()-5)</f>
        <v/>
      </c>
      <c r="D22">
        <f>IF($B22="","",IF(C22="","",TEXT(C22,"MMM")))</f>
        <v/>
      </c>
      <c r="M22">
        <f>IF($B22="","",IF((J22+K22)=0,0,L22/(J22+K22)))</f>
        <v/>
      </c>
    </row>
    <row r="23">
      <c r="A23">
        <f>IF($B23="","",ROW()-5)</f>
        <v/>
      </c>
      <c r="D23">
        <f>IF($B23="","",IF(C23="","",TEXT(C23,"MMM")))</f>
        <v/>
      </c>
      <c r="M23">
        <f>IF($B23="","",IF((J23+K23)=0,0,L23/(J23+K23)))</f>
        <v/>
      </c>
    </row>
    <row r="24">
      <c r="A24">
        <f>IF($B24="","",ROW()-5)</f>
        <v/>
      </c>
      <c r="D24">
        <f>IF($B24="","",IF(C24="","",TEXT(C24,"MMM")))</f>
        <v/>
      </c>
      <c r="M24">
        <f>IF($B24="","",IF((J24+K24)=0,0,L24/(J24+K24)))</f>
        <v/>
      </c>
    </row>
    <row r="25">
      <c r="A25">
        <f>IF($B25="","",ROW()-5)</f>
        <v/>
      </c>
      <c r="D25">
        <f>IF($B25="","",IF(C25="","",TEXT(C25,"MMM")))</f>
        <v/>
      </c>
      <c r="M25">
        <f>IF($B25="","",IF((J25+K25)=0,0,L25/(J25+K25)))</f>
        <v/>
      </c>
    </row>
    <row r="26">
      <c r="A26">
        <f>IF($B26="","",ROW()-5)</f>
        <v/>
      </c>
      <c r="D26">
        <f>IF($B26="","",IF(C26="","",TEXT(C26,"MMM")))</f>
        <v/>
      </c>
      <c r="M26">
        <f>IF($B26="","",IF((J26+K26)=0,0,L26/(J26+K26)))</f>
        <v/>
      </c>
    </row>
    <row r="27">
      <c r="A27">
        <f>IF($B27="","",ROW()-5)</f>
        <v/>
      </c>
      <c r="D27">
        <f>IF($B27="","",IF(C27="","",TEXT(C27,"MMM")))</f>
        <v/>
      </c>
      <c r="M27">
        <f>IF($B27="","",IF((J27+K27)=0,0,L27/(J27+K27)))</f>
        <v/>
      </c>
    </row>
    <row r="28">
      <c r="A28">
        <f>IF($B28="","",ROW()-5)</f>
        <v/>
      </c>
      <c r="D28">
        <f>IF($B28="","",IF(C28="","",TEXT(C28,"MMM")))</f>
        <v/>
      </c>
      <c r="M28">
        <f>IF($B28="","",IF((J28+K28)=0,0,L28/(J28+K28)))</f>
        <v/>
      </c>
    </row>
    <row r="29">
      <c r="A29">
        <f>IF($B29="","",ROW()-5)</f>
        <v/>
      </c>
      <c r="D29">
        <f>IF($B29="","",IF(C29="","",TEXT(C29,"MMM")))</f>
        <v/>
      </c>
      <c r="M29">
        <f>IF($B29="","",IF((J29+K29)=0,0,L29/(J29+K29)))</f>
        <v/>
      </c>
    </row>
    <row r="30">
      <c r="A30">
        <f>IF($B30="","",ROW()-5)</f>
        <v/>
      </c>
      <c r="D30">
        <f>IF($B30="","",IF(C30="","",TEXT(C30,"MMM")))</f>
        <v/>
      </c>
      <c r="M30">
        <f>IF($B30="","",IF((J30+K30)=0,0,L30/(J30+K30)))</f>
        <v/>
      </c>
    </row>
    <row r="31">
      <c r="A31">
        <f>IF($B31="","",ROW()-5)</f>
        <v/>
      </c>
      <c r="D31">
        <f>IF($B31="","",IF(C31="","",TEXT(C31,"MMM")))</f>
        <v/>
      </c>
      <c r="M31">
        <f>IF($B31="","",IF((J31+K31)=0,0,L31/(J31+K31)))</f>
        <v/>
      </c>
    </row>
    <row r="32">
      <c r="A32">
        <f>IF($B32="","",ROW()-5)</f>
        <v/>
      </c>
      <c r="D32">
        <f>IF($B32="","",IF(C32="","",TEXT(C32,"MMM")))</f>
        <v/>
      </c>
      <c r="M32">
        <f>IF($B32="","",IF((J32+K32)=0,0,L32/(J32+K32)))</f>
        <v/>
      </c>
    </row>
    <row r="33">
      <c r="A33">
        <f>IF($B33="","",ROW()-5)</f>
        <v/>
      </c>
      <c r="D33">
        <f>IF($B33="","",IF(C33="","",TEXT(C33,"MMM")))</f>
        <v/>
      </c>
      <c r="M33">
        <f>IF($B33="","",IF((J33+K33)=0,0,L33/(J33+K33)))</f>
        <v/>
      </c>
    </row>
    <row r="34">
      <c r="A34">
        <f>IF($B34="","",ROW()-5)</f>
        <v/>
      </c>
      <c r="D34">
        <f>IF($B34="","",IF(C34="","",TEXT(C34,"MMM")))</f>
        <v/>
      </c>
      <c r="M34">
        <f>IF($B34="","",IF((J34+K34)=0,0,L34/(J34+K34)))</f>
        <v/>
      </c>
    </row>
    <row r="35">
      <c r="A35">
        <f>IF($B35="","",ROW()-5)</f>
        <v/>
      </c>
      <c r="D35">
        <f>IF($B35="","",IF(C35="","",TEXT(C35,"MMM")))</f>
        <v/>
      </c>
      <c r="M35">
        <f>IF($B35="","",IF((J35+K35)=0,0,L35/(J35+K35)))</f>
        <v/>
      </c>
    </row>
    <row r="36">
      <c r="A36">
        <f>IF($B36="","",ROW()-5)</f>
        <v/>
      </c>
      <c r="D36">
        <f>IF($B36="","",IF(C36="","",TEXT(C36,"MMM")))</f>
        <v/>
      </c>
      <c r="M36">
        <f>IF($B36="","",IF((J36+K36)=0,0,L36/(J36+K36)))</f>
        <v/>
      </c>
    </row>
    <row r="37">
      <c r="A37">
        <f>IF($B37="","",ROW()-5)</f>
        <v/>
      </c>
      <c r="D37">
        <f>IF($B37="","",IF(C37="","",TEXT(C37,"MMM")))</f>
        <v/>
      </c>
      <c r="M37">
        <f>IF($B37="","",IF((J37+K37)=0,0,L37/(J37+K37)))</f>
        <v/>
      </c>
    </row>
    <row r="38">
      <c r="A38">
        <f>IF($B38="","",ROW()-5)</f>
        <v/>
      </c>
      <c r="D38">
        <f>IF($B38="","",IF(C38="","",TEXT(C38,"MMM")))</f>
        <v/>
      </c>
      <c r="M38">
        <f>IF($B38="","",IF((J38+K38)=0,0,L38/(J38+K38)))</f>
        <v/>
      </c>
    </row>
    <row r="39">
      <c r="A39">
        <f>IF($B39="","",ROW()-5)</f>
        <v/>
      </c>
      <c r="D39">
        <f>IF($B39="","",IF(C39="","",TEXT(C39,"MMM")))</f>
        <v/>
      </c>
      <c r="M39">
        <f>IF($B39="","",IF((J39+K39)=0,0,L39/(J39+K39)))</f>
        <v/>
      </c>
    </row>
    <row r="40">
      <c r="A40">
        <f>IF($B40="","",ROW()-5)</f>
        <v/>
      </c>
      <c r="D40">
        <f>IF($B40="","",IF(C40="","",TEXT(C40,"MMM")))</f>
        <v/>
      </c>
      <c r="M40">
        <f>IF($B40="","",IF((J40+K40)=0,0,L40/(J40+K40)))</f>
        <v/>
      </c>
    </row>
    <row r="41">
      <c r="A41">
        <f>IF($B41="","",ROW()-5)</f>
        <v/>
      </c>
      <c r="D41">
        <f>IF($B41="","",IF(C41="","",TEXT(C41,"MMM")))</f>
        <v/>
      </c>
      <c r="M41">
        <f>IF($B41="","",IF((J41+K41)=0,0,L41/(J41+K41)))</f>
        <v/>
      </c>
    </row>
    <row r="42">
      <c r="A42">
        <f>IF($B42="","",ROW()-5)</f>
        <v/>
      </c>
      <c r="D42">
        <f>IF($B42="","",IF(C42="","",TEXT(C42,"MMM")))</f>
        <v/>
      </c>
      <c r="M42">
        <f>IF($B42="","",IF((J42+K42)=0,0,L42/(J42+K42)))</f>
        <v/>
      </c>
    </row>
    <row r="43">
      <c r="A43">
        <f>IF($B43="","",ROW()-5)</f>
        <v/>
      </c>
      <c r="D43">
        <f>IF($B43="","",IF(C43="","",TEXT(C43,"MMM")))</f>
        <v/>
      </c>
      <c r="M43">
        <f>IF($B43="","",IF((J43+K43)=0,0,L43/(J43+K43)))</f>
        <v/>
      </c>
    </row>
    <row r="44">
      <c r="A44">
        <f>IF($B44="","",ROW()-5)</f>
        <v/>
      </c>
      <c r="D44">
        <f>IF($B44="","",IF(C44="","",TEXT(C44,"MMM")))</f>
        <v/>
      </c>
      <c r="M44">
        <f>IF($B44="","",IF((J44+K44)=0,0,L44/(J44+K44)))</f>
        <v/>
      </c>
    </row>
    <row r="45">
      <c r="A45">
        <f>IF($B45="","",ROW()-5)</f>
        <v/>
      </c>
      <c r="D45">
        <f>IF($B45="","",IF(C45="","",TEXT(C45,"MMM")))</f>
        <v/>
      </c>
      <c r="M45">
        <f>IF($B45="","",IF((J45+K45)=0,0,L45/(J45+K45)))</f>
        <v/>
      </c>
    </row>
    <row r="46">
      <c r="A46">
        <f>IF($B46="","",ROW()-5)</f>
        <v/>
      </c>
      <c r="D46">
        <f>IF($B46="","",IF(C46="","",TEXT(C46,"MMM")))</f>
        <v/>
      </c>
      <c r="M46">
        <f>IF($B46="","",IF((J46+K46)=0,0,L46/(J46+K46)))</f>
        <v/>
      </c>
    </row>
    <row r="47">
      <c r="A47">
        <f>IF($B47="","",ROW()-5)</f>
        <v/>
      </c>
      <c r="D47">
        <f>IF($B47="","",IF(C47="","",TEXT(C47,"MMM")))</f>
        <v/>
      </c>
      <c r="M47">
        <f>IF($B47="","",IF((J47+K47)=0,0,L47/(J47+K47)))</f>
        <v/>
      </c>
    </row>
    <row r="48">
      <c r="A48">
        <f>IF($B48="","",ROW()-5)</f>
        <v/>
      </c>
      <c r="D48">
        <f>IF($B48="","",IF(C48="","",TEXT(C48,"MMM")))</f>
        <v/>
      </c>
      <c r="M48">
        <f>IF($B48="","",IF((J48+K48)=0,0,L48/(J48+K48)))</f>
        <v/>
      </c>
    </row>
    <row r="49">
      <c r="A49">
        <f>IF($B49="","",ROW()-5)</f>
        <v/>
      </c>
      <c r="D49">
        <f>IF($B49="","",IF(C49="","",TEXT(C49,"MMM")))</f>
        <v/>
      </c>
      <c r="M49">
        <f>IF($B49="","",IF((J49+K49)=0,0,L49/(J49+K49)))</f>
        <v/>
      </c>
    </row>
    <row r="50">
      <c r="A50">
        <f>IF($B50="","",ROW()-5)</f>
        <v/>
      </c>
      <c r="D50">
        <f>IF($B50="","",IF(C50="","",TEXT(C50,"MMM")))</f>
        <v/>
      </c>
      <c r="M50">
        <f>IF($B50="","",IF((J50+K50)=0,0,L50/(J50+K50)))</f>
        <v/>
      </c>
    </row>
    <row r="51">
      <c r="A51">
        <f>IF($B51="","",ROW()-5)</f>
        <v/>
      </c>
      <c r="D51">
        <f>IF($B51="","",IF(C51="","",TEXT(C51,"MMM")))</f>
        <v/>
      </c>
      <c r="M51">
        <f>IF($B51="","",IF((J51+K51)=0,0,L51/(J51+K51)))</f>
        <v/>
      </c>
    </row>
    <row r="52">
      <c r="A52">
        <f>IF($B52="","",ROW()-5)</f>
        <v/>
      </c>
      <c r="D52">
        <f>IF($B52="","",IF(C52="","",TEXT(C52,"MMM")))</f>
        <v/>
      </c>
      <c r="M52">
        <f>IF($B52="","",IF((J52+K52)=0,0,L52/(J52+K52)))</f>
        <v/>
      </c>
    </row>
    <row r="53">
      <c r="A53">
        <f>IF($B53="","",ROW()-5)</f>
        <v/>
      </c>
      <c r="D53">
        <f>IF($B53="","",IF(C53="","",TEXT(C53,"MMM")))</f>
        <v/>
      </c>
      <c r="M53">
        <f>IF($B53="","",IF((J53+K53)=0,0,L53/(J53+K53)))</f>
        <v/>
      </c>
    </row>
    <row r="54">
      <c r="A54">
        <f>IF($B54="","",ROW()-5)</f>
        <v/>
      </c>
      <c r="D54">
        <f>IF($B54="","",IF(C54="","",TEXT(C54,"MMM")))</f>
        <v/>
      </c>
      <c r="M54">
        <f>IF($B54="","",IF((J54+K54)=0,0,L54/(J54+K54)))</f>
        <v/>
      </c>
    </row>
    <row r="55">
      <c r="A55">
        <f>IF($B55="","",ROW()-5)</f>
        <v/>
      </c>
      <c r="D55">
        <f>IF($B55="","",IF(C55="","",TEXT(C55,"MMM")))</f>
        <v/>
      </c>
      <c r="M55">
        <f>IF($B55="","",IF((J55+K55)=0,0,L55/(J55+K55)))</f>
        <v/>
      </c>
    </row>
    <row r="56">
      <c r="A56">
        <f>IF($B56="","",ROW()-5)</f>
        <v/>
      </c>
      <c r="D56">
        <f>IF($B56="","",IF(C56="","",TEXT(C56,"MMM")))</f>
        <v/>
      </c>
      <c r="M56">
        <f>IF($B56="","",IF((J56+K56)=0,0,L56/(J56+K56)))</f>
        <v/>
      </c>
    </row>
    <row r="57">
      <c r="A57">
        <f>IF($B57="","",ROW()-5)</f>
        <v/>
      </c>
      <c r="D57">
        <f>IF($B57="","",IF(C57="","",TEXT(C57,"MMM")))</f>
        <v/>
      </c>
      <c r="M57">
        <f>IF($B57="","",IF((J57+K57)=0,0,L57/(J57+K57)))</f>
        <v/>
      </c>
    </row>
    <row r="58">
      <c r="A58">
        <f>IF($B58="","",ROW()-5)</f>
        <v/>
      </c>
      <c r="D58">
        <f>IF($B58="","",IF(C58="","",TEXT(C58,"MMM")))</f>
        <v/>
      </c>
      <c r="M58">
        <f>IF($B58="","",IF((J58+K58)=0,0,L58/(J58+K58)))</f>
        <v/>
      </c>
    </row>
    <row r="59">
      <c r="A59">
        <f>IF($B59="","",ROW()-5)</f>
        <v/>
      </c>
      <c r="D59">
        <f>IF($B59="","",IF(C59="","",TEXT(C59,"MMM")))</f>
        <v/>
      </c>
      <c r="M59">
        <f>IF($B59="","",IF((J59+K59)=0,0,L59/(J59+K59)))</f>
        <v/>
      </c>
    </row>
    <row r="60">
      <c r="A60">
        <f>IF($B60="","",ROW()-5)</f>
        <v/>
      </c>
      <c r="D60">
        <f>IF($B60="","",IF(C60="","",TEXT(C60,"MMM")))</f>
        <v/>
      </c>
      <c r="M60">
        <f>IF($B60="","",IF((J60+K60)=0,0,L60/(J60+K60)))</f>
        <v/>
      </c>
    </row>
    <row r="61">
      <c r="A61">
        <f>IF($B61="","",ROW()-5)</f>
        <v/>
      </c>
      <c r="D61">
        <f>IF($B61="","",IF(C61="","",TEXT(C61,"MMM")))</f>
        <v/>
      </c>
      <c r="M61">
        <f>IF($B61="","",IF((J61+K61)=0,0,L61/(J61+K61)))</f>
        <v/>
      </c>
    </row>
    <row r="62">
      <c r="A62">
        <f>IF($B62="","",ROW()-5)</f>
        <v/>
      </c>
      <c r="D62">
        <f>IF($B62="","",IF(C62="","",TEXT(C62,"MMM")))</f>
        <v/>
      </c>
      <c r="M62">
        <f>IF($B62="","",IF((J62+K62)=0,0,L62/(J62+K62)))</f>
        <v/>
      </c>
    </row>
    <row r="63">
      <c r="A63">
        <f>IF($B63="","",ROW()-5)</f>
        <v/>
      </c>
      <c r="D63">
        <f>IF($B63="","",IF(C63="","",TEXT(C63,"MMM")))</f>
        <v/>
      </c>
      <c r="M63">
        <f>IF($B63="","",IF((J63+K63)=0,0,L63/(J63+K63)))</f>
        <v/>
      </c>
    </row>
    <row r="64">
      <c r="A64">
        <f>IF($B64="","",ROW()-5)</f>
        <v/>
      </c>
      <c r="D64">
        <f>IF($B64="","",IF(C64="","",TEXT(C64,"MMM")))</f>
        <v/>
      </c>
      <c r="M64">
        <f>IF($B64="","",IF((J64+K64)=0,0,L64/(J64+K64)))</f>
        <v/>
      </c>
    </row>
    <row r="65">
      <c r="A65">
        <f>IF($B65="","",ROW()-5)</f>
        <v/>
      </c>
      <c r="D65">
        <f>IF($B65="","",IF(C65="","",TEXT(C65,"MMM")))</f>
        <v/>
      </c>
      <c r="M65">
        <f>IF($B65="","",IF((J65+K65)=0,0,L65/(J65+K65)))</f>
        <v/>
      </c>
    </row>
    <row r="66">
      <c r="A66">
        <f>IF($B66="","",ROW()-5)</f>
        <v/>
      </c>
      <c r="D66">
        <f>IF($B66="","",IF(C66="","",TEXT(C66,"MMM")))</f>
        <v/>
      </c>
      <c r="M66">
        <f>IF($B66="","",IF((J66+K66)=0,0,L66/(J66+K66)))</f>
        <v/>
      </c>
    </row>
    <row r="67">
      <c r="A67">
        <f>IF($B67="","",ROW()-5)</f>
        <v/>
      </c>
      <c r="D67">
        <f>IF($B67="","",IF(C67="","",TEXT(C67,"MMM")))</f>
        <v/>
      </c>
      <c r="M67">
        <f>IF($B67="","",IF((J67+K67)=0,0,L67/(J67+K67)))</f>
        <v/>
      </c>
    </row>
    <row r="68">
      <c r="A68">
        <f>IF($B68="","",ROW()-5)</f>
        <v/>
      </c>
      <c r="D68">
        <f>IF($B68="","",IF(C68="","",TEXT(C68,"MMM")))</f>
        <v/>
      </c>
      <c r="M68">
        <f>IF($B68="","",IF((J68+K68)=0,0,L68/(J68+K68)))</f>
        <v/>
      </c>
    </row>
    <row r="69">
      <c r="A69">
        <f>IF($B69="","",ROW()-5)</f>
        <v/>
      </c>
      <c r="D69">
        <f>IF($B69="","",IF(C69="","",TEXT(C69,"MMM")))</f>
        <v/>
      </c>
      <c r="M69">
        <f>IF($B69="","",IF((J69+K69)=0,0,L69/(J69+K69)))</f>
        <v/>
      </c>
    </row>
    <row r="70">
      <c r="A70">
        <f>IF($B70="","",ROW()-5)</f>
        <v/>
      </c>
      <c r="D70">
        <f>IF($B70="","",IF(C70="","",TEXT(C70,"MMM")))</f>
        <v/>
      </c>
      <c r="M70">
        <f>IF($B70="","",IF((J70+K70)=0,0,L70/(J70+K70)))</f>
        <v/>
      </c>
    </row>
    <row r="71">
      <c r="A71">
        <f>IF($B71="","",ROW()-5)</f>
        <v/>
      </c>
      <c r="D71">
        <f>IF($B71="","",IF(C71="","",TEXT(C71,"MMM")))</f>
        <v/>
      </c>
      <c r="M71">
        <f>IF($B71="","",IF((J71+K71)=0,0,L71/(J71+K71)))</f>
        <v/>
      </c>
    </row>
    <row r="72">
      <c r="A72">
        <f>IF($B72="","",ROW()-5)</f>
        <v/>
      </c>
      <c r="D72">
        <f>IF($B72="","",IF(C72="","",TEXT(C72,"MMM")))</f>
        <v/>
      </c>
      <c r="M72">
        <f>IF($B72="","",IF((J72+K72)=0,0,L72/(J72+K72)))</f>
        <v/>
      </c>
    </row>
    <row r="73">
      <c r="A73">
        <f>IF($B73="","",ROW()-5)</f>
        <v/>
      </c>
      <c r="D73">
        <f>IF($B73="","",IF(C73="","",TEXT(C73,"MMM")))</f>
        <v/>
      </c>
      <c r="M73">
        <f>IF($B73="","",IF((J73+K73)=0,0,L73/(J73+K73)))</f>
        <v/>
      </c>
    </row>
    <row r="74">
      <c r="A74">
        <f>IF($B74="","",ROW()-5)</f>
        <v/>
      </c>
      <c r="D74">
        <f>IF($B74="","",IF(C74="","",TEXT(C74,"MMM")))</f>
        <v/>
      </c>
      <c r="M74">
        <f>IF($B74="","",IF((J74+K74)=0,0,L74/(J74+K74)))</f>
        <v/>
      </c>
    </row>
    <row r="75">
      <c r="A75">
        <f>IF($B75="","",ROW()-5)</f>
        <v/>
      </c>
      <c r="D75">
        <f>IF($B75="","",IF(C75="","",TEXT(C75,"MMM")))</f>
        <v/>
      </c>
      <c r="M75">
        <f>IF($B75="","",IF((J75+K75)=0,0,L75/(J75+K75)))</f>
        <v/>
      </c>
    </row>
    <row r="76">
      <c r="A76">
        <f>IF($B76="","",ROW()-5)</f>
        <v/>
      </c>
      <c r="D76">
        <f>IF($B76="","",IF(C76="","",TEXT(C76,"MMM")))</f>
        <v/>
      </c>
      <c r="M76">
        <f>IF($B76="","",IF((J76+K76)=0,0,L76/(J76+K76)))</f>
        <v/>
      </c>
    </row>
    <row r="77">
      <c r="A77">
        <f>IF($B77="","",ROW()-5)</f>
        <v/>
      </c>
      <c r="D77">
        <f>IF($B77="","",IF(C77="","",TEXT(C77,"MMM")))</f>
        <v/>
      </c>
      <c r="M77">
        <f>IF($B77="","",IF((J77+K77)=0,0,L77/(J77+K77)))</f>
        <v/>
      </c>
    </row>
    <row r="78">
      <c r="A78">
        <f>IF($B78="","",ROW()-5)</f>
        <v/>
      </c>
      <c r="D78">
        <f>IF($B78="","",IF(C78="","",TEXT(C78,"MMM")))</f>
        <v/>
      </c>
      <c r="M78">
        <f>IF($B78="","",IF((J78+K78)=0,0,L78/(J78+K78)))</f>
        <v/>
      </c>
    </row>
    <row r="79">
      <c r="A79">
        <f>IF($B79="","",ROW()-5)</f>
        <v/>
      </c>
      <c r="D79">
        <f>IF($B79="","",IF(C79="","",TEXT(C79,"MMM")))</f>
        <v/>
      </c>
      <c r="M79">
        <f>IF($B79="","",IF((J79+K79)=0,0,L79/(J79+K79)))</f>
        <v/>
      </c>
    </row>
    <row r="80">
      <c r="A80">
        <f>IF($B80="","",ROW()-5)</f>
        <v/>
      </c>
      <c r="D80">
        <f>IF($B80="","",IF(C80="","",TEXT(C80,"MMM")))</f>
        <v/>
      </c>
      <c r="M80">
        <f>IF($B80="","",IF((J80+K80)=0,0,L80/(J80+K80)))</f>
        <v/>
      </c>
    </row>
    <row r="81">
      <c r="A81">
        <f>IF($B81="","",ROW()-5)</f>
        <v/>
      </c>
      <c r="D81">
        <f>IF($B81="","",IF(C81="","",TEXT(C81,"MMM")))</f>
        <v/>
      </c>
      <c r="M81">
        <f>IF($B81="","",IF((J81+K81)=0,0,L81/(J81+K81)))</f>
        <v/>
      </c>
    </row>
    <row r="82">
      <c r="A82">
        <f>IF($B82="","",ROW()-5)</f>
        <v/>
      </c>
      <c r="D82">
        <f>IF($B82="","",IF(C82="","",TEXT(C82,"MMM")))</f>
        <v/>
      </c>
      <c r="M82">
        <f>IF($B82="","",IF((J82+K82)=0,0,L82/(J82+K82)))</f>
        <v/>
      </c>
    </row>
    <row r="83">
      <c r="A83">
        <f>IF($B83="","",ROW()-5)</f>
        <v/>
      </c>
      <c r="D83">
        <f>IF($B83="","",IF(C83="","",TEXT(C83,"MMM")))</f>
        <v/>
      </c>
      <c r="M83">
        <f>IF($B83="","",IF((J83+K83)=0,0,L83/(J83+K83)))</f>
        <v/>
      </c>
    </row>
    <row r="84">
      <c r="A84">
        <f>IF($B84="","",ROW()-5)</f>
        <v/>
      </c>
      <c r="D84">
        <f>IF($B84="","",IF(C84="","",TEXT(C84,"MMM")))</f>
        <v/>
      </c>
      <c r="M84">
        <f>IF($B84="","",IF((J84+K84)=0,0,L84/(J84+K84)))</f>
        <v/>
      </c>
    </row>
    <row r="85">
      <c r="A85">
        <f>IF($B85="","",ROW()-5)</f>
        <v/>
      </c>
      <c r="D85">
        <f>IF($B85="","",IF(C85="","",TEXT(C85,"MMM")))</f>
        <v/>
      </c>
      <c r="M85">
        <f>IF($B85="","",IF((J85+K85)=0,0,L85/(J85+K85)))</f>
        <v/>
      </c>
    </row>
    <row r="86">
      <c r="A86">
        <f>IF($B86="","",ROW()-5)</f>
        <v/>
      </c>
      <c r="D86">
        <f>IF($B86="","",IF(C86="","",TEXT(C86,"MMM")))</f>
        <v/>
      </c>
      <c r="M86">
        <f>IF($B86="","",IF((J86+K86)=0,0,L86/(J86+K86)))</f>
        <v/>
      </c>
    </row>
    <row r="87">
      <c r="A87">
        <f>IF($B87="","",ROW()-5)</f>
        <v/>
      </c>
      <c r="D87">
        <f>IF($B87="","",IF(C87="","",TEXT(C87,"MMM")))</f>
        <v/>
      </c>
      <c r="M87">
        <f>IF($B87="","",IF((J87+K87)=0,0,L87/(J87+K87)))</f>
        <v/>
      </c>
    </row>
    <row r="88">
      <c r="A88">
        <f>IF($B88="","",ROW()-5)</f>
        <v/>
      </c>
      <c r="D88">
        <f>IF($B88="","",IF(C88="","",TEXT(C88,"MMM")))</f>
        <v/>
      </c>
      <c r="M88">
        <f>IF($B88="","",IF((J88+K88)=0,0,L88/(J88+K88)))</f>
        <v/>
      </c>
    </row>
    <row r="89">
      <c r="A89">
        <f>IF($B89="","",ROW()-5)</f>
        <v/>
      </c>
      <c r="D89">
        <f>IF($B89="","",IF(C89="","",TEXT(C89,"MMM")))</f>
        <v/>
      </c>
      <c r="M89">
        <f>IF($B89="","",IF((J89+K89)=0,0,L89/(J89+K89)))</f>
        <v/>
      </c>
    </row>
    <row r="90">
      <c r="A90">
        <f>IF($B90="","",ROW()-5)</f>
        <v/>
      </c>
      <c r="D90">
        <f>IF($B90="","",IF(C90="","",TEXT(C90,"MMM")))</f>
        <v/>
      </c>
      <c r="M90">
        <f>IF($B90="","",IF((J90+K90)=0,0,L90/(J90+K90)))</f>
        <v/>
      </c>
    </row>
    <row r="91">
      <c r="A91">
        <f>IF($B91="","",ROW()-5)</f>
        <v/>
      </c>
      <c r="D91">
        <f>IF($B91="","",IF(C91="","",TEXT(C91,"MMM")))</f>
        <v/>
      </c>
      <c r="M91">
        <f>IF($B91="","",IF((J91+K91)=0,0,L91/(J91+K91)))</f>
        <v/>
      </c>
    </row>
    <row r="92">
      <c r="A92">
        <f>IF($B92="","",ROW()-5)</f>
        <v/>
      </c>
      <c r="D92">
        <f>IF($B92="","",IF(C92="","",TEXT(C92,"MMM")))</f>
        <v/>
      </c>
      <c r="M92">
        <f>IF($B92="","",IF((J92+K92)=0,0,L92/(J92+K92)))</f>
        <v/>
      </c>
    </row>
    <row r="93">
      <c r="A93">
        <f>IF($B93="","",ROW()-5)</f>
        <v/>
      </c>
      <c r="D93">
        <f>IF($B93="","",IF(C93="","",TEXT(C93,"MMM")))</f>
        <v/>
      </c>
      <c r="M93">
        <f>IF($B93="","",IF((J93+K93)=0,0,L93/(J93+K93)))</f>
        <v/>
      </c>
    </row>
    <row r="94">
      <c r="A94">
        <f>IF($B94="","",ROW()-5)</f>
        <v/>
      </c>
      <c r="D94">
        <f>IF($B94="","",IF(C94="","",TEXT(C94,"MMM")))</f>
        <v/>
      </c>
      <c r="M94">
        <f>IF($B94="","",IF((J94+K94)=0,0,L94/(J94+K94)))</f>
        <v/>
      </c>
    </row>
    <row r="95">
      <c r="A95">
        <f>IF($B95="","",ROW()-5)</f>
        <v/>
      </c>
      <c r="D95">
        <f>IF($B95="","",IF(C95="","",TEXT(C95,"MMM")))</f>
        <v/>
      </c>
      <c r="M95">
        <f>IF($B95="","",IF((J95+K95)=0,0,L95/(J95+K95)))</f>
        <v/>
      </c>
    </row>
    <row r="96">
      <c r="A96">
        <f>IF($B96="","",ROW()-5)</f>
        <v/>
      </c>
      <c r="D96">
        <f>IF($B96="","",IF(C96="","",TEXT(C96,"MMM")))</f>
        <v/>
      </c>
      <c r="M96">
        <f>IF($B96="","",IF((J96+K96)=0,0,L96/(J96+K96)))</f>
        <v/>
      </c>
    </row>
    <row r="97">
      <c r="A97">
        <f>IF($B97="","",ROW()-5)</f>
        <v/>
      </c>
      <c r="D97">
        <f>IF($B97="","",IF(C97="","",TEXT(C97,"MMM")))</f>
        <v/>
      </c>
      <c r="M97">
        <f>IF($B97="","",IF((J97+K97)=0,0,L97/(J97+K97)))</f>
        <v/>
      </c>
    </row>
    <row r="98">
      <c r="A98">
        <f>IF($B98="","",ROW()-5)</f>
        <v/>
      </c>
      <c r="D98">
        <f>IF($B98="","",IF(C98="","",TEXT(C98,"MMM")))</f>
        <v/>
      </c>
      <c r="M98">
        <f>IF($B98="","",IF((J98+K98)=0,0,L98/(J98+K98)))</f>
        <v/>
      </c>
    </row>
    <row r="99">
      <c r="A99">
        <f>IF($B99="","",ROW()-5)</f>
        <v/>
      </c>
      <c r="D99">
        <f>IF($B99="","",IF(C99="","",TEXT(C99,"MMM")))</f>
        <v/>
      </c>
      <c r="M99">
        <f>IF($B99="","",IF((J99+K99)=0,0,L99/(J99+K99)))</f>
        <v/>
      </c>
    </row>
    <row r="100">
      <c r="A100">
        <f>IF($B100="","",ROW()-5)</f>
        <v/>
      </c>
      <c r="D100">
        <f>IF($B100="","",IF(C100="","",TEXT(C100,"MMM")))</f>
        <v/>
      </c>
      <c r="M100">
        <f>IF($B100="","",IF((J100+K100)=0,0,L100/(J100+K100)))</f>
        <v/>
      </c>
    </row>
    <row r="101">
      <c r="A101">
        <f>IF($B101="","",ROW()-5)</f>
        <v/>
      </c>
      <c r="D101">
        <f>IF($B101="","",IF(C101="","",TEXT(C101,"MMM")))</f>
        <v/>
      </c>
      <c r="M101">
        <f>IF($B101="","",IF((J101+K101)=0,0,L101/(J101+K101)))</f>
        <v/>
      </c>
    </row>
    <row r="102">
      <c r="A102">
        <f>IF($B102="","",ROW()-5)</f>
        <v/>
      </c>
      <c r="D102">
        <f>IF($B102="","",IF(C102="","",TEXT(C102,"MMM")))</f>
        <v/>
      </c>
      <c r="M102">
        <f>IF($B102="","",IF((J102+K102)=0,0,L102/(J102+K102)))</f>
        <v/>
      </c>
    </row>
    <row r="103">
      <c r="A103">
        <f>IF($B103="","",ROW()-5)</f>
        <v/>
      </c>
      <c r="D103">
        <f>IF($B103="","",IF(C103="","",TEXT(C103,"MMM")))</f>
        <v/>
      </c>
      <c r="M103">
        <f>IF($B103="","",IF((J103+K103)=0,0,L103/(J103+K103)))</f>
        <v/>
      </c>
    </row>
    <row r="104">
      <c r="A104">
        <f>IF($B104="","",ROW()-5)</f>
        <v/>
      </c>
      <c r="D104">
        <f>IF($B104="","",IF(C104="","",TEXT(C104,"MMM")))</f>
        <v/>
      </c>
      <c r="M104">
        <f>IF($B104="","",IF((J104+K104)=0,0,L104/(J104+K104)))</f>
        <v/>
      </c>
    </row>
    <row r="105">
      <c r="A105">
        <f>IF($B105="","",ROW()-5)</f>
        <v/>
      </c>
      <c r="D105">
        <f>IF($B105="","",IF(C105="","",TEXT(C105,"MMM")))</f>
        <v/>
      </c>
      <c r="M105">
        <f>IF($B105="","",IF((J105+K105)=0,0,L105/(J105+K105)))</f>
        <v/>
      </c>
    </row>
    <row r="106">
      <c r="A106">
        <f>IF($B106="","",ROW()-5)</f>
        <v/>
      </c>
      <c r="D106">
        <f>IF($B106="","",IF(C106="","",TEXT(C106,"MMM")))</f>
        <v/>
      </c>
      <c r="M106">
        <f>IF($B106="","",IF((J106+K106)=0,0,L106/(J106+K106)))</f>
        <v/>
      </c>
    </row>
    <row r="107">
      <c r="A107">
        <f>IF($B107="","",ROW()-5)</f>
        <v/>
      </c>
      <c r="D107">
        <f>IF($B107="","",IF(C107="","",TEXT(C107,"MMM")))</f>
        <v/>
      </c>
      <c r="M107">
        <f>IF($B107="","",IF((J107+K107)=0,0,L107/(J107+K107)))</f>
        <v/>
      </c>
    </row>
    <row r="108">
      <c r="A108">
        <f>IF($B108="","",ROW()-5)</f>
        <v/>
      </c>
      <c r="D108">
        <f>IF($B108="","",IF(C108="","",TEXT(C108,"MMM")))</f>
        <v/>
      </c>
      <c r="M108">
        <f>IF($B108="","",IF((J108+K108)=0,0,L108/(J108+K108)))</f>
        <v/>
      </c>
    </row>
    <row r="109">
      <c r="A109">
        <f>IF($B109="","",ROW()-5)</f>
        <v/>
      </c>
      <c r="D109">
        <f>IF($B109="","",IF(C109="","",TEXT(C109,"MMM")))</f>
        <v/>
      </c>
      <c r="M109">
        <f>IF($B109="","",IF((J109+K109)=0,0,L109/(J109+K109)))</f>
        <v/>
      </c>
    </row>
    <row r="110">
      <c r="A110">
        <f>IF($B110="","",ROW()-5)</f>
        <v/>
      </c>
      <c r="D110">
        <f>IF($B110="","",IF(C110="","",TEXT(C110,"MMM")))</f>
        <v/>
      </c>
      <c r="M110">
        <f>IF($B110="","",IF((J110+K110)=0,0,L110/(J110+K110)))</f>
        <v/>
      </c>
    </row>
    <row r="111">
      <c r="A111">
        <f>IF($B111="","",ROW()-5)</f>
        <v/>
      </c>
      <c r="D111">
        <f>IF($B111="","",IF(C111="","",TEXT(C111,"MMM")))</f>
        <v/>
      </c>
      <c r="M111">
        <f>IF($B111="","",IF((J111+K111)=0,0,L111/(J111+K111)))</f>
        <v/>
      </c>
    </row>
    <row r="112">
      <c r="A112">
        <f>IF($B112="","",ROW()-5)</f>
        <v/>
      </c>
      <c r="D112">
        <f>IF($B112="","",IF(C112="","",TEXT(C112,"MMM")))</f>
        <v/>
      </c>
      <c r="M112">
        <f>IF($B112="","",IF((J112+K112)=0,0,L112/(J112+K112)))</f>
        <v/>
      </c>
    </row>
    <row r="113">
      <c r="A113">
        <f>IF($B113="","",ROW()-5)</f>
        <v/>
      </c>
      <c r="D113">
        <f>IF($B113="","",IF(C113="","",TEXT(C113,"MMM")))</f>
        <v/>
      </c>
      <c r="M113">
        <f>IF($B113="","",IF((J113+K113)=0,0,L113/(J113+K113)))</f>
        <v/>
      </c>
    </row>
    <row r="114">
      <c r="A114">
        <f>IF($B114="","",ROW()-5)</f>
        <v/>
      </c>
      <c r="D114">
        <f>IF($B114="","",IF(C114="","",TEXT(C114,"MMM")))</f>
        <v/>
      </c>
      <c r="M114">
        <f>IF($B114="","",IF((J114+K114)=0,0,L114/(J114+K114)))</f>
        <v/>
      </c>
    </row>
    <row r="115">
      <c r="A115">
        <f>IF($B115="","",ROW()-5)</f>
        <v/>
      </c>
      <c r="D115">
        <f>IF($B115="","",IF(C115="","",TEXT(C115,"MMM")))</f>
        <v/>
      </c>
      <c r="M115">
        <f>IF($B115="","",IF((J115+K115)=0,0,L115/(J115+K115)))</f>
        <v/>
      </c>
    </row>
    <row r="116">
      <c r="A116">
        <f>IF($B116="","",ROW()-5)</f>
        <v/>
      </c>
      <c r="D116">
        <f>IF($B116="","",IF(C116="","",TEXT(C116,"MMM")))</f>
        <v/>
      </c>
      <c r="M116">
        <f>IF($B116="","",IF((J116+K116)=0,0,L116/(J116+K116)))</f>
        <v/>
      </c>
    </row>
    <row r="117">
      <c r="A117">
        <f>IF($B117="","",ROW()-5)</f>
        <v/>
      </c>
      <c r="D117">
        <f>IF($B117="","",IF(C117="","",TEXT(C117,"MMM")))</f>
        <v/>
      </c>
      <c r="M117">
        <f>IF($B117="","",IF((J117+K117)=0,0,L117/(J117+K117)))</f>
        <v/>
      </c>
    </row>
    <row r="118">
      <c r="A118">
        <f>IF($B118="","",ROW()-5)</f>
        <v/>
      </c>
      <c r="D118">
        <f>IF($B118="","",IF(C118="","",TEXT(C118,"MMM")))</f>
        <v/>
      </c>
      <c r="M118">
        <f>IF($B118="","",IF((J118+K118)=0,0,L118/(J118+K118)))</f>
        <v/>
      </c>
    </row>
    <row r="119">
      <c r="A119">
        <f>IF($B119="","",ROW()-5)</f>
        <v/>
      </c>
      <c r="D119">
        <f>IF($B119="","",IF(C119="","",TEXT(C119,"MMM")))</f>
        <v/>
      </c>
      <c r="M119">
        <f>IF($B119="","",IF((J119+K119)=0,0,L119/(J119+K119)))</f>
        <v/>
      </c>
    </row>
    <row r="120">
      <c r="A120">
        <f>IF($B120="","",ROW()-5)</f>
        <v/>
      </c>
      <c r="D120">
        <f>IF($B120="","",IF(C120="","",TEXT(C120,"MMM")))</f>
        <v/>
      </c>
      <c r="M120">
        <f>IF($B120="","",IF((J120+K120)=0,0,L120/(J120+K120)))</f>
        <v/>
      </c>
    </row>
    <row r="121">
      <c r="A121">
        <f>IF($B121="","",ROW()-5)</f>
        <v/>
      </c>
      <c r="D121">
        <f>IF($B121="","",IF(C121="","",TEXT(C121,"MMM")))</f>
        <v/>
      </c>
      <c r="M121">
        <f>IF($B121="","",IF((J121+K121)=0,0,L121/(J121+K121)))</f>
        <v/>
      </c>
    </row>
    <row r="122">
      <c r="A122">
        <f>IF($B122="","",ROW()-5)</f>
        <v/>
      </c>
      <c r="D122">
        <f>IF($B122="","",IF(C122="","",TEXT(C122,"MMM")))</f>
        <v/>
      </c>
      <c r="M122">
        <f>IF($B122="","",IF((J122+K122)=0,0,L122/(J122+K122)))</f>
        <v/>
      </c>
    </row>
    <row r="123">
      <c r="A123">
        <f>IF($B123="","",ROW()-5)</f>
        <v/>
      </c>
      <c r="D123">
        <f>IF($B123="","",IF(C123="","",TEXT(C123,"MMM")))</f>
        <v/>
      </c>
      <c r="M123">
        <f>IF($B123="","",IF((J123+K123)=0,0,L123/(J123+K123)))</f>
        <v/>
      </c>
    </row>
    <row r="124">
      <c r="A124">
        <f>IF($B124="","",ROW()-5)</f>
        <v/>
      </c>
      <c r="D124">
        <f>IF($B124="","",IF(C124="","",TEXT(C124,"MMM")))</f>
        <v/>
      </c>
      <c r="M124">
        <f>IF($B124="","",IF((J124+K124)=0,0,L124/(J124+K124)))</f>
        <v/>
      </c>
    </row>
    <row r="125">
      <c r="A125">
        <f>IF($B125="","",ROW()-5)</f>
        <v/>
      </c>
      <c r="D125">
        <f>IF($B125="","",IF(C125="","",TEXT(C125,"MMM")))</f>
        <v/>
      </c>
      <c r="M125">
        <f>IF($B125="","",IF((J125+K125)=0,0,L125/(J125+K125)))</f>
        <v/>
      </c>
    </row>
    <row r="126">
      <c r="A126">
        <f>IF($B126="","",ROW()-5)</f>
        <v/>
      </c>
      <c r="D126">
        <f>IF($B126="","",IF(C126="","",TEXT(C126,"MMM")))</f>
        <v/>
      </c>
      <c r="M126">
        <f>IF($B126="","",IF((J126+K126)=0,0,L126/(J126+K126)))</f>
        <v/>
      </c>
    </row>
    <row r="127">
      <c r="A127">
        <f>IF($B127="","",ROW()-5)</f>
        <v/>
      </c>
      <c r="D127">
        <f>IF($B127="","",IF(C127="","",TEXT(C127,"MMM")))</f>
        <v/>
      </c>
      <c r="M127">
        <f>IF($B127="","",IF((J127+K127)=0,0,L127/(J127+K127)))</f>
        <v/>
      </c>
    </row>
    <row r="128">
      <c r="A128">
        <f>IF($B128="","",ROW()-5)</f>
        <v/>
      </c>
      <c r="D128">
        <f>IF($B128="","",IF(C128="","",TEXT(C128,"MMM")))</f>
        <v/>
      </c>
      <c r="M128">
        <f>IF($B128="","",IF((J128+K128)=0,0,L128/(J128+K128)))</f>
        <v/>
      </c>
    </row>
    <row r="129">
      <c r="A129">
        <f>IF($B129="","",ROW()-5)</f>
        <v/>
      </c>
      <c r="D129">
        <f>IF($B129="","",IF(C129="","",TEXT(C129,"MMM")))</f>
        <v/>
      </c>
      <c r="M129">
        <f>IF($B129="","",IF((J129+K129)=0,0,L129/(J129+K129)))</f>
        <v/>
      </c>
    </row>
    <row r="130">
      <c r="A130">
        <f>IF($B130="","",ROW()-5)</f>
        <v/>
      </c>
      <c r="D130">
        <f>IF($B130="","",IF(C130="","",TEXT(C130,"MMM")))</f>
        <v/>
      </c>
      <c r="M130">
        <f>IF($B130="","",IF((J130+K130)=0,0,L130/(J130+K130)))</f>
        <v/>
      </c>
    </row>
    <row r="131">
      <c r="A131">
        <f>IF($B131="","",ROW()-5)</f>
        <v/>
      </c>
      <c r="D131">
        <f>IF($B131="","",IF(C131="","",TEXT(C131,"MMM")))</f>
        <v/>
      </c>
      <c r="M131">
        <f>IF($B131="","",IF((J131+K131)=0,0,L131/(J131+K131)))</f>
        <v/>
      </c>
    </row>
    <row r="132">
      <c r="A132">
        <f>IF($B132="","",ROW()-5)</f>
        <v/>
      </c>
      <c r="D132">
        <f>IF($B132="","",IF(C132="","",TEXT(C132,"MMM")))</f>
        <v/>
      </c>
      <c r="M132">
        <f>IF($B132="","",IF((J132+K132)=0,0,L132/(J132+K132)))</f>
        <v/>
      </c>
    </row>
    <row r="133">
      <c r="A133">
        <f>IF($B133="","",ROW()-5)</f>
        <v/>
      </c>
      <c r="D133">
        <f>IF($B133="","",IF(C133="","",TEXT(C133,"MMM")))</f>
        <v/>
      </c>
      <c r="M133">
        <f>IF($B133="","",IF((J133+K133)=0,0,L133/(J133+K133)))</f>
        <v/>
      </c>
    </row>
    <row r="134">
      <c r="A134">
        <f>IF($B134="","",ROW()-5)</f>
        <v/>
      </c>
      <c r="D134">
        <f>IF($B134="","",IF(C134="","",TEXT(C134,"MMM")))</f>
        <v/>
      </c>
      <c r="M134">
        <f>IF($B134="","",IF((J134+K134)=0,0,L134/(J134+K134)))</f>
        <v/>
      </c>
    </row>
    <row r="135">
      <c r="A135">
        <f>IF($B135="","",ROW()-5)</f>
        <v/>
      </c>
      <c r="D135">
        <f>IF($B135="","",IF(C135="","",TEXT(C135,"MMM")))</f>
        <v/>
      </c>
      <c r="M135">
        <f>IF($B135="","",IF((J135+K135)=0,0,L135/(J135+K135)))</f>
        <v/>
      </c>
    </row>
    <row r="136">
      <c r="A136">
        <f>IF($B136="","",ROW()-5)</f>
        <v/>
      </c>
      <c r="D136">
        <f>IF($B136="","",IF(C136="","",TEXT(C136,"MMM")))</f>
        <v/>
      </c>
      <c r="M136">
        <f>IF($B136="","",IF((J136+K136)=0,0,L136/(J136+K136)))</f>
        <v/>
      </c>
    </row>
    <row r="137">
      <c r="A137">
        <f>IF($B137="","",ROW()-5)</f>
        <v/>
      </c>
      <c r="D137">
        <f>IF($B137="","",IF(C137="","",TEXT(C137,"MMM")))</f>
        <v/>
      </c>
      <c r="M137">
        <f>IF($B137="","",IF((J137+K137)=0,0,L137/(J137+K137)))</f>
        <v/>
      </c>
    </row>
    <row r="138">
      <c r="A138">
        <f>IF($B138="","",ROW()-5)</f>
        <v/>
      </c>
      <c r="D138">
        <f>IF($B138="","",IF(C138="","",TEXT(C138,"MMM")))</f>
        <v/>
      </c>
      <c r="M138">
        <f>IF($B138="","",IF((J138+K138)=0,0,L138/(J138+K138)))</f>
        <v/>
      </c>
    </row>
    <row r="139">
      <c r="A139">
        <f>IF($B139="","",ROW()-5)</f>
        <v/>
      </c>
      <c r="D139">
        <f>IF($B139="","",IF(C139="","",TEXT(C139,"MMM")))</f>
        <v/>
      </c>
      <c r="M139">
        <f>IF($B139="","",IF((J139+K139)=0,0,L139/(J139+K139)))</f>
        <v/>
      </c>
    </row>
    <row r="140">
      <c r="A140">
        <f>IF($B140="","",ROW()-5)</f>
        <v/>
      </c>
      <c r="D140">
        <f>IF($B140="","",IF(C140="","",TEXT(C140,"MMM")))</f>
        <v/>
      </c>
      <c r="M140">
        <f>IF($B140="","",IF((J140+K140)=0,0,L140/(J140+K140)))</f>
        <v/>
      </c>
    </row>
    <row r="141">
      <c r="A141">
        <f>IF($B141="","",ROW()-5)</f>
        <v/>
      </c>
      <c r="D141">
        <f>IF($B141="","",IF(C141="","",TEXT(C141,"MMM")))</f>
        <v/>
      </c>
      <c r="M141">
        <f>IF($B141="","",IF((J141+K141)=0,0,L141/(J141+K141)))</f>
        <v/>
      </c>
    </row>
    <row r="142">
      <c r="A142">
        <f>IF($B142="","",ROW()-5)</f>
        <v/>
      </c>
      <c r="D142">
        <f>IF($B142="","",IF(C142="","",TEXT(C142,"MMM")))</f>
        <v/>
      </c>
      <c r="M142">
        <f>IF($B142="","",IF((J142+K142)=0,0,L142/(J142+K142)))</f>
        <v/>
      </c>
    </row>
    <row r="143">
      <c r="A143">
        <f>IF($B143="","",ROW()-5)</f>
        <v/>
      </c>
      <c r="D143">
        <f>IF($B143="","",IF(C143="","",TEXT(C143,"MMM")))</f>
        <v/>
      </c>
      <c r="M143">
        <f>IF($B143="","",IF((J143+K143)=0,0,L143/(J143+K143)))</f>
        <v/>
      </c>
    </row>
    <row r="144">
      <c r="A144">
        <f>IF($B144="","",ROW()-5)</f>
        <v/>
      </c>
      <c r="D144">
        <f>IF($B144="","",IF(C144="","",TEXT(C144,"MMM")))</f>
        <v/>
      </c>
      <c r="M144">
        <f>IF($B144="","",IF((J144+K144)=0,0,L144/(J144+K144)))</f>
        <v/>
      </c>
    </row>
    <row r="145">
      <c r="A145">
        <f>IF($B145="","",ROW()-5)</f>
        <v/>
      </c>
      <c r="D145">
        <f>IF($B145="","",IF(C145="","",TEXT(C145,"MMM")))</f>
        <v/>
      </c>
      <c r="M145">
        <f>IF($B145="","",IF((J145+K145)=0,0,L145/(J145+K145)))</f>
        <v/>
      </c>
    </row>
    <row r="146">
      <c r="A146">
        <f>IF($B146="","",ROW()-5)</f>
        <v/>
      </c>
      <c r="D146">
        <f>IF($B146="","",IF(C146="","",TEXT(C146,"MMM")))</f>
        <v/>
      </c>
      <c r="M146">
        <f>IF($B146="","",IF((J146+K146)=0,0,L146/(J146+K146)))</f>
        <v/>
      </c>
    </row>
    <row r="147">
      <c r="A147">
        <f>IF($B147="","",ROW()-5)</f>
        <v/>
      </c>
      <c r="D147">
        <f>IF($B147="","",IF(C147="","",TEXT(C147,"MMM")))</f>
        <v/>
      </c>
      <c r="M147">
        <f>IF($B147="","",IF((J147+K147)=0,0,L147/(J147+K147)))</f>
        <v/>
      </c>
    </row>
    <row r="148">
      <c r="A148">
        <f>IF($B148="","",ROW()-5)</f>
        <v/>
      </c>
      <c r="D148">
        <f>IF($B148="","",IF(C148="","",TEXT(C148,"MMM")))</f>
        <v/>
      </c>
      <c r="M148">
        <f>IF($B148="","",IF((J148+K148)=0,0,L148/(J148+K148)))</f>
        <v/>
      </c>
    </row>
    <row r="149">
      <c r="A149">
        <f>IF($B149="","",ROW()-5)</f>
        <v/>
      </c>
      <c r="D149">
        <f>IF($B149="","",IF(C149="","",TEXT(C149,"MMM")))</f>
        <v/>
      </c>
      <c r="M149">
        <f>IF($B149="","",IF((J149+K149)=0,0,L149/(J149+K149)))</f>
        <v/>
      </c>
    </row>
    <row r="150">
      <c r="A150">
        <f>IF($B150="","",ROW()-5)</f>
        <v/>
      </c>
      <c r="D150">
        <f>IF($B150="","",IF(C150="","",TEXT(C150,"MMM")))</f>
        <v/>
      </c>
      <c r="M150">
        <f>IF($B150="","",IF((J150+K150)=0,0,L150/(J150+K150)))</f>
        <v/>
      </c>
    </row>
    <row r="151">
      <c r="A151">
        <f>IF($B151="","",ROW()-5)</f>
        <v/>
      </c>
      <c r="D151">
        <f>IF($B151="","",IF(C151="","",TEXT(C151,"MMM")))</f>
        <v/>
      </c>
      <c r="M151">
        <f>IF($B151="","",IF((J151+K151)=0,0,L151/(J151+K151)))</f>
        <v/>
      </c>
    </row>
    <row r="152">
      <c r="A152">
        <f>IF($B152="","",ROW()-5)</f>
        <v/>
      </c>
      <c r="D152">
        <f>IF($B152="","",IF(C152="","",TEXT(C152,"MMM")))</f>
        <v/>
      </c>
      <c r="M152">
        <f>IF($B152="","",IF((J152+K152)=0,0,L152/(J152+K152)))</f>
        <v/>
      </c>
    </row>
    <row r="153">
      <c r="A153">
        <f>IF($B153="","",ROW()-5)</f>
        <v/>
      </c>
      <c r="D153">
        <f>IF($B153="","",IF(C153="","",TEXT(C153,"MMM")))</f>
        <v/>
      </c>
      <c r="M153">
        <f>IF($B153="","",IF((J153+K153)=0,0,L153/(J153+K153)))</f>
        <v/>
      </c>
    </row>
    <row r="154">
      <c r="A154">
        <f>IF($B154="","",ROW()-5)</f>
        <v/>
      </c>
      <c r="D154">
        <f>IF($B154="","",IF(C154="","",TEXT(C154,"MMM")))</f>
        <v/>
      </c>
      <c r="M154">
        <f>IF($B154="","",IF((J154+K154)=0,0,L154/(J154+K154)))</f>
        <v/>
      </c>
    </row>
    <row r="155">
      <c r="A155">
        <f>IF($B155="","",ROW()-5)</f>
        <v/>
      </c>
      <c r="D155">
        <f>IF($B155="","",IF(C155="","",TEXT(C155,"MMM")))</f>
        <v/>
      </c>
      <c r="M155">
        <f>IF($B155="","",IF((J155+K155)=0,0,L155/(J155+K155)))</f>
        <v/>
      </c>
    </row>
    <row r="156">
      <c r="A156">
        <f>IF($B156="","",ROW()-5)</f>
        <v/>
      </c>
      <c r="D156">
        <f>IF($B156="","",IF(C156="","",TEXT(C156,"MMM")))</f>
        <v/>
      </c>
      <c r="M156">
        <f>IF($B156="","",IF((J156+K156)=0,0,L156/(J156+K156)))</f>
        <v/>
      </c>
    </row>
    <row r="157">
      <c r="A157">
        <f>IF($B157="","",ROW()-5)</f>
        <v/>
      </c>
      <c r="D157">
        <f>IF($B157="","",IF(C157="","",TEXT(C157,"MMM")))</f>
        <v/>
      </c>
      <c r="M157">
        <f>IF($B157="","",IF((J157+K157)=0,0,L157/(J157+K157)))</f>
        <v/>
      </c>
    </row>
    <row r="158">
      <c r="A158">
        <f>IF($B158="","",ROW()-5)</f>
        <v/>
      </c>
      <c r="D158">
        <f>IF($B158="","",IF(C158="","",TEXT(C158,"MMM")))</f>
        <v/>
      </c>
      <c r="M158">
        <f>IF($B158="","",IF((J158+K158)=0,0,L158/(J158+K158)))</f>
        <v/>
      </c>
    </row>
    <row r="159">
      <c r="A159">
        <f>IF($B159="","",ROW()-5)</f>
        <v/>
      </c>
      <c r="D159">
        <f>IF($B159="","",IF(C159="","",TEXT(C159,"MMM")))</f>
        <v/>
      </c>
      <c r="M159">
        <f>IF($B159="","",IF((J159+K159)=0,0,L159/(J159+K159)))</f>
        <v/>
      </c>
    </row>
    <row r="160">
      <c r="A160">
        <f>IF($B160="","",ROW()-5)</f>
        <v/>
      </c>
      <c r="D160">
        <f>IF($B160="","",IF(C160="","",TEXT(C160,"MMM")))</f>
        <v/>
      </c>
      <c r="M160">
        <f>IF($B160="","",IF((J160+K160)=0,0,L160/(J160+K160)))</f>
        <v/>
      </c>
    </row>
    <row r="161">
      <c r="A161">
        <f>IF($B161="","",ROW()-5)</f>
        <v/>
      </c>
      <c r="D161">
        <f>IF($B161="","",IF(C161="","",TEXT(C161,"MMM")))</f>
        <v/>
      </c>
      <c r="M161">
        <f>IF($B161="","",IF((J161+K161)=0,0,L161/(J161+K161)))</f>
        <v/>
      </c>
    </row>
    <row r="162">
      <c r="A162">
        <f>IF($B162="","",ROW()-5)</f>
        <v/>
      </c>
      <c r="D162">
        <f>IF($B162="","",IF(C162="","",TEXT(C162,"MMM")))</f>
        <v/>
      </c>
      <c r="M162">
        <f>IF($B162="","",IF((J162+K162)=0,0,L162/(J162+K162)))</f>
        <v/>
      </c>
    </row>
    <row r="163">
      <c r="A163">
        <f>IF($B163="","",ROW()-5)</f>
        <v/>
      </c>
      <c r="D163">
        <f>IF($B163="","",IF(C163="","",TEXT(C163,"MMM")))</f>
        <v/>
      </c>
      <c r="M163">
        <f>IF($B163="","",IF((J163+K163)=0,0,L163/(J163+K163)))</f>
        <v/>
      </c>
    </row>
    <row r="164">
      <c r="A164">
        <f>IF($B164="","",ROW()-5)</f>
        <v/>
      </c>
      <c r="D164">
        <f>IF($B164="","",IF(C164="","",TEXT(C164,"MMM")))</f>
        <v/>
      </c>
      <c r="M164">
        <f>IF($B164="","",IF((J164+K164)=0,0,L164/(J164+K164)))</f>
        <v/>
      </c>
    </row>
    <row r="165">
      <c r="A165">
        <f>IF($B165="","",ROW()-5)</f>
        <v/>
      </c>
      <c r="D165">
        <f>IF($B165="","",IF(C165="","",TEXT(C165,"MMM")))</f>
        <v/>
      </c>
      <c r="M165">
        <f>IF($B165="","",IF((J165+K165)=0,0,L165/(J165+K165)))</f>
        <v/>
      </c>
    </row>
    <row r="166">
      <c r="A166">
        <f>IF($B166="","",ROW()-5)</f>
        <v/>
      </c>
      <c r="D166">
        <f>IF($B166="","",IF(C166="","",TEXT(C166,"MMM")))</f>
        <v/>
      </c>
      <c r="M166">
        <f>IF($B166="","",IF((J166+K166)=0,0,L166/(J166+K166)))</f>
        <v/>
      </c>
    </row>
    <row r="167">
      <c r="A167">
        <f>IF($B167="","",ROW()-5)</f>
        <v/>
      </c>
      <c r="D167">
        <f>IF($B167="","",IF(C167="","",TEXT(C167,"MMM")))</f>
        <v/>
      </c>
      <c r="M167">
        <f>IF($B167="","",IF((J167+K167)=0,0,L167/(J167+K167)))</f>
        <v/>
      </c>
    </row>
    <row r="168">
      <c r="A168">
        <f>IF($B168="","",ROW()-5)</f>
        <v/>
      </c>
      <c r="D168">
        <f>IF($B168="","",IF(C168="","",TEXT(C168,"MMM")))</f>
        <v/>
      </c>
      <c r="M168">
        <f>IF($B168="","",IF((J168+K168)=0,0,L168/(J168+K168)))</f>
        <v/>
      </c>
    </row>
    <row r="169">
      <c r="A169">
        <f>IF($B169="","",ROW()-5)</f>
        <v/>
      </c>
      <c r="D169">
        <f>IF($B169="","",IF(C169="","",TEXT(C169,"MMM")))</f>
        <v/>
      </c>
      <c r="M169">
        <f>IF($B169="","",IF((J169+K169)=0,0,L169/(J169+K169)))</f>
        <v/>
      </c>
    </row>
    <row r="170">
      <c r="A170">
        <f>IF($B170="","",ROW()-5)</f>
        <v/>
      </c>
      <c r="D170">
        <f>IF($B170="","",IF(C170="","",TEXT(C170,"MMM")))</f>
        <v/>
      </c>
      <c r="M170">
        <f>IF($B170="","",IF((J170+K170)=0,0,L170/(J170+K170)))</f>
        <v/>
      </c>
    </row>
    <row r="171">
      <c r="A171">
        <f>IF($B171="","",ROW()-5)</f>
        <v/>
      </c>
      <c r="D171">
        <f>IF($B171="","",IF(C171="","",TEXT(C171,"MMM")))</f>
        <v/>
      </c>
      <c r="M171">
        <f>IF($B171="","",IF((J171+K171)=0,0,L171/(J171+K171)))</f>
        <v/>
      </c>
    </row>
    <row r="172">
      <c r="A172">
        <f>IF($B172="","",ROW()-5)</f>
        <v/>
      </c>
      <c r="D172">
        <f>IF($B172="","",IF(C172="","",TEXT(C172,"MMM")))</f>
        <v/>
      </c>
      <c r="M172">
        <f>IF($B172="","",IF((J172+K172)=0,0,L172/(J172+K172)))</f>
        <v/>
      </c>
    </row>
    <row r="173">
      <c r="A173">
        <f>IF($B173="","",ROW()-5)</f>
        <v/>
      </c>
      <c r="D173">
        <f>IF($B173="","",IF(C173="","",TEXT(C173,"MMM")))</f>
        <v/>
      </c>
      <c r="M173">
        <f>IF($B173="","",IF((J173+K173)=0,0,L173/(J173+K173)))</f>
        <v/>
      </c>
    </row>
    <row r="174">
      <c r="A174">
        <f>IF($B174="","",ROW()-5)</f>
        <v/>
      </c>
      <c r="D174">
        <f>IF($B174="","",IF(C174="","",TEXT(C174,"MMM")))</f>
        <v/>
      </c>
      <c r="M174">
        <f>IF($B174="","",IF((J174+K174)=0,0,L174/(J174+K174)))</f>
        <v/>
      </c>
    </row>
    <row r="175">
      <c r="A175">
        <f>IF($B175="","",ROW()-5)</f>
        <v/>
      </c>
      <c r="D175">
        <f>IF($B175="","",IF(C175="","",TEXT(C175,"MMM")))</f>
        <v/>
      </c>
      <c r="M175">
        <f>IF($B175="","",IF((J175+K175)=0,0,L175/(J175+K175)))</f>
        <v/>
      </c>
    </row>
    <row r="176">
      <c r="A176">
        <f>IF($B176="","",ROW()-5)</f>
        <v/>
      </c>
      <c r="D176">
        <f>IF($B176="","",IF(C176="","",TEXT(C176,"MMM")))</f>
        <v/>
      </c>
      <c r="M176">
        <f>IF($B176="","",IF((J176+K176)=0,0,L176/(J176+K176)))</f>
        <v/>
      </c>
    </row>
    <row r="177">
      <c r="A177">
        <f>IF($B177="","",ROW()-5)</f>
        <v/>
      </c>
      <c r="D177">
        <f>IF($B177="","",IF(C177="","",TEXT(C177,"MMM")))</f>
        <v/>
      </c>
      <c r="M177">
        <f>IF($B177="","",IF((J177+K177)=0,0,L177/(J177+K177)))</f>
        <v/>
      </c>
    </row>
    <row r="178">
      <c r="A178">
        <f>IF($B178="","",ROW()-5)</f>
        <v/>
      </c>
      <c r="D178">
        <f>IF($B178="","",IF(C178="","",TEXT(C178,"MMM")))</f>
        <v/>
      </c>
      <c r="M178">
        <f>IF($B178="","",IF((J178+K178)=0,0,L178/(J178+K178)))</f>
        <v/>
      </c>
    </row>
    <row r="179">
      <c r="A179">
        <f>IF($B179="","",ROW()-5)</f>
        <v/>
      </c>
      <c r="D179">
        <f>IF($B179="","",IF(C179="","",TEXT(C179,"MMM")))</f>
        <v/>
      </c>
      <c r="M179">
        <f>IF($B179="","",IF((J179+K179)=0,0,L179/(J179+K179)))</f>
        <v/>
      </c>
    </row>
    <row r="180">
      <c r="A180">
        <f>IF($B180="","",ROW()-5)</f>
        <v/>
      </c>
      <c r="D180">
        <f>IF($B180="","",IF(C180="","",TEXT(C180,"MMM")))</f>
        <v/>
      </c>
      <c r="M180">
        <f>IF($B180="","",IF((J180+K180)=0,0,L180/(J180+K180)))</f>
        <v/>
      </c>
    </row>
    <row r="181">
      <c r="A181">
        <f>IF($B181="","",ROW()-5)</f>
        <v/>
      </c>
      <c r="D181">
        <f>IF($B181="","",IF(C181="","",TEXT(C181,"MMM")))</f>
        <v/>
      </c>
      <c r="M181">
        <f>IF($B181="","",IF((J181+K181)=0,0,L181/(J181+K181)))</f>
        <v/>
      </c>
    </row>
    <row r="182">
      <c r="A182">
        <f>IF($B182="","",ROW()-5)</f>
        <v/>
      </c>
      <c r="D182">
        <f>IF($B182="","",IF(C182="","",TEXT(C182,"MMM")))</f>
        <v/>
      </c>
      <c r="M182">
        <f>IF($B182="","",IF((J182+K182)=0,0,L182/(J182+K182)))</f>
        <v/>
      </c>
    </row>
    <row r="183">
      <c r="A183">
        <f>IF($B183="","",ROW()-5)</f>
        <v/>
      </c>
      <c r="D183">
        <f>IF($B183="","",IF(C183="","",TEXT(C183,"MMM")))</f>
        <v/>
      </c>
      <c r="M183">
        <f>IF($B183="","",IF((J183+K183)=0,0,L183/(J183+K183)))</f>
        <v/>
      </c>
    </row>
    <row r="184">
      <c r="A184">
        <f>IF($B184="","",ROW()-5)</f>
        <v/>
      </c>
      <c r="D184">
        <f>IF($B184="","",IF(C184="","",TEXT(C184,"MMM")))</f>
        <v/>
      </c>
      <c r="M184">
        <f>IF($B184="","",IF((J184+K184)=0,0,L184/(J184+K184)))</f>
        <v/>
      </c>
    </row>
    <row r="185">
      <c r="A185">
        <f>IF($B185="","",ROW()-5)</f>
        <v/>
      </c>
      <c r="D185">
        <f>IF($B185="","",IF(C185="","",TEXT(C185,"MMM")))</f>
        <v/>
      </c>
      <c r="M185">
        <f>IF($B185="","",IF((J185+K185)=0,0,L185/(J185+K185)))</f>
        <v/>
      </c>
    </row>
    <row r="186">
      <c r="A186">
        <f>IF($B186="","",ROW()-5)</f>
        <v/>
      </c>
      <c r="D186">
        <f>IF($B186="","",IF(C186="","",TEXT(C186,"MMM")))</f>
        <v/>
      </c>
      <c r="M186">
        <f>IF($B186="","",IF((J186+K186)=0,0,L186/(J186+K186)))</f>
        <v/>
      </c>
    </row>
    <row r="187">
      <c r="A187">
        <f>IF($B187="","",ROW()-5)</f>
        <v/>
      </c>
      <c r="D187">
        <f>IF($B187="","",IF(C187="","",TEXT(C187,"MMM")))</f>
        <v/>
      </c>
      <c r="M187">
        <f>IF($B187="","",IF((J187+K187)=0,0,L187/(J187+K187)))</f>
        <v/>
      </c>
    </row>
    <row r="188">
      <c r="A188">
        <f>IF($B188="","",ROW()-5)</f>
        <v/>
      </c>
      <c r="D188">
        <f>IF($B188="","",IF(C188="","",TEXT(C188,"MMM")))</f>
        <v/>
      </c>
      <c r="M188">
        <f>IF($B188="","",IF((J188+K188)=0,0,L188/(J188+K188)))</f>
        <v/>
      </c>
    </row>
    <row r="189">
      <c r="A189">
        <f>IF($B189="","",ROW()-5)</f>
        <v/>
      </c>
      <c r="D189">
        <f>IF($B189="","",IF(C189="","",TEXT(C189,"MMM")))</f>
        <v/>
      </c>
      <c r="M189">
        <f>IF($B189="","",IF((J189+K189)=0,0,L189/(J189+K189)))</f>
        <v/>
      </c>
    </row>
    <row r="190">
      <c r="A190">
        <f>IF($B190="","",ROW()-5)</f>
        <v/>
      </c>
      <c r="D190">
        <f>IF($B190="","",IF(C190="","",TEXT(C190,"MMM")))</f>
        <v/>
      </c>
      <c r="M190">
        <f>IF($B190="","",IF((J190+K190)=0,0,L190/(J190+K190)))</f>
        <v/>
      </c>
    </row>
    <row r="191">
      <c r="A191">
        <f>IF($B191="","",ROW()-5)</f>
        <v/>
      </c>
      <c r="D191">
        <f>IF($B191="","",IF(C191="","",TEXT(C191,"MMM")))</f>
        <v/>
      </c>
      <c r="M191">
        <f>IF($B191="","",IF((J191+K191)=0,0,L191/(J191+K191)))</f>
        <v/>
      </c>
    </row>
    <row r="192">
      <c r="A192">
        <f>IF($B192="","",ROW()-5)</f>
        <v/>
      </c>
      <c r="D192">
        <f>IF($B192="","",IF(C192="","",TEXT(C192,"MMM")))</f>
        <v/>
      </c>
      <c r="M192">
        <f>IF($B192="","",IF((J192+K192)=0,0,L192/(J192+K192)))</f>
        <v/>
      </c>
    </row>
    <row r="193">
      <c r="A193">
        <f>IF($B193="","",ROW()-5)</f>
        <v/>
      </c>
      <c r="D193">
        <f>IF($B193="","",IF(C193="","",TEXT(C193,"MMM")))</f>
        <v/>
      </c>
      <c r="M193">
        <f>IF($B193="","",IF((J193+K193)=0,0,L193/(J193+K193)))</f>
        <v/>
      </c>
    </row>
    <row r="194">
      <c r="A194">
        <f>IF($B194="","",ROW()-5)</f>
        <v/>
      </c>
      <c r="D194">
        <f>IF($B194="","",IF(C194="","",TEXT(C194,"MMM")))</f>
        <v/>
      </c>
      <c r="M194">
        <f>IF($B194="","",IF((J194+K194)=0,0,L194/(J194+K194)))</f>
        <v/>
      </c>
    </row>
    <row r="195">
      <c r="A195">
        <f>IF($B195="","",ROW()-5)</f>
        <v/>
      </c>
      <c r="D195">
        <f>IF($B195="","",IF(C195="","",TEXT(C195,"MMM")))</f>
        <v/>
      </c>
      <c r="M195">
        <f>IF($B195="","",IF((J195+K195)=0,0,L195/(J195+K195)))</f>
        <v/>
      </c>
    </row>
    <row r="196">
      <c r="A196">
        <f>IF($B196="","",ROW()-5)</f>
        <v/>
      </c>
      <c r="D196">
        <f>IF($B196="","",IF(C196="","",TEXT(C196,"MMM")))</f>
        <v/>
      </c>
      <c r="M196">
        <f>IF($B196="","",IF((J196+K196)=0,0,L196/(J196+K196)))</f>
        <v/>
      </c>
    </row>
    <row r="197">
      <c r="A197">
        <f>IF($B197="","",ROW()-5)</f>
        <v/>
      </c>
      <c r="D197">
        <f>IF($B197="","",IF(C197="","",TEXT(C197,"MMM")))</f>
        <v/>
      </c>
      <c r="M197">
        <f>IF($B197="","",IF((J197+K197)=0,0,L197/(J197+K197)))</f>
        <v/>
      </c>
    </row>
    <row r="198">
      <c r="A198">
        <f>IF($B198="","",ROW()-5)</f>
        <v/>
      </c>
      <c r="D198">
        <f>IF($B198="","",IF(C198="","",TEXT(C198,"MMM")))</f>
        <v/>
      </c>
      <c r="M198">
        <f>IF($B198="","",IF((J198+K198)=0,0,L198/(J198+K198)))</f>
        <v/>
      </c>
    </row>
    <row r="199">
      <c r="A199">
        <f>IF($B199="","",ROW()-5)</f>
        <v/>
      </c>
      <c r="D199">
        <f>IF($B199="","",IF(C199="","",TEXT(C199,"MMM")))</f>
        <v/>
      </c>
      <c r="M199">
        <f>IF($B199="","",IF((J199+K199)=0,0,L199/(J199+K199)))</f>
        <v/>
      </c>
    </row>
    <row r="200">
      <c r="A200">
        <f>IF($B200="","",ROW()-5)</f>
        <v/>
      </c>
      <c r="D200">
        <f>IF($B200="","",IF(C200="","",TEXT(C200,"MMM")))</f>
        <v/>
      </c>
      <c r="M200">
        <f>IF($B200="","",IF((J200+K200)=0,0,L200/(J200+K200)))</f>
        <v/>
      </c>
    </row>
    <row r="201">
      <c r="A201">
        <f>IF($B201="","",ROW()-5)</f>
        <v/>
      </c>
      <c r="D201">
        <f>IF($B201="","",IF(C201="","",TEXT(C201,"MMM")))</f>
        <v/>
      </c>
      <c r="M201">
        <f>IF($B201="","",IF((J201+K201)=0,0,L201/(J201+K201)))</f>
        <v/>
      </c>
    </row>
    <row r="202">
      <c r="A202">
        <f>IF($B202="","",ROW()-5)</f>
        <v/>
      </c>
      <c r="D202">
        <f>IF($B202="","",IF(C202="","",TEXT(C202,"MMM")))</f>
        <v/>
      </c>
      <c r="M202">
        <f>IF($B202="","",IF((J202+K202)=0,0,L202/(J202+K202)))</f>
        <v/>
      </c>
    </row>
    <row r="203">
      <c r="A203">
        <f>IF($B203="","",ROW()-5)</f>
        <v/>
      </c>
      <c r="D203">
        <f>IF($B203="","",IF(C203="","",TEXT(C203,"MMM")))</f>
        <v/>
      </c>
      <c r="M203">
        <f>IF($B203="","",IF((J203+K203)=0,0,L203/(J203+K203)))</f>
        <v/>
      </c>
    </row>
    <row r="204">
      <c r="A204">
        <f>IF($B204="","",ROW()-5)</f>
        <v/>
      </c>
      <c r="D204">
        <f>IF($B204="","",IF(C204="","",TEXT(C204,"MMM")))</f>
        <v/>
      </c>
      <c r="M204">
        <f>IF($B204="","",IF((J204+K204)=0,0,L204/(J204+K204)))</f>
        <v/>
      </c>
    </row>
    <row r="205">
      <c r="A205">
        <f>IF($B205="","",ROW()-5)</f>
        <v/>
      </c>
      <c r="D205">
        <f>IF($B205="","",IF(C205="","",TEXT(C205,"MMM")))</f>
        <v/>
      </c>
      <c r="M205">
        <f>IF($B205="","",IF((J205+K205)=0,0,L205/(J205+K205)))</f>
        <v/>
      </c>
    </row>
    <row r="206">
      <c r="A206">
        <f>IF($B206="","",ROW()-5)</f>
        <v/>
      </c>
      <c r="D206">
        <f>IF($B206="","",IF(C206="","",TEXT(C206,"MMM")))</f>
        <v/>
      </c>
      <c r="M206">
        <f>IF($B206="","",IF((J206+K206)=0,0,L206/(J206+K206)))</f>
        <v/>
      </c>
    </row>
    <row r="207">
      <c r="A207">
        <f>IF($B207="","",ROW()-5)</f>
        <v/>
      </c>
      <c r="D207">
        <f>IF($B207="","",IF(C207="","",TEXT(C207,"MMM")))</f>
        <v/>
      </c>
      <c r="M207">
        <f>IF($B207="","",IF((J207+K207)=0,0,L207/(J207+K207)))</f>
        <v/>
      </c>
    </row>
    <row r="208">
      <c r="A208">
        <f>IF($B208="","",ROW()-5)</f>
        <v/>
      </c>
      <c r="D208">
        <f>IF($B208="","",IF(C208="","",TEXT(C208,"MMM")))</f>
        <v/>
      </c>
      <c r="M208">
        <f>IF($B208="","",IF((J208+K208)=0,0,L208/(J208+K208)))</f>
        <v/>
      </c>
    </row>
    <row r="209">
      <c r="A209">
        <f>IF($B209="","",ROW()-5)</f>
        <v/>
      </c>
      <c r="D209">
        <f>IF($B209="","",IF(C209="","",TEXT(C209,"MMM")))</f>
        <v/>
      </c>
      <c r="M209">
        <f>IF($B209="","",IF((J209+K209)=0,0,L209/(J209+K209)))</f>
        <v/>
      </c>
    </row>
    <row r="210">
      <c r="A210">
        <f>IF($B210="","",ROW()-5)</f>
        <v/>
      </c>
      <c r="D210">
        <f>IF($B210="","",IF(C210="","",TEXT(C210,"MMM")))</f>
        <v/>
      </c>
      <c r="M210">
        <f>IF($B210="","",IF((J210+K210)=0,0,L210/(J210+K210)))</f>
        <v/>
      </c>
    </row>
    <row r="211">
      <c r="A211">
        <f>IF($B211="","",ROW()-5)</f>
        <v/>
      </c>
      <c r="D211">
        <f>IF($B211="","",IF(C211="","",TEXT(C211,"MMM")))</f>
        <v/>
      </c>
      <c r="M211">
        <f>IF($B211="","",IF((J211+K211)=0,0,L211/(J211+K211)))</f>
        <v/>
      </c>
    </row>
    <row r="212">
      <c r="A212">
        <f>IF($B212="","",ROW()-5)</f>
        <v/>
      </c>
      <c r="D212">
        <f>IF($B212="","",IF(C212="","",TEXT(C212,"MMM")))</f>
        <v/>
      </c>
      <c r="M212">
        <f>IF($B212="","",IF((J212+K212)=0,0,L212/(J212+K212)))</f>
        <v/>
      </c>
    </row>
    <row r="213">
      <c r="A213">
        <f>IF($B213="","",ROW()-5)</f>
        <v/>
      </c>
      <c r="D213">
        <f>IF($B213="","",IF(C213="","",TEXT(C213,"MMM")))</f>
        <v/>
      </c>
      <c r="M213">
        <f>IF($B213="","",IF((J213+K213)=0,0,L213/(J213+K213)))</f>
        <v/>
      </c>
    </row>
    <row r="214">
      <c r="A214">
        <f>IF($B214="","",ROW()-5)</f>
        <v/>
      </c>
      <c r="D214">
        <f>IF($B214="","",IF(C214="","",TEXT(C214,"MMM")))</f>
        <v/>
      </c>
      <c r="M214">
        <f>IF($B214="","",IF((J214+K214)=0,0,L214/(J214+K214)))</f>
        <v/>
      </c>
    </row>
    <row r="215">
      <c r="A215">
        <f>IF($B215="","",ROW()-5)</f>
        <v/>
      </c>
      <c r="D215">
        <f>IF($B215="","",IF(C215="","",TEXT(C215,"MMM")))</f>
        <v/>
      </c>
      <c r="M215">
        <f>IF($B215="","",IF((J215+K215)=0,0,L215/(J215+K215)))</f>
        <v/>
      </c>
    </row>
    <row r="216">
      <c r="A216">
        <f>IF($B216="","",ROW()-5)</f>
        <v/>
      </c>
      <c r="D216">
        <f>IF($B216="","",IF(C216="","",TEXT(C216,"MMM")))</f>
        <v/>
      </c>
      <c r="M216">
        <f>IF($B216="","",IF((J216+K216)=0,0,L216/(J216+K216)))</f>
        <v/>
      </c>
    </row>
    <row r="217">
      <c r="A217">
        <f>IF($B217="","",ROW()-5)</f>
        <v/>
      </c>
      <c r="D217">
        <f>IF($B217="","",IF(C217="","",TEXT(C217,"MMM")))</f>
        <v/>
      </c>
      <c r="M217">
        <f>IF($B217="","",IF((J217+K217)=0,0,L217/(J217+K217)))</f>
        <v/>
      </c>
    </row>
    <row r="218">
      <c r="A218">
        <f>IF($B218="","",ROW()-5)</f>
        <v/>
      </c>
      <c r="D218">
        <f>IF($B218="","",IF(C218="","",TEXT(C218,"MMM")))</f>
        <v/>
      </c>
      <c r="M218">
        <f>IF($B218="","",IF((J218+K218)=0,0,L218/(J218+K218)))</f>
        <v/>
      </c>
    </row>
    <row r="219">
      <c r="A219">
        <f>IF($B219="","",ROW()-5)</f>
        <v/>
      </c>
      <c r="D219">
        <f>IF($B219="","",IF(C219="","",TEXT(C219,"MMM")))</f>
        <v/>
      </c>
      <c r="M219">
        <f>IF($B219="","",IF((J219+K219)=0,0,L219/(J219+K219)))</f>
        <v/>
      </c>
    </row>
    <row r="220">
      <c r="A220">
        <f>IF($B220="","",ROW()-5)</f>
        <v/>
      </c>
      <c r="D220">
        <f>IF($B220="","",IF(C220="","",TEXT(C220,"MMM")))</f>
        <v/>
      </c>
      <c r="M220">
        <f>IF($B220="","",IF((J220+K220)=0,0,L220/(J220+K220)))</f>
        <v/>
      </c>
    </row>
    <row r="221">
      <c r="A221">
        <f>IF($B221="","",ROW()-5)</f>
        <v/>
      </c>
      <c r="D221">
        <f>IF($B221="","",IF(C221="","",TEXT(C221,"MMM")))</f>
        <v/>
      </c>
      <c r="M221">
        <f>IF($B221="","",IF((J221+K221)=0,0,L221/(J221+K221)))</f>
        <v/>
      </c>
    </row>
    <row r="222">
      <c r="A222">
        <f>IF($B222="","",ROW()-5)</f>
        <v/>
      </c>
      <c r="D222">
        <f>IF($B222="","",IF(C222="","",TEXT(C222,"MMM")))</f>
        <v/>
      </c>
      <c r="M222">
        <f>IF($B222="","",IF((J222+K222)=0,0,L222/(J222+K222)))</f>
        <v/>
      </c>
    </row>
    <row r="223">
      <c r="A223">
        <f>IF($B223="","",ROW()-5)</f>
        <v/>
      </c>
      <c r="D223">
        <f>IF($B223="","",IF(C223="","",TEXT(C223,"MMM")))</f>
        <v/>
      </c>
      <c r="M223">
        <f>IF($B223="","",IF((J223+K223)=0,0,L223/(J223+K223)))</f>
        <v/>
      </c>
    </row>
    <row r="224">
      <c r="A224">
        <f>IF($B224="","",ROW()-5)</f>
        <v/>
      </c>
      <c r="D224">
        <f>IF($B224="","",IF(C224="","",TEXT(C224,"MMM")))</f>
        <v/>
      </c>
      <c r="M224">
        <f>IF($B224="","",IF((J224+K224)=0,0,L224/(J224+K224)))</f>
        <v/>
      </c>
    </row>
    <row r="225">
      <c r="A225">
        <f>IF($B225="","",ROW()-5)</f>
        <v/>
      </c>
      <c r="D225">
        <f>IF($B225="","",IF(C225="","",TEXT(C225,"MMM")))</f>
        <v/>
      </c>
      <c r="M225">
        <f>IF($B225="","",IF((J225+K225)=0,0,L225/(J225+K225)))</f>
        <v/>
      </c>
    </row>
    <row r="226">
      <c r="A226">
        <f>IF($B226="","",ROW()-5)</f>
        <v/>
      </c>
      <c r="D226">
        <f>IF($B226="","",IF(C226="","",TEXT(C226,"MMM")))</f>
        <v/>
      </c>
      <c r="M226">
        <f>IF($B226="","",IF((J226+K226)=0,0,L226/(J226+K226)))</f>
        <v/>
      </c>
    </row>
    <row r="227">
      <c r="A227">
        <f>IF($B227="","",ROW()-5)</f>
        <v/>
      </c>
      <c r="D227">
        <f>IF($B227="","",IF(C227="","",TEXT(C227,"MMM")))</f>
        <v/>
      </c>
      <c r="M227">
        <f>IF($B227="","",IF((J227+K227)=0,0,L227/(J227+K227)))</f>
        <v/>
      </c>
    </row>
    <row r="228">
      <c r="A228">
        <f>IF($B228="","",ROW()-5)</f>
        <v/>
      </c>
      <c r="D228">
        <f>IF($B228="","",IF(C228="","",TEXT(C228,"MMM")))</f>
        <v/>
      </c>
      <c r="M228">
        <f>IF($B228="","",IF((J228+K228)=0,0,L228/(J228+K228)))</f>
        <v/>
      </c>
    </row>
    <row r="229">
      <c r="A229">
        <f>IF($B229="","",ROW()-5)</f>
        <v/>
      </c>
      <c r="D229">
        <f>IF($B229="","",IF(C229="","",TEXT(C229,"MMM")))</f>
        <v/>
      </c>
      <c r="M229">
        <f>IF($B229="","",IF((J229+K229)=0,0,L229/(J229+K229)))</f>
        <v/>
      </c>
    </row>
    <row r="230">
      <c r="A230">
        <f>IF($B230="","",ROW()-5)</f>
        <v/>
      </c>
      <c r="D230">
        <f>IF($B230="","",IF(C230="","",TEXT(C230,"MMM")))</f>
        <v/>
      </c>
      <c r="M230">
        <f>IF($B230="","",IF((J230+K230)=0,0,L230/(J230+K230)))</f>
        <v/>
      </c>
    </row>
    <row r="231">
      <c r="A231">
        <f>IF($B231="","",ROW()-5)</f>
        <v/>
      </c>
      <c r="D231">
        <f>IF($B231="","",IF(C231="","",TEXT(C231,"MMM")))</f>
        <v/>
      </c>
      <c r="M231">
        <f>IF($B231="","",IF((J231+K231)=0,0,L231/(J231+K231)))</f>
        <v/>
      </c>
    </row>
    <row r="232">
      <c r="A232">
        <f>IF($B232="","",ROW()-5)</f>
        <v/>
      </c>
      <c r="D232">
        <f>IF($B232="","",IF(C232="","",TEXT(C232,"MMM")))</f>
        <v/>
      </c>
      <c r="M232">
        <f>IF($B232="","",IF((J232+K232)=0,0,L232/(J232+K232)))</f>
        <v/>
      </c>
    </row>
    <row r="233">
      <c r="A233">
        <f>IF($B233="","",ROW()-5)</f>
        <v/>
      </c>
      <c r="D233">
        <f>IF($B233="","",IF(C233="","",TEXT(C233,"MMM")))</f>
        <v/>
      </c>
      <c r="M233">
        <f>IF($B233="","",IF((J233+K233)=0,0,L233/(J233+K233)))</f>
        <v/>
      </c>
    </row>
    <row r="234">
      <c r="A234">
        <f>IF($B234="","",ROW()-5)</f>
        <v/>
      </c>
      <c r="D234">
        <f>IF($B234="","",IF(C234="","",TEXT(C234,"MMM")))</f>
        <v/>
      </c>
      <c r="M234">
        <f>IF($B234="","",IF((J234+K234)=0,0,L234/(J234+K234)))</f>
        <v/>
      </c>
    </row>
    <row r="235">
      <c r="A235">
        <f>IF($B235="","",ROW()-5)</f>
        <v/>
      </c>
      <c r="D235">
        <f>IF($B235="","",IF(C235="","",TEXT(C235,"MMM")))</f>
        <v/>
      </c>
      <c r="M235">
        <f>IF($B235="","",IF((J235+K235)=0,0,L235/(J235+K235)))</f>
        <v/>
      </c>
    </row>
    <row r="236">
      <c r="A236">
        <f>IF($B236="","",ROW()-5)</f>
        <v/>
      </c>
      <c r="D236">
        <f>IF($B236="","",IF(C236="","",TEXT(C236,"MMM")))</f>
        <v/>
      </c>
      <c r="M236">
        <f>IF($B236="","",IF((J236+K236)=0,0,L236/(J236+K236)))</f>
        <v/>
      </c>
    </row>
    <row r="237">
      <c r="A237">
        <f>IF($B237="","",ROW()-5)</f>
        <v/>
      </c>
      <c r="D237">
        <f>IF($B237="","",IF(C237="","",TEXT(C237,"MMM")))</f>
        <v/>
      </c>
      <c r="M237">
        <f>IF($B237="","",IF((J237+K237)=0,0,L237/(J237+K237)))</f>
        <v/>
      </c>
    </row>
    <row r="238">
      <c r="A238">
        <f>IF($B238="","",ROW()-5)</f>
        <v/>
      </c>
      <c r="D238">
        <f>IF($B238="","",IF(C238="","",TEXT(C238,"MMM")))</f>
        <v/>
      </c>
      <c r="M238">
        <f>IF($B238="","",IF((J238+K238)=0,0,L238/(J238+K238)))</f>
        <v/>
      </c>
    </row>
    <row r="239">
      <c r="A239">
        <f>IF($B239="","",ROW()-5)</f>
        <v/>
      </c>
      <c r="D239">
        <f>IF($B239="","",IF(C239="","",TEXT(C239,"MMM")))</f>
        <v/>
      </c>
      <c r="M239">
        <f>IF($B239="","",IF((J239+K239)=0,0,L239/(J239+K239)))</f>
        <v/>
      </c>
    </row>
    <row r="240">
      <c r="A240">
        <f>IF($B240="","",ROW()-5)</f>
        <v/>
      </c>
      <c r="D240">
        <f>IF($B240="","",IF(C240="","",TEXT(C240,"MMM")))</f>
        <v/>
      </c>
      <c r="M240">
        <f>IF($B240="","",IF((J240+K240)=0,0,L240/(J240+K240)))</f>
        <v/>
      </c>
    </row>
    <row r="241">
      <c r="A241">
        <f>IF($B241="","",ROW()-5)</f>
        <v/>
      </c>
      <c r="D241">
        <f>IF($B241="","",IF(C241="","",TEXT(C241,"MMM")))</f>
        <v/>
      </c>
      <c r="M241">
        <f>IF($B241="","",IF((J241+K241)=0,0,L241/(J241+K241)))</f>
        <v/>
      </c>
    </row>
    <row r="242">
      <c r="A242">
        <f>IF($B242="","",ROW()-5)</f>
        <v/>
      </c>
      <c r="D242">
        <f>IF($B242="","",IF(C242="","",TEXT(C242,"MMM")))</f>
        <v/>
      </c>
      <c r="M242">
        <f>IF($B242="","",IF((J242+K242)=0,0,L242/(J242+K242)))</f>
        <v/>
      </c>
    </row>
    <row r="243">
      <c r="A243">
        <f>IF($B243="","",ROW()-5)</f>
        <v/>
      </c>
      <c r="D243">
        <f>IF($B243="","",IF(C243="","",TEXT(C243,"MMM")))</f>
        <v/>
      </c>
      <c r="M243">
        <f>IF($B243="","",IF((J243+K243)=0,0,L243/(J243+K243)))</f>
        <v/>
      </c>
    </row>
    <row r="244">
      <c r="A244">
        <f>IF($B244="","",ROW()-5)</f>
        <v/>
      </c>
      <c r="D244">
        <f>IF($B244="","",IF(C244="","",TEXT(C244,"MMM")))</f>
        <v/>
      </c>
      <c r="M244">
        <f>IF($B244="","",IF((J244+K244)=0,0,L244/(J244+K244)))</f>
        <v/>
      </c>
    </row>
    <row r="245">
      <c r="A245">
        <f>IF($B245="","",ROW()-5)</f>
        <v/>
      </c>
      <c r="D245">
        <f>IF($B245="","",IF(C245="","",TEXT(C245,"MMM")))</f>
        <v/>
      </c>
      <c r="M245">
        <f>IF($B245="","",IF((J245+K245)=0,0,L245/(J245+K245)))</f>
        <v/>
      </c>
    </row>
    <row r="246">
      <c r="A246">
        <f>IF($B246="","",ROW()-5)</f>
        <v/>
      </c>
      <c r="D246">
        <f>IF($B246="","",IF(C246="","",TEXT(C246,"MMM")))</f>
        <v/>
      </c>
      <c r="M246">
        <f>IF($B246="","",IF((J246+K246)=0,0,L246/(J246+K246)))</f>
        <v/>
      </c>
    </row>
    <row r="247">
      <c r="A247">
        <f>IF($B247="","",ROW()-5)</f>
        <v/>
      </c>
      <c r="D247">
        <f>IF($B247="","",IF(C247="","",TEXT(C247,"MMM")))</f>
        <v/>
      </c>
      <c r="M247">
        <f>IF($B247="","",IF((J247+K247)=0,0,L247/(J247+K247)))</f>
        <v/>
      </c>
    </row>
    <row r="248">
      <c r="A248">
        <f>IF($B248="","",ROW()-5)</f>
        <v/>
      </c>
      <c r="D248">
        <f>IF($B248="","",IF(C248="","",TEXT(C248,"MMM")))</f>
        <v/>
      </c>
      <c r="M248">
        <f>IF($B248="","",IF((J248+K248)=0,0,L248/(J248+K248)))</f>
        <v/>
      </c>
    </row>
    <row r="249">
      <c r="A249">
        <f>IF($B249="","",ROW()-5)</f>
        <v/>
      </c>
      <c r="D249">
        <f>IF($B249="","",IF(C249="","",TEXT(C249,"MMM")))</f>
        <v/>
      </c>
      <c r="M249">
        <f>IF($B249="","",IF((J249+K249)=0,0,L249/(J249+K249)))</f>
        <v/>
      </c>
    </row>
    <row r="250">
      <c r="A250">
        <f>IF($B250="","",ROW()-5)</f>
        <v/>
      </c>
      <c r="D250">
        <f>IF($B250="","",IF(C250="","",TEXT(C250,"MMM")))</f>
        <v/>
      </c>
      <c r="M250">
        <f>IF($B250="","",IF((J250+K250)=0,0,L250/(J250+K250)))</f>
        <v/>
      </c>
    </row>
    <row r="251">
      <c r="A251">
        <f>IF($B251="","",ROW()-5)</f>
        <v/>
      </c>
      <c r="D251">
        <f>IF($B251="","",IF(C251="","",TEXT(C251,"MMM")))</f>
        <v/>
      </c>
      <c r="M251">
        <f>IF($B251="","",IF((J251+K251)=0,0,L251/(J251+K251)))</f>
        <v/>
      </c>
    </row>
    <row r="252">
      <c r="A252">
        <f>IF($B252="","",ROW()-5)</f>
        <v/>
      </c>
      <c r="D252">
        <f>IF($B252="","",IF(C252="","",TEXT(C252,"MMM")))</f>
        <v/>
      </c>
      <c r="M252">
        <f>IF($B252="","",IF((J252+K252)=0,0,L252/(J252+K252)))</f>
        <v/>
      </c>
    </row>
    <row r="253">
      <c r="A253">
        <f>IF($B253="","",ROW()-5)</f>
        <v/>
      </c>
      <c r="D253">
        <f>IF($B253="","",IF(C253="","",TEXT(C253,"MMM")))</f>
        <v/>
      </c>
      <c r="M253">
        <f>IF($B253="","",IF((J253+K253)=0,0,L253/(J253+K253)))</f>
        <v/>
      </c>
    </row>
    <row r="254">
      <c r="A254">
        <f>IF($B254="","",ROW()-5)</f>
        <v/>
      </c>
      <c r="D254">
        <f>IF($B254="","",IF(C254="","",TEXT(C254,"MMM")))</f>
        <v/>
      </c>
      <c r="M254">
        <f>IF($B254="","",IF((J254+K254)=0,0,L254/(J254+K254)))</f>
        <v/>
      </c>
    </row>
    <row r="255">
      <c r="A255">
        <f>IF($B255="","",ROW()-5)</f>
        <v/>
      </c>
      <c r="D255">
        <f>IF($B255="","",IF(C255="","",TEXT(C255,"MMM")))</f>
        <v/>
      </c>
      <c r="M255">
        <f>IF($B255="","",IF((J255+K255)=0,0,L255/(J255+K255)))</f>
        <v/>
      </c>
    </row>
    <row r="256">
      <c r="A256">
        <f>IF($B256="","",ROW()-5)</f>
        <v/>
      </c>
      <c r="D256">
        <f>IF($B256="","",IF(C256="","",TEXT(C256,"MMM")))</f>
        <v/>
      </c>
      <c r="M256">
        <f>IF($B256="","",IF((J256+K256)=0,0,L256/(J256+K256)))</f>
        <v/>
      </c>
    </row>
    <row r="257">
      <c r="A257">
        <f>IF($B257="","",ROW()-5)</f>
        <v/>
      </c>
      <c r="D257">
        <f>IF($B257="","",IF(C257="","",TEXT(C257,"MMM")))</f>
        <v/>
      </c>
      <c r="M257">
        <f>IF($B257="","",IF((J257+K257)=0,0,L257/(J257+K257)))</f>
        <v/>
      </c>
    </row>
    <row r="258">
      <c r="A258">
        <f>IF($B258="","",ROW()-5)</f>
        <v/>
      </c>
      <c r="D258">
        <f>IF($B258="","",IF(C258="","",TEXT(C258,"MMM")))</f>
        <v/>
      </c>
      <c r="M258">
        <f>IF($B258="","",IF((J258+K258)=0,0,L258/(J258+K258)))</f>
        <v/>
      </c>
    </row>
    <row r="259">
      <c r="A259">
        <f>IF($B259="","",ROW()-5)</f>
        <v/>
      </c>
      <c r="D259">
        <f>IF($B259="","",IF(C259="","",TEXT(C259,"MMM")))</f>
        <v/>
      </c>
      <c r="M259">
        <f>IF($B259="","",IF((J259+K259)=0,0,L259/(J259+K259)))</f>
        <v/>
      </c>
    </row>
    <row r="260">
      <c r="A260">
        <f>IF($B260="","",ROW()-5)</f>
        <v/>
      </c>
      <c r="D260">
        <f>IF($B260="","",IF(C260="","",TEXT(C260,"MMM")))</f>
        <v/>
      </c>
      <c r="M260">
        <f>IF($B260="","",IF((J260+K260)=0,0,L260/(J260+K260)))</f>
        <v/>
      </c>
    </row>
    <row r="261">
      <c r="A261">
        <f>IF($B261="","",ROW()-5)</f>
        <v/>
      </c>
      <c r="D261">
        <f>IF($B261="","",IF(C261="","",TEXT(C261,"MMM")))</f>
        <v/>
      </c>
      <c r="M261">
        <f>IF($B261="","",IF((J261+K261)=0,0,L261/(J261+K261)))</f>
        <v/>
      </c>
    </row>
    <row r="262">
      <c r="A262">
        <f>IF($B262="","",ROW()-5)</f>
        <v/>
      </c>
      <c r="D262">
        <f>IF($B262="","",IF(C262="","",TEXT(C262,"MMM")))</f>
        <v/>
      </c>
      <c r="M262">
        <f>IF($B262="","",IF((J262+K262)=0,0,L262/(J262+K262)))</f>
        <v/>
      </c>
    </row>
    <row r="263">
      <c r="A263">
        <f>IF($B263="","",ROW()-5)</f>
        <v/>
      </c>
      <c r="D263">
        <f>IF($B263="","",IF(C263="","",TEXT(C263,"MMM")))</f>
        <v/>
      </c>
      <c r="M263">
        <f>IF($B263="","",IF((J263+K263)=0,0,L263/(J263+K263)))</f>
        <v/>
      </c>
    </row>
    <row r="264">
      <c r="A264">
        <f>IF($B264="","",ROW()-5)</f>
        <v/>
      </c>
      <c r="D264">
        <f>IF($B264="","",IF(C264="","",TEXT(C264,"MMM")))</f>
        <v/>
      </c>
      <c r="M264">
        <f>IF($B264="","",IF((J264+K264)=0,0,L264/(J264+K264)))</f>
        <v/>
      </c>
    </row>
    <row r="265">
      <c r="A265">
        <f>IF($B265="","",ROW()-5)</f>
        <v/>
      </c>
      <c r="D265">
        <f>IF($B265="","",IF(C265="","",TEXT(C265,"MMM")))</f>
        <v/>
      </c>
      <c r="M265">
        <f>IF($B265="","",IF((J265+K265)=0,0,L265/(J265+K265)))</f>
        <v/>
      </c>
    </row>
    <row r="266">
      <c r="A266">
        <f>IF($B266="","",ROW()-5)</f>
        <v/>
      </c>
      <c r="D266">
        <f>IF($B266="","",IF(C266="","",TEXT(C266,"MMM")))</f>
        <v/>
      </c>
      <c r="M266">
        <f>IF($B266="","",IF((J266+K266)=0,0,L266/(J266+K266)))</f>
        <v/>
      </c>
    </row>
    <row r="267">
      <c r="A267">
        <f>IF($B267="","",ROW()-5)</f>
        <v/>
      </c>
      <c r="D267">
        <f>IF($B267="","",IF(C267="","",TEXT(C267,"MMM")))</f>
        <v/>
      </c>
      <c r="M267">
        <f>IF($B267="","",IF((J267+K267)=0,0,L267/(J267+K267)))</f>
        <v/>
      </c>
    </row>
    <row r="268">
      <c r="A268">
        <f>IF($B268="","",ROW()-5)</f>
        <v/>
      </c>
      <c r="D268">
        <f>IF($B268="","",IF(C268="","",TEXT(C268,"MMM")))</f>
        <v/>
      </c>
      <c r="M268">
        <f>IF($B268="","",IF((J268+K268)=0,0,L268/(J268+K268)))</f>
        <v/>
      </c>
    </row>
    <row r="269">
      <c r="A269">
        <f>IF($B269="","",ROW()-5)</f>
        <v/>
      </c>
      <c r="D269">
        <f>IF($B269="","",IF(C269="","",TEXT(C269,"MMM")))</f>
        <v/>
      </c>
      <c r="M269">
        <f>IF($B269="","",IF((J269+K269)=0,0,L269/(J269+K269)))</f>
        <v/>
      </c>
    </row>
    <row r="270">
      <c r="A270">
        <f>IF($B270="","",ROW()-5)</f>
        <v/>
      </c>
      <c r="D270">
        <f>IF($B270="","",IF(C270="","",TEXT(C270,"MMM")))</f>
        <v/>
      </c>
      <c r="M270">
        <f>IF($B270="","",IF((J270+K270)=0,0,L270/(J270+K270)))</f>
        <v/>
      </c>
    </row>
    <row r="271">
      <c r="A271">
        <f>IF($B271="","",ROW()-5)</f>
        <v/>
      </c>
      <c r="D271">
        <f>IF($B271="","",IF(C271="","",TEXT(C271,"MMM")))</f>
        <v/>
      </c>
      <c r="M271">
        <f>IF($B271="","",IF((J271+K271)=0,0,L271/(J271+K271)))</f>
        <v/>
      </c>
    </row>
    <row r="272">
      <c r="A272">
        <f>IF($B272="","",ROW()-5)</f>
        <v/>
      </c>
      <c r="D272">
        <f>IF($B272="","",IF(C272="","",TEXT(C272,"MMM")))</f>
        <v/>
      </c>
      <c r="M272">
        <f>IF($B272="","",IF((J272+K272)=0,0,L272/(J272+K272)))</f>
        <v/>
      </c>
    </row>
    <row r="273">
      <c r="A273">
        <f>IF($B273="","",ROW()-5)</f>
        <v/>
      </c>
      <c r="D273">
        <f>IF($B273="","",IF(C273="","",TEXT(C273,"MMM")))</f>
        <v/>
      </c>
      <c r="M273">
        <f>IF($B273="","",IF((J273+K273)=0,0,L273/(J273+K273)))</f>
        <v/>
      </c>
    </row>
    <row r="274">
      <c r="A274">
        <f>IF($B274="","",ROW()-5)</f>
        <v/>
      </c>
      <c r="D274">
        <f>IF($B274="","",IF(C274="","",TEXT(C274,"MMM")))</f>
        <v/>
      </c>
      <c r="M274">
        <f>IF($B274="","",IF((J274+K274)=0,0,L274/(J274+K274)))</f>
        <v/>
      </c>
    </row>
    <row r="275">
      <c r="A275">
        <f>IF($B275="","",ROW()-5)</f>
        <v/>
      </c>
      <c r="D275">
        <f>IF($B275="","",IF(C275="","",TEXT(C275,"MMM")))</f>
        <v/>
      </c>
      <c r="M275">
        <f>IF($B275="","",IF((J275+K275)=0,0,L275/(J275+K275)))</f>
        <v/>
      </c>
    </row>
    <row r="276">
      <c r="A276">
        <f>IF($B276="","",ROW()-5)</f>
        <v/>
      </c>
      <c r="D276">
        <f>IF($B276="","",IF(C276="","",TEXT(C276,"MMM")))</f>
        <v/>
      </c>
      <c r="M276">
        <f>IF($B276="","",IF((J276+K276)=0,0,L276/(J276+K276)))</f>
        <v/>
      </c>
    </row>
    <row r="277">
      <c r="A277">
        <f>IF($B277="","",ROW()-5)</f>
        <v/>
      </c>
      <c r="D277">
        <f>IF($B277="","",IF(C277="","",TEXT(C277,"MMM")))</f>
        <v/>
      </c>
      <c r="M277">
        <f>IF($B277="","",IF((J277+K277)=0,0,L277/(J277+K277)))</f>
        <v/>
      </c>
    </row>
    <row r="278">
      <c r="A278">
        <f>IF($B278="","",ROW()-5)</f>
        <v/>
      </c>
      <c r="D278">
        <f>IF($B278="","",IF(C278="","",TEXT(C278,"MMM")))</f>
        <v/>
      </c>
      <c r="M278">
        <f>IF($B278="","",IF((J278+K278)=0,0,L278/(J278+K278)))</f>
        <v/>
      </c>
    </row>
    <row r="279">
      <c r="A279">
        <f>IF($B279="","",ROW()-5)</f>
        <v/>
      </c>
      <c r="D279">
        <f>IF($B279="","",IF(C279="","",TEXT(C279,"MMM")))</f>
        <v/>
      </c>
      <c r="M279">
        <f>IF($B279="","",IF((J279+K279)=0,0,L279/(J279+K279)))</f>
        <v/>
      </c>
    </row>
    <row r="280">
      <c r="A280">
        <f>IF($B280="","",ROW()-5)</f>
        <v/>
      </c>
      <c r="D280">
        <f>IF($B280="","",IF(C280="","",TEXT(C280,"MMM")))</f>
        <v/>
      </c>
      <c r="M280">
        <f>IF($B280="","",IF((J280+K280)=0,0,L280/(J280+K280)))</f>
        <v/>
      </c>
    </row>
    <row r="281">
      <c r="A281">
        <f>IF($B281="","",ROW()-5)</f>
        <v/>
      </c>
      <c r="D281">
        <f>IF($B281="","",IF(C281="","",TEXT(C281,"MMM")))</f>
        <v/>
      </c>
      <c r="M281">
        <f>IF($B281="","",IF((J281+K281)=0,0,L281/(J281+K281)))</f>
        <v/>
      </c>
    </row>
    <row r="282">
      <c r="A282">
        <f>IF($B282="","",ROW()-5)</f>
        <v/>
      </c>
      <c r="D282">
        <f>IF($B282="","",IF(C282="","",TEXT(C282,"MMM")))</f>
        <v/>
      </c>
      <c r="M282">
        <f>IF($B282="","",IF((J282+K282)=0,0,L282/(J282+K282)))</f>
        <v/>
      </c>
    </row>
    <row r="283">
      <c r="A283">
        <f>IF($B283="","",ROW()-5)</f>
        <v/>
      </c>
      <c r="D283">
        <f>IF($B283="","",IF(C283="","",TEXT(C283,"MMM")))</f>
        <v/>
      </c>
      <c r="M283">
        <f>IF($B283="","",IF((J283+K283)=0,0,L283/(J283+K283)))</f>
        <v/>
      </c>
    </row>
    <row r="284">
      <c r="A284">
        <f>IF($B284="","",ROW()-5)</f>
        <v/>
      </c>
      <c r="D284">
        <f>IF($B284="","",IF(C284="","",TEXT(C284,"MMM")))</f>
        <v/>
      </c>
      <c r="M284">
        <f>IF($B284="","",IF((J284+K284)=0,0,L284/(J284+K284)))</f>
        <v/>
      </c>
    </row>
    <row r="285">
      <c r="A285">
        <f>IF($B285="","",ROW()-5)</f>
        <v/>
      </c>
      <c r="D285">
        <f>IF($B285="","",IF(C285="","",TEXT(C285,"MMM")))</f>
        <v/>
      </c>
      <c r="M285">
        <f>IF($B285="","",IF((J285+K285)=0,0,L285/(J285+K285)))</f>
        <v/>
      </c>
    </row>
    <row r="286">
      <c r="A286">
        <f>IF($B286="","",ROW()-5)</f>
        <v/>
      </c>
      <c r="D286">
        <f>IF($B286="","",IF(C286="","",TEXT(C286,"MMM")))</f>
        <v/>
      </c>
      <c r="M286">
        <f>IF($B286="","",IF((J286+K286)=0,0,L286/(J286+K286)))</f>
        <v/>
      </c>
    </row>
    <row r="287">
      <c r="A287">
        <f>IF($B287="","",ROW()-5)</f>
        <v/>
      </c>
      <c r="D287">
        <f>IF($B287="","",IF(C287="","",TEXT(C287,"MMM")))</f>
        <v/>
      </c>
      <c r="M287">
        <f>IF($B287="","",IF((J287+K287)=0,0,L287/(J287+K287)))</f>
        <v/>
      </c>
    </row>
    <row r="288">
      <c r="A288">
        <f>IF($B288="","",ROW()-5)</f>
        <v/>
      </c>
      <c r="D288">
        <f>IF($B288="","",IF(C288="","",TEXT(C288,"MMM")))</f>
        <v/>
      </c>
      <c r="M288">
        <f>IF($B288="","",IF((J288+K288)=0,0,L288/(J288+K288)))</f>
        <v/>
      </c>
    </row>
    <row r="289">
      <c r="A289">
        <f>IF($B289="","",ROW()-5)</f>
        <v/>
      </c>
      <c r="D289">
        <f>IF($B289="","",IF(C289="","",TEXT(C289,"MMM")))</f>
        <v/>
      </c>
      <c r="M289">
        <f>IF($B289="","",IF((J289+K289)=0,0,L289/(J289+K289)))</f>
        <v/>
      </c>
    </row>
    <row r="290">
      <c r="A290">
        <f>IF($B290="","",ROW()-5)</f>
        <v/>
      </c>
      <c r="D290">
        <f>IF($B290="","",IF(C290="","",TEXT(C290,"MMM")))</f>
        <v/>
      </c>
      <c r="M290">
        <f>IF($B290="","",IF((J290+K290)=0,0,L290/(J290+K290)))</f>
        <v/>
      </c>
    </row>
    <row r="291">
      <c r="A291">
        <f>IF($B291="","",ROW()-5)</f>
        <v/>
      </c>
      <c r="D291">
        <f>IF($B291="","",IF(C291="","",TEXT(C291,"MMM")))</f>
        <v/>
      </c>
      <c r="M291">
        <f>IF($B291="","",IF((J291+K291)=0,0,L291/(J291+K291)))</f>
        <v/>
      </c>
    </row>
    <row r="292">
      <c r="A292">
        <f>IF($B292="","",ROW()-5)</f>
        <v/>
      </c>
      <c r="D292">
        <f>IF($B292="","",IF(C292="","",TEXT(C292,"MMM")))</f>
        <v/>
      </c>
      <c r="M292">
        <f>IF($B292="","",IF((J292+K292)=0,0,L292/(J292+K292)))</f>
        <v/>
      </c>
    </row>
    <row r="293">
      <c r="A293">
        <f>IF($B293="","",ROW()-5)</f>
        <v/>
      </c>
      <c r="D293">
        <f>IF($B293="","",IF(C293="","",TEXT(C293,"MMM")))</f>
        <v/>
      </c>
      <c r="M293">
        <f>IF($B293="","",IF((J293+K293)=0,0,L293/(J293+K293)))</f>
        <v/>
      </c>
    </row>
    <row r="294">
      <c r="A294">
        <f>IF($B294="","",ROW()-5)</f>
        <v/>
      </c>
      <c r="D294">
        <f>IF($B294="","",IF(C294="","",TEXT(C294,"MMM")))</f>
        <v/>
      </c>
      <c r="M294">
        <f>IF($B294="","",IF((J294+K294)=0,0,L294/(J294+K294)))</f>
        <v/>
      </c>
    </row>
    <row r="295">
      <c r="A295">
        <f>IF($B295="","",ROW()-5)</f>
        <v/>
      </c>
      <c r="D295">
        <f>IF($B295="","",IF(C295="","",TEXT(C295,"MMM")))</f>
        <v/>
      </c>
      <c r="M295">
        <f>IF($B295="","",IF((J295+K295)=0,0,L295/(J295+K295)))</f>
        <v/>
      </c>
    </row>
    <row r="296">
      <c r="A296">
        <f>IF($B296="","",ROW()-5)</f>
        <v/>
      </c>
      <c r="D296">
        <f>IF($B296="","",IF(C296="","",TEXT(C296,"MMM")))</f>
        <v/>
      </c>
      <c r="M296">
        <f>IF($B296="","",IF((J296+K296)=0,0,L296/(J296+K296)))</f>
        <v/>
      </c>
    </row>
    <row r="297">
      <c r="A297">
        <f>IF($B297="","",ROW()-5)</f>
        <v/>
      </c>
      <c r="D297">
        <f>IF($B297="","",IF(C297="","",TEXT(C297,"MMM")))</f>
        <v/>
      </c>
      <c r="M297">
        <f>IF($B297="","",IF((J297+K297)=0,0,L297/(J297+K297)))</f>
        <v/>
      </c>
    </row>
    <row r="298">
      <c r="A298">
        <f>IF($B298="","",ROW()-5)</f>
        <v/>
      </c>
      <c r="D298">
        <f>IF($B298="","",IF(C298="","",TEXT(C298,"MMM")))</f>
        <v/>
      </c>
      <c r="M298">
        <f>IF($B298="","",IF((J298+K298)=0,0,L298/(J298+K298)))</f>
        <v/>
      </c>
    </row>
    <row r="299">
      <c r="A299">
        <f>IF($B299="","",ROW()-5)</f>
        <v/>
      </c>
      <c r="D299">
        <f>IF($B299="","",IF(C299="","",TEXT(C299,"MMM")))</f>
        <v/>
      </c>
      <c r="M299">
        <f>IF($B299="","",IF((J299+K299)=0,0,L299/(J299+K299)))</f>
        <v/>
      </c>
    </row>
    <row r="300">
      <c r="A300">
        <f>IF($B300="","",ROW()-5)</f>
        <v/>
      </c>
      <c r="D300">
        <f>IF($B300="","",IF(C300="","",TEXT(C300,"MMM")))</f>
        <v/>
      </c>
      <c r="M300">
        <f>IF($B300="","",IF((J300+K300)=0,0,L300/(J300+K300)))</f>
        <v/>
      </c>
    </row>
    <row r="301">
      <c r="A301">
        <f>IF($B301="","",ROW()-5)</f>
        <v/>
      </c>
      <c r="D301">
        <f>IF($B301="","",IF(C301="","",TEXT(C301,"MMM")))</f>
        <v/>
      </c>
      <c r="M301">
        <f>IF($B301="","",IF((J301+K301)=0,0,L301/(J301+K301)))</f>
        <v/>
      </c>
    </row>
    <row r="302">
      <c r="A302">
        <f>IF($B302="","",ROW()-5)</f>
        <v/>
      </c>
      <c r="D302">
        <f>IF($B302="","",IF(C302="","",TEXT(C302,"MMM")))</f>
        <v/>
      </c>
      <c r="M302">
        <f>IF($B302="","",IF((J302+K302)=0,0,L302/(J302+K302)))</f>
        <v/>
      </c>
    </row>
    <row r="303">
      <c r="A303">
        <f>IF($B303="","",ROW()-5)</f>
        <v/>
      </c>
      <c r="D303">
        <f>IF($B303="","",IF(C303="","",TEXT(C303,"MMM")))</f>
        <v/>
      </c>
      <c r="M303">
        <f>IF($B303="","",IF((J303+K303)=0,0,L303/(J303+K303)))</f>
        <v/>
      </c>
    </row>
    <row r="304">
      <c r="A304">
        <f>IF($B304="","",ROW()-5)</f>
        <v/>
      </c>
      <c r="D304">
        <f>IF($B304="","",IF(C304="","",TEXT(C304,"MMM")))</f>
        <v/>
      </c>
      <c r="M304">
        <f>IF($B304="","",IF((J304+K304)=0,0,L304/(J304+K304)))</f>
        <v/>
      </c>
    </row>
    <row r="305">
      <c r="A305">
        <f>IF($B305="","",ROW()-5)</f>
        <v/>
      </c>
      <c r="D305">
        <f>IF($B305="","",IF(C305="","",TEXT(C305,"MMM")))</f>
        <v/>
      </c>
      <c r="M305">
        <f>IF($B305="","",IF((J305+K305)=0,0,L305/(J305+K305)))</f>
        <v/>
      </c>
    </row>
    <row r="306">
      <c r="A306">
        <f>IF($B306="","",ROW()-5)</f>
        <v/>
      </c>
      <c r="D306">
        <f>IF($B306="","",IF(C306="","",TEXT(C306,"MMM")))</f>
        <v/>
      </c>
      <c r="M306">
        <f>IF($B306="","",IF((J306+K306)=0,0,L306/(J306+K306)))</f>
        <v/>
      </c>
    </row>
    <row r="307">
      <c r="A307">
        <f>IF($B307="","",ROW()-5)</f>
        <v/>
      </c>
      <c r="D307">
        <f>IF($B307="","",IF(C307="","",TEXT(C307,"MMM")))</f>
        <v/>
      </c>
      <c r="M307">
        <f>IF($B307="","",IF((J307+K307)=0,0,L307/(J307+K307)))</f>
        <v/>
      </c>
    </row>
    <row r="308">
      <c r="A308">
        <f>IF($B308="","",ROW()-5)</f>
        <v/>
      </c>
      <c r="D308">
        <f>IF($B308="","",IF(C308="","",TEXT(C308,"MMM")))</f>
        <v/>
      </c>
      <c r="M308">
        <f>IF($B308="","",IF((J308+K308)=0,0,L308/(J308+K308)))</f>
        <v/>
      </c>
    </row>
    <row r="309">
      <c r="A309">
        <f>IF($B309="","",ROW()-5)</f>
        <v/>
      </c>
      <c r="D309">
        <f>IF($B309="","",IF(C309="","",TEXT(C309,"MMM")))</f>
        <v/>
      </c>
      <c r="M309">
        <f>IF($B309="","",IF((J309+K309)=0,0,L309/(J309+K309)))</f>
        <v/>
      </c>
    </row>
    <row r="310">
      <c r="A310">
        <f>IF($B310="","",ROW()-5)</f>
        <v/>
      </c>
      <c r="D310">
        <f>IF($B310="","",IF(C310="","",TEXT(C310,"MMM")))</f>
        <v/>
      </c>
      <c r="M310">
        <f>IF($B310="","",IF((J310+K310)=0,0,L310/(J310+K310)))</f>
        <v/>
      </c>
    </row>
    <row r="311">
      <c r="A311">
        <f>IF($B311="","",ROW()-5)</f>
        <v/>
      </c>
      <c r="D311">
        <f>IF($B311="","",IF(C311="","",TEXT(C311,"MMM")))</f>
        <v/>
      </c>
      <c r="M311">
        <f>IF($B311="","",IF((J311+K311)=0,0,L311/(J311+K311)))</f>
        <v/>
      </c>
    </row>
    <row r="312">
      <c r="A312">
        <f>IF($B312="","",ROW()-5)</f>
        <v/>
      </c>
      <c r="D312">
        <f>IF($B312="","",IF(C312="","",TEXT(C312,"MMM")))</f>
        <v/>
      </c>
      <c r="M312">
        <f>IF($B312="","",IF((J312+K312)=0,0,L312/(J312+K312)))</f>
        <v/>
      </c>
    </row>
    <row r="313">
      <c r="A313">
        <f>IF($B313="","",ROW()-5)</f>
        <v/>
      </c>
      <c r="D313">
        <f>IF($B313="","",IF(C313="","",TEXT(C313,"MMM")))</f>
        <v/>
      </c>
      <c r="M313">
        <f>IF($B313="","",IF((J313+K313)=0,0,L313/(J313+K313)))</f>
        <v/>
      </c>
    </row>
    <row r="314">
      <c r="A314">
        <f>IF($B314="","",ROW()-5)</f>
        <v/>
      </c>
      <c r="D314">
        <f>IF($B314="","",IF(C314="","",TEXT(C314,"MMM")))</f>
        <v/>
      </c>
      <c r="M314">
        <f>IF($B314="","",IF((J314+K314)=0,0,L314/(J314+K314)))</f>
        <v/>
      </c>
    </row>
    <row r="315">
      <c r="A315">
        <f>IF($B315="","",ROW()-5)</f>
        <v/>
      </c>
      <c r="D315">
        <f>IF($B315="","",IF(C315="","",TEXT(C315,"MMM")))</f>
        <v/>
      </c>
      <c r="M315">
        <f>IF($B315="","",IF((J315+K315)=0,0,L315/(J315+K315)))</f>
        <v/>
      </c>
    </row>
    <row r="316">
      <c r="A316">
        <f>IF($B316="","",ROW()-5)</f>
        <v/>
      </c>
      <c r="D316">
        <f>IF($B316="","",IF(C316="","",TEXT(C316,"MMM")))</f>
        <v/>
      </c>
      <c r="M316">
        <f>IF($B316="","",IF((J316+K316)=0,0,L316/(J316+K316)))</f>
        <v/>
      </c>
    </row>
    <row r="317">
      <c r="A317">
        <f>IF($B317="","",ROW()-5)</f>
        <v/>
      </c>
      <c r="D317">
        <f>IF($B317="","",IF(C317="","",TEXT(C317,"MMM")))</f>
        <v/>
      </c>
      <c r="M317">
        <f>IF($B317="","",IF((J317+K317)=0,0,L317/(J317+K317)))</f>
        <v/>
      </c>
    </row>
    <row r="318">
      <c r="A318">
        <f>IF($B318="","",ROW()-5)</f>
        <v/>
      </c>
      <c r="D318">
        <f>IF($B318="","",IF(C318="","",TEXT(C318,"MMM")))</f>
        <v/>
      </c>
      <c r="M318">
        <f>IF($B318="","",IF((J318+K318)=0,0,L318/(J318+K318)))</f>
        <v/>
      </c>
    </row>
    <row r="319">
      <c r="A319">
        <f>IF($B319="","",ROW()-5)</f>
        <v/>
      </c>
      <c r="D319">
        <f>IF($B319="","",IF(C319="","",TEXT(C319,"MMM")))</f>
        <v/>
      </c>
      <c r="M319">
        <f>IF($B319="","",IF((J319+K319)=0,0,L319/(J319+K319)))</f>
        <v/>
      </c>
    </row>
    <row r="320">
      <c r="A320">
        <f>IF($B320="","",ROW()-5)</f>
        <v/>
      </c>
      <c r="D320">
        <f>IF($B320="","",IF(C320="","",TEXT(C320,"MMM")))</f>
        <v/>
      </c>
      <c r="M320">
        <f>IF($B320="","",IF((J320+K320)=0,0,L320/(J320+K320)))</f>
        <v/>
      </c>
    </row>
    <row r="321">
      <c r="A321">
        <f>IF($B321="","",ROW()-5)</f>
        <v/>
      </c>
      <c r="D321">
        <f>IF($B321="","",IF(C321="","",TEXT(C321,"MMM")))</f>
        <v/>
      </c>
      <c r="M321">
        <f>IF($B321="","",IF((J321+K321)=0,0,L321/(J321+K321)))</f>
        <v/>
      </c>
    </row>
    <row r="322">
      <c r="A322">
        <f>IF($B322="","",ROW()-5)</f>
        <v/>
      </c>
      <c r="D322">
        <f>IF($B322="","",IF(C322="","",TEXT(C322,"MMM")))</f>
        <v/>
      </c>
      <c r="M322">
        <f>IF($B322="","",IF((J322+K322)=0,0,L322/(J322+K322)))</f>
        <v/>
      </c>
    </row>
    <row r="323">
      <c r="A323">
        <f>IF($B323="","",ROW()-5)</f>
        <v/>
      </c>
      <c r="D323">
        <f>IF($B323="","",IF(C323="","",TEXT(C323,"MMM")))</f>
        <v/>
      </c>
      <c r="M323">
        <f>IF($B323="","",IF((J323+K323)=0,0,L323/(J323+K323)))</f>
        <v/>
      </c>
    </row>
    <row r="324">
      <c r="A324">
        <f>IF($B324="","",ROW()-5)</f>
        <v/>
      </c>
      <c r="D324">
        <f>IF($B324="","",IF(C324="","",TEXT(C324,"MMM")))</f>
        <v/>
      </c>
      <c r="M324">
        <f>IF($B324="","",IF((J324+K324)=0,0,L324/(J324+K324)))</f>
        <v/>
      </c>
    </row>
    <row r="325">
      <c r="A325">
        <f>IF($B325="","",ROW()-5)</f>
        <v/>
      </c>
      <c r="D325">
        <f>IF($B325="","",IF(C325="","",TEXT(C325,"MMM")))</f>
        <v/>
      </c>
      <c r="M325">
        <f>IF($B325="","",IF((J325+K325)=0,0,L325/(J325+K325)))</f>
        <v/>
      </c>
    </row>
    <row r="326">
      <c r="A326">
        <f>IF($B326="","",ROW()-5)</f>
        <v/>
      </c>
      <c r="D326">
        <f>IF($B326="","",IF(C326="","",TEXT(C326,"MMM")))</f>
        <v/>
      </c>
      <c r="M326">
        <f>IF($B326="","",IF((J326+K326)=0,0,L326/(J326+K326)))</f>
        <v/>
      </c>
    </row>
    <row r="327">
      <c r="A327">
        <f>IF($B327="","",ROW()-5)</f>
        <v/>
      </c>
      <c r="D327">
        <f>IF($B327="","",IF(C327="","",TEXT(C327,"MMM")))</f>
        <v/>
      </c>
      <c r="M327">
        <f>IF($B327="","",IF((J327+K327)=0,0,L327/(J327+K327)))</f>
        <v/>
      </c>
    </row>
    <row r="328">
      <c r="A328">
        <f>IF($B328="","",ROW()-5)</f>
        <v/>
      </c>
      <c r="D328">
        <f>IF($B328="","",IF(C328="","",TEXT(C328,"MMM")))</f>
        <v/>
      </c>
      <c r="M328">
        <f>IF($B328="","",IF((J328+K328)=0,0,L328/(J328+K328)))</f>
        <v/>
      </c>
    </row>
    <row r="329">
      <c r="A329">
        <f>IF($B329="","",ROW()-5)</f>
        <v/>
      </c>
      <c r="D329">
        <f>IF($B329="","",IF(C329="","",TEXT(C329,"MMM")))</f>
        <v/>
      </c>
      <c r="M329">
        <f>IF($B329="","",IF((J329+K329)=0,0,L329/(J329+K329)))</f>
        <v/>
      </c>
    </row>
    <row r="330">
      <c r="A330">
        <f>IF($B330="","",ROW()-5)</f>
        <v/>
      </c>
      <c r="D330">
        <f>IF($B330="","",IF(C330="","",TEXT(C330,"MMM")))</f>
        <v/>
      </c>
      <c r="M330">
        <f>IF($B330="","",IF((J330+K330)=0,0,L330/(J330+K330)))</f>
        <v/>
      </c>
    </row>
    <row r="331">
      <c r="A331">
        <f>IF($B331="","",ROW()-5)</f>
        <v/>
      </c>
      <c r="D331">
        <f>IF($B331="","",IF(C331="","",TEXT(C331,"MMM")))</f>
        <v/>
      </c>
      <c r="M331">
        <f>IF($B331="","",IF((J331+K331)=0,0,L331/(J331+K331)))</f>
        <v/>
      </c>
    </row>
    <row r="332">
      <c r="A332">
        <f>IF($B332="","",ROW()-5)</f>
        <v/>
      </c>
      <c r="D332">
        <f>IF($B332="","",IF(C332="","",TEXT(C332,"MMM")))</f>
        <v/>
      </c>
      <c r="M332">
        <f>IF($B332="","",IF((J332+K332)=0,0,L332/(J332+K332)))</f>
        <v/>
      </c>
    </row>
    <row r="333">
      <c r="A333">
        <f>IF($B333="","",ROW()-5)</f>
        <v/>
      </c>
      <c r="D333">
        <f>IF($B333="","",IF(C333="","",TEXT(C333,"MMM")))</f>
        <v/>
      </c>
      <c r="M333">
        <f>IF($B333="","",IF((J333+K333)=0,0,L333/(J333+K333)))</f>
        <v/>
      </c>
    </row>
    <row r="334">
      <c r="A334">
        <f>IF($B334="","",ROW()-5)</f>
        <v/>
      </c>
      <c r="D334">
        <f>IF($B334="","",IF(C334="","",TEXT(C334,"MMM")))</f>
        <v/>
      </c>
      <c r="M334">
        <f>IF($B334="","",IF((J334+K334)=0,0,L334/(J334+K334)))</f>
        <v/>
      </c>
    </row>
    <row r="335">
      <c r="A335">
        <f>IF($B335="","",ROW()-5)</f>
        <v/>
      </c>
      <c r="D335">
        <f>IF($B335="","",IF(C335="","",TEXT(C335,"MMM")))</f>
        <v/>
      </c>
      <c r="M335">
        <f>IF($B335="","",IF((J335+K335)=0,0,L335/(J335+K335)))</f>
        <v/>
      </c>
    </row>
    <row r="336">
      <c r="A336">
        <f>IF($B336="","",ROW()-5)</f>
        <v/>
      </c>
      <c r="D336">
        <f>IF($B336="","",IF(C336="","",TEXT(C336,"MMM")))</f>
        <v/>
      </c>
      <c r="M336">
        <f>IF($B336="","",IF((J336+K336)=0,0,L336/(J336+K336)))</f>
        <v/>
      </c>
    </row>
    <row r="337">
      <c r="A337">
        <f>IF($B337="","",ROW()-5)</f>
        <v/>
      </c>
      <c r="D337">
        <f>IF($B337="","",IF(C337="","",TEXT(C337,"MMM")))</f>
        <v/>
      </c>
      <c r="M337">
        <f>IF($B337="","",IF((J337+K337)=0,0,L337/(J337+K337)))</f>
        <v/>
      </c>
    </row>
    <row r="338">
      <c r="A338">
        <f>IF($B338="","",ROW()-5)</f>
        <v/>
      </c>
      <c r="D338">
        <f>IF($B338="","",IF(C338="","",TEXT(C338,"MMM")))</f>
        <v/>
      </c>
      <c r="M338">
        <f>IF($B338="","",IF((J338+K338)=0,0,L338/(J338+K338)))</f>
        <v/>
      </c>
    </row>
    <row r="339">
      <c r="A339">
        <f>IF($B339="","",ROW()-5)</f>
        <v/>
      </c>
      <c r="D339">
        <f>IF($B339="","",IF(C339="","",TEXT(C339,"MMM")))</f>
        <v/>
      </c>
      <c r="M339">
        <f>IF($B339="","",IF((J339+K339)=0,0,L339/(J339+K339)))</f>
        <v/>
      </c>
    </row>
    <row r="340">
      <c r="A340">
        <f>IF($B340="","",ROW()-5)</f>
        <v/>
      </c>
      <c r="D340">
        <f>IF($B340="","",IF(C340="","",TEXT(C340,"MMM")))</f>
        <v/>
      </c>
      <c r="M340">
        <f>IF($B340="","",IF((J340+K340)=0,0,L340/(J340+K340)))</f>
        <v/>
      </c>
    </row>
    <row r="341">
      <c r="A341">
        <f>IF($B341="","",ROW()-5)</f>
        <v/>
      </c>
      <c r="D341">
        <f>IF($B341="","",IF(C341="","",TEXT(C341,"MMM")))</f>
        <v/>
      </c>
      <c r="M341">
        <f>IF($B341="","",IF((J341+K341)=0,0,L341/(J341+K341)))</f>
        <v/>
      </c>
    </row>
    <row r="342">
      <c r="A342">
        <f>IF($B342="","",ROW()-5)</f>
        <v/>
      </c>
      <c r="D342">
        <f>IF($B342="","",IF(C342="","",TEXT(C342,"MMM")))</f>
        <v/>
      </c>
      <c r="M342">
        <f>IF($B342="","",IF((J342+K342)=0,0,L342/(J342+K342)))</f>
        <v/>
      </c>
    </row>
    <row r="343">
      <c r="A343">
        <f>IF($B343="","",ROW()-5)</f>
        <v/>
      </c>
      <c r="D343">
        <f>IF($B343="","",IF(C343="","",TEXT(C343,"MMM")))</f>
        <v/>
      </c>
      <c r="M343">
        <f>IF($B343="","",IF((J343+K343)=0,0,L343/(J343+K343)))</f>
        <v/>
      </c>
    </row>
    <row r="344">
      <c r="A344">
        <f>IF($B344="","",ROW()-5)</f>
        <v/>
      </c>
      <c r="D344">
        <f>IF($B344="","",IF(C344="","",TEXT(C344,"MMM")))</f>
        <v/>
      </c>
      <c r="M344">
        <f>IF($B344="","",IF((J344+K344)=0,0,L344/(J344+K344)))</f>
        <v/>
      </c>
    </row>
    <row r="345">
      <c r="A345">
        <f>IF($B345="","",ROW()-5)</f>
        <v/>
      </c>
      <c r="D345">
        <f>IF($B345="","",IF(C345="","",TEXT(C345,"MMM")))</f>
        <v/>
      </c>
      <c r="M345">
        <f>IF($B345="","",IF((J345+K345)=0,0,L345/(J345+K345)))</f>
        <v/>
      </c>
    </row>
    <row r="346">
      <c r="A346">
        <f>IF($B346="","",ROW()-5)</f>
        <v/>
      </c>
      <c r="D346">
        <f>IF($B346="","",IF(C346="","",TEXT(C346,"MMM")))</f>
        <v/>
      </c>
      <c r="M346">
        <f>IF($B346="","",IF((J346+K346)=0,0,L346/(J346+K346)))</f>
        <v/>
      </c>
    </row>
    <row r="347">
      <c r="A347">
        <f>IF($B347="","",ROW()-5)</f>
        <v/>
      </c>
      <c r="D347">
        <f>IF($B347="","",IF(C347="","",TEXT(C347,"MMM")))</f>
        <v/>
      </c>
      <c r="M347">
        <f>IF($B347="","",IF((J347+K347)=0,0,L347/(J347+K347)))</f>
        <v/>
      </c>
    </row>
    <row r="348">
      <c r="A348">
        <f>IF($B348="","",ROW()-5)</f>
        <v/>
      </c>
      <c r="D348">
        <f>IF($B348="","",IF(C348="","",TEXT(C348,"MMM")))</f>
        <v/>
      </c>
      <c r="M348">
        <f>IF($B348="","",IF((J348+K348)=0,0,L348/(J348+K348)))</f>
        <v/>
      </c>
    </row>
    <row r="349">
      <c r="A349">
        <f>IF($B349="","",ROW()-5)</f>
        <v/>
      </c>
      <c r="D349">
        <f>IF($B349="","",IF(C349="","",TEXT(C349,"MMM")))</f>
        <v/>
      </c>
      <c r="M349">
        <f>IF($B349="","",IF((J349+K349)=0,0,L349/(J349+K349)))</f>
        <v/>
      </c>
    </row>
    <row r="350">
      <c r="A350">
        <f>IF($B350="","",ROW()-5)</f>
        <v/>
      </c>
      <c r="D350">
        <f>IF($B350="","",IF(C350="","",TEXT(C350,"MMM")))</f>
        <v/>
      </c>
      <c r="M350">
        <f>IF($B350="","",IF((J350+K350)=0,0,L350/(J350+K350)))</f>
        <v/>
      </c>
    </row>
    <row r="351">
      <c r="A351">
        <f>IF($B351="","",ROW()-5)</f>
        <v/>
      </c>
      <c r="D351">
        <f>IF($B351="","",IF(C351="","",TEXT(C351,"MMM")))</f>
        <v/>
      </c>
      <c r="M351">
        <f>IF($B351="","",IF((J351+K351)=0,0,L351/(J351+K351)))</f>
        <v/>
      </c>
    </row>
    <row r="352">
      <c r="A352">
        <f>IF($B352="","",ROW()-5)</f>
        <v/>
      </c>
      <c r="D352">
        <f>IF($B352="","",IF(C352="","",TEXT(C352,"MMM")))</f>
        <v/>
      </c>
      <c r="M352">
        <f>IF($B352="","",IF((J352+K352)=0,0,L352/(J352+K352)))</f>
        <v/>
      </c>
    </row>
    <row r="353">
      <c r="A353">
        <f>IF($B353="","",ROW()-5)</f>
        <v/>
      </c>
      <c r="D353">
        <f>IF($B353="","",IF(C353="","",TEXT(C353,"MMM")))</f>
        <v/>
      </c>
      <c r="M353">
        <f>IF($B353="","",IF((J353+K353)=0,0,L353/(J353+K353)))</f>
        <v/>
      </c>
    </row>
    <row r="354">
      <c r="A354">
        <f>IF($B354="","",ROW()-5)</f>
        <v/>
      </c>
      <c r="D354">
        <f>IF($B354="","",IF(C354="","",TEXT(C354,"MMM")))</f>
        <v/>
      </c>
      <c r="M354">
        <f>IF($B354="","",IF((J354+K354)=0,0,L354/(J354+K354)))</f>
        <v/>
      </c>
    </row>
    <row r="355">
      <c r="A355">
        <f>IF($B355="","",ROW()-5)</f>
        <v/>
      </c>
      <c r="D355">
        <f>IF($B355="","",IF(C355="","",TEXT(C355,"MMM")))</f>
        <v/>
      </c>
      <c r="M355">
        <f>IF($B355="","",IF((J355+K355)=0,0,L355/(J355+K355)))</f>
        <v/>
      </c>
    </row>
    <row r="356">
      <c r="A356">
        <f>IF($B356="","",ROW()-5)</f>
        <v/>
      </c>
      <c r="D356">
        <f>IF($B356="","",IF(C356="","",TEXT(C356,"MMM")))</f>
        <v/>
      </c>
      <c r="M356">
        <f>IF($B356="","",IF((J356+K356)=0,0,L356/(J356+K356)))</f>
        <v/>
      </c>
    </row>
    <row r="357">
      <c r="A357">
        <f>IF($B357="","",ROW()-5)</f>
        <v/>
      </c>
      <c r="D357">
        <f>IF($B357="","",IF(C357="","",TEXT(C357,"MMM")))</f>
        <v/>
      </c>
      <c r="M357">
        <f>IF($B357="","",IF((J357+K357)=0,0,L357/(J357+K357)))</f>
        <v/>
      </c>
    </row>
    <row r="358">
      <c r="A358">
        <f>IF($B358="","",ROW()-5)</f>
        <v/>
      </c>
      <c r="D358">
        <f>IF($B358="","",IF(C358="","",TEXT(C358,"MMM")))</f>
        <v/>
      </c>
      <c r="M358">
        <f>IF($B358="","",IF((J358+K358)=0,0,L358/(J358+K358)))</f>
        <v/>
      </c>
    </row>
    <row r="359">
      <c r="A359">
        <f>IF($B359="","",ROW()-5)</f>
        <v/>
      </c>
      <c r="D359">
        <f>IF($B359="","",IF(C359="","",TEXT(C359,"MMM")))</f>
        <v/>
      </c>
      <c r="M359">
        <f>IF($B359="","",IF((J359+K359)=0,0,L359/(J359+K359)))</f>
        <v/>
      </c>
    </row>
    <row r="360">
      <c r="A360">
        <f>IF($B360="","",ROW()-5)</f>
        <v/>
      </c>
      <c r="D360">
        <f>IF($B360="","",IF(C360="","",TEXT(C360,"MMM")))</f>
        <v/>
      </c>
      <c r="M360">
        <f>IF($B360="","",IF((J360+K360)=0,0,L360/(J360+K360)))</f>
        <v/>
      </c>
    </row>
    <row r="361">
      <c r="A361">
        <f>IF($B361="","",ROW()-5)</f>
        <v/>
      </c>
      <c r="D361">
        <f>IF($B361="","",IF(C361="","",TEXT(C361,"MMM")))</f>
        <v/>
      </c>
      <c r="M361">
        <f>IF($B361="","",IF((J361+K361)=0,0,L361/(J361+K361)))</f>
        <v/>
      </c>
    </row>
    <row r="362">
      <c r="A362">
        <f>IF($B362="","",ROW()-5)</f>
        <v/>
      </c>
      <c r="D362">
        <f>IF($B362="","",IF(C362="","",TEXT(C362,"MMM")))</f>
        <v/>
      </c>
      <c r="M362">
        <f>IF($B362="","",IF((J362+K362)=0,0,L362/(J362+K362)))</f>
        <v/>
      </c>
    </row>
    <row r="363">
      <c r="A363">
        <f>IF($B363="","",ROW()-5)</f>
        <v/>
      </c>
      <c r="D363">
        <f>IF($B363="","",IF(C363="","",TEXT(C363,"MMM")))</f>
        <v/>
      </c>
      <c r="M363">
        <f>IF($B363="","",IF((J363+K363)=0,0,L363/(J363+K363)))</f>
        <v/>
      </c>
    </row>
    <row r="364">
      <c r="A364">
        <f>IF($B364="","",ROW()-5)</f>
        <v/>
      </c>
      <c r="D364">
        <f>IF($B364="","",IF(C364="","",TEXT(C364,"MMM")))</f>
        <v/>
      </c>
      <c r="M364">
        <f>IF($B364="","",IF((J364+K364)=0,0,L364/(J364+K364)))</f>
        <v/>
      </c>
    </row>
    <row r="365">
      <c r="A365">
        <f>IF($B365="","",ROW()-5)</f>
        <v/>
      </c>
      <c r="D365">
        <f>IF($B365="","",IF(C365="","",TEXT(C365,"MMM")))</f>
        <v/>
      </c>
      <c r="M365">
        <f>IF($B365="","",IF((J365+K365)=0,0,L365/(J365+K365)))</f>
        <v/>
      </c>
    </row>
    <row r="366">
      <c r="A366">
        <f>IF($B366="","",ROW()-5)</f>
        <v/>
      </c>
      <c r="D366">
        <f>IF($B366="","",IF(C366="","",TEXT(C366,"MMM")))</f>
        <v/>
      </c>
      <c r="M366">
        <f>IF($B366="","",IF((J366+K366)=0,0,L366/(J366+K366)))</f>
        <v/>
      </c>
    </row>
    <row r="367">
      <c r="A367">
        <f>IF($B367="","",ROW()-5)</f>
        <v/>
      </c>
      <c r="D367">
        <f>IF($B367="","",IF(C367="","",TEXT(C367,"MMM")))</f>
        <v/>
      </c>
      <c r="M367">
        <f>IF($B367="","",IF((J367+K367)=0,0,L367/(J367+K367)))</f>
        <v/>
      </c>
    </row>
    <row r="368">
      <c r="A368">
        <f>IF($B368="","",ROW()-5)</f>
        <v/>
      </c>
      <c r="D368">
        <f>IF($B368="","",IF(C368="","",TEXT(C368,"MMM")))</f>
        <v/>
      </c>
      <c r="M368">
        <f>IF($B368="","",IF((J368+K368)=0,0,L368/(J368+K368)))</f>
        <v/>
      </c>
    </row>
    <row r="369">
      <c r="A369">
        <f>IF($B369="","",ROW()-5)</f>
        <v/>
      </c>
      <c r="D369">
        <f>IF($B369="","",IF(C369="","",TEXT(C369,"MMM")))</f>
        <v/>
      </c>
      <c r="M369">
        <f>IF($B369="","",IF((J369+K369)=0,0,L369/(J369+K369)))</f>
        <v/>
      </c>
    </row>
    <row r="370">
      <c r="A370">
        <f>IF($B370="","",ROW()-5)</f>
        <v/>
      </c>
      <c r="D370">
        <f>IF($B370="","",IF(C370="","",TEXT(C370,"MMM")))</f>
        <v/>
      </c>
      <c r="M370">
        <f>IF($B370="","",IF((J370+K370)=0,0,L370/(J370+K370)))</f>
        <v/>
      </c>
    </row>
    <row r="371">
      <c r="A371">
        <f>IF($B371="","",ROW()-5)</f>
        <v/>
      </c>
      <c r="D371">
        <f>IF($B371="","",IF(C371="","",TEXT(C371,"MMM")))</f>
        <v/>
      </c>
      <c r="M371">
        <f>IF($B371="","",IF((J371+K371)=0,0,L371/(J371+K371)))</f>
        <v/>
      </c>
    </row>
    <row r="372">
      <c r="A372">
        <f>IF($B372="","",ROW()-5)</f>
        <v/>
      </c>
      <c r="D372">
        <f>IF($B372="","",IF(C372="","",TEXT(C372,"MMM")))</f>
        <v/>
      </c>
      <c r="M372">
        <f>IF($B372="","",IF((J372+K372)=0,0,L372/(J372+K372)))</f>
        <v/>
      </c>
    </row>
    <row r="373">
      <c r="A373">
        <f>IF($B373="","",ROW()-5)</f>
        <v/>
      </c>
      <c r="D373">
        <f>IF($B373="","",IF(C373="","",TEXT(C373,"MMM")))</f>
        <v/>
      </c>
      <c r="M373">
        <f>IF($B373="","",IF((J373+K373)=0,0,L373/(J373+K373)))</f>
        <v/>
      </c>
    </row>
    <row r="374">
      <c r="A374">
        <f>IF($B374="","",ROW()-5)</f>
        <v/>
      </c>
      <c r="D374">
        <f>IF($B374="","",IF(C374="","",TEXT(C374,"MMM")))</f>
        <v/>
      </c>
      <c r="M374">
        <f>IF($B374="","",IF((J374+K374)=0,0,L374/(J374+K374)))</f>
        <v/>
      </c>
    </row>
    <row r="375">
      <c r="A375">
        <f>IF($B375="","",ROW()-5)</f>
        <v/>
      </c>
      <c r="D375">
        <f>IF($B375="","",IF(C375="","",TEXT(C375,"MMM")))</f>
        <v/>
      </c>
      <c r="M375">
        <f>IF($B375="","",IF((J375+K375)=0,0,L375/(J375+K375)))</f>
        <v/>
      </c>
    </row>
    <row r="376">
      <c r="A376">
        <f>IF($B376="","",ROW()-5)</f>
        <v/>
      </c>
      <c r="D376">
        <f>IF($B376="","",IF(C376="","",TEXT(C376,"MMM")))</f>
        <v/>
      </c>
      <c r="M376">
        <f>IF($B376="","",IF((J376+K376)=0,0,L376/(J376+K376)))</f>
        <v/>
      </c>
    </row>
    <row r="377">
      <c r="A377">
        <f>IF($B377="","",ROW()-5)</f>
        <v/>
      </c>
      <c r="D377">
        <f>IF($B377="","",IF(C377="","",TEXT(C377,"MMM")))</f>
        <v/>
      </c>
      <c r="M377">
        <f>IF($B377="","",IF((J377+K377)=0,0,L377/(J377+K377)))</f>
        <v/>
      </c>
    </row>
    <row r="378">
      <c r="A378">
        <f>IF($B378="","",ROW()-5)</f>
        <v/>
      </c>
      <c r="D378">
        <f>IF($B378="","",IF(C378="","",TEXT(C378,"MMM")))</f>
        <v/>
      </c>
      <c r="M378">
        <f>IF($B378="","",IF((J378+K378)=0,0,L378/(J378+K378)))</f>
        <v/>
      </c>
    </row>
    <row r="379">
      <c r="A379">
        <f>IF($B379="","",ROW()-5)</f>
        <v/>
      </c>
      <c r="D379">
        <f>IF($B379="","",IF(C379="","",TEXT(C379,"MMM")))</f>
        <v/>
      </c>
      <c r="M379">
        <f>IF($B379="","",IF((J379+K379)=0,0,L379/(J379+K379)))</f>
        <v/>
      </c>
    </row>
    <row r="380">
      <c r="A380">
        <f>IF($B380="","",ROW()-5)</f>
        <v/>
      </c>
      <c r="D380">
        <f>IF($B380="","",IF(C380="","",TEXT(C380,"MMM")))</f>
        <v/>
      </c>
      <c r="M380">
        <f>IF($B380="","",IF((J380+K380)=0,0,L380/(J380+K380)))</f>
        <v/>
      </c>
    </row>
    <row r="381">
      <c r="A381">
        <f>IF($B381="","",ROW()-5)</f>
        <v/>
      </c>
      <c r="D381">
        <f>IF($B381="","",IF(C381="","",TEXT(C381,"MMM")))</f>
        <v/>
      </c>
      <c r="M381">
        <f>IF($B381="","",IF((J381+K381)=0,0,L381/(J381+K381)))</f>
        <v/>
      </c>
    </row>
    <row r="382">
      <c r="A382">
        <f>IF($B382="","",ROW()-5)</f>
        <v/>
      </c>
      <c r="D382">
        <f>IF($B382="","",IF(C382="","",TEXT(C382,"MMM")))</f>
        <v/>
      </c>
      <c r="M382">
        <f>IF($B382="","",IF((J382+K382)=0,0,L382/(J382+K382)))</f>
        <v/>
      </c>
    </row>
    <row r="383">
      <c r="A383">
        <f>IF($B383="","",ROW()-5)</f>
        <v/>
      </c>
      <c r="D383">
        <f>IF($B383="","",IF(C383="","",TEXT(C383,"MMM")))</f>
        <v/>
      </c>
      <c r="M383">
        <f>IF($B383="","",IF((J383+K383)=0,0,L383/(J383+K383)))</f>
        <v/>
      </c>
    </row>
    <row r="384">
      <c r="A384">
        <f>IF($B384="","",ROW()-5)</f>
        <v/>
      </c>
      <c r="D384">
        <f>IF($B384="","",IF(C384="","",TEXT(C384,"MMM")))</f>
        <v/>
      </c>
      <c r="M384">
        <f>IF($B384="","",IF((J384+K384)=0,0,L384/(J384+K384)))</f>
        <v/>
      </c>
    </row>
    <row r="385">
      <c r="A385">
        <f>IF($B385="","",ROW()-5)</f>
        <v/>
      </c>
      <c r="D385">
        <f>IF($B385="","",IF(C385="","",TEXT(C385,"MMM")))</f>
        <v/>
      </c>
      <c r="M385">
        <f>IF($B385="","",IF((J385+K385)=0,0,L385/(J385+K385)))</f>
        <v/>
      </c>
    </row>
    <row r="386">
      <c r="A386">
        <f>IF($B386="","",ROW()-5)</f>
        <v/>
      </c>
      <c r="D386">
        <f>IF($B386="","",IF(C386="","",TEXT(C386,"MMM")))</f>
        <v/>
      </c>
      <c r="M386">
        <f>IF($B386="","",IF((J386+K386)=0,0,L386/(J386+K386)))</f>
        <v/>
      </c>
    </row>
    <row r="387">
      <c r="A387">
        <f>IF($B387="","",ROW()-5)</f>
        <v/>
      </c>
      <c r="D387">
        <f>IF($B387="","",IF(C387="","",TEXT(C387,"MMM")))</f>
        <v/>
      </c>
      <c r="M387">
        <f>IF($B387="","",IF((J387+K387)=0,0,L387/(J387+K387)))</f>
        <v/>
      </c>
    </row>
    <row r="388">
      <c r="A388">
        <f>IF($B388="","",ROW()-5)</f>
        <v/>
      </c>
      <c r="D388">
        <f>IF($B388="","",IF(C388="","",TEXT(C388,"MMM")))</f>
        <v/>
      </c>
      <c r="M388">
        <f>IF($B388="","",IF((J388+K388)=0,0,L388/(J388+K388)))</f>
        <v/>
      </c>
    </row>
    <row r="389">
      <c r="A389">
        <f>IF($B389="","",ROW()-5)</f>
        <v/>
      </c>
      <c r="D389">
        <f>IF($B389="","",IF(C389="","",TEXT(C389,"MMM")))</f>
        <v/>
      </c>
      <c r="M389">
        <f>IF($B389="","",IF((J389+K389)=0,0,L389/(J389+K389)))</f>
        <v/>
      </c>
    </row>
    <row r="390">
      <c r="A390">
        <f>IF($B390="","",ROW()-5)</f>
        <v/>
      </c>
      <c r="D390">
        <f>IF($B390="","",IF(C390="","",TEXT(C390,"MMM")))</f>
        <v/>
      </c>
      <c r="M390">
        <f>IF($B390="","",IF((J390+K390)=0,0,L390/(J390+K390)))</f>
        <v/>
      </c>
    </row>
    <row r="391">
      <c r="A391">
        <f>IF($B391="","",ROW()-5)</f>
        <v/>
      </c>
      <c r="D391">
        <f>IF($B391="","",IF(C391="","",TEXT(C391,"MMM")))</f>
        <v/>
      </c>
      <c r="M391">
        <f>IF($B391="","",IF((J391+K391)=0,0,L391/(J391+K391)))</f>
        <v/>
      </c>
    </row>
    <row r="392">
      <c r="A392">
        <f>IF($B392="","",ROW()-5)</f>
        <v/>
      </c>
      <c r="D392">
        <f>IF($B392="","",IF(C392="","",TEXT(C392,"MMM")))</f>
        <v/>
      </c>
      <c r="M392">
        <f>IF($B392="","",IF((J392+K392)=0,0,L392/(J392+K392)))</f>
        <v/>
      </c>
    </row>
    <row r="393">
      <c r="A393">
        <f>IF($B393="","",ROW()-5)</f>
        <v/>
      </c>
      <c r="D393">
        <f>IF($B393="","",IF(C393="","",TEXT(C393,"MMM")))</f>
        <v/>
      </c>
      <c r="M393">
        <f>IF($B393="","",IF((J393+K393)=0,0,L393/(J393+K393)))</f>
        <v/>
      </c>
    </row>
    <row r="394">
      <c r="A394">
        <f>IF($B394="","",ROW()-5)</f>
        <v/>
      </c>
      <c r="D394">
        <f>IF($B394="","",IF(C394="","",TEXT(C394,"MMM")))</f>
        <v/>
      </c>
      <c r="M394">
        <f>IF($B394="","",IF((J394+K394)=0,0,L394/(J394+K394)))</f>
        <v/>
      </c>
    </row>
    <row r="395">
      <c r="A395">
        <f>IF($B395="","",ROW()-5)</f>
        <v/>
      </c>
      <c r="D395">
        <f>IF($B395="","",IF(C395="","",TEXT(C395,"MMM")))</f>
        <v/>
      </c>
      <c r="M395">
        <f>IF($B395="","",IF((J395+K395)=0,0,L395/(J395+K395)))</f>
        <v/>
      </c>
    </row>
    <row r="396">
      <c r="A396">
        <f>IF($B396="","",ROW()-5)</f>
        <v/>
      </c>
      <c r="D396">
        <f>IF($B396="","",IF(C396="","",TEXT(C396,"MMM")))</f>
        <v/>
      </c>
      <c r="M396">
        <f>IF($B396="","",IF((J396+K396)=0,0,L396/(J396+K396)))</f>
        <v/>
      </c>
    </row>
    <row r="397">
      <c r="A397">
        <f>IF($B397="","",ROW()-5)</f>
        <v/>
      </c>
      <c r="D397">
        <f>IF($B397="","",IF(C397="","",TEXT(C397,"MMM")))</f>
        <v/>
      </c>
      <c r="M397">
        <f>IF($B397="","",IF((J397+K397)=0,0,L397/(J397+K397)))</f>
        <v/>
      </c>
    </row>
    <row r="398">
      <c r="A398">
        <f>IF($B398="","",ROW()-5)</f>
        <v/>
      </c>
      <c r="D398">
        <f>IF($B398="","",IF(C398="","",TEXT(C398,"MMM")))</f>
        <v/>
      </c>
      <c r="M398">
        <f>IF($B398="","",IF((J398+K398)=0,0,L398/(J398+K398)))</f>
        <v/>
      </c>
    </row>
    <row r="399">
      <c r="A399">
        <f>IF($B399="","",ROW()-5)</f>
        <v/>
      </c>
      <c r="D399">
        <f>IF($B399="","",IF(C399="","",TEXT(C399,"MMM")))</f>
        <v/>
      </c>
      <c r="M399">
        <f>IF($B399="","",IF((J399+K399)=0,0,L399/(J399+K399)))</f>
        <v/>
      </c>
    </row>
    <row r="400">
      <c r="A400">
        <f>IF($B400="","",ROW()-5)</f>
        <v/>
      </c>
      <c r="D400">
        <f>IF($B400="","",IF(C400="","",TEXT(C400,"MMM")))</f>
        <v/>
      </c>
      <c r="M400">
        <f>IF($B400="","",IF((J400+K400)=0,0,L400/(J400+K400)))</f>
        <v/>
      </c>
    </row>
    <row r="401">
      <c r="A401">
        <f>IF($B401="","",ROW()-5)</f>
        <v/>
      </c>
      <c r="D401">
        <f>IF($B401="","",IF(C401="","",TEXT(C401,"MMM")))</f>
        <v/>
      </c>
      <c r="M401">
        <f>IF($B401="","",IF((J401+K401)=0,0,L401/(J401+K401)))</f>
        <v/>
      </c>
    </row>
    <row r="402">
      <c r="A402">
        <f>IF($B402="","",ROW()-5)</f>
        <v/>
      </c>
      <c r="D402">
        <f>IF($B402="","",IF(C402="","",TEXT(C402,"MMM")))</f>
        <v/>
      </c>
      <c r="M402">
        <f>IF($B402="","",IF((J402+K402)=0,0,L402/(J402+K402)))</f>
        <v/>
      </c>
    </row>
    <row r="403">
      <c r="A403">
        <f>IF($B403="","",ROW()-5)</f>
        <v/>
      </c>
      <c r="D403">
        <f>IF($B403="","",IF(C403="","",TEXT(C403,"MMM")))</f>
        <v/>
      </c>
      <c r="M403">
        <f>IF($B403="","",IF((J403+K403)=0,0,L403/(J403+K403)))</f>
        <v/>
      </c>
    </row>
    <row r="404">
      <c r="A404">
        <f>IF($B404="","",ROW()-5)</f>
        <v/>
      </c>
      <c r="D404">
        <f>IF($B404="","",IF(C404="","",TEXT(C404,"MMM")))</f>
        <v/>
      </c>
      <c r="M404">
        <f>IF($B404="","",IF((J404+K404)=0,0,L404/(J404+K404)))</f>
        <v/>
      </c>
    </row>
    <row r="405">
      <c r="A405">
        <f>IF($B405="","",ROW()-5)</f>
        <v/>
      </c>
      <c r="D405">
        <f>IF($B405="","",IF(C405="","",TEXT(C405,"MMM")))</f>
        <v/>
      </c>
      <c r="M405">
        <f>IF($B405="","",IF((J405+K405)=0,0,L405/(J405+K405)))</f>
        <v/>
      </c>
    </row>
    <row r="406">
      <c r="A406">
        <f>IF($B406="","",ROW()-5)</f>
        <v/>
      </c>
      <c r="D406">
        <f>IF($B406="","",IF(C406="","",TEXT(C406,"MMM")))</f>
        <v/>
      </c>
      <c r="M406">
        <f>IF($B406="","",IF((J406+K406)=0,0,L406/(J406+K406)))</f>
        <v/>
      </c>
    </row>
    <row r="407">
      <c r="A407">
        <f>IF($B407="","",ROW()-5)</f>
        <v/>
      </c>
      <c r="D407">
        <f>IF($B407="","",IF(C407="","",TEXT(C407,"MMM")))</f>
        <v/>
      </c>
      <c r="M407">
        <f>IF($B407="","",IF((J407+K407)=0,0,L407/(J407+K407)))</f>
        <v/>
      </c>
    </row>
    <row r="408">
      <c r="A408">
        <f>IF($B408="","",ROW()-5)</f>
        <v/>
      </c>
      <c r="D408">
        <f>IF($B408="","",IF(C408="","",TEXT(C408,"MMM")))</f>
        <v/>
      </c>
      <c r="M408">
        <f>IF($B408="","",IF((J408+K408)=0,0,L408/(J408+K408)))</f>
        <v/>
      </c>
    </row>
    <row r="409">
      <c r="A409">
        <f>IF($B409="","",ROW()-5)</f>
        <v/>
      </c>
      <c r="D409">
        <f>IF($B409="","",IF(C409="","",TEXT(C409,"MMM")))</f>
        <v/>
      </c>
      <c r="M409">
        <f>IF($B409="","",IF((J409+K409)=0,0,L409/(J409+K409)))</f>
        <v/>
      </c>
    </row>
    <row r="410">
      <c r="A410">
        <f>IF($B410="","",ROW()-5)</f>
        <v/>
      </c>
      <c r="D410">
        <f>IF($B410="","",IF(C410="","",TEXT(C410,"MMM")))</f>
        <v/>
      </c>
      <c r="M410">
        <f>IF($B410="","",IF((J410+K410)=0,0,L410/(J410+K410)))</f>
        <v/>
      </c>
    </row>
    <row r="411">
      <c r="A411">
        <f>IF($B411="","",ROW()-5)</f>
        <v/>
      </c>
      <c r="D411">
        <f>IF($B411="","",IF(C411="","",TEXT(C411,"MMM")))</f>
        <v/>
      </c>
      <c r="M411">
        <f>IF($B411="","",IF((J411+K411)=0,0,L411/(J411+K411)))</f>
        <v/>
      </c>
    </row>
    <row r="412">
      <c r="A412">
        <f>IF($B412="","",ROW()-5)</f>
        <v/>
      </c>
      <c r="D412">
        <f>IF($B412="","",IF(C412="","",TEXT(C412,"MMM")))</f>
        <v/>
      </c>
      <c r="M412">
        <f>IF($B412="","",IF((J412+K412)=0,0,L412/(J412+K412)))</f>
        <v/>
      </c>
    </row>
    <row r="413">
      <c r="A413">
        <f>IF($B413="","",ROW()-5)</f>
        <v/>
      </c>
      <c r="D413">
        <f>IF($B413="","",IF(C413="","",TEXT(C413,"MMM")))</f>
        <v/>
      </c>
      <c r="M413">
        <f>IF($B413="","",IF((J413+K413)=0,0,L413/(J413+K413)))</f>
        <v/>
      </c>
    </row>
    <row r="414">
      <c r="A414">
        <f>IF($B414="","",ROW()-5)</f>
        <v/>
      </c>
      <c r="D414">
        <f>IF($B414="","",IF(C414="","",TEXT(C414,"MMM")))</f>
        <v/>
      </c>
      <c r="M414">
        <f>IF($B414="","",IF((J414+K414)=0,0,L414/(J414+K414)))</f>
        <v/>
      </c>
    </row>
    <row r="415">
      <c r="A415">
        <f>IF($B415="","",ROW()-5)</f>
        <v/>
      </c>
      <c r="D415">
        <f>IF($B415="","",IF(C415="","",TEXT(C415,"MMM")))</f>
        <v/>
      </c>
      <c r="M415">
        <f>IF($B415="","",IF((J415+K415)=0,0,L415/(J415+K415)))</f>
        <v/>
      </c>
    </row>
    <row r="416">
      <c r="A416">
        <f>IF($B416="","",ROW()-5)</f>
        <v/>
      </c>
      <c r="D416">
        <f>IF($B416="","",IF(C416="","",TEXT(C416,"MMM")))</f>
        <v/>
      </c>
      <c r="M416">
        <f>IF($B416="","",IF((J416+K416)=0,0,L416/(J416+K416)))</f>
        <v/>
      </c>
    </row>
    <row r="417">
      <c r="A417">
        <f>IF($B417="","",ROW()-5)</f>
        <v/>
      </c>
      <c r="D417">
        <f>IF($B417="","",IF(C417="","",TEXT(C417,"MMM")))</f>
        <v/>
      </c>
      <c r="M417">
        <f>IF($B417="","",IF((J417+K417)=0,0,L417/(J417+K417)))</f>
        <v/>
      </c>
    </row>
    <row r="418">
      <c r="A418">
        <f>IF($B418="","",ROW()-5)</f>
        <v/>
      </c>
      <c r="D418">
        <f>IF($B418="","",IF(C418="","",TEXT(C418,"MMM")))</f>
        <v/>
      </c>
      <c r="M418">
        <f>IF($B418="","",IF((J418+K418)=0,0,L418/(J418+K418)))</f>
        <v/>
      </c>
    </row>
    <row r="419">
      <c r="A419">
        <f>IF($B419="","",ROW()-5)</f>
        <v/>
      </c>
      <c r="D419">
        <f>IF($B419="","",IF(C419="","",TEXT(C419,"MMM")))</f>
        <v/>
      </c>
      <c r="M419">
        <f>IF($B419="","",IF((J419+K419)=0,0,L419/(J419+K419)))</f>
        <v/>
      </c>
    </row>
    <row r="420">
      <c r="A420">
        <f>IF($B420="","",ROW()-5)</f>
        <v/>
      </c>
      <c r="D420">
        <f>IF($B420="","",IF(C420="","",TEXT(C420,"MMM")))</f>
        <v/>
      </c>
      <c r="M420">
        <f>IF($B420="","",IF((J420+K420)=0,0,L420/(J420+K420)))</f>
        <v/>
      </c>
    </row>
    <row r="421">
      <c r="A421">
        <f>IF($B421="","",ROW()-5)</f>
        <v/>
      </c>
      <c r="D421">
        <f>IF($B421="","",IF(C421="","",TEXT(C421,"MMM")))</f>
        <v/>
      </c>
      <c r="M421">
        <f>IF($B421="","",IF((J421+K421)=0,0,L421/(J421+K421)))</f>
        <v/>
      </c>
    </row>
    <row r="422">
      <c r="A422">
        <f>IF($B422="","",ROW()-5)</f>
        <v/>
      </c>
      <c r="D422">
        <f>IF($B422="","",IF(C422="","",TEXT(C422,"MMM")))</f>
        <v/>
      </c>
      <c r="M422">
        <f>IF($B422="","",IF((J422+K422)=0,0,L422/(J422+K422)))</f>
        <v/>
      </c>
    </row>
    <row r="423">
      <c r="A423">
        <f>IF($B423="","",ROW()-5)</f>
        <v/>
      </c>
      <c r="D423">
        <f>IF($B423="","",IF(C423="","",TEXT(C423,"MMM")))</f>
        <v/>
      </c>
      <c r="M423">
        <f>IF($B423="","",IF((J423+K423)=0,0,L423/(J423+K423)))</f>
        <v/>
      </c>
    </row>
    <row r="424">
      <c r="A424">
        <f>IF($B424="","",ROW()-5)</f>
        <v/>
      </c>
      <c r="D424">
        <f>IF($B424="","",IF(C424="","",TEXT(C424,"MMM")))</f>
        <v/>
      </c>
      <c r="M424">
        <f>IF($B424="","",IF((J424+K424)=0,0,L424/(J424+K424)))</f>
        <v/>
      </c>
    </row>
    <row r="425">
      <c r="A425">
        <f>IF($B425="","",ROW()-5)</f>
        <v/>
      </c>
      <c r="D425">
        <f>IF($B425="","",IF(C425="","",TEXT(C425,"MMM")))</f>
        <v/>
      </c>
      <c r="M425">
        <f>IF($B425="","",IF((J425+K425)=0,0,L425/(J425+K425)))</f>
        <v/>
      </c>
    </row>
    <row r="426">
      <c r="A426">
        <f>IF($B426="","",ROW()-5)</f>
        <v/>
      </c>
      <c r="D426">
        <f>IF($B426="","",IF(C426="","",TEXT(C426,"MMM")))</f>
        <v/>
      </c>
      <c r="M426">
        <f>IF($B426="","",IF((J426+K426)=0,0,L426/(J426+K426)))</f>
        <v/>
      </c>
    </row>
    <row r="427">
      <c r="A427">
        <f>IF($B427="","",ROW()-5)</f>
        <v/>
      </c>
      <c r="D427">
        <f>IF($B427="","",IF(C427="","",TEXT(C427,"MMM")))</f>
        <v/>
      </c>
      <c r="M427">
        <f>IF($B427="","",IF((J427+K427)=0,0,L427/(J427+K427)))</f>
        <v/>
      </c>
    </row>
    <row r="428">
      <c r="A428">
        <f>IF($B428="","",ROW()-5)</f>
        <v/>
      </c>
      <c r="D428">
        <f>IF($B428="","",IF(C428="","",TEXT(C428,"MMM")))</f>
        <v/>
      </c>
      <c r="M428">
        <f>IF($B428="","",IF((J428+K428)=0,0,L428/(J428+K428)))</f>
        <v/>
      </c>
    </row>
    <row r="429">
      <c r="A429">
        <f>IF($B429="","",ROW()-5)</f>
        <v/>
      </c>
      <c r="D429">
        <f>IF($B429="","",IF(C429="","",TEXT(C429,"MMM")))</f>
        <v/>
      </c>
      <c r="M429">
        <f>IF($B429="","",IF((J429+K429)=0,0,L429/(J429+K429)))</f>
        <v/>
      </c>
    </row>
    <row r="430">
      <c r="A430">
        <f>IF($B430="","",ROW()-5)</f>
        <v/>
      </c>
      <c r="D430">
        <f>IF($B430="","",IF(C430="","",TEXT(C430,"MMM")))</f>
        <v/>
      </c>
      <c r="M430">
        <f>IF($B430="","",IF((J430+K430)=0,0,L430/(J430+K430)))</f>
        <v/>
      </c>
    </row>
    <row r="431">
      <c r="A431">
        <f>IF($B431="","",ROW()-5)</f>
        <v/>
      </c>
      <c r="D431">
        <f>IF($B431="","",IF(C431="","",TEXT(C431,"MMM")))</f>
        <v/>
      </c>
      <c r="M431">
        <f>IF($B431="","",IF((J431+K431)=0,0,L431/(J431+K431)))</f>
        <v/>
      </c>
    </row>
    <row r="432">
      <c r="A432">
        <f>IF($B432="","",ROW()-5)</f>
        <v/>
      </c>
      <c r="D432">
        <f>IF($B432="","",IF(C432="","",TEXT(C432,"MMM")))</f>
        <v/>
      </c>
      <c r="M432">
        <f>IF($B432="","",IF((J432+K432)=0,0,L432/(J432+K432)))</f>
        <v/>
      </c>
    </row>
    <row r="433">
      <c r="A433">
        <f>IF($B433="","",ROW()-5)</f>
        <v/>
      </c>
      <c r="D433">
        <f>IF($B433="","",IF(C433="","",TEXT(C433,"MMM")))</f>
        <v/>
      </c>
      <c r="M433">
        <f>IF($B433="","",IF((J433+K433)=0,0,L433/(J433+K433)))</f>
        <v/>
      </c>
    </row>
    <row r="434">
      <c r="A434">
        <f>IF($B434="","",ROW()-5)</f>
        <v/>
      </c>
      <c r="D434">
        <f>IF($B434="","",IF(C434="","",TEXT(C434,"MMM")))</f>
        <v/>
      </c>
      <c r="M434">
        <f>IF($B434="","",IF((J434+K434)=0,0,L434/(J434+K434)))</f>
        <v/>
      </c>
    </row>
    <row r="435">
      <c r="A435">
        <f>IF($B435="","",ROW()-5)</f>
        <v/>
      </c>
      <c r="D435">
        <f>IF($B435="","",IF(C435="","",TEXT(C435,"MMM")))</f>
        <v/>
      </c>
      <c r="M435">
        <f>IF($B435="","",IF((J435+K435)=0,0,L435/(J435+K435)))</f>
        <v/>
      </c>
    </row>
    <row r="436">
      <c r="A436">
        <f>IF($B436="","",ROW()-5)</f>
        <v/>
      </c>
      <c r="D436">
        <f>IF($B436="","",IF(C436="","",TEXT(C436,"MMM")))</f>
        <v/>
      </c>
      <c r="M436">
        <f>IF($B436="","",IF((J436+K436)=0,0,L436/(J436+K436)))</f>
        <v/>
      </c>
    </row>
    <row r="437">
      <c r="A437">
        <f>IF($B437="","",ROW()-5)</f>
        <v/>
      </c>
      <c r="D437">
        <f>IF($B437="","",IF(C437="","",TEXT(C437,"MMM")))</f>
        <v/>
      </c>
      <c r="M437">
        <f>IF($B437="","",IF((J437+K437)=0,0,L437/(J437+K437)))</f>
        <v/>
      </c>
    </row>
    <row r="438">
      <c r="A438">
        <f>IF($B438="","",ROW()-5)</f>
        <v/>
      </c>
      <c r="D438">
        <f>IF($B438="","",IF(C438="","",TEXT(C438,"MMM")))</f>
        <v/>
      </c>
      <c r="M438">
        <f>IF($B438="","",IF((J438+K438)=0,0,L438/(J438+K438)))</f>
        <v/>
      </c>
    </row>
    <row r="439">
      <c r="A439">
        <f>IF($B439="","",ROW()-5)</f>
        <v/>
      </c>
      <c r="D439">
        <f>IF($B439="","",IF(C439="","",TEXT(C439,"MMM")))</f>
        <v/>
      </c>
      <c r="M439">
        <f>IF($B439="","",IF((J439+K439)=0,0,L439/(J439+K439)))</f>
        <v/>
      </c>
    </row>
    <row r="440">
      <c r="A440">
        <f>IF($B440="","",ROW()-5)</f>
        <v/>
      </c>
      <c r="D440">
        <f>IF($B440="","",IF(C440="","",TEXT(C440,"MMM")))</f>
        <v/>
      </c>
      <c r="M440">
        <f>IF($B440="","",IF((J440+K440)=0,0,L440/(J440+K440)))</f>
        <v/>
      </c>
    </row>
    <row r="441">
      <c r="A441">
        <f>IF($B441="","",ROW()-5)</f>
        <v/>
      </c>
      <c r="D441">
        <f>IF($B441="","",IF(C441="","",TEXT(C441,"MMM")))</f>
        <v/>
      </c>
      <c r="M441">
        <f>IF($B441="","",IF((J441+K441)=0,0,L441/(J441+K441)))</f>
        <v/>
      </c>
    </row>
    <row r="442">
      <c r="A442">
        <f>IF($B442="","",ROW()-5)</f>
        <v/>
      </c>
      <c r="D442">
        <f>IF($B442="","",IF(C442="","",TEXT(C442,"MMM")))</f>
        <v/>
      </c>
      <c r="M442">
        <f>IF($B442="","",IF((J442+K442)=0,0,L442/(J442+K442)))</f>
        <v/>
      </c>
    </row>
    <row r="443">
      <c r="A443">
        <f>IF($B443="","",ROW()-5)</f>
        <v/>
      </c>
      <c r="D443">
        <f>IF($B443="","",IF(C443="","",TEXT(C443,"MMM")))</f>
        <v/>
      </c>
      <c r="M443">
        <f>IF($B443="","",IF((J443+K443)=0,0,L443/(J443+K443)))</f>
        <v/>
      </c>
    </row>
    <row r="444">
      <c r="A444">
        <f>IF($B444="","",ROW()-5)</f>
        <v/>
      </c>
      <c r="D444">
        <f>IF($B444="","",IF(C444="","",TEXT(C444,"MMM")))</f>
        <v/>
      </c>
      <c r="M444">
        <f>IF($B444="","",IF((J444+K444)=0,0,L444/(J444+K444)))</f>
        <v/>
      </c>
    </row>
    <row r="445">
      <c r="A445">
        <f>IF($B445="","",ROW()-5)</f>
        <v/>
      </c>
      <c r="D445">
        <f>IF($B445="","",IF(C445="","",TEXT(C445,"MMM")))</f>
        <v/>
      </c>
      <c r="M445">
        <f>IF($B445="","",IF((J445+K445)=0,0,L445/(J445+K445)))</f>
        <v/>
      </c>
    </row>
    <row r="446">
      <c r="A446">
        <f>IF($B446="","",ROW()-5)</f>
        <v/>
      </c>
      <c r="D446">
        <f>IF($B446="","",IF(C446="","",TEXT(C446,"MMM")))</f>
        <v/>
      </c>
      <c r="M446">
        <f>IF($B446="","",IF((J446+K446)=0,0,L446/(J446+K446)))</f>
        <v/>
      </c>
    </row>
    <row r="447">
      <c r="A447">
        <f>IF($B447="","",ROW()-5)</f>
        <v/>
      </c>
      <c r="D447">
        <f>IF($B447="","",IF(C447="","",TEXT(C447,"MMM")))</f>
        <v/>
      </c>
      <c r="M447">
        <f>IF($B447="","",IF((J447+K447)=0,0,L447/(J447+K447)))</f>
        <v/>
      </c>
    </row>
    <row r="448">
      <c r="A448">
        <f>IF($B448="","",ROW()-5)</f>
        <v/>
      </c>
      <c r="D448">
        <f>IF($B448="","",IF(C448="","",TEXT(C448,"MMM")))</f>
        <v/>
      </c>
      <c r="M448">
        <f>IF($B448="","",IF((J448+K448)=0,0,L448/(J448+K448)))</f>
        <v/>
      </c>
    </row>
    <row r="449">
      <c r="A449">
        <f>IF($B449="","",ROW()-5)</f>
        <v/>
      </c>
      <c r="D449">
        <f>IF($B449="","",IF(C449="","",TEXT(C449,"MMM")))</f>
        <v/>
      </c>
      <c r="M449">
        <f>IF($B449="","",IF((J449+K449)=0,0,L449/(J449+K449)))</f>
        <v/>
      </c>
    </row>
    <row r="450">
      <c r="A450">
        <f>IF($B450="","",ROW()-5)</f>
        <v/>
      </c>
      <c r="D450">
        <f>IF($B450="","",IF(C450="","",TEXT(C450,"MMM")))</f>
        <v/>
      </c>
      <c r="M450">
        <f>IF($B450="","",IF((J450+K450)=0,0,L450/(J450+K450)))</f>
        <v/>
      </c>
    </row>
    <row r="451">
      <c r="A451">
        <f>IF($B451="","",ROW()-5)</f>
        <v/>
      </c>
      <c r="D451">
        <f>IF($B451="","",IF(C451="","",TEXT(C451,"MMM")))</f>
        <v/>
      </c>
      <c r="M451">
        <f>IF($B451="","",IF((J451+K451)=0,0,L451/(J451+K451)))</f>
        <v/>
      </c>
    </row>
    <row r="452">
      <c r="A452">
        <f>IF($B452="","",ROW()-5)</f>
        <v/>
      </c>
      <c r="D452">
        <f>IF($B452="","",IF(C452="","",TEXT(C452,"MMM")))</f>
        <v/>
      </c>
      <c r="M452">
        <f>IF($B452="","",IF((J452+K452)=0,0,L452/(J452+K452)))</f>
        <v/>
      </c>
    </row>
    <row r="453">
      <c r="A453">
        <f>IF($B453="","",ROW()-5)</f>
        <v/>
      </c>
      <c r="D453">
        <f>IF($B453="","",IF(C453="","",TEXT(C453,"MMM")))</f>
        <v/>
      </c>
      <c r="M453">
        <f>IF($B453="","",IF((J453+K453)=0,0,L453/(J453+K453)))</f>
        <v/>
      </c>
    </row>
    <row r="454">
      <c r="A454">
        <f>IF($B454="","",ROW()-5)</f>
        <v/>
      </c>
      <c r="D454">
        <f>IF($B454="","",IF(C454="","",TEXT(C454,"MMM")))</f>
        <v/>
      </c>
      <c r="M454">
        <f>IF($B454="","",IF((J454+K454)=0,0,L454/(J454+K454)))</f>
        <v/>
      </c>
    </row>
    <row r="455">
      <c r="A455">
        <f>IF($B455="","",ROW()-5)</f>
        <v/>
      </c>
      <c r="D455">
        <f>IF($B455="","",IF(C455="","",TEXT(C455,"MMM")))</f>
        <v/>
      </c>
      <c r="M455">
        <f>IF($B455="","",IF((J455+K455)=0,0,L455/(J455+K455)))</f>
        <v/>
      </c>
    </row>
    <row r="456">
      <c r="A456">
        <f>IF($B456="","",ROW()-5)</f>
        <v/>
      </c>
      <c r="D456">
        <f>IF($B456="","",IF(C456="","",TEXT(C456,"MMM")))</f>
        <v/>
      </c>
      <c r="M456">
        <f>IF($B456="","",IF((J456+K456)=0,0,L456/(J456+K456)))</f>
        <v/>
      </c>
    </row>
    <row r="457">
      <c r="A457">
        <f>IF($B457="","",ROW()-5)</f>
        <v/>
      </c>
      <c r="D457">
        <f>IF($B457="","",IF(C457="","",TEXT(C457,"MMM")))</f>
        <v/>
      </c>
      <c r="M457">
        <f>IF($B457="","",IF((J457+K457)=0,0,L457/(J457+K457)))</f>
        <v/>
      </c>
    </row>
    <row r="458">
      <c r="A458">
        <f>IF($B458="","",ROW()-5)</f>
        <v/>
      </c>
      <c r="D458">
        <f>IF($B458="","",IF(C458="","",TEXT(C458,"MMM")))</f>
        <v/>
      </c>
      <c r="M458">
        <f>IF($B458="","",IF((J458+K458)=0,0,L458/(J458+K458)))</f>
        <v/>
      </c>
    </row>
    <row r="459">
      <c r="A459">
        <f>IF($B459="","",ROW()-5)</f>
        <v/>
      </c>
      <c r="D459">
        <f>IF($B459="","",IF(C459="","",TEXT(C459,"MMM")))</f>
        <v/>
      </c>
      <c r="M459">
        <f>IF($B459="","",IF((J459+K459)=0,0,L459/(J459+K459)))</f>
        <v/>
      </c>
    </row>
    <row r="460">
      <c r="A460">
        <f>IF($B460="","",ROW()-5)</f>
        <v/>
      </c>
      <c r="D460">
        <f>IF($B460="","",IF(C460="","",TEXT(C460,"MMM")))</f>
        <v/>
      </c>
      <c r="M460">
        <f>IF($B460="","",IF((J460+K460)=0,0,L460/(J460+K460)))</f>
        <v/>
      </c>
    </row>
    <row r="461">
      <c r="A461">
        <f>IF($B461="","",ROW()-5)</f>
        <v/>
      </c>
      <c r="D461">
        <f>IF($B461="","",IF(C461="","",TEXT(C461,"MMM")))</f>
        <v/>
      </c>
      <c r="M461">
        <f>IF($B461="","",IF((J461+K461)=0,0,L461/(J461+K461)))</f>
        <v/>
      </c>
    </row>
    <row r="462">
      <c r="A462">
        <f>IF($B462="","",ROW()-5)</f>
        <v/>
      </c>
      <c r="D462">
        <f>IF($B462="","",IF(C462="","",TEXT(C462,"MMM")))</f>
        <v/>
      </c>
      <c r="M462">
        <f>IF($B462="","",IF((J462+K462)=0,0,L462/(J462+K462)))</f>
        <v/>
      </c>
    </row>
    <row r="463">
      <c r="A463">
        <f>IF($B463="","",ROW()-5)</f>
        <v/>
      </c>
      <c r="D463">
        <f>IF($B463="","",IF(C463="","",TEXT(C463,"MMM")))</f>
        <v/>
      </c>
      <c r="M463">
        <f>IF($B463="","",IF((J463+K463)=0,0,L463/(J463+K463)))</f>
        <v/>
      </c>
    </row>
    <row r="464">
      <c r="A464">
        <f>IF($B464="","",ROW()-5)</f>
        <v/>
      </c>
      <c r="D464">
        <f>IF($B464="","",IF(C464="","",TEXT(C464,"MMM")))</f>
        <v/>
      </c>
      <c r="M464">
        <f>IF($B464="","",IF((J464+K464)=0,0,L464/(J464+K464)))</f>
        <v/>
      </c>
    </row>
    <row r="465">
      <c r="A465">
        <f>IF($B465="","",ROW()-5)</f>
        <v/>
      </c>
      <c r="D465">
        <f>IF($B465="","",IF(C465="","",TEXT(C465,"MMM")))</f>
        <v/>
      </c>
      <c r="M465">
        <f>IF($B465="","",IF((J465+K465)=0,0,L465/(J465+K465)))</f>
        <v/>
      </c>
    </row>
    <row r="466">
      <c r="A466">
        <f>IF($B466="","",ROW()-5)</f>
        <v/>
      </c>
      <c r="D466">
        <f>IF($B466="","",IF(C466="","",TEXT(C466,"MMM")))</f>
        <v/>
      </c>
      <c r="M466">
        <f>IF($B466="","",IF((J466+K466)=0,0,L466/(J466+K466)))</f>
        <v/>
      </c>
    </row>
    <row r="467">
      <c r="A467">
        <f>IF($B467="","",ROW()-5)</f>
        <v/>
      </c>
      <c r="D467">
        <f>IF($B467="","",IF(C467="","",TEXT(C467,"MMM")))</f>
        <v/>
      </c>
      <c r="M467">
        <f>IF($B467="","",IF((J467+K467)=0,0,L467/(J467+K467)))</f>
        <v/>
      </c>
    </row>
    <row r="468">
      <c r="A468">
        <f>IF($B468="","",ROW()-5)</f>
        <v/>
      </c>
      <c r="D468">
        <f>IF($B468="","",IF(C468="","",TEXT(C468,"MMM")))</f>
        <v/>
      </c>
      <c r="M468">
        <f>IF($B468="","",IF((J468+K468)=0,0,L468/(J468+K468)))</f>
        <v/>
      </c>
    </row>
    <row r="469">
      <c r="A469">
        <f>IF($B469="","",ROW()-5)</f>
        <v/>
      </c>
      <c r="D469">
        <f>IF($B469="","",IF(C469="","",TEXT(C469,"MMM")))</f>
        <v/>
      </c>
      <c r="M469">
        <f>IF($B469="","",IF((J469+K469)=0,0,L469/(J469+K469)))</f>
        <v/>
      </c>
    </row>
    <row r="470">
      <c r="A470">
        <f>IF($B470="","",ROW()-5)</f>
        <v/>
      </c>
      <c r="D470">
        <f>IF($B470="","",IF(C470="","",TEXT(C470,"MMM")))</f>
        <v/>
      </c>
      <c r="M470">
        <f>IF($B470="","",IF((J470+K470)=0,0,L470/(J470+K470)))</f>
        <v/>
      </c>
    </row>
    <row r="471">
      <c r="A471">
        <f>IF($B471="","",ROW()-5)</f>
        <v/>
      </c>
      <c r="D471">
        <f>IF($B471="","",IF(C471="","",TEXT(C471,"MMM")))</f>
        <v/>
      </c>
      <c r="M471">
        <f>IF($B471="","",IF((J471+K471)=0,0,L471/(J471+K471)))</f>
        <v/>
      </c>
    </row>
    <row r="472">
      <c r="A472">
        <f>IF($B472="","",ROW()-5)</f>
        <v/>
      </c>
      <c r="D472">
        <f>IF($B472="","",IF(C472="","",TEXT(C472,"MMM")))</f>
        <v/>
      </c>
      <c r="M472">
        <f>IF($B472="","",IF((J472+K472)=0,0,L472/(J472+K472)))</f>
        <v/>
      </c>
    </row>
    <row r="473">
      <c r="A473">
        <f>IF($B473="","",ROW()-5)</f>
        <v/>
      </c>
      <c r="D473">
        <f>IF($B473="","",IF(C473="","",TEXT(C473,"MMM")))</f>
        <v/>
      </c>
      <c r="M473">
        <f>IF($B473="","",IF((J473+K473)=0,0,L473/(J473+K473)))</f>
        <v/>
      </c>
    </row>
    <row r="474">
      <c r="A474">
        <f>IF($B474="","",ROW()-5)</f>
        <v/>
      </c>
      <c r="D474">
        <f>IF($B474="","",IF(C474="","",TEXT(C474,"MMM")))</f>
        <v/>
      </c>
      <c r="M474">
        <f>IF($B474="","",IF((J474+K474)=0,0,L474/(J474+K474)))</f>
        <v/>
      </c>
    </row>
    <row r="475">
      <c r="A475">
        <f>IF($B475="","",ROW()-5)</f>
        <v/>
      </c>
      <c r="D475">
        <f>IF($B475="","",IF(C475="","",TEXT(C475,"MMM")))</f>
        <v/>
      </c>
      <c r="M475">
        <f>IF($B475="","",IF((J475+K475)=0,0,L475/(J475+K475)))</f>
        <v/>
      </c>
    </row>
    <row r="476">
      <c r="A476">
        <f>IF($B476="","",ROW()-5)</f>
        <v/>
      </c>
      <c r="D476">
        <f>IF($B476="","",IF(C476="","",TEXT(C476,"MMM")))</f>
        <v/>
      </c>
      <c r="M476">
        <f>IF($B476="","",IF((J476+K476)=0,0,L476/(J476+K476)))</f>
        <v/>
      </c>
    </row>
    <row r="477">
      <c r="A477">
        <f>IF($B477="","",ROW()-5)</f>
        <v/>
      </c>
      <c r="D477">
        <f>IF($B477="","",IF(C477="","",TEXT(C477,"MMM")))</f>
        <v/>
      </c>
      <c r="M477">
        <f>IF($B477="","",IF((J477+K477)=0,0,L477/(J477+K477)))</f>
        <v/>
      </c>
    </row>
    <row r="478">
      <c r="A478">
        <f>IF($B478="","",ROW()-5)</f>
        <v/>
      </c>
      <c r="D478">
        <f>IF($B478="","",IF(C478="","",TEXT(C478,"MMM")))</f>
        <v/>
      </c>
      <c r="M478">
        <f>IF($B478="","",IF((J478+K478)=0,0,L478/(J478+K478)))</f>
        <v/>
      </c>
    </row>
    <row r="479">
      <c r="A479">
        <f>IF($B479="","",ROW()-5)</f>
        <v/>
      </c>
      <c r="D479">
        <f>IF($B479="","",IF(C479="","",TEXT(C479,"MMM")))</f>
        <v/>
      </c>
      <c r="M479">
        <f>IF($B479="","",IF((J479+K479)=0,0,L479/(J479+K479)))</f>
        <v/>
      </c>
    </row>
    <row r="480">
      <c r="A480">
        <f>IF($B480="","",ROW()-5)</f>
        <v/>
      </c>
      <c r="D480">
        <f>IF($B480="","",IF(C480="","",TEXT(C480,"MMM")))</f>
        <v/>
      </c>
      <c r="M480">
        <f>IF($B480="","",IF((J480+K480)=0,0,L480/(J480+K480)))</f>
        <v/>
      </c>
    </row>
    <row r="481">
      <c r="A481">
        <f>IF($B481="","",ROW()-5)</f>
        <v/>
      </c>
      <c r="D481">
        <f>IF($B481="","",IF(C481="","",TEXT(C481,"MMM")))</f>
        <v/>
      </c>
      <c r="M481">
        <f>IF($B481="","",IF((J481+K481)=0,0,L481/(J481+K481)))</f>
        <v/>
      </c>
    </row>
    <row r="482">
      <c r="A482">
        <f>IF($B482="","",ROW()-5)</f>
        <v/>
      </c>
      <c r="D482">
        <f>IF($B482="","",IF(C482="","",TEXT(C482,"MMM")))</f>
        <v/>
      </c>
      <c r="M482">
        <f>IF($B482="","",IF((J482+K482)=0,0,L482/(J482+K482)))</f>
        <v/>
      </c>
    </row>
    <row r="483">
      <c r="A483">
        <f>IF($B483="","",ROW()-5)</f>
        <v/>
      </c>
      <c r="D483">
        <f>IF($B483="","",IF(C483="","",TEXT(C483,"MMM")))</f>
        <v/>
      </c>
      <c r="M483">
        <f>IF($B483="","",IF((J483+K483)=0,0,L483/(J483+K483)))</f>
        <v/>
      </c>
    </row>
    <row r="484">
      <c r="A484">
        <f>IF($B484="","",ROW()-5)</f>
        <v/>
      </c>
      <c r="D484">
        <f>IF($B484="","",IF(C484="","",TEXT(C484,"MMM")))</f>
        <v/>
      </c>
      <c r="M484">
        <f>IF($B484="","",IF((J484+K484)=0,0,L484/(J484+K484)))</f>
        <v/>
      </c>
    </row>
    <row r="485">
      <c r="A485">
        <f>IF($B485="","",ROW()-5)</f>
        <v/>
      </c>
      <c r="D485">
        <f>IF($B485="","",IF(C485="","",TEXT(C485,"MMM")))</f>
        <v/>
      </c>
      <c r="M485">
        <f>IF($B485="","",IF((J485+K485)=0,0,L485/(J485+K485)))</f>
        <v/>
      </c>
    </row>
    <row r="486">
      <c r="A486">
        <f>IF($B486="","",ROW()-5)</f>
        <v/>
      </c>
      <c r="D486">
        <f>IF($B486="","",IF(C486="","",TEXT(C486,"MMM")))</f>
        <v/>
      </c>
      <c r="M486">
        <f>IF($B486="","",IF((J486+K486)=0,0,L486/(J486+K486)))</f>
        <v/>
      </c>
    </row>
    <row r="487">
      <c r="A487">
        <f>IF($B487="","",ROW()-5)</f>
        <v/>
      </c>
      <c r="D487">
        <f>IF($B487="","",IF(C487="","",TEXT(C487,"MMM")))</f>
        <v/>
      </c>
      <c r="M487">
        <f>IF($B487="","",IF((J487+K487)=0,0,L487/(J487+K487)))</f>
        <v/>
      </c>
    </row>
    <row r="488">
      <c r="A488">
        <f>IF($B488="","",ROW()-5)</f>
        <v/>
      </c>
      <c r="D488">
        <f>IF($B488="","",IF(C488="","",TEXT(C488,"MMM")))</f>
        <v/>
      </c>
      <c r="M488">
        <f>IF($B488="","",IF((J488+K488)=0,0,L488/(J488+K488)))</f>
        <v/>
      </c>
    </row>
    <row r="489">
      <c r="A489">
        <f>IF($B489="","",ROW()-5)</f>
        <v/>
      </c>
      <c r="D489">
        <f>IF($B489="","",IF(C489="","",TEXT(C489,"MMM")))</f>
        <v/>
      </c>
      <c r="M489">
        <f>IF($B489="","",IF((J489+K489)=0,0,L489/(J489+K489)))</f>
        <v/>
      </c>
    </row>
    <row r="490">
      <c r="A490">
        <f>IF($B490="","",ROW()-5)</f>
        <v/>
      </c>
      <c r="D490">
        <f>IF($B490="","",IF(C490="","",TEXT(C490,"MMM")))</f>
        <v/>
      </c>
      <c r="M490">
        <f>IF($B490="","",IF((J490+K490)=0,0,L490/(J490+K490)))</f>
        <v/>
      </c>
    </row>
    <row r="491">
      <c r="A491">
        <f>IF($B491="","",ROW()-5)</f>
        <v/>
      </c>
      <c r="D491">
        <f>IF($B491="","",IF(C491="","",TEXT(C491,"MMM")))</f>
        <v/>
      </c>
      <c r="M491">
        <f>IF($B491="","",IF((J491+K491)=0,0,L491/(J491+K491)))</f>
        <v/>
      </c>
    </row>
    <row r="492">
      <c r="A492">
        <f>IF($B492="","",ROW()-5)</f>
        <v/>
      </c>
      <c r="D492">
        <f>IF($B492="","",IF(C492="","",TEXT(C492,"MMM")))</f>
        <v/>
      </c>
      <c r="M492">
        <f>IF($B492="","",IF((J492+K492)=0,0,L492/(J492+K492)))</f>
        <v/>
      </c>
    </row>
    <row r="493">
      <c r="A493">
        <f>IF($B493="","",ROW()-5)</f>
        <v/>
      </c>
      <c r="D493">
        <f>IF($B493="","",IF(C493="","",TEXT(C493,"MMM")))</f>
        <v/>
      </c>
      <c r="M493">
        <f>IF($B493="","",IF((J493+K493)=0,0,L493/(J493+K493)))</f>
        <v/>
      </c>
    </row>
    <row r="494">
      <c r="A494">
        <f>IF($B494="","",ROW()-5)</f>
        <v/>
      </c>
      <c r="D494">
        <f>IF($B494="","",IF(C494="","",TEXT(C494,"MMM")))</f>
        <v/>
      </c>
      <c r="M494">
        <f>IF($B494="","",IF((J494+K494)=0,0,L494/(J494+K494)))</f>
        <v/>
      </c>
    </row>
    <row r="495">
      <c r="A495">
        <f>IF($B495="","",ROW()-5)</f>
        <v/>
      </c>
      <c r="D495">
        <f>IF($B495="","",IF(C495="","",TEXT(C495,"MMM")))</f>
        <v/>
      </c>
      <c r="M495">
        <f>IF($B495="","",IF((J495+K495)=0,0,L495/(J495+K495)))</f>
        <v/>
      </c>
    </row>
    <row r="496">
      <c r="A496">
        <f>IF($B496="","",ROW()-5)</f>
        <v/>
      </c>
      <c r="D496">
        <f>IF($B496="","",IF(C496="","",TEXT(C496,"MMM")))</f>
        <v/>
      </c>
      <c r="M496">
        <f>IF($B496="","",IF((J496+K496)=0,0,L496/(J496+K496)))</f>
        <v/>
      </c>
    </row>
    <row r="497">
      <c r="A497">
        <f>IF($B497="","",ROW()-5)</f>
        <v/>
      </c>
      <c r="D497">
        <f>IF($B497="","",IF(C497="","",TEXT(C497,"MMM")))</f>
        <v/>
      </c>
      <c r="M497">
        <f>IF($B497="","",IF((J497+K497)=0,0,L497/(J497+K497)))</f>
        <v/>
      </c>
    </row>
    <row r="498">
      <c r="A498">
        <f>IF($B498="","",ROW()-5)</f>
        <v/>
      </c>
      <c r="D498">
        <f>IF($B498="","",IF(C498="","",TEXT(C498,"MMM")))</f>
        <v/>
      </c>
      <c r="M498">
        <f>IF($B498="","",IF((J498+K498)=0,0,L498/(J498+K498)))</f>
        <v/>
      </c>
    </row>
    <row r="499">
      <c r="A499">
        <f>IF($B499="","",ROW()-5)</f>
        <v/>
      </c>
      <c r="D499">
        <f>IF($B499="","",IF(C499="","",TEXT(C499,"MMM")))</f>
        <v/>
      </c>
      <c r="M499">
        <f>IF($B499="","",IF((J499+K499)=0,0,L499/(J499+K499)))</f>
        <v/>
      </c>
    </row>
    <row r="500">
      <c r="A500">
        <f>IF($B500="","",ROW()-5)</f>
        <v/>
      </c>
      <c r="D500">
        <f>IF($B500="","",IF(C500="","",TEXT(C500,"MMM")))</f>
        <v/>
      </c>
      <c r="M500">
        <f>IF($B500="","",IF((J500+K500)=0,0,L500/(J500+K500)))</f>
        <v/>
      </c>
    </row>
    <row r="501">
      <c r="A501">
        <f>IF($B501="","",ROW()-5)</f>
        <v/>
      </c>
      <c r="D501">
        <f>IF($B501="","",IF(C501="","",TEXT(C501,"MMM")))</f>
        <v/>
      </c>
      <c r="M501">
        <f>IF($B501="","",IF((J501+K501)=0,0,L501/(J501+K501)))</f>
        <v/>
      </c>
    </row>
    <row r="502">
      <c r="A502">
        <f>IF($B502="","",ROW()-5)</f>
        <v/>
      </c>
      <c r="D502">
        <f>IF($B502="","",IF(C502="","",TEXT(C502,"MMM")))</f>
        <v/>
      </c>
      <c r="M502">
        <f>IF($B502="","",IF((J502+K502)=0,0,L502/(J502+K502)))</f>
        <v/>
      </c>
    </row>
    <row r="503">
      <c r="A503">
        <f>IF($B503="","",ROW()-5)</f>
        <v/>
      </c>
      <c r="D503">
        <f>IF($B503="","",IF(C503="","",TEXT(C503,"MMM")))</f>
        <v/>
      </c>
      <c r="M503">
        <f>IF($B503="","",IF((J503+K503)=0,0,L503/(J503+K503)))</f>
        <v/>
      </c>
    </row>
    <row r="504">
      <c r="A504">
        <f>IF($B504="","",ROW()-5)</f>
        <v/>
      </c>
      <c r="D504">
        <f>IF($B504="","",IF(C504="","",TEXT(C504,"MMM")))</f>
        <v/>
      </c>
      <c r="M504">
        <f>IF($B504="","",IF((J504+K504)=0,0,L504/(J504+K504)))</f>
        <v/>
      </c>
    </row>
    <row r="505">
      <c r="A505">
        <f>IF($B505="","",ROW()-5)</f>
        <v/>
      </c>
      <c r="D505">
        <f>IF($B505="","",IF(C505="","",TEXT(C505,"MMM")))</f>
        <v/>
      </c>
      <c r="M505">
        <f>IF($B505="","",IF((J505+K505)=0,0,L505/(J505+K505)))</f>
        <v/>
      </c>
    </row>
    <row r="506">
      <c r="A506">
        <f>IF($B506="","",ROW()-5)</f>
        <v/>
      </c>
      <c r="D506">
        <f>IF($B506="","",IF(C506="","",TEXT(C506,"MMM")))</f>
        <v/>
      </c>
      <c r="M506">
        <f>IF($B506="","",IF((J506+K506)=0,0,L506/(J506+K506)))</f>
        <v/>
      </c>
    </row>
  </sheetData>
  <autoFilter ref="A4:N17"/>
  <mergeCells count="5">
    <mergeCell ref="F3:G3"/>
    <mergeCell ref="A2:N2"/>
    <mergeCell ref="A3:D3"/>
    <mergeCell ref="K3:M3"/>
    <mergeCell ref="A1:N1"/>
  </mergeCells>
  <conditionalFormatting sqref="N6:N17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E6:E506" showDropDown="0" showInputMessage="0" showErrorMessage="0" allowBlank="1" type="list">
      <formula1>L_Visit_Type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N6:N506" showDropDown="0" showInputMessage="0" showErrorMessage="0" allowBlank="1" type="list">
      <formula1>L_Status_5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tabColor rgb="FF263238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4" customWidth="1" style="15" min="5" max="5"/>
    <col width="16" customWidth="1" style="15" min="6" max="6"/>
    <col width="10" customWidth="1" style="15" min="7" max="10"/>
    <col width="12" customWidth="1" style="15" min="11" max="12"/>
    <col width="10" customWidth="1" style="15" min="13" max="14"/>
    <col width="12" customWidth="1" style="15" min="15" max="15"/>
  </cols>
  <sheetData>
    <row r="1" ht="42" customHeight="1" s="15">
      <c r="A1" s="205" t="inlineStr">
        <is>
          <t>📊  MANAGEMENT REVIEWS — DATA ENTRY</t>
        </is>
      </c>
    </row>
    <row r="2" ht="21.75" customHeight="1" s="15">
      <c r="A2" s="206" t="inlineStr">
        <is>
          <t>🔵 Blue = User Input  |  ⚫ Gray = Auto-Calculated  |  Use dropdowns where available</t>
        </is>
      </c>
    </row>
    <row r="3" ht="19.5" customHeight="1" s="15">
      <c r="A3" s="207" t="inlineStr">
        <is>
          <t>IDENTIFICATION</t>
        </is>
      </c>
      <c r="E3" s="16" t="inlineStr">
        <is>
          <t>CONTENT</t>
        </is>
      </c>
      <c r="F3" s="39" t="inlineStr">
        <is>
          <t>PEOPLE</t>
        </is>
      </c>
      <c r="G3" s="17" t="inlineStr">
        <is>
          <t>ATTENDANCE</t>
        </is>
      </c>
      <c r="J3" s="40" t="inlineStr">
        <is>
          <t>TIMING</t>
        </is>
      </c>
      <c r="K3" s="18" t="inlineStr">
        <is>
          <t>ACTIONS</t>
        </is>
      </c>
      <c r="N3" s="19" t="inlineStr">
        <is>
          <t>COMPLIANCE</t>
        </is>
      </c>
      <c r="O3" s="20" t="inlineStr">
        <is>
          <t>STATUS</t>
        </is>
      </c>
    </row>
    <row r="4" ht="31.5" customHeight="1" s="15">
      <c r="A4" s="46" t="inlineStr">
        <is>
          <t>S.No</t>
        </is>
      </c>
      <c r="B4" s="46" t="inlineStr">
        <is>
          <t>Review ID</t>
        </is>
      </c>
      <c r="C4" s="46" t="inlineStr">
        <is>
          <t>Date</t>
        </is>
      </c>
      <c r="D4" s="46" t="inlineStr">
        <is>
          <t>Month</t>
        </is>
      </c>
      <c r="E4" s="46" t="inlineStr">
        <is>
          <t>Review Topic</t>
        </is>
      </c>
      <c r="F4" s="46" t="inlineStr">
        <is>
          <t>Chaired By</t>
        </is>
      </c>
      <c r="G4" s="46" t="inlineStr">
        <is>
          <t>Members Invited</t>
        </is>
      </c>
      <c r="H4" s="46" t="inlineStr">
        <is>
          <t>Members Attended</t>
        </is>
      </c>
      <c r="I4" s="46" t="inlineStr">
        <is>
          <t>Attendance %</t>
        </is>
      </c>
      <c r="J4" s="46" t="inlineStr">
        <is>
          <t>Duration (min)</t>
        </is>
      </c>
      <c r="K4" s="46" t="inlineStr">
        <is>
          <t>Decisions Made</t>
        </is>
      </c>
      <c r="L4" s="46" t="inlineStr">
        <is>
          <t>Actions Assigned</t>
        </is>
      </c>
      <c r="M4" s="46" t="inlineStr">
        <is>
          <t>Close-out %</t>
        </is>
      </c>
      <c r="N4" s="46" t="inlineStr">
        <is>
          <t>MoM Distributed</t>
        </is>
      </c>
      <c r="O4" s="46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2" t="inlineStr">
        <is>
          <t>⚙️ AUTO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2" t="inlineStr">
        <is>
          <t>⚙️ AUTO</t>
        </is>
      </c>
      <c r="N5" s="23" t="inlineStr">
        <is>
          <t>✏️ INPUT</t>
        </is>
      </c>
      <c r="O5" s="23" t="inlineStr">
        <is>
          <t>✏️ INPUT</t>
        </is>
      </c>
    </row>
    <row r="6" ht="15" customHeight="1" s="15">
      <c r="A6" s="24" t="n">
        <v>1</v>
      </c>
      <c r="B6" s="25" t="inlineStr">
        <is>
          <t>MR-001</t>
        </is>
      </c>
      <c r="C6" s="26" t="n">
        <v>46206</v>
      </c>
      <c r="D6" s="24">
        <f>IF(C6="","",TEXT(C6,"MMM"))</f>
        <v/>
      </c>
      <c r="E6" s="27" t="inlineStr">
        <is>
          <t>KPI Performance Review</t>
        </is>
      </c>
      <c r="F6" s="27" t="inlineStr">
        <is>
          <t>Raj Patel</t>
        </is>
      </c>
      <c r="G6" s="29" t="n">
        <v>14</v>
      </c>
      <c r="H6" s="29" t="n">
        <v>6</v>
      </c>
      <c r="I6" s="30">
        <f>IF(G6=0,0,H6/G6)</f>
        <v/>
      </c>
      <c r="J6" s="29" t="n">
        <v>205</v>
      </c>
      <c r="K6" s="29" t="n">
        <v>9</v>
      </c>
      <c r="L6" s="29" t="n">
        <v>11</v>
      </c>
      <c r="M6" s="30">
        <f>IF(K6=0,0,L6/K6)</f>
        <v/>
      </c>
      <c r="N6" s="28" t="inlineStr">
        <is>
          <t>No</t>
        </is>
      </c>
      <c r="O6" s="28" t="inlineStr">
        <is>
          <t>In Progress</t>
        </is>
      </c>
    </row>
    <row r="7" ht="15" customHeight="1" s="15">
      <c r="A7" s="31" t="n">
        <v>2</v>
      </c>
      <c r="B7" s="32" t="inlineStr">
        <is>
          <t>MR-002</t>
        </is>
      </c>
      <c r="C7" s="33" t="n">
        <v>46361</v>
      </c>
      <c r="D7" s="31">
        <f>IF(C7="","",TEXT(C7,"MMM"))</f>
        <v/>
      </c>
      <c r="E7" s="34" t="inlineStr">
        <is>
          <t>Budget Review</t>
        </is>
      </c>
      <c r="F7" s="34" t="inlineStr">
        <is>
          <t>Sarah Wilson</t>
        </is>
      </c>
      <c r="G7" s="36" t="n">
        <v>13</v>
      </c>
      <c r="H7" s="36" t="n">
        <v>14</v>
      </c>
      <c r="I7" s="37">
        <f>IF(G7=0,0,H7/G7)</f>
        <v/>
      </c>
      <c r="J7" s="36" t="n">
        <v>148</v>
      </c>
      <c r="K7" s="36" t="n">
        <v>3</v>
      </c>
      <c r="L7" s="36" t="n">
        <v>2</v>
      </c>
      <c r="M7" s="37">
        <f>IF(K7=0,0,L7/K7)</f>
        <v/>
      </c>
      <c r="N7" s="35" t="inlineStr">
        <is>
          <t>No</t>
        </is>
      </c>
      <c r="O7" s="35" t="inlineStr">
        <is>
          <t>Completed</t>
        </is>
      </c>
    </row>
    <row r="8" ht="15" customHeight="1" s="15">
      <c r="A8" s="24" t="n">
        <v>3</v>
      </c>
      <c r="B8" s="25" t="inlineStr">
        <is>
          <t>MR-003</t>
        </is>
      </c>
      <c r="C8" s="26" t="n">
        <v>46064</v>
      </c>
      <c r="D8" s="24">
        <f>IF(C8="","",TEXT(C8,"MMM"))</f>
        <v/>
      </c>
      <c r="E8" s="27" t="inlineStr">
        <is>
          <t>Compliance Review</t>
        </is>
      </c>
      <c r="F8" s="27" t="inlineStr">
        <is>
          <t>Lisa Park</t>
        </is>
      </c>
      <c r="G8" s="29" t="n">
        <v>14</v>
      </c>
      <c r="H8" s="29" t="n">
        <v>9</v>
      </c>
      <c r="I8" s="30">
        <f>IF(G8=0,0,H8/G8)</f>
        <v/>
      </c>
      <c r="J8" s="29" t="n">
        <v>143</v>
      </c>
      <c r="K8" s="29" t="n">
        <v>3</v>
      </c>
      <c r="L8" s="29" t="n">
        <v>11</v>
      </c>
      <c r="M8" s="30">
        <f>IF(K8=0,0,L8/K8)</f>
        <v/>
      </c>
      <c r="N8" s="28" t="inlineStr">
        <is>
          <t>No</t>
        </is>
      </c>
      <c r="O8" s="28" t="inlineStr">
        <is>
          <t>In Progress</t>
        </is>
      </c>
    </row>
    <row r="9" ht="15" customHeight="1" s="15">
      <c r="A9" s="31" t="n">
        <v>4</v>
      </c>
      <c r="B9" s="32" t="inlineStr">
        <is>
          <t>MR-004</t>
        </is>
      </c>
      <c r="C9" s="33" t="n">
        <v>46242</v>
      </c>
      <c r="D9" s="31">
        <f>IF(C9="","",TEXT(C9,"MMM"))</f>
        <v/>
      </c>
      <c r="E9" s="34" t="inlineStr">
        <is>
          <t>KPI Performance Review</t>
        </is>
      </c>
      <c r="F9" s="34" t="inlineStr">
        <is>
          <t>Tom Brown</t>
        </is>
      </c>
      <c r="G9" s="36" t="n">
        <v>11</v>
      </c>
      <c r="H9" s="36" t="n">
        <v>9</v>
      </c>
      <c r="I9" s="37">
        <f>IF(G9=0,0,H9/G9)</f>
        <v/>
      </c>
      <c r="J9" s="36" t="n">
        <v>107</v>
      </c>
      <c r="K9" s="36" t="n">
        <v>13</v>
      </c>
      <c r="L9" s="36" t="n">
        <v>10</v>
      </c>
      <c r="M9" s="37">
        <f>IF(K9=0,0,L9/K9)</f>
        <v/>
      </c>
      <c r="N9" s="35" t="inlineStr">
        <is>
          <t>No</t>
        </is>
      </c>
      <c r="O9" s="35" t="inlineStr">
        <is>
          <t>Completed</t>
        </is>
      </c>
    </row>
    <row r="10" ht="15" customHeight="1" s="15">
      <c r="A10" s="24" t="n">
        <v>5</v>
      </c>
      <c r="B10" s="25" t="inlineStr">
        <is>
          <t>MR-005</t>
        </is>
      </c>
      <c r="C10" s="26" t="n">
        <v>46305</v>
      </c>
      <c r="D10" s="24">
        <f>IF(C10="","",TEXT(C10,"MMM"))</f>
        <v/>
      </c>
      <c r="E10" s="27" t="inlineStr">
        <is>
          <t>Annual Management Review</t>
        </is>
      </c>
      <c r="F10" s="27" t="inlineStr">
        <is>
          <t>Sarah Wilson</t>
        </is>
      </c>
      <c r="G10" s="29" t="n">
        <v>6</v>
      </c>
      <c r="H10" s="29" t="n">
        <v>7</v>
      </c>
      <c r="I10" s="30">
        <f>IF(G10=0,0,H10/G10)</f>
        <v/>
      </c>
      <c r="J10" s="29" t="n">
        <v>99</v>
      </c>
      <c r="K10" s="29" t="n">
        <v>9</v>
      </c>
      <c r="L10" s="29" t="n">
        <v>12</v>
      </c>
      <c r="M10" s="30">
        <f>IF(K10=0,0,L10/K10)</f>
        <v/>
      </c>
      <c r="N10" s="28" t="inlineStr">
        <is>
          <t>Yes</t>
        </is>
      </c>
      <c r="O10" s="28" t="inlineStr">
        <is>
          <t>In Progress</t>
        </is>
      </c>
    </row>
    <row r="11" ht="15" customHeight="1" s="15">
      <c r="A11" s="31" t="n">
        <v>6</v>
      </c>
      <c r="B11" s="32" t="inlineStr">
        <is>
          <t>MR-006</t>
        </is>
      </c>
      <c r="C11" s="33" t="n">
        <v>46185</v>
      </c>
      <c r="D11" s="31">
        <f>IF(C11="","",TEXT(C11,"MMM"))</f>
        <v/>
      </c>
      <c r="E11" s="34" t="inlineStr">
        <is>
          <t>Quarterly HSE Review</t>
        </is>
      </c>
      <c r="F11" s="34" t="inlineStr">
        <is>
          <t>Sarah Wilson</t>
        </is>
      </c>
      <c r="G11" s="36" t="n">
        <v>5</v>
      </c>
      <c r="H11" s="36" t="n">
        <v>7</v>
      </c>
      <c r="I11" s="37">
        <f>IF(G11=0,0,H11/G11)</f>
        <v/>
      </c>
      <c r="J11" s="36" t="n">
        <v>173</v>
      </c>
      <c r="K11" s="36" t="n">
        <v>8</v>
      </c>
      <c r="L11" s="36" t="n">
        <v>5</v>
      </c>
      <c r="M11" s="37">
        <f>IF(K11=0,0,L11/K11)</f>
        <v/>
      </c>
      <c r="N11" s="35" t="inlineStr">
        <is>
          <t>Yes</t>
        </is>
      </c>
      <c r="O11" s="35" t="inlineStr">
        <is>
          <t>Completed</t>
        </is>
      </c>
    </row>
    <row r="12" ht="15" customHeight="1" s="15">
      <c r="A12" s="24" t="n">
        <v>7</v>
      </c>
      <c r="B12" s="25" t="inlineStr">
        <is>
          <t>MR-007</t>
        </is>
      </c>
      <c r="C12" s="26" t="n">
        <v>46059</v>
      </c>
      <c r="D12" s="24">
        <f>IF(C12="","",TEXT(C12,"MMM"))</f>
        <v/>
      </c>
      <c r="E12" s="27" t="inlineStr">
        <is>
          <t>Incident Trend Review</t>
        </is>
      </c>
      <c r="F12" s="27" t="inlineStr">
        <is>
          <t>Priya Sharma</t>
        </is>
      </c>
      <c r="G12" s="29" t="n">
        <v>13</v>
      </c>
      <c r="H12" s="29" t="n">
        <v>11</v>
      </c>
      <c r="I12" s="30">
        <f>IF(G12=0,0,H12/G12)</f>
        <v/>
      </c>
      <c r="J12" s="29" t="n">
        <v>191</v>
      </c>
      <c r="K12" s="29" t="n">
        <v>9</v>
      </c>
      <c r="L12" s="29" t="n">
        <v>2</v>
      </c>
      <c r="M12" s="30">
        <f>IF(K12=0,0,L12/K12)</f>
        <v/>
      </c>
      <c r="N12" s="28" t="inlineStr">
        <is>
          <t>Yes</t>
        </is>
      </c>
      <c r="O12" s="28" t="inlineStr">
        <is>
          <t>Completed</t>
        </is>
      </c>
    </row>
    <row r="13" ht="15" customHeight="1" s="15">
      <c r="A13" s="31" t="n">
        <v>8</v>
      </c>
      <c r="B13" s="32" t="inlineStr">
        <is>
          <t>MR-008</t>
        </is>
      </c>
      <c r="C13" s="33" t="n">
        <v>46191</v>
      </c>
      <c r="D13" s="31">
        <f>IF(C13="","",TEXT(C13,"MMM"))</f>
        <v/>
      </c>
      <c r="E13" s="34" t="inlineStr">
        <is>
          <t>Quarterly HSE Review</t>
        </is>
      </c>
      <c r="F13" s="34" t="inlineStr">
        <is>
          <t>Lisa Park</t>
        </is>
      </c>
      <c r="G13" s="36" t="n">
        <v>14</v>
      </c>
      <c r="H13" s="36" t="n">
        <v>15</v>
      </c>
      <c r="I13" s="37">
        <f>IF(G13=0,0,H13/G13)</f>
        <v/>
      </c>
      <c r="J13" s="36" t="n">
        <v>143</v>
      </c>
      <c r="K13" s="36" t="n">
        <v>9</v>
      </c>
      <c r="L13" s="36" t="n">
        <v>1</v>
      </c>
      <c r="M13" s="37">
        <f>IF(K13=0,0,L13/K13)</f>
        <v/>
      </c>
      <c r="N13" s="35" t="inlineStr">
        <is>
          <t>No</t>
        </is>
      </c>
      <c r="O13" s="35" t="inlineStr">
        <is>
          <t>In Progress</t>
        </is>
      </c>
    </row>
    <row r="14">
      <c r="A14">
        <f>IF($B14="","",ROW()-5)</f>
        <v/>
      </c>
      <c r="D14">
        <f>IF($B14="","",IF(C14="","",TEXT(C14,"MMM")))</f>
        <v/>
      </c>
      <c r="I14">
        <f>IF($B14="","",IF(G14=0,0,H14/G14))</f>
        <v/>
      </c>
      <c r="M14">
        <f>IF($B14="","",IF(K14=0,0,L14/K14))</f>
        <v/>
      </c>
    </row>
    <row r="15">
      <c r="A15">
        <f>IF($B15="","",ROW()-5)</f>
        <v/>
      </c>
      <c r="D15">
        <f>IF($B15="","",IF(C15="","",TEXT(C15,"MMM")))</f>
        <v/>
      </c>
      <c r="I15">
        <f>IF($B15="","",IF(G15=0,0,H15/G15))</f>
        <v/>
      </c>
      <c r="M15">
        <f>IF($B15="","",IF(K15=0,0,L15/K15))</f>
        <v/>
      </c>
    </row>
    <row r="16">
      <c r="A16">
        <f>IF($B16="","",ROW()-5)</f>
        <v/>
      </c>
      <c r="D16">
        <f>IF($B16="","",IF(C16="","",TEXT(C16,"MMM")))</f>
        <v/>
      </c>
      <c r="I16">
        <f>IF($B16="","",IF(G16=0,0,H16/G16))</f>
        <v/>
      </c>
      <c r="M16">
        <f>IF($B16="","",IF(K16=0,0,L16/K16))</f>
        <v/>
      </c>
    </row>
    <row r="17">
      <c r="A17">
        <f>IF($B17="","",ROW()-5)</f>
        <v/>
      </c>
      <c r="D17">
        <f>IF($B17="","",IF(C17="","",TEXT(C17,"MMM")))</f>
        <v/>
      </c>
      <c r="I17">
        <f>IF($B17="","",IF(G17=0,0,H17/G17))</f>
        <v/>
      </c>
      <c r="M17">
        <f>IF($B17="","",IF(K17=0,0,L17/K17))</f>
        <v/>
      </c>
    </row>
    <row r="18">
      <c r="A18">
        <f>IF($B18="","",ROW()-5)</f>
        <v/>
      </c>
      <c r="D18">
        <f>IF($B18="","",IF(C18="","",TEXT(C18,"MMM")))</f>
        <v/>
      </c>
      <c r="I18">
        <f>IF($B18="","",IF(G18=0,0,H18/G18))</f>
        <v/>
      </c>
      <c r="M18">
        <f>IF($B18="","",IF(K18=0,0,L18/K18))</f>
        <v/>
      </c>
    </row>
    <row r="19">
      <c r="A19">
        <f>IF($B19="","",ROW()-5)</f>
        <v/>
      </c>
      <c r="D19">
        <f>IF($B19="","",IF(C19="","",TEXT(C19,"MMM")))</f>
        <v/>
      </c>
      <c r="I19">
        <f>IF($B19="","",IF(G19=0,0,H19/G19))</f>
        <v/>
      </c>
      <c r="M19">
        <f>IF($B19="","",IF(K19=0,0,L19/K19))</f>
        <v/>
      </c>
    </row>
    <row r="20">
      <c r="A20">
        <f>IF($B20="","",ROW()-5)</f>
        <v/>
      </c>
      <c r="D20">
        <f>IF($B20="","",IF(C20="","",TEXT(C20,"MMM")))</f>
        <v/>
      </c>
      <c r="I20">
        <f>IF($B20="","",IF(G20=0,0,H20/G20))</f>
        <v/>
      </c>
      <c r="M20">
        <f>IF($B20="","",IF(K20=0,0,L20/K20))</f>
        <v/>
      </c>
    </row>
    <row r="21">
      <c r="A21">
        <f>IF($B21="","",ROW()-5)</f>
        <v/>
      </c>
      <c r="D21">
        <f>IF($B21="","",IF(C21="","",TEXT(C21,"MMM")))</f>
        <v/>
      </c>
      <c r="I21">
        <f>IF($B21="","",IF(G21=0,0,H21/G21))</f>
        <v/>
      </c>
      <c r="M21">
        <f>IF($B21="","",IF(K21=0,0,L21/K21))</f>
        <v/>
      </c>
    </row>
    <row r="22">
      <c r="A22">
        <f>IF($B22="","",ROW()-5)</f>
        <v/>
      </c>
      <c r="D22">
        <f>IF($B22="","",IF(C22="","",TEXT(C22,"MMM")))</f>
        <v/>
      </c>
      <c r="I22">
        <f>IF($B22="","",IF(G22=0,0,H22/G22))</f>
        <v/>
      </c>
      <c r="M22">
        <f>IF($B22="","",IF(K22=0,0,L22/K22))</f>
        <v/>
      </c>
    </row>
    <row r="23">
      <c r="A23">
        <f>IF($B23="","",ROW()-5)</f>
        <v/>
      </c>
      <c r="D23">
        <f>IF($B23="","",IF(C23="","",TEXT(C23,"MMM")))</f>
        <v/>
      </c>
      <c r="I23">
        <f>IF($B23="","",IF(G23=0,0,H23/G23))</f>
        <v/>
      </c>
      <c r="M23">
        <f>IF($B23="","",IF(K23=0,0,L23/K23))</f>
        <v/>
      </c>
    </row>
    <row r="24">
      <c r="A24">
        <f>IF($B24="","",ROW()-5)</f>
        <v/>
      </c>
      <c r="D24">
        <f>IF($B24="","",IF(C24="","",TEXT(C24,"MMM")))</f>
        <v/>
      </c>
      <c r="I24">
        <f>IF($B24="","",IF(G24=0,0,H24/G24))</f>
        <v/>
      </c>
      <c r="M24">
        <f>IF($B24="","",IF(K24=0,0,L24/K24))</f>
        <v/>
      </c>
    </row>
    <row r="25">
      <c r="A25">
        <f>IF($B25="","",ROW()-5)</f>
        <v/>
      </c>
      <c r="D25">
        <f>IF($B25="","",IF(C25="","",TEXT(C25,"MMM")))</f>
        <v/>
      </c>
      <c r="I25">
        <f>IF($B25="","",IF(G25=0,0,H25/G25))</f>
        <v/>
      </c>
      <c r="M25">
        <f>IF($B25="","",IF(K25=0,0,L25/K25))</f>
        <v/>
      </c>
    </row>
    <row r="26">
      <c r="A26">
        <f>IF($B26="","",ROW()-5)</f>
        <v/>
      </c>
      <c r="D26">
        <f>IF($B26="","",IF(C26="","",TEXT(C26,"MMM")))</f>
        <v/>
      </c>
      <c r="I26">
        <f>IF($B26="","",IF(G26=0,0,H26/G26))</f>
        <v/>
      </c>
      <c r="M26">
        <f>IF($B26="","",IF(K26=0,0,L26/K26))</f>
        <v/>
      </c>
    </row>
    <row r="27">
      <c r="A27">
        <f>IF($B27="","",ROW()-5)</f>
        <v/>
      </c>
      <c r="D27">
        <f>IF($B27="","",IF(C27="","",TEXT(C27,"MMM")))</f>
        <v/>
      </c>
      <c r="I27">
        <f>IF($B27="","",IF(G27=0,0,H27/G27))</f>
        <v/>
      </c>
      <c r="M27">
        <f>IF($B27="","",IF(K27=0,0,L27/K27))</f>
        <v/>
      </c>
    </row>
    <row r="28">
      <c r="A28">
        <f>IF($B28="","",ROW()-5)</f>
        <v/>
      </c>
      <c r="D28">
        <f>IF($B28="","",IF(C28="","",TEXT(C28,"MMM")))</f>
        <v/>
      </c>
      <c r="I28">
        <f>IF($B28="","",IF(G28=0,0,H28/G28))</f>
        <v/>
      </c>
      <c r="M28">
        <f>IF($B28="","",IF(K28=0,0,L28/K28))</f>
        <v/>
      </c>
    </row>
    <row r="29">
      <c r="A29">
        <f>IF($B29="","",ROW()-5)</f>
        <v/>
      </c>
      <c r="D29">
        <f>IF($B29="","",IF(C29="","",TEXT(C29,"MMM")))</f>
        <v/>
      </c>
      <c r="I29">
        <f>IF($B29="","",IF(G29=0,0,H29/G29))</f>
        <v/>
      </c>
      <c r="M29">
        <f>IF($B29="","",IF(K29=0,0,L29/K29))</f>
        <v/>
      </c>
    </row>
    <row r="30">
      <c r="A30">
        <f>IF($B30="","",ROW()-5)</f>
        <v/>
      </c>
      <c r="D30">
        <f>IF($B30="","",IF(C30="","",TEXT(C30,"MMM")))</f>
        <v/>
      </c>
      <c r="I30">
        <f>IF($B30="","",IF(G30=0,0,H30/G30))</f>
        <v/>
      </c>
      <c r="M30">
        <f>IF($B30="","",IF(K30=0,0,L30/K30))</f>
        <v/>
      </c>
    </row>
    <row r="31">
      <c r="A31">
        <f>IF($B31="","",ROW()-5)</f>
        <v/>
      </c>
      <c r="D31">
        <f>IF($B31="","",IF(C31="","",TEXT(C31,"MMM")))</f>
        <v/>
      </c>
      <c r="I31">
        <f>IF($B31="","",IF(G31=0,0,H31/G31))</f>
        <v/>
      </c>
      <c r="M31">
        <f>IF($B31="","",IF(K31=0,0,L31/K31))</f>
        <v/>
      </c>
    </row>
    <row r="32">
      <c r="A32">
        <f>IF($B32="","",ROW()-5)</f>
        <v/>
      </c>
      <c r="D32">
        <f>IF($B32="","",IF(C32="","",TEXT(C32,"MMM")))</f>
        <v/>
      </c>
      <c r="I32">
        <f>IF($B32="","",IF(G32=0,0,H32/G32))</f>
        <v/>
      </c>
      <c r="M32">
        <f>IF($B32="","",IF(K32=0,0,L32/K32))</f>
        <v/>
      </c>
    </row>
    <row r="33">
      <c r="A33">
        <f>IF($B33="","",ROW()-5)</f>
        <v/>
      </c>
      <c r="D33">
        <f>IF($B33="","",IF(C33="","",TEXT(C33,"MMM")))</f>
        <v/>
      </c>
      <c r="I33">
        <f>IF($B33="","",IF(G33=0,0,H33/G33))</f>
        <v/>
      </c>
      <c r="M33">
        <f>IF($B33="","",IF(K33=0,0,L33/K33))</f>
        <v/>
      </c>
    </row>
    <row r="34">
      <c r="A34">
        <f>IF($B34="","",ROW()-5)</f>
        <v/>
      </c>
      <c r="D34">
        <f>IF($B34="","",IF(C34="","",TEXT(C34,"MMM")))</f>
        <v/>
      </c>
      <c r="I34">
        <f>IF($B34="","",IF(G34=0,0,H34/G34))</f>
        <v/>
      </c>
      <c r="M34">
        <f>IF($B34="","",IF(K34=0,0,L34/K34))</f>
        <v/>
      </c>
    </row>
    <row r="35">
      <c r="A35">
        <f>IF($B35="","",ROW()-5)</f>
        <v/>
      </c>
      <c r="D35">
        <f>IF($B35="","",IF(C35="","",TEXT(C35,"MMM")))</f>
        <v/>
      </c>
      <c r="I35">
        <f>IF($B35="","",IF(G35=0,0,H35/G35))</f>
        <v/>
      </c>
      <c r="M35">
        <f>IF($B35="","",IF(K35=0,0,L35/K35))</f>
        <v/>
      </c>
    </row>
    <row r="36">
      <c r="A36">
        <f>IF($B36="","",ROW()-5)</f>
        <v/>
      </c>
      <c r="D36">
        <f>IF($B36="","",IF(C36="","",TEXT(C36,"MMM")))</f>
        <v/>
      </c>
      <c r="I36">
        <f>IF($B36="","",IF(G36=0,0,H36/G36))</f>
        <v/>
      </c>
      <c r="M36">
        <f>IF($B36="","",IF(K36=0,0,L36/K36))</f>
        <v/>
      </c>
    </row>
    <row r="37">
      <c r="A37">
        <f>IF($B37="","",ROW()-5)</f>
        <v/>
      </c>
      <c r="D37">
        <f>IF($B37="","",IF(C37="","",TEXT(C37,"MMM")))</f>
        <v/>
      </c>
      <c r="I37">
        <f>IF($B37="","",IF(G37=0,0,H37/G37))</f>
        <v/>
      </c>
      <c r="M37">
        <f>IF($B37="","",IF(K37=0,0,L37/K37))</f>
        <v/>
      </c>
    </row>
    <row r="38">
      <c r="A38">
        <f>IF($B38="","",ROW()-5)</f>
        <v/>
      </c>
      <c r="D38">
        <f>IF($B38="","",IF(C38="","",TEXT(C38,"MMM")))</f>
        <v/>
      </c>
      <c r="I38">
        <f>IF($B38="","",IF(G38=0,0,H38/G38))</f>
        <v/>
      </c>
      <c r="M38">
        <f>IF($B38="","",IF(K38=0,0,L38/K38))</f>
        <v/>
      </c>
    </row>
    <row r="39">
      <c r="A39">
        <f>IF($B39="","",ROW()-5)</f>
        <v/>
      </c>
      <c r="D39">
        <f>IF($B39="","",IF(C39="","",TEXT(C39,"MMM")))</f>
        <v/>
      </c>
      <c r="I39">
        <f>IF($B39="","",IF(G39=0,0,H39/G39))</f>
        <v/>
      </c>
      <c r="M39">
        <f>IF($B39="","",IF(K39=0,0,L39/K39))</f>
        <v/>
      </c>
    </row>
    <row r="40">
      <c r="A40">
        <f>IF($B40="","",ROW()-5)</f>
        <v/>
      </c>
      <c r="D40">
        <f>IF($B40="","",IF(C40="","",TEXT(C40,"MMM")))</f>
        <v/>
      </c>
      <c r="I40">
        <f>IF($B40="","",IF(G40=0,0,H40/G40))</f>
        <v/>
      </c>
      <c r="M40">
        <f>IF($B40="","",IF(K40=0,0,L40/K40))</f>
        <v/>
      </c>
    </row>
    <row r="41">
      <c r="A41">
        <f>IF($B41="","",ROW()-5)</f>
        <v/>
      </c>
      <c r="D41">
        <f>IF($B41="","",IF(C41="","",TEXT(C41,"MMM")))</f>
        <v/>
      </c>
      <c r="I41">
        <f>IF($B41="","",IF(G41=0,0,H41/G41))</f>
        <v/>
      </c>
      <c r="M41">
        <f>IF($B41="","",IF(K41=0,0,L41/K41))</f>
        <v/>
      </c>
    </row>
    <row r="42">
      <c r="A42">
        <f>IF($B42="","",ROW()-5)</f>
        <v/>
      </c>
      <c r="D42">
        <f>IF($B42="","",IF(C42="","",TEXT(C42,"MMM")))</f>
        <v/>
      </c>
      <c r="I42">
        <f>IF($B42="","",IF(G42=0,0,H42/G42))</f>
        <v/>
      </c>
      <c r="M42">
        <f>IF($B42="","",IF(K42=0,0,L42/K42))</f>
        <v/>
      </c>
    </row>
    <row r="43">
      <c r="A43">
        <f>IF($B43="","",ROW()-5)</f>
        <v/>
      </c>
      <c r="D43">
        <f>IF($B43="","",IF(C43="","",TEXT(C43,"MMM")))</f>
        <v/>
      </c>
      <c r="I43">
        <f>IF($B43="","",IF(G43=0,0,H43/G43))</f>
        <v/>
      </c>
      <c r="M43">
        <f>IF($B43="","",IF(K43=0,0,L43/K43))</f>
        <v/>
      </c>
    </row>
    <row r="44">
      <c r="A44">
        <f>IF($B44="","",ROW()-5)</f>
        <v/>
      </c>
      <c r="D44">
        <f>IF($B44="","",IF(C44="","",TEXT(C44,"MMM")))</f>
        <v/>
      </c>
      <c r="I44">
        <f>IF($B44="","",IF(G44=0,0,H44/G44))</f>
        <v/>
      </c>
      <c r="M44">
        <f>IF($B44="","",IF(K44=0,0,L44/K44))</f>
        <v/>
      </c>
    </row>
    <row r="45">
      <c r="A45">
        <f>IF($B45="","",ROW()-5)</f>
        <v/>
      </c>
      <c r="D45">
        <f>IF($B45="","",IF(C45="","",TEXT(C45,"MMM")))</f>
        <v/>
      </c>
      <c r="I45">
        <f>IF($B45="","",IF(G45=0,0,H45/G45))</f>
        <v/>
      </c>
      <c r="M45">
        <f>IF($B45="","",IF(K45=0,0,L45/K45))</f>
        <v/>
      </c>
    </row>
    <row r="46">
      <c r="A46">
        <f>IF($B46="","",ROW()-5)</f>
        <v/>
      </c>
      <c r="D46">
        <f>IF($B46="","",IF(C46="","",TEXT(C46,"MMM")))</f>
        <v/>
      </c>
      <c r="I46">
        <f>IF($B46="","",IF(G46=0,0,H46/G46))</f>
        <v/>
      </c>
      <c r="M46">
        <f>IF($B46="","",IF(K46=0,0,L46/K46))</f>
        <v/>
      </c>
    </row>
    <row r="47">
      <c r="A47">
        <f>IF($B47="","",ROW()-5)</f>
        <v/>
      </c>
      <c r="D47">
        <f>IF($B47="","",IF(C47="","",TEXT(C47,"MMM")))</f>
        <v/>
      </c>
      <c r="I47">
        <f>IF($B47="","",IF(G47=0,0,H47/G47))</f>
        <v/>
      </c>
      <c r="M47">
        <f>IF($B47="","",IF(K47=0,0,L47/K47))</f>
        <v/>
      </c>
    </row>
    <row r="48">
      <c r="A48">
        <f>IF($B48="","",ROW()-5)</f>
        <v/>
      </c>
      <c r="D48">
        <f>IF($B48="","",IF(C48="","",TEXT(C48,"MMM")))</f>
        <v/>
      </c>
      <c r="I48">
        <f>IF($B48="","",IF(G48=0,0,H48/G48))</f>
        <v/>
      </c>
      <c r="M48">
        <f>IF($B48="","",IF(K48=0,0,L48/K48))</f>
        <v/>
      </c>
    </row>
    <row r="49">
      <c r="A49">
        <f>IF($B49="","",ROW()-5)</f>
        <v/>
      </c>
      <c r="D49">
        <f>IF($B49="","",IF(C49="","",TEXT(C49,"MMM")))</f>
        <v/>
      </c>
      <c r="I49">
        <f>IF($B49="","",IF(G49=0,0,H49/G49))</f>
        <v/>
      </c>
      <c r="M49">
        <f>IF($B49="","",IF(K49=0,0,L49/K49))</f>
        <v/>
      </c>
    </row>
    <row r="50">
      <c r="A50">
        <f>IF($B50="","",ROW()-5)</f>
        <v/>
      </c>
      <c r="D50">
        <f>IF($B50="","",IF(C50="","",TEXT(C50,"MMM")))</f>
        <v/>
      </c>
      <c r="I50">
        <f>IF($B50="","",IF(G50=0,0,H50/G50))</f>
        <v/>
      </c>
      <c r="M50">
        <f>IF($B50="","",IF(K50=0,0,L50/K50))</f>
        <v/>
      </c>
    </row>
    <row r="51">
      <c r="A51">
        <f>IF($B51="","",ROW()-5)</f>
        <v/>
      </c>
      <c r="D51">
        <f>IF($B51="","",IF(C51="","",TEXT(C51,"MMM")))</f>
        <v/>
      </c>
      <c r="I51">
        <f>IF($B51="","",IF(G51=0,0,H51/G51))</f>
        <v/>
      </c>
      <c r="M51">
        <f>IF($B51="","",IF(K51=0,0,L51/K51))</f>
        <v/>
      </c>
    </row>
    <row r="52">
      <c r="A52">
        <f>IF($B52="","",ROW()-5)</f>
        <v/>
      </c>
      <c r="D52">
        <f>IF($B52="","",IF(C52="","",TEXT(C52,"MMM")))</f>
        <v/>
      </c>
      <c r="I52">
        <f>IF($B52="","",IF(G52=0,0,H52/G52))</f>
        <v/>
      </c>
      <c r="M52">
        <f>IF($B52="","",IF(K52=0,0,L52/K52))</f>
        <v/>
      </c>
    </row>
    <row r="53">
      <c r="A53">
        <f>IF($B53="","",ROW()-5)</f>
        <v/>
      </c>
      <c r="D53">
        <f>IF($B53="","",IF(C53="","",TEXT(C53,"MMM")))</f>
        <v/>
      </c>
      <c r="I53">
        <f>IF($B53="","",IF(G53=0,0,H53/G53))</f>
        <v/>
      </c>
      <c r="M53">
        <f>IF($B53="","",IF(K53=0,0,L53/K53))</f>
        <v/>
      </c>
    </row>
    <row r="54">
      <c r="A54">
        <f>IF($B54="","",ROW()-5)</f>
        <v/>
      </c>
      <c r="D54">
        <f>IF($B54="","",IF(C54="","",TEXT(C54,"MMM")))</f>
        <v/>
      </c>
      <c r="I54">
        <f>IF($B54="","",IF(G54=0,0,H54/G54))</f>
        <v/>
      </c>
      <c r="M54">
        <f>IF($B54="","",IF(K54=0,0,L54/K54))</f>
        <v/>
      </c>
    </row>
    <row r="55">
      <c r="A55">
        <f>IF($B55="","",ROW()-5)</f>
        <v/>
      </c>
      <c r="D55">
        <f>IF($B55="","",IF(C55="","",TEXT(C55,"MMM")))</f>
        <v/>
      </c>
      <c r="I55">
        <f>IF($B55="","",IF(G55=0,0,H55/G55))</f>
        <v/>
      </c>
      <c r="M55">
        <f>IF($B55="","",IF(K55=0,0,L55/K55))</f>
        <v/>
      </c>
    </row>
    <row r="56">
      <c r="A56">
        <f>IF($B56="","",ROW()-5)</f>
        <v/>
      </c>
      <c r="D56">
        <f>IF($B56="","",IF(C56="","",TEXT(C56,"MMM")))</f>
        <v/>
      </c>
      <c r="I56">
        <f>IF($B56="","",IF(G56=0,0,H56/G56))</f>
        <v/>
      </c>
      <c r="M56">
        <f>IF($B56="","",IF(K56=0,0,L56/K56))</f>
        <v/>
      </c>
    </row>
    <row r="57">
      <c r="A57">
        <f>IF($B57="","",ROW()-5)</f>
        <v/>
      </c>
      <c r="D57">
        <f>IF($B57="","",IF(C57="","",TEXT(C57,"MMM")))</f>
        <v/>
      </c>
      <c r="I57">
        <f>IF($B57="","",IF(G57=0,0,H57/G57))</f>
        <v/>
      </c>
      <c r="M57">
        <f>IF($B57="","",IF(K57=0,0,L57/K57))</f>
        <v/>
      </c>
    </row>
    <row r="58">
      <c r="A58">
        <f>IF($B58="","",ROW()-5)</f>
        <v/>
      </c>
      <c r="D58">
        <f>IF($B58="","",IF(C58="","",TEXT(C58,"MMM")))</f>
        <v/>
      </c>
      <c r="I58">
        <f>IF($B58="","",IF(G58=0,0,H58/G58))</f>
        <v/>
      </c>
      <c r="M58">
        <f>IF($B58="","",IF(K58=0,0,L58/K58))</f>
        <v/>
      </c>
    </row>
    <row r="59">
      <c r="A59">
        <f>IF($B59="","",ROW()-5)</f>
        <v/>
      </c>
      <c r="D59">
        <f>IF($B59="","",IF(C59="","",TEXT(C59,"MMM")))</f>
        <v/>
      </c>
      <c r="I59">
        <f>IF($B59="","",IF(G59=0,0,H59/G59))</f>
        <v/>
      </c>
      <c r="M59">
        <f>IF($B59="","",IF(K59=0,0,L59/K59))</f>
        <v/>
      </c>
    </row>
    <row r="60">
      <c r="A60">
        <f>IF($B60="","",ROW()-5)</f>
        <v/>
      </c>
      <c r="D60">
        <f>IF($B60="","",IF(C60="","",TEXT(C60,"MMM")))</f>
        <v/>
      </c>
      <c r="I60">
        <f>IF($B60="","",IF(G60=0,0,H60/G60))</f>
        <v/>
      </c>
      <c r="M60">
        <f>IF($B60="","",IF(K60=0,0,L60/K60))</f>
        <v/>
      </c>
    </row>
    <row r="61">
      <c r="A61">
        <f>IF($B61="","",ROW()-5)</f>
        <v/>
      </c>
      <c r="D61">
        <f>IF($B61="","",IF(C61="","",TEXT(C61,"MMM")))</f>
        <v/>
      </c>
      <c r="I61">
        <f>IF($B61="","",IF(G61=0,0,H61/G61))</f>
        <v/>
      </c>
      <c r="M61">
        <f>IF($B61="","",IF(K61=0,0,L61/K61))</f>
        <v/>
      </c>
    </row>
    <row r="62">
      <c r="A62">
        <f>IF($B62="","",ROW()-5)</f>
        <v/>
      </c>
      <c r="D62">
        <f>IF($B62="","",IF(C62="","",TEXT(C62,"MMM")))</f>
        <v/>
      </c>
      <c r="I62">
        <f>IF($B62="","",IF(G62=0,0,H62/G62))</f>
        <v/>
      </c>
      <c r="M62">
        <f>IF($B62="","",IF(K62=0,0,L62/K62))</f>
        <v/>
      </c>
    </row>
    <row r="63">
      <c r="A63">
        <f>IF($B63="","",ROW()-5)</f>
        <v/>
      </c>
      <c r="D63">
        <f>IF($B63="","",IF(C63="","",TEXT(C63,"MMM")))</f>
        <v/>
      </c>
      <c r="I63">
        <f>IF($B63="","",IF(G63=0,0,H63/G63))</f>
        <v/>
      </c>
      <c r="M63">
        <f>IF($B63="","",IF(K63=0,0,L63/K63))</f>
        <v/>
      </c>
    </row>
    <row r="64">
      <c r="A64">
        <f>IF($B64="","",ROW()-5)</f>
        <v/>
      </c>
      <c r="D64">
        <f>IF($B64="","",IF(C64="","",TEXT(C64,"MMM")))</f>
        <v/>
      </c>
      <c r="I64">
        <f>IF($B64="","",IF(G64=0,0,H64/G64))</f>
        <v/>
      </c>
      <c r="M64">
        <f>IF($B64="","",IF(K64=0,0,L64/K64))</f>
        <v/>
      </c>
    </row>
    <row r="65">
      <c r="A65">
        <f>IF($B65="","",ROW()-5)</f>
        <v/>
      </c>
      <c r="D65">
        <f>IF($B65="","",IF(C65="","",TEXT(C65,"MMM")))</f>
        <v/>
      </c>
      <c r="I65">
        <f>IF($B65="","",IF(G65=0,0,H65/G65))</f>
        <v/>
      </c>
      <c r="M65">
        <f>IF($B65="","",IF(K65=0,0,L65/K65))</f>
        <v/>
      </c>
    </row>
    <row r="66">
      <c r="A66">
        <f>IF($B66="","",ROW()-5)</f>
        <v/>
      </c>
      <c r="D66">
        <f>IF($B66="","",IF(C66="","",TEXT(C66,"MMM")))</f>
        <v/>
      </c>
      <c r="I66">
        <f>IF($B66="","",IF(G66=0,0,H66/G66))</f>
        <v/>
      </c>
      <c r="M66">
        <f>IF($B66="","",IF(K66=0,0,L66/K66))</f>
        <v/>
      </c>
    </row>
    <row r="67">
      <c r="A67">
        <f>IF($B67="","",ROW()-5)</f>
        <v/>
      </c>
      <c r="D67">
        <f>IF($B67="","",IF(C67="","",TEXT(C67,"MMM")))</f>
        <v/>
      </c>
      <c r="I67">
        <f>IF($B67="","",IF(G67=0,0,H67/G67))</f>
        <v/>
      </c>
      <c r="M67">
        <f>IF($B67="","",IF(K67=0,0,L67/K67))</f>
        <v/>
      </c>
    </row>
    <row r="68">
      <c r="A68">
        <f>IF($B68="","",ROW()-5)</f>
        <v/>
      </c>
      <c r="D68">
        <f>IF($B68="","",IF(C68="","",TEXT(C68,"MMM")))</f>
        <v/>
      </c>
      <c r="I68">
        <f>IF($B68="","",IF(G68=0,0,H68/G68))</f>
        <v/>
      </c>
      <c r="M68">
        <f>IF($B68="","",IF(K68=0,0,L68/K68))</f>
        <v/>
      </c>
    </row>
    <row r="69">
      <c r="A69">
        <f>IF($B69="","",ROW()-5)</f>
        <v/>
      </c>
      <c r="D69">
        <f>IF($B69="","",IF(C69="","",TEXT(C69,"MMM")))</f>
        <v/>
      </c>
      <c r="I69">
        <f>IF($B69="","",IF(G69=0,0,H69/G69))</f>
        <v/>
      </c>
      <c r="M69">
        <f>IF($B69="","",IF(K69=0,0,L69/K69))</f>
        <v/>
      </c>
    </row>
    <row r="70">
      <c r="A70">
        <f>IF($B70="","",ROW()-5)</f>
        <v/>
      </c>
      <c r="D70">
        <f>IF($B70="","",IF(C70="","",TEXT(C70,"MMM")))</f>
        <v/>
      </c>
      <c r="I70">
        <f>IF($B70="","",IF(G70=0,0,H70/G70))</f>
        <v/>
      </c>
      <c r="M70">
        <f>IF($B70="","",IF(K70=0,0,L70/K70))</f>
        <v/>
      </c>
    </row>
    <row r="71">
      <c r="A71">
        <f>IF($B71="","",ROW()-5)</f>
        <v/>
      </c>
      <c r="D71">
        <f>IF($B71="","",IF(C71="","",TEXT(C71,"MMM")))</f>
        <v/>
      </c>
      <c r="I71">
        <f>IF($B71="","",IF(G71=0,0,H71/G71))</f>
        <v/>
      </c>
      <c r="M71">
        <f>IF($B71="","",IF(K71=0,0,L71/K71))</f>
        <v/>
      </c>
    </row>
    <row r="72">
      <c r="A72">
        <f>IF($B72="","",ROW()-5)</f>
        <v/>
      </c>
      <c r="D72">
        <f>IF($B72="","",IF(C72="","",TEXT(C72,"MMM")))</f>
        <v/>
      </c>
      <c r="I72">
        <f>IF($B72="","",IF(G72=0,0,H72/G72))</f>
        <v/>
      </c>
      <c r="M72">
        <f>IF($B72="","",IF(K72=0,0,L72/K72))</f>
        <v/>
      </c>
    </row>
    <row r="73">
      <c r="A73">
        <f>IF($B73="","",ROW()-5)</f>
        <v/>
      </c>
      <c r="D73">
        <f>IF($B73="","",IF(C73="","",TEXT(C73,"MMM")))</f>
        <v/>
      </c>
      <c r="I73">
        <f>IF($B73="","",IF(G73=0,0,H73/G73))</f>
        <v/>
      </c>
      <c r="M73">
        <f>IF($B73="","",IF(K73=0,0,L73/K73))</f>
        <v/>
      </c>
    </row>
    <row r="74">
      <c r="A74">
        <f>IF($B74="","",ROW()-5)</f>
        <v/>
      </c>
      <c r="D74">
        <f>IF($B74="","",IF(C74="","",TEXT(C74,"MMM")))</f>
        <v/>
      </c>
      <c r="I74">
        <f>IF($B74="","",IF(G74=0,0,H74/G74))</f>
        <v/>
      </c>
      <c r="M74">
        <f>IF($B74="","",IF(K74=0,0,L74/K74))</f>
        <v/>
      </c>
    </row>
    <row r="75">
      <c r="A75">
        <f>IF($B75="","",ROW()-5)</f>
        <v/>
      </c>
      <c r="D75">
        <f>IF($B75="","",IF(C75="","",TEXT(C75,"MMM")))</f>
        <v/>
      </c>
      <c r="I75">
        <f>IF($B75="","",IF(G75=0,0,H75/G75))</f>
        <v/>
      </c>
      <c r="M75">
        <f>IF($B75="","",IF(K75=0,0,L75/K75))</f>
        <v/>
      </c>
    </row>
    <row r="76">
      <c r="A76">
        <f>IF($B76="","",ROW()-5)</f>
        <v/>
      </c>
      <c r="D76">
        <f>IF($B76="","",IF(C76="","",TEXT(C76,"MMM")))</f>
        <v/>
      </c>
      <c r="I76">
        <f>IF($B76="","",IF(G76=0,0,H76/G76))</f>
        <v/>
      </c>
      <c r="M76">
        <f>IF($B76="","",IF(K76=0,0,L76/K76))</f>
        <v/>
      </c>
    </row>
    <row r="77">
      <c r="A77">
        <f>IF($B77="","",ROW()-5)</f>
        <v/>
      </c>
      <c r="D77">
        <f>IF($B77="","",IF(C77="","",TEXT(C77,"MMM")))</f>
        <v/>
      </c>
      <c r="I77">
        <f>IF($B77="","",IF(G77=0,0,H77/G77))</f>
        <v/>
      </c>
      <c r="M77">
        <f>IF($B77="","",IF(K77=0,0,L77/K77))</f>
        <v/>
      </c>
    </row>
    <row r="78">
      <c r="A78">
        <f>IF($B78="","",ROW()-5)</f>
        <v/>
      </c>
      <c r="D78">
        <f>IF($B78="","",IF(C78="","",TEXT(C78,"MMM")))</f>
        <v/>
      </c>
      <c r="I78">
        <f>IF($B78="","",IF(G78=0,0,H78/G78))</f>
        <v/>
      </c>
      <c r="M78">
        <f>IF($B78="","",IF(K78=0,0,L78/K78))</f>
        <v/>
      </c>
    </row>
    <row r="79">
      <c r="A79">
        <f>IF($B79="","",ROW()-5)</f>
        <v/>
      </c>
      <c r="D79">
        <f>IF($B79="","",IF(C79="","",TEXT(C79,"MMM")))</f>
        <v/>
      </c>
      <c r="I79">
        <f>IF($B79="","",IF(G79=0,0,H79/G79))</f>
        <v/>
      </c>
      <c r="M79">
        <f>IF($B79="","",IF(K79=0,0,L79/K79))</f>
        <v/>
      </c>
    </row>
    <row r="80">
      <c r="A80">
        <f>IF($B80="","",ROW()-5)</f>
        <v/>
      </c>
      <c r="D80">
        <f>IF($B80="","",IF(C80="","",TEXT(C80,"MMM")))</f>
        <v/>
      </c>
      <c r="I80">
        <f>IF($B80="","",IF(G80=0,0,H80/G80))</f>
        <v/>
      </c>
      <c r="M80">
        <f>IF($B80="","",IF(K80=0,0,L80/K80))</f>
        <v/>
      </c>
    </row>
    <row r="81">
      <c r="A81">
        <f>IF($B81="","",ROW()-5)</f>
        <v/>
      </c>
      <c r="D81">
        <f>IF($B81="","",IF(C81="","",TEXT(C81,"MMM")))</f>
        <v/>
      </c>
      <c r="I81">
        <f>IF($B81="","",IF(G81=0,0,H81/G81))</f>
        <v/>
      </c>
      <c r="M81">
        <f>IF($B81="","",IF(K81=0,0,L81/K81))</f>
        <v/>
      </c>
    </row>
    <row r="82">
      <c r="A82">
        <f>IF($B82="","",ROW()-5)</f>
        <v/>
      </c>
      <c r="D82">
        <f>IF($B82="","",IF(C82="","",TEXT(C82,"MMM")))</f>
        <v/>
      </c>
      <c r="I82">
        <f>IF($B82="","",IF(G82=0,0,H82/G82))</f>
        <v/>
      </c>
      <c r="M82">
        <f>IF($B82="","",IF(K82=0,0,L82/K82))</f>
        <v/>
      </c>
    </row>
    <row r="83">
      <c r="A83">
        <f>IF($B83="","",ROW()-5)</f>
        <v/>
      </c>
      <c r="D83">
        <f>IF($B83="","",IF(C83="","",TEXT(C83,"MMM")))</f>
        <v/>
      </c>
      <c r="I83">
        <f>IF($B83="","",IF(G83=0,0,H83/G83))</f>
        <v/>
      </c>
      <c r="M83">
        <f>IF($B83="","",IF(K83=0,0,L83/K83))</f>
        <v/>
      </c>
    </row>
    <row r="84">
      <c r="A84">
        <f>IF($B84="","",ROW()-5)</f>
        <v/>
      </c>
      <c r="D84">
        <f>IF($B84="","",IF(C84="","",TEXT(C84,"MMM")))</f>
        <v/>
      </c>
      <c r="I84">
        <f>IF($B84="","",IF(G84=0,0,H84/G84))</f>
        <v/>
      </c>
      <c r="M84">
        <f>IF($B84="","",IF(K84=0,0,L84/K84))</f>
        <v/>
      </c>
    </row>
    <row r="85">
      <c r="A85">
        <f>IF($B85="","",ROW()-5)</f>
        <v/>
      </c>
      <c r="D85">
        <f>IF($B85="","",IF(C85="","",TEXT(C85,"MMM")))</f>
        <v/>
      </c>
      <c r="I85">
        <f>IF($B85="","",IF(G85=0,0,H85/G85))</f>
        <v/>
      </c>
      <c r="M85">
        <f>IF($B85="","",IF(K85=0,0,L85/K85))</f>
        <v/>
      </c>
    </row>
    <row r="86">
      <c r="A86">
        <f>IF($B86="","",ROW()-5)</f>
        <v/>
      </c>
      <c r="D86">
        <f>IF($B86="","",IF(C86="","",TEXT(C86,"MMM")))</f>
        <v/>
      </c>
      <c r="I86">
        <f>IF($B86="","",IF(G86=0,0,H86/G86))</f>
        <v/>
      </c>
      <c r="M86">
        <f>IF($B86="","",IF(K86=0,0,L86/K86))</f>
        <v/>
      </c>
    </row>
    <row r="87">
      <c r="A87">
        <f>IF($B87="","",ROW()-5)</f>
        <v/>
      </c>
      <c r="D87">
        <f>IF($B87="","",IF(C87="","",TEXT(C87,"MMM")))</f>
        <v/>
      </c>
      <c r="I87">
        <f>IF($B87="","",IF(G87=0,0,H87/G87))</f>
        <v/>
      </c>
      <c r="M87">
        <f>IF($B87="","",IF(K87=0,0,L87/K87))</f>
        <v/>
      </c>
    </row>
    <row r="88">
      <c r="A88">
        <f>IF($B88="","",ROW()-5)</f>
        <v/>
      </c>
      <c r="D88">
        <f>IF($B88="","",IF(C88="","",TEXT(C88,"MMM")))</f>
        <v/>
      </c>
      <c r="I88">
        <f>IF($B88="","",IF(G88=0,0,H88/G88))</f>
        <v/>
      </c>
      <c r="M88">
        <f>IF($B88="","",IF(K88=0,0,L88/K88))</f>
        <v/>
      </c>
    </row>
    <row r="89">
      <c r="A89">
        <f>IF($B89="","",ROW()-5)</f>
        <v/>
      </c>
      <c r="D89">
        <f>IF($B89="","",IF(C89="","",TEXT(C89,"MMM")))</f>
        <v/>
      </c>
      <c r="I89">
        <f>IF($B89="","",IF(G89=0,0,H89/G89))</f>
        <v/>
      </c>
      <c r="M89">
        <f>IF($B89="","",IF(K89=0,0,L89/K89))</f>
        <v/>
      </c>
    </row>
    <row r="90">
      <c r="A90">
        <f>IF($B90="","",ROW()-5)</f>
        <v/>
      </c>
      <c r="D90">
        <f>IF($B90="","",IF(C90="","",TEXT(C90,"MMM")))</f>
        <v/>
      </c>
      <c r="I90">
        <f>IF($B90="","",IF(G90=0,0,H90/G90))</f>
        <v/>
      </c>
      <c r="M90">
        <f>IF($B90="","",IF(K90=0,0,L90/K90))</f>
        <v/>
      </c>
    </row>
    <row r="91">
      <c r="A91">
        <f>IF($B91="","",ROW()-5)</f>
        <v/>
      </c>
      <c r="D91">
        <f>IF($B91="","",IF(C91="","",TEXT(C91,"MMM")))</f>
        <v/>
      </c>
      <c r="I91">
        <f>IF($B91="","",IF(G91=0,0,H91/G91))</f>
        <v/>
      </c>
      <c r="M91">
        <f>IF($B91="","",IF(K91=0,0,L91/K91))</f>
        <v/>
      </c>
    </row>
    <row r="92">
      <c r="A92">
        <f>IF($B92="","",ROW()-5)</f>
        <v/>
      </c>
      <c r="D92">
        <f>IF($B92="","",IF(C92="","",TEXT(C92,"MMM")))</f>
        <v/>
      </c>
      <c r="I92">
        <f>IF($B92="","",IF(G92=0,0,H92/G92))</f>
        <v/>
      </c>
      <c r="M92">
        <f>IF($B92="","",IF(K92=0,0,L92/K92))</f>
        <v/>
      </c>
    </row>
    <row r="93">
      <c r="A93">
        <f>IF($B93="","",ROW()-5)</f>
        <v/>
      </c>
      <c r="D93">
        <f>IF($B93="","",IF(C93="","",TEXT(C93,"MMM")))</f>
        <v/>
      </c>
      <c r="I93">
        <f>IF($B93="","",IF(G93=0,0,H93/G93))</f>
        <v/>
      </c>
      <c r="M93">
        <f>IF($B93="","",IF(K93=0,0,L93/K93))</f>
        <v/>
      </c>
    </row>
    <row r="94">
      <c r="A94">
        <f>IF($B94="","",ROW()-5)</f>
        <v/>
      </c>
      <c r="D94">
        <f>IF($B94="","",IF(C94="","",TEXT(C94,"MMM")))</f>
        <v/>
      </c>
      <c r="I94">
        <f>IF($B94="","",IF(G94=0,0,H94/G94))</f>
        <v/>
      </c>
      <c r="M94">
        <f>IF($B94="","",IF(K94=0,0,L94/K94))</f>
        <v/>
      </c>
    </row>
    <row r="95">
      <c r="A95">
        <f>IF($B95="","",ROW()-5)</f>
        <v/>
      </c>
      <c r="D95">
        <f>IF($B95="","",IF(C95="","",TEXT(C95,"MMM")))</f>
        <v/>
      </c>
      <c r="I95">
        <f>IF($B95="","",IF(G95=0,0,H95/G95))</f>
        <v/>
      </c>
      <c r="M95">
        <f>IF($B95="","",IF(K95=0,0,L95/K95))</f>
        <v/>
      </c>
    </row>
    <row r="96">
      <c r="A96">
        <f>IF($B96="","",ROW()-5)</f>
        <v/>
      </c>
      <c r="D96">
        <f>IF($B96="","",IF(C96="","",TEXT(C96,"MMM")))</f>
        <v/>
      </c>
      <c r="I96">
        <f>IF($B96="","",IF(G96=0,0,H96/G96))</f>
        <v/>
      </c>
      <c r="M96">
        <f>IF($B96="","",IF(K96=0,0,L96/K96))</f>
        <v/>
      </c>
    </row>
    <row r="97">
      <c r="A97">
        <f>IF($B97="","",ROW()-5)</f>
        <v/>
      </c>
      <c r="D97">
        <f>IF($B97="","",IF(C97="","",TEXT(C97,"MMM")))</f>
        <v/>
      </c>
      <c r="I97">
        <f>IF($B97="","",IF(G97=0,0,H97/G97))</f>
        <v/>
      </c>
      <c r="M97">
        <f>IF($B97="","",IF(K97=0,0,L97/K97))</f>
        <v/>
      </c>
    </row>
    <row r="98">
      <c r="A98">
        <f>IF($B98="","",ROW()-5)</f>
        <v/>
      </c>
      <c r="D98">
        <f>IF($B98="","",IF(C98="","",TEXT(C98,"MMM")))</f>
        <v/>
      </c>
      <c r="I98">
        <f>IF($B98="","",IF(G98=0,0,H98/G98))</f>
        <v/>
      </c>
      <c r="M98">
        <f>IF($B98="","",IF(K98=0,0,L98/K98))</f>
        <v/>
      </c>
    </row>
    <row r="99">
      <c r="A99">
        <f>IF($B99="","",ROW()-5)</f>
        <v/>
      </c>
      <c r="D99">
        <f>IF($B99="","",IF(C99="","",TEXT(C99,"MMM")))</f>
        <v/>
      </c>
      <c r="I99">
        <f>IF($B99="","",IF(G99=0,0,H99/G99))</f>
        <v/>
      </c>
      <c r="M99">
        <f>IF($B99="","",IF(K99=0,0,L99/K99))</f>
        <v/>
      </c>
    </row>
    <row r="100">
      <c r="A100">
        <f>IF($B100="","",ROW()-5)</f>
        <v/>
      </c>
      <c r="D100">
        <f>IF($B100="","",IF(C100="","",TEXT(C100,"MMM")))</f>
        <v/>
      </c>
      <c r="I100">
        <f>IF($B100="","",IF(G100=0,0,H100/G100))</f>
        <v/>
      </c>
      <c r="M100">
        <f>IF($B100="","",IF(K100=0,0,L100/K100))</f>
        <v/>
      </c>
    </row>
    <row r="101">
      <c r="A101">
        <f>IF($B101="","",ROW()-5)</f>
        <v/>
      </c>
      <c r="D101">
        <f>IF($B101="","",IF(C101="","",TEXT(C101,"MMM")))</f>
        <v/>
      </c>
      <c r="I101">
        <f>IF($B101="","",IF(G101=0,0,H101/G101))</f>
        <v/>
      </c>
      <c r="M101">
        <f>IF($B101="","",IF(K101=0,0,L101/K101))</f>
        <v/>
      </c>
    </row>
    <row r="102">
      <c r="A102">
        <f>IF($B102="","",ROW()-5)</f>
        <v/>
      </c>
      <c r="D102">
        <f>IF($B102="","",IF(C102="","",TEXT(C102,"MMM")))</f>
        <v/>
      </c>
      <c r="I102">
        <f>IF($B102="","",IF(G102=0,0,H102/G102))</f>
        <v/>
      </c>
      <c r="M102">
        <f>IF($B102="","",IF(K102=0,0,L102/K102))</f>
        <v/>
      </c>
    </row>
    <row r="103">
      <c r="A103">
        <f>IF($B103="","",ROW()-5)</f>
        <v/>
      </c>
      <c r="D103">
        <f>IF($B103="","",IF(C103="","",TEXT(C103,"MMM")))</f>
        <v/>
      </c>
      <c r="I103">
        <f>IF($B103="","",IF(G103=0,0,H103/G103))</f>
        <v/>
      </c>
      <c r="M103">
        <f>IF($B103="","",IF(K103=0,0,L103/K103))</f>
        <v/>
      </c>
    </row>
    <row r="104">
      <c r="A104">
        <f>IF($B104="","",ROW()-5)</f>
        <v/>
      </c>
      <c r="D104">
        <f>IF($B104="","",IF(C104="","",TEXT(C104,"MMM")))</f>
        <v/>
      </c>
      <c r="I104">
        <f>IF($B104="","",IF(G104=0,0,H104/G104))</f>
        <v/>
      </c>
      <c r="M104">
        <f>IF($B104="","",IF(K104=0,0,L104/K104))</f>
        <v/>
      </c>
    </row>
    <row r="105">
      <c r="A105">
        <f>IF($B105="","",ROW()-5)</f>
        <v/>
      </c>
      <c r="D105">
        <f>IF($B105="","",IF(C105="","",TEXT(C105,"MMM")))</f>
        <v/>
      </c>
      <c r="I105">
        <f>IF($B105="","",IF(G105=0,0,H105/G105))</f>
        <v/>
      </c>
      <c r="M105">
        <f>IF($B105="","",IF(K105=0,0,L105/K105))</f>
        <v/>
      </c>
    </row>
    <row r="106">
      <c r="A106">
        <f>IF($B106="","",ROW()-5)</f>
        <v/>
      </c>
      <c r="D106">
        <f>IF($B106="","",IF(C106="","",TEXT(C106,"MMM")))</f>
        <v/>
      </c>
      <c r="I106">
        <f>IF($B106="","",IF(G106=0,0,H106/G106))</f>
        <v/>
      </c>
      <c r="M106">
        <f>IF($B106="","",IF(K106=0,0,L106/K106))</f>
        <v/>
      </c>
    </row>
    <row r="107">
      <c r="A107">
        <f>IF($B107="","",ROW()-5)</f>
        <v/>
      </c>
      <c r="D107">
        <f>IF($B107="","",IF(C107="","",TEXT(C107,"MMM")))</f>
        <v/>
      </c>
      <c r="I107">
        <f>IF($B107="","",IF(G107=0,0,H107/G107))</f>
        <v/>
      </c>
      <c r="M107">
        <f>IF($B107="","",IF(K107=0,0,L107/K107))</f>
        <v/>
      </c>
    </row>
    <row r="108">
      <c r="A108">
        <f>IF($B108="","",ROW()-5)</f>
        <v/>
      </c>
      <c r="D108">
        <f>IF($B108="","",IF(C108="","",TEXT(C108,"MMM")))</f>
        <v/>
      </c>
      <c r="I108">
        <f>IF($B108="","",IF(G108=0,0,H108/G108))</f>
        <v/>
      </c>
      <c r="M108">
        <f>IF($B108="","",IF(K108=0,0,L108/K108))</f>
        <v/>
      </c>
    </row>
    <row r="109">
      <c r="A109">
        <f>IF($B109="","",ROW()-5)</f>
        <v/>
      </c>
      <c r="D109">
        <f>IF($B109="","",IF(C109="","",TEXT(C109,"MMM")))</f>
        <v/>
      </c>
      <c r="I109">
        <f>IF($B109="","",IF(G109=0,0,H109/G109))</f>
        <v/>
      </c>
      <c r="M109">
        <f>IF($B109="","",IF(K109=0,0,L109/K109))</f>
        <v/>
      </c>
    </row>
    <row r="110">
      <c r="A110">
        <f>IF($B110="","",ROW()-5)</f>
        <v/>
      </c>
      <c r="D110">
        <f>IF($B110="","",IF(C110="","",TEXT(C110,"MMM")))</f>
        <v/>
      </c>
      <c r="I110">
        <f>IF($B110="","",IF(G110=0,0,H110/G110))</f>
        <v/>
      </c>
      <c r="M110">
        <f>IF($B110="","",IF(K110=0,0,L110/K110))</f>
        <v/>
      </c>
    </row>
    <row r="111">
      <c r="A111">
        <f>IF($B111="","",ROW()-5)</f>
        <v/>
      </c>
      <c r="D111">
        <f>IF($B111="","",IF(C111="","",TEXT(C111,"MMM")))</f>
        <v/>
      </c>
      <c r="I111">
        <f>IF($B111="","",IF(G111=0,0,H111/G111))</f>
        <v/>
      </c>
      <c r="M111">
        <f>IF($B111="","",IF(K111=0,0,L111/K111))</f>
        <v/>
      </c>
    </row>
    <row r="112">
      <c r="A112">
        <f>IF($B112="","",ROW()-5)</f>
        <v/>
      </c>
      <c r="D112">
        <f>IF($B112="","",IF(C112="","",TEXT(C112,"MMM")))</f>
        <v/>
      </c>
      <c r="I112">
        <f>IF($B112="","",IF(G112=0,0,H112/G112))</f>
        <v/>
      </c>
      <c r="M112">
        <f>IF($B112="","",IF(K112=0,0,L112/K112))</f>
        <v/>
      </c>
    </row>
    <row r="113">
      <c r="A113">
        <f>IF($B113="","",ROW()-5)</f>
        <v/>
      </c>
      <c r="D113">
        <f>IF($B113="","",IF(C113="","",TEXT(C113,"MMM")))</f>
        <v/>
      </c>
      <c r="I113">
        <f>IF($B113="","",IF(G113=0,0,H113/G113))</f>
        <v/>
      </c>
      <c r="M113">
        <f>IF($B113="","",IF(K113=0,0,L113/K113))</f>
        <v/>
      </c>
    </row>
    <row r="114">
      <c r="A114">
        <f>IF($B114="","",ROW()-5)</f>
        <v/>
      </c>
      <c r="D114">
        <f>IF($B114="","",IF(C114="","",TEXT(C114,"MMM")))</f>
        <v/>
      </c>
      <c r="I114">
        <f>IF($B114="","",IF(G114=0,0,H114/G114))</f>
        <v/>
      </c>
      <c r="M114">
        <f>IF($B114="","",IF(K114=0,0,L114/K114))</f>
        <v/>
      </c>
    </row>
    <row r="115">
      <c r="A115">
        <f>IF($B115="","",ROW()-5)</f>
        <v/>
      </c>
      <c r="D115">
        <f>IF($B115="","",IF(C115="","",TEXT(C115,"MMM")))</f>
        <v/>
      </c>
      <c r="I115">
        <f>IF($B115="","",IF(G115=0,0,H115/G115))</f>
        <v/>
      </c>
      <c r="M115">
        <f>IF($B115="","",IF(K115=0,0,L115/K115))</f>
        <v/>
      </c>
    </row>
    <row r="116">
      <c r="A116">
        <f>IF($B116="","",ROW()-5)</f>
        <v/>
      </c>
      <c r="D116">
        <f>IF($B116="","",IF(C116="","",TEXT(C116,"MMM")))</f>
        <v/>
      </c>
      <c r="I116">
        <f>IF($B116="","",IF(G116=0,0,H116/G116))</f>
        <v/>
      </c>
      <c r="M116">
        <f>IF($B116="","",IF(K116=0,0,L116/K116))</f>
        <v/>
      </c>
    </row>
    <row r="117">
      <c r="A117">
        <f>IF($B117="","",ROW()-5)</f>
        <v/>
      </c>
      <c r="D117">
        <f>IF($B117="","",IF(C117="","",TEXT(C117,"MMM")))</f>
        <v/>
      </c>
      <c r="I117">
        <f>IF($B117="","",IF(G117=0,0,H117/G117))</f>
        <v/>
      </c>
      <c r="M117">
        <f>IF($B117="","",IF(K117=0,0,L117/K117))</f>
        <v/>
      </c>
    </row>
    <row r="118">
      <c r="A118">
        <f>IF($B118="","",ROW()-5)</f>
        <v/>
      </c>
      <c r="D118">
        <f>IF($B118="","",IF(C118="","",TEXT(C118,"MMM")))</f>
        <v/>
      </c>
      <c r="I118">
        <f>IF($B118="","",IF(G118=0,0,H118/G118))</f>
        <v/>
      </c>
      <c r="M118">
        <f>IF($B118="","",IF(K118=0,0,L118/K118))</f>
        <v/>
      </c>
    </row>
    <row r="119">
      <c r="A119">
        <f>IF($B119="","",ROW()-5)</f>
        <v/>
      </c>
      <c r="D119">
        <f>IF($B119="","",IF(C119="","",TEXT(C119,"MMM")))</f>
        <v/>
      </c>
      <c r="I119">
        <f>IF($B119="","",IF(G119=0,0,H119/G119))</f>
        <v/>
      </c>
      <c r="M119">
        <f>IF($B119="","",IF(K119=0,0,L119/K119))</f>
        <v/>
      </c>
    </row>
    <row r="120">
      <c r="A120">
        <f>IF($B120="","",ROW()-5)</f>
        <v/>
      </c>
      <c r="D120">
        <f>IF($B120="","",IF(C120="","",TEXT(C120,"MMM")))</f>
        <v/>
      </c>
      <c r="I120">
        <f>IF($B120="","",IF(G120=0,0,H120/G120))</f>
        <v/>
      </c>
      <c r="M120">
        <f>IF($B120="","",IF(K120=0,0,L120/K120))</f>
        <v/>
      </c>
    </row>
    <row r="121">
      <c r="A121">
        <f>IF($B121="","",ROW()-5)</f>
        <v/>
      </c>
      <c r="D121">
        <f>IF($B121="","",IF(C121="","",TEXT(C121,"MMM")))</f>
        <v/>
      </c>
      <c r="I121">
        <f>IF($B121="","",IF(G121=0,0,H121/G121))</f>
        <v/>
      </c>
      <c r="M121">
        <f>IF($B121="","",IF(K121=0,0,L121/K121))</f>
        <v/>
      </c>
    </row>
    <row r="122">
      <c r="A122">
        <f>IF($B122="","",ROW()-5)</f>
        <v/>
      </c>
      <c r="D122">
        <f>IF($B122="","",IF(C122="","",TEXT(C122,"MMM")))</f>
        <v/>
      </c>
      <c r="I122">
        <f>IF($B122="","",IF(G122=0,0,H122/G122))</f>
        <v/>
      </c>
      <c r="M122">
        <f>IF($B122="","",IF(K122=0,0,L122/K122))</f>
        <v/>
      </c>
    </row>
    <row r="123">
      <c r="A123">
        <f>IF($B123="","",ROW()-5)</f>
        <v/>
      </c>
      <c r="D123">
        <f>IF($B123="","",IF(C123="","",TEXT(C123,"MMM")))</f>
        <v/>
      </c>
      <c r="I123">
        <f>IF($B123="","",IF(G123=0,0,H123/G123))</f>
        <v/>
      </c>
      <c r="M123">
        <f>IF($B123="","",IF(K123=0,0,L123/K123))</f>
        <v/>
      </c>
    </row>
    <row r="124">
      <c r="A124">
        <f>IF($B124="","",ROW()-5)</f>
        <v/>
      </c>
      <c r="D124">
        <f>IF($B124="","",IF(C124="","",TEXT(C124,"MMM")))</f>
        <v/>
      </c>
      <c r="I124">
        <f>IF($B124="","",IF(G124=0,0,H124/G124))</f>
        <v/>
      </c>
      <c r="M124">
        <f>IF($B124="","",IF(K124=0,0,L124/K124))</f>
        <v/>
      </c>
    </row>
    <row r="125">
      <c r="A125">
        <f>IF($B125="","",ROW()-5)</f>
        <v/>
      </c>
      <c r="D125">
        <f>IF($B125="","",IF(C125="","",TEXT(C125,"MMM")))</f>
        <v/>
      </c>
      <c r="I125">
        <f>IF($B125="","",IF(G125=0,0,H125/G125))</f>
        <v/>
      </c>
      <c r="M125">
        <f>IF($B125="","",IF(K125=0,0,L125/K125))</f>
        <v/>
      </c>
    </row>
    <row r="126">
      <c r="A126">
        <f>IF($B126="","",ROW()-5)</f>
        <v/>
      </c>
      <c r="D126">
        <f>IF($B126="","",IF(C126="","",TEXT(C126,"MMM")))</f>
        <v/>
      </c>
      <c r="I126">
        <f>IF($B126="","",IF(G126=0,0,H126/G126))</f>
        <v/>
      </c>
      <c r="M126">
        <f>IF($B126="","",IF(K126=0,0,L126/K126))</f>
        <v/>
      </c>
    </row>
    <row r="127">
      <c r="A127">
        <f>IF($B127="","",ROW()-5)</f>
        <v/>
      </c>
      <c r="D127">
        <f>IF($B127="","",IF(C127="","",TEXT(C127,"MMM")))</f>
        <v/>
      </c>
      <c r="I127">
        <f>IF($B127="","",IF(G127=0,0,H127/G127))</f>
        <v/>
      </c>
      <c r="M127">
        <f>IF($B127="","",IF(K127=0,0,L127/K127))</f>
        <v/>
      </c>
    </row>
    <row r="128">
      <c r="A128">
        <f>IF($B128="","",ROW()-5)</f>
        <v/>
      </c>
      <c r="D128">
        <f>IF($B128="","",IF(C128="","",TEXT(C128,"MMM")))</f>
        <v/>
      </c>
      <c r="I128">
        <f>IF($B128="","",IF(G128=0,0,H128/G128))</f>
        <v/>
      </c>
      <c r="M128">
        <f>IF($B128="","",IF(K128=0,0,L128/K128))</f>
        <v/>
      </c>
    </row>
    <row r="129">
      <c r="A129">
        <f>IF($B129="","",ROW()-5)</f>
        <v/>
      </c>
      <c r="D129">
        <f>IF($B129="","",IF(C129="","",TEXT(C129,"MMM")))</f>
        <v/>
      </c>
      <c r="I129">
        <f>IF($B129="","",IF(G129=0,0,H129/G129))</f>
        <v/>
      </c>
      <c r="M129">
        <f>IF($B129="","",IF(K129=0,0,L129/K129))</f>
        <v/>
      </c>
    </row>
    <row r="130">
      <c r="A130">
        <f>IF($B130="","",ROW()-5)</f>
        <v/>
      </c>
      <c r="D130">
        <f>IF($B130="","",IF(C130="","",TEXT(C130,"MMM")))</f>
        <v/>
      </c>
      <c r="I130">
        <f>IF($B130="","",IF(G130=0,0,H130/G130))</f>
        <v/>
      </c>
      <c r="M130">
        <f>IF($B130="","",IF(K130=0,0,L130/K130))</f>
        <v/>
      </c>
    </row>
    <row r="131">
      <c r="A131">
        <f>IF($B131="","",ROW()-5)</f>
        <v/>
      </c>
      <c r="D131">
        <f>IF($B131="","",IF(C131="","",TEXT(C131,"MMM")))</f>
        <v/>
      </c>
      <c r="I131">
        <f>IF($B131="","",IF(G131=0,0,H131/G131))</f>
        <v/>
      </c>
      <c r="M131">
        <f>IF($B131="","",IF(K131=0,0,L131/K131))</f>
        <v/>
      </c>
    </row>
    <row r="132">
      <c r="A132">
        <f>IF($B132="","",ROW()-5)</f>
        <v/>
      </c>
      <c r="D132">
        <f>IF($B132="","",IF(C132="","",TEXT(C132,"MMM")))</f>
        <v/>
      </c>
      <c r="I132">
        <f>IF($B132="","",IF(G132=0,0,H132/G132))</f>
        <v/>
      </c>
      <c r="M132">
        <f>IF($B132="","",IF(K132=0,0,L132/K132))</f>
        <v/>
      </c>
    </row>
    <row r="133">
      <c r="A133">
        <f>IF($B133="","",ROW()-5)</f>
        <v/>
      </c>
      <c r="D133">
        <f>IF($B133="","",IF(C133="","",TEXT(C133,"MMM")))</f>
        <v/>
      </c>
      <c r="I133">
        <f>IF($B133="","",IF(G133=0,0,H133/G133))</f>
        <v/>
      </c>
      <c r="M133">
        <f>IF($B133="","",IF(K133=0,0,L133/K133))</f>
        <v/>
      </c>
    </row>
    <row r="134">
      <c r="A134">
        <f>IF($B134="","",ROW()-5)</f>
        <v/>
      </c>
      <c r="D134">
        <f>IF($B134="","",IF(C134="","",TEXT(C134,"MMM")))</f>
        <v/>
      </c>
      <c r="I134">
        <f>IF($B134="","",IF(G134=0,0,H134/G134))</f>
        <v/>
      </c>
      <c r="M134">
        <f>IF($B134="","",IF(K134=0,0,L134/K134))</f>
        <v/>
      </c>
    </row>
    <row r="135">
      <c r="A135">
        <f>IF($B135="","",ROW()-5)</f>
        <v/>
      </c>
      <c r="D135">
        <f>IF($B135="","",IF(C135="","",TEXT(C135,"MMM")))</f>
        <v/>
      </c>
      <c r="I135">
        <f>IF($B135="","",IF(G135=0,0,H135/G135))</f>
        <v/>
      </c>
      <c r="M135">
        <f>IF($B135="","",IF(K135=0,0,L135/K135))</f>
        <v/>
      </c>
    </row>
    <row r="136">
      <c r="A136">
        <f>IF($B136="","",ROW()-5)</f>
        <v/>
      </c>
      <c r="D136">
        <f>IF($B136="","",IF(C136="","",TEXT(C136,"MMM")))</f>
        <v/>
      </c>
      <c r="I136">
        <f>IF($B136="","",IF(G136=0,0,H136/G136))</f>
        <v/>
      </c>
      <c r="M136">
        <f>IF($B136="","",IF(K136=0,0,L136/K136))</f>
        <v/>
      </c>
    </row>
    <row r="137">
      <c r="A137">
        <f>IF($B137="","",ROW()-5)</f>
        <v/>
      </c>
      <c r="D137">
        <f>IF($B137="","",IF(C137="","",TEXT(C137,"MMM")))</f>
        <v/>
      </c>
      <c r="I137">
        <f>IF($B137="","",IF(G137=0,0,H137/G137))</f>
        <v/>
      </c>
      <c r="M137">
        <f>IF($B137="","",IF(K137=0,0,L137/K137))</f>
        <v/>
      </c>
    </row>
    <row r="138">
      <c r="A138">
        <f>IF($B138="","",ROW()-5)</f>
        <v/>
      </c>
      <c r="D138">
        <f>IF($B138="","",IF(C138="","",TEXT(C138,"MMM")))</f>
        <v/>
      </c>
      <c r="I138">
        <f>IF($B138="","",IF(G138=0,0,H138/G138))</f>
        <v/>
      </c>
      <c r="M138">
        <f>IF($B138="","",IF(K138=0,0,L138/K138))</f>
        <v/>
      </c>
    </row>
    <row r="139">
      <c r="A139">
        <f>IF($B139="","",ROW()-5)</f>
        <v/>
      </c>
      <c r="D139">
        <f>IF($B139="","",IF(C139="","",TEXT(C139,"MMM")))</f>
        <v/>
      </c>
      <c r="I139">
        <f>IF($B139="","",IF(G139=0,0,H139/G139))</f>
        <v/>
      </c>
      <c r="M139">
        <f>IF($B139="","",IF(K139=0,0,L139/K139))</f>
        <v/>
      </c>
    </row>
    <row r="140">
      <c r="A140">
        <f>IF($B140="","",ROW()-5)</f>
        <v/>
      </c>
      <c r="D140">
        <f>IF($B140="","",IF(C140="","",TEXT(C140,"MMM")))</f>
        <v/>
      </c>
      <c r="I140">
        <f>IF($B140="","",IF(G140=0,0,H140/G140))</f>
        <v/>
      </c>
      <c r="M140">
        <f>IF($B140="","",IF(K140=0,0,L140/K140))</f>
        <v/>
      </c>
    </row>
    <row r="141">
      <c r="A141">
        <f>IF($B141="","",ROW()-5)</f>
        <v/>
      </c>
      <c r="D141">
        <f>IF($B141="","",IF(C141="","",TEXT(C141,"MMM")))</f>
        <v/>
      </c>
      <c r="I141">
        <f>IF($B141="","",IF(G141=0,0,H141/G141))</f>
        <v/>
      </c>
      <c r="M141">
        <f>IF($B141="","",IF(K141=0,0,L141/K141))</f>
        <v/>
      </c>
    </row>
    <row r="142">
      <c r="A142">
        <f>IF($B142="","",ROW()-5)</f>
        <v/>
      </c>
      <c r="D142">
        <f>IF($B142="","",IF(C142="","",TEXT(C142,"MMM")))</f>
        <v/>
      </c>
      <c r="I142">
        <f>IF($B142="","",IF(G142=0,0,H142/G142))</f>
        <v/>
      </c>
      <c r="M142">
        <f>IF($B142="","",IF(K142=0,0,L142/K142))</f>
        <v/>
      </c>
    </row>
    <row r="143">
      <c r="A143">
        <f>IF($B143="","",ROW()-5)</f>
        <v/>
      </c>
      <c r="D143">
        <f>IF($B143="","",IF(C143="","",TEXT(C143,"MMM")))</f>
        <v/>
      </c>
      <c r="I143">
        <f>IF($B143="","",IF(G143=0,0,H143/G143))</f>
        <v/>
      </c>
      <c r="M143">
        <f>IF($B143="","",IF(K143=0,0,L143/K143))</f>
        <v/>
      </c>
    </row>
    <row r="144">
      <c r="A144">
        <f>IF($B144="","",ROW()-5)</f>
        <v/>
      </c>
      <c r="D144">
        <f>IF($B144="","",IF(C144="","",TEXT(C144,"MMM")))</f>
        <v/>
      </c>
      <c r="I144">
        <f>IF($B144="","",IF(G144=0,0,H144/G144))</f>
        <v/>
      </c>
      <c r="M144">
        <f>IF($B144="","",IF(K144=0,0,L144/K144))</f>
        <v/>
      </c>
    </row>
    <row r="145">
      <c r="A145">
        <f>IF($B145="","",ROW()-5)</f>
        <v/>
      </c>
      <c r="D145">
        <f>IF($B145="","",IF(C145="","",TEXT(C145,"MMM")))</f>
        <v/>
      </c>
      <c r="I145">
        <f>IF($B145="","",IF(G145=0,0,H145/G145))</f>
        <v/>
      </c>
      <c r="M145">
        <f>IF($B145="","",IF(K145=0,0,L145/K145))</f>
        <v/>
      </c>
    </row>
    <row r="146">
      <c r="A146">
        <f>IF($B146="","",ROW()-5)</f>
        <v/>
      </c>
      <c r="D146">
        <f>IF($B146="","",IF(C146="","",TEXT(C146,"MMM")))</f>
        <v/>
      </c>
      <c r="I146">
        <f>IF($B146="","",IF(G146=0,0,H146/G146))</f>
        <v/>
      </c>
      <c r="M146">
        <f>IF($B146="","",IF(K146=0,0,L146/K146))</f>
        <v/>
      </c>
    </row>
    <row r="147">
      <c r="A147">
        <f>IF($B147="","",ROW()-5)</f>
        <v/>
      </c>
      <c r="D147">
        <f>IF($B147="","",IF(C147="","",TEXT(C147,"MMM")))</f>
        <v/>
      </c>
      <c r="I147">
        <f>IF($B147="","",IF(G147=0,0,H147/G147))</f>
        <v/>
      </c>
      <c r="M147">
        <f>IF($B147="","",IF(K147=0,0,L147/K147))</f>
        <v/>
      </c>
    </row>
    <row r="148">
      <c r="A148">
        <f>IF($B148="","",ROW()-5)</f>
        <v/>
      </c>
      <c r="D148">
        <f>IF($B148="","",IF(C148="","",TEXT(C148,"MMM")))</f>
        <v/>
      </c>
      <c r="I148">
        <f>IF($B148="","",IF(G148=0,0,H148/G148))</f>
        <v/>
      </c>
      <c r="M148">
        <f>IF($B148="","",IF(K148=0,0,L148/K148))</f>
        <v/>
      </c>
    </row>
    <row r="149">
      <c r="A149">
        <f>IF($B149="","",ROW()-5)</f>
        <v/>
      </c>
      <c r="D149">
        <f>IF($B149="","",IF(C149="","",TEXT(C149,"MMM")))</f>
        <v/>
      </c>
      <c r="I149">
        <f>IF($B149="","",IF(G149=0,0,H149/G149))</f>
        <v/>
      </c>
      <c r="M149">
        <f>IF($B149="","",IF(K149=0,0,L149/K149))</f>
        <v/>
      </c>
    </row>
    <row r="150">
      <c r="A150">
        <f>IF($B150="","",ROW()-5)</f>
        <v/>
      </c>
      <c r="D150">
        <f>IF($B150="","",IF(C150="","",TEXT(C150,"MMM")))</f>
        <v/>
      </c>
      <c r="I150">
        <f>IF($B150="","",IF(G150=0,0,H150/G150))</f>
        <v/>
      </c>
      <c r="M150">
        <f>IF($B150="","",IF(K150=0,0,L150/K150))</f>
        <v/>
      </c>
    </row>
    <row r="151">
      <c r="A151">
        <f>IF($B151="","",ROW()-5)</f>
        <v/>
      </c>
      <c r="D151">
        <f>IF($B151="","",IF(C151="","",TEXT(C151,"MMM")))</f>
        <v/>
      </c>
      <c r="I151">
        <f>IF($B151="","",IF(G151=0,0,H151/G151))</f>
        <v/>
      </c>
      <c r="M151">
        <f>IF($B151="","",IF(K151=0,0,L151/K151))</f>
        <v/>
      </c>
    </row>
    <row r="152">
      <c r="A152">
        <f>IF($B152="","",ROW()-5)</f>
        <v/>
      </c>
      <c r="D152">
        <f>IF($B152="","",IF(C152="","",TEXT(C152,"MMM")))</f>
        <v/>
      </c>
      <c r="I152">
        <f>IF($B152="","",IF(G152=0,0,H152/G152))</f>
        <v/>
      </c>
      <c r="M152">
        <f>IF($B152="","",IF(K152=0,0,L152/K152))</f>
        <v/>
      </c>
    </row>
    <row r="153">
      <c r="A153">
        <f>IF($B153="","",ROW()-5)</f>
        <v/>
      </c>
      <c r="D153">
        <f>IF($B153="","",IF(C153="","",TEXT(C153,"MMM")))</f>
        <v/>
      </c>
      <c r="I153">
        <f>IF($B153="","",IF(G153=0,0,H153/G153))</f>
        <v/>
      </c>
      <c r="M153">
        <f>IF($B153="","",IF(K153=0,0,L153/K153))</f>
        <v/>
      </c>
    </row>
    <row r="154">
      <c r="A154">
        <f>IF($B154="","",ROW()-5)</f>
        <v/>
      </c>
      <c r="D154">
        <f>IF($B154="","",IF(C154="","",TEXT(C154,"MMM")))</f>
        <v/>
      </c>
      <c r="I154">
        <f>IF($B154="","",IF(G154=0,0,H154/G154))</f>
        <v/>
      </c>
      <c r="M154">
        <f>IF($B154="","",IF(K154=0,0,L154/K154))</f>
        <v/>
      </c>
    </row>
    <row r="155">
      <c r="A155">
        <f>IF($B155="","",ROW()-5)</f>
        <v/>
      </c>
      <c r="D155">
        <f>IF($B155="","",IF(C155="","",TEXT(C155,"MMM")))</f>
        <v/>
      </c>
      <c r="I155">
        <f>IF($B155="","",IF(G155=0,0,H155/G155))</f>
        <v/>
      </c>
      <c r="M155">
        <f>IF($B155="","",IF(K155=0,0,L155/K155))</f>
        <v/>
      </c>
    </row>
    <row r="156">
      <c r="A156">
        <f>IF($B156="","",ROW()-5)</f>
        <v/>
      </c>
      <c r="D156">
        <f>IF($B156="","",IF(C156="","",TEXT(C156,"MMM")))</f>
        <v/>
      </c>
      <c r="I156">
        <f>IF($B156="","",IF(G156=0,0,H156/G156))</f>
        <v/>
      </c>
      <c r="M156">
        <f>IF($B156="","",IF(K156=0,0,L156/K156))</f>
        <v/>
      </c>
    </row>
    <row r="157">
      <c r="A157">
        <f>IF($B157="","",ROW()-5)</f>
        <v/>
      </c>
      <c r="D157">
        <f>IF($B157="","",IF(C157="","",TEXT(C157,"MMM")))</f>
        <v/>
      </c>
      <c r="I157">
        <f>IF($B157="","",IF(G157=0,0,H157/G157))</f>
        <v/>
      </c>
      <c r="M157">
        <f>IF($B157="","",IF(K157=0,0,L157/K157))</f>
        <v/>
      </c>
    </row>
    <row r="158">
      <c r="A158">
        <f>IF($B158="","",ROW()-5)</f>
        <v/>
      </c>
      <c r="D158">
        <f>IF($B158="","",IF(C158="","",TEXT(C158,"MMM")))</f>
        <v/>
      </c>
      <c r="I158">
        <f>IF($B158="","",IF(G158=0,0,H158/G158))</f>
        <v/>
      </c>
      <c r="M158">
        <f>IF($B158="","",IF(K158=0,0,L158/K158))</f>
        <v/>
      </c>
    </row>
    <row r="159">
      <c r="A159">
        <f>IF($B159="","",ROW()-5)</f>
        <v/>
      </c>
      <c r="D159">
        <f>IF($B159="","",IF(C159="","",TEXT(C159,"MMM")))</f>
        <v/>
      </c>
      <c r="I159">
        <f>IF($B159="","",IF(G159=0,0,H159/G159))</f>
        <v/>
      </c>
      <c r="M159">
        <f>IF($B159="","",IF(K159=0,0,L159/K159))</f>
        <v/>
      </c>
    </row>
    <row r="160">
      <c r="A160">
        <f>IF($B160="","",ROW()-5)</f>
        <v/>
      </c>
      <c r="D160">
        <f>IF($B160="","",IF(C160="","",TEXT(C160,"MMM")))</f>
        <v/>
      </c>
      <c r="I160">
        <f>IF($B160="","",IF(G160=0,0,H160/G160))</f>
        <v/>
      </c>
      <c r="M160">
        <f>IF($B160="","",IF(K160=0,0,L160/K160))</f>
        <v/>
      </c>
    </row>
    <row r="161">
      <c r="A161">
        <f>IF($B161="","",ROW()-5)</f>
        <v/>
      </c>
      <c r="D161">
        <f>IF($B161="","",IF(C161="","",TEXT(C161,"MMM")))</f>
        <v/>
      </c>
      <c r="I161">
        <f>IF($B161="","",IF(G161=0,0,H161/G161))</f>
        <v/>
      </c>
      <c r="M161">
        <f>IF($B161="","",IF(K161=0,0,L161/K161))</f>
        <v/>
      </c>
    </row>
    <row r="162">
      <c r="A162">
        <f>IF($B162="","",ROW()-5)</f>
        <v/>
      </c>
      <c r="D162">
        <f>IF($B162="","",IF(C162="","",TEXT(C162,"MMM")))</f>
        <v/>
      </c>
      <c r="I162">
        <f>IF($B162="","",IF(G162=0,0,H162/G162))</f>
        <v/>
      </c>
      <c r="M162">
        <f>IF($B162="","",IF(K162=0,0,L162/K162))</f>
        <v/>
      </c>
    </row>
    <row r="163">
      <c r="A163">
        <f>IF($B163="","",ROW()-5)</f>
        <v/>
      </c>
      <c r="D163">
        <f>IF($B163="","",IF(C163="","",TEXT(C163,"MMM")))</f>
        <v/>
      </c>
      <c r="I163">
        <f>IF($B163="","",IF(G163=0,0,H163/G163))</f>
        <v/>
      </c>
      <c r="M163">
        <f>IF($B163="","",IF(K163=0,0,L163/K163))</f>
        <v/>
      </c>
    </row>
    <row r="164">
      <c r="A164">
        <f>IF($B164="","",ROW()-5)</f>
        <v/>
      </c>
      <c r="D164">
        <f>IF($B164="","",IF(C164="","",TEXT(C164,"MMM")))</f>
        <v/>
      </c>
      <c r="I164">
        <f>IF($B164="","",IF(G164=0,0,H164/G164))</f>
        <v/>
      </c>
      <c r="M164">
        <f>IF($B164="","",IF(K164=0,0,L164/K164))</f>
        <v/>
      </c>
    </row>
    <row r="165">
      <c r="A165">
        <f>IF($B165="","",ROW()-5)</f>
        <v/>
      </c>
      <c r="D165">
        <f>IF($B165="","",IF(C165="","",TEXT(C165,"MMM")))</f>
        <v/>
      </c>
      <c r="I165">
        <f>IF($B165="","",IF(G165=0,0,H165/G165))</f>
        <v/>
      </c>
      <c r="M165">
        <f>IF($B165="","",IF(K165=0,0,L165/K165))</f>
        <v/>
      </c>
    </row>
    <row r="166">
      <c r="A166">
        <f>IF($B166="","",ROW()-5)</f>
        <v/>
      </c>
      <c r="D166">
        <f>IF($B166="","",IF(C166="","",TEXT(C166,"MMM")))</f>
        <v/>
      </c>
      <c r="I166">
        <f>IF($B166="","",IF(G166=0,0,H166/G166))</f>
        <v/>
      </c>
      <c r="M166">
        <f>IF($B166="","",IF(K166=0,0,L166/K166))</f>
        <v/>
      </c>
    </row>
    <row r="167">
      <c r="A167">
        <f>IF($B167="","",ROW()-5)</f>
        <v/>
      </c>
      <c r="D167">
        <f>IF($B167="","",IF(C167="","",TEXT(C167,"MMM")))</f>
        <v/>
      </c>
      <c r="I167">
        <f>IF($B167="","",IF(G167=0,0,H167/G167))</f>
        <v/>
      </c>
      <c r="M167">
        <f>IF($B167="","",IF(K167=0,0,L167/K167))</f>
        <v/>
      </c>
    </row>
    <row r="168">
      <c r="A168">
        <f>IF($B168="","",ROW()-5)</f>
        <v/>
      </c>
      <c r="D168">
        <f>IF($B168="","",IF(C168="","",TEXT(C168,"MMM")))</f>
        <v/>
      </c>
      <c r="I168">
        <f>IF($B168="","",IF(G168=0,0,H168/G168))</f>
        <v/>
      </c>
      <c r="M168">
        <f>IF($B168="","",IF(K168=0,0,L168/K168))</f>
        <v/>
      </c>
    </row>
    <row r="169">
      <c r="A169">
        <f>IF($B169="","",ROW()-5)</f>
        <v/>
      </c>
      <c r="D169">
        <f>IF($B169="","",IF(C169="","",TEXT(C169,"MMM")))</f>
        <v/>
      </c>
      <c r="I169">
        <f>IF($B169="","",IF(G169=0,0,H169/G169))</f>
        <v/>
      </c>
      <c r="M169">
        <f>IF($B169="","",IF(K169=0,0,L169/K169))</f>
        <v/>
      </c>
    </row>
    <row r="170">
      <c r="A170">
        <f>IF($B170="","",ROW()-5)</f>
        <v/>
      </c>
      <c r="D170">
        <f>IF($B170="","",IF(C170="","",TEXT(C170,"MMM")))</f>
        <v/>
      </c>
      <c r="I170">
        <f>IF($B170="","",IF(G170=0,0,H170/G170))</f>
        <v/>
      </c>
      <c r="M170">
        <f>IF($B170="","",IF(K170=0,0,L170/K170))</f>
        <v/>
      </c>
    </row>
    <row r="171">
      <c r="A171">
        <f>IF($B171="","",ROW()-5)</f>
        <v/>
      </c>
      <c r="D171">
        <f>IF($B171="","",IF(C171="","",TEXT(C171,"MMM")))</f>
        <v/>
      </c>
      <c r="I171">
        <f>IF($B171="","",IF(G171=0,0,H171/G171))</f>
        <v/>
      </c>
      <c r="M171">
        <f>IF($B171="","",IF(K171=0,0,L171/K171))</f>
        <v/>
      </c>
    </row>
    <row r="172">
      <c r="A172">
        <f>IF($B172="","",ROW()-5)</f>
        <v/>
      </c>
      <c r="D172">
        <f>IF($B172="","",IF(C172="","",TEXT(C172,"MMM")))</f>
        <v/>
      </c>
      <c r="I172">
        <f>IF($B172="","",IF(G172=0,0,H172/G172))</f>
        <v/>
      </c>
      <c r="M172">
        <f>IF($B172="","",IF(K172=0,0,L172/K172))</f>
        <v/>
      </c>
    </row>
    <row r="173">
      <c r="A173">
        <f>IF($B173="","",ROW()-5)</f>
        <v/>
      </c>
      <c r="D173">
        <f>IF($B173="","",IF(C173="","",TEXT(C173,"MMM")))</f>
        <v/>
      </c>
      <c r="I173">
        <f>IF($B173="","",IF(G173=0,0,H173/G173))</f>
        <v/>
      </c>
      <c r="M173">
        <f>IF($B173="","",IF(K173=0,0,L173/K173))</f>
        <v/>
      </c>
    </row>
    <row r="174">
      <c r="A174">
        <f>IF($B174="","",ROW()-5)</f>
        <v/>
      </c>
      <c r="D174">
        <f>IF($B174="","",IF(C174="","",TEXT(C174,"MMM")))</f>
        <v/>
      </c>
      <c r="I174">
        <f>IF($B174="","",IF(G174=0,0,H174/G174))</f>
        <v/>
      </c>
      <c r="M174">
        <f>IF($B174="","",IF(K174=0,0,L174/K174))</f>
        <v/>
      </c>
    </row>
    <row r="175">
      <c r="A175">
        <f>IF($B175="","",ROW()-5)</f>
        <v/>
      </c>
      <c r="D175">
        <f>IF($B175="","",IF(C175="","",TEXT(C175,"MMM")))</f>
        <v/>
      </c>
      <c r="I175">
        <f>IF($B175="","",IF(G175=0,0,H175/G175))</f>
        <v/>
      </c>
      <c r="M175">
        <f>IF($B175="","",IF(K175=0,0,L175/K175))</f>
        <v/>
      </c>
    </row>
    <row r="176">
      <c r="A176">
        <f>IF($B176="","",ROW()-5)</f>
        <v/>
      </c>
      <c r="D176">
        <f>IF($B176="","",IF(C176="","",TEXT(C176,"MMM")))</f>
        <v/>
      </c>
      <c r="I176">
        <f>IF($B176="","",IF(G176=0,0,H176/G176))</f>
        <v/>
      </c>
      <c r="M176">
        <f>IF($B176="","",IF(K176=0,0,L176/K176))</f>
        <v/>
      </c>
    </row>
    <row r="177">
      <c r="A177">
        <f>IF($B177="","",ROW()-5)</f>
        <v/>
      </c>
      <c r="D177">
        <f>IF($B177="","",IF(C177="","",TEXT(C177,"MMM")))</f>
        <v/>
      </c>
      <c r="I177">
        <f>IF($B177="","",IF(G177=0,0,H177/G177))</f>
        <v/>
      </c>
      <c r="M177">
        <f>IF($B177="","",IF(K177=0,0,L177/K177))</f>
        <v/>
      </c>
    </row>
    <row r="178">
      <c r="A178">
        <f>IF($B178="","",ROW()-5)</f>
        <v/>
      </c>
      <c r="D178">
        <f>IF($B178="","",IF(C178="","",TEXT(C178,"MMM")))</f>
        <v/>
      </c>
      <c r="I178">
        <f>IF($B178="","",IF(G178=0,0,H178/G178))</f>
        <v/>
      </c>
      <c r="M178">
        <f>IF($B178="","",IF(K178=0,0,L178/K178))</f>
        <v/>
      </c>
    </row>
    <row r="179">
      <c r="A179">
        <f>IF($B179="","",ROW()-5)</f>
        <v/>
      </c>
      <c r="D179">
        <f>IF($B179="","",IF(C179="","",TEXT(C179,"MMM")))</f>
        <v/>
      </c>
      <c r="I179">
        <f>IF($B179="","",IF(G179=0,0,H179/G179))</f>
        <v/>
      </c>
      <c r="M179">
        <f>IF($B179="","",IF(K179=0,0,L179/K179))</f>
        <v/>
      </c>
    </row>
    <row r="180">
      <c r="A180">
        <f>IF($B180="","",ROW()-5)</f>
        <v/>
      </c>
      <c r="D180">
        <f>IF($B180="","",IF(C180="","",TEXT(C180,"MMM")))</f>
        <v/>
      </c>
      <c r="I180">
        <f>IF($B180="","",IF(G180=0,0,H180/G180))</f>
        <v/>
      </c>
      <c r="M180">
        <f>IF($B180="","",IF(K180=0,0,L180/K180))</f>
        <v/>
      </c>
    </row>
    <row r="181">
      <c r="A181">
        <f>IF($B181="","",ROW()-5)</f>
        <v/>
      </c>
      <c r="D181">
        <f>IF($B181="","",IF(C181="","",TEXT(C181,"MMM")))</f>
        <v/>
      </c>
      <c r="I181">
        <f>IF($B181="","",IF(G181=0,0,H181/G181))</f>
        <v/>
      </c>
      <c r="M181">
        <f>IF($B181="","",IF(K181=0,0,L181/K181))</f>
        <v/>
      </c>
    </row>
    <row r="182">
      <c r="A182">
        <f>IF($B182="","",ROW()-5)</f>
        <v/>
      </c>
      <c r="D182">
        <f>IF($B182="","",IF(C182="","",TEXT(C182,"MMM")))</f>
        <v/>
      </c>
      <c r="I182">
        <f>IF($B182="","",IF(G182=0,0,H182/G182))</f>
        <v/>
      </c>
      <c r="M182">
        <f>IF($B182="","",IF(K182=0,0,L182/K182))</f>
        <v/>
      </c>
    </row>
    <row r="183">
      <c r="A183">
        <f>IF($B183="","",ROW()-5)</f>
        <v/>
      </c>
      <c r="D183">
        <f>IF($B183="","",IF(C183="","",TEXT(C183,"MMM")))</f>
        <v/>
      </c>
      <c r="I183">
        <f>IF($B183="","",IF(G183=0,0,H183/G183))</f>
        <v/>
      </c>
      <c r="M183">
        <f>IF($B183="","",IF(K183=0,0,L183/K183))</f>
        <v/>
      </c>
    </row>
    <row r="184">
      <c r="A184">
        <f>IF($B184="","",ROW()-5)</f>
        <v/>
      </c>
      <c r="D184">
        <f>IF($B184="","",IF(C184="","",TEXT(C184,"MMM")))</f>
        <v/>
      </c>
      <c r="I184">
        <f>IF($B184="","",IF(G184=0,0,H184/G184))</f>
        <v/>
      </c>
      <c r="M184">
        <f>IF($B184="","",IF(K184=0,0,L184/K184))</f>
        <v/>
      </c>
    </row>
    <row r="185">
      <c r="A185">
        <f>IF($B185="","",ROW()-5)</f>
        <v/>
      </c>
      <c r="D185">
        <f>IF($B185="","",IF(C185="","",TEXT(C185,"MMM")))</f>
        <v/>
      </c>
      <c r="I185">
        <f>IF($B185="","",IF(G185=0,0,H185/G185))</f>
        <v/>
      </c>
      <c r="M185">
        <f>IF($B185="","",IF(K185=0,0,L185/K185))</f>
        <v/>
      </c>
    </row>
    <row r="186">
      <c r="A186">
        <f>IF($B186="","",ROW()-5)</f>
        <v/>
      </c>
      <c r="D186">
        <f>IF($B186="","",IF(C186="","",TEXT(C186,"MMM")))</f>
        <v/>
      </c>
      <c r="I186">
        <f>IF($B186="","",IF(G186=0,0,H186/G186))</f>
        <v/>
      </c>
      <c r="M186">
        <f>IF($B186="","",IF(K186=0,0,L186/K186))</f>
        <v/>
      </c>
    </row>
    <row r="187">
      <c r="A187">
        <f>IF($B187="","",ROW()-5)</f>
        <v/>
      </c>
      <c r="D187">
        <f>IF($B187="","",IF(C187="","",TEXT(C187,"MMM")))</f>
        <v/>
      </c>
      <c r="I187">
        <f>IF($B187="","",IF(G187=0,0,H187/G187))</f>
        <v/>
      </c>
      <c r="M187">
        <f>IF($B187="","",IF(K187=0,0,L187/K187))</f>
        <v/>
      </c>
    </row>
    <row r="188">
      <c r="A188">
        <f>IF($B188="","",ROW()-5)</f>
        <v/>
      </c>
      <c r="D188">
        <f>IF($B188="","",IF(C188="","",TEXT(C188,"MMM")))</f>
        <v/>
      </c>
      <c r="I188">
        <f>IF($B188="","",IF(G188=0,0,H188/G188))</f>
        <v/>
      </c>
      <c r="M188">
        <f>IF($B188="","",IF(K188=0,0,L188/K188))</f>
        <v/>
      </c>
    </row>
    <row r="189">
      <c r="A189">
        <f>IF($B189="","",ROW()-5)</f>
        <v/>
      </c>
      <c r="D189">
        <f>IF($B189="","",IF(C189="","",TEXT(C189,"MMM")))</f>
        <v/>
      </c>
      <c r="I189">
        <f>IF($B189="","",IF(G189=0,0,H189/G189))</f>
        <v/>
      </c>
      <c r="M189">
        <f>IF($B189="","",IF(K189=0,0,L189/K189))</f>
        <v/>
      </c>
    </row>
    <row r="190">
      <c r="A190">
        <f>IF($B190="","",ROW()-5)</f>
        <v/>
      </c>
      <c r="D190">
        <f>IF($B190="","",IF(C190="","",TEXT(C190,"MMM")))</f>
        <v/>
      </c>
      <c r="I190">
        <f>IF($B190="","",IF(G190=0,0,H190/G190))</f>
        <v/>
      </c>
      <c r="M190">
        <f>IF($B190="","",IF(K190=0,0,L190/K190))</f>
        <v/>
      </c>
    </row>
    <row r="191">
      <c r="A191">
        <f>IF($B191="","",ROW()-5)</f>
        <v/>
      </c>
      <c r="D191">
        <f>IF($B191="","",IF(C191="","",TEXT(C191,"MMM")))</f>
        <v/>
      </c>
      <c r="I191">
        <f>IF($B191="","",IF(G191=0,0,H191/G191))</f>
        <v/>
      </c>
      <c r="M191">
        <f>IF($B191="","",IF(K191=0,0,L191/K191))</f>
        <v/>
      </c>
    </row>
    <row r="192">
      <c r="A192">
        <f>IF($B192="","",ROW()-5)</f>
        <v/>
      </c>
      <c r="D192">
        <f>IF($B192="","",IF(C192="","",TEXT(C192,"MMM")))</f>
        <v/>
      </c>
      <c r="I192">
        <f>IF($B192="","",IF(G192=0,0,H192/G192))</f>
        <v/>
      </c>
      <c r="M192">
        <f>IF($B192="","",IF(K192=0,0,L192/K192))</f>
        <v/>
      </c>
    </row>
    <row r="193">
      <c r="A193">
        <f>IF($B193="","",ROW()-5)</f>
        <v/>
      </c>
      <c r="D193">
        <f>IF($B193="","",IF(C193="","",TEXT(C193,"MMM")))</f>
        <v/>
      </c>
      <c r="I193">
        <f>IF($B193="","",IF(G193=0,0,H193/G193))</f>
        <v/>
      </c>
      <c r="M193">
        <f>IF($B193="","",IF(K193=0,0,L193/K193))</f>
        <v/>
      </c>
    </row>
    <row r="194">
      <c r="A194">
        <f>IF($B194="","",ROW()-5)</f>
        <v/>
      </c>
      <c r="D194">
        <f>IF($B194="","",IF(C194="","",TEXT(C194,"MMM")))</f>
        <v/>
      </c>
      <c r="I194">
        <f>IF($B194="","",IF(G194=0,0,H194/G194))</f>
        <v/>
      </c>
      <c r="M194">
        <f>IF($B194="","",IF(K194=0,0,L194/K194))</f>
        <v/>
      </c>
    </row>
    <row r="195">
      <c r="A195">
        <f>IF($B195="","",ROW()-5)</f>
        <v/>
      </c>
      <c r="D195">
        <f>IF($B195="","",IF(C195="","",TEXT(C195,"MMM")))</f>
        <v/>
      </c>
      <c r="I195">
        <f>IF($B195="","",IF(G195=0,0,H195/G195))</f>
        <v/>
      </c>
      <c r="M195">
        <f>IF($B195="","",IF(K195=0,0,L195/K195))</f>
        <v/>
      </c>
    </row>
    <row r="196">
      <c r="A196">
        <f>IF($B196="","",ROW()-5)</f>
        <v/>
      </c>
      <c r="D196">
        <f>IF($B196="","",IF(C196="","",TEXT(C196,"MMM")))</f>
        <v/>
      </c>
      <c r="I196">
        <f>IF($B196="","",IF(G196=0,0,H196/G196))</f>
        <v/>
      </c>
      <c r="M196">
        <f>IF($B196="","",IF(K196=0,0,L196/K196))</f>
        <v/>
      </c>
    </row>
    <row r="197">
      <c r="A197">
        <f>IF($B197="","",ROW()-5)</f>
        <v/>
      </c>
      <c r="D197">
        <f>IF($B197="","",IF(C197="","",TEXT(C197,"MMM")))</f>
        <v/>
      </c>
      <c r="I197">
        <f>IF($B197="","",IF(G197=0,0,H197/G197))</f>
        <v/>
      </c>
      <c r="M197">
        <f>IF($B197="","",IF(K197=0,0,L197/K197))</f>
        <v/>
      </c>
    </row>
    <row r="198">
      <c r="A198">
        <f>IF($B198="","",ROW()-5)</f>
        <v/>
      </c>
      <c r="D198">
        <f>IF($B198="","",IF(C198="","",TEXT(C198,"MMM")))</f>
        <v/>
      </c>
      <c r="I198">
        <f>IF($B198="","",IF(G198=0,0,H198/G198))</f>
        <v/>
      </c>
      <c r="M198">
        <f>IF($B198="","",IF(K198=0,0,L198/K198))</f>
        <v/>
      </c>
    </row>
    <row r="199">
      <c r="A199">
        <f>IF($B199="","",ROW()-5)</f>
        <v/>
      </c>
      <c r="D199">
        <f>IF($B199="","",IF(C199="","",TEXT(C199,"MMM")))</f>
        <v/>
      </c>
      <c r="I199">
        <f>IF($B199="","",IF(G199=0,0,H199/G199))</f>
        <v/>
      </c>
      <c r="M199">
        <f>IF($B199="","",IF(K199=0,0,L199/K199))</f>
        <v/>
      </c>
    </row>
    <row r="200">
      <c r="A200">
        <f>IF($B200="","",ROW()-5)</f>
        <v/>
      </c>
      <c r="D200">
        <f>IF($B200="","",IF(C200="","",TEXT(C200,"MMM")))</f>
        <v/>
      </c>
      <c r="I200">
        <f>IF($B200="","",IF(G200=0,0,H200/G200))</f>
        <v/>
      </c>
      <c r="M200">
        <f>IF($B200="","",IF(K200=0,0,L200/K200))</f>
        <v/>
      </c>
    </row>
    <row r="201">
      <c r="A201">
        <f>IF($B201="","",ROW()-5)</f>
        <v/>
      </c>
      <c r="D201">
        <f>IF($B201="","",IF(C201="","",TEXT(C201,"MMM")))</f>
        <v/>
      </c>
      <c r="I201">
        <f>IF($B201="","",IF(G201=0,0,H201/G201))</f>
        <v/>
      </c>
      <c r="M201">
        <f>IF($B201="","",IF(K201=0,0,L201/K201))</f>
        <v/>
      </c>
    </row>
    <row r="202">
      <c r="A202">
        <f>IF($B202="","",ROW()-5)</f>
        <v/>
      </c>
      <c r="D202">
        <f>IF($B202="","",IF(C202="","",TEXT(C202,"MMM")))</f>
        <v/>
      </c>
      <c r="I202">
        <f>IF($B202="","",IF(G202=0,0,H202/G202))</f>
        <v/>
      </c>
      <c r="M202">
        <f>IF($B202="","",IF(K202=0,0,L202/K202))</f>
        <v/>
      </c>
    </row>
    <row r="203">
      <c r="A203">
        <f>IF($B203="","",ROW()-5)</f>
        <v/>
      </c>
      <c r="D203">
        <f>IF($B203="","",IF(C203="","",TEXT(C203,"MMM")))</f>
        <v/>
      </c>
      <c r="I203">
        <f>IF($B203="","",IF(G203=0,0,H203/G203))</f>
        <v/>
      </c>
      <c r="M203">
        <f>IF($B203="","",IF(K203=0,0,L203/K203))</f>
        <v/>
      </c>
    </row>
    <row r="204">
      <c r="A204">
        <f>IF($B204="","",ROW()-5)</f>
        <v/>
      </c>
      <c r="D204">
        <f>IF($B204="","",IF(C204="","",TEXT(C204,"MMM")))</f>
        <v/>
      </c>
      <c r="I204">
        <f>IF($B204="","",IF(G204=0,0,H204/G204))</f>
        <v/>
      </c>
      <c r="M204">
        <f>IF($B204="","",IF(K204=0,0,L204/K204))</f>
        <v/>
      </c>
    </row>
    <row r="205">
      <c r="A205">
        <f>IF($B205="","",ROW()-5)</f>
        <v/>
      </c>
      <c r="D205">
        <f>IF($B205="","",IF(C205="","",TEXT(C205,"MMM")))</f>
        <v/>
      </c>
      <c r="I205">
        <f>IF($B205="","",IF(G205=0,0,H205/G205))</f>
        <v/>
      </c>
      <c r="M205">
        <f>IF($B205="","",IF(K205=0,0,L205/K205))</f>
        <v/>
      </c>
    </row>
    <row r="206">
      <c r="A206">
        <f>IF($B206="","",ROW()-5)</f>
        <v/>
      </c>
      <c r="D206">
        <f>IF($B206="","",IF(C206="","",TEXT(C206,"MMM")))</f>
        <v/>
      </c>
      <c r="I206">
        <f>IF($B206="","",IF(G206=0,0,H206/G206))</f>
        <v/>
      </c>
      <c r="M206">
        <f>IF($B206="","",IF(K206=0,0,L206/K206))</f>
        <v/>
      </c>
    </row>
    <row r="207">
      <c r="A207">
        <f>IF($B207="","",ROW()-5)</f>
        <v/>
      </c>
      <c r="D207">
        <f>IF($B207="","",IF(C207="","",TEXT(C207,"MMM")))</f>
        <v/>
      </c>
      <c r="I207">
        <f>IF($B207="","",IF(G207=0,0,H207/G207))</f>
        <v/>
      </c>
      <c r="M207">
        <f>IF($B207="","",IF(K207=0,0,L207/K207))</f>
        <v/>
      </c>
    </row>
    <row r="208">
      <c r="A208">
        <f>IF($B208="","",ROW()-5)</f>
        <v/>
      </c>
      <c r="D208">
        <f>IF($B208="","",IF(C208="","",TEXT(C208,"MMM")))</f>
        <v/>
      </c>
      <c r="I208">
        <f>IF($B208="","",IF(G208=0,0,H208/G208))</f>
        <v/>
      </c>
      <c r="M208">
        <f>IF($B208="","",IF(K208=0,0,L208/K208))</f>
        <v/>
      </c>
    </row>
    <row r="209">
      <c r="A209">
        <f>IF($B209="","",ROW()-5)</f>
        <v/>
      </c>
      <c r="D209">
        <f>IF($B209="","",IF(C209="","",TEXT(C209,"MMM")))</f>
        <v/>
      </c>
      <c r="I209">
        <f>IF($B209="","",IF(G209=0,0,H209/G209))</f>
        <v/>
      </c>
      <c r="M209">
        <f>IF($B209="","",IF(K209=0,0,L209/K209))</f>
        <v/>
      </c>
    </row>
    <row r="210">
      <c r="A210">
        <f>IF($B210="","",ROW()-5)</f>
        <v/>
      </c>
      <c r="D210">
        <f>IF($B210="","",IF(C210="","",TEXT(C210,"MMM")))</f>
        <v/>
      </c>
      <c r="I210">
        <f>IF($B210="","",IF(G210=0,0,H210/G210))</f>
        <v/>
      </c>
      <c r="M210">
        <f>IF($B210="","",IF(K210=0,0,L210/K210))</f>
        <v/>
      </c>
    </row>
    <row r="211">
      <c r="A211">
        <f>IF($B211="","",ROW()-5)</f>
        <v/>
      </c>
      <c r="D211">
        <f>IF($B211="","",IF(C211="","",TEXT(C211,"MMM")))</f>
        <v/>
      </c>
      <c r="I211">
        <f>IF($B211="","",IF(G211=0,0,H211/G211))</f>
        <v/>
      </c>
      <c r="M211">
        <f>IF($B211="","",IF(K211=0,0,L211/K211))</f>
        <v/>
      </c>
    </row>
    <row r="212">
      <c r="A212">
        <f>IF($B212="","",ROW()-5)</f>
        <v/>
      </c>
      <c r="D212">
        <f>IF($B212="","",IF(C212="","",TEXT(C212,"MMM")))</f>
        <v/>
      </c>
      <c r="I212">
        <f>IF($B212="","",IF(G212=0,0,H212/G212))</f>
        <v/>
      </c>
      <c r="M212">
        <f>IF($B212="","",IF(K212=0,0,L212/K212))</f>
        <v/>
      </c>
    </row>
    <row r="213">
      <c r="A213">
        <f>IF($B213="","",ROW()-5)</f>
        <v/>
      </c>
      <c r="D213">
        <f>IF($B213="","",IF(C213="","",TEXT(C213,"MMM")))</f>
        <v/>
      </c>
      <c r="I213">
        <f>IF($B213="","",IF(G213=0,0,H213/G213))</f>
        <v/>
      </c>
      <c r="M213">
        <f>IF($B213="","",IF(K213=0,0,L213/K213))</f>
        <v/>
      </c>
    </row>
    <row r="214">
      <c r="A214">
        <f>IF($B214="","",ROW()-5)</f>
        <v/>
      </c>
      <c r="D214">
        <f>IF($B214="","",IF(C214="","",TEXT(C214,"MMM")))</f>
        <v/>
      </c>
      <c r="I214">
        <f>IF($B214="","",IF(G214=0,0,H214/G214))</f>
        <v/>
      </c>
      <c r="M214">
        <f>IF($B214="","",IF(K214=0,0,L214/K214))</f>
        <v/>
      </c>
    </row>
    <row r="215">
      <c r="A215">
        <f>IF($B215="","",ROW()-5)</f>
        <v/>
      </c>
      <c r="D215">
        <f>IF($B215="","",IF(C215="","",TEXT(C215,"MMM")))</f>
        <v/>
      </c>
      <c r="I215">
        <f>IF($B215="","",IF(G215=0,0,H215/G215))</f>
        <v/>
      </c>
      <c r="M215">
        <f>IF($B215="","",IF(K215=0,0,L215/K215))</f>
        <v/>
      </c>
    </row>
    <row r="216">
      <c r="A216">
        <f>IF($B216="","",ROW()-5)</f>
        <v/>
      </c>
      <c r="D216">
        <f>IF($B216="","",IF(C216="","",TEXT(C216,"MMM")))</f>
        <v/>
      </c>
      <c r="I216">
        <f>IF($B216="","",IF(G216=0,0,H216/G216))</f>
        <v/>
      </c>
      <c r="M216">
        <f>IF($B216="","",IF(K216=0,0,L216/K216))</f>
        <v/>
      </c>
    </row>
    <row r="217">
      <c r="A217">
        <f>IF($B217="","",ROW()-5)</f>
        <v/>
      </c>
      <c r="D217">
        <f>IF($B217="","",IF(C217="","",TEXT(C217,"MMM")))</f>
        <v/>
      </c>
      <c r="I217">
        <f>IF($B217="","",IF(G217=0,0,H217/G217))</f>
        <v/>
      </c>
      <c r="M217">
        <f>IF($B217="","",IF(K217=0,0,L217/K217))</f>
        <v/>
      </c>
    </row>
    <row r="218">
      <c r="A218">
        <f>IF($B218="","",ROW()-5)</f>
        <v/>
      </c>
      <c r="D218">
        <f>IF($B218="","",IF(C218="","",TEXT(C218,"MMM")))</f>
        <v/>
      </c>
      <c r="I218">
        <f>IF($B218="","",IF(G218=0,0,H218/G218))</f>
        <v/>
      </c>
      <c r="M218">
        <f>IF($B218="","",IF(K218=0,0,L218/K218))</f>
        <v/>
      </c>
    </row>
    <row r="219">
      <c r="A219">
        <f>IF($B219="","",ROW()-5)</f>
        <v/>
      </c>
      <c r="D219">
        <f>IF($B219="","",IF(C219="","",TEXT(C219,"MMM")))</f>
        <v/>
      </c>
      <c r="I219">
        <f>IF($B219="","",IF(G219=0,0,H219/G219))</f>
        <v/>
      </c>
      <c r="M219">
        <f>IF($B219="","",IF(K219=0,0,L219/K219))</f>
        <v/>
      </c>
    </row>
    <row r="220">
      <c r="A220">
        <f>IF($B220="","",ROW()-5)</f>
        <v/>
      </c>
      <c r="D220">
        <f>IF($B220="","",IF(C220="","",TEXT(C220,"MMM")))</f>
        <v/>
      </c>
      <c r="I220">
        <f>IF($B220="","",IF(G220=0,0,H220/G220))</f>
        <v/>
      </c>
      <c r="M220">
        <f>IF($B220="","",IF(K220=0,0,L220/K220))</f>
        <v/>
      </c>
    </row>
    <row r="221">
      <c r="A221">
        <f>IF($B221="","",ROW()-5)</f>
        <v/>
      </c>
      <c r="D221">
        <f>IF($B221="","",IF(C221="","",TEXT(C221,"MMM")))</f>
        <v/>
      </c>
      <c r="I221">
        <f>IF($B221="","",IF(G221=0,0,H221/G221))</f>
        <v/>
      </c>
      <c r="M221">
        <f>IF($B221="","",IF(K221=0,0,L221/K221))</f>
        <v/>
      </c>
    </row>
    <row r="222">
      <c r="A222">
        <f>IF($B222="","",ROW()-5)</f>
        <v/>
      </c>
      <c r="D222">
        <f>IF($B222="","",IF(C222="","",TEXT(C222,"MMM")))</f>
        <v/>
      </c>
      <c r="I222">
        <f>IF($B222="","",IF(G222=0,0,H222/G222))</f>
        <v/>
      </c>
      <c r="M222">
        <f>IF($B222="","",IF(K222=0,0,L222/K222))</f>
        <v/>
      </c>
    </row>
    <row r="223">
      <c r="A223">
        <f>IF($B223="","",ROW()-5)</f>
        <v/>
      </c>
      <c r="D223">
        <f>IF($B223="","",IF(C223="","",TEXT(C223,"MMM")))</f>
        <v/>
      </c>
      <c r="I223">
        <f>IF($B223="","",IF(G223=0,0,H223/G223))</f>
        <v/>
      </c>
      <c r="M223">
        <f>IF($B223="","",IF(K223=0,0,L223/K223))</f>
        <v/>
      </c>
    </row>
    <row r="224">
      <c r="A224">
        <f>IF($B224="","",ROW()-5)</f>
        <v/>
      </c>
      <c r="D224">
        <f>IF($B224="","",IF(C224="","",TEXT(C224,"MMM")))</f>
        <v/>
      </c>
      <c r="I224">
        <f>IF($B224="","",IF(G224=0,0,H224/G224))</f>
        <v/>
      </c>
      <c r="M224">
        <f>IF($B224="","",IF(K224=0,0,L224/K224))</f>
        <v/>
      </c>
    </row>
    <row r="225">
      <c r="A225">
        <f>IF($B225="","",ROW()-5)</f>
        <v/>
      </c>
      <c r="D225">
        <f>IF($B225="","",IF(C225="","",TEXT(C225,"MMM")))</f>
        <v/>
      </c>
      <c r="I225">
        <f>IF($B225="","",IF(G225=0,0,H225/G225))</f>
        <v/>
      </c>
      <c r="M225">
        <f>IF($B225="","",IF(K225=0,0,L225/K225))</f>
        <v/>
      </c>
    </row>
    <row r="226">
      <c r="A226">
        <f>IF($B226="","",ROW()-5)</f>
        <v/>
      </c>
      <c r="D226">
        <f>IF($B226="","",IF(C226="","",TEXT(C226,"MMM")))</f>
        <v/>
      </c>
      <c r="I226">
        <f>IF($B226="","",IF(G226=0,0,H226/G226))</f>
        <v/>
      </c>
      <c r="M226">
        <f>IF($B226="","",IF(K226=0,0,L226/K226))</f>
        <v/>
      </c>
    </row>
    <row r="227">
      <c r="A227">
        <f>IF($B227="","",ROW()-5)</f>
        <v/>
      </c>
      <c r="D227">
        <f>IF($B227="","",IF(C227="","",TEXT(C227,"MMM")))</f>
        <v/>
      </c>
      <c r="I227">
        <f>IF($B227="","",IF(G227=0,0,H227/G227))</f>
        <v/>
      </c>
      <c r="M227">
        <f>IF($B227="","",IF(K227=0,0,L227/K227))</f>
        <v/>
      </c>
    </row>
    <row r="228">
      <c r="A228">
        <f>IF($B228="","",ROW()-5)</f>
        <v/>
      </c>
      <c r="D228">
        <f>IF($B228="","",IF(C228="","",TEXT(C228,"MMM")))</f>
        <v/>
      </c>
      <c r="I228">
        <f>IF($B228="","",IF(G228=0,0,H228/G228))</f>
        <v/>
      </c>
      <c r="M228">
        <f>IF($B228="","",IF(K228=0,0,L228/K228))</f>
        <v/>
      </c>
    </row>
    <row r="229">
      <c r="A229">
        <f>IF($B229="","",ROW()-5)</f>
        <v/>
      </c>
      <c r="D229">
        <f>IF($B229="","",IF(C229="","",TEXT(C229,"MMM")))</f>
        <v/>
      </c>
      <c r="I229">
        <f>IF($B229="","",IF(G229=0,0,H229/G229))</f>
        <v/>
      </c>
      <c r="M229">
        <f>IF($B229="","",IF(K229=0,0,L229/K229))</f>
        <v/>
      </c>
    </row>
    <row r="230">
      <c r="A230">
        <f>IF($B230="","",ROW()-5)</f>
        <v/>
      </c>
      <c r="D230">
        <f>IF($B230="","",IF(C230="","",TEXT(C230,"MMM")))</f>
        <v/>
      </c>
      <c r="I230">
        <f>IF($B230="","",IF(G230=0,0,H230/G230))</f>
        <v/>
      </c>
      <c r="M230">
        <f>IF($B230="","",IF(K230=0,0,L230/K230))</f>
        <v/>
      </c>
    </row>
    <row r="231">
      <c r="A231">
        <f>IF($B231="","",ROW()-5)</f>
        <v/>
      </c>
      <c r="D231">
        <f>IF($B231="","",IF(C231="","",TEXT(C231,"MMM")))</f>
        <v/>
      </c>
      <c r="I231">
        <f>IF($B231="","",IF(G231=0,0,H231/G231))</f>
        <v/>
      </c>
      <c r="M231">
        <f>IF($B231="","",IF(K231=0,0,L231/K231))</f>
        <v/>
      </c>
    </row>
    <row r="232">
      <c r="A232">
        <f>IF($B232="","",ROW()-5)</f>
        <v/>
      </c>
      <c r="D232">
        <f>IF($B232="","",IF(C232="","",TEXT(C232,"MMM")))</f>
        <v/>
      </c>
      <c r="I232">
        <f>IF($B232="","",IF(G232=0,0,H232/G232))</f>
        <v/>
      </c>
      <c r="M232">
        <f>IF($B232="","",IF(K232=0,0,L232/K232))</f>
        <v/>
      </c>
    </row>
    <row r="233">
      <c r="A233">
        <f>IF($B233="","",ROW()-5)</f>
        <v/>
      </c>
      <c r="D233">
        <f>IF($B233="","",IF(C233="","",TEXT(C233,"MMM")))</f>
        <v/>
      </c>
      <c r="I233">
        <f>IF($B233="","",IF(G233=0,0,H233/G233))</f>
        <v/>
      </c>
      <c r="M233">
        <f>IF($B233="","",IF(K233=0,0,L233/K233))</f>
        <v/>
      </c>
    </row>
    <row r="234">
      <c r="A234">
        <f>IF($B234="","",ROW()-5)</f>
        <v/>
      </c>
      <c r="D234">
        <f>IF($B234="","",IF(C234="","",TEXT(C234,"MMM")))</f>
        <v/>
      </c>
      <c r="I234">
        <f>IF($B234="","",IF(G234=0,0,H234/G234))</f>
        <v/>
      </c>
      <c r="M234">
        <f>IF($B234="","",IF(K234=0,0,L234/K234))</f>
        <v/>
      </c>
    </row>
    <row r="235">
      <c r="A235">
        <f>IF($B235="","",ROW()-5)</f>
        <v/>
      </c>
      <c r="D235">
        <f>IF($B235="","",IF(C235="","",TEXT(C235,"MMM")))</f>
        <v/>
      </c>
      <c r="I235">
        <f>IF($B235="","",IF(G235=0,0,H235/G235))</f>
        <v/>
      </c>
      <c r="M235">
        <f>IF($B235="","",IF(K235=0,0,L235/K235))</f>
        <v/>
      </c>
    </row>
    <row r="236">
      <c r="A236">
        <f>IF($B236="","",ROW()-5)</f>
        <v/>
      </c>
      <c r="D236">
        <f>IF($B236="","",IF(C236="","",TEXT(C236,"MMM")))</f>
        <v/>
      </c>
      <c r="I236">
        <f>IF($B236="","",IF(G236=0,0,H236/G236))</f>
        <v/>
      </c>
      <c r="M236">
        <f>IF($B236="","",IF(K236=0,0,L236/K236))</f>
        <v/>
      </c>
    </row>
    <row r="237">
      <c r="A237">
        <f>IF($B237="","",ROW()-5)</f>
        <v/>
      </c>
      <c r="D237">
        <f>IF($B237="","",IF(C237="","",TEXT(C237,"MMM")))</f>
        <v/>
      </c>
      <c r="I237">
        <f>IF($B237="","",IF(G237=0,0,H237/G237))</f>
        <v/>
      </c>
      <c r="M237">
        <f>IF($B237="","",IF(K237=0,0,L237/K237))</f>
        <v/>
      </c>
    </row>
    <row r="238">
      <c r="A238">
        <f>IF($B238="","",ROW()-5)</f>
        <v/>
      </c>
      <c r="D238">
        <f>IF($B238="","",IF(C238="","",TEXT(C238,"MMM")))</f>
        <v/>
      </c>
      <c r="I238">
        <f>IF($B238="","",IF(G238=0,0,H238/G238))</f>
        <v/>
      </c>
      <c r="M238">
        <f>IF($B238="","",IF(K238=0,0,L238/K238))</f>
        <v/>
      </c>
    </row>
    <row r="239">
      <c r="A239">
        <f>IF($B239="","",ROW()-5)</f>
        <v/>
      </c>
      <c r="D239">
        <f>IF($B239="","",IF(C239="","",TEXT(C239,"MMM")))</f>
        <v/>
      </c>
      <c r="I239">
        <f>IF($B239="","",IF(G239=0,0,H239/G239))</f>
        <v/>
      </c>
      <c r="M239">
        <f>IF($B239="","",IF(K239=0,0,L239/K239))</f>
        <v/>
      </c>
    </row>
    <row r="240">
      <c r="A240">
        <f>IF($B240="","",ROW()-5)</f>
        <v/>
      </c>
      <c r="D240">
        <f>IF($B240="","",IF(C240="","",TEXT(C240,"MMM")))</f>
        <v/>
      </c>
      <c r="I240">
        <f>IF($B240="","",IF(G240=0,0,H240/G240))</f>
        <v/>
      </c>
      <c r="M240">
        <f>IF($B240="","",IF(K240=0,0,L240/K240))</f>
        <v/>
      </c>
    </row>
    <row r="241">
      <c r="A241">
        <f>IF($B241="","",ROW()-5)</f>
        <v/>
      </c>
      <c r="D241">
        <f>IF($B241="","",IF(C241="","",TEXT(C241,"MMM")))</f>
        <v/>
      </c>
      <c r="I241">
        <f>IF($B241="","",IF(G241=0,0,H241/G241))</f>
        <v/>
      </c>
      <c r="M241">
        <f>IF($B241="","",IF(K241=0,0,L241/K241))</f>
        <v/>
      </c>
    </row>
    <row r="242">
      <c r="A242">
        <f>IF($B242="","",ROW()-5)</f>
        <v/>
      </c>
      <c r="D242">
        <f>IF($B242="","",IF(C242="","",TEXT(C242,"MMM")))</f>
        <v/>
      </c>
      <c r="I242">
        <f>IF($B242="","",IF(G242=0,0,H242/G242))</f>
        <v/>
      </c>
      <c r="M242">
        <f>IF($B242="","",IF(K242=0,0,L242/K242))</f>
        <v/>
      </c>
    </row>
    <row r="243">
      <c r="A243">
        <f>IF($B243="","",ROW()-5)</f>
        <v/>
      </c>
      <c r="D243">
        <f>IF($B243="","",IF(C243="","",TEXT(C243,"MMM")))</f>
        <v/>
      </c>
      <c r="I243">
        <f>IF($B243="","",IF(G243=0,0,H243/G243))</f>
        <v/>
      </c>
      <c r="M243">
        <f>IF($B243="","",IF(K243=0,0,L243/K243))</f>
        <v/>
      </c>
    </row>
    <row r="244">
      <c r="A244">
        <f>IF($B244="","",ROW()-5)</f>
        <v/>
      </c>
      <c r="D244">
        <f>IF($B244="","",IF(C244="","",TEXT(C244,"MMM")))</f>
        <v/>
      </c>
      <c r="I244">
        <f>IF($B244="","",IF(G244=0,0,H244/G244))</f>
        <v/>
      </c>
      <c r="M244">
        <f>IF($B244="","",IF(K244=0,0,L244/K244))</f>
        <v/>
      </c>
    </row>
    <row r="245">
      <c r="A245">
        <f>IF($B245="","",ROW()-5)</f>
        <v/>
      </c>
      <c r="D245">
        <f>IF($B245="","",IF(C245="","",TEXT(C245,"MMM")))</f>
        <v/>
      </c>
      <c r="I245">
        <f>IF($B245="","",IF(G245=0,0,H245/G245))</f>
        <v/>
      </c>
      <c r="M245">
        <f>IF($B245="","",IF(K245=0,0,L245/K245))</f>
        <v/>
      </c>
    </row>
    <row r="246">
      <c r="A246">
        <f>IF($B246="","",ROW()-5)</f>
        <v/>
      </c>
      <c r="D246">
        <f>IF($B246="","",IF(C246="","",TEXT(C246,"MMM")))</f>
        <v/>
      </c>
      <c r="I246">
        <f>IF($B246="","",IF(G246=0,0,H246/G246))</f>
        <v/>
      </c>
      <c r="M246">
        <f>IF($B246="","",IF(K246=0,0,L246/K246))</f>
        <v/>
      </c>
    </row>
    <row r="247">
      <c r="A247">
        <f>IF($B247="","",ROW()-5)</f>
        <v/>
      </c>
      <c r="D247">
        <f>IF($B247="","",IF(C247="","",TEXT(C247,"MMM")))</f>
        <v/>
      </c>
      <c r="I247">
        <f>IF($B247="","",IF(G247=0,0,H247/G247))</f>
        <v/>
      </c>
      <c r="M247">
        <f>IF($B247="","",IF(K247=0,0,L247/K247))</f>
        <v/>
      </c>
    </row>
    <row r="248">
      <c r="A248">
        <f>IF($B248="","",ROW()-5)</f>
        <v/>
      </c>
      <c r="D248">
        <f>IF($B248="","",IF(C248="","",TEXT(C248,"MMM")))</f>
        <v/>
      </c>
      <c r="I248">
        <f>IF($B248="","",IF(G248=0,0,H248/G248))</f>
        <v/>
      </c>
      <c r="M248">
        <f>IF($B248="","",IF(K248=0,0,L248/K248))</f>
        <v/>
      </c>
    </row>
    <row r="249">
      <c r="A249">
        <f>IF($B249="","",ROW()-5)</f>
        <v/>
      </c>
      <c r="D249">
        <f>IF($B249="","",IF(C249="","",TEXT(C249,"MMM")))</f>
        <v/>
      </c>
      <c r="I249">
        <f>IF($B249="","",IF(G249=0,0,H249/G249))</f>
        <v/>
      </c>
      <c r="M249">
        <f>IF($B249="","",IF(K249=0,0,L249/K249))</f>
        <v/>
      </c>
    </row>
    <row r="250">
      <c r="A250">
        <f>IF($B250="","",ROW()-5)</f>
        <v/>
      </c>
      <c r="D250">
        <f>IF($B250="","",IF(C250="","",TEXT(C250,"MMM")))</f>
        <v/>
      </c>
      <c r="I250">
        <f>IF($B250="","",IF(G250=0,0,H250/G250))</f>
        <v/>
      </c>
      <c r="M250">
        <f>IF($B250="","",IF(K250=0,0,L250/K250))</f>
        <v/>
      </c>
    </row>
    <row r="251">
      <c r="A251">
        <f>IF($B251="","",ROW()-5)</f>
        <v/>
      </c>
      <c r="D251">
        <f>IF($B251="","",IF(C251="","",TEXT(C251,"MMM")))</f>
        <v/>
      </c>
      <c r="I251">
        <f>IF($B251="","",IF(G251=0,0,H251/G251))</f>
        <v/>
      </c>
      <c r="M251">
        <f>IF($B251="","",IF(K251=0,0,L251/K251))</f>
        <v/>
      </c>
    </row>
    <row r="252">
      <c r="A252">
        <f>IF($B252="","",ROW()-5)</f>
        <v/>
      </c>
      <c r="D252">
        <f>IF($B252="","",IF(C252="","",TEXT(C252,"MMM")))</f>
        <v/>
      </c>
      <c r="I252">
        <f>IF($B252="","",IF(G252=0,0,H252/G252))</f>
        <v/>
      </c>
      <c r="M252">
        <f>IF($B252="","",IF(K252=0,0,L252/K252))</f>
        <v/>
      </c>
    </row>
    <row r="253">
      <c r="A253">
        <f>IF($B253="","",ROW()-5)</f>
        <v/>
      </c>
      <c r="D253">
        <f>IF($B253="","",IF(C253="","",TEXT(C253,"MMM")))</f>
        <v/>
      </c>
      <c r="I253">
        <f>IF($B253="","",IF(G253=0,0,H253/G253))</f>
        <v/>
      </c>
      <c r="M253">
        <f>IF($B253="","",IF(K253=0,0,L253/K253))</f>
        <v/>
      </c>
    </row>
    <row r="254">
      <c r="A254">
        <f>IF($B254="","",ROW()-5)</f>
        <v/>
      </c>
      <c r="D254">
        <f>IF($B254="","",IF(C254="","",TEXT(C254,"MMM")))</f>
        <v/>
      </c>
      <c r="I254">
        <f>IF($B254="","",IF(G254=0,0,H254/G254))</f>
        <v/>
      </c>
      <c r="M254">
        <f>IF($B254="","",IF(K254=0,0,L254/K254))</f>
        <v/>
      </c>
    </row>
    <row r="255">
      <c r="A255">
        <f>IF($B255="","",ROW()-5)</f>
        <v/>
      </c>
      <c r="D255">
        <f>IF($B255="","",IF(C255="","",TEXT(C255,"MMM")))</f>
        <v/>
      </c>
      <c r="I255">
        <f>IF($B255="","",IF(G255=0,0,H255/G255))</f>
        <v/>
      </c>
      <c r="M255">
        <f>IF($B255="","",IF(K255=0,0,L255/K255))</f>
        <v/>
      </c>
    </row>
    <row r="256">
      <c r="A256">
        <f>IF($B256="","",ROW()-5)</f>
        <v/>
      </c>
      <c r="D256">
        <f>IF($B256="","",IF(C256="","",TEXT(C256,"MMM")))</f>
        <v/>
      </c>
      <c r="I256">
        <f>IF($B256="","",IF(G256=0,0,H256/G256))</f>
        <v/>
      </c>
      <c r="M256">
        <f>IF($B256="","",IF(K256=0,0,L256/K256))</f>
        <v/>
      </c>
    </row>
    <row r="257">
      <c r="A257">
        <f>IF($B257="","",ROW()-5)</f>
        <v/>
      </c>
      <c r="D257">
        <f>IF($B257="","",IF(C257="","",TEXT(C257,"MMM")))</f>
        <v/>
      </c>
      <c r="I257">
        <f>IF($B257="","",IF(G257=0,0,H257/G257))</f>
        <v/>
      </c>
      <c r="M257">
        <f>IF($B257="","",IF(K257=0,0,L257/K257))</f>
        <v/>
      </c>
    </row>
    <row r="258">
      <c r="A258">
        <f>IF($B258="","",ROW()-5)</f>
        <v/>
      </c>
      <c r="D258">
        <f>IF($B258="","",IF(C258="","",TEXT(C258,"MMM")))</f>
        <v/>
      </c>
      <c r="I258">
        <f>IF($B258="","",IF(G258=0,0,H258/G258))</f>
        <v/>
      </c>
      <c r="M258">
        <f>IF($B258="","",IF(K258=0,0,L258/K258))</f>
        <v/>
      </c>
    </row>
    <row r="259">
      <c r="A259">
        <f>IF($B259="","",ROW()-5)</f>
        <v/>
      </c>
      <c r="D259">
        <f>IF($B259="","",IF(C259="","",TEXT(C259,"MMM")))</f>
        <v/>
      </c>
      <c r="I259">
        <f>IF($B259="","",IF(G259=0,0,H259/G259))</f>
        <v/>
      </c>
      <c r="M259">
        <f>IF($B259="","",IF(K259=0,0,L259/K259))</f>
        <v/>
      </c>
    </row>
    <row r="260">
      <c r="A260">
        <f>IF($B260="","",ROW()-5)</f>
        <v/>
      </c>
      <c r="D260">
        <f>IF($B260="","",IF(C260="","",TEXT(C260,"MMM")))</f>
        <v/>
      </c>
      <c r="I260">
        <f>IF($B260="","",IF(G260=0,0,H260/G260))</f>
        <v/>
      </c>
      <c r="M260">
        <f>IF($B260="","",IF(K260=0,0,L260/K260))</f>
        <v/>
      </c>
    </row>
    <row r="261">
      <c r="A261">
        <f>IF($B261="","",ROW()-5)</f>
        <v/>
      </c>
      <c r="D261">
        <f>IF($B261="","",IF(C261="","",TEXT(C261,"MMM")))</f>
        <v/>
      </c>
      <c r="I261">
        <f>IF($B261="","",IF(G261=0,0,H261/G261))</f>
        <v/>
      </c>
      <c r="M261">
        <f>IF($B261="","",IF(K261=0,0,L261/K261))</f>
        <v/>
      </c>
    </row>
    <row r="262">
      <c r="A262">
        <f>IF($B262="","",ROW()-5)</f>
        <v/>
      </c>
      <c r="D262">
        <f>IF($B262="","",IF(C262="","",TEXT(C262,"MMM")))</f>
        <v/>
      </c>
      <c r="I262">
        <f>IF($B262="","",IF(G262=0,0,H262/G262))</f>
        <v/>
      </c>
      <c r="M262">
        <f>IF($B262="","",IF(K262=0,0,L262/K262))</f>
        <v/>
      </c>
    </row>
    <row r="263">
      <c r="A263">
        <f>IF($B263="","",ROW()-5)</f>
        <v/>
      </c>
      <c r="D263">
        <f>IF($B263="","",IF(C263="","",TEXT(C263,"MMM")))</f>
        <v/>
      </c>
      <c r="I263">
        <f>IF($B263="","",IF(G263=0,0,H263/G263))</f>
        <v/>
      </c>
      <c r="M263">
        <f>IF($B263="","",IF(K263=0,0,L263/K263))</f>
        <v/>
      </c>
    </row>
    <row r="264">
      <c r="A264">
        <f>IF($B264="","",ROW()-5)</f>
        <v/>
      </c>
      <c r="D264">
        <f>IF($B264="","",IF(C264="","",TEXT(C264,"MMM")))</f>
        <v/>
      </c>
      <c r="I264">
        <f>IF($B264="","",IF(G264=0,0,H264/G264))</f>
        <v/>
      </c>
      <c r="M264">
        <f>IF($B264="","",IF(K264=0,0,L264/K264))</f>
        <v/>
      </c>
    </row>
    <row r="265">
      <c r="A265">
        <f>IF($B265="","",ROW()-5)</f>
        <v/>
      </c>
      <c r="D265">
        <f>IF($B265="","",IF(C265="","",TEXT(C265,"MMM")))</f>
        <v/>
      </c>
      <c r="I265">
        <f>IF($B265="","",IF(G265=0,0,H265/G265))</f>
        <v/>
      </c>
      <c r="M265">
        <f>IF($B265="","",IF(K265=0,0,L265/K265))</f>
        <v/>
      </c>
    </row>
    <row r="266">
      <c r="A266">
        <f>IF($B266="","",ROW()-5)</f>
        <v/>
      </c>
      <c r="D266">
        <f>IF($B266="","",IF(C266="","",TEXT(C266,"MMM")))</f>
        <v/>
      </c>
      <c r="I266">
        <f>IF($B266="","",IF(G266=0,0,H266/G266))</f>
        <v/>
      </c>
      <c r="M266">
        <f>IF($B266="","",IF(K266=0,0,L266/K266))</f>
        <v/>
      </c>
    </row>
    <row r="267">
      <c r="A267">
        <f>IF($B267="","",ROW()-5)</f>
        <v/>
      </c>
      <c r="D267">
        <f>IF($B267="","",IF(C267="","",TEXT(C267,"MMM")))</f>
        <v/>
      </c>
      <c r="I267">
        <f>IF($B267="","",IF(G267=0,0,H267/G267))</f>
        <v/>
      </c>
      <c r="M267">
        <f>IF($B267="","",IF(K267=0,0,L267/K267))</f>
        <v/>
      </c>
    </row>
    <row r="268">
      <c r="A268">
        <f>IF($B268="","",ROW()-5)</f>
        <v/>
      </c>
      <c r="D268">
        <f>IF($B268="","",IF(C268="","",TEXT(C268,"MMM")))</f>
        <v/>
      </c>
      <c r="I268">
        <f>IF($B268="","",IF(G268=0,0,H268/G268))</f>
        <v/>
      </c>
      <c r="M268">
        <f>IF($B268="","",IF(K268=0,0,L268/K268))</f>
        <v/>
      </c>
    </row>
    <row r="269">
      <c r="A269">
        <f>IF($B269="","",ROW()-5)</f>
        <v/>
      </c>
      <c r="D269">
        <f>IF($B269="","",IF(C269="","",TEXT(C269,"MMM")))</f>
        <v/>
      </c>
      <c r="I269">
        <f>IF($B269="","",IF(G269=0,0,H269/G269))</f>
        <v/>
      </c>
      <c r="M269">
        <f>IF($B269="","",IF(K269=0,0,L269/K269))</f>
        <v/>
      </c>
    </row>
    <row r="270">
      <c r="A270">
        <f>IF($B270="","",ROW()-5)</f>
        <v/>
      </c>
      <c r="D270">
        <f>IF($B270="","",IF(C270="","",TEXT(C270,"MMM")))</f>
        <v/>
      </c>
      <c r="I270">
        <f>IF($B270="","",IF(G270=0,0,H270/G270))</f>
        <v/>
      </c>
      <c r="M270">
        <f>IF($B270="","",IF(K270=0,0,L270/K270))</f>
        <v/>
      </c>
    </row>
    <row r="271">
      <c r="A271">
        <f>IF($B271="","",ROW()-5)</f>
        <v/>
      </c>
      <c r="D271">
        <f>IF($B271="","",IF(C271="","",TEXT(C271,"MMM")))</f>
        <v/>
      </c>
      <c r="I271">
        <f>IF($B271="","",IF(G271=0,0,H271/G271))</f>
        <v/>
      </c>
      <c r="M271">
        <f>IF($B271="","",IF(K271=0,0,L271/K271))</f>
        <v/>
      </c>
    </row>
    <row r="272">
      <c r="A272">
        <f>IF($B272="","",ROW()-5)</f>
        <v/>
      </c>
      <c r="D272">
        <f>IF($B272="","",IF(C272="","",TEXT(C272,"MMM")))</f>
        <v/>
      </c>
      <c r="I272">
        <f>IF($B272="","",IF(G272=0,0,H272/G272))</f>
        <v/>
      </c>
      <c r="M272">
        <f>IF($B272="","",IF(K272=0,0,L272/K272))</f>
        <v/>
      </c>
    </row>
    <row r="273">
      <c r="A273">
        <f>IF($B273="","",ROW()-5)</f>
        <v/>
      </c>
      <c r="D273">
        <f>IF($B273="","",IF(C273="","",TEXT(C273,"MMM")))</f>
        <v/>
      </c>
      <c r="I273">
        <f>IF($B273="","",IF(G273=0,0,H273/G273))</f>
        <v/>
      </c>
      <c r="M273">
        <f>IF($B273="","",IF(K273=0,0,L273/K273))</f>
        <v/>
      </c>
    </row>
    <row r="274">
      <c r="A274">
        <f>IF($B274="","",ROW()-5)</f>
        <v/>
      </c>
      <c r="D274">
        <f>IF($B274="","",IF(C274="","",TEXT(C274,"MMM")))</f>
        <v/>
      </c>
      <c r="I274">
        <f>IF($B274="","",IF(G274=0,0,H274/G274))</f>
        <v/>
      </c>
      <c r="M274">
        <f>IF($B274="","",IF(K274=0,0,L274/K274))</f>
        <v/>
      </c>
    </row>
    <row r="275">
      <c r="A275">
        <f>IF($B275="","",ROW()-5)</f>
        <v/>
      </c>
      <c r="D275">
        <f>IF($B275="","",IF(C275="","",TEXT(C275,"MMM")))</f>
        <v/>
      </c>
      <c r="I275">
        <f>IF($B275="","",IF(G275=0,0,H275/G275))</f>
        <v/>
      </c>
      <c r="M275">
        <f>IF($B275="","",IF(K275=0,0,L275/K275))</f>
        <v/>
      </c>
    </row>
    <row r="276">
      <c r="A276">
        <f>IF($B276="","",ROW()-5)</f>
        <v/>
      </c>
      <c r="D276">
        <f>IF($B276="","",IF(C276="","",TEXT(C276,"MMM")))</f>
        <v/>
      </c>
      <c r="I276">
        <f>IF($B276="","",IF(G276=0,0,H276/G276))</f>
        <v/>
      </c>
      <c r="M276">
        <f>IF($B276="","",IF(K276=0,0,L276/K276))</f>
        <v/>
      </c>
    </row>
    <row r="277">
      <c r="A277">
        <f>IF($B277="","",ROW()-5)</f>
        <v/>
      </c>
      <c r="D277">
        <f>IF($B277="","",IF(C277="","",TEXT(C277,"MMM")))</f>
        <v/>
      </c>
      <c r="I277">
        <f>IF($B277="","",IF(G277=0,0,H277/G277))</f>
        <v/>
      </c>
      <c r="M277">
        <f>IF($B277="","",IF(K277=0,0,L277/K277))</f>
        <v/>
      </c>
    </row>
    <row r="278">
      <c r="A278">
        <f>IF($B278="","",ROW()-5)</f>
        <v/>
      </c>
      <c r="D278">
        <f>IF($B278="","",IF(C278="","",TEXT(C278,"MMM")))</f>
        <v/>
      </c>
      <c r="I278">
        <f>IF($B278="","",IF(G278=0,0,H278/G278))</f>
        <v/>
      </c>
      <c r="M278">
        <f>IF($B278="","",IF(K278=0,0,L278/K278))</f>
        <v/>
      </c>
    </row>
    <row r="279">
      <c r="A279">
        <f>IF($B279="","",ROW()-5)</f>
        <v/>
      </c>
      <c r="D279">
        <f>IF($B279="","",IF(C279="","",TEXT(C279,"MMM")))</f>
        <v/>
      </c>
      <c r="I279">
        <f>IF($B279="","",IF(G279=0,0,H279/G279))</f>
        <v/>
      </c>
      <c r="M279">
        <f>IF($B279="","",IF(K279=0,0,L279/K279))</f>
        <v/>
      </c>
    </row>
    <row r="280">
      <c r="A280">
        <f>IF($B280="","",ROW()-5)</f>
        <v/>
      </c>
      <c r="D280">
        <f>IF($B280="","",IF(C280="","",TEXT(C280,"MMM")))</f>
        <v/>
      </c>
      <c r="I280">
        <f>IF($B280="","",IF(G280=0,0,H280/G280))</f>
        <v/>
      </c>
      <c r="M280">
        <f>IF($B280="","",IF(K280=0,0,L280/K280))</f>
        <v/>
      </c>
    </row>
    <row r="281">
      <c r="A281">
        <f>IF($B281="","",ROW()-5)</f>
        <v/>
      </c>
      <c r="D281">
        <f>IF($B281="","",IF(C281="","",TEXT(C281,"MMM")))</f>
        <v/>
      </c>
      <c r="I281">
        <f>IF($B281="","",IF(G281=0,0,H281/G281))</f>
        <v/>
      </c>
      <c r="M281">
        <f>IF($B281="","",IF(K281=0,0,L281/K281))</f>
        <v/>
      </c>
    </row>
    <row r="282">
      <c r="A282">
        <f>IF($B282="","",ROW()-5)</f>
        <v/>
      </c>
      <c r="D282">
        <f>IF($B282="","",IF(C282="","",TEXT(C282,"MMM")))</f>
        <v/>
      </c>
      <c r="I282">
        <f>IF($B282="","",IF(G282=0,0,H282/G282))</f>
        <v/>
      </c>
      <c r="M282">
        <f>IF($B282="","",IF(K282=0,0,L282/K282))</f>
        <v/>
      </c>
    </row>
    <row r="283">
      <c r="A283">
        <f>IF($B283="","",ROW()-5)</f>
        <v/>
      </c>
      <c r="D283">
        <f>IF($B283="","",IF(C283="","",TEXT(C283,"MMM")))</f>
        <v/>
      </c>
      <c r="I283">
        <f>IF($B283="","",IF(G283=0,0,H283/G283))</f>
        <v/>
      </c>
      <c r="M283">
        <f>IF($B283="","",IF(K283=0,0,L283/K283))</f>
        <v/>
      </c>
    </row>
    <row r="284">
      <c r="A284">
        <f>IF($B284="","",ROW()-5)</f>
        <v/>
      </c>
      <c r="D284">
        <f>IF($B284="","",IF(C284="","",TEXT(C284,"MMM")))</f>
        <v/>
      </c>
      <c r="I284">
        <f>IF($B284="","",IF(G284=0,0,H284/G284))</f>
        <v/>
      </c>
      <c r="M284">
        <f>IF($B284="","",IF(K284=0,0,L284/K284))</f>
        <v/>
      </c>
    </row>
    <row r="285">
      <c r="A285">
        <f>IF($B285="","",ROW()-5)</f>
        <v/>
      </c>
      <c r="D285">
        <f>IF($B285="","",IF(C285="","",TEXT(C285,"MMM")))</f>
        <v/>
      </c>
      <c r="I285">
        <f>IF($B285="","",IF(G285=0,0,H285/G285))</f>
        <v/>
      </c>
      <c r="M285">
        <f>IF($B285="","",IF(K285=0,0,L285/K285))</f>
        <v/>
      </c>
    </row>
    <row r="286">
      <c r="A286">
        <f>IF($B286="","",ROW()-5)</f>
        <v/>
      </c>
      <c r="D286">
        <f>IF($B286="","",IF(C286="","",TEXT(C286,"MMM")))</f>
        <v/>
      </c>
      <c r="I286">
        <f>IF($B286="","",IF(G286=0,0,H286/G286))</f>
        <v/>
      </c>
      <c r="M286">
        <f>IF($B286="","",IF(K286=0,0,L286/K286))</f>
        <v/>
      </c>
    </row>
    <row r="287">
      <c r="A287">
        <f>IF($B287="","",ROW()-5)</f>
        <v/>
      </c>
      <c r="D287">
        <f>IF($B287="","",IF(C287="","",TEXT(C287,"MMM")))</f>
        <v/>
      </c>
      <c r="I287">
        <f>IF($B287="","",IF(G287=0,0,H287/G287))</f>
        <v/>
      </c>
      <c r="M287">
        <f>IF($B287="","",IF(K287=0,0,L287/K287))</f>
        <v/>
      </c>
    </row>
    <row r="288">
      <c r="A288">
        <f>IF($B288="","",ROW()-5)</f>
        <v/>
      </c>
      <c r="D288">
        <f>IF($B288="","",IF(C288="","",TEXT(C288,"MMM")))</f>
        <v/>
      </c>
      <c r="I288">
        <f>IF($B288="","",IF(G288=0,0,H288/G288))</f>
        <v/>
      </c>
      <c r="M288">
        <f>IF($B288="","",IF(K288=0,0,L288/K288))</f>
        <v/>
      </c>
    </row>
    <row r="289">
      <c r="A289">
        <f>IF($B289="","",ROW()-5)</f>
        <v/>
      </c>
      <c r="D289">
        <f>IF($B289="","",IF(C289="","",TEXT(C289,"MMM")))</f>
        <v/>
      </c>
      <c r="I289">
        <f>IF($B289="","",IF(G289=0,0,H289/G289))</f>
        <v/>
      </c>
      <c r="M289">
        <f>IF($B289="","",IF(K289=0,0,L289/K289))</f>
        <v/>
      </c>
    </row>
    <row r="290">
      <c r="A290">
        <f>IF($B290="","",ROW()-5)</f>
        <v/>
      </c>
      <c r="D290">
        <f>IF($B290="","",IF(C290="","",TEXT(C290,"MMM")))</f>
        <v/>
      </c>
      <c r="I290">
        <f>IF($B290="","",IF(G290=0,0,H290/G290))</f>
        <v/>
      </c>
      <c r="M290">
        <f>IF($B290="","",IF(K290=0,0,L290/K290))</f>
        <v/>
      </c>
    </row>
    <row r="291">
      <c r="A291">
        <f>IF($B291="","",ROW()-5)</f>
        <v/>
      </c>
      <c r="D291">
        <f>IF($B291="","",IF(C291="","",TEXT(C291,"MMM")))</f>
        <v/>
      </c>
      <c r="I291">
        <f>IF($B291="","",IF(G291=0,0,H291/G291))</f>
        <v/>
      </c>
      <c r="M291">
        <f>IF($B291="","",IF(K291=0,0,L291/K291))</f>
        <v/>
      </c>
    </row>
    <row r="292">
      <c r="A292">
        <f>IF($B292="","",ROW()-5)</f>
        <v/>
      </c>
      <c r="D292">
        <f>IF($B292="","",IF(C292="","",TEXT(C292,"MMM")))</f>
        <v/>
      </c>
      <c r="I292">
        <f>IF($B292="","",IF(G292=0,0,H292/G292))</f>
        <v/>
      </c>
      <c r="M292">
        <f>IF($B292="","",IF(K292=0,0,L292/K292))</f>
        <v/>
      </c>
    </row>
    <row r="293">
      <c r="A293">
        <f>IF($B293="","",ROW()-5)</f>
        <v/>
      </c>
      <c r="D293">
        <f>IF($B293="","",IF(C293="","",TEXT(C293,"MMM")))</f>
        <v/>
      </c>
      <c r="I293">
        <f>IF($B293="","",IF(G293=0,0,H293/G293))</f>
        <v/>
      </c>
      <c r="M293">
        <f>IF($B293="","",IF(K293=0,0,L293/K293))</f>
        <v/>
      </c>
    </row>
    <row r="294">
      <c r="A294">
        <f>IF($B294="","",ROW()-5)</f>
        <v/>
      </c>
      <c r="D294">
        <f>IF($B294="","",IF(C294="","",TEXT(C294,"MMM")))</f>
        <v/>
      </c>
      <c r="I294">
        <f>IF($B294="","",IF(G294=0,0,H294/G294))</f>
        <v/>
      </c>
      <c r="M294">
        <f>IF($B294="","",IF(K294=0,0,L294/K294))</f>
        <v/>
      </c>
    </row>
    <row r="295">
      <c r="A295">
        <f>IF($B295="","",ROW()-5)</f>
        <v/>
      </c>
      <c r="D295">
        <f>IF($B295="","",IF(C295="","",TEXT(C295,"MMM")))</f>
        <v/>
      </c>
      <c r="I295">
        <f>IF($B295="","",IF(G295=0,0,H295/G295))</f>
        <v/>
      </c>
      <c r="M295">
        <f>IF($B295="","",IF(K295=0,0,L295/K295))</f>
        <v/>
      </c>
    </row>
    <row r="296">
      <c r="A296">
        <f>IF($B296="","",ROW()-5)</f>
        <v/>
      </c>
      <c r="D296">
        <f>IF($B296="","",IF(C296="","",TEXT(C296,"MMM")))</f>
        <v/>
      </c>
      <c r="I296">
        <f>IF($B296="","",IF(G296=0,0,H296/G296))</f>
        <v/>
      </c>
      <c r="M296">
        <f>IF($B296="","",IF(K296=0,0,L296/K296))</f>
        <v/>
      </c>
    </row>
    <row r="297">
      <c r="A297">
        <f>IF($B297="","",ROW()-5)</f>
        <v/>
      </c>
      <c r="D297">
        <f>IF($B297="","",IF(C297="","",TEXT(C297,"MMM")))</f>
        <v/>
      </c>
      <c r="I297">
        <f>IF($B297="","",IF(G297=0,0,H297/G297))</f>
        <v/>
      </c>
      <c r="M297">
        <f>IF($B297="","",IF(K297=0,0,L297/K297))</f>
        <v/>
      </c>
    </row>
    <row r="298">
      <c r="A298">
        <f>IF($B298="","",ROW()-5)</f>
        <v/>
      </c>
      <c r="D298">
        <f>IF($B298="","",IF(C298="","",TEXT(C298,"MMM")))</f>
        <v/>
      </c>
      <c r="I298">
        <f>IF($B298="","",IF(G298=0,0,H298/G298))</f>
        <v/>
      </c>
      <c r="M298">
        <f>IF($B298="","",IF(K298=0,0,L298/K298))</f>
        <v/>
      </c>
    </row>
    <row r="299">
      <c r="A299">
        <f>IF($B299="","",ROW()-5)</f>
        <v/>
      </c>
      <c r="D299">
        <f>IF($B299="","",IF(C299="","",TEXT(C299,"MMM")))</f>
        <v/>
      </c>
      <c r="I299">
        <f>IF($B299="","",IF(G299=0,0,H299/G299))</f>
        <v/>
      </c>
      <c r="M299">
        <f>IF($B299="","",IF(K299=0,0,L299/K299))</f>
        <v/>
      </c>
    </row>
    <row r="300">
      <c r="A300">
        <f>IF($B300="","",ROW()-5)</f>
        <v/>
      </c>
      <c r="D300">
        <f>IF($B300="","",IF(C300="","",TEXT(C300,"MMM")))</f>
        <v/>
      </c>
      <c r="I300">
        <f>IF($B300="","",IF(G300=0,0,H300/G300))</f>
        <v/>
      </c>
      <c r="M300">
        <f>IF($B300="","",IF(K300=0,0,L300/K300))</f>
        <v/>
      </c>
    </row>
    <row r="301">
      <c r="A301">
        <f>IF($B301="","",ROW()-5)</f>
        <v/>
      </c>
      <c r="D301">
        <f>IF($B301="","",IF(C301="","",TEXT(C301,"MMM")))</f>
        <v/>
      </c>
      <c r="I301">
        <f>IF($B301="","",IF(G301=0,0,H301/G301))</f>
        <v/>
      </c>
      <c r="M301">
        <f>IF($B301="","",IF(K301=0,0,L301/K301))</f>
        <v/>
      </c>
    </row>
    <row r="302">
      <c r="A302">
        <f>IF($B302="","",ROW()-5)</f>
        <v/>
      </c>
      <c r="D302">
        <f>IF($B302="","",IF(C302="","",TEXT(C302,"MMM")))</f>
        <v/>
      </c>
      <c r="I302">
        <f>IF($B302="","",IF(G302=0,0,H302/G302))</f>
        <v/>
      </c>
      <c r="M302">
        <f>IF($B302="","",IF(K302=0,0,L302/K302))</f>
        <v/>
      </c>
    </row>
    <row r="303">
      <c r="A303">
        <f>IF($B303="","",ROW()-5)</f>
        <v/>
      </c>
      <c r="D303">
        <f>IF($B303="","",IF(C303="","",TEXT(C303,"MMM")))</f>
        <v/>
      </c>
      <c r="I303">
        <f>IF($B303="","",IF(G303=0,0,H303/G303))</f>
        <v/>
      </c>
      <c r="M303">
        <f>IF($B303="","",IF(K303=0,0,L303/K303))</f>
        <v/>
      </c>
    </row>
    <row r="304">
      <c r="A304">
        <f>IF($B304="","",ROW()-5)</f>
        <v/>
      </c>
      <c r="D304">
        <f>IF($B304="","",IF(C304="","",TEXT(C304,"MMM")))</f>
        <v/>
      </c>
      <c r="I304">
        <f>IF($B304="","",IF(G304=0,0,H304/G304))</f>
        <v/>
      </c>
      <c r="M304">
        <f>IF($B304="","",IF(K304=0,0,L304/K304))</f>
        <v/>
      </c>
    </row>
    <row r="305">
      <c r="A305">
        <f>IF($B305="","",ROW()-5)</f>
        <v/>
      </c>
      <c r="D305">
        <f>IF($B305="","",IF(C305="","",TEXT(C305,"MMM")))</f>
        <v/>
      </c>
      <c r="I305">
        <f>IF($B305="","",IF(G305=0,0,H305/G305))</f>
        <v/>
      </c>
      <c r="M305">
        <f>IF($B305="","",IF(K305=0,0,L305/K305))</f>
        <v/>
      </c>
    </row>
    <row r="306">
      <c r="A306">
        <f>IF($B306="","",ROW()-5)</f>
        <v/>
      </c>
      <c r="D306">
        <f>IF($B306="","",IF(C306="","",TEXT(C306,"MMM")))</f>
        <v/>
      </c>
      <c r="I306">
        <f>IF($B306="","",IF(G306=0,0,H306/G306))</f>
        <v/>
      </c>
      <c r="M306">
        <f>IF($B306="","",IF(K306=0,0,L306/K306))</f>
        <v/>
      </c>
    </row>
    <row r="307">
      <c r="A307">
        <f>IF($B307="","",ROW()-5)</f>
        <v/>
      </c>
      <c r="D307">
        <f>IF($B307="","",IF(C307="","",TEXT(C307,"MMM")))</f>
        <v/>
      </c>
      <c r="I307">
        <f>IF($B307="","",IF(G307=0,0,H307/G307))</f>
        <v/>
      </c>
      <c r="M307">
        <f>IF($B307="","",IF(K307=0,0,L307/K307))</f>
        <v/>
      </c>
    </row>
    <row r="308">
      <c r="A308">
        <f>IF($B308="","",ROW()-5)</f>
        <v/>
      </c>
      <c r="D308">
        <f>IF($B308="","",IF(C308="","",TEXT(C308,"MMM")))</f>
        <v/>
      </c>
      <c r="I308">
        <f>IF($B308="","",IF(G308=0,0,H308/G308))</f>
        <v/>
      </c>
      <c r="M308">
        <f>IF($B308="","",IF(K308=0,0,L308/K308))</f>
        <v/>
      </c>
    </row>
    <row r="309">
      <c r="A309">
        <f>IF($B309="","",ROW()-5)</f>
        <v/>
      </c>
      <c r="D309">
        <f>IF($B309="","",IF(C309="","",TEXT(C309,"MMM")))</f>
        <v/>
      </c>
      <c r="I309">
        <f>IF($B309="","",IF(G309=0,0,H309/G309))</f>
        <v/>
      </c>
      <c r="M309">
        <f>IF($B309="","",IF(K309=0,0,L309/K309))</f>
        <v/>
      </c>
    </row>
    <row r="310">
      <c r="A310">
        <f>IF($B310="","",ROW()-5)</f>
        <v/>
      </c>
      <c r="D310">
        <f>IF($B310="","",IF(C310="","",TEXT(C310,"MMM")))</f>
        <v/>
      </c>
      <c r="I310">
        <f>IF($B310="","",IF(G310=0,0,H310/G310))</f>
        <v/>
      </c>
      <c r="M310">
        <f>IF($B310="","",IF(K310=0,0,L310/K310))</f>
        <v/>
      </c>
    </row>
    <row r="311">
      <c r="A311">
        <f>IF($B311="","",ROW()-5)</f>
        <v/>
      </c>
      <c r="D311">
        <f>IF($B311="","",IF(C311="","",TEXT(C311,"MMM")))</f>
        <v/>
      </c>
      <c r="I311">
        <f>IF($B311="","",IF(G311=0,0,H311/G311))</f>
        <v/>
      </c>
      <c r="M311">
        <f>IF($B311="","",IF(K311=0,0,L311/K311))</f>
        <v/>
      </c>
    </row>
    <row r="312">
      <c r="A312">
        <f>IF($B312="","",ROW()-5)</f>
        <v/>
      </c>
      <c r="D312">
        <f>IF($B312="","",IF(C312="","",TEXT(C312,"MMM")))</f>
        <v/>
      </c>
      <c r="I312">
        <f>IF($B312="","",IF(G312=0,0,H312/G312))</f>
        <v/>
      </c>
      <c r="M312">
        <f>IF($B312="","",IF(K312=0,0,L312/K312))</f>
        <v/>
      </c>
    </row>
    <row r="313">
      <c r="A313">
        <f>IF($B313="","",ROW()-5)</f>
        <v/>
      </c>
      <c r="D313">
        <f>IF($B313="","",IF(C313="","",TEXT(C313,"MMM")))</f>
        <v/>
      </c>
      <c r="I313">
        <f>IF($B313="","",IF(G313=0,0,H313/G313))</f>
        <v/>
      </c>
      <c r="M313">
        <f>IF($B313="","",IF(K313=0,0,L313/K313))</f>
        <v/>
      </c>
    </row>
    <row r="314">
      <c r="A314">
        <f>IF($B314="","",ROW()-5)</f>
        <v/>
      </c>
      <c r="D314">
        <f>IF($B314="","",IF(C314="","",TEXT(C314,"MMM")))</f>
        <v/>
      </c>
      <c r="I314">
        <f>IF($B314="","",IF(G314=0,0,H314/G314))</f>
        <v/>
      </c>
      <c r="M314">
        <f>IF($B314="","",IF(K314=0,0,L314/K314))</f>
        <v/>
      </c>
    </row>
    <row r="315">
      <c r="A315">
        <f>IF($B315="","",ROW()-5)</f>
        <v/>
      </c>
      <c r="D315">
        <f>IF($B315="","",IF(C315="","",TEXT(C315,"MMM")))</f>
        <v/>
      </c>
      <c r="I315">
        <f>IF($B315="","",IF(G315=0,0,H315/G315))</f>
        <v/>
      </c>
      <c r="M315">
        <f>IF($B315="","",IF(K315=0,0,L315/K315))</f>
        <v/>
      </c>
    </row>
    <row r="316">
      <c r="A316">
        <f>IF($B316="","",ROW()-5)</f>
        <v/>
      </c>
      <c r="D316">
        <f>IF($B316="","",IF(C316="","",TEXT(C316,"MMM")))</f>
        <v/>
      </c>
      <c r="I316">
        <f>IF($B316="","",IF(G316=0,0,H316/G316))</f>
        <v/>
      </c>
      <c r="M316">
        <f>IF($B316="","",IF(K316=0,0,L316/K316))</f>
        <v/>
      </c>
    </row>
    <row r="317">
      <c r="A317">
        <f>IF($B317="","",ROW()-5)</f>
        <v/>
      </c>
      <c r="D317">
        <f>IF($B317="","",IF(C317="","",TEXT(C317,"MMM")))</f>
        <v/>
      </c>
      <c r="I317">
        <f>IF($B317="","",IF(G317=0,0,H317/G317))</f>
        <v/>
      </c>
      <c r="M317">
        <f>IF($B317="","",IF(K317=0,0,L317/K317))</f>
        <v/>
      </c>
    </row>
    <row r="318">
      <c r="A318">
        <f>IF($B318="","",ROW()-5)</f>
        <v/>
      </c>
      <c r="D318">
        <f>IF($B318="","",IF(C318="","",TEXT(C318,"MMM")))</f>
        <v/>
      </c>
      <c r="I318">
        <f>IF($B318="","",IF(G318=0,0,H318/G318))</f>
        <v/>
      </c>
      <c r="M318">
        <f>IF($B318="","",IF(K318=0,0,L318/K318))</f>
        <v/>
      </c>
    </row>
    <row r="319">
      <c r="A319">
        <f>IF($B319="","",ROW()-5)</f>
        <v/>
      </c>
      <c r="D319">
        <f>IF($B319="","",IF(C319="","",TEXT(C319,"MMM")))</f>
        <v/>
      </c>
      <c r="I319">
        <f>IF($B319="","",IF(G319=0,0,H319/G319))</f>
        <v/>
      </c>
      <c r="M319">
        <f>IF($B319="","",IF(K319=0,0,L319/K319))</f>
        <v/>
      </c>
    </row>
    <row r="320">
      <c r="A320">
        <f>IF($B320="","",ROW()-5)</f>
        <v/>
      </c>
      <c r="D320">
        <f>IF($B320="","",IF(C320="","",TEXT(C320,"MMM")))</f>
        <v/>
      </c>
      <c r="I320">
        <f>IF($B320="","",IF(G320=0,0,H320/G320))</f>
        <v/>
      </c>
      <c r="M320">
        <f>IF($B320="","",IF(K320=0,0,L320/K320))</f>
        <v/>
      </c>
    </row>
    <row r="321">
      <c r="A321">
        <f>IF($B321="","",ROW()-5)</f>
        <v/>
      </c>
      <c r="D321">
        <f>IF($B321="","",IF(C321="","",TEXT(C321,"MMM")))</f>
        <v/>
      </c>
      <c r="I321">
        <f>IF($B321="","",IF(G321=0,0,H321/G321))</f>
        <v/>
      </c>
      <c r="M321">
        <f>IF($B321="","",IF(K321=0,0,L321/K321))</f>
        <v/>
      </c>
    </row>
    <row r="322">
      <c r="A322">
        <f>IF($B322="","",ROW()-5)</f>
        <v/>
      </c>
      <c r="D322">
        <f>IF($B322="","",IF(C322="","",TEXT(C322,"MMM")))</f>
        <v/>
      </c>
      <c r="I322">
        <f>IF($B322="","",IF(G322=0,0,H322/G322))</f>
        <v/>
      </c>
      <c r="M322">
        <f>IF($B322="","",IF(K322=0,0,L322/K322))</f>
        <v/>
      </c>
    </row>
    <row r="323">
      <c r="A323">
        <f>IF($B323="","",ROW()-5)</f>
        <v/>
      </c>
      <c r="D323">
        <f>IF($B323="","",IF(C323="","",TEXT(C323,"MMM")))</f>
        <v/>
      </c>
      <c r="I323">
        <f>IF($B323="","",IF(G323=0,0,H323/G323))</f>
        <v/>
      </c>
      <c r="M323">
        <f>IF($B323="","",IF(K323=0,0,L323/K323))</f>
        <v/>
      </c>
    </row>
    <row r="324">
      <c r="A324">
        <f>IF($B324="","",ROW()-5)</f>
        <v/>
      </c>
      <c r="D324">
        <f>IF($B324="","",IF(C324="","",TEXT(C324,"MMM")))</f>
        <v/>
      </c>
      <c r="I324">
        <f>IF($B324="","",IF(G324=0,0,H324/G324))</f>
        <v/>
      </c>
      <c r="M324">
        <f>IF($B324="","",IF(K324=0,0,L324/K324))</f>
        <v/>
      </c>
    </row>
    <row r="325">
      <c r="A325">
        <f>IF($B325="","",ROW()-5)</f>
        <v/>
      </c>
      <c r="D325">
        <f>IF($B325="","",IF(C325="","",TEXT(C325,"MMM")))</f>
        <v/>
      </c>
      <c r="I325">
        <f>IF($B325="","",IF(G325=0,0,H325/G325))</f>
        <v/>
      </c>
      <c r="M325">
        <f>IF($B325="","",IF(K325=0,0,L325/K325))</f>
        <v/>
      </c>
    </row>
    <row r="326">
      <c r="A326">
        <f>IF($B326="","",ROW()-5)</f>
        <v/>
      </c>
      <c r="D326">
        <f>IF($B326="","",IF(C326="","",TEXT(C326,"MMM")))</f>
        <v/>
      </c>
      <c r="I326">
        <f>IF($B326="","",IF(G326=0,0,H326/G326))</f>
        <v/>
      </c>
      <c r="M326">
        <f>IF($B326="","",IF(K326=0,0,L326/K326))</f>
        <v/>
      </c>
    </row>
    <row r="327">
      <c r="A327">
        <f>IF($B327="","",ROW()-5)</f>
        <v/>
      </c>
      <c r="D327">
        <f>IF($B327="","",IF(C327="","",TEXT(C327,"MMM")))</f>
        <v/>
      </c>
      <c r="I327">
        <f>IF($B327="","",IF(G327=0,0,H327/G327))</f>
        <v/>
      </c>
      <c r="M327">
        <f>IF($B327="","",IF(K327=0,0,L327/K327))</f>
        <v/>
      </c>
    </row>
    <row r="328">
      <c r="A328">
        <f>IF($B328="","",ROW()-5)</f>
        <v/>
      </c>
      <c r="D328">
        <f>IF($B328="","",IF(C328="","",TEXT(C328,"MMM")))</f>
        <v/>
      </c>
      <c r="I328">
        <f>IF($B328="","",IF(G328=0,0,H328/G328))</f>
        <v/>
      </c>
      <c r="M328">
        <f>IF($B328="","",IF(K328=0,0,L328/K328))</f>
        <v/>
      </c>
    </row>
    <row r="329">
      <c r="A329">
        <f>IF($B329="","",ROW()-5)</f>
        <v/>
      </c>
      <c r="D329">
        <f>IF($B329="","",IF(C329="","",TEXT(C329,"MMM")))</f>
        <v/>
      </c>
      <c r="I329">
        <f>IF($B329="","",IF(G329=0,0,H329/G329))</f>
        <v/>
      </c>
      <c r="M329">
        <f>IF($B329="","",IF(K329=0,0,L329/K329))</f>
        <v/>
      </c>
    </row>
    <row r="330">
      <c r="A330">
        <f>IF($B330="","",ROW()-5)</f>
        <v/>
      </c>
      <c r="D330">
        <f>IF($B330="","",IF(C330="","",TEXT(C330,"MMM")))</f>
        <v/>
      </c>
      <c r="I330">
        <f>IF($B330="","",IF(G330=0,0,H330/G330))</f>
        <v/>
      </c>
      <c r="M330">
        <f>IF($B330="","",IF(K330=0,0,L330/K330))</f>
        <v/>
      </c>
    </row>
    <row r="331">
      <c r="A331">
        <f>IF($B331="","",ROW()-5)</f>
        <v/>
      </c>
      <c r="D331">
        <f>IF($B331="","",IF(C331="","",TEXT(C331,"MMM")))</f>
        <v/>
      </c>
      <c r="I331">
        <f>IF($B331="","",IF(G331=0,0,H331/G331))</f>
        <v/>
      </c>
      <c r="M331">
        <f>IF($B331="","",IF(K331=0,0,L331/K331))</f>
        <v/>
      </c>
    </row>
    <row r="332">
      <c r="A332">
        <f>IF($B332="","",ROW()-5)</f>
        <v/>
      </c>
      <c r="D332">
        <f>IF($B332="","",IF(C332="","",TEXT(C332,"MMM")))</f>
        <v/>
      </c>
      <c r="I332">
        <f>IF($B332="","",IF(G332=0,0,H332/G332))</f>
        <v/>
      </c>
      <c r="M332">
        <f>IF($B332="","",IF(K332=0,0,L332/K332))</f>
        <v/>
      </c>
    </row>
    <row r="333">
      <c r="A333">
        <f>IF($B333="","",ROW()-5)</f>
        <v/>
      </c>
      <c r="D333">
        <f>IF($B333="","",IF(C333="","",TEXT(C333,"MMM")))</f>
        <v/>
      </c>
      <c r="I333">
        <f>IF($B333="","",IF(G333=0,0,H333/G333))</f>
        <v/>
      </c>
      <c r="M333">
        <f>IF($B333="","",IF(K333=0,0,L333/K333))</f>
        <v/>
      </c>
    </row>
    <row r="334">
      <c r="A334">
        <f>IF($B334="","",ROW()-5)</f>
        <v/>
      </c>
      <c r="D334">
        <f>IF($B334="","",IF(C334="","",TEXT(C334,"MMM")))</f>
        <v/>
      </c>
      <c r="I334">
        <f>IF($B334="","",IF(G334=0,0,H334/G334))</f>
        <v/>
      </c>
      <c r="M334">
        <f>IF($B334="","",IF(K334=0,0,L334/K334))</f>
        <v/>
      </c>
    </row>
    <row r="335">
      <c r="A335">
        <f>IF($B335="","",ROW()-5)</f>
        <v/>
      </c>
      <c r="D335">
        <f>IF($B335="","",IF(C335="","",TEXT(C335,"MMM")))</f>
        <v/>
      </c>
      <c r="I335">
        <f>IF($B335="","",IF(G335=0,0,H335/G335))</f>
        <v/>
      </c>
      <c r="M335">
        <f>IF($B335="","",IF(K335=0,0,L335/K335))</f>
        <v/>
      </c>
    </row>
    <row r="336">
      <c r="A336">
        <f>IF($B336="","",ROW()-5)</f>
        <v/>
      </c>
      <c r="D336">
        <f>IF($B336="","",IF(C336="","",TEXT(C336,"MMM")))</f>
        <v/>
      </c>
      <c r="I336">
        <f>IF($B336="","",IF(G336=0,0,H336/G336))</f>
        <v/>
      </c>
      <c r="M336">
        <f>IF($B336="","",IF(K336=0,0,L336/K336))</f>
        <v/>
      </c>
    </row>
    <row r="337">
      <c r="A337">
        <f>IF($B337="","",ROW()-5)</f>
        <v/>
      </c>
      <c r="D337">
        <f>IF($B337="","",IF(C337="","",TEXT(C337,"MMM")))</f>
        <v/>
      </c>
      <c r="I337">
        <f>IF($B337="","",IF(G337=0,0,H337/G337))</f>
        <v/>
      </c>
      <c r="M337">
        <f>IF($B337="","",IF(K337=0,0,L337/K337))</f>
        <v/>
      </c>
    </row>
    <row r="338">
      <c r="A338">
        <f>IF($B338="","",ROW()-5)</f>
        <v/>
      </c>
      <c r="D338">
        <f>IF($B338="","",IF(C338="","",TEXT(C338,"MMM")))</f>
        <v/>
      </c>
      <c r="I338">
        <f>IF($B338="","",IF(G338=0,0,H338/G338))</f>
        <v/>
      </c>
      <c r="M338">
        <f>IF($B338="","",IF(K338=0,0,L338/K338))</f>
        <v/>
      </c>
    </row>
    <row r="339">
      <c r="A339">
        <f>IF($B339="","",ROW()-5)</f>
        <v/>
      </c>
      <c r="D339">
        <f>IF($B339="","",IF(C339="","",TEXT(C339,"MMM")))</f>
        <v/>
      </c>
      <c r="I339">
        <f>IF($B339="","",IF(G339=0,0,H339/G339))</f>
        <v/>
      </c>
      <c r="M339">
        <f>IF($B339="","",IF(K339=0,0,L339/K339))</f>
        <v/>
      </c>
    </row>
    <row r="340">
      <c r="A340">
        <f>IF($B340="","",ROW()-5)</f>
        <v/>
      </c>
      <c r="D340">
        <f>IF($B340="","",IF(C340="","",TEXT(C340,"MMM")))</f>
        <v/>
      </c>
      <c r="I340">
        <f>IF($B340="","",IF(G340=0,0,H340/G340))</f>
        <v/>
      </c>
      <c r="M340">
        <f>IF($B340="","",IF(K340=0,0,L340/K340))</f>
        <v/>
      </c>
    </row>
    <row r="341">
      <c r="A341">
        <f>IF($B341="","",ROW()-5)</f>
        <v/>
      </c>
      <c r="D341">
        <f>IF($B341="","",IF(C341="","",TEXT(C341,"MMM")))</f>
        <v/>
      </c>
      <c r="I341">
        <f>IF($B341="","",IF(G341=0,0,H341/G341))</f>
        <v/>
      </c>
      <c r="M341">
        <f>IF($B341="","",IF(K341=0,0,L341/K341))</f>
        <v/>
      </c>
    </row>
    <row r="342">
      <c r="A342">
        <f>IF($B342="","",ROW()-5)</f>
        <v/>
      </c>
      <c r="D342">
        <f>IF($B342="","",IF(C342="","",TEXT(C342,"MMM")))</f>
        <v/>
      </c>
      <c r="I342">
        <f>IF($B342="","",IF(G342=0,0,H342/G342))</f>
        <v/>
      </c>
      <c r="M342">
        <f>IF($B342="","",IF(K342=0,0,L342/K342))</f>
        <v/>
      </c>
    </row>
    <row r="343">
      <c r="A343">
        <f>IF($B343="","",ROW()-5)</f>
        <v/>
      </c>
      <c r="D343">
        <f>IF($B343="","",IF(C343="","",TEXT(C343,"MMM")))</f>
        <v/>
      </c>
      <c r="I343">
        <f>IF($B343="","",IF(G343=0,0,H343/G343))</f>
        <v/>
      </c>
      <c r="M343">
        <f>IF($B343="","",IF(K343=0,0,L343/K343))</f>
        <v/>
      </c>
    </row>
    <row r="344">
      <c r="A344">
        <f>IF($B344="","",ROW()-5)</f>
        <v/>
      </c>
      <c r="D344">
        <f>IF($B344="","",IF(C344="","",TEXT(C344,"MMM")))</f>
        <v/>
      </c>
      <c r="I344">
        <f>IF($B344="","",IF(G344=0,0,H344/G344))</f>
        <v/>
      </c>
      <c r="M344">
        <f>IF($B344="","",IF(K344=0,0,L344/K344))</f>
        <v/>
      </c>
    </row>
    <row r="345">
      <c r="A345">
        <f>IF($B345="","",ROW()-5)</f>
        <v/>
      </c>
      <c r="D345">
        <f>IF($B345="","",IF(C345="","",TEXT(C345,"MMM")))</f>
        <v/>
      </c>
      <c r="I345">
        <f>IF($B345="","",IF(G345=0,0,H345/G345))</f>
        <v/>
      </c>
      <c r="M345">
        <f>IF($B345="","",IF(K345=0,0,L345/K345))</f>
        <v/>
      </c>
    </row>
    <row r="346">
      <c r="A346">
        <f>IF($B346="","",ROW()-5)</f>
        <v/>
      </c>
      <c r="D346">
        <f>IF($B346="","",IF(C346="","",TEXT(C346,"MMM")))</f>
        <v/>
      </c>
      <c r="I346">
        <f>IF($B346="","",IF(G346=0,0,H346/G346))</f>
        <v/>
      </c>
      <c r="M346">
        <f>IF($B346="","",IF(K346=0,0,L346/K346))</f>
        <v/>
      </c>
    </row>
    <row r="347">
      <c r="A347">
        <f>IF($B347="","",ROW()-5)</f>
        <v/>
      </c>
      <c r="D347">
        <f>IF($B347="","",IF(C347="","",TEXT(C347,"MMM")))</f>
        <v/>
      </c>
      <c r="I347">
        <f>IF($B347="","",IF(G347=0,0,H347/G347))</f>
        <v/>
      </c>
      <c r="M347">
        <f>IF($B347="","",IF(K347=0,0,L347/K347))</f>
        <v/>
      </c>
    </row>
    <row r="348">
      <c r="A348">
        <f>IF($B348="","",ROW()-5)</f>
        <v/>
      </c>
      <c r="D348">
        <f>IF($B348="","",IF(C348="","",TEXT(C348,"MMM")))</f>
        <v/>
      </c>
      <c r="I348">
        <f>IF($B348="","",IF(G348=0,0,H348/G348))</f>
        <v/>
      </c>
      <c r="M348">
        <f>IF($B348="","",IF(K348=0,0,L348/K348))</f>
        <v/>
      </c>
    </row>
    <row r="349">
      <c r="A349">
        <f>IF($B349="","",ROW()-5)</f>
        <v/>
      </c>
      <c r="D349">
        <f>IF($B349="","",IF(C349="","",TEXT(C349,"MMM")))</f>
        <v/>
      </c>
      <c r="I349">
        <f>IF($B349="","",IF(G349=0,0,H349/G349))</f>
        <v/>
      </c>
      <c r="M349">
        <f>IF($B349="","",IF(K349=0,0,L349/K349))</f>
        <v/>
      </c>
    </row>
    <row r="350">
      <c r="A350">
        <f>IF($B350="","",ROW()-5)</f>
        <v/>
      </c>
      <c r="D350">
        <f>IF($B350="","",IF(C350="","",TEXT(C350,"MMM")))</f>
        <v/>
      </c>
      <c r="I350">
        <f>IF($B350="","",IF(G350=0,0,H350/G350))</f>
        <v/>
      </c>
      <c r="M350">
        <f>IF($B350="","",IF(K350=0,0,L350/K350))</f>
        <v/>
      </c>
    </row>
    <row r="351">
      <c r="A351">
        <f>IF($B351="","",ROW()-5)</f>
        <v/>
      </c>
      <c r="D351">
        <f>IF($B351="","",IF(C351="","",TEXT(C351,"MMM")))</f>
        <v/>
      </c>
      <c r="I351">
        <f>IF($B351="","",IF(G351=0,0,H351/G351))</f>
        <v/>
      </c>
      <c r="M351">
        <f>IF($B351="","",IF(K351=0,0,L351/K351))</f>
        <v/>
      </c>
    </row>
    <row r="352">
      <c r="A352">
        <f>IF($B352="","",ROW()-5)</f>
        <v/>
      </c>
      <c r="D352">
        <f>IF($B352="","",IF(C352="","",TEXT(C352,"MMM")))</f>
        <v/>
      </c>
      <c r="I352">
        <f>IF($B352="","",IF(G352=0,0,H352/G352))</f>
        <v/>
      </c>
      <c r="M352">
        <f>IF($B352="","",IF(K352=0,0,L352/K352))</f>
        <v/>
      </c>
    </row>
    <row r="353">
      <c r="A353">
        <f>IF($B353="","",ROW()-5)</f>
        <v/>
      </c>
      <c r="D353">
        <f>IF($B353="","",IF(C353="","",TEXT(C353,"MMM")))</f>
        <v/>
      </c>
      <c r="I353">
        <f>IF($B353="","",IF(G353=0,0,H353/G353))</f>
        <v/>
      </c>
      <c r="M353">
        <f>IF($B353="","",IF(K353=0,0,L353/K353))</f>
        <v/>
      </c>
    </row>
    <row r="354">
      <c r="A354">
        <f>IF($B354="","",ROW()-5)</f>
        <v/>
      </c>
      <c r="D354">
        <f>IF($B354="","",IF(C354="","",TEXT(C354,"MMM")))</f>
        <v/>
      </c>
      <c r="I354">
        <f>IF($B354="","",IF(G354=0,0,H354/G354))</f>
        <v/>
      </c>
      <c r="M354">
        <f>IF($B354="","",IF(K354=0,0,L354/K354))</f>
        <v/>
      </c>
    </row>
    <row r="355">
      <c r="A355">
        <f>IF($B355="","",ROW()-5)</f>
        <v/>
      </c>
      <c r="D355">
        <f>IF($B355="","",IF(C355="","",TEXT(C355,"MMM")))</f>
        <v/>
      </c>
      <c r="I355">
        <f>IF($B355="","",IF(G355=0,0,H355/G355))</f>
        <v/>
      </c>
      <c r="M355">
        <f>IF($B355="","",IF(K355=0,0,L355/K355))</f>
        <v/>
      </c>
    </row>
    <row r="356">
      <c r="A356">
        <f>IF($B356="","",ROW()-5)</f>
        <v/>
      </c>
      <c r="D356">
        <f>IF($B356="","",IF(C356="","",TEXT(C356,"MMM")))</f>
        <v/>
      </c>
      <c r="I356">
        <f>IF($B356="","",IF(G356=0,0,H356/G356))</f>
        <v/>
      </c>
      <c r="M356">
        <f>IF($B356="","",IF(K356=0,0,L356/K356))</f>
        <v/>
      </c>
    </row>
    <row r="357">
      <c r="A357">
        <f>IF($B357="","",ROW()-5)</f>
        <v/>
      </c>
      <c r="D357">
        <f>IF($B357="","",IF(C357="","",TEXT(C357,"MMM")))</f>
        <v/>
      </c>
      <c r="I357">
        <f>IF($B357="","",IF(G357=0,0,H357/G357))</f>
        <v/>
      </c>
      <c r="M357">
        <f>IF($B357="","",IF(K357=0,0,L357/K357))</f>
        <v/>
      </c>
    </row>
    <row r="358">
      <c r="A358">
        <f>IF($B358="","",ROW()-5)</f>
        <v/>
      </c>
      <c r="D358">
        <f>IF($B358="","",IF(C358="","",TEXT(C358,"MMM")))</f>
        <v/>
      </c>
      <c r="I358">
        <f>IF($B358="","",IF(G358=0,0,H358/G358))</f>
        <v/>
      </c>
      <c r="M358">
        <f>IF($B358="","",IF(K358=0,0,L358/K358))</f>
        <v/>
      </c>
    </row>
    <row r="359">
      <c r="A359">
        <f>IF($B359="","",ROW()-5)</f>
        <v/>
      </c>
      <c r="D359">
        <f>IF($B359="","",IF(C359="","",TEXT(C359,"MMM")))</f>
        <v/>
      </c>
      <c r="I359">
        <f>IF($B359="","",IF(G359=0,0,H359/G359))</f>
        <v/>
      </c>
      <c r="M359">
        <f>IF($B359="","",IF(K359=0,0,L359/K359))</f>
        <v/>
      </c>
    </row>
    <row r="360">
      <c r="A360">
        <f>IF($B360="","",ROW()-5)</f>
        <v/>
      </c>
      <c r="D360">
        <f>IF($B360="","",IF(C360="","",TEXT(C360,"MMM")))</f>
        <v/>
      </c>
      <c r="I360">
        <f>IF($B360="","",IF(G360=0,0,H360/G360))</f>
        <v/>
      </c>
      <c r="M360">
        <f>IF($B360="","",IF(K360=0,0,L360/K360))</f>
        <v/>
      </c>
    </row>
    <row r="361">
      <c r="A361">
        <f>IF($B361="","",ROW()-5)</f>
        <v/>
      </c>
      <c r="D361">
        <f>IF($B361="","",IF(C361="","",TEXT(C361,"MMM")))</f>
        <v/>
      </c>
      <c r="I361">
        <f>IF($B361="","",IF(G361=0,0,H361/G361))</f>
        <v/>
      </c>
      <c r="M361">
        <f>IF($B361="","",IF(K361=0,0,L361/K361))</f>
        <v/>
      </c>
    </row>
    <row r="362">
      <c r="A362">
        <f>IF($B362="","",ROW()-5)</f>
        <v/>
      </c>
      <c r="D362">
        <f>IF($B362="","",IF(C362="","",TEXT(C362,"MMM")))</f>
        <v/>
      </c>
      <c r="I362">
        <f>IF($B362="","",IF(G362=0,0,H362/G362))</f>
        <v/>
      </c>
      <c r="M362">
        <f>IF($B362="","",IF(K362=0,0,L362/K362))</f>
        <v/>
      </c>
    </row>
    <row r="363">
      <c r="A363">
        <f>IF($B363="","",ROW()-5)</f>
        <v/>
      </c>
      <c r="D363">
        <f>IF($B363="","",IF(C363="","",TEXT(C363,"MMM")))</f>
        <v/>
      </c>
      <c r="I363">
        <f>IF($B363="","",IF(G363=0,0,H363/G363))</f>
        <v/>
      </c>
      <c r="M363">
        <f>IF($B363="","",IF(K363=0,0,L363/K363))</f>
        <v/>
      </c>
    </row>
    <row r="364">
      <c r="A364">
        <f>IF($B364="","",ROW()-5)</f>
        <v/>
      </c>
      <c r="D364">
        <f>IF($B364="","",IF(C364="","",TEXT(C364,"MMM")))</f>
        <v/>
      </c>
      <c r="I364">
        <f>IF($B364="","",IF(G364=0,0,H364/G364))</f>
        <v/>
      </c>
      <c r="M364">
        <f>IF($B364="","",IF(K364=0,0,L364/K364))</f>
        <v/>
      </c>
    </row>
    <row r="365">
      <c r="A365">
        <f>IF($B365="","",ROW()-5)</f>
        <v/>
      </c>
      <c r="D365">
        <f>IF($B365="","",IF(C365="","",TEXT(C365,"MMM")))</f>
        <v/>
      </c>
      <c r="I365">
        <f>IF($B365="","",IF(G365=0,0,H365/G365))</f>
        <v/>
      </c>
      <c r="M365">
        <f>IF($B365="","",IF(K365=0,0,L365/K365))</f>
        <v/>
      </c>
    </row>
    <row r="366">
      <c r="A366">
        <f>IF($B366="","",ROW()-5)</f>
        <v/>
      </c>
      <c r="D366">
        <f>IF($B366="","",IF(C366="","",TEXT(C366,"MMM")))</f>
        <v/>
      </c>
      <c r="I366">
        <f>IF($B366="","",IF(G366=0,0,H366/G366))</f>
        <v/>
      </c>
      <c r="M366">
        <f>IF($B366="","",IF(K366=0,0,L366/K366))</f>
        <v/>
      </c>
    </row>
    <row r="367">
      <c r="A367">
        <f>IF($B367="","",ROW()-5)</f>
        <v/>
      </c>
      <c r="D367">
        <f>IF($B367="","",IF(C367="","",TEXT(C367,"MMM")))</f>
        <v/>
      </c>
      <c r="I367">
        <f>IF($B367="","",IF(G367=0,0,H367/G367))</f>
        <v/>
      </c>
      <c r="M367">
        <f>IF($B367="","",IF(K367=0,0,L367/K367))</f>
        <v/>
      </c>
    </row>
    <row r="368">
      <c r="A368">
        <f>IF($B368="","",ROW()-5)</f>
        <v/>
      </c>
      <c r="D368">
        <f>IF($B368="","",IF(C368="","",TEXT(C368,"MMM")))</f>
        <v/>
      </c>
      <c r="I368">
        <f>IF($B368="","",IF(G368=0,0,H368/G368))</f>
        <v/>
      </c>
      <c r="M368">
        <f>IF($B368="","",IF(K368=0,0,L368/K368))</f>
        <v/>
      </c>
    </row>
    <row r="369">
      <c r="A369">
        <f>IF($B369="","",ROW()-5)</f>
        <v/>
      </c>
      <c r="D369">
        <f>IF($B369="","",IF(C369="","",TEXT(C369,"MMM")))</f>
        <v/>
      </c>
      <c r="I369">
        <f>IF($B369="","",IF(G369=0,0,H369/G369))</f>
        <v/>
      </c>
      <c r="M369">
        <f>IF($B369="","",IF(K369=0,0,L369/K369))</f>
        <v/>
      </c>
    </row>
    <row r="370">
      <c r="A370">
        <f>IF($B370="","",ROW()-5)</f>
        <v/>
      </c>
      <c r="D370">
        <f>IF($B370="","",IF(C370="","",TEXT(C370,"MMM")))</f>
        <v/>
      </c>
      <c r="I370">
        <f>IF($B370="","",IF(G370=0,0,H370/G370))</f>
        <v/>
      </c>
      <c r="M370">
        <f>IF($B370="","",IF(K370=0,0,L370/K370))</f>
        <v/>
      </c>
    </row>
    <row r="371">
      <c r="A371">
        <f>IF($B371="","",ROW()-5)</f>
        <v/>
      </c>
      <c r="D371">
        <f>IF($B371="","",IF(C371="","",TEXT(C371,"MMM")))</f>
        <v/>
      </c>
      <c r="I371">
        <f>IF($B371="","",IF(G371=0,0,H371/G371))</f>
        <v/>
      </c>
      <c r="M371">
        <f>IF($B371="","",IF(K371=0,0,L371/K371))</f>
        <v/>
      </c>
    </row>
    <row r="372">
      <c r="A372">
        <f>IF($B372="","",ROW()-5)</f>
        <v/>
      </c>
      <c r="D372">
        <f>IF($B372="","",IF(C372="","",TEXT(C372,"MMM")))</f>
        <v/>
      </c>
      <c r="I372">
        <f>IF($B372="","",IF(G372=0,0,H372/G372))</f>
        <v/>
      </c>
      <c r="M372">
        <f>IF($B372="","",IF(K372=0,0,L372/K372))</f>
        <v/>
      </c>
    </row>
    <row r="373">
      <c r="A373">
        <f>IF($B373="","",ROW()-5)</f>
        <v/>
      </c>
      <c r="D373">
        <f>IF($B373="","",IF(C373="","",TEXT(C373,"MMM")))</f>
        <v/>
      </c>
      <c r="I373">
        <f>IF($B373="","",IF(G373=0,0,H373/G373))</f>
        <v/>
      </c>
      <c r="M373">
        <f>IF($B373="","",IF(K373=0,0,L373/K373))</f>
        <v/>
      </c>
    </row>
    <row r="374">
      <c r="A374">
        <f>IF($B374="","",ROW()-5)</f>
        <v/>
      </c>
      <c r="D374">
        <f>IF($B374="","",IF(C374="","",TEXT(C374,"MMM")))</f>
        <v/>
      </c>
      <c r="I374">
        <f>IF($B374="","",IF(G374=0,0,H374/G374))</f>
        <v/>
      </c>
      <c r="M374">
        <f>IF($B374="","",IF(K374=0,0,L374/K374))</f>
        <v/>
      </c>
    </row>
    <row r="375">
      <c r="A375">
        <f>IF($B375="","",ROW()-5)</f>
        <v/>
      </c>
      <c r="D375">
        <f>IF($B375="","",IF(C375="","",TEXT(C375,"MMM")))</f>
        <v/>
      </c>
      <c r="I375">
        <f>IF($B375="","",IF(G375=0,0,H375/G375))</f>
        <v/>
      </c>
      <c r="M375">
        <f>IF($B375="","",IF(K375=0,0,L375/K375))</f>
        <v/>
      </c>
    </row>
    <row r="376">
      <c r="A376">
        <f>IF($B376="","",ROW()-5)</f>
        <v/>
      </c>
      <c r="D376">
        <f>IF($B376="","",IF(C376="","",TEXT(C376,"MMM")))</f>
        <v/>
      </c>
      <c r="I376">
        <f>IF($B376="","",IF(G376=0,0,H376/G376))</f>
        <v/>
      </c>
      <c r="M376">
        <f>IF($B376="","",IF(K376=0,0,L376/K376))</f>
        <v/>
      </c>
    </row>
    <row r="377">
      <c r="A377">
        <f>IF($B377="","",ROW()-5)</f>
        <v/>
      </c>
      <c r="D377">
        <f>IF($B377="","",IF(C377="","",TEXT(C377,"MMM")))</f>
        <v/>
      </c>
      <c r="I377">
        <f>IF($B377="","",IF(G377=0,0,H377/G377))</f>
        <v/>
      </c>
      <c r="M377">
        <f>IF($B377="","",IF(K377=0,0,L377/K377))</f>
        <v/>
      </c>
    </row>
    <row r="378">
      <c r="A378">
        <f>IF($B378="","",ROW()-5)</f>
        <v/>
      </c>
      <c r="D378">
        <f>IF($B378="","",IF(C378="","",TEXT(C378,"MMM")))</f>
        <v/>
      </c>
      <c r="I378">
        <f>IF($B378="","",IF(G378=0,0,H378/G378))</f>
        <v/>
      </c>
      <c r="M378">
        <f>IF($B378="","",IF(K378=0,0,L378/K378))</f>
        <v/>
      </c>
    </row>
    <row r="379">
      <c r="A379">
        <f>IF($B379="","",ROW()-5)</f>
        <v/>
      </c>
      <c r="D379">
        <f>IF($B379="","",IF(C379="","",TEXT(C379,"MMM")))</f>
        <v/>
      </c>
      <c r="I379">
        <f>IF($B379="","",IF(G379=0,0,H379/G379))</f>
        <v/>
      </c>
      <c r="M379">
        <f>IF($B379="","",IF(K379=0,0,L379/K379))</f>
        <v/>
      </c>
    </row>
    <row r="380">
      <c r="A380">
        <f>IF($B380="","",ROW()-5)</f>
        <v/>
      </c>
      <c r="D380">
        <f>IF($B380="","",IF(C380="","",TEXT(C380,"MMM")))</f>
        <v/>
      </c>
      <c r="I380">
        <f>IF($B380="","",IF(G380=0,0,H380/G380))</f>
        <v/>
      </c>
      <c r="M380">
        <f>IF($B380="","",IF(K380=0,0,L380/K380))</f>
        <v/>
      </c>
    </row>
    <row r="381">
      <c r="A381">
        <f>IF($B381="","",ROW()-5)</f>
        <v/>
      </c>
      <c r="D381">
        <f>IF($B381="","",IF(C381="","",TEXT(C381,"MMM")))</f>
        <v/>
      </c>
      <c r="I381">
        <f>IF($B381="","",IF(G381=0,0,H381/G381))</f>
        <v/>
      </c>
      <c r="M381">
        <f>IF($B381="","",IF(K381=0,0,L381/K381))</f>
        <v/>
      </c>
    </row>
    <row r="382">
      <c r="A382">
        <f>IF($B382="","",ROW()-5)</f>
        <v/>
      </c>
      <c r="D382">
        <f>IF($B382="","",IF(C382="","",TEXT(C382,"MMM")))</f>
        <v/>
      </c>
      <c r="I382">
        <f>IF($B382="","",IF(G382=0,0,H382/G382))</f>
        <v/>
      </c>
      <c r="M382">
        <f>IF($B382="","",IF(K382=0,0,L382/K382))</f>
        <v/>
      </c>
    </row>
    <row r="383">
      <c r="A383">
        <f>IF($B383="","",ROW()-5)</f>
        <v/>
      </c>
      <c r="D383">
        <f>IF($B383="","",IF(C383="","",TEXT(C383,"MMM")))</f>
        <v/>
      </c>
      <c r="I383">
        <f>IF($B383="","",IF(G383=0,0,H383/G383))</f>
        <v/>
      </c>
      <c r="M383">
        <f>IF($B383="","",IF(K383=0,0,L383/K383))</f>
        <v/>
      </c>
    </row>
    <row r="384">
      <c r="A384">
        <f>IF($B384="","",ROW()-5)</f>
        <v/>
      </c>
      <c r="D384">
        <f>IF($B384="","",IF(C384="","",TEXT(C384,"MMM")))</f>
        <v/>
      </c>
      <c r="I384">
        <f>IF($B384="","",IF(G384=0,0,H384/G384))</f>
        <v/>
      </c>
      <c r="M384">
        <f>IF($B384="","",IF(K384=0,0,L384/K384))</f>
        <v/>
      </c>
    </row>
    <row r="385">
      <c r="A385">
        <f>IF($B385="","",ROW()-5)</f>
        <v/>
      </c>
      <c r="D385">
        <f>IF($B385="","",IF(C385="","",TEXT(C385,"MMM")))</f>
        <v/>
      </c>
      <c r="I385">
        <f>IF($B385="","",IF(G385=0,0,H385/G385))</f>
        <v/>
      </c>
      <c r="M385">
        <f>IF($B385="","",IF(K385=0,0,L385/K385))</f>
        <v/>
      </c>
    </row>
    <row r="386">
      <c r="A386">
        <f>IF($B386="","",ROW()-5)</f>
        <v/>
      </c>
      <c r="D386">
        <f>IF($B386="","",IF(C386="","",TEXT(C386,"MMM")))</f>
        <v/>
      </c>
      <c r="I386">
        <f>IF($B386="","",IF(G386=0,0,H386/G386))</f>
        <v/>
      </c>
      <c r="M386">
        <f>IF($B386="","",IF(K386=0,0,L386/K386))</f>
        <v/>
      </c>
    </row>
    <row r="387">
      <c r="A387">
        <f>IF($B387="","",ROW()-5)</f>
        <v/>
      </c>
      <c r="D387">
        <f>IF($B387="","",IF(C387="","",TEXT(C387,"MMM")))</f>
        <v/>
      </c>
      <c r="I387">
        <f>IF($B387="","",IF(G387=0,0,H387/G387))</f>
        <v/>
      </c>
      <c r="M387">
        <f>IF($B387="","",IF(K387=0,0,L387/K387))</f>
        <v/>
      </c>
    </row>
    <row r="388">
      <c r="A388">
        <f>IF($B388="","",ROW()-5)</f>
        <v/>
      </c>
      <c r="D388">
        <f>IF($B388="","",IF(C388="","",TEXT(C388,"MMM")))</f>
        <v/>
      </c>
      <c r="I388">
        <f>IF($B388="","",IF(G388=0,0,H388/G388))</f>
        <v/>
      </c>
      <c r="M388">
        <f>IF($B388="","",IF(K388=0,0,L388/K388))</f>
        <v/>
      </c>
    </row>
    <row r="389">
      <c r="A389">
        <f>IF($B389="","",ROW()-5)</f>
        <v/>
      </c>
      <c r="D389">
        <f>IF($B389="","",IF(C389="","",TEXT(C389,"MMM")))</f>
        <v/>
      </c>
      <c r="I389">
        <f>IF($B389="","",IF(G389=0,0,H389/G389))</f>
        <v/>
      </c>
      <c r="M389">
        <f>IF($B389="","",IF(K389=0,0,L389/K389))</f>
        <v/>
      </c>
    </row>
    <row r="390">
      <c r="A390">
        <f>IF($B390="","",ROW()-5)</f>
        <v/>
      </c>
      <c r="D390">
        <f>IF($B390="","",IF(C390="","",TEXT(C390,"MMM")))</f>
        <v/>
      </c>
      <c r="I390">
        <f>IF($B390="","",IF(G390=0,0,H390/G390))</f>
        <v/>
      </c>
      <c r="M390">
        <f>IF($B390="","",IF(K390=0,0,L390/K390))</f>
        <v/>
      </c>
    </row>
    <row r="391">
      <c r="A391">
        <f>IF($B391="","",ROW()-5)</f>
        <v/>
      </c>
      <c r="D391">
        <f>IF($B391="","",IF(C391="","",TEXT(C391,"MMM")))</f>
        <v/>
      </c>
      <c r="I391">
        <f>IF($B391="","",IF(G391=0,0,H391/G391))</f>
        <v/>
      </c>
      <c r="M391">
        <f>IF($B391="","",IF(K391=0,0,L391/K391))</f>
        <v/>
      </c>
    </row>
    <row r="392">
      <c r="A392">
        <f>IF($B392="","",ROW()-5)</f>
        <v/>
      </c>
      <c r="D392">
        <f>IF($B392="","",IF(C392="","",TEXT(C392,"MMM")))</f>
        <v/>
      </c>
      <c r="I392">
        <f>IF($B392="","",IF(G392=0,0,H392/G392))</f>
        <v/>
      </c>
      <c r="M392">
        <f>IF($B392="","",IF(K392=0,0,L392/K392))</f>
        <v/>
      </c>
    </row>
    <row r="393">
      <c r="A393">
        <f>IF($B393="","",ROW()-5)</f>
        <v/>
      </c>
      <c r="D393">
        <f>IF($B393="","",IF(C393="","",TEXT(C393,"MMM")))</f>
        <v/>
      </c>
      <c r="I393">
        <f>IF($B393="","",IF(G393=0,0,H393/G393))</f>
        <v/>
      </c>
      <c r="M393">
        <f>IF($B393="","",IF(K393=0,0,L393/K393))</f>
        <v/>
      </c>
    </row>
    <row r="394">
      <c r="A394">
        <f>IF($B394="","",ROW()-5)</f>
        <v/>
      </c>
      <c r="D394">
        <f>IF($B394="","",IF(C394="","",TEXT(C394,"MMM")))</f>
        <v/>
      </c>
      <c r="I394">
        <f>IF($B394="","",IF(G394=0,0,H394/G394))</f>
        <v/>
      </c>
      <c r="M394">
        <f>IF($B394="","",IF(K394=0,0,L394/K394))</f>
        <v/>
      </c>
    </row>
    <row r="395">
      <c r="A395">
        <f>IF($B395="","",ROW()-5)</f>
        <v/>
      </c>
      <c r="D395">
        <f>IF($B395="","",IF(C395="","",TEXT(C395,"MMM")))</f>
        <v/>
      </c>
      <c r="I395">
        <f>IF($B395="","",IF(G395=0,0,H395/G395))</f>
        <v/>
      </c>
      <c r="M395">
        <f>IF($B395="","",IF(K395=0,0,L395/K395))</f>
        <v/>
      </c>
    </row>
    <row r="396">
      <c r="A396">
        <f>IF($B396="","",ROW()-5)</f>
        <v/>
      </c>
      <c r="D396">
        <f>IF($B396="","",IF(C396="","",TEXT(C396,"MMM")))</f>
        <v/>
      </c>
      <c r="I396">
        <f>IF($B396="","",IF(G396=0,0,H396/G396))</f>
        <v/>
      </c>
      <c r="M396">
        <f>IF($B396="","",IF(K396=0,0,L396/K396))</f>
        <v/>
      </c>
    </row>
    <row r="397">
      <c r="A397">
        <f>IF($B397="","",ROW()-5)</f>
        <v/>
      </c>
      <c r="D397">
        <f>IF($B397="","",IF(C397="","",TEXT(C397,"MMM")))</f>
        <v/>
      </c>
      <c r="I397">
        <f>IF($B397="","",IF(G397=0,0,H397/G397))</f>
        <v/>
      </c>
      <c r="M397">
        <f>IF($B397="","",IF(K397=0,0,L397/K397))</f>
        <v/>
      </c>
    </row>
    <row r="398">
      <c r="A398">
        <f>IF($B398="","",ROW()-5)</f>
        <v/>
      </c>
      <c r="D398">
        <f>IF($B398="","",IF(C398="","",TEXT(C398,"MMM")))</f>
        <v/>
      </c>
      <c r="I398">
        <f>IF($B398="","",IF(G398=0,0,H398/G398))</f>
        <v/>
      </c>
      <c r="M398">
        <f>IF($B398="","",IF(K398=0,0,L398/K398))</f>
        <v/>
      </c>
    </row>
    <row r="399">
      <c r="A399">
        <f>IF($B399="","",ROW()-5)</f>
        <v/>
      </c>
      <c r="D399">
        <f>IF($B399="","",IF(C399="","",TEXT(C399,"MMM")))</f>
        <v/>
      </c>
      <c r="I399">
        <f>IF($B399="","",IF(G399=0,0,H399/G399))</f>
        <v/>
      </c>
      <c r="M399">
        <f>IF($B399="","",IF(K399=0,0,L399/K399))</f>
        <v/>
      </c>
    </row>
    <row r="400">
      <c r="A400">
        <f>IF($B400="","",ROW()-5)</f>
        <v/>
      </c>
      <c r="D400">
        <f>IF($B400="","",IF(C400="","",TEXT(C400,"MMM")))</f>
        <v/>
      </c>
      <c r="I400">
        <f>IF($B400="","",IF(G400=0,0,H400/G400))</f>
        <v/>
      </c>
      <c r="M400">
        <f>IF($B400="","",IF(K400=0,0,L400/K400))</f>
        <v/>
      </c>
    </row>
    <row r="401">
      <c r="A401">
        <f>IF($B401="","",ROW()-5)</f>
        <v/>
      </c>
      <c r="D401">
        <f>IF($B401="","",IF(C401="","",TEXT(C401,"MMM")))</f>
        <v/>
      </c>
      <c r="I401">
        <f>IF($B401="","",IF(G401=0,0,H401/G401))</f>
        <v/>
      </c>
      <c r="M401">
        <f>IF($B401="","",IF(K401=0,0,L401/K401))</f>
        <v/>
      </c>
    </row>
    <row r="402">
      <c r="A402">
        <f>IF($B402="","",ROW()-5)</f>
        <v/>
      </c>
      <c r="D402">
        <f>IF($B402="","",IF(C402="","",TEXT(C402,"MMM")))</f>
        <v/>
      </c>
      <c r="I402">
        <f>IF($B402="","",IF(G402=0,0,H402/G402))</f>
        <v/>
      </c>
      <c r="M402">
        <f>IF($B402="","",IF(K402=0,0,L402/K402))</f>
        <v/>
      </c>
    </row>
    <row r="403">
      <c r="A403">
        <f>IF($B403="","",ROW()-5)</f>
        <v/>
      </c>
      <c r="D403">
        <f>IF($B403="","",IF(C403="","",TEXT(C403,"MMM")))</f>
        <v/>
      </c>
      <c r="I403">
        <f>IF($B403="","",IF(G403=0,0,H403/G403))</f>
        <v/>
      </c>
      <c r="M403">
        <f>IF($B403="","",IF(K403=0,0,L403/K403))</f>
        <v/>
      </c>
    </row>
    <row r="404">
      <c r="A404">
        <f>IF($B404="","",ROW()-5)</f>
        <v/>
      </c>
      <c r="D404">
        <f>IF($B404="","",IF(C404="","",TEXT(C404,"MMM")))</f>
        <v/>
      </c>
      <c r="I404">
        <f>IF($B404="","",IF(G404=0,0,H404/G404))</f>
        <v/>
      </c>
      <c r="M404">
        <f>IF($B404="","",IF(K404=0,0,L404/K404))</f>
        <v/>
      </c>
    </row>
    <row r="405">
      <c r="A405">
        <f>IF($B405="","",ROW()-5)</f>
        <v/>
      </c>
      <c r="D405">
        <f>IF($B405="","",IF(C405="","",TEXT(C405,"MMM")))</f>
        <v/>
      </c>
      <c r="I405">
        <f>IF($B405="","",IF(G405=0,0,H405/G405))</f>
        <v/>
      </c>
      <c r="M405">
        <f>IF($B405="","",IF(K405=0,0,L405/K405))</f>
        <v/>
      </c>
    </row>
    <row r="406">
      <c r="A406">
        <f>IF($B406="","",ROW()-5)</f>
        <v/>
      </c>
      <c r="D406">
        <f>IF($B406="","",IF(C406="","",TEXT(C406,"MMM")))</f>
        <v/>
      </c>
      <c r="I406">
        <f>IF($B406="","",IF(G406=0,0,H406/G406))</f>
        <v/>
      </c>
      <c r="M406">
        <f>IF($B406="","",IF(K406=0,0,L406/K406))</f>
        <v/>
      </c>
    </row>
    <row r="407">
      <c r="A407">
        <f>IF($B407="","",ROW()-5)</f>
        <v/>
      </c>
      <c r="D407">
        <f>IF($B407="","",IF(C407="","",TEXT(C407,"MMM")))</f>
        <v/>
      </c>
      <c r="I407">
        <f>IF($B407="","",IF(G407=0,0,H407/G407))</f>
        <v/>
      </c>
      <c r="M407">
        <f>IF($B407="","",IF(K407=0,0,L407/K407))</f>
        <v/>
      </c>
    </row>
    <row r="408">
      <c r="A408">
        <f>IF($B408="","",ROW()-5)</f>
        <v/>
      </c>
      <c r="D408">
        <f>IF($B408="","",IF(C408="","",TEXT(C408,"MMM")))</f>
        <v/>
      </c>
      <c r="I408">
        <f>IF($B408="","",IF(G408=0,0,H408/G408))</f>
        <v/>
      </c>
      <c r="M408">
        <f>IF($B408="","",IF(K408=0,0,L408/K408))</f>
        <v/>
      </c>
    </row>
    <row r="409">
      <c r="A409">
        <f>IF($B409="","",ROW()-5)</f>
        <v/>
      </c>
      <c r="D409">
        <f>IF($B409="","",IF(C409="","",TEXT(C409,"MMM")))</f>
        <v/>
      </c>
      <c r="I409">
        <f>IF($B409="","",IF(G409=0,0,H409/G409))</f>
        <v/>
      </c>
      <c r="M409">
        <f>IF($B409="","",IF(K409=0,0,L409/K409))</f>
        <v/>
      </c>
    </row>
    <row r="410">
      <c r="A410">
        <f>IF($B410="","",ROW()-5)</f>
        <v/>
      </c>
      <c r="D410">
        <f>IF($B410="","",IF(C410="","",TEXT(C410,"MMM")))</f>
        <v/>
      </c>
      <c r="I410">
        <f>IF($B410="","",IF(G410=0,0,H410/G410))</f>
        <v/>
      </c>
      <c r="M410">
        <f>IF($B410="","",IF(K410=0,0,L410/K410))</f>
        <v/>
      </c>
    </row>
    <row r="411">
      <c r="A411">
        <f>IF($B411="","",ROW()-5)</f>
        <v/>
      </c>
      <c r="D411">
        <f>IF($B411="","",IF(C411="","",TEXT(C411,"MMM")))</f>
        <v/>
      </c>
      <c r="I411">
        <f>IF($B411="","",IF(G411=0,0,H411/G411))</f>
        <v/>
      </c>
      <c r="M411">
        <f>IF($B411="","",IF(K411=0,0,L411/K411))</f>
        <v/>
      </c>
    </row>
    <row r="412">
      <c r="A412">
        <f>IF($B412="","",ROW()-5)</f>
        <v/>
      </c>
      <c r="D412">
        <f>IF($B412="","",IF(C412="","",TEXT(C412,"MMM")))</f>
        <v/>
      </c>
      <c r="I412">
        <f>IF($B412="","",IF(G412=0,0,H412/G412))</f>
        <v/>
      </c>
      <c r="M412">
        <f>IF($B412="","",IF(K412=0,0,L412/K412))</f>
        <v/>
      </c>
    </row>
    <row r="413">
      <c r="A413">
        <f>IF($B413="","",ROW()-5)</f>
        <v/>
      </c>
      <c r="D413">
        <f>IF($B413="","",IF(C413="","",TEXT(C413,"MMM")))</f>
        <v/>
      </c>
      <c r="I413">
        <f>IF($B413="","",IF(G413=0,0,H413/G413))</f>
        <v/>
      </c>
      <c r="M413">
        <f>IF($B413="","",IF(K413=0,0,L413/K413))</f>
        <v/>
      </c>
    </row>
    <row r="414">
      <c r="A414">
        <f>IF($B414="","",ROW()-5)</f>
        <v/>
      </c>
      <c r="D414">
        <f>IF($B414="","",IF(C414="","",TEXT(C414,"MMM")))</f>
        <v/>
      </c>
      <c r="I414">
        <f>IF($B414="","",IF(G414=0,0,H414/G414))</f>
        <v/>
      </c>
      <c r="M414">
        <f>IF($B414="","",IF(K414=0,0,L414/K414))</f>
        <v/>
      </c>
    </row>
    <row r="415">
      <c r="A415">
        <f>IF($B415="","",ROW()-5)</f>
        <v/>
      </c>
      <c r="D415">
        <f>IF($B415="","",IF(C415="","",TEXT(C415,"MMM")))</f>
        <v/>
      </c>
      <c r="I415">
        <f>IF($B415="","",IF(G415=0,0,H415/G415))</f>
        <v/>
      </c>
      <c r="M415">
        <f>IF($B415="","",IF(K415=0,0,L415/K415))</f>
        <v/>
      </c>
    </row>
    <row r="416">
      <c r="A416">
        <f>IF($B416="","",ROW()-5)</f>
        <v/>
      </c>
      <c r="D416">
        <f>IF($B416="","",IF(C416="","",TEXT(C416,"MMM")))</f>
        <v/>
      </c>
      <c r="I416">
        <f>IF($B416="","",IF(G416=0,0,H416/G416))</f>
        <v/>
      </c>
      <c r="M416">
        <f>IF($B416="","",IF(K416=0,0,L416/K416))</f>
        <v/>
      </c>
    </row>
    <row r="417">
      <c r="A417">
        <f>IF($B417="","",ROW()-5)</f>
        <v/>
      </c>
      <c r="D417">
        <f>IF($B417="","",IF(C417="","",TEXT(C417,"MMM")))</f>
        <v/>
      </c>
      <c r="I417">
        <f>IF($B417="","",IF(G417=0,0,H417/G417))</f>
        <v/>
      </c>
      <c r="M417">
        <f>IF($B417="","",IF(K417=0,0,L417/K417))</f>
        <v/>
      </c>
    </row>
    <row r="418">
      <c r="A418">
        <f>IF($B418="","",ROW()-5)</f>
        <v/>
      </c>
      <c r="D418">
        <f>IF($B418="","",IF(C418="","",TEXT(C418,"MMM")))</f>
        <v/>
      </c>
      <c r="I418">
        <f>IF($B418="","",IF(G418=0,0,H418/G418))</f>
        <v/>
      </c>
      <c r="M418">
        <f>IF($B418="","",IF(K418=0,0,L418/K418))</f>
        <v/>
      </c>
    </row>
    <row r="419">
      <c r="A419">
        <f>IF($B419="","",ROW()-5)</f>
        <v/>
      </c>
      <c r="D419">
        <f>IF($B419="","",IF(C419="","",TEXT(C419,"MMM")))</f>
        <v/>
      </c>
      <c r="I419">
        <f>IF($B419="","",IF(G419=0,0,H419/G419))</f>
        <v/>
      </c>
      <c r="M419">
        <f>IF($B419="","",IF(K419=0,0,L419/K419))</f>
        <v/>
      </c>
    </row>
    <row r="420">
      <c r="A420">
        <f>IF($B420="","",ROW()-5)</f>
        <v/>
      </c>
      <c r="D420">
        <f>IF($B420="","",IF(C420="","",TEXT(C420,"MMM")))</f>
        <v/>
      </c>
      <c r="I420">
        <f>IF($B420="","",IF(G420=0,0,H420/G420))</f>
        <v/>
      </c>
      <c r="M420">
        <f>IF($B420="","",IF(K420=0,0,L420/K420))</f>
        <v/>
      </c>
    </row>
    <row r="421">
      <c r="A421">
        <f>IF($B421="","",ROW()-5)</f>
        <v/>
      </c>
      <c r="D421">
        <f>IF($B421="","",IF(C421="","",TEXT(C421,"MMM")))</f>
        <v/>
      </c>
      <c r="I421">
        <f>IF($B421="","",IF(G421=0,0,H421/G421))</f>
        <v/>
      </c>
      <c r="M421">
        <f>IF($B421="","",IF(K421=0,0,L421/K421))</f>
        <v/>
      </c>
    </row>
    <row r="422">
      <c r="A422">
        <f>IF($B422="","",ROW()-5)</f>
        <v/>
      </c>
      <c r="D422">
        <f>IF($B422="","",IF(C422="","",TEXT(C422,"MMM")))</f>
        <v/>
      </c>
      <c r="I422">
        <f>IF($B422="","",IF(G422=0,0,H422/G422))</f>
        <v/>
      </c>
      <c r="M422">
        <f>IF($B422="","",IF(K422=0,0,L422/K422))</f>
        <v/>
      </c>
    </row>
    <row r="423">
      <c r="A423">
        <f>IF($B423="","",ROW()-5)</f>
        <v/>
      </c>
      <c r="D423">
        <f>IF($B423="","",IF(C423="","",TEXT(C423,"MMM")))</f>
        <v/>
      </c>
      <c r="I423">
        <f>IF($B423="","",IF(G423=0,0,H423/G423))</f>
        <v/>
      </c>
      <c r="M423">
        <f>IF($B423="","",IF(K423=0,0,L423/K423))</f>
        <v/>
      </c>
    </row>
    <row r="424">
      <c r="A424">
        <f>IF($B424="","",ROW()-5)</f>
        <v/>
      </c>
      <c r="D424">
        <f>IF($B424="","",IF(C424="","",TEXT(C424,"MMM")))</f>
        <v/>
      </c>
      <c r="I424">
        <f>IF($B424="","",IF(G424=0,0,H424/G424))</f>
        <v/>
      </c>
      <c r="M424">
        <f>IF($B424="","",IF(K424=0,0,L424/K424))</f>
        <v/>
      </c>
    </row>
    <row r="425">
      <c r="A425">
        <f>IF($B425="","",ROW()-5)</f>
        <v/>
      </c>
      <c r="D425">
        <f>IF($B425="","",IF(C425="","",TEXT(C425,"MMM")))</f>
        <v/>
      </c>
      <c r="I425">
        <f>IF($B425="","",IF(G425=0,0,H425/G425))</f>
        <v/>
      </c>
      <c r="M425">
        <f>IF($B425="","",IF(K425=0,0,L425/K425))</f>
        <v/>
      </c>
    </row>
    <row r="426">
      <c r="A426">
        <f>IF($B426="","",ROW()-5)</f>
        <v/>
      </c>
      <c r="D426">
        <f>IF($B426="","",IF(C426="","",TEXT(C426,"MMM")))</f>
        <v/>
      </c>
      <c r="I426">
        <f>IF($B426="","",IF(G426=0,0,H426/G426))</f>
        <v/>
      </c>
      <c r="M426">
        <f>IF($B426="","",IF(K426=0,0,L426/K426))</f>
        <v/>
      </c>
    </row>
    <row r="427">
      <c r="A427">
        <f>IF($B427="","",ROW()-5)</f>
        <v/>
      </c>
      <c r="D427">
        <f>IF($B427="","",IF(C427="","",TEXT(C427,"MMM")))</f>
        <v/>
      </c>
      <c r="I427">
        <f>IF($B427="","",IF(G427=0,0,H427/G427))</f>
        <v/>
      </c>
      <c r="M427">
        <f>IF($B427="","",IF(K427=0,0,L427/K427))</f>
        <v/>
      </c>
    </row>
    <row r="428">
      <c r="A428">
        <f>IF($B428="","",ROW()-5)</f>
        <v/>
      </c>
      <c r="D428">
        <f>IF($B428="","",IF(C428="","",TEXT(C428,"MMM")))</f>
        <v/>
      </c>
      <c r="I428">
        <f>IF($B428="","",IF(G428=0,0,H428/G428))</f>
        <v/>
      </c>
      <c r="M428">
        <f>IF($B428="","",IF(K428=0,0,L428/K428))</f>
        <v/>
      </c>
    </row>
    <row r="429">
      <c r="A429">
        <f>IF($B429="","",ROW()-5)</f>
        <v/>
      </c>
      <c r="D429">
        <f>IF($B429="","",IF(C429="","",TEXT(C429,"MMM")))</f>
        <v/>
      </c>
      <c r="I429">
        <f>IF($B429="","",IF(G429=0,0,H429/G429))</f>
        <v/>
      </c>
      <c r="M429">
        <f>IF($B429="","",IF(K429=0,0,L429/K429))</f>
        <v/>
      </c>
    </row>
    <row r="430">
      <c r="A430">
        <f>IF($B430="","",ROW()-5)</f>
        <v/>
      </c>
      <c r="D430">
        <f>IF($B430="","",IF(C430="","",TEXT(C430,"MMM")))</f>
        <v/>
      </c>
      <c r="I430">
        <f>IF($B430="","",IF(G430=0,0,H430/G430))</f>
        <v/>
      </c>
      <c r="M430">
        <f>IF($B430="","",IF(K430=0,0,L430/K430))</f>
        <v/>
      </c>
    </row>
    <row r="431">
      <c r="A431">
        <f>IF($B431="","",ROW()-5)</f>
        <v/>
      </c>
      <c r="D431">
        <f>IF($B431="","",IF(C431="","",TEXT(C431,"MMM")))</f>
        <v/>
      </c>
      <c r="I431">
        <f>IF($B431="","",IF(G431=0,0,H431/G431))</f>
        <v/>
      </c>
      <c r="M431">
        <f>IF($B431="","",IF(K431=0,0,L431/K431))</f>
        <v/>
      </c>
    </row>
    <row r="432">
      <c r="A432">
        <f>IF($B432="","",ROW()-5)</f>
        <v/>
      </c>
      <c r="D432">
        <f>IF($B432="","",IF(C432="","",TEXT(C432,"MMM")))</f>
        <v/>
      </c>
      <c r="I432">
        <f>IF($B432="","",IF(G432=0,0,H432/G432))</f>
        <v/>
      </c>
      <c r="M432">
        <f>IF($B432="","",IF(K432=0,0,L432/K432))</f>
        <v/>
      </c>
    </row>
    <row r="433">
      <c r="A433">
        <f>IF($B433="","",ROW()-5)</f>
        <v/>
      </c>
      <c r="D433">
        <f>IF($B433="","",IF(C433="","",TEXT(C433,"MMM")))</f>
        <v/>
      </c>
      <c r="I433">
        <f>IF($B433="","",IF(G433=0,0,H433/G433))</f>
        <v/>
      </c>
      <c r="M433">
        <f>IF($B433="","",IF(K433=0,0,L433/K433))</f>
        <v/>
      </c>
    </row>
    <row r="434">
      <c r="A434">
        <f>IF($B434="","",ROW()-5)</f>
        <v/>
      </c>
      <c r="D434">
        <f>IF($B434="","",IF(C434="","",TEXT(C434,"MMM")))</f>
        <v/>
      </c>
      <c r="I434">
        <f>IF($B434="","",IF(G434=0,0,H434/G434))</f>
        <v/>
      </c>
      <c r="M434">
        <f>IF($B434="","",IF(K434=0,0,L434/K434))</f>
        <v/>
      </c>
    </row>
    <row r="435">
      <c r="A435">
        <f>IF($B435="","",ROW()-5)</f>
        <v/>
      </c>
      <c r="D435">
        <f>IF($B435="","",IF(C435="","",TEXT(C435,"MMM")))</f>
        <v/>
      </c>
      <c r="I435">
        <f>IF($B435="","",IF(G435=0,0,H435/G435))</f>
        <v/>
      </c>
      <c r="M435">
        <f>IF($B435="","",IF(K435=0,0,L435/K435))</f>
        <v/>
      </c>
    </row>
    <row r="436">
      <c r="A436">
        <f>IF($B436="","",ROW()-5)</f>
        <v/>
      </c>
      <c r="D436">
        <f>IF($B436="","",IF(C436="","",TEXT(C436,"MMM")))</f>
        <v/>
      </c>
      <c r="I436">
        <f>IF($B436="","",IF(G436=0,0,H436/G436))</f>
        <v/>
      </c>
      <c r="M436">
        <f>IF($B436="","",IF(K436=0,0,L436/K436))</f>
        <v/>
      </c>
    </row>
    <row r="437">
      <c r="A437">
        <f>IF($B437="","",ROW()-5)</f>
        <v/>
      </c>
      <c r="D437">
        <f>IF($B437="","",IF(C437="","",TEXT(C437,"MMM")))</f>
        <v/>
      </c>
      <c r="I437">
        <f>IF($B437="","",IF(G437=0,0,H437/G437))</f>
        <v/>
      </c>
      <c r="M437">
        <f>IF($B437="","",IF(K437=0,0,L437/K437))</f>
        <v/>
      </c>
    </row>
    <row r="438">
      <c r="A438">
        <f>IF($B438="","",ROW()-5)</f>
        <v/>
      </c>
      <c r="D438">
        <f>IF($B438="","",IF(C438="","",TEXT(C438,"MMM")))</f>
        <v/>
      </c>
      <c r="I438">
        <f>IF($B438="","",IF(G438=0,0,H438/G438))</f>
        <v/>
      </c>
      <c r="M438">
        <f>IF($B438="","",IF(K438=0,0,L438/K438))</f>
        <v/>
      </c>
    </row>
    <row r="439">
      <c r="A439">
        <f>IF($B439="","",ROW()-5)</f>
        <v/>
      </c>
      <c r="D439">
        <f>IF($B439="","",IF(C439="","",TEXT(C439,"MMM")))</f>
        <v/>
      </c>
      <c r="I439">
        <f>IF($B439="","",IF(G439=0,0,H439/G439))</f>
        <v/>
      </c>
      <c r="M439">
        <f>IF($B439="","",IF(K439=0,0,L439/K439))</f>
        <v/>
      </c>
    </row>
    <row r="440">
      <c r="A440">
        <f>IF($B440="","",ROW()-5)</f>
        <v/>
      </c>
      <c r="D440">
        <f>IF($B440="","",IF(C440="","",TEXT(C440,"MMM")))</f>
        <v/>
      </c>
      <c r="I440">
        <f>IF($B440="","",IF(G440=0,0,H440/G440))</f>
        <v/>
      </c>
      <c r="M440">
        <f>IF($B440="","",IF(K440=0,0,L440/K440))</f>
        <v/>
      </c>
    </row>
    <row r="441">
      <c r="A441">
        <f>IF($B441="","",ROW()-5)</f>
        <v/>
      </c>
      <c r="D441">
        <f>IF($B441="","",IF(C441="","",TEXT(C441,"MMM")))</f>
        <v/>
      </c>
      <c r="I441">
        <f>IF($B441="","",IF(G441=0,0,H441/G441))</f>
        <v/>
      </c>
      <c r="M441">
        <f>IF($B441="","",IF(K441=0,0,L441/K441))</f>
        <v/>
      </c>
    </row>
    <row r="442">
      <c r="A442">
        <f>IF($B442="","",ROW()-5)</f>
        <v/>
      </c>
      <c r="D442">
        <f>IF($B442="","",IF(C442="","",TEXT(C442,"MMM")))</f>
        <v/>
      </c>
      <c r="I442">
        <f>IF($B442="","",IF(G442=0,0,H442/G442))</f>
        <v/>
      </c>
      <c r="M442">
        <f>IF($B442="","",IF(K442=0,0,L442/K442))</f>
        <v/>
      </c>
    </row>
    <row r="443">
      <c r="A443">
        <f>IF($B443="","",ROW()-5)</f>
        <v/>
      </c>
      <c r="D443">
        <f>IF($B443="","",IF(C443="","",TEXT(C443,"MMM")))</f>
        <v/>
      </c>
      <c r="I443">
        <f>IF($B443="","",IF(G443=0,0,H443/G443))</f>
        <v/>
      </c>
      <c r="M443">
        <f>IF($B443="","",IF(K443=0,0,L443/K443))</f>
        <v/>
      </c>
    </row>
    <row r="444">
      <c r="A444">
        <f>IF($B444="","",ROW()-5)</f>
        <v/>
      </c>
      <c r="D444">
        <f>IF($B444="","",IF(C444="","",TEXT(C444,"MMM")))</f>
        <v/>
      </c>
      <c r="I444">
        <f>IF($B444="","",IF(G444=0,0,H444/G444))</f>
        <v/>
      </c>
      <c r="M444">
        <f>IF($B444="","",IF(K444=0,0,L444/K444))</f>
        <v/>
      </c>
    </row>
    <row r="445">
      <c r="A445">
        <f>IF($B445="","",ROW()-5)</f>
        <v/>
      </c>
      <c r="D445">
        <f>IF($B445="","",IF(C445="","",TEXT(C445,"MMM")))</f>
        <v/>
      </c>
      <c r="I445">
        <f>IF($B445="","",IF(G445=0,0,H445/G445))</f>
        <v/>
      </c>
      <c r="M445">
        <f>IF($B445="","",IF(K445=0,0,L445/K445))</f>
        <v/>
      </c>
    </row>
    <row r="446">
      <c r="A446">
        <f>IF($B446="","",ROW()-5)</f>
        <v/>
      </c>
      <c r="D446">
        <f>IF($B446="","",IF(C446="","",TEXT(C446,"MMM")))</f>
        <v/>
      </c>
      <c r="I446">
        <f>IF($B446="","",IF(G446=0,0,H446/G446))</f>
        <v/>
      </c>
      <c r="M446">
        <f>IF($B446="","",IF(K446=0,0,L446/K446))</f>
        <v/>
      </c>
    </row>
    <row r="447">
      <c r="A447">
        <f>IF($B447="","",ROW()-5)</f>
        <v/>
      </c>
      <c r="D447">
        <f>IF($B447="","",IF(C447="","",TEXT(C447,"MMM")))</f>
        <v/>
      </c>
      <c r="I447">
        <f>IF($B447="","",IF(G447=0,0,H447/G447))</f>
        <v/>
      </c>
      <c r="M447">
        <f>IF($B447="","",IF(K447=0,0,L447/K447))</f>
        <v/>
      </c>
    </row>
    <row r="448">
      <c r="A448">
        <f>IF($B448="","",ROW()-5)</f>
        <v/>
      </c>
      <c r="D448">
        <f>IF($B448="","",IF(C448="","",TEXT(C448,"MMM")))</f>
        <v/>
      </c>
      <c r="I448">
        <f>IF($B448="","",IF(G448=0,0,H448/G448))</f>
        <v/>
      </c>
      <c r="M448">
        <f>IF($B448="","",IF(K448=0,0,L448/K448))</f>
        <v/>
      </c>
    </row>
    <row r="449">
      <c r="A449">
        <f>IF($B449="","",ROW()-5)</f>
        <v/>
      </c>
      <c r="D449">
        <f>IF($B449="","",IF(C449="","",TEXT(C449,"MMM")))</f>
        <v/>
      </c>
      <c r="I449">
        <f>IF($B449="","",IF(G449=0,0,H449/G449))</f>
        <v/>
      </c>
      <c r="M449">
        <f>IF($B449="","",IF(K449=0,0,L449/K449))</f>
        <v/>
      </c>
    </row>
    <row r="450">
      <c r="A450">
        <f>IF($B450="","",ROW()-5)</f>
        <v/>
      </c>
      <c r="D450">
        <f>IF($B450="","",IF(C450="","",TEXT(C450,"MMM")))</f>
        <v/>
      </c>
      <c r="I450">
        <f>IF($B450="","",IF(G450=0,0,H450/G450))</f>
        <v/>
      </c>
      <c r="M450">
        <f>IF($B450="","",IF(K450=0,0,L450/K450))</f>
        <v/>
      </c>
    </row>
    <row r="451">
      <c r="A451">
        <f>IF($B451="","",ROW()-5)</f>
        <v/>
      </c>
      <c r="D451">
        <f>IF($B451="","",IF(C451="","",TEXT(C451,"MMM")))</f>
        <v/>
      </c>
      <c r="I451">
        <f>IF($B451="","",IF(G451=0,0,H451/G451))</f>
        <v/>
      </c>
      <c r="M451">
        <f>IF($B451="","",IF(K451=0,0,L451/K451))</f>
        <v/>
      </c>
    </row>
    <row r="452">
      <c r="A452">
        <f>IF($B452="","",ROW()-5)</f>
        <v/>
      </c>
      <c r="D452">
        <f>IF($B452="","",IF(C452="","",TEXT(C452,"MMM")))</f>
        <v/>
      </c>
      <c r="I452">
        <f>IF($B452="","",IF(G452=0,0,H452/G452))</f>
        <v/>
      </c>
      <c r="M452">
        <f>IF($B452="","",IF(K452=0,0,L452/K452))</f>
        <v/>
      </c>
    </row>
    <row r="453">
      <c r="A453">
        <f>IF($B453="","",ROW()-5)</f>
        <v/>
      </c>
      <c r="D453">
        <f>IF($B453="","",IF(C453="","",TEXT(C453,"MMM")))</f>
        <v/>
      </c>
      <c r="I453">
        <f>IF($B453="","",IF(G453=0,0,H453/G453))</f>
        <v/>
      </c>
      <c r="M453">
        <f>IF($B453="","",IF(K453=0,0,L453/K453))</f>
        <v/>
      </c>
    </row>
    <row r="454">
      <c r="A454">
        <f>IF($B454="","",ROW()-5)</f>
        <v/>
      </c>
      <c r="D454">
        <f>IF($B454="","",IF(C454="","",TEXT(C454,"MMM")))</f>
        <v/>
      </c>
      <c r="I454">
        <f>IF($B454="","",IF(G454=0,0,H454/G454))</f>
        <v/>
      </c>
      <c r="M454">
        <f>IF($B454="","",IF(K454=0,0,L454/K454))</f>
        <v/>
      </c>
    </row>
    <row r="455">
      <c r="A455">
        <f>IF($B455="","",ROW()-5)</f>
        <v/>
      </c>
      <c r="D455">
        <f>IF($B455="","",IF(C455="","",TEXT(C455,"MMM")))</f>
        <v/>
      </c>
      <c r="I455">
        <f>IF($B455="","",IF(G455=0,0,H455/G455))</f>
        <v/>
      </c>
      <c r="M455">
        <f>IF($B455="","",IF(K455=0,0,L455/K455))</f>
        <v/>
      </c>
    </row>
    <row r="456">
      <c r="A456">
        <f>IF($B456="","",ROW()-5)</f>
        <v/>
      </c>
      <c r="D456">
        <f>IF($B456="","",IF(C456="","",TEXT(C456,"MMM")))</f>
        <v/>
      </c>
      <c r="I456">
        <f>IF($B456="","",IF(G456=0,0,H456/G456))</f>
        <v/>
      </c>
      <c r="M456">
        <f>IF($B456="","",IF(K456=0,0,L456/K456))</f>
        <v/>
      </c>
    </row>
    <row r="457">
      <c r="A457">
        <f>IF($B457="","",ROW()-5)</f>
        <v/>
      </c>
      <c r="D457">
        <f>IF($B457="","",IF(C457="","",TEXT(C457,"MMM")))</f>
        <v/>
      </c>
      <c r="I457">
        <f>IF($B457="","",IF(G457=0,0,H457/G457))</f>
        <v/>
      </c>
      <c r="M457">
        <f>IF($B457="","",IF(K457=0,0,L457/K457))</f>
        <v/>
      </c>
    </row>
    <row r="458">
      <c r="A458">
        <f>IF($B458="","",ROW()-5)</f>
        <v/>
      </c>
      <c r="D458">
        <f>IF($B458="","",IF(C458="","",TEXT(C458,"MMM")))</f>
        <v/>
      </c>
      <c r="I458">
        <f>IF($B458="","",IF(G458=0,0,H458/G458))</f>
        <v/>
      </c>
      <c r="M458">
        <f>IF($B458="","",IF(K458=0,0,L458/K458))</f>
        <v/>
      </c>
    </row>
    <row r="459">
      <c r="A459">
        <f>IF($B459="","",ROW()-5)</f>
        <v/>
      </c>
      <c r="D459">
        <f>IF($B459="","",IF(C459="","",TEXT(C459,"MMM")))</f>
        <v/>
      </c>
      <c r="I459">
        <f>IF($B459="","",IF(G459=0,0,H459/G459))</f>
        <v/>
      </c>
      <c r="M459">
        <f>IF($B459="","",IF(K459=0,0,L459/K459))</f>
        <v/>
      </c>
    </row>
    <row r="460">
      <c r="A460">
        <f>IF($B460="","",ROW()-5)</f>
        <v/>
      </c>
      <c r="D460">
        <f>IF($B460="","",IF(C460="","",TEXT(C460,"MMM")))</f>
        <v/>
      </c>
      <c r="I460">
        <f>IF($B460="","",IF(G460=0,0,H460/G460))</f>
        <v/>
      </c>
      <c r="M460">
        <f>IF($B460="","",IF(K460=0,0,L460/K460))</f>
        <v/>
      </c>
    </row>
    <row r="461">
      <c r="A461">
        <f>IF($B461="","",ROW()-5)</f>
        <v/>
      </c>
      <c r="D461">
        <f>IF($B461="","",IF(C461="","",TEXT(C461,"MMM")))</f>
        <v/>
      </c>
      <c r="I461">
        <f>IF($B461="","",IF(G461=0,0,H461/G461))</f>
        <v/>
      </c>
      <c r="M461">
        <f>IF($B461="","",IF(K461=0,0,L461/K461))</f>
        <v/>
      </c>
    </row>
    <row r="462">
      <c r="A462">
        <f>IF($B462="","",ROW()-5)</f>
        <v/>
      </c>
      <c r="D462">
        <f>IF($B462="","",IF(C462="","",TEXT(C462,"MMM")))</f>
        <v/>
      </c>
      <c r="I462">
        <f>IF($B462="","",IF(G462=0,0,H462/G462))</f>
        <v/>
      </c>
      <c r="M462">
        <f>IF($B462="","",IF(K462=0,0,L462/K462))</f>
        <v/>
      </c>
    </row>
    <row r="463">
      <c r="A463">
        <f>IF($B463="","",ROW()-5)</f>
        <v/>
      </c>
      <c r="D463">
        <f>IF($B463="","",IF(C463="","",TEXT(C463,"MMM")))</f>
        <v/>
      </c>
      <c r="I463">
        <f>IF($B463="","",IF(G463=0,0,H463/G463))</f>
        <v/>
      </c>
      <c r="M463">
        <f>IF($B463="","",IF(K463=0,0,L463/K463))</f>
        <v/>
      </c>
    </row>
    <row r="464">
      <c r="A464">
        <f>IF($B464="","",ROW()-5)</f>
        <v/>
      </c>
      <c r="D464">
        <f>IF($B464="","",IF(C464="","",TEXT(C464,"MMM")))</f>
        <v/>
      </c>
      <c r="I464">
        <f>IF($B464="","",IF(G464=0,0,H464/G464))</f>
        <v/>
      </c>
      <c r="M464">
        <f>IF($B464="","",IF(K464=0,0,L464/K464))</f>
        <v/>
      </c>
    </row>
    <row r="465">
      <c r="A465">
        <f>IF($B465="","",ROW()-5)</f>
        <v/>
      </c>
      <c r="D465">
        <f>IF($B465="","",IF(C465="","",TEXT(C465,"MMM")))</f>
        <v/>
      </c>
      <c r="I465">
        <f>IF($B465="","",IF(G465=0,0,H465/G465))</f>
        <v/>
      </c>
      <c r="M465">
        <f>IF($B465="","",IF(K465=0,0,L465/K465))</f>
        <v/>
      </c>
    </row>
    <row r="466">
      <c r="A466">
        <f>IF($B466="","",ROW()-5)</f>
        <v/>
      </c>
      <c r="D466">
        <f>IF($B466="","",IF(C466="","",TEXT(C466,"MMM")))</f>
        <v/>
      </c>
      <c r="I466">
        <f>IF($B466="","",IF(G466=0,0,H466/G466))</f>
        <v/>
      </c>
      <c r="M466">
        <f>IF($B466="","",IF(K466=0,0,L466/K466))</f>
        <v/>
      </c>
    </row>
    <row r="467">
      <c r="A467">
        <f>IF($B467="","",ROW()-5)</f>
        <v/>
      </c>
      <c r="D467">
        <f>IF($B467="","",IF(C467="","",TEXT(C467,"MMM")))</f>
        <v/>
      </c>
      <c r="I467">
        <f>IF($B467="","",IF(G467=0,0,H467/G467))</f>
        <v/>
      </c>
      <c r="M467">
        <f>IF($B467="","",IF(K467=0,0,L467/K467))</f>
        <v/>
      </c>
    </row>
    <row r="468">
      <c r="A468">
        <f>IF($B468="","",ROW()-5)</f>
        <v/>
      </c>
      <c r="D468">
        <f>IF($B468="","",IF(C468="","",TEXT(C468,"MMM")))</f>
        <v/>
      </c>
      <c r="I468">
        <f>IF($B468="","",IF(G468=0,0,H468/G468))</f>
        <v/>
      </c>
      <c r="M468">
        <f>IF($B468="","",IF(K468=0,0,L468/K468))</f>
        <v/>
      </c>
    </row>
    <row r="469">
      <c r="A469">
        <f>IF($B469="","",ROW()-5)</f>
        <v/>
      </c>
      <c r="D469">
        <f>IF($B469="","",IF(C469="","",TEXT(C469,"MMM")))</f>
        <v/>
      </c>
      <c r="I469">
        <f>IF($B469="","",IF(G469=0,0,H469/G469))</f>
        <v/>
      </c>
      <c r="M469">
        <f>IF($B469="","",IF(K469=0,0,L469/K469))</f>
        <v/>
      </c>
    </row>
    <row r="470">
      <c r="A470">
        <f>IF($B470="","",ROW()-5)</f>
        <v/>
      </c>
      <c r="D470">
        <f>IF($B470="","",IF(C470="","",TEXT(C470,"MMM")))</f>
        <v/>
      </c>
      <c r="I470">
        <f>IF($B470="","",IF(G470=0,0,H470/G470))</f>
        <v/>
      </c>
      <c r="M470">
        <f>IF($B470="","",IF(K470=0,0,L470/K470))</f>
        <v/>
      </c>
    </row>
    <row r="471">
      <c r="A471">
        <f>IF($B471="","",ROW()-5)</f>
        <v/>
      </c>
      <c r="D471">
        <f>IF($B471="","",IF(C471="","",TEXT(C471,"MMM")))</f>
        <v/>
      </c>
      <c r="I471">
        <f>IF($B471="","",IF(G471=0,0,H471/G471))</f>
        <v/>
      </c>
      <c r="M471">
        <f>IF($B471="","",IF(K471=0,0,L471/K471))</f>
        <v/>
      </c>
    </row>
    <row r="472">
      <c r="A472">
        <f>IF($B472="","",ROW()-5)</f>
        <v/>
      </c>
      <c r="D472">
        <f>IF($B472="","",IF(C472="","",TEXT(C472,"MMM")))</f>
        <v/>
      </c>
      <c r="I472">
        <f>IF($B472="","",IF(G472=0,0,H472/G472))</f>
        <v/>
      </c>
      <c r="M472">
        <f>IF($B472="","",IF(K472=0,0,L472/K472))</f>
        <v/>
      </c>
    </row>
    <row r="473">
      <c r="A473">
        <f>IF($B473="","",ROW()-5)</f>
        <v/>
      </c>
      <c r="D473">
        <f>IF($B473="","",IF(C473="","",TEXT(C473,"MMM")))</f>
        <v/>
      </c>
      <c r="I473">
        <f>IF($B473="","",IF(G473=0,0,H473/G473))</f>
        <v/>
      </c>
      <c r="M473">
        <f>IF($B473="","",IF(K473=0,0,L473/K473))</f>
        <v/>
      </c>
    </row>
    <row r="474">
      <c r="A474">
        <f>IF($B474="","",ROW()-5)</f>
        <v/>
      </c>
      <c r="D474">
        <f>IF($B474="","",IF(C474="","",TEXT(C474,"MMM")))</f>
        <v/>
      </c>
      <c r="I474">
        <f>IF($B474="","",IF(G474=0,0,H474/G474))</f>
        <v/>
      </c>
      <c r="M474">
        <f>IF($B474="","",IF(K474=0,0,L474/K474))</f>
        <v/>
      </c>
    </row>
    <row r="475">
      <c r="A475">
        <f>IF($B475="","",ROW()-5)</f>
        <v/>
      </c>
      <c r="D475">
        <f>IF($B475="","",IF(C475="","",TEXT(C475,"MMM")))</f>
        <v/>
      </c>
      <c r="I475">
        <f>IF($B475="","",IF(G475=0,0,H475/G475))</f>
        <v/>
      </c>
      <c r="M475">
        <f>IF($B475="","",IF(K475=0,0,L475/K475))</f>
        <v/>
      </c>
    </row>
    <row r="476">
      <c r="A476">
        <f>IF($B476="","",ROW()-5)</f>
        <v/>
      </c>
      <c r="D476">
        <f>IF($B476="","",IF(C476="","",TEXT(C476,"MMM")))</f>
        <v/>
      </c>
      <c r="I476">
        <f>IF($B476="","",IF(G476=0,0,H476/G476))</f>
        <v/>
      </c>
      <c r="M476">
        <f>IF($B476="","",IF(K476=0,0,L476/K476))</f>
        <v/>
      </c>
    </row>
    <row r="477">
      <c r="A477">
        <f>IF($B477="","",ROW()-5)</f>
        <v/>
      </c>
      <c r="D477">
        <f>IF($B477="","",IF(C477="","",TEXT(C477,"MMM")))</f>
        <v/>
      </c>
      <c r="I477">
        <f>IF($B477="","",IF(G477=0,0,H477/G477))</f>
        <v/>
      </c>
      <c r="M477">
        <f>IF($B477="","",IF(K477=0,0,L477/K477))</f>
        <v/>
      </c>
    </row>
    <row r="478">
      <c r="A478">
        <f>IF($B478="","",ROW()-5)</f>
        <v/>
      </c>
      <c r="D478">
        <f>IF($B478="","",IF(C478="","",TEXT(C478,"MMM")))</f>
        <v/>
      </c>
      <c r="I478">
        <f>IF($B478="","",IF(G478=0,0,H478/G478))</f>
        <v/>
      </c>
      <c r="M478">
        <f>IF($B478="","",IF(K478=0,0,L478/K478))</f>
        <v/>
      </c>
    </row>
    <row r="479">
      <c r="A479">
        <f>IF($B479="","",ROW()-5)</f>
        <v/>
      </c>
      <c r="D479">
        <f>IF($B479="","",IF(C479="","",TEXT(C479,"MMM")))</f>
        <v/>
      </c>
      <c r="I479">
        <f>IF($B479="","",IF(G479=0,0,H479/G479))</f>
        <v/>
      </c>
      <c r="M479">
        <f>IF($B479="","",IF(K479=0,0,L479/K479))</f>
        <v/>
      </c>
    </row>
    <row r="480">
      <c r="A480">
        <f>IF($B480="","",ROW()-5)</f>
        <v/>
      </c>
      <c r="D480">
        <f>IF($B480="","",IF(C480="","",TEXT(C480,"MMM")))</f>
        <v/>
      </c>
      <c r="I480">
        <f>IF($B480="","",IF(G480=0,0,H480/G480))</f>
        <v/>
      </c>
      <c r="M480">
        <f>IF($B480="","",IF(K480=0,0,L480/K480))</f>
        <v/>
      </c>
    </row>
    <row r="481">
      <c r="A481">
        <f>IF($B481="","",ROW()-5)</f>
        <v/>
      </c>
      <c r="D481">
        <f>IF($B481="","",IF(C481="","",TEXT(C481,"MMM")))</f>
        <v/>
      </c>
      <c r="I481">
        <f>IF($B481="","",IF(G481=0,0,H481/G481))</f>
        <v/>
      </c>
      <c r="M481">
        <f>IF($B481="","",IF(K481=0,0,L481/K481))</f>
        <v/>
      </c>
    </row>
    <row r="482">
      <c r="A482">
        <f>IF($B482="","",ROW()-5)</f>
        <v/>
      </c>
      <c r="D482">
        <f>IF($B482="","",IF(C482="","",TEXT(C482,"MMM")))</f>
        <v/>
      </c>
      <c r="I482">
        <f>IF($B482="","",IF(G482=0,0,H482/G482))</f>
        <v/>
      </c>
      <c r="M482">
        <f>IF($B482="","",IF(K482=0,0,L482/K482))</f>
        <v/>
      </c>
    </row>
    <row r="483">
      <c r="A483">
        <f>IF($B483="","",ROW()-5)</f>
        <v/>
      </c>
      <c r="D483">
        <f>IF($B483="","",IF(C483="","",TEXT(C483,"MMM")))</f>
        <v/>
      </c>
      <c r="I483">
        <f>IF($B483="","",IF(G483=0,0,H483/G483))</f>
        <v/>
      </c>
      <c r="M483">
        <f>IF($B483="","",IF(K483=0,0,L483/K483))</f>
        <v/>
      </c>
    </row>
    <row r="484">
      <c r="A484">
        <f>IF($B484="","",ROW()-5)</f>
        <v/>
      </c>
      <c r="D484">
        <f>IF($B484="","",IF(C484="","",TEXT(C484,"MMM")))</f>
        <v/>
      </c>
      <c r="I484">
        <f>IF($B484="","",IF(G484=0,0,H484/G484))</f>
        <v/>
      </c>
      <c r="M484">
        <f>IF($B484="","",IF(K484=0,0,L484/K484))</f>
        <v/>
      </c>
    </row>
    <row r="485">
      <c r="A485">
        <f>IF($B485="","",ROW()-5)</f>
        <v/>
      </c>
      <c r="D485">
        <f>IF($B485="","",IF(C485="","",TEXT(C485,"MMM")))</f>
        <v/>
      </c>
      <c r="I485">
        <f>IF($B485="","",IF(G485=0,0,H485/G485))</f>
        <v/>
      </c>
      <c r="M485">
        <f>IF($B485="","",IF(K485=0,0,L485/K485))</f>
        <v/>
      </c>
    </row>
    <row r="486">
      <c r="A486">
        <f>IF($B486="","",ROW()-5)</f>
        <v/>
      </c>
      <c r="D486">
        <f>IF($B486="","",IF(C486="","",TEXT(C486,"MMM")))</f>
        <v/>
      </c>
      <c r="I486">
        <f>IF($B486="","",IF(G486=0,0,H486/G486))</f>
        <v/>
      </c>
      <c r="M486">
        <f>IF($B486="","",IF(K486=0,0,L486/K486))</f>
        <v/>
      </c>
    </row>
    <row r="487">
      <c r="A487">
        <f>IF($B487="","",ROW()-5)</f>
        <v/>
      </c>
      <c r="D487">
        <f>IF($B487="","",IF(C487="","",TEXT(C487,"MMM")))</f>
        <v/>
      </c>
      <c r="I487">
        <f>IF($B487="","",IF(G487=0,0,H487/G487))</f>
        <v/>
      </c>
      <c r="M487">
        <f>IF($B487="","",IF(K487=0,0,L487/K487))</f>
        <v/>
      </c>
    </row>
    <row r="488">
      <c r="A488">
        <f>IF($B488="","",ROW()-5)</f>
        <v/>
      </c>
      <c r="D488">
        <f>IF($B488="","",IF(C488="","",TEXT(C488,"MMM")))</f>
        <v/>
      </c>
      <c r="I488">
        <f>IF($B488="","",IF(G488=0,0,H488/G488))</f>
        <v/>
      </c>
      <c r="M488">
        <f>IF($B488="","",IF(K488=0,0,L488/K488))</f>
        <v/>
      </c>
    </row>
    <row r="489">
      <c r="A489">
        <f>IF($B489="","",ROW()-5)</f>
        <v/>
      </c>
      <c r="D489">
        <f>IF($B489="","",IF(C489="","",TEXT(C489,"MMM")))</f>
        <v/>
      </c>
      <c r="I489">
        <f>IF($B489="","",IF(G489=0,0,H489/G489))</f>
        <v/>
      </c>
      <c r="M489">
        <f>IF($B489="","",IF(K489=0,0,L489/K489))</f>
        <v/>
      </c>
    </row>
    <row r="490">
      <c r="A490">
        <f>IF($B490="","",ROW()-5)</f>
        <v/>
      </c>
      <c r="D490">
        <f>IF($B490="","",IF(C490="","",TEXT(C490,"MMM")))</f>
        <v/>
      </c>
      <c r="I490">
        <f>IF($B490="","",IF(G490=0,0,H490/G490))</f>
        <v/>
      </c>
      <c r="M490">
        <f>IF($B490="","",IF(K490=0,0,L490/K490))</f>
        <v/>
      </c>
    </row>
    <row r="491">
      <c r="A491">
        <f>IF($B491="","",ROW()-5)</f>
        <v/>
      </c>
      <c r="D491">
        <f>IF($B491="","",IF(C491="","",TEXT(C491,"MMM")))</f>
        <v/>
      </c>
      <c r="I491">
        <f>IF($B491="","",IF(G491=0,0,H491/G491))</f>
        <v/>
      </c>
      <c r="M491">
        <f>IF($B491="","",IF(K491=0,0,L491/K491))</f>
        <v/>
      </c>
    </row>
    <row r="492">
      <c r="A492">
        <f>IF($B492="","",ROW()-5)</f>
        <v/>
      </c>
      <c r="D492">
        <f>IF($B492="","",IF(C492="","",TEXT(C492,"MMM")))</f>
        <v/>
      </c>
      <c r="I492">
        <f>IF($B492="","",IF(G492=0,0,H492/G492))</f>
        <v/>
      </c>
      <c r="M492">
        <f>IF($B492="","",IF(K492=0,0,L492/K492))</f>
        <v/>
      </c>
    </row>
    <row r="493">
      <c r="A493">
        <f>IF($B493="","",ROW()-5)</f>
        <v/>
      </c>
      <c r="D493">
        <f>IF($B493="","",IF(C493="","",TEXT(C493,"MMM")))</f>
        <v/>
      </c>
      <c r="I493">
        <f>IF($B493="","",IF(G493=0,0,H493/G493))</f>
        <v/>
      </c>
      <c r="M493">
        <f>IF($B493="","",IF(K493=0,0,L493/K493))</f>
        <v/>
      </c>
    </row>
    <row r="494">
      <c r="A494">
        <f>IF($B494="","",ROW()-5)</f>
        <v/>
      </c>
      <c r="D494">
        <f>IF($B494="","",IF(C494="","",TEXT(C494,"MMM")))</f>
        <v/>
      </c>
      <c r="I494">
        <f>IF($B494="","",IF(G494=0,0,H494/G494))</f>
        <v/>
      </c>
      <c r="M494">
        <f>IF($B494="","",IF(K494=0,0,L494/K494))</f>
        <v/>
      </c>
    </row>
    <row r="495">
      <c r="A495">
        <f>IF($B495="","",ROW()-5)</f>
        <v/>
      </c>
      <c r="D495">
        <f>IF($B495="","",IF(C495="","",TEXT(C495,"MMM")))</f>
        <v/>
      </c>
      <c r="I495">
        <f>IF($B495="","",IF(G495=0,0,H495/G495))</f>
        <v/>
      </c>
      <c r="M495">
        <f>IF($B495="","",IF(K495=0,0,L495/K495))</f>
        <v/>
      </c>
    </row>
    <row r="496">
      <c r="A496">
        <f>IF($B496="","",ROW()-5)</f>
        <v/>
      </c>
      <c r="D496">
        <f>IF($B496="","",IF(C496="","",TEXT(C496,"MMM")))</f>
        <v/>
      </c>
      <c r="I496">
        <f>IF($B496="","",IF(G496=0,0,H496/G496))</f>
        <v/>
      </c>
      <c r="M496">
        <f>IF($B496="","",IF(K496=0,0,L496/K496))</f>
        <v/>
      </c>
    </row>
    <row r="497">
      <c r="A497">
        <f>IF($B497="","",ROW()-5)</f>
        <v/>
      </c>
      <c r="D497">
        <f>IF($B497="","",IF(C497="","",TEXT(C497,"MMM")))</f>
        <v/>
      </c>
      <c r="I497">
        <f>IF($B497="","",IF(G497=0,0,H497/G497))</f>
        <v/>
      </c>
      <c r="M497">
        <f>IF($B497="","",IF(K497=0,0,L497/K497))</f>
        <v/>
      </c>
    </row>
    <row r="498">
      <c r="A498">
        <f>IF($B498="","",ROW()-5)</f>
        <v/>
      </c>
      <c r="D498">
        <f>IF($B498="","",IF(C498="","",TEXT(C498,"MMM")))</f>
        <v/>
      </c>
      <c r="I498">
        <f>IF($B498="","",IF(G498=0,0,H498/G498))</f>
        <v/>
      </c>
      <c r="M498">
        <f>IF($B498="","",IF(K498=0,0,L498/K498))</f>
        <v/>
      </c>
    </row>
    <row r="499">
      <c r="A499">
        <f>IF($B499="","",ROW()-5)</f>
        <v/>
      </c>
      <c r="D499">
        <f>IF($B499="","",IF(C499="","",TEXT(C499,"MMM")))</f>
        <v/>
      </c>
      <c r="I499">
        <f>IF($B499="","",IF(G499=0,0,H499/G499))</f>
        <v/>
      </c>
      <c r="M499">
        <f>IF($B499="","",IF(K499=0,0,L499/K499))</f>
        <v/>
      </c>
    </row>
    <row r="500">
      <c r="A500">
        <f>IF($B500="","",ROW()-5)</f>
        <v/>
      </c>
      <c r="D500">
        <f>IF($B500="","",IF(C500="","",TEXT(C500,"MMM")))</f>
        <v/>
      </c>
      <c r="I500">
        <f>IF($B500="","",IF(G500=0,0,H500/G500))</f>
        <v/>
      </c>
      <c r="M500">
        <f>IF($B500="","",IF(K500=0,0,L500/K500))</f>
        <v/>
      </c>
    </row>
    <row r="501">
      <c r="A501">
        <f>IF($B501="","",ROW()-5)</f>
        <v/>
      </c>
      <c r="D501">
        <f>IF($B501="","",IF(C501="","",TEXT(C501,"MMM")))</f>
        <v/>
      </c>
      <c r="I501">
        <f>IF($B501="","",IF(G501=0,0,H501/G501))</f>
        <v/>
      </c>
      <c r="M501">
        <f>IF($B501="","",IF(K501=0,0,L501/K501))</f>
        <v/>
      </c>
    </row>
    <row r="502">
      <c r="A502">
        <f>IF($B502="","",ROW()-5)</f>
        <v/>
      </c>
      <c r="D502">
        <f>IF($B502="","",IF(C502="","",TEXT(C502,"MMM")))</f>
        <v/>
      </c>
      <c r="I502">
        <f>IF($B502="","",IF(G502=0,0,H502/G502))</f>
        <v/>
      </c>
      <c r="M502">
        <f>IF($B502="","",IF(K502=0,0,L502/K502))</f>
        <v/>
      </c>
    </row>
    <row r="503">
      <c r="A503">
        <f>IF($B503="","",ROW()-5)</f>
        <v/>
      </c>
      <c r="D503">
        <f>IF($B503="","",IF(C503="","",TEXT(C503,"MMM")))</f>
        <v/>
      </c>
      <c r="I503">
        <f>IF($B503="","",IF(G503=0,0,H503/G503))</f>
        <v/>
      </c>
      <c r="M503">
        <f>IF($B503="","",IF(K503=0,0,L503/K503))</f>
        <v/>
      </c>
    </row>
    <row r="504">
      <c r="A504">
        <f>IF($B504="","",ROW()-5)</f>
        <v/>
      </c>
      <c r="D504">
        <f>IF($B504="","",IF(C504="","",TEXT(C504,"MMM")))</f>
        <v/>
      </c>
      <c r="I504">
        <f>IF($B504="","",IF(G504=0,0,H504/G504))</f>
        <v/>
      </c>
      <c r="M504">
        <f>IF($B504="","",IF(K504=0,0,L504/K504))</f>
        <v/>
      </c>
    </row>
    <row r="505">
      <c r="A505">
        <f>IF($B505="","",ROW()-5)</f>
        <v/>
      </c>
      <c r="D505">
        <f>IF($B505="","",IF(C505="","",TEXT(C505,"MMM")))</f>
        <v/>
      </c>
      <c r="I505">
        <f>IF($B505="","",IF(G505=0,0,H505/G505))</f>
        <v/>
      </c>
      <c r="M505">
        <f>IF($B505="","",IF(K505=0,0,L505/K505))</f>
        <v/>
      </c>
    </row>
    <row r="506">
      <c r="A506">
        <f>IF($B506="","",ROW()-5)</f>
        <v/>
      </c>
      <c r="D506">
        <f>IF($B506="","",IF(C506="","",TEXT(C506,"MMM")))</f>
        <v/>
      </c>
      <c r="I506">
        <f>IF($B506="","",IF(G506=0,0,H506/G506))</f>
        <v/>
      </c>
      <c r="M506">
        <f>IF($B506="","",IF(K506=0,0,L506/K506))</f>
        <v/>
      </c>
    </row>
  </sheetData>
  <autoFilter ref="A4:O13"/>
  <mergeCells count="5">
    <mergeCell ref="A2:O2"/>
    <mergeCell ref="A3:D3"/>
    <mergeCell ref="A1:O1"/>
    <mergeCell ref="G3:I3"/>
    <mergeCell ref="K3:M3"/>
  </mergeCells>
  <conditionalFormatting sqref="O6:O13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2">
    <dataValidation sqref="N6:N506" showDropDown="0" showInputMessage="0" showErrorMessage="0" allowBlank="1" type="list">
      <formula1>L_Action_Required</formula1>
      <formula2>0</formula2>
    </dataValidation>
    <dataValidation sqref="O6:O506" showDropDown="0" showInputMessage="0" showErrorMessage="0" allowBlank="1" type="list">
      <formula1>L_Status_4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B71C1C"/>
    <outlinePr summaryBelow="1" summaryRight="1"/>
    <pageSetUpPr/>
  </sheetPr>
  <dimension ref="A1:K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6"/>
    <col width="16" customWidth="1" style="15" min="7" max="8"/>
    <col width="12" customWidth="1" style="15" min="9" max="9"/>
    <col width="16" customWidth="1" style="15" min="10" max="10"/>
    <col width="12" customWidth="1" style="15" min="11" max="11"/>
  </cols>
  <sheetData>
    <row r="1" ht="42" customHeight="1" s="15">
      <c r="A1" s="202" t="inlineStr">
        <is>
          <t>⚖️  DISCIPLINARY ACTIONS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CLASSIFICATION</t>
        </is>
      </c>
      <c r="F3" s="39" t="inlineStr">
        <is>
          <t>ORGANIZATIONAL</t>
        </is>
      </c>
      <c r="G3" s="17" t="inlineStr">
        <is>
          <t>PEOPLE</t>
        </is>
      </c>
      <c r="H3" s="40" t="inlineStr">
        <is>
          <t>ACTION</t>
        </is>
      </c>
      <c r="I3" s="18" t="inlineStr">
        <is>
          <t>CLASSIFICATION</t>
        </is>
      </c>
      <c r="J3" s="19" t="inlineStr">
        <is>
          <t>PEOPLE</t>
        </is>
      </c>
      <c r="K3" s="20" t="inlineStr">
        <is>
          <t>STATUS</t>
        </is>
      </c>
    </row>
    <row r="4" ht="31.5" customHeight="1" s="15">
      <c r="A4" s="45" t="inlineStr">
        <is>
          <t>S.No</t>
        </is>
      </c>
      <c r="B4" s="45" t="inlineStr">
        <is>
          <t>Case No.</t>
        </is>
      </c>
      <c r="C4" s="45" t="inlineStr">
        <is>
          <t>Date</t>
        </is>
      </c>
      <c r="D4" s="45" t="inlineStr">
        <is>
          <t>Month</t>
        </is>
      </c>
      <c r="E4" s="45" t="inlineStr">
        <is>
          <t>Violation Type</t>
        </is>
      </c>
      <c r="F4" s="45" t="inlineStr">
        <is>
          <t>Department</t>
        </is>
      </c>
      <c r="G4" s="45" t="inlineStr">
        <is>
          <t>Employee Name</t>
        </is>
      </c>
      <c r="H4" s="45" t="inlineStr">
        <is>
          <t>Action Taken</t>
        </is>
      </c>
      <c r="I4" s="45" t="inlineStr">
        <is>
          <t>Offense Level</t>
        </is>
      </c>
      <c r="J4" s="45" t="inlineStr">
        <is>
          <t>Approved By</t>
        </is>
      </c>
      <c r="K4" s="45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</row>
    <row r="6" ht="15" customHeight="1" s="15">
      <c r="A6" s="24" t="n">
        <v>1</v>
      </c>
      <c r="B6" s="25" t="inlineStr">
        <is>
          <t>DA-001</t>
        </is>
      </c>
      <c r="C6" s="26" t="n">
        <v>46228</v>
      </c>
      <c r="D6" s="24">
        <f>IF(C6="","",TEXT(C6,"MMM"))</f>
        <v/>
      </c>
      <c r="E6" s="27" t="inlineStr">
        <is>
          <t>PPE Violation</t>
        </is>
      </c>
      <c r="F6" s="28" t="inlineStr">
        <is>
          <t>Projects</t>
        </is>
      </c>
      <c r="G6" s="27" t="inlineStr">
        <is>
          <t>Maria Garcia</t>
        </is>
      </c>
      <c r="H6" s="27" t="inlineStr">
        <is>
          <t>Retraining</t>
        </is>
      </c>
      <c r="I6" s="28" t="inlineStr">
        <is>
          <t>2nd Offense</t>
        </is>
      </c>
      <c r="J6" s="27" t="inlineStr">
        <is>
          <t>David Chen</t>
        </is>
      </c>
      <c r="K6" s="28" t="inlineStr">
        <is>
          <t>Completed</t>
        </is>
      </c>
    </row>
    <row r="7" ht="15" customHeight="1" s="15">
      <c r="A7" s="31" t="n">
        <v>2</v>
      </c>
      <c r="B7" s="32" t="inlineStr">
        <is>
          <t>DA-002</t>
        </is>
      </c>
      <c r="C7" s="33" t="n">
        <v>46090</v>
      </c>
      <c r="D7" s="31">
        <f>IF(C7="","",TEXT(C7,"MMM"))</f>
        <v/>
      </c>
      <c r="E7" s="34" t="inlineStr">
        <is>
          <t>Permit Violation</t>
        </is>
      </c>
      <c r="F7" s="35" t="inlineStr">
        <is>
          <t>Safety</t>
        </is>
      </c>
      <c r="G7" s="34" t="inlineStr">
        <is>
          <t>Priya Sharma</t>
        </is>
      </c>
      <c r="H7" s="34" t="inlineStr">
        <is>
          <t>Written Warning</t>
        </is>
      </c>
      <c r="I7" s="35" t="inlineStr">
        <is>
          <t>1st Offense</t>
        </is>
      </c>
      <c r="J7" s="34" t="inlineStr">
        <is>
          <t>Raj Patel</t>
        </is>
      </c>
      <c r="K7" s="35" t="inlineStr">
        <is>
          <t>Under Review</t>
        </is>
      </c>
    </row>
    <row r="8" ht="15" customHeight="1" s="15">
      <c r="A8" s="24" t="n">
        <v>3</v>
      </c>
      <c r="B8" s="25" t="inlineStr">
        <is>
          <t>DA-003</t>
        </is>
      </c>
      <c r="C8" s="26" t="n">
        <v>46156</v>
      </c>
      <c r="D8" s="24">
        <f>IF(C8="","",TEXT(C8,"MMM"))</f>
        <v/>
      </c>
      <c r="E8" s="27" t="inlineStr">
        <is>
          <t>Permit Violation</t>
        </is>
      </c>
      <c r="F8" s="28" t="inlineStr">
        <is>
          <t>Admin</t>
        </is>
      </c>
      <c r="G8" s="27" t="inlineStr">
        <is>
          <t>Sarah Wilson</t>
        </is>
      </c>
      <c r="H8" s="27" t="inlineStr">
        <is>
          <t>Suspension</t>
        </is>
      </c>
      <c r="I8" s="28" t="inlineStr">
        <is>
          <t>3rd Offense</t>
        </is>
      </c>
      <c r="J8" s="27" t="inlineStr">
        <is>
          <t>Maria Garcia</t>
        </is>
      </c>
      <c r="K8" s="28" t="inlineStr">
        <is>
          <t>Appealed</t>
        </is>
      </c>
    </row>
    <row r="9" ht="15" customHeight="1" s="15">
      <c r="A9" s="31" t="n">
        <v>4</v>
      </c>
      <c r="B9" s="32" t="inlineStr">
        <is>
          <t>DA-004</t>
        </is>
      </c>
      <c r="C9" s="33" t="n">
        <v>46342</v>
      </c>
      <c r="D9" s="31">
        <f>IF(C9="","",TEXT(C9,"MMM"))</f>
        <v/>
      </c>
      <c r="E9" s="34" t="inlineStr">
        <is>
          <t>Reckless Behavior</t>
        </is>
      </c>
      <c r="F9" s="35" t="inlineStr">
        <is>
          <t>Contractor</t>
        </is>
      </c>
      <c r="G9" s="34" t="inlineStr">
        <is>
          <t>Maria Garcia</t>
        </is>
      </c>
      <c r="H9" s="34" t="inlineStr">
        <is>
          <t>Termination</t>
        </is>
      </c>
      <c r="I9" s="35" t="inlineStr">
        <is>
          <t>1st Offense</t>
        </is>
      </c>
      <c r="J9" s="34" t="inlineStr">
        <is>
          <t>Raj Patel</t>
        </is>
      </c>
      <c r="K9" s="35" t="inlineStr">
        <is>
          <t>Under Review</t>
        </is>
      </c>
    </row>
    <row r="10" ht="15" customHeight="1" s="15">
      <c r="A10" s="24" t="n">
        <v>5</v>
      </c>
      <c r="B10" s="25" t="inlineStr">
        <is>
          <t>DA-005</t>
        </is>
      </c>
      <c r="C10" s="26" t="n">
        <v>46035</v>
      </c>
      <c r="D10" s="24">
        <f>IF(C10="","",TEXT(C10,"MMM"))</f>
        <v/>
      </c>
      <c r="E10" s="27" t="inlineStr">
        <is>
          <t>Permit Violation</t>
        </is>
      </c>
      <c r="F10" s="28" t="inlineStr">
        <is>
          <t>Contractor</t>
        </is>
      </c>
      <c r="G10" s="27" t="inlineStr">
        <is>
          <t>David Chen</t>
        </is>
      </c>
      <c r="H10" s="27" t="inlineStr">
        <is>
          <t>Suspension</t>
        </is>
      </c>
      <c r="I10" s="28" t="inlineStr">
        <is>
          <t>Repeat</t>
        </is>
      </c>
      <c r="J10" s="27" t="inlineStr">
        <is>
          <t>Fatima Al-Said</t>
        </is>
      </c>
      <c r="K10" s="28" t="inlineStr">
        <is>
          <t>Under Review</t>
        </is>
      </c>
    </row>
    <row r="11" ht="15" customHeight="1" s="15">
      <c r="A11" s="31" t="n">
        <v>6</v>
      </c>
      <c r="B11" s="32" t="inlineStr">
        <is>
          <t>DA-006</t>
        </is>
      </c>
      <c r="C11" s="33" t="n">
        <v>46346</v>
      </c>
      <c r="D11" s="31">
        <f>IF(C11="","",TEXT(C11,"MMM"))</f>
        <v/>
      </c>
      <c r="E11" s="34" t="inlineStr">
        <is>
          <t>Safety Rule Breach</t>
        </is>
      </c>
      <c r="F11" s="35" t="inlineStr">
        <is>
          <t>Safety</t>
        </is>
      </c>
      <c r="G11" s="34" t="inlineStr">
        <is>
          <t>Fatima Al-Said</t>
        </is>
      </c>
      <c r="H11" s="34" t="inlineStr">
        <is>
          <t>Retraining</t>
        </is>
      </c>
      <c r="I11" s="35" t="inlineStr">
        <is>
          <t>2nd Offense</t>
        </is>
      </c>
      <c r="J11" s="34" t="inlineStr">
        <is>
          <t>Priya Sharma</t>
        </is>
      </c>
      <c r="K11" s="35" t="inlineStr">
        <is>
          <t>Under Review</t>
        </is>
      </c>
    </row>
    <row r="12" ht="15" customHeight="1" s="15">
      <c r="A12" s="24" t="n">
        <v>7</v>
      </c>
      <c r="B12" s="25" t="inlineStr">
        <is>
          <t>DA-007</t>
        </is>
      </c>
      <c r="C12" s="26" t="n">
        <v>46094</v>
      </c>
      <c r="D12" s="24">
        <f>IF(C12="","",TEXT(C12,"MMM"))</f>
        <v/>
      </c>
      <c r="E12" s="27" t="inlineStr">
        <is>
          <t>Permit Violation</t>
        </is>
      </c>
      <c r="F12" s="28" t="inlineStr">
        <is>
          <t>Safety</t>
        </is>
      </c>
      <c r="G12" s="27" t="inlineStr">
        <is>
          <t>Priya Sharma</t>
        </is>
      </c>
      <c r="H12" s="27" t="inlineStr">
        <is>
          <t>Retraining</t>
        </is>
      </c>
      <c r="I12" s="28" t="inlineStr">
        <is>
          <t>2nd Offense</t>
        </is>
      </c>
      <c r="J12" s="27" t="inlineStr">
        <is>
          <t>Fatima Al-Said</t>
        </is>
      </c>
      <c r="K12" s="28" t="inlineStr">
        <is>
          <t>Under Review</t>
        </is>
      </c>
    </row>
    <row r="13" ht="21.75" customHeight="1" s="15">
      <c r="A13" s="31" t="n">
        <v>8</v>
      </c>
      <c r="B13" s="32" t="inlineStr">
        <is>
          <t>DA-008</t>
        </is>
      </c>
      <c r="C13" s="33" t="n">
        <v>46169</v>
      </c>
      <c r="D13" s="31">
        <f>IF(C13="","",TEXT(C13,"MMM"))</f>
        <v/>
      </c>
      <c r="E13" s="34" t="inlineStr">
        <is>
          <t>Tampering with Safety Equipment</t>
        </is>
      </c>
      <c r="F13" s="35" t="inlineStr">
        <is>
          <t>Quality</t>
        </is>
      </c>
      <c r="G13" s="34" t="inlineStr">
        <is>
          <t>Fatima Al-Said</t>
        </is>
      </c>
      <c r="H13" s="34" t="inlineStr">
        <is>
          <t>Verbal Warning</t>
        </is>
      </c>
      <c r="I13" s="35" t="inlineStr">
        <is>
          <t>2nd Offense</t>
        </is>
      </c>
      <c r="J13" s="34" t="inlineStr">
        <is>
          <t>Lisa Park</t>
        </is>
      </c>
      <c r="K13" s="35" t="inlineStr">
        <is>
          <t>Appealed</t>
        </is>
      </c>
    </row>
    <row r="14" ht="21.75" customHeight="1" s="15">
      <c r="A14" s="24" t="n">
        <v>9</v>
      </c>
      <c r="B14" s="25" t="inlineStr">
        <is>
          <t>DA-009</t>
        </is>
      </c>
      <c r="C14" s="26" t="n">
        <v>46103</v>
      </c>
      <c r="D14" s="24">
        <f>IF(C14="","",TEXT(C14,"MMM"))</f>
        <v/>
      </c>
      <c r="E14" s="27" t="inlineStr">
        <is>
          <t>Tampering with Safety Equipment</t>
        </is>
      </c>
      <c r="F14" s="28" t="inlineStr">
        <is>
          <t>Projects</t>
        </is>
      </c>
      <c r="G14" s="27" t="inlineStr">
        <is>
          <t>Ahmed Khan</t>
        </is>
      </c>
      <c r="H14" s="27" t="inlineStr">
        <is>
          <t>Fine</t>
        </is>
      </c>
      <c r="I14" s="28" t="inlineStr">
        <is>
          <t>Repeat</t>
        </is>
      </c>
      <c r="J14" s="27" t="inlineStr">
        <is>
          <t>Maria Garcia</t>
        </is>
      </c>
      <c r="K14" s="28" t="inlineStr">
        <is>
          <t>Under Review</t>
        </is>
      </c>
    </row>
    <row r="15" ht="15" customHeight="1" s="15">
      <c r="A15" s="31" t="n">
        <v>10</v>
      </c>
      <c r="B15" s="32" t="inlineStr">
        <is>
          <t>DA-010</t>
        </is>
      </c>
      <c r="C15" s="33" t="n">
        <v>46169</v>
      </c>
      <c r="D15" s="31">
        <f>IF(C15="","",TEXT(C15,"MMM"))</f>
        <v/>
      </c>
      <c r="E15" s="34" t="inlineStr">
        <is>
          <t>Unauthorized Work</t>
        </is>
      </c>
      <c r="F15" s="35" t="inlineStr">
        <is>
          <t>Maintenance</t>
        </is>
      </c>
      <c r="G15" s="34" t="inlineStr">
        <is>
          <t>David Chen</t>
        </is>
      </c>
      <c r="H15" s="34" t="inlineStr">
        <is>
          <t>Fine</t>
        </is>
      </c>
      <c r="I15" s="35" t="inlineStr">
        <is>
          <t>Repeat</t>
        </is>
      </c>
      <c r="J15" s="34" t="inlineStr">
        <is>
          <t>Raj Patel</t>
        </is>
      </c>
      <c r="K15" s="35" t="inlineStr">
        <is>
          <t>Appealed</t>
        </is>
      </c>
    </row>
    <row r="16">
      <c r="A16">
        <f>IF($B16="","",ROW()-5)</f>
        <v/>
      </c>
      <c r="D16">
        <f>IF($B16="","",IF(C16="","",TEXT(C16,"MMM")))</f>
        <v/>
      </c>
    </row>
    <row r="17">
      <c r="A17">
        <f>IF($B17="","",ROW()-5)</f>
        <v/>
      </c>
      <c r="D17">
        <f>IF($B17="","",IF(C17="","",TEXT(C17,"MMM")))</f>
        <v/>
      </c>
    </row>
    <row r="18">
      <c r="A18">
        <f>IF($B18="","",ROW()-5)</f>
        <v/>
      </c>
      <c r="D18">
        <f>IF($B18="","",IF(C18="","",TEXT(C18,"MMM")))</f>
        <v/>
      </c>
    </row>
    <row r="19">
      <c r="A19">
        <f>IF($B19="","",ROW()-5)</f>
        <v/>
      </c>
      <c r="D19">
        <f>IF($B19="","",IF(C19="","",TEXT(C19,"MMM")))</f>
        <v/>
      </c>
    </row>
    <row r="20">
      <c r="A20">
        <f>IF($B20="","",ROW()-5)</f>
        <v/>
      </c>
      <c r="D20">
        <f>IF($B20="","",IF(C20="","",TEXT(C20,"MMM")))</f>
        <v/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K15"/>
  <mergeCells count="3">
    <mergeCell ref="A2:K2"/>
    <mergeCell ref="A1:K1"/>
    <mergeCell ref="A3:D3"/>
  </mergeCells>
  <conditionalFormatting sqref="K6:K15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5">
    <dataValidation sqref="E6:E506" showDropDown="0" showInputMessage="0" showErrorMessage="0" allowBlank="1" type="list">
      <formula1>L_Violation_Type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H6:H506" showDropDown="0" showInputMessage="0" showErrorMessage="0" allowBlank="1" type="list">
      <formula1>L_Action_Taken</formula1>
      <formula2>0</formula2>
    </dataValidation>
    <dataValidation sqref="I6:I506" showDropDown="0" showInputMessage="0" showErrorMessage="0" allowBlank="1" type="list">
      <formula1>L_Offense_Level</formula1>
      <formula2>0</formula2>
    </dataValidation>
    <dataValidation sqref="K6:K506" showDropDown="0" showInputMessage="0" showErrorMessage="0" allowBlank="1" type="list">
      <formula1>L_Status_6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tabColor rgb="FF33691E"/>
    <outlinePr summaryBelow="1" summaryRight="1"/>
    <pageSetUpPr/>
  </sheetPr>
  <dimension ref="A1:J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6"/>
    <col width="16" customWidth="1" style="15" min="7" max="9"/>
    <col width="12" customWidth="1" style="15" min="10" max="10"/>
  </cols>
  <sheetData>
    <row r="1" ht="42" customHeight="1" s="15">
      <c r="A1" s="221" t="inlineStr">
        <is>
          <t>🏆  SAFETY AWARDS — DATA ENTRY</t>
        </is>
      </c>
    </row>
    <row r="2" ht="21.75" customHeight="1" s="15">
      <c r="A2" s="222" t="inlineStr">
        <is>
          <t>🔵 Blue = User Input  |  ⚫ Gray = Auto-Calculated  |  Use dropdowns where available</t>
        </is>
      </c>
    </row>
    <row r="3" ht="19.5" customHeight="1" s="15">
      <c r="A3" s="223" t="inlineStr">
        <is>
          <t>IDENTIFICATION</t>
        </is>
      </c>
      <c r="E3" s="16" t="inlineStr">
        <is>
          <t>CLASSIFICATION</t>
        </is>
      </c>
      <c r="F3" s="39" t="inlineStr">
        <is>
          <t>ORGANIZATIONAL</t>
        </is>
      </c>
      <c r="G3" s="17" t="inlineStr">
        <is>
          <t>PEOPLE</t>
        </is>
      </c>
      <c r="H3" s="40" t="inlineStr">
        <is>
          <t>CLASSIFICATION</t>
        </is>
      </c>
      <c r="I3" s="18" t="inlineStr">
        <is>
          <t>PEOPLE</t>
        </is>
      </c>
      <c r="J3" s="19" t="inlineStr">
        <is>
          <t>STATUS</t>
        </is>
      </c>
    </row>
    <row r="4" ht="31.5" customHeight="1" s="15">
      <c r="A4" s="53" t="inlineStr">
        <is>
          <t>S.No</t>
        </is>
      </c>
      <c r="B4" s="53" t="inlineStr">
        <is>
          <t>Award ID</t>
        </is>
      </c>
      <c r="C4" s="53" t="inlineStr">
        <is>
          <t>Date</t>
        </is>
      </c>
      <c r="D4" s="53" t="inlineStr">
        <is>
          <t>Month</t>
        </is>
      </c>
      <c r="E4" s="53" t="inlineStr">
        <is>
          <t>Award Category</t>
        </is>
      </c>
      <c r="F4" s="53" t="inlineStr">
        <is>
          <t>Department</t>
        </is>
      </c>
      <c r="G4" s="53" t="inlineStr">
        <is>
          <t>Recipient</t>
        </is>
      </c>
      <c r="H4" s="53" t="inlineStr">
        <is>
          <t>Reward Type</t>
        </is>
      </c>
      <c r="I4" s="53" t="inlineStr">
        <is>
          <t>Presented By</t>
        </is>
      </c>
      <c r="J4" s="53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</row>
    <row r="6" ht="15" customHeight="1" s="15">
      <c r="A6" s="24" t="n">
        <v>1</v>
      </c>
      <c r="B6" s="25" t="inlineStr">
        <is>
          <t>SA-001</t>
        </is>
      </c>
      <c r="C6" s="26" t="n">
        <v>46150</v>
      </c>
      <c r="D6" s="24">
        <f>IF(C6="","",TEXT(C6,"MMM"))</f>
        <v/>
      </c>
      <c r="E6" s="27" t="inlineStr">
        <is>
          <t>Zero Incident Award</t>
        </is>
      </c>
      <c r="F6" s="28" t="inlineStr">
        <is>
          <t>Engineering</t>
        </is>
      </c>
      <c r="G6" s="27" t="inlineStr">
        <is>
          <t>David Chen</t>
        </is>
      </c>
      <c r="H6" s="27" t="inlineStr">
        <is>
          <t>Gift Voucher</t>
        </is>
      </c>
      <c r="I6" s="27" t="inlineStr">
        <is>
          <t>Sarah Wilson</t>
        </is>
      </c>
      <c r="J6" s="28" t="inlineStr">
        <is>
          <t>Scheduled</t>
        </is>
      </c>
    </row>
    <row r="7" ht="15" customHeight="1" s="15">
      <c r="A7" s="31" t="n">
        <v>2</v>
      </c>
      <c r="B7" s="32" t="inlineStr">
        <is>
          <t>SA-002</t>
        </is>
      </c>
      <c r="C7" s="33" t="n">
        <v>46311</v>
      </c>
      <c r="D7" s="31">
        <f>IF(C7="","",TEXT(C7,"MMM"))</f>
        <v/>
      </c>
      <c r="E7" s="34" t="inlineStr">
        <is>
          <t>Best Department</t>
        </is>
      </c>
      <c r="F7" s="35" t="inlineStr">
        <is>
          <t>Quality</t>
        </is>
      </c>
      <c r="G7" s="34" t="inlineStr">
        <is>
          <t>Tom Brown</t>
        </is>
      </c>
      <c r="H7" s="34" t="inlineStr">
        <is>
          <t>Recognition Letter</t>
        </is>
      </c>
      <c r="I7" s="34" t="inlineStr">
        <is>
          <t>David Chen</t>
        </is>
      </c>
      <c r="J7" s="35" t="inlineStr">
        <is>
          <t>Nominated</t>
        </is>
      </c>
    </row>
    <row r="8" ht="15" customHeight="1" s="15">
      <c r="A8" s="24" t="n">
        <v>3</v>
      </c>
      <c r="B8" s="25" t="inlineStr">
        <is>
          <t>SA-003</t>
        </is>
      </c>
      <c r="C8" s="26" t="n">
        <v>46048</v>
      </c>
      <c r="D8" s="24">
        <f>IF(C8="","",TEXT(C8,"MMM"))</f>
        <v/>
      </c>
      <c r="E8" s="27" t="inlineStr">
        <is>
          <t>Zero Incident Award</t>
        </is>
      </c>
      <c r="F8" s="28" t="inlineStr">
        <is>
          <t>Projects</t>
        </is>
      </c>
      <c r="G8" s="27" t="inlineStr">
        <is>
          <t>Lisa Park</t>
        </is>
      </c>
      <c r="H8" s="27" t="inlineStr">
        <is>
          <t>Team Lunch</t>
        </is>
      </c>
      <c r="I8" s="27" t="inlineStr">
        <is>
          <t>Sarah Wilson</t>
        </is>
      </c>
      <c r="J8" s="28" t="inlineStr">
        <is>
          <t>Presented</t>
        </is>
      </c>
    </row>
    <row r="9" ht="15" customHeight="1" s="15">
      <c r="A9" s="31" t="n">
        <v>4</v>
      </c>
      <c r="B9" s="32" t="inlineStr">
        <is>
          <t>SA-004</t>
        </is>
      </c>
      <c r="C9" s="33" t="n">
        <v>46134</v>
      </c>
      <c r="D9" s="31">
        <f>IF(C9="","",TEXT(C9,"MMM"))</f>
        <v/>
      </c>
      <c r="E9" s="34" t="inlineStr">
        <is>
          <t>Safety Innovation</t>
        </is>
      </c>
      <c r="F9" s="35" t="inlineStr">
        <is>
          <t>Logistics</t>
        </is>
      </c>
      <c r="G9" s="34" t="inlineStr">
        <is>
          <t>Raj Patel</t>
        </is>
      </c>
      <c r="H9" s="34" t="inlineStr">
        <is>
          <t>Team Lunch</t>
        </is>
      </c>
      <c r="I9" s="34" t="inlineStr">
        <is>
          <t>Lisa Park</t>
        </is>
      </c>
      <c r="J9" s="35" t="inlineStr">
        <is>
          <t>Presented</t>
        </is>
      </c>
    </row>
    <row r="10" ht="15" customHeight="1" s="15">
      <c r="A10" s="24" t="n">
        <v>5</v>
      </c>
      <c r="B10" s="25" t="inlineStr">
        <is>
          <t>SA-005</t>
        </is>
      </c>
      <c r="C10" s="26" t="n">
        <v>46316</v>
      </c>
      <c r="D10" s="24">
        <f>IF(C10="","",TEXT(C10,"MMM"))</f>
        <v/>
      </c>
      <c r="E10" s="27" t="inlineStr">
        <is>
          <t>Safety Innovation</t>
        </is>
      </c>
      <c r="F10" s="28" t="inlineStr">
        <is>
          <t>Quality</t>
        </is>
      </c>
      <c r="G10" s="27" t="inlineStr">
        <is>
          <t>Fatima Al-Said</t>
        </is>
      </c>
      <c r="H10" s="27" t="inlineStr">
        <is>
          <t>Gift Voucher</t>
        </is>
      </c>
      <c r="I10" s="27" t="inlineStr">
        <is>
          <t>Sarah Wilson</t>
        </is>
      </c>
      <c r="J10" s="28" t="inlineStr">
        <is>
          <t>Presented</t>
        </is>
      </c>
    </row>
    <row r="11" ht="15" customHeight="1" s="15">
      <c r="A11" s="31" t="n">
        <v>6</v>
      </c>
      <c r="B11" s="32" t="inlineStr">
        <is>
          <t>SA-006</t>
        </is>
      </c>
      <c r="C11" s="33" t="n">
        <v>46062</v>
      </c>
      <c r="D11" s="31">
        <f>IF(C11="","",TEXT(C11,"MMM"))</f>
        <v/>
      </c>
      <c r="E11" s="34" t="inlineStr">
        <is>
          <t>Best Safety Suggestion</t>
        </is>
      </c>
      <c r="F11" s="35" t="inlineStr">
        <is>
          <t>Projects</t>
        </is>
      </c>
      <c r="G11" s="34" t="inlineStr">
        <is>
          <t>Tom Brown</t>
        </is>
      </c>
      <c r="H11" s="34" t="inlineStr">
        <is>
          <t>Recognition Letter</t>
        </is>
      </c>
      <c r="I11" s="34" t="inlineStr">
        <is>
          <t>Lisa Park</t>
        </is>
      </c>
      <c r="J11" s="35" t="inlineStr">
        <is>
          <t>Nominated</t>
        </is>
      </c>
    </row>
    <row r="12" ht="15" customHeight="1" s="15">
      <c r="A12" s="24" t="n">
        <v>7</v>
      </c>
      <c r="B12" s="25" t="inlineStr">
        <is>
          <t>SA-007</t>
        </is>
      </c>
      <c r="C12" s="26" t="n">
        <v>46303</v>
      </c>
      <c r="D12" s="24">
        <f>IF(C12="","",TEXT(C12,"MMM"))</f>
        <v/>
      </c>
      <c r="E12" s="27" t="inlineStr">
        <is>
          <t>HSE Champion</t>
        </is>
      </c>
      <c r="F12" s="28" t="inlineStr">
        <is>
          <t>Logistics</t>
        </is>
      </c>
      <c r="G12" s="27" t="inlineStr">
        <is>
          <t>David Chen</t>
        </is>
      </c>
      <c r="H12" s="27" t="inlineStr">
        <is>
          <t>Gift Voucher</t>
        </is>
      </c>
      <c r="I12" s="27" t="inlineStr">
        <is>
          <t>Lisa Park</t>
        </is>
      </c>
      <c r="J12" s="28" t="inlineStr">
        <is>
          <t>Nominated</t>
        </is>
      </c>
    </row>
    <row r="13" ht="15" customHeight="1" s="15">
      <c r="A13" s="31" t="n">
        <v>8</v>
      </c>
      <c r="B13" s="32" t="inlineStr">
        <is>
          <t>SA-008</t>
        </is>
      </c>
      <c r="C13" s="33" t="n">
        <v>46270</v>
      </c>
      <c r="D13" s="31">
        <f>IF(C13="","",TEXT(C13,"MMM"))</f>
        <v/>
      </c>
      <c r="E13" s="34" t="inlineStr">
        <is>
          <t>Zero Incident Award</t>
        </is>
      </c>
      <c r="F13" s="35" t="inlineStr">
        <is>
          <t>Operations</t>
        </is>
      </c>
      <c r="G13" s="34" t="inlineStr">
        <is>
          <t>Priya Sharma</t>
        </is>
      </c>
      <c r="H13" s="34" t="inlineStr">
        <is>
          <t>Certificate</t>
        </is>
      </c>
      <c r="I13" s="34" t="inlineStr">
        <is>
          <t>John Smith</t>
        </is>
      </c>
      <c r="J13" s="35" t="inlineStr">
        <is>
          <t>Scheduled</t>
        </is>
      </c>
    </row>
    <row r="14" ht="15" customHeight="1" s="15">
      <c r="A14" s="24" t="n">
        <v>9</v>
      </c>
      <c r="B14" s="25" t="inlineStr">
        <is>
          <t>SA-009</t>
        </is>
      </c>
      <c r="C14" s="26" t="n">
        <v>46057</v>
      </c>
      <c r="D14" s="24">
        <f>IF(C14="","",TEXT(C14,"MMM"))</f>
        <v/>
      </c>
      <c r="E14" s="27" t="inlineStr">
        <is>
          <t>Observation Champion</t>
        </is>
      </c>
      <c r="F14" s="28" t="inlineStr">
        <is>
          <t>Engineering</t>
        </is>
      </c>
      <c r="G14" s="27" t="inlineStr">
        <is>
          <t>Fatima Al-Said</t>
        </is>
      </c>
      <c r="H14" s="27" t="inlineStr">
        <is>
          <t>Cash Bonus</t>
        </is>
      </c>
      <c r="I14" s="27" t="inlineStr">
        <is>
          <t>Fatima Al-Said</t>
        </is>
      </c>
      <c r="J14" s="28" t="inlineStr">
        <is>
          <t>Scheduled</t>
        </is>
      </c>
    </row>
    <row r="15" ht="15" customHeight="1" s="15">
      <c r="A15" s="31" t="n">
        <v>10</v>
      </c>
      <c r="B15" s="32" t="inlineStr">
        <is>
          <t>SA-010</t>
        </is>
      </c>
      <c r="C15" s="33" t="n">
        <v>46129</v>
      </c>
      <c r="D15" s="31">
        <f>IF(C15="","",TEXT(C15,"MMM"))</f>
        <v/>
      </c>
      <c r="E15" s="34" t="inlineStr">
        <is>
          <t>HSE Champion</t>
        </is>
      </c>
      <c r="F15" s="35" t="inlineStr">
        <is>
          <t>Logistics</t>
        </is>
      </c>
      <c r="G15" s="34" t="inlineStr">
        <is>
          <t>Priya Sharma</t>
        </is>
      </c>
      <c r="H15" s="34" t="inlineStr">
        <is>
          <t>Certificate</t>
        </is>
      </c>
      <c r="I15" s="34" t="inlineStr">
        <is>
          <t>Priya Sharma</t>
        </is>
      </c>
      <c r="J15" s="35" t="inlineStr">
        <is>
          <t>Nominated</t>
        </is>
      </c>
    </row>
    <row r="16">
      <c r="A16">
        <f>IF($B16="","",ROW()-5)</f>
        <v/>
      </c>
      <c r="D16">
        <f>IF($B16="","",IF(C16="","",TEXT(C16,"MMM")))</f>
        <v/>
      </c>
    </row>
    <row r="17">
      <c r="A17">
        <f>IF($B17="","",ROW()-5)</f>
        <v/>
      </c>
      <c r="D17">
        <f>IF($B17="","",IF(C17="","",TEXT(C17,"MMM")))</f>
        <v/>
      </c>
    </row>
    <row r="18">
      <c r="A18">
        <f>IF($B18="","",ROW()-5)</f>
        <v/>
      </c>
      <c r="D18">
        <f>IF($B18="","",IF(C18="","",TEXT(C18,"MMM")))</f>
        <v/>
      </c>
    </row>
    <row r="19">
      <c r="A19">
        <f>IF($B19="","",ROW()-5)</f>
        <v/>
      </c>
      <c r="D19">
        <f>IF($B19="","",IF(C19="","",TEXT(C19,"MMM")))</f>
        <v/>
      </c>
    </row>
    <row r="20">
      <c r="A20">
        <f>IF($B20="","",ROW()-5)</f>
        <v/>
      </c>
      <c r="D20">
        <f>IF($B20="","",IF(C20="","",TEXT(C20,"MMM")))</f>
        <v/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J15"/>
  <mergeCells count="3">
    <mergeCell ref="A1:J1"/>
    <mergeCell ref="A3:D3"/>
    <mergeCell ref="A2:J2"/>
  </mergeCells>
  <conditionalFormatting sqref="J6:J15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4">
    <dataValidation sqref="E6:E506" showDropDown="0" showInputMessage="0" showErrorMessage="0" allowBlank="1" type="list">
      <formula1>L_Award_Category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H6:H506" showDropDown="0" showInputMessage="0" showErrorMessage="0" allowBlank="1" type="list">
      <formula1>L_Reward_Type</formula1>
      <formula2>0</formula2>
    </dataValidation>
    <dataValidation sqref="J6:J506" showDropDown="0" showInputMessage="0" showErrorMessage="0" allowBlank="1" type="list">
      <formula1>L_Status_7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tabColor rgb="FFB71C1C"/>
    <outlinePr summaryBelow="1" summaryRight="1"/>
    <pageSetUpPr/>
  </sheetPr>
  <dimension ref="A1:M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2" customWidth="1" style="15" min="5" max="5"/>
    <col width="14" customWidth="1" style="15" min="6" max="7"/>
    <col width="16" customWidth="1" style="15" min="8" max="9"/>
    <col width="12" customWidth="1" style="15" min="10" max="10"/>
    <col width="10" customWidth="1" style="15" min="11" max="11"/>
    <col width="16" customWidth="1" style="15" min="12" max="12"/>
    <col width="10" customWidth="1" style="15" min="13" max="13"/>
  </cols>
  <sheetData>
    <row r="1" ht="42" customHeight="1" s="15">
      <c r="A1" s="202" t="inlineStr">
        <is>
          <t>🛑  STOP WORK AUTHORITY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DETAILS</t>
        </is>
      </c>
      <c r="F3" s="39" t="inlineStr">
        <is>
          <t>ORGANIZATIONAL</t>
        </is>
      </c>
      <c r="H3" s="17" t="inlineStr">
        <is>
          <t>PEOPLE</t>
        </is>
      </c>
      <c r="J3" s="40" t="inlineStr">
        <is>
          <t>IMPACT</t>
        </is>
      </c>
      <c r="K3" s="18" t="inlineStr">
        <is>
          <t>CLASSIFICATION</t>
        </is>
      </c>
      <c r="L3" s="19" t="inlineStr">
        <is>
          <t>STATUS</t>
        </is>
      </c>
      <c r="M3" s="20" t="inlineStr">
        <is>
          <t>COMPLIANCE</t>
        </is>
      </c>
    </row>
    <row r="4" ht="31.5" customHeight="1" s="15">
      <c r="A4" s="45" t="inlineStr">
        <is>
          <t>S.No</t>
        </is>
      </c>
      <c r="B4" s="45" t="inlineStr">
        <is>
          <t>SWA No.</t>
        </is>
      </c>
      <c r="C4" s="45" t="inlineStr">
        <is>
          <t>Date</t>
        </is>
      </c>
      <c r="D4" s="45" t="inlineStr">
        <is>
          <t>Month</t>
        </is>
      </c>
      <c r="E4" s="45" t="inlineStr">
        <is>
          <t>Reason for Stop Work</t>
        </is>
      </c>
      <c r="F4" s="45" t="inlineStr">
        <is>
          <t>Department</t>
        </is>
      </c>
      <c r="G4" s="45" t="inlineStr">
        <is>
          <t>Location</t>
        </is>
      </c>
      <c r="H4" s="45" t="inlineStr">
        <is>
          <t>Initiated By</t>
        </is>
      </c>
      <c r="I4" s="45" t="inlineStr">
        <is>
          <t>Authorized By</t>
        </is>
      </c>
      <c r="J4" s="45" t="inlineStr">
        <is>
          <t>Downtime (min)</t>
        </is>
      </c>
      <c r="K4" s="45" t="inlineStr">
        <is>
          <t>Severity</t>
        </is>
      </c>
      <c r="L4" s="45" t="inlineStr">
        <is>
          <t>Resolution</t>
        </is>
      </c>
      <c r="M4" s="45" t="inlineStr">
        <is>
          <t>Investigation Done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</row>
    <row r="6" ht="21.75" customHeight="1" s="15">
      <c r="A6" s="24" t="n">
        <v>1</v>
      </c>
      <c r="B6" s="25" t="inlineStr">
        <is>
          <t>SWA-001</t>
        </is>
      </c>
      <c r="C6" s="26" t="n">
        <v>46371</v>
      </c>
      <c r="D6" s="24">
        <f>IF(C6="","",TEXT(C6,"MMM"))</f>
        <v/>
      </c>
      <c r="E6" s="27" t="inlineStr">
        <is>
          <t>Weather Condition</t>
        </is>
      </c>
      <c r="F6" s="28" t="inlineStr">
        <is>
          <t>Maintenance</t>
        </is>
      </c>
      <c r="G6" s="28" t="inlineStr">
        <is>
          <t>Field Site</t>
        </is>
      </c>
      <c r="H6" s="27" t="inlineStr">
        <is>
          <t>Ahmed Khan</t>
        </is>
      </c>
      <c r="I6" s="27" t="inlineStr">
        <is>
          <t>Sarah Wilson</t>
        </is>
      </c>
      <c r="J6" s="29" t="n">
        <v>26</v>
      </c>
      <c r="K6" s="28" t="inlineStr">
        <is>
          <t>Medium</t>
        </is>
      </c>
      <c r="L6" s="27" t="inlineStr">
        <is>
          <t>Permanent Fix Applied</t>
        </is>
      </c>
      <c r="M6" s="28" t="inlineStr">
        <is>
          <t>Yes</t>
        </is>
      </c>
    </row>
    <row r="7" ht="15" customHeight="1" s="15">
      <c r="A7" s="31" t="n">
        <v>2</v>
      </c>
      <c r="B7" s="32" t="inlineStr">
        <is>
          <t>SWA-002</t>
        </is>
      </c>
      <c r="C7" s="33" t="n">
        <v>46352</v>
      </c>
      <c r="D7" s="31">
        <f>IF(C7="","",TEXT(C7,"MMM"))</f>
        <v/>
      </c>
      <c r="E7" s="34" t="inlineStr">
        <is>
          <t>Permit Expired</t>
        </is>
      </c>
      <c r="F7" s="35" t="inlineStr">
        <is>
          <t>Construction</t>
        </is>
      </c>
      <c r="G7" s="35" t="inlineStr">
        <is>
          <t>Warehouse</t>
        </is>
      </c>
      <c r="H7" s="34" t="inlineStr">
        <is>
          <t>Tom Brown</t>
        </is>
      </c>
      <c r="I7" s="34" t="inlineStr">
        <is>
          <t>Raj Patel</t>
        </is>
      </c>
      <c r="J7" s="36" t="n">
        <v>184</v>
      </c>
      <c r="K7" s="35" t="inlineStr">
        <is>
          <t>Critical</t>
        </is>
      </c>
      <c r="L7" s="34" t="inlineStr">
        <is>
          <t>Under Investigation</t>
        </is>
      </c>
      <c r="M7" s="35" t="inlineStr">
        <is>
          <t>Yes</t>
        </is>
      </c>
    </row>
    <row r="8" ht="15" customHeight="1" s="15">
      <c r="A8" s="24" t="n">
        <v>3</v>
      </c>
      <c r="B8" s="25" t="inlineStr">
        <is>
          <t>SWA-003</t>
        </is>
      </c>
      <c r="C8" s="26" t="n">
        <v>46224</v>
      </c>
      <c r="D8" s="24">
        <f>IF(C8="","",TEXT(C8,"MMM"))</f>
        <v/>
      </c>
      <c r="E8" s="27" t="inlineStr">
        <is>
          <t>Permit Expired</t>
        </is>
      </c>
      <c r="F8" s="28" t="inlineStr">
        <is>
          <t>Engineering</t>
        </is>
      </c>
      <c r="G8" s="28" t="inlineStr">
        <is>
          <t>Office</t>
        </is>
      </c>
      <c r="H8" s="27" t="inlineStr">
        <is>
          <t>David Chen</t>
        </is>
      </c>
      <c r="I8" s="27" t="inlineStr">
        <is>
          <t>Ahmed Khan</t>
        </is>
      </c>
      <c r="J8" s="29" t="n">
        <v>392</v>
      </c>
      <c r="K8" s="28" t="inlineStr">
        <is>
          <t>High</t>
        </is>
      </c>
      <c r="L8" s="27" t="inlineStr">
        <is>
          <t>Under Investigation</t>
        </is>
      </c>
      <c r="M8" s="28" t="inlineStr">
        <is>
          <t>No</t>
        </is>
      </c>
    </row>
    <row r="9" ht="15" customHeight="1" s="15">
      <c r="A9" s="31" t="n">
        <v>4</v>
      </c>
      <c r="B9" s="32" t="inlineStr">
        <is>
          <t>SWA-004</t>
        </is>
      </c>
      <c r="C9" s="33" t="n">
        <v>46204</v>
      </c>
      <c r="D9" s="31">
        <f>IF(C9="","",TEXT(C9,"MMM"))</f>
        <v/>
      </c>
      <c r="E9" s="34" t="inlineStr">
        <is>
          <t>PPE Non-Compliance</t>
        </is>
      </c>
      <c r="F9" s="35" t="inlineStr">
        <is>
          <t>Construction</t>
        </is>
      </c>
      <c r="G9" s="35" t="inlineStr">
        <is>
          <t>Field Site</t>
        </is>
      </c>
      <c r="H9" s="34" t="inlineStr">
        <is>
          <t>Sarah Wilson</t>
        </is>
      </c>
      <c r="I9" s="34" t="inlineStr">
        <is>
          <t>Lisa Park</t>
        </is>
      </c>
      <c r="J9" s="36" t="n">
        <v>67</v>
      </c>
      <c r="K9" s="35" t="inlineStr">
        <is>
          <t>High</t>
        </is>
      </c>
      <c r="L9" s="34" t="inlineStr">
        <is>
          <t>Under Investigation</t>
        </is>
      </c>
      <c r="M9" s="35" t="inlineStr">
        <is>
          <t>No</t>
        </is>
      </c>
    </row>
    <row r="10" ht="21.75" customHeight="1" s="15">
      <c r="A10" s="24" t="n">
        <v>5</v>
      </c>
      <c r="B10" s="25" t="inlineStr">
        <is>
          <t>SWA-005</t>
        </is>
      </c>
      <c r="C10" s="26" t="n">
        <v>46127</v>
      </c>
      <c r="D10" s="24">
        <f>IF(C10="","",TEXT(C10,"MMM"))</f>
        <v/>
      </c>
      <c r="E10" s="27" t="inlineStr">
        <is>
          <t>Unsafe Condition</t>
        </is>
      </c>
      <c r="F10" s="28" t="inlineStr">
        <is>
          <t>Safety</t>
        </is>
      </c>
      <c r="G10" s="28" t="inlineStr">
        <is>
          <t>Tank Farm</t>
        </is>
      </c>
      <c r="H10" s="27" t="inlineStr">
        <is>
          <t>Tom Brown</t>
        </is>
      </c>
      <c r="I10" s="27" t="inlineStr">
        <is>
          <t>Fatima Al-Said</t>
        </is>
      </c>
      <c r="J10" s="29" t="n">
        <v>320</v>
      </c>
      <c r="K10" s="28" t="inlineStr">
        <is>
          <t>Critical</t>
        </is>
      </c>
      <c r="L10" s="27" t="inlineStr">
        <is>
          <t>Permanent Fix Applied</t>
        </is>
      </c>
      <c r="M10" s="28" t="inlineStr">
        <is>
          <t>No</t>
        </is>
      </c>
    </row>
    <row r="11" ht="21.75" customHeight="1" s="15">
      <c r="A11" s="31" t="n">
        <v>6</v>
      </c>
      <c r="B11" s="32" t="inlineStr">
        <is>
          <t>SWA-006</t>
        </is>
      </c>
      <c r="C11" s="33" t="n">
        <v>46299</v>
      </c>
      <c r="D11" s="31">
        <f>IF(C11="","",TEXT(C11,"MMM"))</f>
        <v/>
      </c>
      <c r="E11" s="34" t="inlineStr">
        <is>
          <t>Weather Condition</t>
        </is>
      </c>
      <c r="F11" s="35" t="inlineStr">
        <is>
          <t>Logistics</t>
        </is>
      </c>
      <c r="G11" s="35" t="inlineStr">
        <is>
          <t>Tank Farm</t>
        </is>
      </c>
      <c r="H11" s="34" t="inlineStr">
        <is>
          <t>Lisa Park</t>
        </is>
      </c>
      <c r="I11" s="34" t="inlineStr">
        <is>
          <t>Raj Patel</t>
        </is>
      </c>
      <c r="J11" s="36" t="n">
        <v>431</v>
      </c>
      <c r="K11" s="35" t="inlineStr">
        <is>
          <t>Medium</t>
        </is>
      </c>
      <c r="L11" s="34" t="inlineStr">
        <is>
          <t>Permanent Fix Applied</t>
        </is>
      </c>
      <c r="M11" s="35" t="inlineStr">
        <is>
          <t>Yes</t>
        </is>
      </c>
    </row>
    <row r="12" ht="21.75" customHeight="1" s="15">
      <c r="A12" s="24" t="n">
        <v>7</v>
      </c>
      <c r="B12" s="25" t="inlineStr">
        <is>
          <t>SWA-007</t>
        </is>
      </c>
      <c r="C12" s="26" t="n">
        <v>46331</v>
      </c>
      <c r="D12" s="24">
        <f>IF(C12="","",TEXT(C12,"MMM"))</f>
        <v/>
      </c>
      <c r="E12" s="27" t="inlineStr">
        <is>
          <t>Weather Condition</t>
        </is>
      </c>
      <c r="F12" s="28" t="inlineStr">
        <is>
          <t>Maintenance</t>
        </is>
      </c>
      <c r="G12" s="28" t="inlineStr">
        <is>
          <t>Workshop</t>
        </is>
      </c>
      <c r="H12" s="27" t="inlineStr">
        <is>
          <t>John Smith</t>
        </is>
      </c>
      <c r="I12" s="27" t="inlineStr">
        <is>
          <t>Sarah Wilson</t>
        </is>
      </c>
      <c r="J12" s="29" t="n">
        <v>108</v>
      </c>
      <c r="K12" s="28" t="inlineStr">
        <is>
          <t>Medium</t>
        </is>
      </c>
      <c r="L12" s="27" t="inlineStr">
        <is>
          <t>Permanent Fix Applied</t>
        </is>
      </c>
      <c r="M12" s="28" t="inlineStr">
        <is>
          <t>Yes</t>
        </is>
      </c>
    </row>
    <row r="13" ht="15" customHeight="1" s="15">
      <c r="A13" s="31" t="n">
        <v>8</v>
      </c>
      <c r="B13" s="32" t="inlineStr">
        <is>
          <t>SWA-008</t>
        </is>
      </c>
      <c r="C13" s="33" t="n">
        <v>46278</v>
      </c>
      <c r="D13" s="31">
        <f>IF(C13="","",TEXT(C13,"MMM"))</f>
        <v/>
      </c>
      <c r="E13" s="34" t="inlineStr">
        <is>
          <t>Gas Detection</t>
        </is>
      </c>
      <c r="F13" s="35" t="inlineStr">
        <is>
          <t>Contractor</t>
        </is>
      </c>
      <c r="G13" s="35" t="inlineStr">
        <is>
          <t>Warehouse</t>
        </is>
      </c>
      <c r="H13" s="34" t="inlineStr">
        <is>
          <t>Lisa Park</t>
        </is>
      </c>
      <c r="I13" s="34" t="inlineStr">
        <is>
          <t>David Chen</t>
        </is>
      </c>
      <c r="J13" s="36" t="n">
        <v>231</v>
      </c>
      <c r="K13" s="35" t="inlineStr">
        <is>
          <t>High</t>
        </is>
      </c>
      <c r="L13" s="34" t="inlineStr">
        <is>
          <t>Under Investigation</t>
        </is>
      </c>
      <c r="M13" s="35" t="inlineStr">
        <is>
          <t>Yes</t>
        </is>
      </c>
    </row>
    <row r="14" ht="21.75" customHeight="1" s="15">
      <c r="A14" s="24" t="n">
        <v>9</v>
      </c>
      <c r="B14" s="25" t="inlineStr">
        <is>
          <t>SWA-009</t>
        </is>
      </c>
      <c r="C14" s="26" t="n">
        <v>46271</v>
      </c>
      <c r="D14" s="24">
        <f>IF(C14="","",TEXT(C14,"MMM"))</f>
        <v/>
      </c>
      <c r="E14" s="27" t="inlineStr">
        <is>
          <t>Structural Concern</t>
        </is>
      </c>
      <c r="F14" s="28" t="inlineStr">
        <is>
          <t>Safety</t>
        </is>
      </c>
      <c r="G14" s="28" t="inlineStr">
        <is>
          <t>Warehouse</t>
        </is>
      </c>
      <c r="H14" s="27" t="inlineStr">
        <is>
          <t>Raj Patel</t>
        </is>
      </c>
      <c r="I14" s="27" t="inlineStr">
        <is>
          <t>Fatima Al-Said</t>
        </is>
      </c>
      <c r="J14" s="29" t="n">
        <v>446</v>
      </c>
      <c r="K14" s="28" t="inlineStr">
        <is>
          <t>Critical</t>
        </is>
      </c>
      <c r="L14" s="27" t="inlineStr">
        <is>
          <t>Permanent Fix Applied</t>
        </is>
      </c>
      <c r="M14" s="28" t="inlineStr">
        <is>
          <t>Yes</t>
        </is>
      </c>
    </row>
    <row r="15" ht="15" customHeight="1" s="15">
      <c r="A15" s="31" t="n">
        <v>10</v>
      </c>
      <c r="B15" s="32" t="inlineStr">
        <is>
          <t>SWA-010</t>
        </is>
      </c>
      <c r="C15" s="33" t="n">
        <v>46174</v>
      </c>
      <c r="D15" s="31">
        <f>IF(C15="","",TEXT(C15,"MMM"))</f>
        <v/>
      </c>
      <c r="E15" s="34" t="inlineStr">
        <is>
          <t>Structural Concern</t>
        </is>
      </c>
      <c r="F15" s="35" t="inlineStr">
        <is>
          <t>Engineering</t>
        </is>
      </c>
      <c r="G15" s="35" t="inlineStr">
        <is>
          <t>Workshop</t>
        </is>
      </c>
      <c r="H15" s="34" t="inlineStr">
        <is>
          <t>David Chen</t>
        </is>
      </c>
      <c r="I15" s="34" t="inlineStr">
        <is>
          <t>Tom Brown</t>
        </is>
      </c>
      <c r="J15" s="36" t="n">
        <v>273</v>
      </c>
      <c r="K15" s="35" t="inlineStr">
        <is>
          <t>Critical</t>
        </is>
      </c>
      <c r="L15" s="34" t="inlineStr">
        <is>
          <t>Under Investigation</t>
        </is>
      </c>
      <c r="M15" s="35" t="inlineStr">
        <is>
          <t>No</t>
        </is>
      </c>
    </row>
    <row r="16">
      <c r="A16">
        <f>IF($B16="","",ROW()-5)</f>
        <v/>
      </c>
      <c r="D16">
        <f>IF($B16="","",IF(C16="","",TEXT(C16,"MMM")))</f>
        <v/>
      </c>
    </row>
    <row r="17">
      <c r="A17">
        <f>IF($B17="","",ROW()-5)</f>
        <v/>
      </c>
      <c r="D17">
        <f>IF($B17="","",IF(C17="","",TEXT(C17,"MMM")))</f>
        <v/>
      </c>
    </row>
    <row r="18">
      <c r="A18">
        <f>IF($B18="","",ROW()-5)</f>
        <v/>
      </c>
      <c r="D18">
        <f>IF($B18="","",IF(C18="","",TEXT(C18,"MMM")))</f>
        <v/>
      </c>
    </row>
    <row r="19">
      <c r="A19">
        <f>IF($B19="","",ROW()-5)</f>
        <v/>
      </c>
      <c r="D19">
        <f>IF($B19="","",IF(C19="","",TEXT(C19,"MMM")))</f>
        <v/>
      </c>
    </row>
    <row r="20">
      <c r="A20">
        <f>IF($B20="","",ROW()-5)</f>
        <v/>
      </c>
      <c r="D20">
        <f>IF($B20="","",IF(C20="","",TEXT(C20,"MMM")))</f>
        <v/>
      </c>
    </row>
    <row r="21">
      <c r="A21">
        <f>IF($B21="","",ROW()-5)</f>
        <v/>
      </c>
      <c r="D21">
        <f>IF($B21="","",IF(C21="","",TEXT(C21,"MMM")))</f>
        <v/>
      </c>
    </row>
    <row r="22">
      <c r="A22">
        <f>IF($B22="","",ROW()-5)</f>
        <v/>
      </c>
      <c r="D22">
        <f>IF($B22="","",IF(C22="","",TEXT(C22,"MMM")))</f>
        <v/>
      </c>
    </row>
    <row r="23">
      <c r="A23">
        <f>IF($B23="","",ROW()-5)</f>
        <v/>
      </c>
      <c r="D23">
        <f>IF($B23="","",IF(C23="","",TEXT(C23,"MMM")))</f>
        <v/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M15"/>
  <mergeCells count="5">
    <mergeCell ref="F3:G3"/>
    <mergeCell ref="A1:M1"/>
    <mergeCell ref="A3:D3"/>
    <mergeCell ref="A2:M2"/>
    <mergeCell ref="H3:I3"/>
  </mergeCells>
  <conditionalFormatting sqref="K6:K15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dataValidations count="5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K6:K506" showDropDown="0" showInputMessage="0" showErrorMessage="0" allowBlank="1" type="list">
      <formula1>L_Severity</formula1>
      <formula2>0</formula2>
    </dataValidation>
    <dataValidation sqref="L6:L506" showDropDown="0" showInputMessage="0" showErrorMessage="0" allowBlank="1" type="list">
      <formula1>L_Resolution</formula1>
      <formula2>0</formula2>
    </dataValidation>
    <dataValidation sqref="M6:M506" showDropDown="0" showInputMessage="0" showErrorMessage="0" allowBlank="1" type="list">
      <formula1>L_Action_Required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rgb="FF3E2723"/>
    <outlinePr summaryBelow="1" summaryRight="1"/>
    <pageSetUpPr/>
  </sheetPr>
  <dimension ref="A1:J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4" customWidth="1" style="15" min="5" max="5"/>
    <col width="16" customWidth="1" style="15" min="6" max="6"/>
    <col width="14" customWidth="1" style="15" min="7" max="7"/>
    <col width="10" customWidth="1" style="15" min="8" max="8"/>
    <col width="16" customWidth="1" style="15" min="9" max="9"/>
    <col width="14" customWidth="1" style="15" min="10" max="10"/>
  </cols>
  <sheetData>
    <row r="1" ht="42" customHeight="1" s="15">
      <c r="A1" s="215" t="inlineStr">
        <is>
          <t>🧪  RANDOM ALCOHOL TESTS — DATA ENTRY</t>
        </is>
      </c>
    </row>
    <row r="2" ht="21.75" customHeight="1" s="15">
      <c r="A2" s="216" t="inlineStr">
        <is>
          <t>🔵 Blue = User Input  |  ⚫ Gray = Auto-Calculated  |  Use dropdowns where available</t>
        </is>
      </c>
    </row>
    <row r="3" ht="19.5" customHeight="1" s="15">
      <c r="A3" s="217" t="inlineStr">
        <is>
          <t>IDENTIFICATION</t>
        </is>
      </c>
      <c r="E3" s="16" t="inlineStr">
        <is>
          <t>ORGANIZATIONAL</t>
        </is>
      </c>
      <c r="F3" s="39" t="inlineStr">
        <is>
          <t>PEOPLE</t>
        </is>
      </c>
      <c r="G3" s="17" t="inlineStr">
        <is>
          <t>CLASSIFICATION</t>
        </is>
      </c>
      <c r="H3" s="40" t="inlineStr">
        <is>
          <t>RESULT</t>
        </is>
      </c>
      <c r="I3" s="18" t="inlineStr">
        <is>
          <t>PEOPLE</t>
        </is>
      </c>
      <c r="J3" s="19" t="inlineStr">
        <is>
          <t>STATUS</t>
        </is>
      </c>
    </row>
    <row r="4" ht="31.5" customHeight="1" s="15">
      <c r="A4" s="51" t="inlineStr">
        <is>
          <t>S.No</t>
        </is>
      </c>
      <c r="B4" s="51" t="inlineStr">
        <is>
          <t>Test ID</t>
        </is>
      </c>
      <c r="C4" s="51" t="inlineStr">
        <is>
          <t>Date</t>
        </is>
      </c>
      <c r="D4" s="51" t="inlineStr">
        <is>
          <t>Month</t>
        </is>
      </c>
      <c r="E4" s="51" t="inlineStr">
        <is>
          <t>Department</t>
        </is>
      </c>
      <c r="F4" s="51" t="inlineStr">
        <is>
          <t>Employee Tested</t>
        </is>
      </c>
      <c r="G4" s="51" t="inlineStr">
        <is>
          <t>Test Type</t>
        </is>
      </c>
      <c r="H4" s="51" t="inlineStr">
        <is>
          <t>Result</t>
        </is>
      </c>
      <c r="I4" s="51" t="inlineStr">
        <is>
          <t>Tested By</t>
        </is>
      </c>
      <c r="J4" s="51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2" t="inlineStr">
        <is>
          <t>⚙️ AUTO</t>
        </is>
      </c>
    </row>
    <row r="6" ht="15" customHeight="1" s="15">
      <c r="A6" s="24" t="n">
        <v>1</v>
      </c>
      <c r="B6" s="25" t="inlineStr">
        <is>
          <t>RAT-001</t>
        </is>
      </c>
      <c r="C6" s="26" t="n">
        <v>46226</v>
      </c>
      <c r="D6" s="24">
        <f>IF(C6="","",TEXT(C6,"MMM"))</f>
        <v/>
      </c>
      <c r="E6" s="28" t="inlineStr">
        <is>
          <t>Admin</t>
        </is>
      </c>
      <c r="F6" s="27" t="inlineStr">
        <is>
          <t>Priya Sharma</t>
        </is>
      </c>
      <c r="G6" s="28" t="inlineStr">
        <is>
          <t>Random</t>
        </is>
      </c>
      <c r="H6" s="28" t="inlineStr">
        <is>
          <t>Negative</t>
        </is>
      </c>
      <c r="I6" s="27" t="inlineStr">
        <is>
          <t>Lisa Park</t>
        </is>
      </c>
      <c r="J6" s="24">
        <f>IF(H6="Negative","✅ Clear","🚨 Action Required")</f>
        <v/>
      </c>
    </row>
    <row r="7" ht="15" customHeight="1" s="15">
      <c r="A7" s="31" t="n">
        <v>2</v>
      </c>
      <c r="B7" s="32" t="inlineStr">
        <is>
          <t>RAT-002</t>
        </is>
      </c>
      <c r="C7" s="33" t="n">
        <v>46048</v>
      </c>
      <c r="D7" s="31">
        <f>IF(C7="","",TEXT(C7,"MMM"))</f>
        <v/>
      </c>
      <c r="E7" s="35" t="inlineStr">
        <is>
          <t>Construction</t>
        </is>
      </c>
      <c r="F7" s="34" t="inlineStr">
        <is>
          <t>John Smith</t>
        </is>
      </c>
      <c r="G7" s="35" t="inlineStr">
        <is>
          <t>Pre-Shift</t>
        </is>
      </c>
      <c r="H7" s="35" t="inlineStr">
        <is>
          <t>Negative</t>
        </is>
      </c>
      <c r="I7" s="34" t="inlineStr">
        <is>
          <t>Maria Garcia</t>
        </is>
      </c>
      <c r="J7" s="31">
        <f>IF(H7="Negative","✅ Clear","🚨 Action Required")</f>
        <v/>
      </c>
    </row>
    <row r="8" ht="21.75" customHeight="1" s="15">
      <c r="A8" s="24" t="n">
        <v>3</v>
      </c>
      <c r="B8" s="25" t="inlineStr">
        <is>
          <t>RAT-003</t>
        </is>
      </c>
      <c r="C8" s="26" t="n">
        <v>46275</v>
      </c>
      <c r="D8" s="24">
        <f>IF(C8="","",TEXT(C8,"MMM"))</f>
        <v/>
      </c>
      <c r="E8" s="28" t="inlineStr">
        <is>
          <t>Engineering</t>
        </is>
      </c>
      <c r="F8" s="27" t="inlineStr">
        <is>
          <t>Priya Sharma</t>
        </is>
      </c>
      <c r="G8" s="28" t="inlineStr">
        <is>
          <t>Reasonable Suspicion</t>
        </is>
      </c>
      <c r="H8" s="28" t="inlineStr">
        <is>
          <t>Negative</t>
        </is>
      </c>
      <c r="I8" s="27" t="inlineStr">
        <is>
          <t>Tom Brown</t>
        </is>
      </c>
      <c r="J8" s="24">
        <f>IF(H8="Negative","✅ Clear","🚨 Action Required")</f>
        <v/>
      </c>
    </row>
    <row r="9" ht="15" customHeight="1" s="15">
      <c r="A9" s="31" t="n">
        <v>4</v>
      </c>
      <c r="B9" s="32" t="inlineStr">
        <is>
          <t>RAT-004</t>
        </is>
      </c>
      <c r="C9" s="33" t="n">
        <v>46072</v>
      </c>
      <c r="D9" s="31">
        <f>IF(C9="","",TEXT(C9,"MMM"))</f>
        <v/>
      </c>
      <c r="E9" s="35" t="inlineStr">
        <is>
          <t>Maintenance</t>
        </is>
      </c>
      <c r="F9" s="34" t="inlineStr">
        <is>
          <t>John Smith</t>
        </is>
      </c>
      <c r="G9" s="35" t="inlineStr">
        <is>
          <t>Post-Incident</t>
        </is>
      </c>
      <c r="H9" s="35" t="inlineStr">
        <is>
          <t>Negative</t>
        </is>
      </c>
      <c r="I9" s="34" t="inlineStr">
        <is>
          <t>Ahmed Khan</t>
        </is>
      </c>
      <c r="J9" s="31">
        <f>IF(H9="Negative","✅ Clear","🚨 Action Required")</f>
        <v/>
      </c>
    </row>
    <row r="10" ht="21.75" customHeight="1" s="15">
      <c r="A10" s="24" t="n">
        <v>5</v>
      </c>
      <c r="B10" s="25" t="inlineStr">
        <is>
          <t>RAT-005</t>
        </is>
      </c>
      <c r="C10" s="26" t="n">
        <v>46371</v>
      </c>
      <c r="D10" s="24">
        <f>IF(C10="","",TEXT(C10,"MMM"))</f>
        <v/>
      </c>
      <c r="E10" s="28" t="inlineStr">
        <is>
          <t>Projects</t>
        </is>
      </c>
      <c r="F10" s="27" t="inlineStr">
        <is>
          <t>Maria Garcia</t>
        </is>
      </c>
      <c r="G10" s="28" t="inlineStr">
        <is>
          <t>Reasonable Suspicion</t>
        </is>
      </c>
      <c r="H10" s="28" t="inlineStr">
        <is>
          <t>Negative</t>
        </is>
      </c>
      <c r="I10" s="27" t="inlineStr">
        <is>
          <t>Maria Garcia</t>
        </is>
      </c>
      <c r="J10" s="24">
        <f>IF(H10="Negative","✅ Clear","🚨 Action Required")</f>
        <v/>
      </c>
    </row>
    <row r="11" ht="15" customHeight="1" s="15">
      <c r="A11" s="31" t="n">
        <v>6</v>
      </c>
      <c r="B11" s="32" t="inlineStr">
        <is>
          <t>RAT-006</t>
        </is>
      </c>
      <c r="C11" s="33" t="n">
        <v>46170</v>
      </c>
      <c r="D11" s="31">
        <f>IF(C11="","",TEXT(C11,"MMM"))</f>
        <v/>
      </c>
      <c r="E11" s="35" t="inlineStr">
        <is>
          <t>Operations</t>
        </is>
      </c>
      <c r="F11" s="34" t="inlineStr">
        <is>
          <t>Priya Sharma</t>
        </is>
      </c>
      <c r="G11" s="35" t="inlineStr">
        <is>
          <t>Post-Incident</t>
        </is>
      </c>
      <c r="H11" s="35" t="inlineStr">
        <is>
          <t>Negative</t>
        </is>
      </c>
      <c r="I11" s="34" t="inlineStr">
        <is>
          <t>Sarah Wilson</t>
        </is>
      </c>
      <c r="J11" s="31">
        <f>IF(H11="Negative","✅ Clear","🚨 Action Required")</f>
        <v/>
      </c>
    </row>
    <row r="12" ht="21.75" customHeight="1" s="15">
      <c r="A12" s="24" t="n">
        <v>7</v>
      </c>
      <c r="B12" s="25" t="inlineStr">
        <is>
          <t>RAT-007</t>
        </is>
      </c>
      <c r="C12" s="26" t="n">
        <v>46262</v>
      </c>
      <c r="D12" s="24">
        <f>IF(C12="","",TEXT(C12,"MMM"))</f>
        <v/>
      </c>
      <c r="E12" s="28" t="inlineStr">
        <is>
          <t>Maintenance</t>
        </is>
      </c>
      <c r="F12" s="27" t="inlineStr">
        <is>
          <t>Maria Garcia</t>
        </is>
      </c>
      <c r="G12" s="28" t="inlineStr">
        <is>
          <t>Random</t>
        </is>
      </c>
      <c r="H12" s="28" t="inlineStr">
        <is>
          <t>Positive</t>
        </is>
      </c>
      <c r="I12" s="27" t="inlineStr">
        <is>
          <t>Lisa Park</t>
        </is>
      </c>
      <c r="J12" s="24">
        <f>IF(H12="Negative","✅ Clear","🚨 Action Required")</f>
        <v/>
      </c>
    </row>
    <row r="13" ht="15" customHeight="1" s="15">
      <c r="A13" s="31" t="n">
        <v>8</v>
      </c>
      <c r="B13" s="32" t="inlineStr">
        <is>
          <t>RAT-008</t>
        </is>
      </c>
      <c r="C13" s="33" t="n">
        <v>46368</v>
      </c>
      <c r="D13" s="31">
        <f>IF(C13="","",TEXT(C13,"MMM"))</f>
        <v/>
      </c>
      <c r="E13" s="35" t="inlineStr">
        <is>
          <t>Contractor</t>
        </is>
      </c>
      <c r="F13" s="34" t="inlineStr">
        <is>
          <t>David Chen</t>
        </is>
      </c>
      <c r="G13" s="35" t="inlineStr">
        <is>
          <t>Random</t>
        </is>
      </c>
      <c r="H13" s="35" t="inlineStr">
        <is>
          <t>Negative</t>
        </is>
      </c>
      <c r="I13" s="34" t="inlineStr">
        <is>
          <t>Raj Patel</t>
        </is>
      </c>
      <c r="J13" s="31">
        <f>IF(H13="Negative","✅ Clear","🚨 Action Required")</f>
        <v/>
      </c>
    </row>
    <row r="14" ht="15" customHeight="1" s="15">
      <c r="A14" s="24" t="n">
        <v>9</v>
      </c>
      <c r="B14" s="25" t="inlineStr">
        <is>
          <t>RAT-009</t>
        </is>
      </c>
      <c r="C14" s="26" t="n">
        <v>46139</v>
      </c>
      <c r="D14" s="24">
        <f>IF(C14="","",TEXT(C14,"MMM"))</f>
        <v/>
      </c>
      <c r="E14" s="28" t="inlineStr">
        <is>
          <t>Construction</t>
        </is>
      </c>
      <c r="F14" s="27" t="inlineStr">
        <is>
          <t>Ahmed Khan</t>
        </is>
      </c>
      <c r="G14" s="28" t="inlineStr">
        <is>
          <t>Post-Incident</t>
        </is>
      </c>
      <c r="H14" s="28" t="inlineStr">
        <is>
          <t>Negative</t>
        </is>
      </c>
      <c r="I14" s="27" t="inlineStr">
        <is>
          <t>John Smith</t>
        </is>
      </c>
      <c r="J14" s="24">
        <f>IF(H14="Negative","✅ Clear","🚨 Action Required")</f>
        <v/>
      </c>
    </row>
    <row r="15" ht="15" customHeight="1" s="15">
      <c r="A15" s="31" t="n">
        <v>10</v>
      </c>
      <c r="B15" s="32" t="inlineStr">
        <is>
          <t>RAT-010</t>
        </is>
      </c>
      <c r="C15" s="33" t="n">
        <v>46313</v>
      </c>
      <c r="D15" s="31">
        <f>IF(C15="","",TEXT(C15,"MMM"))</f>
        <v/>
      </c>
      <c r="E15" s="35" t="inlineStr">
        <is>
          <t>Engineering</t>
        </is>
      </c>
      <c r="F15" s="34" t="inlineStr">
        <is>
          <t>Fatima Al-Said</t>
        </is>
      </c>
      <c r="G15" s="35" t="inlineStr">
        <is>
          <t>Post-Incident</t>
        </is>
      </c>
      <c r="H15" s="35" t="inlineStr">
        <is>
          <t>Negative</t>
        </is>
      </c>
      <c r="I15" s="34" t="inlineStr">
        <is>
          <t>Lisa Park</t>
        </is>
      </c>
      <c r="J15" s="31">
        <f>IF(H15="Negative","✅ Clear","🚨 Action Required")</f>
        <v/>
      </c>
    </row>
    <row r="16" ht="15" customHeight="1" s="15">
      <c r="A16" s="24" t="n">
        <v>11</v>
      </c>
      <c r="B16" s="25" t="inlineStr">
        <is>
          <t>RAT-011</t>
        </is>
      </c>
      <c r="C16" s="26" t="n">
        <v>46170</v>
      </c>
      <c r="D16" s="24">
        <f>IF(C16="","",TEXT(C16,"MMM"))</f>
        <v/>
      </c>
      <c r="E16" s="28" t="inlineStr">
        <is>
          <t>Projects</t>
        </is>
      </c>
      <c r="F16" s="27" t="inlineStr">
        <is>
          <t>Sarah Wilson</t>
        </is>
      </c>
      <c r="G16" s="28" t="inlineStr">
        <is>
          <t>Random</t>
        </is>
      </c>
      <c r="H16" s="28" t="inlineStr">
        <is>
          <t>Negative</t>
        </is>
      </c>
      <c r="I16" s="27" t="inlineStr">
        <is>
          <t>Ahmed Khan</t>
        </is>
      </c>
      <c r="J16" s="24">
        <f>IF(H16="Negative","✅ Clear","🚨 Action Required")</f>
        <v/>
      </c>
    </row>
    <row r="17" ht="15" customHeight="1" s="15">
      <c r="A17" s="31" t="n">
        <v>12</v>
      </c>
      <c r="B17" s="32" t="inlineStr">
        <is>
          <t>RAT-012</t>
        </is>
      </c>
      <c r="C17" s="33" t="n">
        <v>46170</v>
      </c>
      <c r="D17" s="31">
        <f>IF(C17="","",TEXT(C17,"MMM"))</f>
        <v/>
      </c>
      <c r="E17" s="35" t="inlineStr">
        <is>
          <t>Engineering</t>
        </is>
      </c>
      <c r="F17" s="34" t="inlineStr">
        <is>
          <t>Raj Patel</t>
        </is>
      </c>
      <c r="G17" s="35" t="inlineStr">
        <is>
          <t>Random</t>
        </is>
      </c>
      <c r="H17" s="35" t="inlineStr">
        <is>
          <t>Negative</t>
        </is>
      </c>
      <c r="I17" s="34" t="inlineStr">
        <is>
          <t>Fatima Al-Said</t>
        </is>
      </c>
      <c r="J17" s="31">
        <f>IF(H17="Negative","✅ Clear","🚨 Action Required")</f>
        <v/>
      </c>
    </row>
    <row r="18" ht="15" customHeight="1" s="15">
      <c r="A18" s="24" t="n">
        <v>13</v>
      </c>
      <c r="B18" s="25" t="inlineStr">
        <is>
          <t>RAT-013</t>
        </is>
      </c>
      <c r="C18" s="26" t="n">
        <v>46137</v>
      </c>
      <c r="D18" s="24">
        <f>IF(C18="","",TEXT(C18,"MMM"))</f>
        <v/>
      </c>
      <c r="E18" s="28" t="inlineStr">
        <is>
          <t>Quality</t>
        </is>
      </c>
      <c r="F18" s="27" t="inlineStr">
        <is>
          <t>Priya Sharma</t>
        </is>
      </c>
      <c r="G18" s="28" t="inlineStr">
        <is>
          <t>Random</t>
        </is>
      </c>
      <c r="H18" s="28" t="inlineStr">
        <is>
          <t>Negative</t>
        </is>
      </c>
      <c r="I18" s="27" t="inlineStr">
        <is>
          <t>John Smith</t>
        </is>
      </c>
      <c r="J18" s="24">
        <f>IF(H18="Negative","✅ Clear","🚨 Action Required")</f>
        <v/>
      </c>
    </row>
    <row r="19" ht="21.75" customHeight="1" s="15">
      <c r="A19" s="31" t="n">
        <v>14</v>
      </c>
      <c r="B19" s="32" t="inlineStr">
        <is>
          <t>RAT-014</t>
        </is>
      </c>
      <c r="C19" s="33" t="n">
        <v>46340</v>
      </c>
      <c r="D19" s="31">
        <f>IF(C19="","",TEXT(C19,"MMM"))</f>
        <v/>
      </c>
      <c r="E19" s="35" t="inlineStr">
        <is>
          <t>Quality</t>
        </is>
      </c>
      <c r="F19" s="34" t="inlineStr">
        <is>
          <t>Priya Sharma</t>
        </is>
      </c>
      <c r="G19" s="35" t="inlineStr">
        <is>
          <t>Pre-Shift</t>
        </is>
      </c>
      <c r="H19" s="35" t="inlineStr">
        <is>
          <t>Positive</t>
        </is>
      </c>
      <c r="I19" s="34" t="inlineStr">
        <is>
          <t>Sarah Wilson</t>
        </is>
      </c>
      <c r="J19" s="31">
        <f>IF(H19="Negative","✅ Clear","🚨 Action Required")</f>
        <v/>
      </c>
    </row>
    <row r="20" ht="21.75" customHeight="1" s="15">
      <c r="A20" s="24" t="n">
        <v>15</v>
      </c>
      <c r="B20" s="25" t="inlineStr">
        <is>
          <t>RAT-015</t>
        </is>
      </c>
      <c r="C20" s="26" t="n">
        <v>46220</v>
      </c>
      <c r="D20" s="24">
        <f>IF(C20="","",TEXT(C20,"MMM"))</f>
        <v/>
      </c>
      <c r="E20" s="28" t="inlineStr">
        <is>
          <t>Safety</t>
        </is>
      </c>
      <c r="F20" s="27" t="inlineStr">
        <is>
          <t>Fatima Al-Said</t>
        </is>
      </c>
      <c r="G20" s="28" t="inlineStr">
        <is>
          <t>Reasonable Suspicion</t>
        </is>
      </c>
      <c r="H20" s="28" t="inlineStr">
        <is>
          <t>Negative</t>
        </is>
      </c>
      <c r="I20" s="27" t="inlineStr">
        <is>
          <t>Fatima Al-Said</t>
        </is>
      </c>
      <c r="J20" s="24">
        <f>IF(H20="Negative","✅ Clear","🚨 Action Required")</f>
        <v/>
      </c>
    </row>
    <row r="21">
      <c r="A21">
        <f>IF($B21="","",ROW()-5)</f>
        <v/>
      </c>
      <c r="D21">
        <f>IF($B21="","",IF(C21="","",TEXT(C21,"MMM")))</f>
        <v/>
      </c>
      <c r="J21">
        <f>IF($B21="","",IF(H21="Negative","✅ Clear","🚨 Action Required"))</f>
        <v/>
      </c>
    </row>
    <row r="22">
      <c r="A22">
        <f>IF($B22="","",ROW()-5)</f>
        <v/>
      </c>
      <c r="D22">
        <f>IF($B22="","",IF(C22="","",TEXT(C22,"MMM")))</f>
        <v/>
      </c>
      <c r="J22">
        <f>IF($B22="","",IF(H22="Negative","✅ Clear","🚨 Action Required"))</f>
        <v/>
      </c>
    </row>
    <row r="23">
      <c r="A23">
        <f>IF($B23="","",ROW()-5)</f>
        <v/>
      </c>
      <c r="D23">
        <f>IF($B23="","",IF(C23="","",TEXT(C23,"MMM")))</f>
        <v/>
      </c>
      <c r="J23">
        <f>IF($B23="","",IF(H23="Negative","✅ Clear","🚨 Action Required"))</f>
        <v/>
      </c>
    </row>
    <row r="24">
      <c r="A24">
        <f>IF($B24="","",ROW()-5)</f>
        <v/>
      </c>
      <c r="D24">
        <f>IF($B24="","",IF(C24="","",TEXT(C24,"MMM")))</f>
        <v/>
      </c>
      <c r="J24">
        <f>IF($B24="","",IF(H24="Negative","✅ Clear","🚨 Action Required"))</f>
        <v/>
      </c>
    </row>
    <row r="25">
      <c r="A25">
        <f>IF($B25="","",ROW()-5)</f>
        <v/>
      </c>
      <c r="D25">
        <f>IF($B25="","",IF(C25="","",TEXT(C25,"MMM")))</f>
        <v/>
      </c>
      <c r="J25">
        <f>IF($B25="","",IF(H25="Negative","✅ Clear","🚨 Action Required"))</f>
        <v/>
      </c>
    </row>
    <row r="26">
      <c r="A26">
        <f>IF($B26="","",ROW()-5)</f>
        <v/>
      </c>
      <c r="D26">
        <f>IF($B26="","",IF(C26="","",TEXT(C26,"MMM")))</f>
        <v/>
      </c>
      <c r="J26">
        <f>IF($B26="","",IF(H26="Negative","✅ Clear","🚨 Action Required"))</f>
        <v/>
      </c>
    </row>
    <row r="27">
      <c r="A27">
        <f>IF($B27="","",ROW()-5)</f>
        <v/>
      </c>
      <c r="D27">
        <f>IF($B27="","",IF(C27="","",TEXT(C27,"MMM")))</f>
        <v/>
      </c>
      <c r="J27">
        <f>IF($B27="","",IF(H27="Negative","✅ Clear","🚨 Action Required"))</f>
        <v/>
      </c>
    </row>
    <row r="28">
      <c r="A28">
        <f>IF($B28="","",ROW()-5)</f>
        <v/>
      </c>
      <c r="D28">
        <f>IF($B28="","",IF(C28="","",TEXT(C28,"MMM")))</f>
        <v/>
      </c>
      <c r="J28">
        <f>IF($B28="","",IF(H28="Negative","✅ Clear","🚨 Action Required"))</f>
        <v/>
      </c>
    </row>
    <row r="29">
      <c r="A29">
        <f>IF($B29="","",ROW()-5)</f>
        <v/>
      </c>
      <c r="D29">
        <f>IF($B29="","",IF(C29="","",TEXT(C29,"MMM")))</f>
        <v/>
      </c>
      <c r="J29">
        <f>IF($B29="","",IF(H29="Negative","✅ Clear","🚨 Action Required"))</f>
        <v/>
      </c>
    </row>
    <row r="30">
      <c r="A30">
        <f>IF($B30="","",ROW()-5)</f>
        <v/>
      </c>
      <c r="D30">
        <f>IF($B30="","",IF(C30="","",TEXT(C30,"MMM")))</f>
        <v/>
      </c>
      <c r="J30">
        <f>IF($B30="","",IF(H30="Negative","✅ Clear","🚨 Action Required"))</f>
        <v/>
      </c>
    </row>
    <row r="31">
      <c r="A31">
        <f>IF($B31="","",ROW()-5)</f>
        <v/>
      </c>
      <c r="D31">
        <f>IF($B31="","",IF(C31="","",TEXT(C31,"MMM")))</f>
        <v/>
      </c>
      <c r="J31">
        <f>IF($B31="","",IF(H31="Negative","✅ Clear","🚨 Action Required"))</f>
        <v/>
      </c>
    </row>
    <row r="32">
      <c r="A32">
        <f>IF($B32="","",ROW()-5)</f>
        <v/>
      </c>
      <c r="D32">
        <f>IF($B32="","",IF(C32="","",TEXT(C32,"MMM")))</f>
        <v/>
      </c>
      <c r="J32">
        <f>IF($B32="","",IF(H32="Negative","✅ Clear","🚨 Action Required"))</f>
        <v/>
      </c>
    </row>
    <row r="33">
      <c r="A33">
        <f>IF($B33="","",ROW()-5)</f>
        <v/>
      </c>
      <c r="D33">
        <f>IF($B33="","",IF(C33="","",TEXT(C33,"MMM")))</f>
        <v/>
      </c>
      <c r="J33">
        <f>IF($B33="","",IF(H33="Negative","✅ Clear","🚨 Action Required"))</f>
        <v/>
      </c>
    </row>
    <row r="34">
      <c r="A34">
        <f>IF($B34="","",ROW()-5)</f>
        <v/>
      </c>
      <c r="D34">
        <f>IF($B34="","",IF(C34="","",TEXT(C34,"MMM")))</f>
        <v/>
      </c>
      <c r="J34">
        <f>IF($B34="","",IF(H34="Negative","✅ Clear","🚨 Action Required"))</f>
        <v/>
      </c>
    </row>
    <row r="35">
      <c r="A35">
        <f>IF($B35="","",ROW()-5)</f>
        <v/>
      </c>
      <c r="D35">
        <f>IF($B35="","",IF(C35="","",TEXT(C35,"MMM")))</f>
        <v/>
      </c>
      <c r="J35">
        <f>IF($B35="","",IF(H35="Negative","✅ Clear","🚨 Action Required"))</f>
        <v/>
      </c>
    </row>
    <row r="36">
      <c r="A36">
        <f>IF($B36="","",ROW()-5)</f>
        <v/>
      </c>
      <c r="D36">
        <f>IF($B36="","",IF(C36="","",TEXT(C36,"MMM")))</f>
        <v/>
      </c>
      <c r="J36">
        <f>IF($B36="","",IF(H36="Negative","✅ Clear","🚨 Action Required"))</f>
        <v/>
      </c>
    </row>
    <row r="37">
      <c r="A37">
        <f>IF($B37="","",ROW()-5)</f>
        <v/>
      </c>
      <c r="D37">
        <f>IF($B37="","",IF(C37="","",TEXT(C37,"MMM")))</f>
        <v/>
      </c>
      <c r="J37">
        <f>IF($B37="","",IF(H37="Negative","✅ Clear","🚨 Action Required"))</f>
        <v/>
      </c>
    </row>
    <row r="38">
      <c r="A38">
        <f>IF($B38="","",ROW()-5)</f>
        <v/>
      </c>
      <c r="D38">
        <f>IF($B38="","",IF(C38="","",TEXT(C38,"MMM")))</f>
        <v/>
      </c>
      <c r="J38">
        <f>IF($B38="","",IF(H38="Negative","✅ Clear","🚨 Action Required"))</f>
        <v/>
      </c>
    </row>
    <row r="39">
      <c r="A39">
        <f>IF($B39="","",ROW()-5)</f>
        <v/>
      </c>
      <c r="D39">
        <f>IF($B39="","",IF(C39="","",TEXT(C39,"MMM")))</f>
        <v/>
      </c>
      <c r="J39">
        <f>IF($B39="","",IF(H39="Negative","✅ Clear","🚨 Action Required"))</f>
        <v/>
      </c>
    </row>
    <row r="40">
      <c r="A40">
        <f>IF($B40="","",ROW()-5)</f>
        <v/>
      </c>
      <c r="D40">
        <f>IF($B40="","",IF(C40="","",TEXT(C40,"MMM")))</f>
        <v/>
      </c>
      <c r="J40">
        <f>IF($B40="","",IF(H40="Negative","✅ Clear","🚨 Action Required"))</f>
        <v/>
      </c>
    </row>
    <row r="41">
      <c r="A41">
        <f>IF($B41="","",ROW()-5)</f>
        <v/>
      </c>
      <c r="D41">
        <f>IF($B41="","",IF(C41="","",TEXT(C41,"MMM")))</f>
        <v/>
      </c>
      <c r="J41">
        <f>IF($B41="","",IF(H41="Negative","✅ Clear","🚨 Action Required"))</f>
        <v/>
      </c>
    </row>
    <row r="42">
      <c r="A42">
        <f>IF($B42="","",ROW()-5)</f>
        <v/>
      </c>
      <c r="D42">
        <f>IF($B42="","",IF(C42="","",TEXT(C42,"MMM")))</f>
        <v/>
      </c>
      <c r="J42">
        <f>IF($B42="","",IF(H42="Negative","✅ Clear","🚨 Action Required"))</f>
        <v/>
      </c>
    </row>
    <row r="43">
      <c r="A43">
        <f>IF($B43="","",ROW()-5)</f>
        <v/>
      </c>
      <c r="D43">
        <f>IF($B43="","",IF(C43="","",TEXT(C43,"MMM")))</f>
        <v/>
      </c>
      <c r="J43">
        <f>IF($B43="","",IF(H43="Negative","✅ Clear","🚨 Action Required"))</f>
        <v/>
      </c>
    </row>
    <row r="44">
      <c r="A44">
        <f>IF($B44="","",ROW()-5)</f>
        <v/>
      </c>
      <c r="D44">
        <f>IF($B44="","",IF(C44="","",TEXT(C44,"MMM")))</f>
        <v/>
      </c>
      <c r="J44">
        <f>IF($B44="","",IF(H44="Negative","✅ Clear","🚨 Action Required"))</f>
        <v/>
      </c>
    </row>
    <row r="45">
      <c r="A45">
        <f>IF($B45="","",ROW()-5)</f>
        <v/>
      </c>
      <c r="D45">
        <f>IF($B45="","",IF(C45="","",TEXT(C45,"MMM")))</f>
        <v/>
      </c>
      <c r="J45">
        <f>IF($B45="","",IF(H45="Negative","✅ Clear","🚨 Action Required"))</f>
        <v/>
      </c>
    </row>
    <row r="46">
      <c r="A46">
        <f>IF($B46="","",ROW()-5)</f>
        <v/>
      </c>
      <c r="D46">
        <f>IF($B46="","",IF(C46="","",TEXT(C46,"MMM")))</f>
        <v/>
      </c>
      <c r="J46">
        <f>IF($B46="","",IF(H46="Negative","✅ Clear","🚨 Action Required"))</f>
        <v/>
      </c>
    </row>
    <row r="47">
      <c r="A47">
        <f>IF($B47="","",ROW()-5)</f>
        <v/>
      </c>
      <c r="D47">
        <f>IF($B47="","",IF(C47="","",TEXT(C47,"MMM")))</f>
        <v/>
      </c>
      <c r="J47">
        <f>IF($B47="","",IF(H47="Negative","✅ Clear","🚨 Action Required"))</f>
        <v/>
      </c>
    </row>
    <row r="48">
      <c r="A48">
        <f>IF($B48="","",ROW()-5)</f>
        <v/>
      </c>
      <c r="D48">
        <f>IF($B48="","",IF(C48="","",TEXT(C48,"MMM")))</f>
        <v/>
      </c>
      <c r="J48">
        <f>IF($B48="","",IF(H48="Negative","✅ Clear","🚨 Action Required"))</f>
        <v/>
      </c>
    </row>
    <row r="49">
      <c r="A49">
        <f>IF($B49="","",ROW()-5)</f>
        <v/>
      </c>
      <c r="D49">
        <f>IF($B49="","",IF(C49="","",TEXT(C49,"MMM")))</f>
        <v/>
      </c>
      <c r="J49">
        <f>IF($B49="","",IF(H49="Negative","✅ Clear","🚨 Action Required"))</f>
        <v/>
      </c>
    </row>
    <row r="50">
      <c r="A50">
        <f>IF($B50="","",ROW()-5)</f>
        <v/>
      </c>
      <c r="D50">
        <f>IF($B50="","",IF(C50="","",TEXT(C50,"MMM")))</f>
        <v/>
      </c>
      <c r="J50">
        <f>IF($B50="","",IF(H50="Negative","✅ Clear","🚨 Action Required"))</f>
        <v/>
      </c>
    </row>
    <row r="51">
      <c r="A51">
        <f>IF($B51="","",ROW()-5)</f>
        <v/>
      </c>
      <c r="D51">
        <f>IF($B51="","",IF(C51="","",TEXT(C51,"MMM")))</f>
        <v/>
      </c>
      <c r="J51">
        <f>IF($B51="","",IF(H51="Negative","✅ Clear","🚨 Action Required"))</f>
        <v/>
      </c>
    </row>
    <row r="52">
      <c r="A52">
        <f>IF($B52="","",ROW()-5)</f>
        <v/>
      </c>
      <c r="D52">
        <f>IF($B52="","",IF(C52="","",TEXT(C52,"MMM")))</f>
        <v/>
      </c>
      <c r="J52">
        <f>IF($B52="","",IF(H52="Negative","✅ Clear","🚨 Action Required"))</f>
        <v/>
      </c>
    </row>
    <row r="53">
      <c r="A53">
        <f>IF($B53="","",ROW()-5)</f>
        <v/>
      </c>
      <c r="D53">
        <f>IF($B53="","",IF(C53="","",TEXT(C53,"MMM")))</f>
        <v/>
      </c>
      <c r="J53">
        <f>IF($B53="","",IF(H53="Negative","✅ Clear","🚨 Action Required"))</f>
        <v/>
      </c>
    </row>
    <row r="54">
      <c r="A54">
        <f>IF($B54="","",ROW()-5)</f>
        <v/>
      </c>
      <c r="D54">
        <f>IF($B54="","",IF(C54="","",TEXT(C54,"MMM")))</f>
        <v/>
      </c>
      <c r="J54">
        <f>IF($B54="","",IF(H54="Negative","✅ Clear","🚨 Action Required"))</f>
        <v/>
      </c>
    </row>
    <row r="55">
      <c r="A55">
        <f>IF($B55="","",ROW()-5)</f>
        <v/>
      </c>
      <c r="D55">
        <f>IF($B55="","",IF(C55="","",TEXT(C55,"MMM")))</f>
        <v/>
      </c>
      <c r="J55">
        <f>IF($B55="","",IF(H55="Negative","✅ Clear","🚨 Action Required"))</f>
        <v/>
      </c>
    </row>
    <row r="56">
      <c r="A56">
        <f>IF($B56="","",ROW()-5)</f>
        <v/>
      </c>
      <c r="D56">
        <f>IF($B56="","",IF(C56="","",TEXT(C56,"MMM")))</f>
        <v/>
      </c>
      <c r="J56">
        <f>IF($B56="","",IF(H56="Negative","✅ Clear","🚨 Action Required"))</f>
        <v/>
      </c>
    </row>
    <row r="57">
      <c r="A57">
        <f>IF($B57="","",ROW()-5)</f>
        <v/>
      </c>
      <c r="D57">
        <f>IF($B57="","",IF(C57="","",TEXT(C57,"MMM")))</f>
        <v/>
      </c>
      <c r="J57">
        <f>IF($B57="","",IF(H57="Negative","✅ Clear","🚨 Action Required"))</f>
        <v/>
      </c>
    </row>
    <row r="58">
      <c r="A58">
        <f>IF($B58="","",ROW()-5)</f>
        <v/>
      </c>
      <c r="D58">
        <f>IF($B58="","",IF(C58="","",TEXT(C58,"MMM")))</f>
        <v/>
      </c>
      <c r="J58">
        <f>IF($B58="","",IF(H58="Negative","✅ Clear","🚨 Action Required"))</f>
        <v/>
      </c>
    </row>
    <row r="59">
      <c r="A59">
        <f>IF($B59="","",ROW()-5)</f>
        <v/>
      </c>
      <c r="D59">
        <f>IF($B59="","",IF(C59="","",TEXT(C59,"MMM")))</f>
        <v/>
      </c>
      <c r="J59">
        <f>IF($B59="","",IF(H59="Negative","✅ Clear","🚨 Action Required"))</f>
        <v/>
      </c>
    </row>
    <row r="60">
      <c r="A60">
        <f>IF($B60="","",ROW()-5)</f>
        <v/>
      </c>
      <c r="D60">
        <f>IF($B60="","",IF(C60="","",TEXT(C60,"MMM")))</f>
        <v/>
      </c>
      <c r="J60">
        <f>IF($B60="","",IF(H60="Negative","✅ Clear","🚨 Action Required"))</f>
        <v/>
      </c>
    </row>
    <row r="61">
      <c r="A61">
        <f>IF($B61="","",ROW()-5)</f>
        <v/>
      </c>
      <c r="D61">
        <f>IF($B61="","",IF(C61="","",TEXT(C61,"MMM")))</f>
        <v/>
      </c>
      <c r="J61">
        <f>IF($B61="","",IF(H61="Negative","✅ Clear","🚨 Action Required"))</f>
        <v/>
      </c>
    </row>
    <row r="62">
      <c r="A62">
        <f>IF($B62="","",ROW()-5)</f>
        <v/>
      </c>
      <c r="D62">
        <f>IF($B62="","",IF(C62="","",TEXT(C62,"MMM")))</f>
        <v/>
      </c>
      <c r="J62">
        <f>IF($B62="","",IF(H62="Negative","✅ Clear","🚨 Action Required"))</f>
        <v/>
      </c>
    </row>
    <row r="63">
      <c r="A63">
        <f>IF($B63="","",ROW()-5)</f>
        <v/>
      </c>
      <c r="D63">
        <f>IF($B63="","",IF(C63="","",TEXT(C63,"MMM")))</f>
        <v/>
      </c>
      <c r="J63">
        <f>IF($B63="","",IF(H63="Negative","✅ Clear","🚨 Action Required"))</f>
        <v/>
      </c>
    </row>
    <row r="64">
      <c r="A64">
        <f>IF($B64="","",ROW()-5)</f>
        <v/>
      </c>
      <c r="D64">
        <f>IF($B64="","",IF(C64="","",TEXT(C64,"MMM")))</f>
        <v/>
      </c>
      <c r="J64">
        <f>IF($B64="","",IF(H64="Negative","✅ Clear","🚨 Action Required"))</f>
        <v/>
      </c>
    </row>
    <row r="65">
      <c r="A65">
        <f>IF($B65="","",ROW()-5)</f>
        <v/>
      </c>
      <c r="D65">
        <f>IF($B65="","",IF(C65="","",TEXT(C65,"MMM")))</f>
        <v/>
      </c>
      <c r="J65">
        <f>IF($B65="","",IF(H65="Negative","✅ Clear","🚨 Action Required"))</f>
        <v/>
      </c>
    </row>
    <row r="66">
      <c r="A66">
        <f>IF($B66="","",ROW()-5)</f>
        <v/>
      </c>
      <c r="D66">
        <f>IF($B66="","",IF(C66="","",TEXT(C66,"MMM")))</f>
        <v/>
      </c>
      <c r="J66">
        <f>IF($B66="","",IF(H66="Negative","✅ Clear","🚨 Action Required"))</f>
        <v/>
      </c>
    </row>
    <row r="67">
      <c r="A67">
        <f>IF($B67="","",ROW()-5)</f>
        <v/>
      </c>
      <c r="D67">
        <f>IF($B67="","",IF(C67="","",TEXT(C67,"MMM")))</f>
        <v/>
      </c>
      <c r="J67">
        <f>IF($B67="","",IF(H67="Negative","✅ Clear","🚨 Action Required"))</f>
        <v/>
      </c>
    </row>
    <row r="68">
      <c r="A68">
        <f>IF($B68="","",ROW()-5)</f>
        <v/>
      </c>
      <c r="D68">
        <f>IF($B68="","",IF(C68="","",TEXT(C68,"MMM")))</f>
        <v/>
      </c>
      <c r="J68">
        <f>IF($B68="","",IF(H68="Negative","✅ Clear","🚨 Action Required"))</f>
        <v/>
      </c>
    </row>
    <row r="69">
      <c r="A69">
        <f>IF($B69="","",ROW()-5)</f>
        <v/>
      </c>
      <c r="D69">
        <f>IF($B69="","",IF(C69="","",TEXT(C69,"MMM")))</f>
        <v/>
      </c>
      <c r="J69">
        <f>IF($B69="","",IF(H69="Negative","✅ Clear","🚨 Action Required"))</f>
        <v/>
      </c>
    </row>
    <row r="70">
      <c r="A70">
        <f>IF($B70="","",ROW()-5)</f>
        <v/>
      </c>
      <c r="D70">
        <f>IF($B70="","",IF(C70="","",TEXT(C70,"MMM")))</f>
        <v/>
      </c>
      <c r="J70">
        <f>IF($B70="","",IF(H70="Negative","✅ Clear","🚨 Action Required"))</f>
        <v/>
      </c>
    </row>
    <row r="71">
      <c r="A71">
        <f>IF($B71="","",ROW()-5)</f>
        <v/>
      </c>
      <c r="D71">
        <f>IF($B71="","",IF(C71="","",TEXT(C71,"MMM")))</f>
        <v/>
      </c>
      <c r="J71">
        <f>IF($B71="","",IF(H71="Negative","✅ Clear","🚨 Action Required"))</f>
        <v/>
      </c>
    </row>
    <row r="72">
      <c r="A72">
        <f>IF($B72="","",ROW()-5)</f>
        <v/>
      </c>
      <c r="D72">
        <f>IF($B72="","",IF(C72="","",TEXT(C72,"MMM")))</f>
        <v/>
      </c>
      <c r="J72">
        <f>IF($B72="","",IF(H72="Negative","✅ Clear","🚨 Action Required"))</f>
        <v/>
      </c>
    </row>
    <row r="73">
      <c r="A73">
        <f>IF($B73="","",ROW()-5)</f>
        <v/>
      </c>
      <c r="D73">
        <f>IF($B73="","",IF(C73="","",TEXT(C73,"MMM")))</f>
        <v/>
      </c>
      <c r="J73">
        <f>IF($B73="","",IF(H73="Negative","✅ Clear","🚨 Action Required"))</f>
        <v/>
      </c>
    </row>
    <row r="74">
      <c r="A74">
        <f>IF($B74="","",ROW()-5)</f>
        <v/>
      </c>
      <c r="D74">
        <f>IF($B74="","",IF(C74="","",TEXT(C74,"MMM")))</f>
        <v/>
      </c>
      <c r="J74">
        <f>IF($B74="","",IF(H74="Negative","✅ Clear","🚨 Action Required"))</f>
        <v/>
      </c>
    </row>
    <row r="75">
      <c r="A75">
        <f>IF($B75="","",ROW()-5)</f>
        <v/>
      </c>
      <c r="D75">
        <f>IF($B75="","",IF(C75="","",TEXT(C75,"MMM")))</f>
        <v/>
      </c>
      <c r="J75">
        <f>IF($B75="","",IF(H75="Negative","✅ Clear","🚨 Action Required"))</f>
        <v/>
      </c>
    </row>
    <row r="76">
      <c r="A76">
        <f>IF($B76="","",ROW()-5)</f>
        <v/>
      </c>
      <c r="D76">
        <f>IF($B76="","",IF(C76="","",TEXT(C76,"MMM")))</f>
        <v/>
      </c>
      <c r="J76">
        <f>IF($B76="","",IF(H76="Negative","✅ Clear","🚨 Action Required"))</f>
        <v/>
      </c>
    </row>
    <row r="77">
      <c r="A77">
        <f>IF($B77="","",ROW()-5)</f>
        <v/>
      </c>
      <c r="D77">
        <f>IF($B77="","",IF(C77="","",TEXT(C77,"MMM")))</f>
        <v/>
      </c>
      <c r="J77">
        <f>IF($B77="","",IF(H77="Negative","✅ Clear","🚨 Action Required"))</f>
        <v/>
      </c>
    </row>
    <row r="78">
      <c r="A78">
        <f>IF($B78="","",ROW()-5)</f>
        <v/>
      </c>
      <c r="D78">
        <f>IF($B78="","",IF(C78="","",TEXT(C78,"MMM")))</f>
        <v/>
      </c>
      <c r="J78">
        <f>IF($B78="","",IF(H78="Negative","✅ Clear","🚨 Action Required"))</f>
        <v/>
      </c>
    </row>
    <row r="79">
      <c r="A79">
        <f>IF($B79="","",ROW()-5)</f>
        <v/>
      </c>
      <c r="D79">
        <f>IF($B79="","",IF(C79="","",TEXT(C79,"MMM")))</f>
        <v/>
      </c>
      <c r="J79">
        <f>IF($B79="","",IF(H79="Negative","✅ Clear","🚨 Action Required"))</f>
        <v/>
      </c>
    </row>
    <row r="80">
      <c r="A80">
        <f>IF($B80="","",ROW()-5)</f>
        <v/>
      </c>
      <c r="D80">
        <f>IF($B80="","",IF(C80="","",TEXT(C80,"MMM")))</f>
        <v/>
      </c>
      <c r="J80">
        <f>IF($B80="","",IF(H80="Negative","✅ Clear","🚨 Action Required"))</f>
        <v/>
      </c>
    </row>
    <row r="81">
      <c r="A81">
        <f>IF($B81="","",ROW()-5)</f>
        <v/>
      </c>
      <c r="D81">
        <f>IF($B81="","",IF(C81="","",TEXT(C81,"MMM")))</f>
        <v/>
      </c>
      <c r="J81">
        <f>IF($B81="","",IF(H81="Negative","✅ Clear","🚨 Action Required"))</f>
        <v/>
      </c>
    </row>
    <row r="82">
      <c r="A82">
        <f>IF($B82="","",ROW()-5)</f>
        <v/>
      </c>
      <c r="D82">
        <f>IF($B82="","",IF(C82="","",TEXT(C82,"MMM")))</f>
        <v/>
      </c>
      <c r="J82">
        <f>IF($B82="","",IF(H82="Negative","✅ Clear","🚨 Action Required"))</f>
        <v/>
      </c>
    </row>
    <row r="83">
      <c r="A83">
        <f>IF($B83="","",ROW()-5)</f>
        <v/>
      </c>
      <c r="D83">
        <f>IF($B83="","",IF(C83="","",TEXT(C83,"MMM")))</f>
        <v/>
      </c>
      <c r="J83">
        <f>IF($B83="","",IF(H83="Negative","✅ Clear","🚨 Action Required"))</f>
        <v/>
      </c>
    </row>
    <row r="84">
      <c r="A84">
        <f>IF($B84="","",ROW()-5)</f>
        <v/>
      </c>
      <c r="D84">
        <f>IF($B84="","",IF(C84="","",TEXT(C84,"MMM")))</f>
        <v/>
      </c>
      <c r="J84">
        <f>IF($B84="","",IF(H84="Negative","✅ Clear","🚨 Action Required"))</f>
        <v/>
      </c>
    </row>
    <row r="85">
      <c r="A85">
        <f>IF($B85="","",ROW()-5)</f>
        <v/>
      </c>
      <c r="D85">
        <f>IF($B85="","",IF(C85="","",TEXT(C85,"MMM")))</f>
        <v/>
      </c>
      <c r="J85">
        <f>IF($B85="","",IF(H85="Negative","✅ Clear","🚨 Action Required"))</f>
        <v/>
      </c>
    </row>
    <row r="86">
      <c r="A86">
        <f>IF($B86="","",ROW()-5)</f>
        <v/>
      </c>
      <c r="D86">
        <f>IF($B86="","",IF(C86="","",TEXT(C86,"MMM")))</f>
        <v/>
      </c>
      <c r="J86">
        <f>IF($B86="","",IF(H86="Negative","✅ Clear","🚨 Action Required"))</f>
        <v/>
      </c>
    </row>
    <row r="87">
      <c r="A87">
        <f>IF($B87="","",ROW()-5)</f>
        <v/>
      </c>
      <c r="D87">
        <f>IF($B87="","",IF(C87="","",TEXT(C87,"MMM")))</f>
        <v/>
      </c>
      <c r="J87">
        <f>IF($B87="","",IF(H87="Negative","✅ Clear","🚨 Action Required"))</f>
        <v/>
      </c>
    </row>
    <row r="88">
      <c r="A88">
        <f>IF($B88="","",ROW()-5)</f>
        <v/>
      </c>
      <c r="D88">
        <f>IF($B88="","",IF(C88="","",TEXT(C88,"MMM")))</f>
        <v/>
      </c>
      <c r="J88">
        <f>IF($B88="","",IF(H88="Negative","✅ Clear","🚨 Action Required"))</f>
        <v/>
      </c>
    </row>
    <row r="89">
      <c r="A89">
        <f>IF($B89="","",ROW()-5)</f>
        <v/>
      </c>
      <c r="D89">
        <f>IF($B89="","",IF(C89="","",TEXT(C89,"MMM")))</f>
        <v/>
      </c>
      <c r="J89">
        <f>IF($B89="","",IF(H89="Negative","✅ Clear","🚨 Action Required"))</f>
        <v/>
      </c>
    </row>
    <row r="90">
      <c r="A90">
        <f>IF($B90="","",ROW()-5)</f>
        <v/>
      </c>
      <c r="D90">
        <f>IF($B90="","",IF(C90="","",TEXT(C90,"MMM")))</f>
        <v/>
      </c>
      <c r="J90">
        <f>IF($B90="","",IF(H90="Negative","✅ Clear","🚨 Action Required"))</f>
        <v/>
      </c>
    </row>
    <row r="91">
      <c r="A91">
        <f>IF($B91="","",ROW()-5)</f>
        <v/>
      </c>
      <c r="D91">
        <f>IF($B91="","",IF(C91="","",TEXT(C91,"MMM")))</f>
        <v/>
      </c>
      <c r="J91">
        <f>IF($B91="","",IF(H91="Negative","✅ Clear","🚨 Action Required"))</f>
        <v/>
      </c>
    </row>
    <row r="92">
      <c r="A92">
        <f>IF($B92="","",ROW()-5)</f>
        <v/>
      </c>
      <c r="D92">
        <f>IF($B92="","",IF(C92="","",TEXT(C92,"MMM")))</f>
        <v/>
      </c>
      <c r="J92">
        <f>IF($B92="","",IF(H92="Negative","✅ Clear","🚨 Action Required"))</f>
        <v/>
      </c>
    </row>
    <row r="93">
      <c r="A93">
        <f>IF($B93="","",ROW()-5)</f>
        <v/>
      </c>
      <c r="D93">
        <f>IF($B93="","",IF(C93="","",TEXT(C93,"MMM")))</f>
        <v/>
      </c>
      <c r="J93">
        <f>IF($B93="","",IF(H93="Negative","✅ Clear","🚨 Action Required"))</f>
        <v/>
      </c>
    </row>
    <row r="94">
      <c r="A94">
        <f>IF($B94="","",ROW()-5)</f>
        <v/>
      </c>
      <c r="D94">
        <f>IF($B94="","",IF(C94="","",TEXT(C94,"MMM")))</f>
        <v/>
      </c>
      <c r="J94">
        <f>IF($B94="","",IF(H94="Negative","✅ Clear","🚨 Action Required"))</f>
        <v/>
      </c>
    </row>
    <row r="95">
      <c r="A95">
        <f>IF($B95="","",ROW()-5)</f>
        <v/>
      </c>
      <c r="D95">
        <f>IF($B95="","",IF(C95="","",TEXT(C95,"MMM")))</f>
        <v/>
      </c>
      <c r="J95">
        <f>IF($B95="","",IF(H95="Negative","✅ Clear","🚨 Action Required"))</f>
        <v/>
      </c>
    </row>
    <row r="96">
      <c r="A96">
        <f>IF($B96="","",ROW()-5)</f>
        <v/>
      </c>
      <c r="D96">
        <f>IF($B96="","",IF(C96="","",TEXT(C96,"MMM")))</f>
        <v/>
      </c>
      <c r="J96">
        <f>IF($B96="","",IF(H96="Negative","✅ Clear","🚨 Action Required"))</f>
        <v/>
      </c>
    </row>
    <row r="97">
      <c r="A97">
        <f>IF($B97="","",ROW()-5)</f>
        <v/>
      </c>
      <c r="D97">
        <f>IF($B97="","",IF(C97="","",TEXT(C97,"MMM")))</f>
        <v/>
      </c>
      <c r="J97">
        <f>IF($B97="","",IF(H97="Negative","✅ Clear","🚨 Action Required"))</f>
        <v/>
      </c>
    </row>
    <row r="98">
      <c r="A98">
        <f>IF($B98="","",ROW()-5)</f>
        <v/>
      </c>
      <c r="D98">
        <f>IF($B98="","",IF(C98="","",TEXT(C98,"MMM")))</f>
        <v/>
      </c>
      <c r="J98">
        <f>IF($B98="","",IF(H98="Negative","✅ Clear","🚨 Action Required"))</f>
        <v/>
      </c>
    </row>
    <row r="99">
      <c r="A99">
        <f>IF($B99="","",ROW()-5)</f>
        <v/>
      </c>
      <c r="D99">
        <f>IF($B99="","",IF(C99="","",TEXT(C99,"MMM")))</f>
        <v/>
      </c>
      <c r="J99">
        <f>IF($B99="","",IF(H99="Negative","✅ Clear","🚨 Action Required"))</f>
        <v/>
      </c>
    </row>
    <row r="100">
      <c r="A100">
        <f>IF($B100="","",ROW()-5)</f>
        <v/>
      </c>
      <c r="D100">
        <f>IF($B100="","",IF(C100="","",TEXT(C100,"MMM")))</f>
        <v/>
      </c>
      <c r="J100">
        <f>IF($B100="","",IF(H100="Negative","✅ Clear","🚨 Action Required"))</f>
        <v/>
      </c>
    </row>
    <row r="101">
      <c r="A101">
        <f>IF($B101="","",ROW()-5)</f>
        <v/>
      </c>
      <c r="D101">
        <f>IF($B101="","",IF(C101="","",TEXT(C101,"MMM")))</f>
        <v/>
      </c>
      <c r="J101">
        <f>IF($B101="","",IF(H101="Negative","✅ Clear","🚨 Action Required"))</f>
        <v/>
      </c>
    </row>
    <row r="102">
      <c r="A102">
        <f>IF($B102="","",ROW()-5)</f>
        <v/>
      </c>
      <c r="D102">
        <f>IF($B102="","",IF(C102="","",TEXT(C102,"MMM")))</f>
        <v/>
      </c>
      <c r="J102">
        <f>IF($B102="","",IF(H102="Negative","✅ Clear","🚨 Action Required"))</f>
        <v/>
      </c>
    </row>
    <row r="103">
      <c r="A103">
        <f>IF($B103="","",ROW()-5)</f>
        <v/>
      </c>
      <c r="D103">
        <f>IF($B103="","",IF(C103="","",TEXT(C103,"MMM")))</f>
        <v/>
      </c>
      <c r="J103">
        <f>IF($B103="","",IF(H103="Negative","✅ Clear","🚨 Action Required"))</f>
        <v/>
      </c>
    </row>
    <row r="104">
      <c r="A104">
        <f>IF($B104="","",ROW()-5)</f>
        <v/>
      </c>
      <c r="D104">
        <f>IF($B104="","",IF(C104="","",TEXT(C104,"MMM")))</f>
        <v/>
      </c>
      <c r="J104">
        <f>IF($B104="","",IF(H104="Negative","✅ Clear","🚨 Action Required"))</f>
        <v/>
      </c>
    </row>
    <row r="105">
      <c r="A105">
        <f>IF($B105="","",ROW()-5)</f>
        <v/>
      </c>
      <c r="D105">
        <f>IF($B105="","",IF(C105="","",TEXT(C105,"MMM")))</f>
        <v/>
      </c>
      <c r="J105">
        <f>IF($B105="","",IF(H105="Negative","✅ Clear","🚨 Action Required"))</f>
        <v/>
      </c>
    </row>
    <row r="106">
      <c r="A106">
        <f>IF($B106="","",ROW()-5)</f>
        <v/>
      </c>
      <c r="D106">
        <f>IF($B106="","",IF(C106="","",TEXT(C106,"MMM")))</f>
        <v/>
      </c>
      <c r="J106">
        <f>IF($B106="","",IF(H106="Negative","✅ Clear","🚨 Action Required"))</f>
        <v/>
      </c>
    </row>
    <row r="107">
      <c r="A107">
        <f>IF($B107="","",ROW()-5)</f>
        <v/>
      </c>
      <c r="D107">
        <f>IF($B107="","",IF(C107="","",TEXT(C107,"MMM")))</f>
        <v/>
      </c>
      <c r="J107">
        <f>IF($B107="","",IF(H107="Negative","✅ Clear","🚨 Action Required"))</f>
        <v/>
      </c>
    </row>
    <row r="108">
      <c r="A108">
        <f>IF($B108="","",ROW()-5)</f>
        <v/>
      </c>
      <c r="D108">
        <f>IF($B108="","",IF(C108="","",TEXT(C108,"MMM")))</f>
        <v/>
      </c>
      <c r="J108">
        <f>IF($B108="","",IF(H108="Negative","✅ Clear","🚨 Action Required"))</f>
        <v/>
      </c>
    </row>
    <row r="109">
      <c r="A109">
        <f>IF($B109="","",ROW()-5)</f>
        <v/>
      </c>
      <c r="D109">
        <f>IF($B109="","",IF(C109="","",TEXT(C109,"MMM")))</f>
        <v/>
      </c>
      <c r="J109">
        <f>IF($B109="","",IF(H109="Negative","✅ Clear","🚨 Action Required"))</f>
        <v/>
      </c>
    </row>
    <row r="110">
      <c r="A110">
        <f>IF($B110="","",ROW()-5)</f>
        <v/>
      </c>
      <c r="D110">
        <f>IF($B110="","",IF(C110="","",TEXT(C110,"MMM")))</f>
        <v/>
      </c>
      <c r="J110">
        <f>IF($B110="","",IF(H110="Negative","✅ Clear","🚨 Action Required"))</f>
        <v/>
      </c>
    </row>
    <row r="111">
      <c r="A111">
        <f>IF($B111="","",ROW()-5)</f>
        <v/>
      </c>
      <c r="D111">
        <f>IF($B111="","",IF(C111="","",TEXT(C111,"MMM")))</f>
        <v/>
      </c>
      <c r="J111">
        <f>IF($B111="","",IF(H111="Negative","✅ Clear","🚨 Action Required"))</f>
        <v/>
      </c>
    </row>
    <row r="112">
      <c r="A112">
        <f>IF($B112="","",ROW()-5)</f>
        <v/>
      </c>
      <c r="D112">
        <f>IF($B112="","",IF(C112="","",TEXT(C112,"MMM")))</f>
        <v/>
      </c>
      <c r="J112">
        <f>IF($B112="","",IF(H112="Negative","✅ Clear","🚨 Action Required"))</f>
        <v/>
      </c>
    </row>
    <row r="113">
      <c r="A113">
        <f>IF($B113="","",ROW()-5)</f>
        <v/>
      </c>
      <c r="D113">
        <f>IF($B113="","",IF(C113="","",TEXT(C113,"MMM")))</f>
        <v/>
      </c>
      <c r="J113">
        <f>IF($B113="","",IF(H113="Negative","✅ Clear","🚨 Action Required"))</f>
        <v/>
      </c>
    </row>
    <row r="114">
      <c r="A114">
        <f>IF($B114="","",ROW()-5)</f>
        <v/>
      </c>
      <c r="D114">
        <f>IF($B114="","",IF(C114="","",TEXT(C114,"MMM")))</f>
        <v/>
      </c>
      <c r="J114">
        <f>IF($B114="","",IF(H114="Negative","✅ Clear","🚨 Action Required"))</f>
        <v/>
      </c>
    </row>
    <row r="115">
      <c r="A115">
        <f>IF($B115="","",ROW()-5)</f>
        <v/>
      </c>
      <c r="D115">
        <f>IF($B115="","",IF(C115="","",TEXT(C115,"MMM")))</f>
        <v/>
      </c>
      <c r="J115">
        <f>IF($B115="","",IF(H115="Negative","✅ Clear","🚨 Action Required"))</f>
        <v/>
      </c>
    </row>
    <row r="116">
      <c r="A116">
        <f>IF($B116="","",ROW()-5)</f>
        <v/>
      </c>
      <c r="D116">
        <f>IF($B116="","",IF(C116="","",TEXT(C116,"MMM")))</f>
        <v/>
      </c>
      <c r="J116">
        <f>IF($B116="","",IF(H116="Negative","✅ Clear","🚨 Action Required"))</f>
        <v/>
      </c>
    </row>
    <row r="117">
      <c r="A117">
        <f>IF($B117="","",ROW()-5)</f>
        <v/>
      </c>
      <c r="D117">
        <f>IF($B117="","",IF(C117="","",TEXT(C117,"MMM")))</f>
        <v/>
      </c>
      <c r="J117">
        <f>IF($B117="","",IF(H117="Negative","✅ Clear","🚨 Action Required"))</f>
        <v/>
      </c>
    </row>
    <row r="118">
      <c r="A118">
        <f>IF($B118="","",ROW()-5)</f>
        <v/>
      </c>
      <c r="D118">
        <f>IF($B118="","",IF(C118="","",TEXT(C118,"MMM")))</f>
        <v/>
      </c>
      <c r="J118">
        <f>IF($B118="","",IF(H118="Negative","✅ Clear","🚨 Action Required"))</f>
        <v/>
      </c>
    </row>
    <row r="119">
      <c r="A119">
        <f>IF($B119="","",ROW()-5)</f>
        <v/>
      </c>
      <c r="D119">
        <f>IF($B119="","",IF(C119="","",TEXT(C119,"MMM")))</f>
        <v/>
      </c>
      <c r="J119">
        <f>IF($B119="","",IF(H119="Negative","✅ Clear","🚨 Action Required"))</f>
        <v/>
      </c>
    </row>
    <row r="120">
      <c r="A120">
        <f>IF($B120="","",ROW()-5)</f>
        <v/>
      </c>
      <c r="D120">
        <f>IF($B120="","",IF(C120="","",TEXT(C120,"MMM")))</f>
        <v/>
      </c>
      <c r="J120">
        <f>IF($B120="","",IF(H120="Negative","✅ Clear","🚨 Action Required"))</f>
        <v/>
      </c>
    </row>
    <row r="121">
      <c r="A121">
        <f>IF($B121="","",ROW()-5)</f>
        <v/>
      </c>
      <c r="D121">
        <f>IF($B121="","",IF(C121="","",TEXT(C121,"MMM")))</f>
        <v/>
      </c>
      <c r="J121">
        <f>IF($B121="","",IF(H121="Negative","✅ Clear","🚨 Action Required"))</f>
        <v/>
      </c>
    </row>
    <row r="122">
      <c r="A122">
        <f>IF($B122="","",ROW()-5)</f>
        <v/>
      </c>
      <c r="D122">
        <f>IF($B122="","",IF(C122="","",TEXT(C122,"MMM")))</f>
        <v/>
      </c>
      <c r="J122">
        <f>IF($B122="","",IF(H122="Negative","✅ Clear","🚨 Action Required"))</f>
        <v/>
      </c>
    </row>
    <row r="123">
      <c r="A123">
        <f>IF($B123="","",ROW()-5)</f>
        <v/>
      </c>
      <c r="D123">
        <f>IF($B123="","",IF(C123="","",TEXT(C123,"MMM")))</f>
        <v/>
      </c>
      <c r="J123">
        <f>IF($B123="","",IF(H123="Negative","✅ Clear","🚨 Action Required"))</f>
        <v/>
      </c>
    </row>
    <row r="124">
      <c r="A124">
        <f>IF($B124="","",ROW()-5)</f>
        <v/>
      </c>
      <c r="D124">
        <f>IF($B124="","",IF(C124="","",TEXT(C124,"MMM")))</f>
        <v/>
      </c>
      <c r="J124">
        <f>IF($B124="","",IF(H124="Negative","✅ Clear","🚨 Action Required"))</f>
        <v/>
      </c>
    </row>
    <row r="125">
      <c r="A125">
        <f>IF($B125="","",ROW()-5)</f>
        <v/>
      </c>
      <c r="D125">
        <f>IF($B125="","",IF(C125="","",TEXT(C125,"MMM")))</f>
        <v/>
      </c>
      <c r="J125">
        <f>IF($B125="","",IF(H125="Negative","✅ Clear","🚨 Action Required"))</f>
        <v/>
      </c>
    </row>
    <row r="126">
      <c r="A126">
        <f>IF($B126="","",ROW()-5)</f>
        <v/>
      </c>
      <c r="D126">
        <f>IF($B126="","",IF(C126="","",TEXT(C126,"MMM")))</f>
        <v/>
      </c>
      <c r="J126">
        <f>IF($B126="","",IF(H126="Negative","✅ Clear","🚨 Action Required"))</f>
        <v/>
      </c>
    </row>
    <row r="127">
      <c r="A127">
        <f>IF($B127="","",ROW()-5)</f>
        <v/>
      </c>
      <c r="D127">
        <f>IF($B127="","",IF(C127="","",TEXT(C127,"MMM")))</f>
        <v/>
      </c>
      <c r="J127">
        <f>IF($B127="","",IF(H127="Negative","✅ Clear","🚨 Action Required"))</f>
        <v/>
      </c>
    </row>
    <row r="128">
      <c r="A128">
        <f>IF($B128="","",ROW()-5)</f>
        <v/>
      </c>
      <c r="D128">
        <f>IF($B128="","",IF(C128="","",TEXT(C128,"MMM")))</f>
        <v/>
      </c>
      <c r="J128">
        <f>IF($B128="","",IF(H128="Negative","✅ Clear","🚨 Action Required"))</f>
        <v/>
      </c>
    </row>
    <row r="129">
      <c r="A129">
        <f>IF($B129="","",ROW()-5)</f>
        <v/>
      </c>
      <c r="D129">
        <f>IF($B129="","",IF(C129="","",TEXT(C129,"MMM")))</f>
        <v/>
      </c>
      <c r="J129">
        <f>IF($B129="","",IF(H129="Negative","✅ Clear","🚨 Action Required"))</f>
        <v/>
      </c>
    </row>
    <row r="130">
      <c r="A130">
        <f>IF($B130="","",ROW()-5)</f>
        <v/>
      </c>
      <c r="D130">
        <f>IF($B130="","",IF(C130="","",TEXT(C130,"MMM")))</f>
        <v/>
      </c>
      <c r="J130">
        <f>IF($B130="","",IF(H130="Negative","✅ Clear","🚨 Action Required"))</f>
        <v/>
      </c>
    </row>
    <row r="131">
      <c r="A131">
        <f>IF($B131="","",ROW()-5)</f>
        <v/>
      </c>
      <c r="D131">
        <f>IF($B131="","",IF(C131="","",TEXT(C131,"MMM")))</f>
        <v/>
      </c>
      <c r="J131">
        <f>IF($B131="","",IF(H131="Negative","✅ Clear","🚨 Action Required"))</f>
        <v/>
      </c>
    </row>
    <row r="132">
      <c r="A132">
        <f>IF($B132="","",ROW()-5)</f>
        <v/>
      </c>
      <c r="D132">
        <f>IF($B132="","",IF(C132="","",TEXT(C132,"MMM")))</f>
        <v/>
      </c>
      <c r="J132">
        <f>IF($B132="","",IF(H132="Negative","✅ Clear","🚨 Action Required"))</f>
        <v/>
      </c>
    </row>
    <row r="133">
      <c r="A133">
        <f>IF($B133="","",ROW()-5)</f>
        <v/>
      </c>
      <c r="D133">
        <f>IF($B133="","",IF(C133="","",TEXT(C133,"MMM")))</f>
        <v/>
      </c>
      <c r="J133">
        <f>IF($B133="","",IF(H133="Negative","✅ Clear","🚨 Action Required"))</f>
        <v/>
      </c>
    </row>
    <row r="134">
      <c r="A134">
        <f>IF($B134="","",ROW()-5)</f>
        <v/>
      </c>
      <c r="D134">
        <f>IF($B134="","",IF(C134="","",TEXT(C134,"MMM")))</f>
        <v/>
      </c>
      <c r="J134">
        <f>IF($B134="","",IF(H134="Negative","✅ Clear","🚨 Action Required"))</f>
        <v/>
      </c>
    </row>
    <row r="135">
      <c r="A135">
        <f>IF($B135="","",ROW()-5)</f>
        <v/>
      </c>
      <c r="D135">
        <f>IF($B135="","",IF(C135="","",TEXT(C135,"MMM")))</f>
        <v/>
      </c>
      <c r="J135">
        <f>IF($B135="","",IF(H135="Negative","✅ Clear","🚨 Action Required"))</f>
        <v/>
      </c>
    </row>
    <row r="136">
      <c r="A136">
        <f>IF($B136="","",ROW()-5)</f>
        <v/>
      </c>
      <c r="D136">
        <f>IF($B136="","",IF(C136="","",TEXT(C136,"MMM")))</f>
        <v/>
      </c>
      <c r="J136">
        <f>IF($B136="","",IF(H136="Negative","✅ Clear","🚨 Action Required"))</f>
        <v/>
      </c>
    </row>
    <row r="137">
      <c r="A137">
        <f>IF($B137="","",ROW()-5)</f>
        <v/>
      </c>
      <c r="D137">
        <f>IF($B137="","",IF(C137="","",TEXT(C137,"MMM")))</f>
        <v/>
      </c>
      <c r="J137">
        <f>IF($B137="","",IF(H137="Negative","✅ Clear","🚨 Action Required"))</f>
        <v/>
      </c>
    </row>
    <row r="138">
      <c r="A138">
        <f>IF($B138="","",ROW()-5)</f>
        <v/>
      </c>
      <c r="D138">
        <f>IF($B138="","",IF(C138="","",TEXT(C138,"MMM")))</f>
        <v/>
      </c>
      <c r="J138">
        <f>IF($B138="","",IF(H138="Negative","✅ Clear","🚨 Action Required"))</f>
        <v/>
      </c>
    </row>
    <row r="139">
      <c r="A139">
        <f>IF($B139="","",ROW()-5)</f>
        <v/>
      </c>
      <c r="D139">
        <f>IF($B139="","",IF(C139="","",TEXT(C139,"MMM")))</f>
        <v/>
      </c>
      <c r="J139">
        <f>IF($B139="","",IF(H139="Negative","✅ Clear","🚨 Action Required"))</f>
        <v/>
      </c>
    </row>
    <row r="140">
      <c r="A140">
        <f>IF($B140="","",ROW()-5)</f>
        <v/>
      </c>
      <c r="D140">
        <f>IF($B140="","",IF(C140="","",TEXT(C140,"MMM")))</f>
        <v/>
      </c>
      <c r="J140">
        <f>IF($B140="","",IF(H140="Negative","✅ Clear","🚨 Action Required"))</f>
        <v/>
      </c>
    </row>
    <row r="141">
      <c r="A141">
        <f>IF($B141="","",ROW()-5)</f>
        <v/>
      </c>
      <c r="D141">
        <f>IF($B141="","",IF(C141="","",TEXT(C141,"MMM")))</f>
        <v/>
      </c>
      <c r="J141">
        <f>IF($B141="","",IF(H141="Negative","✅ Clear","🚨 Action Required"))</f>
        <v/>
      </c>
    </row>
    <row r="142">
      <c r="A142">
        <f>IF($B142="","",ROW()-5)</f>
        <v/>
      </c>
      <c r="D142">
        <f>IF($B142="","",IF(C142="","",TEXT(C142,"MMM")))</f>
        <v/>
      </c>
      <c r="J142">
        <f>IF($B142="","",IF(H142="Negative","✅ Clear","🚨 Action Required"))</f>
        <v/>
      </c>
    </row>
    <row r="143">
      <c r="A143">
        <f>IF($B143="","",ROW()-5)</f>
        <v/>
      </c>
      <c r="D143">
        <f>IF($B143="","",IF(C143="","",TEXT(C143,"MMM")))</f>
        <v/>
      </c>
      <c r="J143">
        <f>IF($B143="","",IF(H143="Negative","✅ Clear","🚨 Action Required"))</f>
        <v/>
      </c>
    </row>
    <row r="144">
      <c r="A144">
        <f>IF($B144="","",ROW()-5)</f>
        <v/>
      </c>
      <c r="D144">
        <f>IF($B144="","",IF(C144="","",TEXT(C144,"MMM")))</f>
        <v/>
      </c>
      <c r="J144">
        <f>IF($B144="","",IF(H144="Negative","✅ Clear","🚨 Action Required"))</f>
        <v/>
      </c>
    </row>
    <row r="145">
      <c r="A145">
        <f>IF($B145="","",ROW()-5)</f>
        <v/>
      </c>
      <c r="D145">
        <f>IF($B145="","",IF(C145="","",TEXT(C145,"MMM")))</f>
        <v/>
      </c>
      <c r="J145">
        <f>IF($B145="","",IF(H145="Negative","✅ Clear","🚨 Action Required"))</f>
        <v/>
      </c>
    </row>
    <row r="146">
      <c r="A146">
        <f>IF($B146="","",ROW()-5)</f>
        <v/>
      </c>
      <c r="D146">
        <f>IF($B146="","",IF(C146="","",TEXT(C146,"MMM")))</f>
        <v/>
      </c>
      <c r="J146">
        <f>IF($B146="","",IF(H146="Negative","✅ Clear","🚨 Action Required"))</f>
        <v/>
      </c>
    </row>
    <row r="147">
      <c r="A147">
        <f>IF($B147="","",ROW()-5)</f>
        <v/>
      </c>
      <c r="D147">
        <f>IF($B147="","",IF(C147="","",TEXT(C147,"MMM")))</f>
        <v/>
      </c>
      <c r="J147">
        <f>IF($B147="","",IF(H147="Negative","✅ Clear","🚨 Action Required"))</f>
        <v/>
      </c>
    </row>
    <row r="148">
      <c r="A148">
        <f>IF($B148="","",ROW()-5)</f>
        <v/>
      </c>
      <c r="D148">
        <f>IF($B148="","",IF(C148="","",TEXT(C148,"MMM")))</f>
        <v/>
      </c>
      <c r="J148">
        <f>IF($B148="","",IF(H148="Negative","✅ Clear","🚨 Action Required"))</f>
        <v/>
      </c>
    </row>
    <row r="149">
      <c r="A149">
        <f>IF($B149="","",ROW()-5)</f>
        <v/>
      </c>
      <c r="D149">
        <f>IF($B149="","",IF(C149="","",TEXT(C149,"MMM")))</f>
        <v/>
      </c>
      <c r="J149">
        <f>IF($B149="","",IF(H149="Negative","✅ Clear","🚨 Action Required"))</f>
        <v/>
      </c>
    </row>
    <row r="150">
      <c r="A150">
        <f>IF($B150="","",ROW()-5)</f>
        <v/>
      </c>
      <c r="D150">
        <f>IF($B150="","",IF(C150="","",TEXT(C150,"MMM")))</f>
        <v/>
      </c>
      <c r="J150">
        <f>IF($B150="","",IF(H150="Negative","✅ Clear","🚨 Action Required"))</f>
        <v/>
      </c>
    </row>
    <row r="151">
      <c r="A151">
        <f>IF($B151="","",ROW()-5)</f>
        <v/>
      </c>
      <c r="D151">
        <f>IF($B151="","",IF(C151="","",TEXT(C151,"MMM")))</f>
        <v/>
      </c>
      <c r="J151">
        <f>IF($B151="","",IF(H151="Negative","✅ Clear","🚨 Action Required"))</f>
        <v/>
      </c>
    </row>
    <row r="152">
      <c r="A152">
        <f>IF($B152="","",ROW()-5)</f>
        <v/>
      </c>
      <c r="D152">
        <f>IF($B152="","",IF(C152="","",TEXT(C152,"MMM")))</f>
        <v/>
      </c>
      <c r="J152">
        <f>IF($B152="","",IF(H152="Negative","✅ Clear","🚨 Action Required"))</f>
        <v/>
      </c>
    </row>
    <row r="153">
      <c r="A153">
        <f>IF($B153="","",ROW()-5)</f>
        <v/>
      </c>
      <c r="D153">
        <f>IF($B153="","",IF(C153="","",TEXT(C153,"MMM")))</f>
        <v/>
      </c>
      <c r="J153">
        <f>IF($B153="","",IF(H153="Negative","✅ Clear","🚨 Action Required"))</f>
        <v/>
      </c>
    </row>
    <row r="154">
      <c r="A154">
        <f>IF($B154="","",ROW()-5)</f>
        <v/>
      </c>
      <c r="D154">
        <f>IF($B154="","",IF(C154="","",TEXT(C154,"MMM")))</f>
        <v/>
      </c>
      <c r="J154">
        <f>IF($B154="","",IF(H154="Negative","✅ Clear","🚨 Action Required"))</f>
        <v/>
      </c>
    </row>
    <row r="155">
      <c r="A155">
        <f>IF($B155="","",ROW()-5)</f>
        <v/>
      </c>
      <c r="D155">
        <f>IF($B155="","",IF(C155="","",TEXT(C155,"MMM")))</f>
        <v/>
      </c>
      <c r="J155">
        <f>IF($B155="","",IF(H155="Negative","✅ Clear","🚨 Action Required"))</f>
        <v/>
      </c>
    </row>
    <row r="156">
      <c r="A156">
        <f>IF($B156="","",ROW()-5)</f>
        <v/>
      </c>
      <c r="D156">
        <f>IF($B156="","",IF(C156="","",TEXT(C156,"MMM")))</f>
        <v/>
      </c>
      <c r="J156">
        <f>IF($B156="","",IF(H156="Negative","✅ Clear","🚨 Action Required"))</f>
        <v/>
      </c>
    </row>
    <row r="157">
      <c r="A157">
        <f>IF($B157="","",ROW()-5)</f>
        <v/>
      </c>
      <c r="D157">
        <f>IF($B157="","",IF(C157="","",TEXT(C157,"MMM")))</f>
        <v/>
      </c>
      <c r="J157">
        <f>IF($B157="","",IF(H157="Negative","✅ Clear","🚨 Action Required"))</f>
        <v/>
      </c>
    </row>
    <row r="158">
      <c r="A158">
        <f>IF($B158="","",ROW()-5)</f>
        <v/>
      </c>
      <c r="D158">
        <f>IF($B158="","",IF(C158="","",TEXT(C158,"MMM")))</f>
        <v/>
      </c>
      <c r="J158">
        <f>IF($B158="","",IF(H158="Negative","✅ Clear","🚨 Action Required"))</f>
        <v/>
      </c>
    </row>
    <row r="159">
      <c r="A159">
        <f>IF($B159="","",ROW()-5)</f>
        <v/>
      </c>
      <c r="D159">
        <f>IF($B159="","",IF(C159="","",TEXT(C159,"MMM")))</f>
        <v/>
      </c>
      <c r="J159">
        <f>IF($B159="","",IF(H159="Negative","✅ Clear","🚨 Action Required"))</f>
        <v/>
      </c>
    </row>
    <row r="160">
      <c r="A160">
        <f>IF($B160="","",ROW()-5)</f>
        <v/>
      </c>
      <c r="D160">
        <f>IF($B160="","",IF(C160="","",TEXT(C160,"MMM")))</f>
        <v/>
      </c>
      <c r="J160">
        <f>IF($B160="","",IF(H160="Negative","✅ Clear","🚨 Action Required"))</f>
        <v/>
      </c>
    </row>
    <row r="161">
      <c r="A161">
        <f>IF($B161="","",ROW()-5)</f>
        <v/>
      </c>
      <c r="D161">
        <f>IF($B161="","",IF(C161="","",TEXT(C161,"MMM")))</f>
        <v/>
      </c>
      <c r="J161">
        <f>IF($B161="","",IF(H161="Negative","✅ Clear","🚨 Action Required"))</f>
        <v/>
      </c>
    </row>
    <row r="162">
      <c r="A162">
        <f>IF($B162="","",ROW()-5)</f>
        <v/>
      </c>
      <c r="D162">
        <f>IF($B162="","",IF(C162="","",TEXT(C162,"MMM")))</f>
        <v/>
      </c>
      <c r="J162">
        <f>IF($B162="","",IF(H162="Negative","✅ Clear","🚨 Action Required"))</f>
        <v/>
      </c>
    </row>
    <row r="163">
      <c r="A163">
        <f>IF($B163="","",ROW()-5)</f>
        <v/>
      </c>
      <c r="D163">
        <f>IF($B163="","",IF(C163="","",TEXT(C163,"MMM")))</f>
        <v/>
      </c>
      <c r="J163">
        <f>IF($B163="","",IF(H163="Negative","✅ Clear","🚨 Action Required"))</f>
        <v/>
      </c>
    </row>
    <row r="164">
      <c r="A164">
        <f>IF($B164="","",ROW()-5)</f>
        <v/>
      </c>
      <c r="D164">
        <f>IF($B164="","",IF(C164="","",TEXT(C164,"MMM")))</f>
        <v/>
      </c>
      <c r="J164">
        <f>IF($B164="","",IF(H164="Negative","✅ Clear","🚨 Action Required"))</f>
        <v/>
      </c>
    </row>
    <row r="165">
      <c r="A165">
        <f>IF($B165="","",ROW()-5)</f>
        <v/>
      </c>
      <c r="D165">
        <f>IF($B165="","",IF(C165="","",TEXT(C165,"MMM")))</f>
        <v/>
      </c>
      <c r="J165">
        <f>IF($B165="","",IF(H165="Negative","✅ Clear","🚨 Action Required"))</f>
        <v/>
      </c>
    </row>
    <row r="166">
      <c r="A166">
        <f>IF($B166="","",ROW()-5)</f>
        <v/>
      </c>
      <c r="D166">
        <f>IF($B166="","",IF(C166="","",TEXT(C166,"MMM")))</f>
        <v/>
      </c>
      <c r="J166">
        <f>IF($B166="","",IF(H166="Negative","✅ Clear","🚨 Action Required"))</f>
        <v/>
      </c>
    </row>
    <row r="167">
      <c r="A167">
        <f>IF($B167="","",ROW()-5)</f>
        <v/>
      </c>
      <c r="D167">
        <f>IF($B167="","",IF(C167="","",TEXT(C167,"MMM")))</f>
        <v/>
      </c>
      <c r="J167">
        <f>IF($B167="","",IF(H167="Negative","✅ Clear","🚨 Action Required"))</f>
        <v/>
      </c>
    </row>
    <row r="168">
      <c r="A168">
        <f>IF($B168="","",ROW()-5)</f>
        <v/>
      </c>
      <c r="D168">
        <f>IF($B168="","",IF(C168="","",TEXT(C168,"MMM")))</f>
        <v/>
      </c>
      <c r="J168">
        <f>IF($B168="","",IF(H168="Negative","✅ Clear","🚨 Action Required"))</f>
        <v/>
      </c>
    </row>
    <row r="169">
      <c r="A169">
        <f>IF($B169="","",ROW()-5)</f>
        <v/>
      </c>
      <c r="D169">
        <f>IF($B169="","",IF(C169="","",TEXT(C169,"MMM")))</f>
        <v/>
      </c>
      <c r="J169">
        <f>IF($B169="","",IF(H169="Negative","✅ Clear","🚨 Action Required"))</f>
        <v/>
      </c>
    </row>
    <row r="170">
      <c r="A170">
        <f>IF($B170="","",ROW()-5)</f>
        <v/>
      </c>
      <c r="D170">
        <f>IF($B170="","",IF(C170="","",TEXT(C170,"MMM")))</f>
        <v/>
      </c>
      <c r="J170">
        <f>IF($B170="","",IF(H170="Negative","✅ Clear","🚨 Action Required"))</f>
        <v/>
      </c>
    </row>
    <row r="171">
      <c r="A171">
        <f>IF($B171="","",ROW()-5)</f>
        <v/>
      </c>
      <c r="D171">
        <f>IF($B171="","",IF(C171="","",TEXT(C171,"MMM")))</f>
        <v/>
      </c>
      <c r="J171">
        <f>IF($B171="","",IF(H171="Negative","✅ Clear","🚨 Action Required"))</f>
        <v/>
      </c>
    </row>
    <row r="172">
      <c r="A172">
        <f>IF($B172="","",ROW()-5)</f>
        <v/>
      </c>
      <c r="D172">
        <f>IF($B172="","",IF(C172="","",TEXT(C172,"MMM")))</f>
        <v/>
      </c>
      <c r="J172">
        <f>IF($B172="","",IF(H172="Negative","✅ Clear","🚨 Action Required"))</f>
        <v/>
      </c>
    </row>
    <row r="173">
      <c r="A173">
        <f>IF($B173="","",ROW()-5)</f>
        <v/>
      </c>
      <c r="D173">
        <f>IF($B173="","",IF(C173="","",TEXT(C173,"MMM")))</f>
        <v/>
      </c>
      <c r="J173">
        <f>IF($B173="","",IF(H173="Negative","✅ Clear","🚨 Action Required"))</f>
        <v/>
      </c>
    </row>
    <row r="174">
      <c r="A174">
        <f>IF($B174="","",ROW()-5)</f>
        <v/>
      </c>
      <c r="D174">
        <f>IF($B174="","",IF(C174="","",TEXT(C174,"MMM")))</f>
        <v/>
      </c>
      <c r="J174">
        <f>IF($B174="","",IF(H174="Negative","✅ Clear","🚨 Action Required"))</f>
        <v/>
      </c>
    </row>
    <row r="175">
      <c r="A175">
        <f>IF($B175="","",ROW()-5)</f>
        <v/>
      </c>
      <c r="D175">
        <f>IF($B175="","",IF(C175="","",TEXT(C175,"MMM")))</f>
        <v/>
      </c>
      <c r="J175">
        <f>IF($B175="","",IF(H175="Negative","✅ Clear","🚨 Action Required"))</f>
        <v/>
      </c>
    </row>
    <row r="176">
      <c r="A176">
        <f>IF($B176="","",ROW()-5)</f>
        <v/>
      </c>
      <c r="D176">
        <f>IF($B176="","",IF(C176="","",TEXT(C176,"MMM")))</f>
        <v/>
      </c>
      <c r="J176">
        <f>IF($B176="","",IF(H176="Negative","✅ Clear","🚨 Action Required"))</f>
        <v/>
      </c>
    </row>
    <row r="177">
      <c r="A177">
        <f>IF($B177="","",ROW()-5)</f>
        <v/>
      </c>
      <c r="D177">
        <f>IF($B177="","",IF(C177="","",TEXT(C177,"MMM")))</f>
        <v/>
      </c>
      <c r="J177">
        <f>IF($B177="","",IF(H177="Negative","✅ Clear","🚨 Action Required"))</f>
        <v/>
      </c>
    </row>
    <row r="178">
      <c r="A178">
        <f>IF($B178="","",ROW()-5)</f>
        <v/>
      </c>
      <c r="D178">
        <f>IF($B178="","",IF(C178="","",TEXT(C178,"MMM")))</f>
        <v/>
      </c>
      <c r="J178">
        <f>IF($B178="","",IF(H178="Negative","✅ Clear","🚨 Action Required"))</f>
        <v/>
      </c>
    </row>
    <row r="179">
      <c r="A179">
        <f>IF($B179="","",ROW()-5)</f>
        <v/>
      </c>
      <c r="D179">
        <f>IF($B179="","",IF(C179="","",TEXT(C179,"MMM")))</f>
        <v/>
      </c>
      <c r="J179">
        <f>IF($B179="","",IF(H179="Negative","✅ Clear","🚨 Action Required"))</f>
        <v/>
      </c>
    </row>
    <row r="180">
      <c r="A180">
        <f>IF($B180="","",ROW()-5)</f>
        <v/>
      </c>
      <c r="D180">
        <f>IF($B180="","",IF(C180="","",TEXT(C180,"MMM")))</f>
        <v/>
      </c>
      <c r="J180">
        <f>IF($B180="","",IF(H180="Negative","✅ Clear","🚨 Action Required"))</f>
        <v/>
      </c>
    </row>
    <row r="181">
      <c r="A181">
        <f>IF($B181="","",ROW()-5)</f>
        <v/>
      </c>
      <c r="D181">
        <f>IF($B181="","",IF(C181="","",TEXT(C181,"MMM")))</f>
        <v/>
      </c>
      <c r="J181">
        <f>IF($B181="","",IF(H181="Negative","✅ Clear","🚨 Action Required"))</f>
        <v/>
      </c>
    </row>
    <row r="182">
      <c r="A182">
        <f>IF($B182="","",ROW()-5)</f>
        <v/>
      </c>
      <c r="D182">
        <f>IF($B182="","",IF(C182="","",TEXT(C182,"MMM")))</f>
        <v/>
      </c>
      <c r="J182">
        <f>IF($B182="","",IF(H182="Negative","✅ Clear","🚨 Action Required"))</f>
        <v/>
      </c>
    </row>
    <row r="183">
      <c r="A183">
        <f>IF($B183="","",ROW()-5)</f>
        <v/>
      </c>
      <c r="D183">
        <f>IF($B183="","",IF(C183="","",TEXT(C183,"MMM")))</f>
        <v/>
      </c>
      <c r="J183">
        <f>IF($B183="","",IF(H183="Negative","✅ Clear","🚨 Action Required"))</f>
        <v/>
      </c>
    </row>
    <row r="184">
      <c r="A184">
        <f>IF($B184="","",ROW()-5)</f>
        <v/>
      </c>
      <c r="D184">
        <f>IF($B184="","",IF(C184="","",TEXT(C184,"MMM")))</f>
        <v/>
      </c>
      <c r="J184">
        <f>IF($B184="","",IF(H184="Negative","✅ Clear","🚨 Action Required"))</f>
        <v/>
      </c>
    </row>
    <row r="185">
      <c r="A185">
        <f>IF($B185="","",ROW()-5)</f>
        <v/>
      </c>
      <c r="D185">
        <f>IF($B185="","",IF(C185="","",TEXT(C185,"MMM")))</f>
        <v/>
      </c>
      <c r="J185">
        <f>IF($B185="","",IF(H185="Negative","✅ Clear","🚨 Action Required"))</f>
        <v/>
      </c>
    </row>
    <row r="186">
      <c r="A186">
        <f>IF($B186="","",ROW()-5)</f>
        <v/>
      </c>
      <c r="D186">
        <f>IF($B186="","",IF(C186="","",TEXT(C186,"MMM")))</f>
        <v/>
      </c>
      <c r="J186">
        <f>IF($B186="","",IF(H186="Negative","✅ Clear","🚨 Action Required"))</f>
        <v/>
      </c>
    </row>
    <row r="187">
      <c r="A187">
        <f>IF($B187="","",ROW()-5)</f>
        <v/>
      </c>
      <c r="D187">
        <f>IF($B187="","",IF(C187="","",TEXT(C187,"MMM")))</f>
        <v/>
      </c>
      <c r="J187">
        <f>IF($B187="","",IF(H187="Negative","✅ Clear","🚨 Action Required"))</f>
        <v/>
      </c>
    </row>
    <row r="188">
      <c r="A188">
        <f>IF($B188="","",ROW()-5)</f>
        <v/>
      </c>
      <c r="D188">
        <f>IF($B188="","",IF(C188="","",TEXT(C188,"MMM")))</f>
        <v/>
      </c>
      <c r="J188">
        <f>IF($B188="","",IF(H188="Negative","✅ Clear","🚨 Action Required"))</f>
        <v/>
      </c>
    </row>
    <row r="189">
      <c r="A189">
        <f>IF($B189="","",ROW()-5)</f>
        <v/>
      </c>
      <c r="D189">
        <f>IF($B189="","",IF(C189="","",TEXT(C189,"MMM")))</f>
        <v/>
      </c>
      <c r="J189">
        <f>IF($B189="","",IF(H189="Negative","✅ Clear","🚨 Action Required"))</f>
        <v/>
      </c>
    </row>
    <row r="190">
      <c r="A190">
        <f>IF($B190="","",ROW()-5)</f>
        <v/>
      </c>
      <c r="D190">
        <f>IF($B190="","",IF(C190="","",TEXT(C190,"MMM")))</f>
        <v/>
      </c>
      <c r="J190">
        <f>IF($B190="","",IF(H190="Negative","✅ Clear","🚨 Action Required"))</f>
        <v/>
      </c>
    </row>
    <row r="191">
      <c r="A191">
        <f>IF($B191="","",ROW()-5)</f>
        <v/>
      </c>
      <c r="D191">
        <f>IF($B191="","",IF(C191="","",TEXT(C191,"MMM")))</f>
        <v/>
      </c>
      <c r="J191">
        <f>IF($B191="","",IF(H191="Negative","✅ Clear","🚨 Action Required"))</f>
        <v/>
      </c>
    </row>
    <row r="192">
      <c r="A192">
        <f>IF($B192="","",ROW()-5)</f>
        <v/>
      </c>
      <c r="D192">
        <f>IF($B192="","",IF(C192="","",TEXT(C192,"MMM")))</f>
        <v/>
      </c>
      <c r="J192">
        <f>IF($B192="","",IF(H192="Negative","✅ Clear","🚨 Action Required"))</f>
        <v/>
      </c>
    </row>
    <row r="193">
      <c r="A193">
        <f>IF($B193="","",ROW()-5)</f>
        <v/>
      </c>
      <c r="D193">
        <f>IF($B193="","",IF(C193="","",TEXT(C193,"MMM")))</f>
        <v/>
      </c>
      <c r="J193">
        <f>IF($B193="","",IF(H193="Negative","✅ Clear","🚨 Action Required"))</f>
        <v/>
      </c>
    </row>
    <row r="194">
      <c r="A194">
        <f>IF($B194="","",ROW()-5)</f>
        <v/>
      </c>
      <c r="D194">
        <f>IF($B194="","",IF(C194="","",TEXT(C194,"MMM")))</f>
        <v/>
      </c>
      <c r="J194">
        <f>IF($B194="","",IF(H194="Negative","✅ Clear","🚨 Action Required"))</f>
        <v/>
      </c>
    </row>
    <row r="195">
      <c r="A195">
        <f>IF($B195="","",ROW()-5)</f>
        <v/>
      </c>
      <c r="D195">
        <f>IF($B195="","",IF(C195="","",TEXT(C195,"MMM")))</f>
        <v/>
      </c>
      <c r="J195">
        <f>IF($B195="","",IF(H195="Negative","✅ Clear","🚨 Action Required"))</f>
        <v/>
      </c>
    </row>
    <row r="196">
      <c r="A196">
        <f>IF($B196="","",ROW()-5)</f>
        <v/>
      </c>
      <c r="D196">
        <f>IF($B196="","",IF(C196="","",TEXT(C196,"MMM")))</f>
        <v/>
      </c>
      <c r="J196">
        <f>IF($B196="","",IF(H196="Negative","✅ Clear","🚨 Action Required"))</f>
        <v/>
      </c>
    </row>
    <row r="197">
      <c r="A197">
        <f>IF($B197="","",ROW()-5)</f>
        <v/>
      </c>
      <c r="D197">
        <f>IF($B197="","",IF(C197="","",TEXT(C197,"MMM")))</f>
        <v/>
      </c>
      <c r="J197">
        <f>IF($B197="","",IF(H197="Negative","✅ Clear","🚨 Action Required"))</f>
        <v/>
      </c>
    </row>
    <row r="198">
      <c r="A198">
        <f>IF($B198="","",ROW()-5)</f>
        <v/>
      </c>
      <c r="D198">
        <f>IF($B198="","",IF(C198="","",TEXT(C198,"MMM")))</f>
        <v/>
      </c>
      <c r="J198">
        <f>IF($B198="","",IF(H198="Negative","✅ Clear","🚨 Action Required"))</f>
        <v/>
      </c>
    </row>
    <row r="199">
      <c r="A199">
        <f>IF($B199="","",ROW()-5)</f>
        <v/>
      </c>
      <c r="D199">
        <f>IF($B199="","",IF(C199="","",TEXT(C199,"MMM")))</f>
        <v/>
      </c>
      <c r="J199">
        <f>IF($B199="","",IF(H199="Negative","✅ Clear","🚨 Action Required"))</f>
        <v/>
      </c>
    </row>
    <row r="200">
      <c r="A200">
        <f>IF($B200="","",ROW()-5)</f>
        <v/>
      </c>
      <c r="D200">
        <f>IF($B200="","",IF(C200="","",TEXT(C200,"MMM")))</f>
        <v/>
      </c>
      <c r="J200">
        <f>IF($B200="","",IF(H200="Negative","✅ Clear","🚨 Action Required"))</f>
        <v/>
      </c>
    </row>
    <row r="201">
      <c r="A201">
        <f>IF($B201="","",ROW()-5)</f>
        <v/>
      </c>
      <c r="D201">
        <f>IF($B201="","",IF(C201="","",TEXT(C201,"MMM")))</f>
        <v/>
      </c>
      <c r="J201">
        <f>IF($B201="","",IF(H201="Negative","✅ Clear","🚨 Action Required"))</f>
        <v/>
      </c>
    </row>
    <row r="202">
      <c r="A202">
        <f>IF($B202="","",ROW()-5)</f>
        <v/>
      </c>
      <c r="D202">
        <f>IF($B202="","",IF(C202="","",TEXT(C202,"MMM")))</f>
        <v/>
      </c>
      <c r="J202">
        <f>IF($B202="","",IF(H202="Negative","✅ Clear","🚨 Action Required"))</f>
        <v/>
      </c>
    </row>
    <row r="203">
      <c r="A203">
        <f>IF($B203="","",ROW()-5)</f>
        <v/>
      </c>
      <c r="D203">
        <f>IF($B203="","",IF(C203="","",TEXT(C203,"MMM")))</f>
        <v/>
      </c>
      <c r="J203">
        <f>IF($B203="","",IF(H203="Negative","✅ Clear","🚨 Action Required"))</f>
        <v/>
      </c>
    </row>
    <row r="204">
      <c r="A204">
        <f>IF($B204="","",ROW()-5)</f>
        <v/>
      </c>
      <c r="D204">
        <f>IF($B204="","",IF(C204="","",TEXT(C204,"MMM")))</f>
        <v/>
      </c>
      <c r="J204">
        <f>IF($B204="","",IF(H204="Negative","✅ Clear","🚨 Action Required"))</f>
        <v/>
      </c>
    </row>
    <row r="205">
      <c r="A205">
        <f>IF($B205="","",ROW()-5)</f>
        <v/>
      </c>
      <c r="D205">
        <f>IF($B205="","",IF(C205="","",TEXT(C205,"MMM")))</f>
        <v/>
      </c>
      <c r="J205">
        <f>IF($B205="","",IF(H205="Negative","✅ Clear","🚨 Action Required"))</f>
        <v/>
      </c>
    </row>
    <row r="206">
      <c r="A206">
        <f>IF($B206="","",ROW()-5)</f>
        <v/>
      </c>
      <c r="D206">
        <f>IF($B206="","",IF(C206="","",TEXT(C206,"MMM")))</f>
        <v/>
      </c>
      <c r="J206">
        <f>IF($B206="","",IF(H206="Negative","✅ Clear","🚨 Action Required"))</f>
        <v/>
      </c>
    </row>
    <row r="207">
      <c r="A207">
        <f>IF($B207="","",ROW()-5)</f>
        <v/>
      </c>
      <c r="D207">
        <f>IF($B207="","",IF(C207="","",TEXT(C207,"MMM")))</f>
        <v/>
      </c>
      <c r="J207">
        <f>IF($B207="","",IF(H207="Negative","✅ Clear","🚨 Action Required"))</f>
        <v/>
      </c>
    </row>
    <row r="208">
      <c r="A208">
        <f>IF($B208="","",ROW()-5)</f>
        <v/>
      </c>
      <c r="D208">
        <f>IF($B208="","",IF(C208="","",TEXT(C208,"MMM")))</f>
        <v/>
      </c>
      <c r="J208">
        <f>IF($B208="","",IF(H208="Negative","✅ Clear","🚨 Action Required"))</f>
        <v/>
      </c>
    </row>
    <row r="209">
      <c r="A209">
        <f>IF($B209="","",ROW()-5)</f>
        <v/>
      </c>
      <c r="D209">
        <f>IF($B209="","",IF(C209="","",TEXT(C209,"MMM")))</f>
        <v/>
      </c>
      <c r="J209">
        <f>IF($B209="","",IF(H209="Negative","✅ Clear","🚨 Action Required"))</f>
        <v/>
      </c>
    </row>
    <row r="210">
      <c r="A210">
        <f>IF($B210="","",ROW()-5)</f>
        <v/>
      </c>
      <c r="D210">
        <f>IF($B210="","",IF(C210="","",TEXT(C210,"MMM")))</f>
        <v/>
      </c>
      <c r="J210">
        <f>IF($B210="","",IF(H210="Negative","✅ Clear","🚨 Action Required"))</f>
        <v/>
      </c>
    </row>
    <row r="211">
      <c r="A211">
        <f>IF($B211="","",ROW()-5)</f>
        <v/>
      </c>
      <c r="D211">
        <f>IF($B211="","",IF(C211="","",TEXT(C211,"MMM")))</f>
        <v/>
      </c>
      <c r="J211">
        <f>IF($B211="","",IF(H211="Negative","✅ Clear","🚨 Action Required"))</f>
        <v/>
      </c>
    </row>
    <row r="212">
      <c r="A212">
        <f>IF($B212="","",ROW()-5)</f>
        <v/>
      </c>
      <c r="D212">
        <f>IF($B212="","",IF(C212="","",TEXT(C212,"MMM")))</f>
        <v/>
      </c>
      <c r="J212">
        <f>IF($B212="","",IF(H212="Negative","✅ Clear","🚨 Action Required"))</f>
        <v/>
      </c>
    </row>
    <row r="213">
      <c r="A213">
        <f>IF($B213="","",ROW()-5)</f>
        <v/>
      </c>
      <c r="D213">
        <f>IF($B213="","",IF(C213="","",TEXT(C213,"MMM")))</f>
        <v/>
      </c>
      <c r="J213">
        <f>IF($B213="","",IF(H213="Negative","✅ Clear","🚨 Action Required"))</f>
        <v/>
      </c>
    </row>
    <row r="214">
      <c r="A214">
        <f>IF($B214="","",ROW()-5)</f>
        <v/>
      </c>
      <c r="D214">
        <f>IF($B214="","",IF(C214="","",TEXT(C214,"MMM")))</f>
        <v/>
      </c>
      <c r="J214">
        <f>IF($B214="","",IF(H214="Negative","✅ Clear","🚨 Action Required"))</f>
        <v/>
      </c>
    </row>
    <row r="215">
      <c r="A215">
        <f>IF($B215="","",ROW()-5)</f>
        <v/>
      </c>
      <c r="D215">
        <f>IF($B215="","",IF(C215="","",TEXT(C215,"MMM")))</f>
        <v/>
      </c>
      <c r="J215">
        <f>IF($B215="","",IF(H215="Negative","✅ Clear","🚨 Action Required"))</f>
        <v/>
      </c>
    </row>
    <row r="216">
      <c r="A216">
        <f>IF($B216="","",ROW()-5)</f>
        <v/>
      </c>
      <c r="D216">
        <f>IF($B216="","",IF(C216="","",TEXT(C216,"MMM")))</f>
        <v/>
      </c>
      <c r="J216">
        <f>IF($B216="","",IF(H216="Negative","✅ Clear","🚨 Action Required"))</f>
        <v/>
      </c>
    </row>
    <row r="217">
      <c r="A217">
        <f>IF($B217="","",ROW()-5)</f>
        <v/>
      </c>
      <c r="D217">
        <f>IF($B217="","",IF(C217="","",TEXT(C217,"MMM")))</f>
        <v/>
      </c>
      <c r="J217">
        <f>IF($B217="","",IF(H217="Negative","✅ Clear","🚨 Action Required"))</f>
        <v/>
      </c>
    </row>
    <row r="218">
      <c r="A218">
        <f>IF($B218="","",ROW()-5)</f>
        <v/>
      </c>
      <c r="D218">
        <f>IF($B218="","",IF(C218="","",TEXT(C218,"MMM")))</f>
        <v/>
      </c>
      <c r="J218">
        <f>IF($B218="","",IF(H218="Negative","✅ Clear","🚨 Action Required"))</f>
        <v/>
      </c>
    </row>
    <row r="219">
      <c r="A219">
        <f>IF($B219="","",ROW()-5)</f>
        <v/>
      </c>
      <c r="D219">
        <f>IF($B219="","",IF(C219="","",TEXT(C219,"MMM")))</f>
        <v/>
      </c>
      <c r="J219">
        <f>IF($B219="","",IF(H219="Negative","✅ Clear","🚨 Action Required"))</f>
        <v/>
      </c>
    </row>
    <row r="220">
      <c r="A220">
        <f>IF($B220="","",ROW()-5)</f>
        <v/>
      </c>
      <c r="D220">
        <f>IF($B220="","",IF(C220="","",TEXT(C220,"MMM")))</f>
        <v/>
      </c>
      <c r="J220">
        <f>IF($B220="","",IF(H220="Negative","✅ Clear","🚨 Action Required"))</f>
        <v/>
      </c>
    </row>
    <row r="221">
      <c r="A221">
        <f>IF($B221="","",ROW()-5)</f>
        <v/>
      </c>
      <c r="D221">
        <f>IF($B221="","",IF(C221="","",TEXT(C221,"MMM")))</f>
        <v/>
      </c>
      <c r="J221">
        <f>IF($B221="","",IF(H221="Negative","✅ Clear","🚨 Action Required"))</f>
        <v/>
      </c>
    </row>
    <row r="222">
      <c r="A222">
        <f>IF($B222="","",ROW()-5)</f>
        <v/>
      </c>
      <c r="D222">
        <f>IF($B222="","",IF(C222="","",TEXT(C222,"MMM")))</f>
        <v/>
      </c>
      <c r="J222">
        <f>IF($B222="","",IF(H222="Negative","✅ Clear","🚨 Action Required"))</f>
        <v/>
      </c>
    </row>
    <row r="223">
      <c r="A223">
        <f>IF($B223="","",ROW()-5)</f>
        <v/>
      </c>
      <c r="D223">
        <f>IF($B223="","",IF(C223="","",TEXT(C223,"MMM")))</f>
        <v/>
      </c>
      <c r="J223">
        <f>IF($B223="","",IF(H223="Negative","✅ Clear","🚨 Action Required"))</f>
        <v/>
      </c>
    </row>
    <row r="224">
      <c r="A224">
        <f>IF($B224="","",ROW()-5)</f>
        <v/>
      </c>
      <c r="D224">
        <f>IF($B224="","",IF(C224="","",TEXT(C224,"MMM")))</f>
        <v/>
      </c>
      <c r="J224">
        <f>IF($B224="","",IF(H224="Negative","✅ Clear","🚨 Action Required"))</f>
        <v/>
      </c>
    </row>
    <row r="225">
      <c r="A225">
        <f>IF($B225="","",ROW()-5)</f>
        <v/>
      </c>
      <c r="D225">
        <f>IF($B225="","",IF(C225="","",TEXT(C225,"MMM")))</f>
        <v/>
      </c>
      <c r="J225">
        <f>IF($B225="","",IF(H225="Negative","✅ Clear","🚨 Action Required"))</f>
        <v/>
      </c>
    </row>
    <row r="226">
      <c r="A226">
        <f>IF($B226="","",ROW()-5)</f>
        <v/>
      </c>
      <c r="D226">
        <f>IF($B226="","",IF(C226="","",TEXT(C226,"MMM")))</f>
        <v/>
      </c>
      <c r="J226">
        <f>IF($B226="","",IF(H226="Negative","✅ Clear","🚨 Action Required"))</f>
        <v/>
      </c>
    </row>
    <row r="227">
      <c r="A227">
        <f>IF($B227="","",ROW()-5)</f>
        <v/>
      </c>
      <c r="D227">
        <f>IF($B227="","",IF(C227="","",TEXT(C227,"MMM")))</f>
        <v/>
      </c>
      <c r="J227">
        <f>IF($B227="","",IF(H227="Negative","✅ Clear","🚨 Action Required"))</f>
        <v/>
      </c>
    </row>
    <row r="228">
      <c r="A228">
        <f>IF($B228="","",ROW()-5)</f>
        <v/>
      </c>
      <c r="D228">
        <f>IF($B228="","",IF(C228="","",TEXT(C228,"MMM")))</f>
        <v/>
      </c>
      <c r="J228">
        <f>IF($B228="","",IF(H228="Negative","✅ Clear","🚨 Action Required"))</f>
        <v/>
      </c>
    </row>
    <row r="229">
      <c r="A229">
        <f>IF($B229="","",ROW()-5)</f>
        <v/>
      </c>
      <c r="D229">
        <f>IF($B229="","",IF(C229="","",TEXT(C229,"MMM")))</f>
        <v/>
      </c>
      <c r="J229">
        <f>IF($B229="","",IF(H229="Negative","✅ Clear","🚨 Action Required"))</f>
        <v/>
      </c>
    </row>
    <row r="230">
      <c r="A230">
        <f>IF($B230="","",ROW()-5)</f>
        <v/>
      </c>
      <c r="D230">
        <f>IF($B230="","",IF(C230="","",TEXT(C230,"MMM")))</f>
        <v/>
      </c>
      <c r="J230">
        <f>IF($B230="","",IF(H230="Negative","✅ Clear","🚨 Action Required"))</f>
        <v/>
      </c>
    </row>
    <row r="231">
      <c r="A231">
        <f>IF($B231="","",ROW()-5)</f>
        <v/>
      </c>
      <c r="D231">
        <f>IF($B231="","",IF(C231="","",TEXT(C231,"MMM")))</f>
        <v/>
      </c>
      <c r="J231">
        <f>IF($B231="","",IF(H231="Negative","✅ Clear","🚨 Action Required"))</f>
        <v/>
      </c>
    </row>
    <row r="232">
      <c r="A232">
        <f>IF($B232="","",ROW()-5)</f>
        <v/>
      </c>
      <c r="D232">
        <f>IF($B232="","",IF(C232="","",TEXT(C232,"MMM")))</f>
        <v/>
      </c>
      <c r="J232">
        <f>IF($B232="","",IF(H232="Negative","✅ Clear","🚨 Action Required"))</f>
        <v/>
      </c>
    </row>
    <row r="233">
      <c r="A233">
        <f>IF($B233="","",ROW()-5)</f>
        <v/>
      </c>
      <c r="D233">
        <f>IF($B233="","",IF(C233="","",TEXT(C233,"MMM")))</f>
        <v/>
      </c>
      <c r="J233">
        <f>IF($B233="","",IF(H233="Negative","✅ Clear","🚨 Action Required"))</f>
        <v/>
      </c>
    </row>
    <row r="234">
      <c r="A234">
        <f>IF($B234="","",ROW()-5)</f>
        <v/>
      </c>
      <c r="D234">
        <f>IF($B234="","",IF(C234="","",TEXT(C234,"MMM")))</f>
        <v/>
      </c>
      <c r="J234">
        <f>IF($B234="","",IF(H234="Negative","✅ Clear","🚨 Action Required"))</f>
        <v/>
      </c>
    </row>
    <row r="235">
      <c r="A235">
        <f>IF($B235="","",ROW()-5)</f>
        <v/>
      </c>
      <c r="D235">
        <f>IF($B235="","",IF(C235="","",TEXT(C235,"MMM")))</f>
        <v/>
      </c>
      <c r="J235">
        <f>IF($B235="","",IF(H235="Negative","✅ Clear","🚨 Action Required"))</f>
        <v/>
      </c>
    </row>
    <row r="236">
      <c r="A236">
        <f>IF($B236="","",ROW()-5)</f>
        <v/>
      </c>
      <c r="D236">
        <f>IF($B236="","",IF(C236="","",TEXT(C236,"MMM")))</f>
        <v/>
      </c>
      <c r="J236">
        <f>IF($B236="","",IF(H236="Negative","✅ Clear","🚨 Action Required"))</f>
        <v/>
      </c>
    </row>
    <row r="237">
      <c r="A237">
        <f>IF($B237="","",ROW()-5)</f>
        <v/>
      </c>
      <c r="D237">
        <f>IF($B237="","",IF(C237="","",TEXT(C237,"MMM")))</f>
        <v/>
      </c>
      <c r="J237">
        <f>IF($B237="","",IF(H237="Negative","✅ Clear","🚨 Action Required"))</f>
        <v/>
      </c>
    </row>
    <row r="238">
      <c r="A238">
        <f>IF($B238="","",ROW()-5)</f>
        <v/>
      </c>
      <c r="D238">
        <f>IF($B238="","",IF(C238="","",TEXT(C238,"MMM")))</f>
        <v/>
      </c>
      <c r="J238">
        <f>IF($B238="","",IF(H238="Negative","✅ Clear","🚨 Action Required"))</f>
        <v/>
      </c>
    </row>
    <row r="239">
      <c r="A239">
        <f>IF($B239="","",ROW()-5)</f>
        <v/>
      </c>
      <c r="D239">
        <f>IF($B239="","",IF(C239="","",TEXT(C239,"MMM")))</f>
        <v/>
      </c>
      <c r="J239">
        <f>IF($B239="","",IF(H239="Negative","✅ Clear","🚨 Action Required"))</f>
        <v/>
      </c>
    </row>
    <row r="240">
      <c r="A240">
        <f>IF($B240="","",ROW()-5)</f>
        <v/>
      </c>
      <c r="D240">
        <f>IF($B240="","",IF(C240="","",TEXT(C240,"MMM")))</f>
        <v/>
      </c>
      <c r="J240">
        <f>IF($B240="","",IF(H240="Negative","✅ Clear","🚨 Action Required"))</f>
        <v/>
      </c>
    </row>
    <row r="241">
      <c r="A241">
        <f>IF($B241="","",ROW()-5)</f>
        <v/>
      </c>
      <c r="D241">
        <f>IF($B241="","",IF(C241="","",TEXT(C241,"MMM")))</f>
        <v/>
      </c>
      <c r="J241">
        <f>IF($B241="","",IF(H241="Negative","✅ Clear","🚨 Action Required"))</f>
        <v/>
      </c>
    </row>
    <row r="242">
      <c r="A242">
        <f>IF($B242="","",ROW()-5)</f>
        <v/>
      </c>
      <c r="D242">
        <f>IF($B242="","",IF(C242="","",TEXT(C242,"MMM")))</f>
        <v/>
      </c>
      <c r="J242">
        <f>IF($B242="","",IF(H242="Negative","✅ Clear","🚨 Action Required"))</f>
        <v/>
      </c>
    </row>
    <row r="243">
      <c r="A243">
        <f>IF($B243="","",ROW()-5)</f>
        <v/>
      </c>
      <c r="D243">
        <f>IF($B243="","",IF(C243="","",TEXT(C243,"MMM")))</f>
        <v/>
      </c>
      <c r="J243">
        <f>IF($B243="","",IF(H243="Negative","✅ Clear","🚨 Action Required"))</f>
        <v/>
      </c>
    </row>
    <row r="244">
      <c r="A244">
        <f>IF($B244="","",ROW()-5)</f>
        <v/>
      </c>
      <c r="D244">
        <f>IF($B244="","",IF(C244="","",TEXT(C244,"MMM")))</f>
        <v/>
      </c>
      <c r="J244">
        <f>IF($B244="","",IF(H244="Negative","✅ Clear","🚨 Action Required"))</f>
        <v/>
      </c>
    </row>
    <row r="245">
      <c r="A245">
        <f>IF($B245="","",ROW()-5)</f>
        <v/>
      </c>
      <c r="D245">
        <f>IF($B245="","",IF(C245="","",TEXT(C245,"MMM")))</f>
        <v/>
      </c>
      <c r="J245">
        <f>IF($B245="","",IF(H245="Negative","✅ Clear","🚨 Action Required"))</f>
        <v/>
      </c>
    </row>
    <row r="246">
      <c r="A246">
        <f>IF($B246="","",ROW()-5)</f>
        <v/>
      </c>
      <c r="D246">
        <f>IF($B246="","",IF(C246="","",TEXT(C246,"MMM")))</f>
        <v/>
      </c>
      <c r="J246">
        <f>IF($B246="","",IF(H246="Negative","✅ Clear","🚨 Action Required"))</f>
        <v/>
      </c>
    </row>
    <row r="247">
      <c r="A247">
        <f>IF($B247="","",ROW()-5)</f>
        <v/>
      </c>
      <c r="D247">
        <f>IF($B247="","",IF(C247="","",TEXT(C247,"MMM")))</f>
        <v/>
      </c>
      <c r="J247">
        <f>IF($B247="","",IF(H247="Negative","✅ Clear","🚨 Action Required"))</f>
        <v/>
      </c>
    </row>
    <row r="248">
      <c r="A248">
        <f>IF($B248="","",ROW()-5)</f>
        <v/>
      </c>
      <c r="D248">
        <f>IF($B248="","",IF(C248="","",TEXT(C248,"MMM")))</f>
        <v/>
      </c>
      <c r="J248">
        <f>IF($B248="","",IF(H248="Negative","✅ Clear","🚨 Action Required"))</f>
        <v/>
      </c>
    </row>
    <row r="249">
      <c r="A249">
        <f>IF($B249="","",ROW()-5)</f>
        <v/>
      </c>
      <c r="D249">
        <f>IF($B249="","",IF(C249="","",TEXT(C249,"MMM")))</f>
        <v/>
      </c>
      <c r="J249">
        <f>IF($B249="","",IF(H249="Negative","✅ Clear","🚨 Action Required"))</f>
        <v/>
      </c>
    </row>
    <row r="250">
      <c r="A250">
        <f>IF($B250="","",ROW()-5)</f>
        <v/>
      </c>
      <c r="D250">
        <f>IF($B250="","",IF(C250="","",TEXT(C250,"MMM")))</f>
        <v/>
      </c>
      <c r="J250">
        <f>IF($B250="","",IF(H250="Negative","✅ Clear","🚨 Action Required"))</f>
        <v/>
      </c>
    </row>
    <row r="251">
      <c r="A251">
        <f>IF($B251="","",ROW()-5)</f>
        <v/>
      </c>
      <c r="D251">
        <f>IF($B251="","",IF(C251="","",TEXT(C251,"MMM")))</f>
        <v/>
      </c>
      <c r="J251">
        <f>IF($B251="","",IF(H251="Negative","✅ Clear","🚨 Action Required"))</f>
        <v/>
      </c>
    </row>
    <row r="252">
      <c r="A252">
        <f>IF($B252="","",ROW()-5)</f>
        <v/>
      </c>
      <c r="D252">
        <f>IF($B252="","",IF(C252="","",TEXT(C252,"MMM")))</f>
        <v/>
      </c>
      <c r="J252">
        <f>IF($B252="","",IF(H252="Negative","✅ Clear","🚨 Action Required"))</f>
        <v/>
      </c>
    </row>
    <row r="253">
      <c r="A253">
        <f>IF($B253="","",ROW()-5)</f>
        <v/>
      </c>
      <c r="D253">
        <f>IF($B253="","",IF(C253="","",TEXT(C253,"MMM")))</f>
        <v/>
      </c>
      <c r="J253">
        <f>IF($B253="","",IF(H253="Negative","✅ Clear","🚨 Action Required"))</f>
        <v/>
      </c>
    </row>
    <row r="254">
      <c r="A254">
        <f>IF($B254="","",ROW()-5)</f>
        <v/>
      </c>
      <c r="D254">
        <f>IF($B254="","",IF(C254="","",TEXT(C254,"MMM")))</f>
        <v/>
      </c>
      <c r="J254">
        <f>IF($B254="","",IF(H254="Negative","✅ Clear","🚨 Action Required"))</f>
        <v/>
      </c>
    </row>
    <row r="255">
      <c r="A255">
        <f>IF($B255="","",ROW()-5)</f>
        <v/>
      </c>
      <c r="D255">
        <f>IF($B255="","",IF(C255="","",TEXT(C255,"MMM")))</f>
        <v/>
      </c>
      <c r="J255">
        <f>IF($B255="","",IF(H255="Negative","✅ Clear","🚨 Action Required"))</f>
        <v/>
      </c>
    </row>
    <row r="256">
      <c r="A256">
        <f>IF($B256="","",ROW()-5)</f>
        <v/>
      </c>
      <c r="D256">
        <f>IF($B256="","",IF(C256="","",TEXT(C256,"MMM")))</f>
        <v/>
      </c>
      <c r="J256">
        <f>IF($B256="","",IF(H256="Negative","✅ Clear","🚨 Action Required"))</f>
        <v/>
      </c>
    </row>
    <row r="257">
      <c r="A257">
        <f>IF($B257="","",ROW()-5)</f>
        <v/>
      </c>
      <c r="D257">
        <f>IF($B257="","",IF(C257="","",TEXT(C257,"MMM")))</f>
        <v/>
      </c>
      <c r="J257">
        <f>IF($B257="","",IF(H257="Negative","✅ Clear","🚨 Action Required"))</f>
        <v/>
      </c>
    </row>
    <row r="258">
      <c r="A258">
        <f>IF($B258="","",ROW()-5)</f>
        <v/>
      </c>
      <c r="D258">
        <f>IF($B258="","",IF(C258="","",TEXT(C258,"MMM")))</f>
        <v/>
      </c>
      <c r="J258">
        <f>IF($B258="","",IF(H258="Negative","✅ Clear","🚨 Action Required"))</f>
        <v/>
      </c>
    </row>
    <row r="259">
      <c r="A259">
        <f>IF($B259="","",ROW()-5)</f>
        <v/>
      </c>
      <c r="D259">
        <f>IF($B259="","",IF(C259="","",TEXT(C259,"MMM")))</f>
        <v/>
      </c>
      <c r="J259">
        <f>IF($B259="","",IF(H259="Negative","✅ Clear","🚨 Action Required"))</f>
        <v/>
      </c>
    </row>
    <row r="260">
      <c r="A260">
        <f>IF($B260="","",ROW()-5)</f>
        <v/>
      </c>
      <c r="D260">
        <f>IF($B260="","",IF(C260="","",TEXT(C260,"MMM")))</f>
        <v/>
      </c>
      <c r="J260">
        <f>IF($B260="","",IF(H260="Negative","✅ Clear","🚨 Action Required"))</f>
        <v/>
      </c>
    </row>
    <row r="261">
      <c r="A261">
        <f>IF($B261="","",ROW()-5)</f>
        <v/>
      </c>
      <c r="D261">
        <f>IF($B261="","",IF(C261="","",TEXT(C261,"MMM")))</f>
        <v/>
      </c>
      <c r="J261">
        <f>IF($B261="","",IF(H261="Negative","✅ Clear","🚨 Action Required"))</f>
        <v/>
      </c>
    </row>
    <row r="262">
      <c r="A262">
        <f>IF($B262="","",ROW()-5)</f>
        <v/>
      </c>
      <c r="D262">
        <f>IF($B262="","",IF(C262="","",TEXT(C262,"MMM")))</f>
        <v/>
      </c>
      <c r="J262">
        <f>IF($B262="","",IF(H262="Negative","✅ Clear","🚨 Action Required"))</f>
        <v/>
      </c>
    </row>
    <row r="263">
      <c r="A263">
        <f>IF($B263="","",ROW()-5)</f>
        <v/>
      </c>
      <c r="D263">
        <f>IF($B263="","",IF(C263="","",TEXT(C263,"MMM")))</f>
        <v/>
      </c>
      <c r="J263">
        <f>IF($B263="","",IF(H263="Negative","✅ Clear","🚨 Action Required"))</f>
        <v/>
      </c>
    </row>
    <row r="264">
      <c r="A264">
        <f>IF($B264="","",ROW()-5)</f>
        <v/>
      </c>
      <c r="D264">
        <f>IF($B264="","",IF(C264="","",TEXT(C264,"MMM")))</f>
        <v/>
      </c>
      <c r="J264">
        <f>IF($B264="","",IF(H264="Negative","✅ Clear","🚨 Action Required"))</f>
        <v/>
      </c>
    </row>
    <row r="265">
      <c r="A265">
        <f>IF($B265="","",ROW()-5)</f>
        <v/>
      </c>
      <c r="D265">
        <f>IF($B265="","",IF(C265="","",TEXT(C265,"MMM")))</f>
        <v/>
      </c>
      <c r="J265">
        <f>IF($B265="","",IF(H265="Negative","✅ Clear","🚨 Action Required"))</f>
        <v/>
      </c>
    </row>
    <row r="266">
      <c r="A266">
        <f>IF($B266="","",ROW()-5)</f>
        <v/>
      </c>
      <c r="D266">
        <f>IF($B266="","",IF(C266="","",TEXT(C266,"MMM")))</f>
        <v/>
      </c>
      <c r="J266">
        <f>IF($B266="","",IF(H266="Negative","✅ Clear","🚨 Action Required"))</f>
        <v/>
      </c>
    </row>
    <row r="267">
      <c r="A267">
        <f>IF($B267="","",ROW()-5)</f>
        <v/>
      </c>
      <c r="D267">
        <f>IF($B267="","",IF(C267="","",TEXT(C267,"MMM")))</f>
        <v/>
      </c>
      <c r="J267">
        <f>IF($B267="","",IF(H267="Negative","✅ Clear","🚨 Action Required"))</f>
        <v/>
      </c>
    </row>
    <row r="268">
      <c r="A268">
        <f>IF($B268="","",ROW()-5)</f>
        <v/>
      </c>
      <c r="D268">
        <f>IF($B268="","",IF(C268="","",TEXT(C268,"MMM")))</f>
        <v/>
      </c>
      <c r="J268">
        <f>IF($B268="","",IF(H268="Negative","✅ Clear","🚨 Action Required"))</f>
        <v/>
      </c>
    </row>
    <row r="269">
      <c r="A269">
        <f>IF($B269="","",ROW()-5)</f>
        <v/>
      </c>
      <c r="D269">
        <f>IF($B269="","",IF(C269="","",TEXT(C269,"MMM")))</f>
        <v/>
      </c>
      <c r="J269">
        <f>IF($B269="","",IF(H269="Negative","✅ Clear","🚨 Action Required"))</f>
        <v/>
      </c>
    </row>
    <row r="270">
      <c r="A270">
        <f>IF($B270="","",ROW()-5)</f>
        <v/>
      </c>
      <c r="D270">
        <f>IF($B270="","",IF(C270="","",TEXT(C270,"MMM")))</f>
        <v/>
      </c>
      <c r="J270">
        <f>IF($B270="","",IF(H270="Negative","✅ Clear","🚨 Action Required"))</f>
        <v/>
      </c>
    </row>
    <row r="271">
      <c r="A271">
        <f>IF($B271="","",ROW()-5)</f>
        <v/>
      </c>
      <c r="D271">
        <f>IF($B271="","",IF(C271="","",TEXT(C271,"MMM")))</f>
        <v/>
      </c>
      <c r="J271">
        <f>IF($B271="","",IF(H271="Negative","✅ Clear","🚨 Action Required"))</f>
        <v/>
      </c>
    </row>
    <row r="272">
      <c r="A272">
        <f>IF($B272="","",ROW()-5)</f>
        <v/>
      </c>
      <c r="D272">
        <f>IF($B272="","",IF(C272="","",TEXT(C272,"MMM")))</f>
        <v/>
      </c>
      <c r="J272">
        <f>IF($B272="","",IF(H272="Negative","✅ Clear","🚨 Action Required"))</f>
        <v/>
      </c>
    </row>
    <row r="273">
      <c r="A273">
        <f>IF($B273="","",ROW()-5)</f>
        <v/>
      </c>
      <c r="D273">
        <f>IF($B273="","",IF(C273="","",TEXT(C273,"MMM")))</f>
        <v/>
      </c>
      <c r="J273">
        <f>IF($B273="","",IF(H273="Negative","✅ Clear","🚨 Action Required"))</f>
        <v/>
      </c>
    </row>
    <row r="274">
      <c r="A274">
        <f>IF($B274="","",ROW()-5)</f>
        <v/>
      </c>
      <c r="D274">
        <f>IF($B274="","",IF(C274="","",TEXT(C274,"MMM")))</f>
        <v/>
      </c>
      <c r="J274">
        <f>IF($B274="","",IF(H274="Negative","✅ Clear","🚨 Action Required"))</f>
        <v/>
      </c>
    </row>
    <row r="275">
      <c r="A275">
        <f>IF($B275="","",ROW()-5)</f>
        <v/>
      </c>
      <c r="D275">
        <f>IF($B275="","",IF(C275="","",TEXT(C275,"MMM")))</f>
        <v/>
      </c>
      <c r="J275">
        <f>IF($B275="","",IF(H275="Negative","✅ Clear","🚨 Action Required"))</f>
        <v/>
      </c>
    </row>
    <row r="276">
      <c r="A276">
        <f>IF($B276="","",ROW()-5)</f>
        <v/>
      </c>
      <c r="D276">
        <f>IF($B276="","",IF(C276="","",TEXT(C276,"MMM")))</f>
        <v/>
      </c>
      <c r="J276">
        <f>IF($B276="","",IF(H276="Negative","✅ Clear","🚨 Action Required"))</f>
        <v/>
      </c>
    </row>
    <row r="277">
      <c r="A277">
        <f>IF($B277="","",ROW()-5)</f>
        <v/>
      </c>
      <c r="D277">
        <f>IF($B277="","",IF(C277="","",TEXT(C277,"MMM")))</f>
        <v/>
      </c>
      <c r="J277">
        <f>IF($B277="","",IF(H277="Negative","✅ Clear","🚨 Action Required"))</f>
        <v/>
      </c>
    </row>
    <row r="278">
      <c r="A278">
        <f>IF($B278="","",ROW()-5)</f>
        <v/>
      </c>
      <c r="D278">
        <f>IF($B278="","",IF(C278="","",TEXT(C278,"MMM")))</f>
        <v/>
      </c>
      <c r="J278">
        <f>IF($B278="","",IF(H278="Negative","✅ Clear","🚨 Action Required"))</f>
        <v/>
      </c>
    </row>
    <row r="279">
      <c r="A279">
        <f>IF($B279="","",ROW()-5)</f>
        <v/>
      </c>
      <c r="D279">
        <f>IF($B279="","",IF(C279="","",TEXT(C279,"MMM")))</f>
        <v/>
      </c>
      <c r="J279">
        <f>IF($B279="","",IF(H279="Negative","✅ Clear","🚨 Action Required"))</f>
        <v/>
      </c>
    </row>
    <row r="280">
      <c r="A280">
        <f>IF($B280="","",ROW()-5)</f>
        <v/>
      </c>
      <c r="D280">
        <f>IF($B280="","",IF(C280="","",TEXT(C280,"MMM")))</f>
        <v/>
      </c>
      <c r="J280">
        <f>IF($B280="","",IF(H280="Negative","✅ Clear","🚨 Action Required"))</f>
        <v/>
      </c>
    </row>
    <row r="281">
      <c r="A281">
        <f>IF($B281="","",ROW()-5)</f>
        <v/>
      </c>
      <c r="D281">
        <f>IF($B281="","",IF(C281="","",TEXT(C281,"MMM")))</f>
        <v/>
      </c>
      <c r="J281">
        <f>IF($B281="","",IF(H281="Negative","✅ Clear","🚨 Action Required"))</f>
        <v/>
      </c>
    </row>
    <row r="282">
      <c r="A282">
        <f>IF($B282="","",ROW()-5)</f>
        <v/>
      </c>
      <c r="D282">
        <f>IF($B282="","",IF(C282="","",TEXT(C282,"MMM")))</f>
        <v/>
      </c>
      <c r="J282">
        <f>IF($B282="","",IF(H282="Negative","✅ Clear","🚨 Action Required"))</f>
        <v/>
      </c>
    </row>
    <row r="283">
      <c r="A283">
        <f>IF($B283="","",ROW()-5)</f>
        <v/>
      </c>
      <c r="D283">
        <f>IF($B283="","",IF(C283="","",TEXT(C283,"MMM")))</f>
        <v/>
      </c>
      <c r="J283">
        <f>IF($B283="","",IF(H283="Negative","✅ Clear","🚨 Action Required"))</f>
        <v/>
      </c>
    </row>
    <row r="284">
      <c r="A284">
        <f>IF($B284="","",ROW()-5)</f>
        <v/>
      </c>
      <c r="D284">
        <f>IF($B284="","",IF(C284="","",TEXT(C284,"MMM")))</f>
        <v/>
      </c>
      <c r="J284">
        <f>IF($B284="","",IF(H284="Negative","✅ Clear","🚨 Action Required"))</f>
        <v/>
      </c>
    </row>
    <row r="285">
      <c r="A285">
        <f>IF($B285="","",ROW()-5)</f>
        <v/>
      </c>
      <c r="D285">
        <f>IF($B285="","",IF(C285="","",TEXT(C285,"MMM")))</f>
        <v/>
      </c>
      <c r="J285">
        <f>IF($B285="","",IF(H285="Negative","✅ Clear","🚨 Action Required"))</f>
        <v/>
      </c>
    </row>
    <row r="286">
      <c r="A286">
        <f>IF($B286="","",ROW()-5)</f>
        <v/>
      </c>
      <c r="D286">
        <f>IF($B286="","",IF(C286="","",TEXT(C286,"MMM")))</f>
        <v/>
      </c>
      <c r="J286">
        <f>IF($B286="","",IF(H286="Negative","✅ Clear","🚨 Action Required"))</f>
        <v/>
      </c>
    </row>
    <row r="287">
      <c r="A287">
        <f>IF($B287="","",ROW()-5)</f>
        <v/>
      </c>
      <c r="D287">
        <f>IF($B287="","",IF(C287="","",TEXT(C287,"MMM")))</f>
        <v/>
      </c>
      <c r="J287">
        <f>IF($B287="","",IF(H287="Negative","✅ Clear","🚨 Action Required"))</f>
        <v/>
      </c>
    </row>
    <row r="288">
      <c r="A288">
        <f>IF($B288="","",ROW()-5)</f>
        <v/>
      </c>
      <c r="D288">
        <f>IF($B288="","",IF(C288="","",TEXT(C288,"MMM")))</f>
        <v/>
      </c>
      <c r="J288">
        <f>IF($B288="","",IF(H288="Negative","✅ Clear","🚨 Action Required"))</f>
        <v/>
      </c>
    </row>
    <row r="289">
      <c r="A289">
        <f>IF($B289="","",ROW()-5)</f>
        <v/>
      </c>
      <c r="D289">
        <f>IF($B289="","",IF(C289="","",TEXT(C289,"MMM")))</f>
        <v/>
      </c>
      <c r="J289">
        <f>IF($B289="","",IF(H289="Negative","✅ Clear","🚨 Action Required"))</f>
        <v/>
      </c>
    </row>
    <row r="290">
      <c r="A290">
        <f>IF($B290="","",ROW()-5)</f>
        <v/>
      </c>
      <c r="D290">
        <f>IF($B290="","",IF(C290="","",TEXT(C290,"MMM")))</f>
        <v/>
      </c>
      <c r="J290">
        <f>IF($B290="","",IF(H290="Negative","✅ Clear","🚨 Action Required"))</f>
        <v/>
      </c>
    </row>
    <row r="291">
      <c r="A291">
        <f>IF($B291="","",ROW()-5)</f>
        <v/>
      </c>
      <c r="D291">
        <f>IF($B291="","",IF(C291="","",TEXT(C291,"MMM")))</f>
        <v/>
      </c>
      <c r="J291">
        <f>IF($B291="","",IF(H291="Negative","✅ Clear","🚨 Action Required"))</f>
        <v/>
      </c>
    </row>
    <row r="292">
      <c r="A292">
        <f>IF($B292="","",ROW()-5)</f>
        <v/>
      </c>
      <c r="D292">
        <f>IF($B292="","",IF(C292="","",TEXT(C292,"MMM")))</f>
        <v/>
      </c>
      <c r="J292">
        <f>IF($B292="","",IF(H292="Negative","✅ Clear","🚨 Action Required"))</f>
        <v/>
      </c>
    </row>
    <row r="293">
      <c r="A293">
        <f>IF($B293="","",ROW()-5)</f>
        <v/>
      </c>
      <c r="D293">
        <f>IF($B293="","",IF(C293="","",TEXT(C293,"MMM")))</f>
        <v/>
      </c>
      <c r="J293">
        <f>IF($B293="","",IF(H293="Negative","✅ Clear","🚨 Action Required"))</f>
        <v/>
      </c>
    </row>
    <row r="294">
      <c r="A294">
        <f>IF($B294="","",ROW()-5)</f>
        <v/>
      </c>
      <c r="D294">
        <f>IF($B294="","",IF(C294="","",TEXT(C294,"MMM")))</f>
        <v/>
      </c>
      <c r="J294">
        <f>IF($B294="","",IF(H294="Negative","✅ Clear","🚨 Action Required"))</f>
        <v/>
      </c>
    </row>
    <row r="295">
      <c r="A295">
        <f>IF($B295="","",ROW()-5)</f>
        <v/>
      </c>
      <c r="D295">
        <f>IF($B295="","",IF(C295="","",TEXT(C295,"MMM")))</f>
        <v/>
      </c>
      <c r="J295">
        <f>IF($B295="","",IF(H295="Negative","✅ Clear","🚨 Action Required"))</f>
        <v/>
      </c>
    </row>
    <row r="296">
      <c r="A296">
        <f>IF($B296="","",ROW()-5)</f>
        <v/>
      </c>
      <c r="D296">
        <f>IF($B296="","",IF(C296="","",TEXT(C296,"MMM")))</f>
        <v/>
      </c>
      <c r="J296">
        <f>IF($B296="","",IF(H296="Negative","✅ Clear","🚨 Action Required"))</f>
        <v/>
      </c>
    </row>
    <row r="297">
      <c r="A297">
        <f>IF($B297="","",ROW()-5)</f>
        <v/>
      </c>
      <c r="D297">
        <f>IF($B297="","",IF(C297="","",TEXT(C297,"MMM")))</f>
        <v/>
      </c>
      <c r="J297">
        <f>IF($B297="","",IF(H297="Negative","✅ Clear","🚨 Action Required"))</f>
        <v/>
      </c>
    </row>
    <row r="298">
      <c r="A298">
        <f>IF($B298="","",ROW()-5)</f>
        <v/>
      </c>
      <c r="D298">
        <f>IF($B298="","",IF(C298="","",TEXT(C298,"MMM")))</f>
        <v/>
      </c>
      <c r="J298">
        <f>IF($B298="","",IF(H298="Negative","✅ Clear","🚨 Action Required"))</f>
        <v/>
      </c>
    </row>
    <row r="299">
      <c r="A299">
        <f>IF($B299="","",ROW()-5)</f>
        <v/>
      </c>
      <c r="D299">
        <f>IF($B299="","",IF(C299="","",TEXT(C299,"MMM")))</f>
        <v/>
      </c>
      <c r="J299">
        <f>IF($B299="","",IF(H299="Negative","✅ Clear","🚨 Action Required"))</f>
        <v/>
      </c>
    </row>
    <row r="300">
      <c r="A300">
        <f>IF($B300="","",ROW()-5)</f>
        <v/>
      </c>
      <c r="D300">
        <f>IF($B300="","",IF(C300="","",TEXT(C300,"MMM")))</f>
        <v/>
      </c>
      <c r="J300">
        <f>IF($B300="","",IF(H300="Negative","✅ Clear","🚨 Action Required"))</f>
        <v/>
      </c>
    </row>
    <row r="301">
      <c r="A301">
        <f>IF($B301="","",ROW()-5)</f>
        <v/>
      </c>
      <c r="D301">
        <f>IF($B301="","",IF(C301="","",TEXT(C301,"MMM")))</f>
        <v/>
      </c>
      <c r="J301">
        <f>IF($B301="","",IF(H301="Negative","✅ Clear","🚨 Action Required"))</f>
        <v/>
      </c>
    </row>
    <row r="302">
      <c r="A302">
        <f>IF($B302="","",ROW()-5)</f>
        <v/>
      </c>
      <c r="D302">
        <f>IF($B302="","",IF(C302="","",TEXT(C302,"MMM")))</f>
        <v/>
      </c>
      <c r="J302">
        <f>IF($B302="","",IF(H302="Negative","✅ Clear","🚨 Action Required"))</f>
        <v/>
      </c>
    </row>
    <row r="303">
      <c r="A303">
        <f>IF($B303="","",ROW()-5)</f>
        <v/>
      </c>
      <c r="D303">
        <f>IF($B303="","",IF(C303="","",TEXT(C303,"MMM")))</f>
        <v/>
      </c>
      <c r="J303">
        <f>IF($B303="","",IF(H303="Negative","✅ Clear","🚨 Action Required"))</f>
        <v/>
      </c>
    </row>
    <row r="304">
      <c r="A304">
        <f>IF($B304="","",ROW()-5)</f>
        <v/>
      </c>
      <c r="D304">
        <f>IF($B304="","",IF(C304="","",TEXT(C304,"MMM")))</f>
        <v/>
      </c>
      <c r="J304">
        <f>IF($B304="","",IF(H304="Negative","✅ Clear","🚨 Action Required"))</f>
        <v/>
      </c>
    </row>
    <row r="305">
      <c r="A305">
        <f>IF($B305="","",ROW()-5)</f>
        <v/>
      </c>
      <c r="D305">
        <f>IF($B305="","",IF(C305="","",TEXT(C305,"MMM")))</f>
        <v/>
      </c>
      <c r="J305">
        <f>IF($B305="","",IF(H305="Negative","✅ Clear","🚨 Action Required"))</f>
        <v/>
      </c>
    </row>
    <row r="306">
      <c r="A306">
        <f>IF($B306="","",ROW()-5)</f>
        <v/>
      </c>
      <c r="D306">
        <f>IF($B306="","",IF(C306="","",TEXT(C306,"MMM")))</f>
        <v/>
      </c>
      <c r="J306">
        <f>IF($B306="","",IF(H306="Negative","✅ Clear","🚨 Action Required"))</f>
        <v/>
      </c>
    </row>
    <row r="307">
      <c r="A307">
        <f>IF($B307="","",ROW()-5)</f>
        <v/>
      </c>
      <c r="D307">
        <f>IF($B307="","",IF(C307="","",TEXT(C307,"MMM")))</f>
        <v/>
      </c>
      <c r="J307">
        <f>IF($B307="","",IF(H307="Negative","✅ Clear","🚨 Action Required"))</f>
        <v/>
      </c>
    </row>
    <row r="308">
      <c r="A308">
        <f>IF($B308="","",ROW()-5)</f>
        <v/>
      </c>
      <c r="D308">
        <f>IF($B308="","",IF(C308="","",TEXT(C308,"MMM")))</f>
        <v/>
      </c>
      <c r="J308">
        <f>IF($B308="","",IF(H308="Negative","✅ Clear","🚨 Action Required"))</f>
        <v/>
      </c>
    </row>
    <row r="309">
      <c r="A309">
        <f>IF($B309="","",ROW()-5)</f>
        <v/>
      </c>
      <c r="D309">
        <f>IF($B309="","",IF(C309="","",TEXT(C309,"MMM")))</f>
        <v/>
      </c>
      <c r="J309">
        <f>IF($B309="","",IF(H309="Negative","✅ Clear","🚨 Action Required"))</f>
        <v/>
      </c>
    </row>
    <row r="310">
      <c r="A310">
        <f>IF($B310="","",ROW()-5)</f>
        <v/>
      </c>
      <c r="D310">
        <f>IF($B310="","",IF(C310="","",TEXT(C310,"MMM")))</f>
        <v/>
      </c>
      <c r="J310">
        <f>IF($B310="","",IF(H310="Negative","✅ Clear","🚨 Action Required"))</f>
        <v/>
      </c>
    </row>
    <row r="311">
      <c r="A311">
        <f>IF($B311="","",ROW()-5)</f>
        <v/>
      </c>
      <c r="D311">
        <f>IF($B311="","",IF(C311="","",TEXT(C311,"MMM")))</f>
        <v/>
      </c>
      <c r="J311">
        <f>IF($B311="","",IF(H311="Negative","✅ Clear","🚨 Action Required"))</f>
        <v/>
      </c>
    </row>
    <row r="312">
      <c r="A312">
        <f>IF($B312="","",ROW()-5)</f>
        <v/>
      </c>
      <c r="D312">
        <f>IF($B312="","",IF(C312="","",TEXT(C312,"MMM")))</f>
        <v/>
      </c>
      <c r="J312">
        <f>IF($B312="","",IF(H312="Negative","✅ Clear","🚨 Action Required"))</f>
        <v/>
      </c>
    </row>
    <row r="313">
      <c r="A313">
        <f>IF($B313="","",ROW()-5)</f>
        <v/>
      </c>
      <c r="D313">
        <f>IF($B313="","",IF(C313="","",TEXT(C313,"MMM")))</f>
        <v/>
      </c>
      <c r="J313">
        <f>IF($B313="","",IF(H313="Negative","✅ Clear","🚨 Action Required"))</f>
        <v/>
      </c>
    </row>
    <row r="314">
      <c r="A314">
        <f>IF($B314="","",ROW()-5)</f>
        <v/>
      </c>
      <c r="D314">
        <f>IF($B314="","",IF(C314="","",TEXT(C314,"MMM")))</f>
        <v/>
      </c>
      <c r="J314">
        <f>IF($B314="","",IF(H314="Negative","✅ Clear","🚨 Action Required"))</f>
        <v/>
      </c>
    </row>
    <row r="315">
      <c r="A315">
        <f>IF($B315="","",ROW()-5)</f>
        <v/>
      </c>
      <c r="D315">
        <f>IF($B315="","",IF(C315="","",TEXT(C315,"MMM")))</f>
        <v/>
      </c>
      <c r="J315">
        <f>IF($B315="","",IF(H315="Negative","✅ Clear","🚨 Action Required"))</f>
        <v/>
      </c>
    </row>
    <row r="316">
      <c r="A316">
        <f>IF($B316="","",ROW()-5)</f>
        <v/>
      </c>
      <c r="D316">
        <f>IF($B316="","",IF(C316="","",TEXT(C316,"MMM")))</f>
        <v/>
      </c>
      <c r="J316">
        <f>IF($B316="","",IF(H316="Negative","✅ Clear","🚨 Action Required"))</f>
        <v/>
      </c>
    </row>
    <row r="317">
      <c r="A317">
        <f>IF($B317="","",ROW()-5)</f>
        <v/>
      </c>
      <c r="D317">
        <f>IF($B317="","",IF(C317="","",TEXT(C317,"MMM")))</f>
        <v/>
      </c>
      <c r="J317">
        <f>IF($B317="","",IF(H317="Negative","✅ Clear","🚨 Action Required"))</f>
        <v/>
      </c>
    </row>
    <row r="318">
      <c r="A318">
        <f>IF($B318="","",ROW()-5)</f>
        <v/>
      </c>
      <c r="D318">
        <f>IF($B318="","",IF(C318="","",TEXT(C318,"MMM")))</f>
        <v/>
      </c>
      <c r="J318">
        <f>IF($B318="","",IF(H318="Negative","✅ Clear","🚨 Action Required"))</f>
        <v/>
      </c>
    </row>
    <row r="319">
      <c r="A319">
        <f>IF($B319="","",ROW()-5)</f>
        <v/>
      </c>
      <c r="D319">
        <f>IF($B319="","",IF(C319="","",TEXT(C319,"MMM")))</f>
        <v/>
      </c>
      <c r="J319">
        <f>IF($B319="","",IF(H319="Negative","✅ Clear","🚨 Action Required"))</f>
        <v/>
      </c>
    </row>
    <row r="320">
      <c r="A320">
        <f>IF($B320="","",ROW()-5)</f>
        <v/>
      </c>
      <c r="D320">
        <f>IF($B320="","",IF(C320="","",TEXT(C320,"MMM")))</f>
        <v/>
      </c>
      <c r="J320">
        <f>IF($B320="","",IF(H320="Negative","✅ Clear","🚨 Action Required"))</f>
        <v/>
      </c>
    </row>
    <row r="321">
      <c r="A321">
        <f>IF($B321="","",ROW()-5)</f>
        <v/>
      </c>
      <c r="D321">
        <f>IF($B321="","",IF(C321="","",TEXT(C321,"MMM")))</f>
        <v/>
      </c>
      <c r="J321">
        <f>IF($B321="","",IF(H321="Negative","✅ Clear","🚨 Action Required"))</f>
        <v/>
      </c>
    </row>
    <row r="322">
      <c r="A322">
        <f>IF($B322="","",ROW()-5)</f>
        <v/>
      </c>
      <c r="D322">
        <f>IF($B322="","",IF(C322="","",TEXT(C322,"MMM")))</f>
        <v/>
      </c>
      <c r="J322">
        <f>IF($B322="","",IF(H322="Negative","✅ Clear","🚨 Action Required"))</f>
        <v/>
      </c>
    </row>
    <row r="323">
      <c r="A323">
        <f>IF($B323="","",ROW()-5)</f>
        <v/>
      </c>
      <c r="D323">
        <f>IF($B323="","",IF(C323="","",TEXT(C323,"MMM")))</f>
        <v/>
      </c>
      <c r="J323">
        <f>IF($B323="","",IF(H323="Negative","✅ Clear","🚨 Action Required"))</f>
        <v/>
      </c>
    </row>
    <row r="324">
      <c r="A324">
        <f>IF($B324="","",ROW()-5)</f>
        <v/>
      </c>
      <c r="D324">
        <f>IF($B324="","",IF(C324="","",TEXT(C324,"MMM")))</f>
        <v/>
      </c>
      <c r="J324">
        <f>IF($B324="","",IF(H324="Negative","✅ Clear","🚨 Action Required"))</f>
        <v/>
      </c>
    </row>
    <row r="325">
      <c r="A325">
        <f>IF($B325="","",ROW()-5)</f>
        <v/>
      </c>
      <c r="D325">
        <f>IF($B325="","",IF(C325="","",TEXT(C325,"MMM")))</f>
        <v/>
      </c>
      <c r="J325">
        <f>IF($B325="","",IF(H325="Negative","✅ Clear","🚨 Action Required"))</f>
        <v/>
      </c>
    </row>
    <row r="326">
      <c r="A326">
        <f>IF($B326="","",ROW()-5)</f>
        <v/>
      </c>
      <c r="D326">
        <f>IF($B326="","",IF(C326="","",TEXT(C326,"MMM")))</f>
        <v/>
      </c>
      <c r="J326">
        <f>IF($B326="","",IF(H326="Negative","✅ Clear","🚨 Action Required"))</f>
        <v/>
      </c>
    </row>
    <row r="327">
      <c r="A327">
        <f>IF($B327="","",ROW()-5)</f>
        <v/>
      </c>
      <c r="D327">
        <f>IF($B327="","",IF(C327="","",TEXT(C327,"MMM")))</f>
        <v/>
      </c>
      <c r="J327">
        <f>IF($B327="","",IF(H327="Negative","✅ Clear","🚨 Action Required"))</f>
        <v/>
      </c>
    </row>
    <row r="328">
      <c r="A328">
        <f>IF($B328="","",ROW()-5)</f>
        <v/>
      </c>
      <c r="D328">
        <f>IF($B328="","",IF(C328="","",TEXT(C328,"MMM")))</f>
        <v/>
      </c>
      <c r="J328">
        <f>IF($B328="","",IF(H328="Negative","✅ Clear","🚨 Action Required"))</f>
        <v/>
      </c>
    </row>
    <row r="329">
      <c r="A329">
        <f>IF($B329="","",ROW()-5)</f>
        <v/>
      </c>
      <c r="D329">
        <f>IF($B329="","",IF(C329="","",TEXT(C329,"MMM")))</f>
        <v/>
      </c>
      <c r="J329">
        <f>IF($B329="","",IF(H329="Negative","✅ Clear","🚨 Action Required"))</f>
        <v/>
      </c>
    </row>
    <row r="330">
      <c r="A330">
        <f>IF($B330="","",ROW()-5)</f>
        <v/>
      </c>
      <c r="D330">
        <f>IF($B330="","",IF(C330="","",TEXT(C330,"MMM")))</f>
        <v/>
      </c>
      <c r="J330">
        <f>IF($B330="","",IF(H330="Negative","✅ Clear","🚨 Action Required"))</f>
        <v/>
      </c>
    </row>
    <row r="331">
      <c r="A331">
        <f>IF($B331="","",ROW()-5)</f>
        <v/>
      </c>
      <c r="D331">
        <f>IF($B331="","",IF(C331="","",TEXT(C331,"MMM")))</f>
        <v/>
      </c>
      <c r="J331">
        <f>IF($B331="","",IF(H331="Negative","✅ Clear","🚨 Action Required"))</f>
        <v/>
      </c>
    </row>
    <row r="332">
      <c r="A332">
        <f>IF($B332="","",ROW()-5)</f>
        <v/>
      </c>
      <c r="D332">
        <f>IF($B332="","",IF(C332="","",TEXT(C332,"MMM")))</f>
        <v/>
      </c>
      <c r="J332">
        <f>IF($B332="","",IF(H332="Negative","✅ Clear","🚨 Action Required"))</f>
        <v/>
      </c>
    </row>
    <row r="333">
      <c r="A333">
        <f>IF($B333="","",ROW()-5)</f>
        <v/>
      </c>
      <c r="D333">
        <f>IF($B333="","",IF(C333="","",TEXT(C333,"MMM")))</f>
        <v/>
      </c>
      <c r="J333">
        <f>IF($B333="","",IF(H333="Negative","✅ Clear","🚨 Action Required"))</f>
        <v/>
      </c>
    </row>
    <row r="334">
      <c r="A334">
        <f>IF($B334="","",ROW()-5)</f>
        <v/>
      </c>
      <c r="D334">
        <f>IF($B334="","",IF(C334="","",TEXT(C334,"MMM")))</f>
        <v/>
      </c>
      <c r="J334">
        <f>IF($B334="","",IF(H334="Negative","✅ Clear","🚨 Action Required"))</f>
        <v/>
      </c>
    </row>
    <row r="335">
      <c r="A335">
        <f>IF($B335="","",ROW()-5)</f>
        <v/>
      </c>
      <c r="D335">
        <f>IF($B335="","",IF(C335="","",TEXT(C335,"MMM")))</f>
        <v/>
      </c>
      <c r="J335">
        <f>IF($B335="","",IF(H335="Negative","✅ Clear","🚨 Action Required"))</f>
        <v/>
      </c>
    </row>
    <row r="336">
      <c r="A336">
        <f>IF($B336="","",ROW()-5)</f>
        <v/>
      </c>
      <c r="D336">
        <f>IF($B336="","",IF(C336="","",TEXT(C336,"MMM")))</f>
        <v/>
      </c>
      <c r="J336">
        <f>IF($B336="","",IF(H336="Negative","✅ Clear","🚨 Action Required"))</f>
        <v/>
      </c>
    </row>
    <row r="337">
      <c r="A337">
        <f>IF($B337="","",ROW()-5)</f>
        <v/>
      </c>
      <c r="D337">
        <f>IF($B337="","",IF(C337="","",TEXT(C337,"MMM")))</f>
        <v/>
      </c>
      <c r="J337">
        <f>IF($B337="","",IF(H337="Negative","✅ Clear","🚨 Action Required"))</f>
        <v/>
      </c>
    </row>
    <row r="338">
      <c r="A338">
        <f>IF($B338="","",ROW()-5)</f>
        <v/>
      </c>
      <c r="D338">
        <f>IF($B338="","",IF(C338="","",TEXT(C338,"MMM")))</f>
        <v/>
      </c>
      <c r="J338">
        <f>IF($B338="","",IF(H338="Negative","✅ Clear","🚨 Action Required"))</f>
        <v/>
      </c>
    </row>
    <row r="339">
      <c r="A339">
        <f>IF($B339="","",ROW()-5)</f>
        <v/>
      </c>
      <c r="D339">
        <f>IF($B339="","",IF(C339="","",TEXT(C339,"MMM")))</f>
        <v/>
      </c>
      <c r="J339">
        <f>IF($B339="","",IF(H339="Negative","✅ Clear","🚨 Action Required"))</f>
        <v/>
      </c>
    </row>
    <row r="340">
      <c r="A340">
        <f>IF($B340="","",ROW()-5)</f>
        <v/>
      </c>
      <c r="D340">
        <f>IF($B340="","",IF(C340="","",TEXT(C340,"MMM")))</f>
        <v/>
      </c>
      <c r="J340">
        <f>IF($B340="","",IF(H340="Negative","✅ Clear","🚨 Action Required"))</f>
        <v/>
      </c>
    </row>
    <row r="341">
      <c r="A341">
        <f>IF($B341="","",ROW()-5)</f>
        <v/>
      </c>
      <c r="D341">
        <f>IF($B341="","",IF(C341="","",TEXT(C341,"MMM")))</f>
        <v/>
      </c>
      <c r="J341">
        <f>IF($B341="","",IF(H341="Negative","✅ Clear","🚨 Action Required"))</f>
        <v/>
      </c>
    </row>
    <row r="342">
      <c r="A342">
        <f>IF($B342="","",ROW()-5)</f>
        <v/>
      </c>
      <c r="D342">
        <f>IF($B342="","",IF(C342="","",TEXT(C342,"MMM")))</f>
        <v/>
      </c>
      <c r="J342">
        <f>IF($B342="","",IF(H342="Negative","✅ Clear","🚨 Action Required"))</f>
        <v/>
      </c>
    </row>
    <row r="343">
      <c r="A343">
        <f>IF($B343="","",ROW()-5)</f>
        <v/>
      </c>
      <c r="D343">
        <f>IF($B343="","",IF(C343="","",TEXT(C343,"MMM")))</f>
        <v/>
      </c>
      <c r="J343">
        <f>IF($B343="","",IF(H343="Negative","✅ Clear","🚨 Action Required"))</f>
        <v/>
      </c>
    </row>
    <row r="344">
      <c r="A344">
        <f>IF($B344="","",ROW()-5)</f>
        <v/>
      </c>
      <c r="D344">
        <f>IF($B344="","",IF(C344="","",TEXT(C344,"MMM")))</f>
        <v/>
      </c>
      <c r="J344">
        <f>IF($B344="","",IF(H344="Negative","✅ Clear","🚨 Action Required"))</f>
        <v/>
      </c>
    </row>
    <row r="345">
      <c r="A345">
        <f>IF($B345="","",ROW()-5)</f>
        <v/>
      </c>
      <c r="D345">
        <f>IF($B345="","",IF(C345="","",TEXT(C345,"MMM")))</f>
        <v/>
      </c>
      <c r="J345">
        <f>IF($B345="","",IF(H345="Negative","✅ Clear","🚨 Action Required"))</f>
        <v/>
      </c>
    </row>
    <row r="346">
      <c r="A346">
        <f>IF($B346="","",ROW()-5)</f>
        <v/>
      </c>
      <c r="D346">
        <f>IF($B346="","",IF(C346="","",TEXT(C346,"MMM")))</f>
        <v/>
      </c>
      <c r="J346">
        <f>IF($B346="","",IF(H346="Negative","✅ Clear","🚨 Action Required"))</f>
        <v/>
      </c>
    </row>
    <row r="347">
      <c r="A347">
        <f>IF($B347="","",ROW()-5)</f>
        <v/>
      </c>
      <c r="D347">
        <f>IF($B347="","",IF(C347="","",TEXT(C347,"MMM")))</f>
        <v/>
      </c>
      <c r="J347">
        <f>IF($B347="","",IF(H347="Negative","✅ Clear","🚨 Action Required"))</f>
        <v/>
      </c>
    </row>
    <row r="348">
      <c r="A348">
        <f>IF($B348="","",ROW()-5)</f>
        <v/>
      </c>
      <c r="D348">
        <f>IF($B348="","",IF(C348="","",TEXT(C348,"MMM")))</f>
        <v/>
      </c>
      <c r="J348">
        <f>IF($B348="","",IF(H348="Negative","✅ Clear","🚨 Action Required"))</f>
        <v/>
      </c>
    </row>
    <row r="349">
      <c r="A349">
        <f>IF($B349="","",ROW()-5)</f>
        <v/>
      </c>
      <c r="D349">
        <f>IF($B349="","",IF(C349="","",TEXT(C349,"MMM")))</f>
        <v/>
      </c>
      <c r="J349">
        <f>IF($B349="","",IF(H349="Negative","✅ Clear","🚨 Action Required"))</f>
        <v/>
      </c>
    </row>
    <row r="350">
      <c r="A350">
        <f>IF($B350="","",ROW()-5)</f>
        <v/>
      </c>
      <c r="D350">
        <f>IF($B350="","",IF(C350="","",TEXT(C350,"MMM")))</f>
        <v/>
      </c>
      <c r="J350">
        <f>IF($B350="","",IF(H350="Negative","✅ Clear","🚨 Action Required"))</f>
        <v/>
      </c>
    </row>
    <row r="351">
      <c r="A351">
        <f>IF($B351="","",ROW()-5)</f>
        <v/>
      </c>
      <c r="D351">
        <f>IF($B351="","",IF(C351="","",TEXT(C351,"MMM")))</f>
        <v/>
      </c>
      <c r="J351">
        <f>IF($B351="","",IF(H351="Negative","✅ Clear","🚨 Action Required"))</f>
        <v/>
      </c>
    </row>
    <row r="352">
      <c r="A352">
        <f>IF($B352="","",ROW()-5)</f>
        <v/>
      </c>
      <c r="D352">
        <f>IF($B352="","",IF(C352="","",TEXT(C352,"MMM")))</f>
        <v/>
      </c>
      <c r="J352">
        <f>IF($B352="","",IF(H352="Negative","✅ Clear","🚨 Action Required"))</f>
        <v/>
      </c>
    </row>
    <row r="353">
      <c r="A353">
        <f>IF($B353="","",ROW()-5)</f>
        <v/>
      </c>
      <c r="D353">
        <f>IF($B353="","",IF(C353="","",TEXT(C353,"MMM")))</f>
        <v/>
      </c>
      <c r="J353">
        <f>IF($B353="","",IF(H353="Negative","✅ Clear","🚨 Action Required"))</f>
        <v/>
      </c>
    </row>
    <row r="354">
      <c r="A354">
        <f>IF($B354="","",ROW()-5)</f>
        <v/>
      </c>
      <c r="D354">
        <f>IF($B354="","",IF(C354="","",TEXT(C354,"MMM")))</f>
        <v/>
      </c>
      <c r="J354">
        <f>IF($B354="","",IF(H354="Negative","✅ Clear","🚨 Action Required"))</f>
        <v/>
      </c>
    </row>
    <row r="355">
      <c r="A355">
        <f>IF($B355="","",ROW()-5)</f>
        <v/>
      </c>
      <c r="D355">
        <f>IF($B355="","",IF(C355="","",TEXT(C355,"MMM")))</f>
        <v/>
      </c>
      <c r="J355">
        <f>IF($B355="","",IF(H355="Negative","✅ Clear","🚨 Action Required"))</f>
        <v/>
      </c>
    </row>
    <row r="356">
      <c r="A356">
        <f>IF($B356="","",ROW()-5)</f>
        <v/>
      </c>
      <c r="D356">
        <f>IF($B356="","",IF(C356="","",TEXT(C356,"MMM")))</f>
        <v/>
      </c>
      <c r="J356">
        <f>IF($B356="","",IF(H356="Negative","✅ Clear","🚨 Action Required"))</f>
        <v/>
      </c>
    </row>
    <row r="357">
      <c r="A357">
        <f>IF($B357="","",ROW()-5)</f>
        <v/>
      </c>
      <c r="D357">
        <f>IF($B357="","",IF(C357="","",TEXT(C357,"MMM")))</f>
        <v/>
      </c>
      <c r="J357">
        <f>IF($B357="","",IF(H357="Negative","✅ Clear","🚨 Action Required"))</f>
        <v/>
      </c>
    </row>
    <row r="358">
      <c r="A358">
        <f>IF($B358="","",ROW()-5)</f>
        <v/>
      </c>
      <c r="D358">
        <f>IF($B358="","",IF(C358="","",TEXT(C358,"MMM")))</f>
        <v/>
      </c>
      <c r="J358">
        <f>IF($B358="","",IF(H358="Negative","✅ Clear","🚨 Action Required"))</f>
        <v/>
      </c>
    </row>
    <row r="359">
      <c r="A359">
        <f>IF($B359="","",ROW()-5)</f>
        <v/>
      </c>
      <c r="D359">
        <f>IF($B359="","",IF(C359="","",TEXT(C359,"MMM")))</f>
        <v/>
      </c>
      <c r="J359">
        <f>IF($B359="","",IF(H359="Negative","✅ Clear","🚨 Action Required"))</f>
        <v/>
      </c>
    </row>
    <row r="360">
      <c r="A360">
        <f>IF($B360="","",ROW()-5)</f>
        <v/>
      </c>
      <c r="D360">
        <f>IF($B360="","",IF(C360="","",TEXT(C360,"MMM")))</f>
        <v/>
      </c>
      <c r="J360">
        <f>IF($B360="","",IF(H360="Negative","✅ Clear","🚨 Action Required"))</f>
        <v/>
      </c>
    </row>
    <row r="361">
      <c r="A361">
        <f>IF($B361="","",ROW()-5)</f>
        <v/>
      </c>
      <c r="D361">
        <f>IF($B361="","",IF(C361="","",TEXT(C361,"MMM")))</f>
        <v/>
      </c>
      <c r="J361">
        <f>IF($B361="","",IF(H361="Negative","✅ Clear","🚨 Action Required"))</f>
        <v/>
      </c>
    </row>
    <row r="362">
      <c r="A362">
        <f>IF($B362="","",ROW()-5)</f>
        <v/>
      </c>
      <c r="D362">
        <f>IF($B362="","",IF(C362="","",TEXT(C362,"MMM")))</f>
        <v/>
      </c>
      <c r="J362">
        <f>IF($B362="","",IF(H362="Negative","✅ Clear","🚨 Action Required"))</f>
        <v/>
      </c>
    </row>
    <row r="363">
      <c r="A363">
        <f>IF($B363="","",ROW()-5)</f>
        <v/>
      </c>
      <c r="D363">
        <f>IF($B363="","",IF(C363="","",TEXT(C363,"MMM")))</f>
        <v/>
      </c>
      <c r="J363">
        <f>IF($B363="","",IF(H363="Negative","✅ Clear","🚨 Action Required"))</f>
        <v/>
      </c>
    </row>
    <row r="364">
      <c r="A364">
        <f>IF($B364="","",ROW()-5)</f>
        <v/>
      </c>
      <c r="D364">
        <f>IF($B364="","",IF(C364="","",TEXT(C364,"MMM")))</f>
        <v/>
      </c>
      <c r="J364">
        <f>IF($B364="","",IF(H364="Negative","✅ Clear","🚨 Action Required"))</f>
        <v/>
      </c>
    </row>
    <row r="365">
      <c r="A365">
        <f>IF($B365="","",ROW()-5)</f>
        <v/>
      </c>
      <c r="D365">
        <f>IF($B365="","",IF(C365="","",TEXT(C365,"MMM")))</f>
        <v/>
      </c>
      <c r="J365">
        <f>IF($B365="","",IF(H365="Negative","✅ Clear","🚨 Action Required"))</f>
        <v/>
      </c>
    </row>
    <row r="366">
      <c r="A366">
        <f>IF($B366="","",ROW()-5)</f>
        <v/>
      </c>
      <c r="D366">
        <f>IF($B366="","",IF(C366="","",TEXT(C366,"MMM")))</f>
        <v/>
      </c>
      <c r="J366">
        <f>IF($B366="","",IF(H366="Negative","✅ Clear","🚨 Action Required"))</f>
        <v/>
      </c>
    </row>
    <row r="367">
      <c r="A367">
        <f>IF($B367="","",ROW()-5)</f>
        <v/>
      </c>
      <c r="D367">
        <f>IF($B367="","",IF(C367="","",TEXT(C367,"MMM")))</f>
        <v/>
      </c>
      <c r="J367">
        <f>IF($B367="","",IF(H367="Negative","✅ Clear","🚨 Action Required"))</f>
        <v/>
      </c>
    </row>
    <row r="368">
      <c r="A368">
        <f>IF($B368="","",ROW()-5)</f>
        <v/>
      </c>
      <c r="D368">
        <f>IF($B368="","",IF(C368="","",TEXT(C368,"MMM")))</f>
        <v/>
      </c>
      <c r="J368">
        <f>IF($B368="","",IF(H368="Negative","✅ Clear","🚨 Action Required"))</f>
        <v/>
      </c>
    </row>
    <row r="369">
      <c r="A369">
        <f>IF($B369="","",ROW()-5)</f>
        <v/>
      </c>
      <c r="D369">
        <f>IF($B369="","",IF(C369="","",TEXT(C369,"MMM")))</f>
        <v/>
      </c>
      <c r="J369">
        <f>IF($B369="","",IF(H369="Negative","✅ Clear","🚨 Action Required"))</f>
        <v/>
      </c>
    </row>
    <row r="370">
      <c r="A370">
        <f>IF($B370="","",ROW()-5)</f>
        <v/>
      </c>
      <c r="D370">
        <f>IF($B370="","",IF(C370="","",TEXT(C370,"MMM")))</f>
        <v/>
      </c>
      <c r="J370">
        <f>IF($B370="","",IF(H370="Negative","✅ Clear","🚨 Action Required"))</f>
        <v/>
      </c>
    </row>
    <row r="371">
      <c r="A371">
        <f>IF($B371="","",ROW()-5)</f>
        <v/>
      </c>
      <c r="D371">
        <f>IF($B371="","",IF(C371="","",TEXT(C371,"MMM")))</f>
        <v/>
      </c>
      <c r="J371">
        <f>IF($B371="","",IF(H371="Negative","✅ Clear","🚨 Action Required"))</f>
        <v/>
      </c>
    </row>
    <row r="372">
      <c r="A372">
        <f>IF($B372="","",ROW()-5)</f>
        <v/>
      </c>
      <c r="D372">
        <f>IF($B372="","",IF(C372="","",TEXT(C372,"MMM")))</f>
        <v/>
      </c>
      <c r="J372">
        <f>IF($B372="","",IF(H372="Negative","✅ Clear","🚨 Action Required"))</f>
        <v/>
      </c>
    </row>
    <row r="373">
      <c r="A373">
        <f>IF($B373="","",ROW()-5)</f>
        <v/>
      </c>
      <c r="D373">
        <f>IF($B373="","",IF(C373="","",TEXT(C373,"MMM")))</f>
        <v/>
      </c>
      <c r="J373">
        <f>IF($B373="","",IF(H373="Negative","✅ Clear","🚨 Action Required"))</f>
        <v/>
      </c>
    </row>
    <row r="374">
      <c r="A374">
        <f>IF($B374="","",ROW()-5)</f>
        <v/>
      </c>
      <c r="D374">
        <f>IF($B374="","",IF(C374="","",TEXT(C374,"MMM")))</f>
        <v/>
      </c>
      <c r="J374">
        <f>IF($B374="","",IF(H374="Negative","✅ Clear","🚨 Action Required"))</f>
        <v/>
      </c>
    </row>
    <row r="375">
      <c r="A375">
        <f>IF($B375="","",ROW()-5)</f>
        <v/>
      </c>
      <c r="D375">
        <f>IF($B375="","",IF(C375="","",TEXT(C375,"MMM")))</f>
        <v/>
      </c>
      <c r="J375">
        <f>IF($B375="","",IF(H375="Negative","✅ Clear","🚨 Action Required"))</f>
        <v/>
      </c>
    </row>
    <row r="376">
      <c r="A376">
        <f>IF($B376="","",ROW()-5)</f>
        <v/>
      </c>
      <c r="D376">
        <f>IF($B376="","",IF(C376="","",TEXT(C376,"MMM")))</f>
        <v/>
      </c>
      <c r="J376">
        <f>IF($B376="","",IF(H376="Negative","✅ Clear","🚨 Action Required"))</f>
        <v/>
      </c>
    </row>
    <row r="377">
      <c r="A377">
        <f>IF($B377="","",ROW()-5)</f>
        <v/>
      </c>
      <c r="D377">
        <f>IF($B377="","",IF(C377="","",TEXT(C377,"MMM")))</f>
        <v/>
      </c>
      <c r="J377">
        <f>IF($B377="","",IF(H377="Negative","✅ Clear","🚨 Action Required"))</f>
        <v/>
      </c>
    </row>
    <row r="378">
      <c r="A378">
        <f>IF($B378="","",ROW()-5)</f>
        <v/>
      </c>
      <c r="D378">
        <f>IF($B378="","",IF(C378="","",TEXT(C378,"MMM")))</f>
        <v/>
      </c>
      <c r="J378">
        <f>IF($B378="","",IF(H378="Negative","✅ Clear","🚨 Action Required"))</f>
        <v/>
      </c>
    </row>
    <row r="379">
      <c r="A379">
        <f>IF($B379="","",ROW()-5)</f>
        <v/>
      </c>
      <c r="D379">
        <f>IF($B379="","",IF(C379="","",TEXT(C379,"MMM")))</f>
        <v/>
      </c>
      <c r="J379">
        <f>IF($B379="","",IF(H379="Negative","✅ Clear","🚨 Action Required"))</f>
        <v/>
      </c>
    </row>
    <row r="380">
      <c r="A380">
        <f>IF($B380="","",ROW()-5)</f>
        <v/>
      </c>
      <c r="D380">
        <f>IF($B380="","",IF(C380="","",TEXT(C380,"MMM")))</f>
        <v/>
      </c>
      <c r="J380">
        <f>IF($B380="","",IF(H380="Negative","✅ Clear","🚨 Action Required"))</f>
        <v/>
      </c>
    </row>
    <row r="381">
      <c r="A381">
        <f>IF($B381="","",ROW()-5)</f>
        <v/>
      </c>
      <c r="D381">
        <f>IF($B381="","",IF(C381="","",TEXT(C381,"MMM")))</f>
        <v/>
      </c>
      <c r="J381">
        <f>IF($B381="","",IF(H381="Negative","✅ Clear","🚨 Action Required"))</f>
        <v/>
      </c>
    </row>
    <row r="382">
      <c r="A382">
        <f>IF($B382="","",ROW()-5)</f>
        <v/>
      </c>
      <c r="D382">
        <f>IF($B382="","",IF(C382="","",TEXT(C382,"MMM")))</f>
        <v/>
      </c>
      <c r="J382">
        <f>IF($B382="","",IF(H382="Negative","✅ Clear","🚨 Action Required"))</f>
        <v/>
      </c>
    </row>
    <row r="383">
      <c r="A383">
        <f>IF($B383="","",ROW()-5)</f>
        <v/>
      </c>
      <c r="D383">
        <f>IF($B383="","",IF(C383="","",TEXT(C383,"MMM")))</f>
        <v/>
      </c>
      <c r="J383">
        <f>IF($B383="","",IF(H383="Negative","✅ Clear","🚨 Action Required"))</f>
        <v/>
      </c>
    </row>
    <row r="384">
      <c r="A384">
        <f>IF($B384="","",ROW()-5)</f>
        <v/>
      </c>
      <c r="D384">
        <f>IF($B384="","",IF(C384="","",TEXT(C384,"MMM")))</f>
        <v/>
      </c>
      <c r="J384">
        <f>IF($B384="","",IF(H384="Negative","✅ Clear","🚨 Action Required"))</f>
        <v/>
      </c>
    </row>
    <row r="385">
      <c r="A385">
        <f>IF($B385="","",ROW()-5)</f>
        <v/>
      </c>
      <c r="D385">
        <f>IF($B385="","",IF(C385="","",TEXT(C385,"MMM")))</f>
        <v/>
      </c>
      <c r="J385">
        <f>IF($B385="","",IF(H385="Negative","✅ Clear","🚨 Action Required"))</f>
        <v/>
      </c>
    </row>
    <row r="386">
      <c r="A386">
        <f>IF($B386="","",ROW()-5)</f>
        <v/>
      </c>
      <c r="D386">
        <f>IF($B386="","",IF(C386="","",TEXT(C386,"MMM")))</f>
        <v/>
      </c>
      <c r="J386">
        <f>IF($B386="","",IF(H386="Negative","✅ Clear","🚨 Action Required"))</f>
        <v/>
      </c>
    </row>
    <row r="387">
      <c r="A387">
        <f>IF($B387="","",ROW()-5)</f>
        <v/>
      </c>
      <c r="D387">
        <f>IF($B387="","",IF(C387="","",TEXT(C387,"MMM")))</f>
        <v/>
      </c>
      <c r="J387">
        <f>IF($B387="","",IF(H387="Negative","✅ Clear","🚨 Action Required"))</f>
        <v/>
      </c>
    </row>
    <row r="388">
      <c r="A388">
        <f>IF($B388="","",ROW()-5)</f>
        <v/>
      </c>
      <c r="D388">
        <f>IF($B388="","",IF(C388="","",TEXT(C388,"MMM")))</f>
        <v/>
      </c>
      <c r="J388">
        <f>IF($B388="","",IF(H388="Negative","✅ Clear","🚨 Action Required"))</f>
        <v/>
      </c>
    </row>
    <row r="389">
      <c r="A389">
        <f>IF($B389="","",ROW()-5)</f>
        <v/>
      </c>
      <c r="D389">
        <f>IF($B389="","",IF(C389="","",TEXT(C389,"MMM")))</f>
        <v/>
      </c>
      <c r="J389">
        <f>IF($B389="","",IF(H389="Negative","✅ Clear","🚨 Action Required"))</f>
        <v/>
      </c>
    </row>
    <row r="390">
      <c r="A390">
        <f>IF($B390="","",ROW()-5)</f>
        <v/>
      </c>
      <c r="D390">
        <f>IF($B390="","",IF(C390="","",TEXT(C390,"MMM")))</f>
        <v/>
      </c>
      <c r="J390">
        <f>IF($B390="","",IF(H390="Negative","✅ Clear","🚨 Action Required"))</f>
        <v/>
      </c>
    </row>
    <row r="391">
      <c r="A391">
        <f>IF($B391="","",ROW()-5)</f>
        <v/>
      </c>
      <c r="D391">
        <f>IF($B391="","",IF(C391="","",TEXT(C391,"MMM")))</f>
        <v/>
      </c>
      <c r="J391">
        <f>IF($B391="","",IF(H391="Negative","✅ Clear","🚨 Action Required"))</f>
        <v/>
      </c>
    </row>
    <row r="392">
      <c r="A392">
        <f>IF($B392="","",ROW()-5)</f>
        <v/>
      </c>
      <c r="D392">
        <f>IF($B392="","",IF(C392="","",TEXT(C392,"MMM")))</f>
        <v/>
      </c>
      <c r="J392">
        <f>IF($B392="","",IF(H392="Negative","✅ Clear","🚨 Action Required"))</f>
        <v/>
      </c>
    </row>
    <row r="393">
      <c r="A393">
        <f>IF($B393="","",ROW()-5)</f>
        <v/>
      </c>
      <c r="D393">
        <f>IF($B393="","",IF(C393="","",TEXT(C393,"MMM")))</f>
        <v/>
      </c>
      <c r="J393">
        <f>IF($B393="","",IF(H393="Negative","✅ Clear","🚨 Action Required"))</f>
        <v/>
      </c>
    </row>
    <row r="394">
      <c r="A394">
        <f>IF($B394="","",ROW()-5)</f>
        <v/>
      </c>
      <c r="D394">
        <f>IF($B394="","",IF(C394="","",TEXT(C394,"MMM")))</f>
        <v/>
      </c>
      <c r="J394">
        <f>IF($B394="","",IF(H394="Negative","✅ Clear","🚨 Action Required"))</f>
        <v/>
      </c>
    </row>
    <row r="395">
      <c r="A395">
        <f>IF($B395="","",ROW()-5)</f>
        <v/>
      </c>
      <c r="D395">
        <f>IF($B395="","",IF(C395="","",TEXT(C395,"MMM")))</f>
        <v/>
      </c>
      <c r="J395">
        <f>IF($B395="","",IF(H395="Negative","✅ Clear","🚨 Action Required"))</f>
        <v/>
      </c>
    </row>
    <row r="396">
      <c r="A396">
        <f>IF($B396="","",ROW()-5)</f>
        <v/>
      </c>
      <c r="D396">
        <f>IF($B396="","",IF(C396="","",TEXT(C396,"MMM")))</f>
        <v/>
      </c>
      <c r="J396">
        <f>IF($B396="","",IF(H396="Negative","✅ Clear","🚨 Action Required"))</f>
        <v/>
      </c>
    </row>
    <row r="397">
      <c r="A397">
        <f>IF($B397="","",ROW()-5)</f>
        <v/>
      </c>
      <c r="D397">
        <f>IF($B397="","",IF(C397="","",TEXT(C397,"MMM")))</f>
        <v/>
      </c>
      <c r="J397">
        <f>IF($B397="","",IF(H397="Negative","✅ Clear","🚨 Action Required"))</f>
        <v/>
      </c>
    </row>
    <row r="398">
      <c r="A398">
        <f>IF($B398="","",ROW()-5)</f>
        <v/>
      </c>
      <c r="D398">
        <f>IF($B398="","",IF(C398="","",TEXT(C398,"MMM")))</f>
        <v/>
      </c>
      <c r="J398">
        <f>IF($B398="","",IF(H398="Negative","✅ Clear","🚨 Action Required"))</f>
        <v/>
      </c>
    </row>
    <row r="399">
      <c r="A399">
        <f>IF($B399="","",ROW()-5)</f>
        <v/>
      </c>
      <c r="D399">
        <f>IF($B399="","",IF(C399="","",TEXT(C399,"MMM")))</f>
        <v/>
      </c>
      <c r="J399">
        <f>IF($B399="","",IF(H399="Negative","✅ Clear","🚨 Action Required"))</f>
        <v/>
      </c>
    </row>
    <row r="400">
      <c r="A400">
        <f>IF($B400="","",ROW()-5)</f>
        <v/>
      </c>
      <c r="D400">
        <f>IF($B400="","",IF(C400="","",TEXT(C400,"MMM")))</f>
        <v/>
      </c>
      <c r="J400">
        <f>IF($B400="","",IF(H400="Negative","✅ Clear","🚨 Action Required"))</f>
        <v/>
      </c>
    </row>
    <row r="401">
      <c r="A401">
        <f>IF($B401="","",ROW()-5)</f>
        <v/>
      </c>
      <c r="D401">
        <f>IF($B401="","",IF(C401="","",TEXT(C401,"MMM")))</f>
        <v/>
      </c>
      <c r="J401">
        <f>IF($B401="","",IF(H401="Negative","✅ Clear","🚨 Action Required"))</f>
        <v/>
      </c>
    </row>
    <row r="402">
      <c r="A402">
        <f>IF($B402="","",ROW()-5)</f>
        <v/>
      </c>
      <c r="D402">
        <f>IF($B402="","",IF(C402="","",TEXT(C402,"MMM")))</f>
        <v/>
      </c>
      <c r="J402">
        <f>IF($B402="","",IF(H402="Negative","✅ Clear","🚨 Action Required"))</f>
        <v/>
      </c>
    </row>
    <row r="403">
      <c r="A403">
        <f>IF($B403="","",ROW()-5)</f>
        <v/>
      </c>
      <c r="D403">
        <f>IF($B403="","",IF(C403="","",TEXT(C403,"MMM")))</f>
        <v/>
      </c>
      <c r="J403">
        <f>IF($B403="","",IF(H403="Negative","✅ Clear","🚨 Action Required"))</f>
        <v/>
      </c>
    </row>
    <row r="404">
      <c r="A404">
        <f>IF($B404="","",ROW()-5)</f>
        <v/>
      </c>
      <c r="D404">
        <f>IF($B404="","",IF(C404="","",TEXT(C404,"MMM")))</f>
        <v/>
      </c>
      <c r="J404">
        <f>IF($B404="","",IF(H404="Negative","✅ Clear","🚨 Action Required"))</f>
        <v/>
      </c>
    </row>
    <row r="405">
      <c r="A405">
        <f>IF($B405="","",ROW()-5)</f>
        <v/>
      </c>
      <c r="D405">
        <f>IF($B405="","",IF(C405="","",TEXT(C405,"MMM")))</f>
        <v/>
      </c>
      <c r="J405">
        <f>IF($B405="","",IF(H405="Negative","✅ Clear","🚨 Action Required"))</f>
        <v/>
      </c>
    </row>
    <row r="406">
      <c r="A406">
        <f>IF($B406="","",ROW()-5)</f>
        <v/>
      </c>
      <c r="D406">
        <f>IF($B406="","",IF(C406="","",TEXT(C406,"MMM")))</f>
        <v/>
      </c>
      <c r="J406">
        <f>IF($B406="","",IF(H406="Negative","✅ Clear","🚨 Action Required"))</f>
        <v/>
      </c>
    </row>
    <row r="407">
      <c r="A407">
        <f>IF($B407="","",ROW()-5)</f>
        <v/>
      </c>
      <c r="D407">
        <f>IF($B407="","",IF(C407="","",TEXT(C407,"MMM")))</f>
        <v/>
      </c>
      <c r="J407">
        <f>IF($B407="","",IF(H407="Negative","✅ Clear","🚨 Action Required"))</f>
        <v/>
      </c>
    </row>
    <row r="408">
      <c r="A408">
        <f>IF($B408="","",ROW()-5)</f>
        <v/>
      </c>
      <c r="D408">
        <f>IF($B408="","",IF(C408="","",TEXT(C408,"MMM")))</f>
        <v/>
      </c>
      <c r="J408">
        <f>IF($B408="","",IF(H408="Negative","✅ Clear","🚨 Action Required"))</f>
        <v/>
      </c>
    </row>
    <row r="409">
      <c r="A409">
        <f>IF($B409="","",ROW()-5)</f>
        <v/>
      </c>
      <c r="D409">
        <f>IF($B409="","",IF(C409="","",TEXT(C409,"MMM")))</f>
        <v/>
      </c>
      <c r="J409">
        <f>IF($B409="","",IF(H409="Negative","✅ Clear","🚨 Action Required"))</f>
        <v/>
      </c>
    </row>
    <row r="410">
      <c r="A410">
        <f>IF($B410="","",ROW()-5)</f>
        <v/>
      </c>
      <c r="D410">
        <f>IF($B410="","",IF(C410="","",TEXT(C410,"MMM")))</f>
        <v/>
      </c>
      <c r="J410">
        <f>IF($B410="","",IF(H410="Negative","✅ Clear","🚨 Action Required"))</f>
        <v/>
      </c>
    </row>
    <row r="411">
      <c r="A411">
        <f>IF($B411="","",ROW()-5)</f>
        <v/>
      </c>
      <c r="D411">
        <f>IF($B411="","",IF(C411="","",TEXT(C411,"MMM")))</f>
        <v/>
      </c>
      <c r="J411">
        <f>IF($B411="","",IF(H411="Negative","✅ Clear","🚨 Action Required"))</f>
        <v/>
      </c>
    </row>
    <row r="412">
      <c r="A412">
        <f>IF($B412="","",ROW()-5)</f>
        <v/>
      </c>
      <c r="D412">
        <f>IF($B412="","",IF(C412="","",TEXT(C412,"MMM")))</f>
        <v/>
      </c>
      <c r="J412">
        <f>IF($B412="","",IF(H412="Negative","✅ Clear","🚨 Action Required"))</f>
        <v/>
      </c>
    </row>
    <row r="413">
      <c r="A413">
        <f>IF($B413="","",ROW()-5)</f>
        <v/>
      </c>
      <c r="D413">
        <f>IF($B413="","",IF(C413="","",TEXT(C413,"MMM")))</f>
        <v/>
      </c>
      <c r="J413">
        <f>IF($B413="","",IF(H413="Negative","✅ Clear","🚨 Action Required"))</f>
        <v/>
      </c>
    </row>
    <row r="414">
      <c r="A414">
        <f>IF($B414="","",ROW()-5)</f>
        <v/>
      </c>
      <c r="D414">
        <f>IF($B414="","",IF(C414="","",TEXT(C414,"MMM")))</f>
        <v/>
      </c>
      <c r="J414">
        <f>IF($B414="","",IF(H414="Negative","✅ Clear","🚨 Action Required"))</f>
        <v/>
      </c>
    </row>
    <row r="415">
      <c r="A415">
        <f>IF($B415="","",ROW()-5)</f>
        <v/>
      </c>
      <c r="D415">
        <f>IF($B415="","",IF(C415="","",TEXT(C415,"MMM")))</f>
        <v/>
      </c>
      <c r="J415">
        <f>IF($B415="","",IF(H415="Negative","✅ Clear","🚨 Action Required"))</f>
        <v/>
      </c>
    </row>
    <row r="416">
      <c r="A416">
        <f>IF($B416="","",ROW()-5)</f>
        <v/>
      </c>
      <c r="D416">
        <f>IF($B416="","",IF(C416="","",TEXT(C416,"MMM")))</f>
        <v/>
      </c>
      <c r="J416">
        <f>IF($B416="","",IF(H416="Negative","✅ Clear","🚨 Action Required"))</f>
        <v/>
      </c>
    </row>
    <row r="417">
      <c r="A417">
        <f>IF($B417="","",ROW()-5)</f>
        <v/>
      </c>
      <c r="D417">
        <f>IF($B417="","",IF(C417="","",TEXT(C417,"MMM")))</f>
        <v/>
      </c>
      <c r="J417">
        <f>IF($B417="","",IF(H417="Negative","✅ Clear","🚨 Action Required"))</f>
        <v/>
      </c>
    </row>
    <row r="418">
      <c r="A418">
        <f>IF($B418="","",ROW()-5)</f>
        <v/>
      </c>
      <c r="D418">
        <f>IF($B418="","",IF(C418="","",TEXT(C418,"MMM")))</f>
        <v/>
      </c>
      <c r="J418">
        <f>IF($B418="","",IF(H418="Negative","✅ Clear","🚨 Action Required"))</f>
        <v/>
      </c>
    </row>
    <row r="419">
      <c r="A419">
        <f>IF($B419="","",ROW()-5)</f>
        <v/>
      </c>
      <c r="D419">
        <f>IF($B419="","",IF(C419="","",TEXT(C419,"MMM")))</f>
        <v/>
      </c>
      <c r="J419">
        <f>IF($B419="","",IF(H419="Negative","✅ Clear","🚨 Action Required"))</f>
        <v/>
      </c>
    </row>
    <row r="420">
      <c r="A420">
        <f>IF($B420="","",ROW()-5)</f>
        <v/>
      </c>
      <c r="D420">
        <f>IF($B420="","",IF(C420="","",TEXT(C420,"MMM")))</f>
        <v/>
      </c>
      <c r="J420">
        <f>IF($B420="","",IF(H420="Negative","✅ Clear","🚨 Action Required"))</f>
        <v/>
      </c>
    </row>
    <row r="421">
      <c r="A421">
        <f>IF($B421="","",ROW()-5)</f>
        <v/>
      </c>
      <c r="D421">
        <f>IF($B421="","",IF(C421="","",TEXT(C421,"MMM")))</f>
        <v/>
      </c>
      <c r="J421">
        <f>IF($B421="","",IF(H421="Negative","✅ Clear","🚨 Action Required"))</f>
        <v/>
      </c>
    </row>
    <row r="422">
      <c r="A422">
        <f>IF($B422="","",ROW()-5)</f>
        <v/>
      </c>
      <c r="D422">
        <f>IF($B422="","",IF(C422="","",TEXT(C422,"MMM")))</f>
        <v/>
      </c>
      <c r="J422">
        <f>IF($B422="","",IF(H422="Negative","✅ Clear","🚨 Action Required"))</f>
        <v/>
      </c>
    </row>
    <row r="423">
      <c r="A423">
        <f>IF($B423="","",ROW()-5)</f>
        <v/>
      </c>
      <c r="D423">
        <f>IF($B423="","",IF(C423="","",TEXT(C423,"MMM")))</f>
        <v/>
      </c>
      <c r="J423">
        <f>IF($B423="","",IF(H423="Negative","✅ Clear","🚨 Action Required"))</f>
        <v/>
      </c>
    </row>
    <row r="424">
      <c r="A424">
        <f>IF($B424="","",ROW()-5)</f>
        <v/>
      </c>
      <c r="D424">
        <f>IF($B424="","",IF(C424="","",TEXT(C424,"MMM")))</f>
        <v/>
      </c>
      <c r="J424">
        <f>IF($B424="","",IF(H424="Negative","✅ Clear","🚨 Action Required"))</f>
        <v/>
      </c>
    </row>
    <row r="425">
      <c r="A425">
        <f>IF($B425="","",ROW()-5)</f>
        <v/>
      </c>
      <c r="D425">
        <f>IF($B425="","",IF(C425="","",TEXT(C425,"MMM")))</f>
        <v/>
      </c>
      <c r="J425">
        <f>IF($B425="","",IF(H425="Negative","✅ Clear","🚨 Action Required"))</f>
        <v/>
      </c>
    </row>
    <row r="426">
      <c r="A426">
        <f>IF($B426="","",ROW()-5)</f>
        <v/>
      </c>
      <c r="D426">
        <f>IF($B426="","",IF(C426="","",TEXT(C426,"MMM")))</f>
        <v/>
      </c>
      <c r="J426">
        <f>IF($B426="","",IF(H426="Negative","✅ Clear","🚨 Action Required"))</f>
        <v/>
      </c>
    </row>
    <row r="427">
      <c r="A427">
        <f>IF($B427="","",ROW()-5)</f>
        <v/>
      </c>
      <c r="D427">
        <f>IF($B427="","",IF(C427="","",TEXT(C427,"MMM")))</f>
        <v/>
      </c>
      <c r="J427">
        <f>IF($B427="","",IF(H427="Negative","✅ Clear","🚨 Action Required"))</f>
        <v/>
      </c>
    </row>
    <row r="428">
      <c r="A428">
        <f>IF($B428="","",ROW()-5)</f>
        <v/>
      </c>
      <c r="D428">
        <f>IF($B428="","",IF(C428="","",TEXT(C428,"MMM")))</f>
        <v/>
      </c>
      <c r="J428">
        <f>IF($B428="","",IF(H428="Negative","✅ Clear","🚨 Action Required"))</f>
        <v/>
      </c>
    </row>
    <row r="429">
      <c r="A429">
        <f>IF($B429="","",ROW()-5)</f>
        <v/>
      </c>
      <c r="D429">
        <f>IF($B429="","",IF(C429="","",TEXT(C429,"MMM")))</f>
        <v/>
      </c>
      <c r="J429">
        <f>IF($B429="","",IF(H429="Negative","✅ Clear","🚨 Action Required"))</f>
        <v/>
      </c>
    </row>
    <row r="430">
      <c r="A430">
        <f>IF($B430="","",ROW()-5)</f>
        <v/>
      </c>
      <c r="D430">
        <f>IF($B430="","",IF(C430="","",TEXT(C430,"MMM")))</f>
        <v/>
      </c>
      <c r="J430">
        <f>IF($B430="","",IF(H430="Negative","✅ Clear","🚨 Action Required"))</f>
        <v/>
      </c>
    </row>
    <row r="431">
      <c r="A431">
        <f>IF($B431="","",ROW()-5)</f>
        <v/>
      </c>
      <c r="D431">
        <f>IF($B431="","",IF(C431="","",TEXT(C431,"MMM")))</f>
        <v/>
      </c>
      <c r="J431">
        <f>IF($B431="","",IF(H431="Negative","✅ Clear","🚨 Action Required"))</f>
        <v/>
      </c>
    </row>
    <row r="432">
      <c r="A432">
        <f>IF($B432="","",ROW()-5)</f>
        <v/>
      </c>
      <c r="D432">
        <f>IF($B432="","",IF(C432="","",TEXT(C432,"MMM")))</f>
        <v/>
      </c>
      <c r="J432">
        <f>IF($B432="","",IF(H432="Negative","✅ Clear","🚨 Action Required"))</f>
        <v/>
      </c>
    </row>
    <row r="433">
      <c r="A433">
        <f>IF($B433="","",ROW()-5)</f>
        <v/>
      </c>
      <c r="D433">
        <f>IF($B433="","",IF(C433="","",TEXT(C433,"MMM")))</f>
        <v/>
      </c>
      <c r="J433">
        <f>IF($B433="","",IF(H433="Negative","✅ Clear","🚨 Action Required"))</f>
        <v/>
      </c>
    </row>
    <row r="434">
      <c r="A434">
        <f>IF($B434="","",ROW()-5)</f>
        <v/>
      </c>
      <c r="D434">
        <f>IF($B434="","",IF(C434="","",TEXT(C434,"MMM")))</f>
        <v/>
      </c>
      <c r="J434">
        <f>IF($B434="","",IF(H434="Negative","✅ Clear","🚨 Action Required"))</f>
        <v/>
      </c>
    </row>
    <row r="435">
      <c r="A435">
        <f>IF($B435="","",ROW()-5)</f>
        <v/>
      </c>
      <c r="D435">
        <f>IF($B435="","",IF(C435="","",TEXT(C435,"MMM")))</f>
        <v/>
      </c>
      <c r="J435">
        <f>IF($B435="","",IF(H435="Negative","✅ Clear","🚨 Action Required"))</f>
        <v/>
      </c>
    </row>
    <row r="436">
      <c r="A436">
        <f>IF($B436="","",ROW()-5)</f>
        <v/>
      </c>
      <c r="D436">
        <f>IF($B436="","",IF(C436="","",TEXT(C436,"MMM")))</f>
        <v/>
      </c>
      <c r="J436">
        <f>IF($B436="","",IF(H436="Negative","✅ Clear","🚨 Action Required"))</f>
        <v/>
      </c>
    </row>
    <row r="437">
      <c r="A437">
        <f>IF($B437="","",ROW()-5)</f>
        <v/>
      </c>
      <c r="D437">
        <f>IF($B437="","",IF(C437="","",TEXT(C437,"MMM")))</f>
        <v/>
      </c>
      <c r="J437">
        <f>IF($B437="","",IF(H437="Negative","✅ Clear","🚨 Action Required"))</f>
        <v/>
      </c>
    </row>
    <row r="438">
      <c r="A438">
        <f>IF($B438="","",ROW()-5)</f>
        <v/>
      </c>
      <c r="D438">
        <f>IF($B438="","",IF(C438="","",TEXT(C438,"MMM")))</f>
        <v/>
      </c>
      <c r="J438">
        <f>IF($B438="","",IF(H438="Negative","✅ Clear","🚨 Action Required"))</f>
        <v/>
      </c>
    </row>
    <row r="439">
      <c r="A439">
        <f>IF($B439="","",ROW()-5)</f>
        <v/>
      </c>
      <c r="D439">
        <f>IF($B439="","",IF(C439="","",TEXT(C439,"MMM")))</f>
        <v/>
      </c>
      <c r="J439">
        <f>IF($B439="","",IF(H439="Negative","✅ Clear","🚨 Action Required"))</f>
        <v/>
      </c>
    </row>
    <row r="440">
      <c r="A440">
        <f>IF($B440="","",ROW()-5)</f>
        <v/>
      </c>
      <c r="D440">
        <f>IF($B440="","",IF(C440="","",TEXT(C440,"MMM")))</f>
        <v/>
      </c>
      <c r="J440">
        <f>IF($B440="","",IF(H440="Negative","✅ Clear","🚨 Action Required"))</f>
        <v/>
      </c>
    </row>
    <row r="441">
      <c r="A441">
        <f>IF($B441="","",ROW()-5)</f>
        <v/>
      </c>
      <c r="D441">
        <f>IF($B441="","",IF(C441="","",TEXT(C441,"MMM")))</f>
        <v/>
      </c>
      <c r="J441">
        <f>IF($B441="","",IF(H441="Negative","✅ Clear","🚨 Action Required"))</f>
        <v/>
      </c>
    </row>
    <row r="442">
      <c r="A442">
        <f>IF($B442="","",ROW()-5)</f>
        <v/>
      </c>
      <c r="D442">
        <f>IF($B442="","",IF(C442="","",TEXT(C442,"MMM")))</f>
        <v/>
      </c>
      <c r="J442">
        <f>IF($B442="","",IF(H442="Negative","✅ Clear","🚨 Action Required"))</f>
        <v/>
      </c>
    </row>
    <row r="443">
      <c r="A443">
        <f>IF($B443="","",ROW()-5)</f>
        <v/>
      </c>
      <c r="D443">
        <f>IF($B443="","",IF(C443="","",TEXT(C443,"MMM")))</f>
        <v/>
      </c>
      <c r="J443">
        <f>IF($B443="","",IF(H443="Negative","✅ Clear","🚨 Action Required"))</f>
        <v/>
      </c>
    </row>
    <row r="444">
      <c r="A444">
        <f>IF($B444="","",ROW()-5)</f>
        <v/>
      </c>
      <c r="D444">
        <f>IF($B444="","",IF(C444="","",TEXT(C444,"MMM")))</f>
        <v/>
      </c>
      <c r="J444">
        <f>IF($B444="","",IF(H444="Negative","✅ Clear","🚨 Action Required"))</f>
        <v/>
      </c>
    </row>
    <row r="445">
      <c r="A445">
        <f>IF($B445="","",ROW()-5)</f>
        <v/>
      </c>
      <c r="D445">
        <f>IF($B445="","",IF(C445="","",TEXT(C445,"MMM")))</f>
        <v/>
      </c>
      <c r="J445">
        <f>IF($B445="","",IF(H445="Negative","✅ Clear","🚨 Action Required"))</f>
        <v/>
      </c>
    </row>
    <row r="446">
      <c r="A446">
        <f>IF($B446="","",ROW()-5)</f>
        <v/>
      </c>
      <c r="D446">
        <f>IF($B446="","",IF(C446="","",TEXT(C446,"MMM")))</f>
        <v/>
      </c>
      <c r="J446">
        <f>IF($B446="","",IF(H446="Negative","✅ Clear","🚨 Action Required"))</f>
        <v/>
      </c>
    </row>
    <row r="447">
      <c r="A447">
        <f>IF($B447="","",ROW()-5)</f>
        <v/>
      </c>
      <c r="D447">
        <f>IF($B447="","",IF(C447="","",TEXT(C447,"MMM")))</f>
        <v/>
      </c>
      <c r="J447">
        <f>IF($B447="","",IF(H447="Negative","✅ Clear","🚨 Action Required"))</f>
        <v/>
      </c>
    </row>
    <row r="448">
      <c r="A448">
        <f>IF($B448="","",ROW()-5)</f>
        <v/>
      </c>
      <c r="D448">
        <f>IF($B448="","",IF(C448="","",TEXT(C448,"MMM")))</f>
        <v/>
      </c>
      <c r="J448">
        <f>IF($B448="","",IF(H448="Negative","✅ Clear","🚨 Action Required"))</f>
        <v/>
      </c>
    </row>
    <row r="449">
      <c r="A449">
        <f>IF($B449="","",ROW()-5)</f>
        <v/>
      </c>
      <c r="D449">
        <f>IF($B449="","",IF(C449="","",TEXT(C449,"MMM")))</f>
        <v/>
      </c>
      <c r="J449">
        <f>IF($B449="","",IF(H449="Negative","✅ Clear","🚨 Action Required"))</f>
        <v/>
      </c>
    </row>
    <row r="450">
      <c r="A450">
        <f>IF($B450="","",ROW()-5)</f>
        <v/>
      </c>
      <c r="D450">
        <f>IF($B450="","",IF(C450="","",TEXT(C450,"MMM")))</f>
        <v/>
      </c>
      <c r="J450">
        <f>IF($B450="","",IF(H450="Negative","✅ Clear","🚨 Action Required"))</f>
        <v/>
      </c>
    </row>
    <row r="451">
      <c r="A451">
        <f>IF($B451="","",ROW()-5)</f>
        <v/>
      </c>
      <c r="D451">
        <f>IF($B451="","",IF(C451="","",TEXT(C451,"MMM")))</f>
        <v/>
      </c>
      <c r="J451">
        <f>IF($B451="","",IF(H451="Negative","✅ Clear","🚨 Action Required"))</f>
        <v/>
      </c>
    </row>
    <row r="452">
      <c r="A452">
        <f>IF($B452="","",ROW()-5)</f>
        <v/>
      </c>
      <c r="D452">
        <f>IF($B452="","",IF(C452="","",TEXT(C452,"MMM")))</f>
        <v/>
      </c>
      <c r="J452">
        <f>IF($B452="","",IF(H452="Negative","✅ Clear","🚨 Action Required"))</f>
        <v/>
      </c>
    </row>
    <row r="453">
      <c r="A453">
        <f>IF($B453="","",ROW()-5)</f>
        <v/>
      </c>
      <c r="D453">
        <f>IF($B453="","",IF(C453="","",TEXT(C453,"MMM")))</f>
        <v/>
      </c>
      <c r="J453">
        <f>IF($B453="","",IF(H453="Negative","✅ Clear","🚨 Action Required"))</f>
        <v/>
      </c>
    </row>
    <row r="454">
      <c r="A454">
        <f>IF($B454="","",ROW()-5)</f>
        <v/>
      </c>
      <c r="D454">
        <f>IF($B454="","",IF(C454="","",TEXT(C454,"MMM")))</f>
        <v/>
      </c>
      <c r="J454">
        <f>IF($B454="","",IF(H454="Negative","✅ Clear","🚨 Action Required"))</f>
        <v/>
      </c>
    </row>
    <row r="455">
      <c r="A455">
        <f>IF($B455="","",ROW()-5)</f>
        <v/>
      </c>
      <c r="D455">
        <f>IF($B455="","",IF(C455="","",TEXT(C455,"MMM")))</f>
        <v/>
      </c>
      <c r="J455">
        <f>IF($B455="","",IF(H455="Negative","✅ Clear","🚨 Action Required"))</f>
        <v/>
      </c>
    </row>
    <row r="456">
      <c r="A456">
        <f>IF($B456="","",ROW()-5)</f>
        <v/>
      </c>
      <c r="D456">
        <f>IF($B456="","",IF(C456="","",TEXT(C456,"MMM")))</f>
        <v/>
      </c>
      <c r="J456">
        <f>IF($B456="","",IF(H456="Negative","✅ Clear","🚨 Action Required"))</f>
        <v/>
      </c>
    </row>
    <row r="457">
      <c r="A457">
        <f>IF($B457="","",ROW()-5)</f>
        <v/>
      </c>
      <c r="D457">
        <f>IF($B457="","",IF(C457="","",TEXT(C457,"MMM")))</f>
        <v/>
      </c>
      <c r="J457">
        <f>IF($B457="","",IF(H457="Negative","✅ Clear","🚨 Action Required"))</f>
        <v/>
      </c>
    </row>
    <row r="458">
      <c r="A458">
        <f>IF($B458="","",ROW()-5)</f>
        <v/>
      </c>
      <c r="D458">
        <f>IF($B458="","",IF(C458="","",TEXT(C458,"MMM")))</f>
        <v/>
      </c>
      <c r="J458">
        <f>IF($B458="","",IF(H458="Negative","✅ Clear","🚨 Action Required"))</f>
        <v/>
      </c>
    </row>
    <row r="459">
      <c r="A459">
        <f>IF($B459="","",ROW()-5)</f>
        <v/>
      </c>
      <c r="D459">
        <f>IF($B459="","",IF(C459="","",TEXT(C459,"MMM")))</f>
        <v/>
      </c>
      <c r="J459">
        <f>IF($B459="","",IF(H459="Negative","✅ Clear","🚨 Action Required"))</f>
        <v/>
      </c>
    </row>
    <row r="460">
      <c r="A460">
        <f>IF($B460="","",ROW()-5)</f>
        <v/>
      </c>
      <c r="D460">
        <f>IF($B460="","",IF(C460="","",TEXT(C460,"MMM")))</f>
        <v/>
      </c>
      <c r="J460">
        <f>IF($B460="","",IF(H460="Negative","✅ Clear","🚨 Action Required"))</f>
        <v/>
      </c>
    </row>
    <row r="461">
      <c r="A461">
        <f>IF($B461="","",ROW()-5)</f>
        <v/>
      </c>
      <c r="D461">
        <f>IF($B461="","",IF(C461="","",TEXT(C461,"MMM")))</f>
        <v/>
      </c>
      <c r="J461">
        <f>IF($B461="","",IF(H461="Negative","✅ Clear","🚨 Action Required"))</f>
        <v/>
      </c>
    </row>
    <row r="462">
      <c r="A462">
        <f>IF($B462="","",ROW()-5)</f>
        <v/>
      </c>
      <c r="D462">
        <f>IF($B462="","",IF(C462="","",TEXT(C462,"MMM")))</f>
        <v/>
      </c>
      <c r="J462">
        <f>IF($B462="","",IF(H462="Negative","✅ Clear","🚨 Action Required"))</f>
        <v/>
      </c>
    </row>
    <row r="463">
      <c r="A463">
        <f>IF($B463="","",ROW()-5)</f>
        <v/>
      </c>
      <c r="D463">
        <f>IF($B463="","",IF(C463="","",TEXT(C463,"MMM")))</f>
        <v/>
      </c>
      <c r="J463">
        <f>IF($B463="","",IF(H463="Negative","✅ Clear","🚨 Action Required"))</f>
        <v/>
      </c>
    </row>
    <row r="464">
      <c r="A464">
        <f>IF($B464="","",ROW()-5)</f>
        <v/>
      </c>
      <c r="D464">
        <f>IF($B464="","",IF(C464="","",TEXT(C464,"MMM")))</f>
        <v/>
      </c>
      <c r="J464">
        <f>IF($B464="","",IF(H464="Negative","✅ Clear","🚨 Action Required"))</f>
        <v/>
      </c>
    </row>
    <row r="465">
      <c r="A465">
        <f>IF($B465="","",ROW()-5)</f>
        <v/>
      </c>
      <c r="D465">
        <f>IF($B465="","",IF(C465="","",TEXT(C465,"MMM")))</f>
        <v/>
      </c>
      <c r="J465">
        <f>IF($B465="","",IF(H465="Negative","✅ Clear","🚨 Action Required"))</f>
        <v/>
      </c>
    </row>
    <row r="466">
      <c r="A466">
        <f>IF($B466="","",ROW()-5)</f>
        <v/>
      </c>
      <c r="D466">
        <f>IF($B466="","",IF(C466="","",TEXT(C466,"MMM")))</f>
        <v/>
      </c>
      <c r="J466">
        <f>IF($B466="","",IF(H466="Negative","✅ Clear","🚨 Action Required"))</f>
        <v/>
      </c>
    </row>
    <row r="467">
      <c r="A467">
        <f>IF($B467="","",ROW()-5)</f>
        <v/>
      </c>
      <c r="D467">
        <f>IF($B467="","",IF(C467="","",TEXT(C467,"MMM")))</f>
        <v/>
      </c>
      <c r="J467">
        <f>IF($B467="","",IF(H467="Negative","✅ Clear","🚨 Action Required"))</f>
        <v/>
      </c>
    </row>
    <row r="468">
      <c r="A468">
        <f>IF($B468="","",ROW()-5)</f>
        <v/>
      </c>
      <c r="D468">
        <f>IF($B468="","",IF(C468="","",TEXT(C468,"MMM")))</f>
        <v/>
      </c>
      <c r="J468">
        <f>IF($B468="","",IF(H468="Negative","✅ Clear","🚨 Action Required"))</f>
        <v/>
      </c>
    </row>
    <row r="469">
      <c r="A469">
        <f>IF($B469="","",ROW()-5)</f>
        <v/>
      </c>
      <c r="D469">
        <f>IF($B469="","",IF(C469="","",TEXT(C469,"MMM")))</f>
        <v/>
      </c>
      <c r="J469">
        <f>IF($B469="","",IF(H469="Negative","✅ Clear","🚨 Action Required"))</f>
        <v/>
      </c>
    </row>
    <row r="470">
      <c r="A470">
        <f>IF($B470="","",ROW()-5)</f>
        <v/>
      </c>
      <c r="D470">
        <f>IF($B470="","",IF(C470="","",TEXT(C470,"MMM")))</f>
        <v/>
      </c>
      <c r="J470">
        <f>IF($B470="","",IF(H470="Negative","✅ Clear","🚨 Action Required"))</f>
        <v/>
      </c>
    </row>
    <row r="471">
      <c r="A471">
        <f>IF($B471="","",ROW()-5)</f>
        <v/>
      </c>
      <c r="D471">
        <f>IF($B471="","",IF(C471="","",TEXT(C471,"MMM")))</f>
        <v/>
      </c>
      <c r="J471">
        <f>IF($B471="","",IF(H471="Negative","✅ Clear","🚨 Action Required"))</f>
        <v/>
      </c>
    </row>
    <row r="472">
      <c r="A472">
        <f>IF($B472="","",ROW()-5)</f>
        <v/>
      </c>
      <c r="D472">
        <f>IF($B472="","",IF(C472="","",TEXT(C472,"MMM")))</f>
        <v/>
      </c>
      <c r="J472">
        <f>IF($B472="","",IF(H472="Negative","✅ Clear","🚨 Action Required"))</f>
        <v/>
      </c>
    </row>
    <row r="473">
      <c r="A473">
        <f>IF($B473="","",ROW()-5)</f>
        <v/>
      </c>
      <c r="D473">
        <f>IF($B473="","",IF(C473="","",TEXT(C473,"MMM")))</f>
        <v/>
      </c>
      <c r="J473">
        <f>IF($B473="","",IF(H473="Negative","✅ Clear","🚨 Action Required"))</f>
        <v/>
      </c>
    </row>
    <row r="474">
      <c r="A474">
        <f>IF($B474="","",ROW()-5)</f>
        <v/>
      </c>
      <c r="D474">
        <f>IF($B474="","",IF(C474="","",TEXT(C474,"MMM")))</f>
        <v/>
      </c>
      <c r="J474">
        <f>IF($B474="","",IF(H474="Negative","✅ Clear","🚨 Action Required"))</f>
        <v/>
      </c>
    </row>
    <row r="475">
      <c r="A475">
        <f>IF($B475="","",ROW()-5)</f>
        <v/>
      </c>
      <c r="D475">
        <f>IF($B475="","",IF(C475="","",TEXT(C475,"MMM")))</f>
        <v/>
      </c>
      <c r="J475">
        <f>IF($B475="","",IF(H475="Negative","✅ Clear","🚨 Action Required"))</f>
        <v/>
      </c>
    </row>
    <row r="476">
      <c r="A476">
        <f>IF($B476="","",ROW()-5)</f>
        <v/>
      </c>
      <c r="D476">
        <f>IF($B476="","",IF(C476="","",TEXT(C476,"MMM")))</f>
        <v/>
      </c>
      <c r="J476">
        <f>IF($B476="","",IF(H476="Negative","✅ Clear","🚨 Action Required"))</f>
        <v/>
      </c>
    </row>
    <row r="477">
      <c r="A477">
        <f>IF($B477="","",ROW()-5)</f>
        <v/>
      </c>
      <c r="D477">
        <f>IF($B477="","",IF(C477="","",TEXT(C477,"MMM")))</f>
        <v/>
      </c>
      <c r="J477">
        <f>IF($B477="","",IF(H477="Negative","✅ Clear","🚨 Action Required"))</f>
        <v/>
      </c>
    </row>
    <row r="478">
      <c r="A478">
        <f>IF($B478="","",ROW()-5)</f>
        <v/>
      </c>
      <c r="D478">
        <f>IF($B478="","",IF(C478="","",TEXT(C478,"MMM")))</f>
        <v/>
      </c>
      <c r="J478">
        <f>IF($B478="","",IF(H478="Negative","✅ Clear","🚨 Action Required"))</f>
        <v/>
      </c>
    </row>
    <row r="479">
      <c r="A479">
        <f>IF($B479="","",ROW()-5)</f>
        <v/>
      </c>
      <c r="D479">
        <f>IF($B479="","",IF(C479="","",TEXT(C479,"MMM")))</f>
        <v/>
      </c>
      <c r="J479">
        <f>IF($B479="","",IF(H479="Negative","✅ Clear","🚨 Action Required"))</f>
        <v/>
      </c>
    </row>
    <row r="480">
      <c r="A480">
        <f>IF($B480="","",ROW()-5)</f>
        <v/>
      </c>
      <c r="D480">
        <f>IF($B480="","",IF(C480="","",TEXT(C480,"MMM")))</f>
        <v/>
      </c>
      <c r="J480">
        <f>IF($B480="","",IF(H480="Negative","✅ Clear","🚨 Action Required"))</f>
        <v/>
      </c>
    </row>
    <row r="481">
      <c r="A481">
        <f>IF($B481="","",ROW()-5)</f>
        <v/>
      </c>
      <c r="D481">
        <f>IF($B481="","",IF(C481="","",TEXT(C481,"MMM")))</f>
        <v/>
      </c>
      <c r="J481">
        <f>IF($B481="","",IF(H481="Negative","✅ Clear","🚨 Action Required"))</f>
        <v/>
      </c>
    </row>
    <row r="482">
      <c r="A482">
        <f>IF($B482="","",ROW()-5)</f>
        <v/>
      </c>
      <c r="D482">
        <f>IF($B482="","",IF(C482="","",TEXT(C482,"MMM")))</f>
        <v/>
      </c>
      <c r="J482">
        <f>IF($B482="","",IF(H482="Negative","✅ Clear","🚨 Action Required"))</f>
        <v/>
      </c>
    </row>
    <row r="483">
      <c r="A483">
        <f>IF($B483="","",ROW()-5)</f>
        <v/>
      </c>
      <c r="D483">
        <f>IF($B483="","",IF(C483="","",TEXT(C483,"MMM")))</f>
        <v/>
      </c>
      <c r="J483">
        <f>IF($B483="","",IF(H483="Negative","✅ Clear","🚨 Action Required"))</f>
        <v/>
      </c>
    </row>
    <row r="484">
      <c r="A484">
        <f>IF($B484="","",ROW()-5)</f>
        <v/>
      </c>
      <c r="D484">
        <f>IF($B484="","",IF(C484="","",TEXT(C484,"MMM")))</f>
        <v/>
      </c>
      <c r="J484">
        <f>IF($B484="","",IF(H484="Negative","✅ Clear","🚨 Action Required"))</f>
        <v/>
      </c>
    </row>
    <row r="485">
      <c r="A485">
        <f>IF($B485="","",ROW()-5)</f>
        <v/>
      </c>
      <c r="D485">
        <f>IF($B485="","",IF(C485="","",TEXT(C485,"MMM")))</f>
        <v/>
      </c>
      <c r="J485">
        <f>IF($B485="","",IF(H485="Negative","✅ Clear","🚨 Action Required"))</f>
        <v/>
      </c>
    </row>
    <row r="486">
      <c r="A486">
        <f>IF($B486="","",ROW()-5)</f>
        <v/>
      </c>
      <c r="D486">
        <f>IF($B486="","",IF(C486="","",TEXT(C486,"MMM")))</f>
        <v/>
      </c>
      <c r="J486">
        <f>IF($B486="","",IF(H486="Negative","✅ Clear","🚨 Action Required"))</f>
        <v/>
      </c>
    </row>
    <row r="487">
      <c r="A487">
        <f>IF($B487="","",ROW()-5)</f>
        <v/>
      </c>
      <c r="D487">
        <f>IF($B487="","",IF(C487="","",TEXT(C487,"MMM")))</f>
        <v/>
      </c>
      <c r="J487">
        <f>IF($B487="","",IF(H487="Negative","✅ Clear","🚨 Action Required"))</f>
        <v/>
      </c>
    </row>
    <row r="488">
      <c r="A488">
        <f>IF($B488="","",ROW()-5)</f>
        <v/>
      </c>
      <c r="D488">
        <f>IF($B488="","",IF(C488="","",TEXT(C488,"MMM")))</f>
        <v/>
      </c>
      <c r="J488">
        <f>IF($B488="","",IF(H488="Negative","✅ Clear","🚨 Action Required"))</f>
        <v/>
      </c>
    </row>
    <row r="489">
      <c r="A489">
        <f>IF($B489="","",ROW()-5)</f>
        <v/>
      </c>
      <c r="D489">
        <f>IF($B489="","",IF(C489="","",TEXT(C489,"MMM")))</f>
        <v/>
      </c>
      <c r="J489">
        <f>IF($B489="","",IF(H489="Negative","✅ Clear","🚨 Action Required"))</f>
        <v/>
      </c>
    </row>
    <row r="490">
      <c r="A490">
        <f>IF($B490="","",ROW()-5)</f>
        <v/>
      </c>
      <c r="D490">
        <f>IF($B490="","",IF(C490="","",TEXT(C490,"MMM")))</f>
        <v/>
      </c>
      <c r="J490">
        <f>IF($B490="","",IF(H490="Negative","✅ Clear","🚨 Action Required"))</f>
        <v/>
      </c>
    </row>
    <row r="491">
      <c r="A491">
        <f>IF($B491="","",ROW()-5)</f>
        <v/>
      </c>
      <c r="D491">
        <f>IF($B491="","",IF(C491="","",TEXT(C491,"MMM")))</f>
        <v/>
      </c>
      <c r="J491">
        <f>IF($B491="","",IF(H491="Negative","✅ Clear","🚨 Action Required"))</f>
        <v/>
      </c>
    </row>
    <row r="492">
      <c r="A492">
        <f>IF($B492="","",ROW()-5)</f>
        <v/>
      </c>
      <c r="D492">
        <f>IF($B492="","",IF(C492="","",TEXT(C492,"MMM")))</f>
        <v/>
      </c>
      <c r="J492">
        <f>IF($B492="","",IF(H492="Negative","✅ Clear","🚨 Action Required"))</f>
        <v/>
      </c>
    </row>
    <row r="493">
      <c r="A493">
        <f>IF($B493="","",ROW()-5)</f>
        <v/>
      </c>
      <c r="D493">
        <f>IF($B493="","",IF(C493="","",TEXT(C493,"MMM")))</f>
        <v/>
      </c>
      <c r="J493">
        <f>IF($B493="","",IF(H493="Negative","✅ Clear","🚨 Action Required"))</f>
        <v/>
      </c>
    </row>
    <row r="494">
      <c r="A494">
        <f>IF($B494="","",ROW()-5)</f>
        <v/>
      </c>
      <c r="D494">
        <f>IF($B494="","",IF(C494="","",TEXT(C494,"MMM")))</f>
        <v/>
      </c>
      <c r="J494">
        <f>IF($B494="","",IF(H494="Negative","✅ Clear","🚨 Action Required"))</f>
        <v/>
      </c>
    </row>
    <row r="495">
      <c r="A495">
        <f>IF($B495="","",ROW()-5)</f>
        <v/>
      </c>
      <c r="D495">
        <f>IF($B495="","",IF(C495="","",TEXT(C495,"MMM")))</f>
        <v/>
      </c>
      <c r="J495">
        <f>IF($B495="","",IF(H495="Negative","✅ Clear","🚨 Action Required"))</f>
        <v/>
      </c>
    </row>
    <row r="496">
      <c r="A496">
        <f>IF($B496="","",ROW()-5)</f>
        <v/>
      </c>
      <c r="D496">
        <f>IF($B496="","",IF(C496="","",TEXT(C496,"MMM")))</f>
        <v/>
      </c>
      <c r="J496">
        <f>IF($B496="","",IF(H496="Negative","✅ Clear","🚨 Action Required"))</f>
        <v/>
      </c>
    </row>
    <row r="497">
      <c r="A497">
        <f>IF($B497="","",ROW()-5)</f>
        <v/>
      </c>
      <c r="D497">
        <f>IF($B497="","",IF(C497="","",TEXT(C497,"MMM")))</f>
        <v/>
      </c>
      <c r="J497">
        <f>IF($B497="","",IF(H497="Negative","✅ Clear","🚨 Action Required"))</f>
        <v/>
      </c>
    </row>
    <row r="498">
      <c r="A498">
        <f>IF($B498="","",ROW()-5)</f>
        <v/>
      </c>
      <c r="D498">
        <f>IF($B498="","",IF(C498="","",TEXT(C498,"MMM")))</f>
        <v/>
      </c>
      <c r="J498">
        <f>IF($B498="","",IF(H498="Negative","✅ Clear","🚨 Action Required"))</f>
        <v/>
      </c>
    </row>
    <row r="499">
      <c r="A499">
        <f>IF($B499="","",ROW()-5)</f>
        <v/>
      </c>
      <c r="D499">
        <f>IF($B499="","",IF(C499="","",TEXT(C499,"MMM")))</f>
        <v/>
      </c>
      <c r="J499">
        <f>IF($B499="","",IF(H499="Negative","✅ Clear","🚨 Action Required"))</f>
        <v/>
      </c>
    </row>
    <row r="500">
      <c r="A500">
        <f>IF($B500="","",ROW()-5)</f>
        <v/>
      </c>
      <c r="D500">
        <f>IF($B500="","",IF(C500="","",TEXT(C500,"MMM")))</f>
        <v/>
      </c>
      <c r="J500">
        <f>IF($B500="","",IF(H500="Negative","✅ Clear","🚨 Action Required"))</f>
        <v/>
      </c>
    </row>
    <row r="501">
      <c r="A501">
        <f>IF($B501="","",ROW()-5)</f>
        <v/>
      </c>
      <c r="D501">
        <f>IF($B501="","",IF(C501="","",TEXT(C501,"MMM")))</f>
        <v/>
      </c>
      <c r="J501">
        <f>IF($B501="","",IF(H501="Negative","✅ Clear","🚨 Action Required"))</f>
        <v/>
      </c>
    </row>
    <row r="502">
      <c r="A502">
        <f>IF($B502="","",ROW()-5)</f>
        <v/>
      </c>
      <c r="D502">
        <f>IF($B502="","",IF(C502="","",TEXT(C502,"MMM")))</f>
        <v/>
      </c>
      <c r="J502">
        <f>IF($B502="","",IF(H502="Negative","✅ Clear","🚨 Action Required"))</f>
        <v/>
      </c>
    </row>
    <row r="503">
      <c r="A503">
        <f>IF($B503="","",ROW()-5)</f>
        <v/>
      </c>
      <c r="D503">
        <f>IF($B503="","",IF(C503="","",TEXT(C503,"MMM")))</f>
        <v/>
      </c>
      <c r="J503">
        <f>IF($B503="","",IF(H503="Negative","✅ Clear","🚨 Action Required"))</f>
        <v/>
      </c>
    </row>
    <row r="504">
      <c r="A504">
        <f>IF($B504="","",ROW()-5)</f>
        <v/>
      </c>
      <c r="D504">
        <f>IF($B504="","",IF(C504="","",TEXT(C504,"MMM")))</f>
        <v/>
      </c>
      <c r="J504">
        <f>IF($B504="","",IF(H504="Negative","✅ Clear","🚨 Action Required"))</f>
        <v/>
      </c>
    </row>
    <row r="505">
      <c r="A505">
        <f>IF($B505="","",ROW()-5)</f>
        <v/>
      </c>
      <c r="D505">
        <f>IF($B505="","",IF(C505="","",TEXT(C505,"MMM")))</f>
        <v/>
      </c>
      <c r="J505">
        <f>IF($B505="","",IF(H505="Negative","✅ Clear","🚨 Action Required"))</f>
        <v/>
      </c>
    </row>
    <row r="506">
      <c r="A506">
        <f>IF($B506="","",ROW()-5)</f>
        <v/>
      </c>
      <c r="D506">
        <f>IF($B506="","",IF(C506="","",TEXT(C506,"MMM")))</f>
        <v/>
      </c>
      <c r="J506">
        <f>IF($B506="","",IF(H506="Negative","✅ Clear","🚨 Action Required"))</f>
        <v/>
      </c>
    </row>
  </sheetData>
  <autoFilter ref="A4:J20"/>
  <mergeCells count="3">
    <mergeCell ref="A1:J1"/>
    <mergeCell ref="A3:D3"/>
    <mergeCell ref="A2:J2"/>
  </mergeCells>
  <conditionalFormatting sqref="J6:J20">
    <cfRule type="cellIs" priority="2" operator="equal" dxfId="87">
      <formula>"Completed"</formula>
    </cfRule>
    <cfRule type="cellIs" priority="3" operator="equal" dxfId="86">
      <formula>"Overdue"</formula>
    </cfRule>
    <cfRule type="cellIs" priority="4" operator="equal" dxfId="85">
      <formula>"In Progress"</formula>
    </cfRule>
    <cfRule type="cellIs" priority="5" operator="equal" dxfId="84">
      <formula>"Open"</formula>
    </cfRule>
  </conditionalFormatting>
  <dataValidations count="3">
    <dataValidation sqref="E6:E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L_Test_Type</formula1>
      <formula2>0</formula2>
    </dataValidation>
    <dataValidation sqref="H6:H506" showDropDown="0" showInputMessage="0" showErrorMessage="0" allowBlank="1" type="list">
      <formula1>L_Result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tabColor rgb="FF0D47A1"/>
    <outlinePr summaryBelow="1" summaryRight="1"/>
    <pageSetUpPr/>
  </sheetPr>
  <dimension ref="A1:N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6" customWidth="1" style="15" min="5" max="5"/>
    <col width="14" customWidth="1" style="15" min="6" max="7"/>
    <col width="16" customWidth="1" style="15" min="8" max="8"/>
    <col width="12" customWidth="1" style="15" min="9" max="11"/>
    <col width="10" customWidth="1" style="15" min="12" max="12"/>
    <col width="14" customWidth="1" style="15" min="13" max="13"/>
    <col width="22" customWidth="1" style="15" min="14" max="14"/>
  </cols>
  <sheetData>
    <row r="1" ht="42" customHeight="1" s="15">
      <c r="A1" s="224" t="inlineStr">
        <is>
          <t>🔎  PERMIT TO WORK AUDITS — DATA ENTRY</t>
        </is>
      </c>
    </row>
    <row r="2" ht="21.75" customHeight="1" s="15">
      <c r="A2" s="225" t="inlineStr">
        <is>
          <t>🔵 Blue = User Input  |  ⚫ Gray = Auto-Calculated  |  Use dropdowns where available</t>
        </is>
      </c>
    </row>
    <row r="3" ht="19.5" customHeight="1" s="15">
      <c r="A3" s="226" t="inlineStr">
        <is>
          <t>IDENTIFICATION</t>
        </is>
      </c>
      <c r="E3" s="16" t="inlineStr">
        <is>
          <t>SCOPE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FINDINGS</t>
        </is>
      </c>
      <c r="L3" s="18" t="inlineStr">
        <is>
          <t>COMPLIANCE</t>
        </is>
      </c>
      <c r="M3" s="19" t="inlineStr">
        <is>
          <t>STATUS</t>
        </is>
      </c>
      <c r="N3" s="20" t="inlineStr">
        <is>
          <t>FOLLOW-UP</t>
        </is>
      </c>
    </row>
    <row r="4" ht="31.5" customHeight="1" s="15">
      <c r="A4" s="54" t="inlineStr">
        <is>
          <t>S.No</t>
        </is>
      </c>
      <c r="B4" s="54" t="inlineStr">
        <is>
          <t>Audit No.</t>
        </is>
      </c>
      <c r="C4" s="54" t="inlineStr">
        <is>
          <t>Date</t>
        </is>
      </c>
      <c r="D4" s="54" t="inlineStr">
        <is>
          <t>Month</t>
        </is>
      </c>
      <c r="E4" s="54" t="inlineStr">
        <is>
          <t>Permit Type Audited</t>
        </is>
      </c>
      <c r="F4" s="54" t="inlineStr">
        <is>
          <t>Department</t>
        </is>
      </c>
      <c r="G4" s="54" t="inlineStr">
        <is>
          <t>Location</t>
        </is>
      </c>
      <c r="H4" s="54" t="inlineStr">
        <is>
          <t>Auditor</t>
        </is>
      </c>
      <c r="I4" s="54" t="inlineStr">
        <is>
          <t>Permits Reviewed</t>
        </is>
      </c>
      <c r="J4" s="54" t="inlineStr">
        <is>
          <t>Deviations Found</t>
        </is>
      </c>
      <c r="K4" s="54" t="inlineStr">
        <is>
          <t>Total Checkpoints</t>
        </is>
      </c>
      <c r="L4" s="54" t="inlineStr">
        <is>
          <t>Compliance %</t>
        </is>
      </c>
      <c r="M4" s="54" t="inlineStr">
        <is>
          <t>Verdict</t>
        </is>
      </c>
      <c r="N4" s="54" t="inlineStr">
        <is>
          <t>Action Required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2" t="inlineStr">
        <is>
          <t>⚙️ AUTO</t>
        </is>
      </c>
      <c r="M5" s="23" t="inlineStr">
        <is>
          <t>✏️ INPUT</t>
        </is>
      </c>
      <c r="N5" s="23" t="inlineStr">
        <is>
          <t>✏️ INPUT</t>
        </is>
      </c>
    </row>
    <row r="6" ht="15" customHeight="1" s="15">
      <c r="A6" s="24" t="n">
        <v>1</v>
      </c>
      <c r="B6" s="25" t="inlineStr">
        <is>
          <t>PTWA-001</t>
        </is>
      </c>
      <c r="C6" s="26" t="n">
        <v>46296</v>
      </c>
      <c r="D6" s="24">
        <f>IF(C6="","",TEXT(C6,"MMM"))</f>
        <v/>
      </c>
      <c r="E6" s="27" t="inlineStr">
        <is>
          <t>Lifting</t>
        </is>
      </c>
      <c r="F6" s="28" t="inlineStr">
        <is>
          <t>Maintenance</t>
        </is>
      </c>
      <c r="G6" s="28" t="inlineStr">
        <is>
          <t>Tank Farm</t>
        </is>
      </c>
      <c r="H6" s="27" t="inlineStr">
        <is>
          <t>Fatima Al-Said</t>
        </is>
      </c>
      <c r="I6" s="29" t="n">
        <v>9</v>
      </c>
      <c r="J6" s="29" t="n">
        <v>4</v>
      </c>
      <c r="K6" s="29" t="n">
        <v>17</v>
      </c>
      <c r="L6" s="30">
        <f>IF(K6=0,0,(K6-J6)/K6)</f>
        <v/>
      </c>
      <c r="M6" s="28" t="inlineStr">
        <is>
          <t>Compliant</t>
        </is>
      </c>
      <c r="N6" s="27" t="inlineStr">
        <is>
          <t>Add checklist item</t>
        </is>
      </c>
    </row>
    <row r="7" ht="21.75" customHeight="1" s="15">
      <c r="A7" s="31" t="n">
        <v>2</v>
      </c>
      <c r="B7" s="32" t="inlineStr">
        <is>
          <t>PTWA-002</t>
        </is>
      </c>
      <c r="C7" s="33" t="n">
        <v>46128</v>
      </c>
      <c r="D7" s="31">
        <f>IF(C7="","",TEXT(C7,"MMM"))</f>
        <v/>
      </c>
      <c r="E7" s="34" t="inlineStr">
        <is>
          <t>Working at Height</t>
        </is>
      </c>
      <c r="F7" s="35" t="inlineStr">
        <is>
          <t>Logistics</t>
        </is>
      </c>
      <c r="G7" s="35" t="inlineStr">
        <is>
          <t>Field Site</t>
        </is>
      </c>
      <c r="H7" s="34" t="inlineStr">
        <is>
          <t>Fatima Al-Said</t>
        </is>
      </c>
      <c r="I7" s="36" t="n">
        <v>16</v>
      </c>
      <c r="J7" s="36" t="n">
        <v>4</v>
      </c>
      <c r="K7" s="36" t="n">
        <v>9</v>
      </c>
      <c r="L7" s="37">
        <f>IF(K7=0,0,(K7-J7)/K7)</f>
        <v/>
      </c>
      <c r="M7" s="35" t="inlineStr">
        <is>
          <t>Partially Compliant</t>
        </is>
      </c>
      <c r="N7" s="34" t="inlineStr">
        <is>
          <t>Add checklist item</t>
        </is>
      </c>
    </row>
    <row r="8" ht="15" customHeight="1" s="15">
      <c r="A8" s="24" t="n">
        <v>3</v>
      </c>
      <c r="B8" s="25" t="inlineStr">
        <is>
          <t>PTWA-003</t>
        </is>
      </c>
      <c r="C8" s="26" t="n">
        <v>46195</v>
      </c>
      <c r="D8" s="24">
        <f>IF(C8="","",TEXT(C8,"MMM"))</f>
        <v/>
      </c>
      <c r="E8" s="27" t="inlineStr">
        <is>
          <t>Lifting</t>
        </is>
      </c>
      <c r="F8" s="28" t="inlineStr">
        <is>
          <t>Operations</t>
        </is>
      </c>
      <c r="G8" s="28" t="inlineStr">
        <is>
          <t>Plant A</t>
        </is>
      </c>
      <c r="H8" s="27" t="inlineStr">
        <is>
          <t>Sarah Wilson</t>
        </is>
      </c>
      <c r="I8" s="29" t="n">
        <v>18</v>
      </c>
      <c r="J8" s="29" t="n">
        <v>3</v>
      </c>
      <c r="K8" s="29" t="n">
        <v>5</v>
      </c>
      <c r="L8" s="30">
        <f>IF(K8=0,0,(K8-J8)/K8)</f>
        <v/>
      </c>
      <c r="M8" s="28" t="inlineStr">
        <is>
          <t>Compliant</t>
        </is>
      </c>
      <c r="N8" s="27" t="inlineStr">
        <is>
          <t>Update procedure</t>
        </is>
      </c>
    </row>
    <row r="9" ht="15" customHeight="1" s="15">
      <c r="A9" s="31" t="n">
        <v>4</v>
      </c>
      <c r="B9" s="32" t="inlineStr">
        <is>
          <t>PTWA-004</t>
        </is>
      </c>
      <c r="C9" s="33" t="n">
        <v>46249</v>
      </c>
      <c r="D9" s="31">
        <f>IF(C9="","",TEXT(C9,"MMM"))</f>
        <v/>
      </c>
      <c r="E9" s="34" t="inlineStr">
        <is>
          <t>Hot Work</t>
        </is>
      </c>
      <c r="F9" s="35" t="inlineStr">
        <is>
          <t>Quality</t>
        </is>
      </c>
      <c r="G9" s="35" t="inlineStr">
        <is>
          <t>Workshop</t>
        </is>
      </c>
      <c r="H9" s="34" t="inlineStr">
        <is>
          <t>Raj Patel</t>
        </is>
      </c>
      <c r="I9" s="36" t="n">
        <v>18</v>
      </c>
      <c r="J9" s="36" t="n">
        <v>2</v>
      </c>
      <c r="K9" s="36" t="n">
        <v>10</v>
      </c>
      <c r="L9" s="37">
        <f>IF(K9=0,0,(K9-J9)/K9)</f>
        <v/>
      </c>
      <c r="M9" s="35" t="inlineStr">
        <is>
          <t>Non-Compliant</t>
        </is>
      </c>
      <c r="N9" s="34" t="n"/>
    </row>
    <row r="10" ht="21.75" customHeight="1" s="15">
      <c r="A10" s="24" t="n">
        <v>5</v>
      </c>
      <c r="B10" s="25" t="inlineStr">
        <is>
          <t>PTWA-005</t>
        </is>
      </c>
      <c r="C10" s="26" t="n">
        <v>46338</v>
      </c>
      <c r="D10" s="24">
        <f>IF(C10="","",TEXT(C10,"MMM"))</f>
        <v/>
      </c>
      <c r="E10" s="27" t="inlineStr">
        <is>
          <t>Working at Height</t>
        </is>
      </c>
      <c r="F10" s="28" t="inlineStr">
        <is>
          <t>Maintenance</t>
        </is>
      </c>
      <c r="G10" s="28" t="inlineStr">
        <is>
          <t>Control Room</t>
        </is>
      </c>
      <c r="H10" s="27" t="inlineStr">
        <is>
          <t>Raj Patel</t>
        </is>
      </c>
      <c r="I10" s="29" t="n">
        <v>8</v>
      </c>
      <c r="J10" s="29" t="n">
        <v>3</v>
      </c>
      <c r="K10" s="29" t="n">
        <v>14</v>
      </c>
      <c r="L10" s="30">
        <f>IF(K10=0,0,(K10-J10)/K10)</f>
        <v/>
      </c>
      <c r="M10" s="28" t="inlineStr">
        <is>
          <t>Partially Compliant</t>
        </is>
      </c>
      <c r="N10" s="27" t="inlineStr">
        <is>
          <t>Update procedure</t>
        </is>
      </c>
    </row>
    <row r="11" ht="21.75" customHeight="1" s="15">
      <c r="A11" s="31" t="n">
        <v>6</v>
      </c>
      <c r="B11" s="32" t="inlineStr">
        <is>
          <t>PTWA-006</t>
        </is>
      </c>
      <c r="C11" s="33" t="n">
        <v>46224</v>
      </c>
      <c r="D11" s="31">
        <f>IF(C11="","",TEXT(C11,"MMM"))</f>
        <v/>
      </c>
      <c r="E11" s="34" t="inlineStr">
        <is>
          <t>Hot Work</t>
        </is>
      </c>
      <c r="F11" s="35" t="inlineStr">
        <is>
          <t>Maintenance</t>
        </is>
      </c>
      <c r="G11" s="35" t="inlineStr">
        <is>
          <t>Plant A</t>
        </is>
      </c>
      <c r="H11" s="34" t="inlineStr">
        <is>
          <t>Maria Garcia</t>
        </is>
      </c>
      <c r="I11" s="36" t="n">
        <v>15</v>
      </c>
      <c r="J11" s="36" t="n">
        <v>0</v>
      </c>
      <c r="K11" s="36" t="n">
        <v>9</v>
      </c>
      <c r="L11" s="37">
        <f>IF(K11=0,0,(K11-J11)/K11)</f>
        <v/>
      </c>
      <c r="M11" s="35" t="inlineStr">
        <is>
          <t>Partially Compliant</t>
        </is>
      </c>
      <c r="N11" s="34" t="inlineStr">
        <is>
          <t>Update procedure</t>
        </is>
      </c>
    </row>
    <row r="12" ht="15" customHeight="1" s="15">
      <c r="A12" s="24" t="n">
        <v>7</v>
      </c>
      <c r="B12" s="25" t="inlineStr">
        <is>
          <t>PTWA-007</t>
        </is>
      </c>
      <c r="C12" s="26" t="n">
        <v>46287</v>
      </c>
      <c r="D12" s="24">
        <f>IF(C12="","",TEXT(C12,"MMM"))</f>
        <v/>
      </c>
      <c r="E12" s="27" t="inlineStr">
        <is>
          <t>Excavation</t>
        </is>
      </c>
      <c r="F12" s="28" t="inlineStr">
        <is>
          <t>Operations</t>
        </is>
      </c>
      <c r="G12" s="28" t="inlineStr">
        <is>
          <t>Plant A</t>
        </is>
      </c>
      <c r="H12" s="27" t="inlineStr">
        <is>
          <t>Fatima Al-Said</t>
        </is>
      </c>
      <c r="I12" s="29" t="n">
        <v>9</v>
      </c>
      <c r="J12" s="29" t="n">
        <v>3</v>
      </c>
      <c r="K12" s="29" t="n">
        <v>9</v>
      </c>
      <c r="L12" s="30">
        <f>IF(K12=0,0,(K12-J12)/K12)</f>
        <v/>
      </c>
      <c r="M12" s="28" t="inlineStr">
        <is>
          <t>Non-Compliant</t>
        </is>
      </c>
      <c r="N12" s="27" t="n"/>
    </row>
    <row r="13" ht="15" customHeight="1" s="15">
      <c r="A13" s="31" t="n">
        <v>8</v>
      </c>
      <c r="B13" s="32" t="inlineStr">
        <is>
          <t>PTWA-008</t>
        </is>
      </c>
      <c r="C13" s="33" t="n">
        <v>46125</v>
      </c>
      <c r="D13" s="31">
        <f>IF(C13="","",TEXT(C13,"MMM"))</f>
        <v/>
      </c>
      <c r="E13" s="34" t="inlineStr">
        <is>
          <t>Hot Work</t>
        </is>
      </c>
      <c r="F13" s="35" t="inlineStr">
        <is>
          <t>Maintenance</t>
        </is>
      </c>
      <c r="G13" s="35" t="inlineStr">
        <is>
          <t>Plant B</t>
        </is>
      </c>
      <c r="H13" s="34" t="inlineStr">
        <is>
          <t>Fatima Al-Said</t>
        </is>
      </c>
      <c r="I13" s="36" t="n">
        <v>13</v>
      </c>
      <c r="J13" s="36" t="n">
        <v>2</v>
      </c>
      <c r="K13" s="36" t="n">
        <v>9</v>
      </c>
      <c r="L13" s="37">
        <f>IF(K13=0,0,(K13-J13)/K13)</f>
        <v/>
      </c>
      <c r="M13" s="35" t="inlineStr">
        <is>
          <t>Non-Compliant</t>
        </is>
      </c>
      <c r="N13" s="34" t="inlineStr">
        <is>
          <t>Update procedure</t>
        </is>
      </c>
    </row>
    <row r="14" ht="15" customHeight="1" s="15">
      <c r="A14" s="24" t="n">
        <v>9</v>
      </c>
      <c r="B14" s="25" t="inlineStr">
        <is>
          <t>PTWA-009</t>
        </is>
      </c>
      <c r="C14" s="26" t="n">
        <v>46348</v>
      </c>
      <c r="D14" s="24">
        <f>IF(C14="","",TEXT(C14,"MMM"))</f>
        <v/>
      </c>
      <c r="E14" s="27" t="inlineStr">
        <is>
          <t>Confined Space</t>
        </is>
      </c>
      <c r="F14" s="28" t="inlineStr">
        <is>
          <t>Maintenance</t>
        </is>
      </c>
      <c r="G14" s="28" t="inlineStr">
        <is>
          <t>Plant A</t>
        </is>
      </c>
      <c r="H14" s="27" t="inlineStr">
        <is>
          <t>Lisa Park</t>
        </is>
      </c>
      <c r="I14" s="29" t="n">
        <v>18</v>
      </c>
      <c r="J14" s="29" t="n">
        <v>1</v>
      </c>
      <c r="K14" s="29" t="n">
        <v>19</v>
      </c>
      <c r="L14" s="30">
        <f>IF(K14=0,0,(K14-J14)/K14)</f>
        <v/>
      </c>
      <c r="M14" s="28" t="inlineStr">
        <is>
          <t>Non-Compliant</t>
        </is>
      </c>
      <c r="N14" s="27" t="inlineStr">
        <is>
          <t>Update procedure</t>
        </is>
      </c>
    </row>
    <row r="15" ht="15" customHeight="1" s="15">
      <c r="A15" s="31" t="n">
        <v>10</v>
      </c>
      <c r="B15" s="32" t="inlineStr">
        <is>
          <t>PTWA-010</t>
        </is>
      </c>
      <c r="C15" s="33" t="n">
        <v>46350</v>
      </c>
      <c r="D15" s="31">
        <f>IF(C15="","",TEXT(C15,"MMM"))</f>
        <v/>
      </c>
      <c r="E15" s="34" t="inlineStr">
        <is>
          <t>Confined Space</t>
        </is>
      </c>
      <c r="F15" s="35" t="inlineStr">
        <is>
          <t>Quality</t>
        </is>
      </c>
      <c r="G15" s="35" t="inlineStr">
        <is>
          <t>Tank Farm</t>
        </is>
      </c>
      <c r="H15" s="34" t="inlineStr">
        <is>
          <t>Maria Garcia</t>
        </is>
      </c>
      <c r="I15" s="36" t="n">
        <v>9</v>
      </c>
      <c r="J15" s="36" t="n">
        <v>0</v>
      </c>
      <c r="K15" s="36" t="n">
        <v>9</v>
      </c>
      <c r="L15" s="37">
        <f>IF(K15=0,0,(K15-J15)/K15)</f>
        <v/>
      </c>
      <c r="M15" s="35" t="inlineStr">
        <is>
          <t>Compliant</t>
        </is>
      </c>
      <c r="N15" s="34" t="inlineStr">
        <is>
          <t>Add checklist item</t>
        </is>
      </c>
    </row>
    <row r="16" ht="21.75" customHeight="1" s="15">
      <c r="A16" s="24" t="n">
        <v>11</v>
      </c>
      <c r="B16" s="25" t="inlineStr">
        <is>
          <t>PTWA-011</t>
        </is>
      </c>
      <c r="C16" s="26" t="n">
        <v>46187</v>
      </c>
      <c r="D16" s="24">
        <f>IF(C16="","",TEXT(C16,"MMM"))</f>
        <v/>
      </c>
      <c r="E16" s="27" t="inlineStr">
        <is>
          <t>Working at Height</t>
        </is>
      </c>
      <c r="F16" s="28" t="inlineStr">
        <is>
          <t>Engineering</t>
        </is>
      </c>
      <c r="G16" s="28" t="inlineStr">
        <is>
          <t>Workshop</t>
        </is>
      </c>
      <c r="H16" s="27" t="inlineStr">
        <is>
          <t>John Smith</t>
        </is>
      </c>
      <c r="I16" s="29" t="n">
        <v>18</v>
      </c>
      <c r="J16" s="29" t="n">
        <v>0</v>
      </c>
      <c r="K16" s="29" t="n">
        <v>12</v>
      </c>
      <c r="L16" s="30">
        <f>IF(K16=0,0,(K16-J16)/K16)</f>
        <v/>
      </c>
      <c r="M16" s="28" t="inlineStr">
        <is>
          <t>Partially Compliant</t>
        </is>
      </c>
      <c r="N16" s="27" t="inlineStr">
        <is>
          <t>Retrain issuer</t>
        </is>
      </c>
    </row>
    <row r="17" ht="21.75" customHeight="1" s="15">
      <c r="A17" s="31" t="n">
        <v>12</v>
      </c>
      <c r="B17" s="32" t="inlineStr">
        <is>
          <t>PTWA-012</t>
        </is>
      </c>
      <c r="C17" s="33" t="n">
        <v>46357</v>
      </c>
      <c r="D17" s="31">
        <f>IF(C17="","",TEXT(C17,"MMM"))</f>
        <v/>
      </c>
      <c r="E17" s="34" t="inlineStr">
        <is>
          <t>Lifting</t>
        </is>
      </c>
      <c r="F17" s="35" t="inlineStr">
        <is>
          <t>Safety</t>
        </is>
      </c>
      <c r="G17" s="35" t="inlineStr">
        <is>
          <t>Workshop</t>
        </is>
      </c>
      <c r="H17" s="34" t="inlineStr">
        <is>
          <t>Tom Brown</t>
        </is>
      </c>
      <c r="I17" s="36" t="n">
        <v>17</v>
      </c>
      <c r="J17" s="36" t="n">
        <v>4</v>
      </c>
      <c r="K17" s="36" t="n">
        <v>11</v>
      </c>
      <c r="L17" s="37">
        <f>IF(K17=0,0,(K17-J17)/K17)</f>
        <v/>
      </c>
      <c r="M17" s="35" t="inlineStr">
        <is>
          <t>Partially Compliant</t>
        </is>
      </c>
      <c r="N17" s="34" t="inlineStr">
        <is>
          <t>Add checklist item</t>
        </is>
      </c>
    </row>
    <row r="18">
      <c r="A18">
        <f>IF($B18="","",ROW()-5)</f>
        <v/>
      </c>
      <c r="D18">
        <f>IF($B18="","",IF(C18="","",TEXT(C18,"MMM")))</f>
        <v/>
      </c>
      <c r="L18">
        <f>IF($B18="","",IF(K18=0,0,(K18-J18)/K18))</f>
        <v/>
      </c>
    </row>
    <row r="19">
      <c r="A19">
        <f>IF($B19="","",ROW()-5)</f>
        <v/>
      </c>
      <c r="D19">
        <f>IF($B19="","",IF(C19="","",TEXT(C19,"MMM")))</f>
        <v/>
      </c>
      <c r="L19">
        <f>IF($B19="","",IF(K19=0,0,(K19-J19)/K19))</f>
        <v/>
      </c>
    </row>
    <row r="20">
      <c r="A20">
        <f>IF($B20="","",ROW()-5)</f>
        <v/>
      </c>
      <c r="D20">
        <f>IF($B20="","",IF(C20="","",TEXT(C20,"MMM")))</f>
        <v/>
      </c>
      <c r="L20">
        <f>IF($B20="","",IF(K20=0,0,(K20-J20)/K20))</f>
        <v/>
      </c>
    </row>
    <row r="21">
      <c r="A21">
        <f>IF($B21="","",ROW()-5)</f>
        <v/>
      </c>
      <c r="D21">
        <f>IF($B21="","",IF(C21="","",TEXT(C21,"MMM")))</f>
        <v/>
      </c>
      <c r="L21">
        <f>IF($B21="","",IF(K21=0,0,(K21-J21)/K21))</f>
        <v/>
      </c>
    </row>
    <row r="22">
      <c r="A22">
        <f>IF($B22="","",ROW()-5)</f>
        <v/>
      </c>
      <c r="D22">
        <f>IF($B22="","",IF(C22="","",TEXT(C22,"MMM")))</f>
        <v/>
      </c>
      <c r="L22">
        <f>IF($B22="","",IF(K22=0,0,(K22-J22)/K22))</f>
        <v/>
      </c>
    </row>
    <row r="23">
      <c r="A23">
        <f>IF($B23="","",ROW()-5)</f>
        <v/>
      </c>
      <c r="D23">
        <f>IF($B23="","",IF(C23="","",TEXT(C23,"MMM")))</f>
        <v/>
      </c>
      <c r="L23">
        <f>IF($B23="","",IF(K23=0,0,(K23-J23)/K23))</f>
        <v/>
      </c>
    </row>
    <row r="24">
      <c r="A24">
        <f>IF($B24="","",ROW()-5)</f>
        <v/>
      </c>
      <c r="D24">
        <f>IF($B24="","",IF(C24="","",TEXT(C24,"MMM")))</f>
        <v/>
      </c>
      <c r="L24">
        <f>IF($B24="","",IF(K24=0,0,(K24-J24)/K24))</f>
        <v/>
      </c>
    </row>
    <row r="25">
      <c r="A25">
        <f>IF($B25="","",ROW()-5)</f>
        <v/>
      </c>
      <c r="D25">
        <f>IF($B25="","",IF(C25="","",TEXT(C25,"MMM")))</f>
        <v/>
      </c>
      <c r="L25">
        <f>IF($B25="","",IF(K25=0,0,(K25-J25)/K25))</f>
        <v/>
      </c>
    </row>
    <row r="26">
      <c r="A26">
        <f>IF($B26="","",ROW()-5)</f>
        <v/>
      </c>
      <c r="D26">
        <f>IF($B26="","",IF(C26="","",TEXT(C26,"MMM")))</f>
        <v/>
      </c>
      <c r="L26">
        <f>IF($B26="","",IF(K26=0,0,(K26-J26)/K26))</f>
        <v/>
      </c>
    </row>
    <row r="27">
      <c r="A27">
        <f>IF($B27="","",ROW()-5)</f>
        <v/>
      </c>
      <c r="D27">
        <f>IF($B27="","",IF(C27="","",TEXT(C27,"MMM")))</f>
        <v/>
      </c>
      <c r="L27">
        <f>IF($B27="","",IF(K27=0,0,(K27-J27)/K27))</f>
        <v/>
      </c>
    </row>
    <row r="28">
      <c r="A28">
        <f>IF($B28="","",ROW()-5)</f>
        <v/>
      </c>
      <c r="D28">
        <f>IF($B28="","",IF(C28="","",TEXT(C28,"MMM")))</f>
        <v/>
      </c>
      <c r="L28">
        <f>IF($B28="","",IF(K28=0,0,(K28-J28)/K28))</f>
        <v/>
      </c>
    </row>
    <row r="29">
      <c r="A29">
        <f>IF($B29="","",ROW()-5)</f>
        <v/>
      </c>
      <c r="D29">
        <f>IF($B29="","",IF(C29="","",TEXT(C29,"MMM")))</f>
        <v/>
      </c>
      <c r="L29">
        <f>IF($B29="","",IF(K29=0,0,(K29-J29)/K29))</f>
        <v/>
      </c>
    </row>
    <row r="30">
      <c r="A30">
        <f>IF($B30="","",ROW()-5)</f>
        <v/>
      </c>
      <c r="D30">
        <f>IF($B30="","",IF(C30="","",TEXT(C30,"MMM")))</f>
        <v/>
      </c>
      <c r="L30">
        <f>IF($B30="","",IF(K30=0,0,(K30-J30)/K30))</f>
        <v/>
      </c>
    </row>
    <row r="31">
      <c r="A31">
        <f>IF($B31="","",ROW()-5)</f>
        <v/>
      </c>
      <c r="D31">
        <f>IF($B31="","",IF(C31="","",TEXT(C31,"MMM")))</f>
        <v/>
      </c>
      <c r="L31">
        <f>IF($B31="","",IF(K31=0,0,(K31-J31)/K31))</f>
        <v/>
      </c>
    </row>
    <row r="32">
      <c r="A32">
        <f>IF($B32="","",ROW()-5)</f>
        <v/>
      </c>
      <c r="D32">
        <f>IF($B32="","",IF(C32="","",TEXT(C32,"MMM")))</f>
        <v/>
      </c>
      <c r="L32">
        <f>IF($B32="","",IF(K32=0,0,(K32-J32)/K32))</f>
        <v/>
      </c>
    </row>
    <row r="33">
      <c r="A33">
        <f>IF($B33="","",ROW()-5)</f>
        <v/>
      </c>
      <c r="D33">
        <f>IF($B33="","",IF(C33="","",TEXT(C33,"MMM")))</f>
        <v/>
      </c>
      <c r="L33">
        <f>IF($B33="","",IF(K33=0,0,(K33-J33)/K33))</f>
        <v/>
      </c>
    </row>
    <row r="34">
      <c r="A34">
        <f>IF($B34="","",ROW()-5)</f>
        <v/>
      </c>
      <c r="D34">
        <f>IF($B34="","",IF(C34="","",TEXT(C34,"MMM")))</f>
        <v/>
      </c>
      <c r="L34">
        <f>IF($B34="","",IF(K34=0,0,(K34-J34)/K34))</f>
        <v/>
      </c>
    </row>
    <row r="35">
      <c r="A35">
        <f>IF($B35="","",ROW()-5)</f>
        <v/>
      </c>
      <c r="D35">
        <f>IF($B35="","",IF(C35="","",TEXT(C35,"MMM")))</f>
        <v/>
      </c>
      <c r="L35">
        <f>IF($B35="","",IF(K35=0,0,(K35-J35)/K35))</f>
        <v/>
      </c>
    </row>
    <row r="36">
      <c r="A36">
        <f>IF($B36="","",ROW()-5)</f>
        <v/>
      </c>
      <c r="D36">
        <f>IF($B36="","",IF(C36="","",TEXT(C36,"MMM")))</f>
        <v/>
      </c>
      <c r="L36">
        <f>IF($B36="","",IF(K36=0,0,(K36-J36)/K36))</f>
        <v/>
      </c>
    </row>
    <row r="37">
      <c r="A37">
        <f>IF($B37="","",ROW()-5)</f>
        <v/>
      </c>
      <c r="D37">
        <f>IF($B37="","",IF(C37="","",TEXT(C37,"MMM")))</f>
        <v/>
      </c>
      <c r="L37">
        <f>IF($B37="","",IF(K37=0,0,(K37-J37)/K37))</f>
        <v/>
      </c>
    </row>
    <row r="38">
      <c r="A38">
        <f>IF($B38="","",ROW()-5)</f>
        <v/>
      </c>
      <c r="D38">
        <f>IF($B38="","",IF(C38="","",TEXT(C38,"MMM")))</f>
        <v/>
      </c>
      <c r="L38">
        <f>IF($B38="","",IF(K38=0,0,(K38-J38)/K38))</f>
        <v/>
      </c>
    </row>
    <row r="39">
      <c r="A39">
        <f>IF($B39="","",ROW()-5)</f>
        <v/>
      </c>
      <c r="D39">
        <f>IF($B39="","",IF(C39="","",TEXT(C39,"MMM")))</f>
        <v/>
      </c>
      <c r="L39">
        <f>IF($B39="","",IF(K39=0,0,(K39-J39)/K39))</f>
        <v/>
      </c>
    </row>
    <row r="40">
      <c r="A40">
        <f>IF($B40="","",ROW()-5)</f>
        <v/>
      </c>
      <c r="D40">
        <f>IF($B40="","",IF(C40="","",TEXT(C40,"MMM")))</f>
        <v/>
      </c>
      <c r="L40">
        <f>IF($B40="","",IF(K40=0,0,(K40-J40)/K40))</f>
        <v/>
      </c>
    </row>
    <row r="41">
      <c r="A41">
        <f>IF($B41="","",ROW()-5)</f>
        <v/>
      </c>
      <c r="D41">
        <f>IF($B41="","",IF(C41="","",TEXT(C41,"MMM")))</f>
        <v/>
      </c>
      <c r="L41">
        <f>IF($B41="","",IF(K41=0,0,(K41-J41)/K41))</f>
        <v/>
      </c>
    </row>
    <row r="42">
      <c r="A42">
        <f>IF($B42="","",ROW()-5)</f>
        <v/>
      </c>
      <c r="D42">
        <f>IF($B42="","",IF(C42="","",TEXT(C42,"MMM")))</f>
        <v/>
      </c>
      <c r="L42">
        <f>IF($B42="","",IF(K42=0,0,(K42-J42)/K42))</f>
        <v/>
      </c>
    </row>
    <row r="43">
      <c r="A43">
        <f>IF($B43="","",ROW()-5)</f>
        <v/>
      </c>
      <c r="D43">
        <f>IF($B43="","",IF(C43="","",TEXT(C43,"MMM")))</f>
        <v/>
      </c>
      <c r="L43">
        <f>IF($B43="","",IF(K43=0,0,(K43-J43)/K43))</f>
        <v/>
      </c>
    </row>
    <row r="44">
      <c r="A44">
        <f>IF($B44="","",ROW()-5)</f>
        <v/>
      </c>
      <c r="D44">
        <f>IF($B44="","",IF(C44="","",TEXT(C44,"MMM")))</f>
        <v/>
      </c>
      <c r="L44">
        <f>IF($B44="","",IF(K44=0,0,(K44-J44)/K44))</f>
        <v/>
      </c>
    </row>
    <row r="45">
      <c r="A45">
        <f>IF($B45="","",ROW()-5)</f>
        <v/>
      </c>
      <c r="D45">
        <f>IF($B45="","",IF(C45="","",TEXT(C45,"MMM")))</f>
        <v/>
      </c>
      <c r="L45">
        <f>IF($B45="","",IF(K45=0,0,(K45-J45)/K45))</f>
        <v/>
      </c>
    </row>
    <row r="46">
      <c r="A46">
        <f>IF($B46="","",ROW()-5)</f>
        <v/>
      </c>
      <c r="D46">
        <f>IF($B46="","",IF(C46="","",TEXT(C46,"MMM")))</f>
        <v/>
      </c>
      <c r="L46">
        <f>IF($B46="","",IF(K46=0,0,(K46-J46)/K46))</f>
        <v/>
      </c>
    </row>
    <row r="47">
      <c r="A47">
        <f>IF($B47="","",ROW()-5)</f>
        <v/>
      </c>
      <c r="D47">
        <f>IF($B47="","",IF(C47="","",TEXT(C47,"MMM")))</f>
        <v/>
      </c>
      <c r="L47">
        <f>IF($B47="","",IF(K47=0,0,(K47-J47)/K47))</f>
        <v/>
      </c>
    </row>
    <row r="48">
      <c r="A48">
        <f>IF($B48="","",ROW()-5)</f>
        <v/>
      </c>
      <c r="D48">
        <f>IF($B48="","",IF(C48="","",TEXT(C48,"MMM")))</f>
        <v/>
      </c>
      <c r="L48">
        <f>IF($B48="","",IF(K48=0,0,(K48-J48)/K48))</f>
        <v/>
      </c>
    </row>
    <row r="49">
      <c r="A49">
        <f>IF($B49="","",ROW()-5)</f>
        <v/>
      </c>
      <c r="D49">
        <f>IF($B49="","",IF(C49="","",TEXT(C49,"MMM")))</f>
        <v/>
      </c>
      <c r="L49">
        <f>IF($B49="","",IF(K49=0,0,(K49-J49)/K49))</f>
        <v/>
      </c>
    </row>
    <row r="50">
      <c r="A50">
        <f>IF($B50="","",ROW()-5)</f>
        <v/>
      </c>
      <c r="D50">
        <f>IF($B50="","",IF(C50="","",TEXT(C50,"MMM")))</f>
        <v/>
      </c>
      <c r="L50">
        <f>IF($B50="","",IF(K50=0,0,(K50-J50)/K50))</f>
        <v/>
      </c>
    </row>
    <row r="51">
      <c r="A51">
        <f>IF($B51="","",ROW()-5)</f>
        <v/>
      </c>
      <c r="D51">
        <f>IF($B51="","",IF(C51="","",TEXT(C51,"MMM")))</f>
        <v/>
      </c>
      <c r="L51">
        <f>IF($B51="","",IF(K51=0,0,(K51-J51)/K51))</f>
        <v/>
      </c>
    </row>
    <row r="52">
      <c r="A52">
        <f>IF($B52="","",ROW()-5)</f>
        <v/>
      </c>
      <c r="D52">
        <f>IF($B52="","",IF(C52="","",TEXT(C52,"MMM")))</f>
        <v/>
      </c>
      <c r="L52">
        <f>IF($B52="","",IF(K52=0,0,(K52-J52)/K52))</f>
        <v/>
      </c>
    </row>
    <row r="53">
      <c r="A53">
        <f>IF($B53="","",ROW()-5)</f>
        <v/>
      </c>
      <c r="D53">
        <f>IF($B53="","",IF(C53="","",TEXT(C53,"MMM")))</f>
        <v/>
      </c>
      <c r="L53">
        <f>IF($B53="","",IF(K53=0,0,(K53-J53)/K53))</f>
        <v/>
      </c>
    </row>
    <row r="54">
      <c r="A54">
        <f>IF($B54="","",ROW()-5)</f>
        <v/>
      </c>
      <c r="D54">
        <f>IF($B54="","",IF(C54="","",TEXT(C54,"MMM")))</f>
        <v/>
      </c>
      <c r="L54">
        <f>IF($B54="","",IF(K54=0,0,(K54-J54)/K54))</f>
        <v/>
      </c>
    </row>
    <row r="55">
      <c r="A55">
        <f>IF($B55="","",ROW()-5)</f>
        <v/>
      </c>
      <c r="D55">
        <f>IF($B55="","",IF(C55="","",TEXT(C55,"MMM")))</f>
        <v/>
      </c>
      <c r="L55">
        <f>IF($B55="","",IF(K55=0,0,(K55-J55)/K55))</f>
        <v/>
      </c>
    </row>
    <row r="56">
      <c r="A56">
        <f>IF($B56="","",ROW()-5)</f>
        <v/>
      </c>
      <c r="D56">
        <f>IF($B56="","",IF(C56="","",TEXT(C56,"MMM")))</f>
        <v/>
      </c>
      <c r="L56">
        <f>IF($B56="","",IF(K56=0,0,(K56-J56)/K56))</f>
        <v/>
      </c>
    </row>
    <row r="57">
      <c r="A57">
        <f>IF($B57="","",ROW()-5)</f>
        <v/>
      </c>
      <c r="D57">
        <f>IF($B57="","",IF(C57="","",TEXT(C57,"MMM")))</f>
        <v/>
      </c>
      <c r="L57">
        <f>IF($B57="","",IF(K57=0,0,(K57-J57)/K57))</f>
        <v/>
      </c>
    </row>
    <row r="58">
      <c r="A58">
        <f>IF($B58="","",ROW()-5)</f>
        <v/>
      </c>
      <c r="D58">
        <f>IF($B58="","",IF(C58="","",TEXT(C58,"MMM")))</f>
        <v/>
      </c>
      <c r="L58">
        <f>IF($B58="","",IF(K58=0,0,(K58-J58)/K58))</f>
        <v/>
      </c>
    </row>
    <row r="59">
      <c r="A59">
        <f>IF($B59="","",ROW()-5)</f>
        <v/>
      </c>
      <c r="D59">
        <f>IF($B59="","",IF(C59="","",TEXT(C59,"MMM")))</f>
        <v/>
      </c>
      <c r="L59">
        <f>IF($B59="","",IF(K59=0,0,(K59-J59)/K59))</f>
        <v/>
      </c>
    </row>
    <row r="60">
      <c r="A60">
        <f>IF($B60="","",ROW()-5)</f>
        <v/>
      </c>
      <c r="D60">
        <f>IF($B60="","",IF(C60="","",TEXT(C60,"MMM")))</f>
        <v/>
      </c>
      <c r="L60">
        <f>IF($B60="","",IF(K60=0,0,(K60-J60)/K60))</f>
        <v/>
      </c>
    </row>
    <row r="61">
      <c r="A61">
        <f>IF($B61="","",ROW()-5)</f>
        <v/>
      </c>
      <c r="D61">
        <f>IF($B61="","",IF(C61="","",TEXT(C61,"MMM")))</f>
        <v/>
      </c>
      <c r="L61">
        <f>IF($B61="","",IF(K61=0,0,(K61-J61)/K61))</f>
        <v/>
      </c>
    </row>
    <row r="62">
      <c r="A62">
        <f>IF($B62="","",ROW()-5)</f>
        <v/>
      </c>
      <c r="D62">
        <f>IF($B62="","",IF(C62="","",TEXT(C62,"MMM")))</f>
        <v/>
      </c>
      <c r="L62">
        <f>IF($B62="","",IF(K62=0,0,(K62-J62)/K62))</f>
        <v/>
      </c>
    </row>
    <row r="63">
      <c r="A63">
        <f>IF($B63="","",ROW()-5)</f>
        <v/>
      </c>
      <c r="D63">
        <f>IF($B63="","",IF(C63="","",TEXT(C63,"MMM")))</f>
        <v/>
      </c>
      <c r="L63">
        <f>IF($B63="","",IF(K63=0,0,(K63-J63)/K63))</f>
        <v/>
      </c>
    </row>
    <row r="64">
      <c r="A64">
        <f>IF($B64="","",ROW()-5)</f>
        <v/>
      </c>
      <c r="D64">
        <f>IF($B64="","",IF(C64="","",TEXT(C64,"MMM")))</f>
        <v/>
      </c>
      <c r="L64">
        <f>IF($B64="","",IF(K64=0,0,(K64-J64)/K64))</f>
        <v/>
      </c>
    </row>
    <row r="65">
      <c r="A65">
        <f>IF($B65="","",ROW()-5)</f>
        <v/>
      </c>
      <c r="D65">
        <f>IF($B65="","",IF(C65="","",TEXT(C65,"MMM")))</f>
        <v/>
      </c>
      <c r="L65">
        <f>IF($B65="","",IF(K65=0,0,(K65-J65)/K65))</f>
        <v/>
      </c>
    </row>
    <row r="66">
      <c r="A66">
        <f>IF($B66="","",ROW()-5)</f>
        <v/>
      </c>
      <c r="D66">
        <f>IF($B66="","",IF(C66="","",TEXT(C66,"MMM")))</f>
        <v/>
      </c>
      <c r="L66">
        <f>IF($B66="","",IF(K66=0,0,(K66-J66)/K66))</f>
        <v/>
      </c>
    </row>
    <row r="67">
      <c r="A67">
        <f>IF($B67="","",ROW()-5)</f>
        <v/>
      </c>
      <c r="D67">
        <f>IF($B67="","",IF(C67="","",TEXT(C67,"MMM")))</f>
        <v/>
      </c>
      <c r="L67">
        <f>IF($B67="","",IF(K67=0,0,(K67-J67)/K67))</f>
        <v/>
      </c>
    </row>
    <row r="68">
      <c r="A68">
        <f>IF($B68="","",ROW()-5)</f>
        <v/>
      </c>
      <c r="D68">
        <f>IF($B68="","",IF(C68="","",TEXT(C68,"MMM")))</f>
        <v/>
      </c>
      <c r="L68">
        <f>IF($B68="","",IF(K68=0,0,(K68-J68)/K68))</f>
        <v/>
      </c>
    </row>
    <row r="69">
      <c r="A69">
        <f>IF($B69="","",ROW()-5)</f>
        <v/>
      </c>
      <c r="D69">
        <f>IF($B69="","",IF(C69="","",TEXT(C69,"MMM")))</f>
        <v/>
      </c>
      <c r="L69">
        <f>IF($B69="","",IF(K69=0,0,(K69-J69)/K69))</f>
        <v/>
      </c>
    </row>
    <row r="70">
      <c r="A70">
        <f>IF($B70="","",ROW()-5)</f>
        <v/>
      </c>
      <c r="D70">
        <f>IF($B70="","",IF(C70="","",TEXT(C70,"MMM")))</f>
        <v/>
      </c>
      <c r="L70">
        <f>IF($B70="","",IF(K70=0,0,(K70-J70)/K70))</f>
        <v/>
      </c>
    </row>
    <row r="71">
      <c r="A71">
        <f>IF($B71="","",ROW()-5)</f>
        <v/>
      </c>
      <c r="D71">
        <f>IF($B71="","",IF(C71="","",TEXT(C71,"MMM")))</f>
        <v/>
      </c>
      <c r="L71">
        <f>IF($B71="","",IF(K71=0,0,(K71-J71)/K71))</f>
        <v/>
      </c>
    </row>
    <row r="72">
      <c r="A72">
        <f>IF($B72="","",ROW()-5)</f>
        <v/>
      </c>
      <c r="D72">
        <f>IF($B72="","",IF(C72="","",TEXT(C72,"MMM")))</f>
        <v/>
      </c>
      <c r="L72">
        <f>IF($B72="","",IF(K72=0,0,(K72-J72)/K72))</f>
        <v/>
      </c>
    </row>
    <row r="73">
      <c r="A73">
        <f>IF($B73="","",ROW()-5)</f>
        <v/>
      </c>
      <c r="D73">
        <f>IF($B73="","",IF(C73="","",TEXT(C73,"MMM")))</f>
        <v/>
      </c>
      <c r="L73">
        <f>IF($B73="","",IF(K73=0,0,(K73-J73)/K73))</f>
        <v/>
      </c>
    </row>
    <row r="74">
      <c r="A74">
        <f>IF($B74="","",ROW()-5)</f>
        <v/>
      </c>
      <c r="D74">
        <f>IF($B74="","",IF(C74="","",TEXT(C74,"MMM")))</f>
        <v/>
      </c>
      <c r="L74">
        <f>IF($B74="","",IF(K74=0,0,(K74-J74)/K74))</f>
        <v/>
      </c>
    </row>
    <row r="75">
      <c r="A75">
        <f>IF($B75="","",ROW()-5)</f>
        <v/>
      </c>
      <c r="D75">
        <f>IF($B75="","",IF(C75="","",TEXT(C75,"MMM")))</f>
        <v/>
      </c>
      <c r="L75">
        <f>IF($B75="","",IF(K75=0,0,(K75-J75)/K75))</f>
        <v/>
      </c>
    </row>
    <row r="76">
      <c r="A76">
        <f>IF($B76="","",ROW()-5)</f>
        <v/>
      </c>
      <c r="D76">
        <f>IF($B76="","",IF(C76="","",TEXT(C76,"MMM")))</f>
        <v/>
      </c>
      <c r="L76">
        <f>IF($B76="","",IF(K76=0,0,(K76-J76)/K76))</f>
        <v/>
      </c>
    </row>
    <row r="77">
      <c r="A77">
        <f>IF($B77="","",ROW()-5)</f>
        <v/>
      </c>
      <c r="D77">
        <f>IF($B77="","",IF(C77="","",TEXT(C77,"MMM")))</f>
        <v/>
      </c>
      <c r="L77">
        <f>IF($B77="","",IF(K77=0,0,(K77-J77)/K77))</f>
        <v/>
      </c>
    </row>
    <row r="78">
      <c r="A78">
        <f>IF($B78="","",ROW()-5)</f>
        <v/>
      </c>
      <c r="D78">
        <f>IF($B78="","",IF(C78="","",TEXT(C78,"MMM")))</f>
        <v/>
      </c>
      <c r="L78">
        <f>IF($B78="","",IF(K78=0,0,(K78-J78)/K78))</f>
        <v/>
      </c>
    </row>
    <row r="79">
      <c r="A79">
        <f>IF($B79="","",ROW()-5)</f>
        <v/>
      </c>
      <c r="D79">
        <f>IF($B79="","",IF(C79="","",TEXT(C79,"MMM")))</f>
        <v/>
      </c>
      <c r="L79">
        <f>IF($B79="","",IF(K79=0,0,(K79-J79)/K79))</f>
        <v/>
      </c>
    </row>
    <row r="80">
      <c r="A80">
        <f>IF($B80="","",ROW()-5)</f>
        <v/>
      </c>
      <c r="D80">
        <f>IF($B80="","",IF(C80="","",TEXT(C80,"MMM")))</f>
        <v/>
      </c>
      <c r="L80">
        <f>IF($B80="","",IF(K80=0,0,(K80-J80)/K80))</f>
        <v/>
      </c>
    </row>
    <row r="81">
      <c r="A81">
        <f>IF($B81="","",ROW()-5)</f>
        <v/>
      </c>
      <c r="D81">
        <f>IF($B81="","",IF(C81="","",TEXT(C81,"MMM")))</f>
        <v/>
      </c>
      <c r="L81">
        <f>IF($B81="","",IF(K81=0,0,(K81-J81)/K81))</f>
        <v/>
      </c>
    </row>
    <row r="82">
      <c r="A82">
        <f>IF($B82="","",ROW()-5)</f>
        <v/>
      </c>
      <c r="D82">
        <f>IF($B82="","",IF(C82="","",TEXT(C82,"MMM")))</f>
        <v/>
      </c>
      <c r="L82">
        <f>IF($B82="","",IF(K82=0,0,(K82-J82)/K82))</f>
        <v/>
      </c>
    </row>
    <row r="83">
      <c r="A83">
        <f>IF($B83="","",ROW()-5)</f>
        <v/>
      </c>
      <c r="D83">
        <f>IF($B83="","",IF(C83="","",TEXT(C83,"MMM")))</f>
        <v/>
      </c>
      <c r="L83">
        <f>IF($B83="","",IF(K83=0,0,(K83-J83)/K83))</f>
        <v/>
      </c>
    </row>
    <row r="84">
      <c r="A84">
        <f>IF($B84="","",ROW()-5)</f>
        <v/>
      </c>
      <c r="D84">
        <f>IF($B84="","",IF(C84="","",TEXT(C84,"MMM")))</f>
        <v/>
      </c>
      <c r="L84">
        <f>IF($B84="","",IF(K84=0,0,(K84-J84)/K84))</f>
        <v/>
      </c>
    </row>
    <row r="85">
      <c r="A85">
        <f>IF($B85="","",ROW()-5)</f>
        <v/>
      </c>
      <c r="D85">
        <f>IF($B85="","",IF(C85="","",TEXT(C85,"MMM")))</f>
        <v/>
      </c>
      <c r="L85">
        <f>IF($B85="","",IF(K85=0,0,(K85-J85)/K85))</f>
        <v/>
      </c>
    </row>
    <row r="86">
      <c r="A86">
        <f>IF($B86="","",ROW()-5)</f>
        <v/>
      </c>
      <c r="D86">
        <f>IF($B86="","",IF(C86="","",TEXT(C86,"MMM")))</f>
        <v/>
      </c>
      <c r="L86">
        <f>IF($B86="","",IF(K86=0,0,(K86-J86)/K86))</f>
        <v/>
      </c>
    </row>
    <row r="87">
      <c r="A87">
        <f>IF($B87="","",ROW()-5)</f>
        <v/>
      </c>
      <c r="D87">
        <f>IF($B87="","",IF(C87="","",TEXT(C87,"MMM")))</f>
        <v/>
      </c>
      <c r="L87">
        <f>IF($B87="","",IF(K87=0,0,(K87-J87)/K87))</f>
        <v/>
      </c>
    </row>
    <row r="88">
      <c r="A88">
        <f>IF($B88="","",ROW()-5)</f>
        <v/>
      </c>
      <c r="D88">
        <f>IF($B88="","",IF(C88="","",TEXT(C88,"MMM")))</f>
        <v/>
      </c>
      <c r="L88">
        <f>IF($B88="","",IF(K88=0,0,(K88-J88)/K88))</f>
        <v/>
      </c>
    </row>
    <row r="89">
      <c r="A89">
        <f>IF($B89="","",ROW()-5)</f>
        <v/>
      </c>
      <c r="D89">
        <f>IF($B89="","",IF(C89="","",TEXT(C89,"MMM")))</f>
        <v/>
      </c>
      <c r="L89">
        <f>IF($B89="","",IF(K89=0,0,(K89-J89)/K89))</f>
        <v/>
      </c>
    </row>
    <row r="90">
      <c r="A90">
        <f>IF($B90="","",ROW()-5)</f>
        <v/>
      </c>
      <c r="D90">
        <f>IF($B90="","",IF(C90="","",TEXT(C90,"MMM")))</f>
        <v/>
      </c>
      <c r="L90">
        <f>IF($B90="","",IF(K90=0,0,(K90-J90)/K90))</f>
        <v/>
      </c>
    </row>
    <row r="91">
      <c r="A91">
        <f>IF($B91="","",ROW()-5)</f>
        <v/>
      </c>
      <c r="D91">
        <f>IF($B91="","",IF(C91="","",TEXT(C91,"MMM")))</f>
        <v/>
      </c>
      <c r="L91">
        <f>IF($B91="","",IF(K91=0,0,(K91-J91)/K91))</f>
        <v/>
      </c>
    </row>
    <row r="92">
      <c r="A92">
        <f>IF($B92="","",ROW()-5)</f>
        <v/>
      </c>
      <c r="D92">
        <f>IF($B92="","",IF(C92="","",TEXT(C92,"MMM")))</f>
        <v/>
      </c>
      <c r="L92">
        <f>IF($B92="","",IF(K92=0,0,(K92-J92)/K92))</f>
        <v/>
      </c>
    </row>
    <row r="93">
      <c r="A93">
        <f>IF($B93="","",ROW()-5)</f>
        <v/>
      </c>
      <c r="D93">
        <f>IF($B93="","",IF(C93="","",TEXT(C93,"MMM")))</f>
        <v/>
      </c>
      <c r="L93">
        <f>IF($B93="","",IF(K93=0,0,(K93-J93)/K93))</f>
        <v/>
      </c>
    </row>
    <row r="94">
      <c r="A94">
        <f>IF($B94="","",ROW()-5)</f>
        <v/>
      </c>
      <c r="D94">
        <f>IF($B94="","",IF(C94="","",TEXT(C94,"MMM")))</f>
        <v/>
      </c>
      <c r="L94">
        <f>IF($B94="","",IF(K94=0,0,(K94-J94)/K94))</f>
        <v/>
      </c>
    </row>
    <row r="95">
      <c r="A95">
        <f>IF($B95="","",ROW()-5)</f>
        <v/>
      </c>
      <c r="D95">
        <f>IF($B95="","",IF(C95="","",TEXT(C95,"MMM")))</f>
        <v/>
      </c>
      <c r="L95">
        <f>IF($B95="","",IF(K95=0,0,(K95-J95)/K95))</f>
        <v/>
      </c>
    </row>
    <row r="96">
      <c r="A96">
        <f>IF($B96="","",ROW()-5)</f>
        <v/>
      </c>
      <c r="D96">
        <f>IF($B96="","",IF(C96="","",TEXT(C96,"MMM")))</f>
        <v/>
      </c>
      <c r="L96">
        <f>IF($B96="","",IF(K96=0,0,(K96-J96)/K96))</f>
        <v/>
      </c>
    </row>
    <row r="97">
      <c r="A97">
        <f>IF($B97="","",ROW()-5)</f>
        <v/>
      </c>
      <c r="D97">
        <f>IF($B97="","",IF(C97="","",TEXT(C97,"MMM")))</f>
        <v/>
      </c>
      <c r="L97">
        <f>IF($B97="","",IF(K97=0,0,(K97-J97)/K97))</f>
        <v/>
      </c>
    </row>
    <row r="98">
      <c r="A98">
        <f>IF($B98="","",ROW()-5)</f>
        <v/>
      </c>
      <c r="D98">
        <f>IF($B98="","",IF(C98="","",TEXT(C98,"MMM")))</f>
        <v/>
      </c>
      <c r="L98">
        <f>IF($B98="","",IF(K98=0,0,(K98-J98)/K98))</f>
        <v/>
      </c>
    </row>
    <row r="99">
      <c r="A99">
        <f>IF($B99="","",ROW()-5)</f>
        <v/>
      </c>
      <c r="D99">
        <f>IF($B99="","",IF(C99="","",TEXT(C99,"MMM")))</f>
        <v/>
      </c>
      <c r="L99">
        <f>IF($B99="","",IF(K99=0,0,(K99-J99)/K99))</f>
        <v/>
      </c>
    </row>
    <row r="100">
      <c r="A100">
        <f>IF($B100="","",ROW()-5)</f>
        <v/>
      </c>
      <c r="D100">
        <f>IF($B100="","",IF(C100="","",TEXT(C100,"MMM")))</f>
        <v/>
      </c>
      <c r="L100">
        <f>IF($B100="","",IF(K100=0,0,(K100-J100)/K100))</f>
        <v/>
      </c>
    </row>
    <row r="101">
      <c r="A101">
        <f>IF($B101="","",ROW()-5)</f>
        <v/>
      </c>
      <c r="D101">
        <f>IF($B101="","",IF(C101="","",TEXT(C101,"MMM")))</f>
        <v/>
      </c>
      <c r="L101">
        <f>IF($B101="","",IF(K101=0,0,(K101-J101)/K101))</f>
        <v/>
      </c>
    </row>
    <row r="102">
      <c r="A102">
        <f>IF($B102="","",ROW()-5)</f>
        <v/>
      </c>
      <c r="D102">
        <f>IF($B102="","",IF(C102="","",TEXT(C102,"MMM")))</f>
        <v/>
      </c>
      <c r="L102">
        <f>IF($B102="","",IF(K102=0,0,(K102-J102)/K102))</f>
        <v/>
      </c>
    </row>
    <row r="103">
      <c r="A103">
        <f>IF($B103="","",ROW()-5)</f>
        <v/>
      </c>
      <c r="D103">
        <f>IF($B103="","",IF(C103="","",TEXT(C103,"MMM")))</f>
        <v/>
      </c>
      <c r="L103">
        <f>IF($B103="","",IF(K103=0,0,(K103-J103)/K103))</f>
        <v/>
      </c>
    </row>
    <row r="104">
      <c r="A104">
        <f>IF($B104="","",ROW()-5)</f>
        <v/>
      </c>
      <c r="D104">
        <f>IF($B104="","",IF(C104="","",TEXT(C104,"MMM")))</f>
        <v/>
      </c>
      <c r="L104">
        <f>IF($B104="","",IF(K104=0,0,(K104-J104)/K104))</f>
        <v/>
      </c>
    </row>
    <row r="105">
      <c r="A105">
        <f>IF($B105="","",ROW()-5)</f>
        <v/>
      </c>
      <c r="D105">
        <f>IF($B105="","",IF(C105="","",TEXT(C105,"MMM")))</f>
        <v/>
      </c>
      <c r="L105">
        <f>IF($B105="","",IF(K105=0,0,(K105-J105)/K105))</f>
        <v/>
      </c>
    </row>
    <row r="106">
      <c r="A106">
        <f>IF($B106="","",ROW()-5)</f>
        <v/>
      </c>
      <c r="D106">
        <f>IF($B106="","",IF(C106="","",TEXT(C106,"MMM")))</f>
        <v/>
      </c>
      <c r="L106">
        <f>IF($B106="","",IF(K106=0,0,(K106-J106)/K106))</f>
        <v/>
      </c>
    </row>
    <row r="107">
      <c r="A107">
        <f>IF($B107="","",ROW()-5)</f>
        <v/>
      </c>
      <c r="D107">
        <f>IF($B107="","",IF(C107="","",TEXT(C107,"MMM")))</f>
        <v/>
      </c>
      <c r="L107">
        <f>IF($B107="","",IF(K107=0,0,(K107-J107)/K107))</f>
        <v/>
      </c>
    </row>
    <row r="108">
      <c r="A108">
        <f>IF($B108="","",ROW()-5)</f>
        <v/>
      </c>
      <c r="D108">
        <f>IF($B108="","",IF(C108="","",TEXT(C108,"MMM")))</f>
        <v/>
      </c>
      <c r="L108">
        <f>IF($B108="","",IF(K108=0,0,(K108-J108)/K108))</f>
        <v/>
      </c>
    </row>
    <row r="109">
      <c r="A109">
        <f>IF($B109="","",ROW()-5)</f>
        <v/>
      </c>
      <c r="D109">
        <f>IF($B109="","",IF(C109="","",TEXT(C109,"MMM")))</f>
        <v/>
      </c>
      <c r="L109">
        <f>IF($B109="","",IF(K109=0,0,(K109-J109)/K109))</f>
        <v/>
      </c>
    </row>
    <row r="110">
      <c r="A110">
        <f>IF($B110="","",ROW()-5)</f>
        <v/>
      </c>
      <c r="D110">
        <f>IF($B110="","",IF(C110="","",TEXT(C110,"MMM")))</f>
        <v/>
      </c>
      <c r="L110">
        <f>IF($B110="","",IF(K110=0,0,(K110-J110)/K110))</f>
        <v/>
      </c>
    </row>
    <row r="111">
      <c r="A111">
        <f>IF($B111="","",ROW()-5)</f>
        <v/>
      </c>
      <c r="D111">
        <f>IF($B111="","",IF(C111="","",TEXT(C111,"MMM")))</f>
        <v/>
      </c>
      <c r="L111">
        <f>IF($B111="","",IF(K111=0,0,(K111-J111)/K111))</f>
        <v/>
      </c>
    </row>
    <row r="112">
      <c r="A112">
        <f>IF($B112="","",ROW()-5)</f>
        <v/>
      </c>
      <c r="D112">
        <f>IF($B112="","",IF(C112="","",TEXT(C112,"MMM")))</f>
        <v/>
      </c>
      <c r="L112">
        <f>IF($B112="","",IF(K112=0,0,(K112-J112)/K112))</f>
        <v/>
      </c>
    </row>
    <row r="113">
      <c r="A113">
        <f>IF($B113="","",ROW()-5)</f>
        <v/>
      </c>
      <c r="D113">
        <f>IF($B113="","",IF(C113="","",TEXT(C113,"MMM")))</f>
        <v/>
      </c>
      <c r="L113">
        <f>IF($B113="","",IF(K113=0,0,(K113-J113)/K113))</f>
        <v/>
      </c>
    </row>
    <row r="114">
      <c r="A114">
        <f>IF($B114="","",ROW()-5)</f>
        <v/>
      </c>
      <c r="D114">
        <f>IF($B114="","",IF(C114="","",TEXT(C114,"MMM")))</f>
        <v/>
      </c>
      <c r="L114">
        <f>IF($B114="","",IF(K114=0,0,(K114-J114)/K114))</f>
        <v/>
      </c>
    </row>
    <row r="115">
      <c r="A115">
        <f>IF($B115="","",ROW()-5)</f>
        <v/>
      </c>
      <c r="D115">
        <f>IF($B115="","",IF(C115="","",TEXT(C115,"MMM")))</f>
        <v/>
      </c>
      <c r="L115">
        <f>IF($B115="","",IF(K115=0,0,(K115-J115)/K115))</f>
        <v/>
      </c>
    </row>
    <row r="116">
      <c r="A116">
        <f>IF($B116="","",ROW()-5)</f>
        <v/>
      </c>
      <c r="D116">
        <f>IF($B116="","",IF(C116="","",TEXT(C116,"MMM")))</f>
        <v/>
      </c>
      <c r="L116">
        <f>IF($B116="","",IF(K116=0,0,(K116-J116)/K116))</f>
        <v/>
      </c>
    </row>
    <row r="117">
      <c r="A117">
        <f>IF($B117="","",ROW()-5)</f>
        <v/>
      </c>
      <c r="D117">
        <f>IF($B117="","",IF(C117="","",TEXT(C117,"MMM")))</f>
        <v/>
      </c>
      <c r="L117">
        <f>IF($B117="","",IF(K117=0,0,(K117-J117)/K117))</f>
        <v/>
      </c>
    </row>
    <row r="118">
      <c r="A118">
        <f>IF($B118="","",ROW()-5)</f>
        <v/>
      </c>
      <c r="D118">
        <f>IF($B118="","",IF(C118="","",TEXT(C118,"MMM")))</f>
        <v/>
      </c>
      <c r="L118">
        <f>IF($B118="","",IF(K118=0,0,(K118-J118)/K118))</f>
        <v/>
      </c>
    </row>
    <row r="119">
      <c r="A119">
        <f>IF($B119="","",ROW()-5)</f>
        <v/>
      </c>
      <c r="D119">
        <f>IF($B119="","",IF(C119="","",TEXT(C119,"MMM")))</f>
        <v/>
      </c>
      <c r="L119">
        <f>IF($B119="","",IF(K119=0,0,(K119-J119)/K119))</f>
        <v/>
      </c>
    </row>
    <row r="120">
      <c r="A120">
        <f>IF($B120="","",ROW()-5)</f>
        <v/>
      </c>
      <c r="D120">
        <f>IF($B120="","",IF(C120="","",TEXT(C120,"MMM")))</f>
        <v/>
      </c>
      <c r="L120">
        <f>IF($B120="","",IF(K120=0,0,(K120-J120)/K120))</f>
        <v/>
      </c>
    </row>
    <row r="121">
      <c r="A121">
        <f>IF($B121="","",ROW()-5)</f>
        <v/>
      </c>
      <c r="D121">
        <f>IF($B121="","",IF(C121="","",TEXT(C121,"MMM")))</f>
        <v/>
      </c>
      <c r="L121">
        <f>IF($B121="","",IF(K121=0,0,(K121-J121)/K121))</f>
        <v/>
      </c>
    </row>
    <row r="122">
      <c r="A122">
        <f>IF($B122="","",ROW()-5)</f>
        <v/>
      </c>
      <c r="D122">
        <f>IF($B122="","",IF(C122="","",TEXT(C122,"MMM")))</f>
        <v/>
      </c>
      <c r="L122">
        <f>IF($B122="","",IF(K122=0,0,(K122-J122)/K122))</f>
        <v/>
      </c>
    </row>
    <row r="123">
      <c r="A123">
        <f>IF($B123="","",ROW()-5)</f>
        <v/>
      </c>
      <c r="D123">
        <f>IF($B123="","",IF(C123="","",TEXT(C123,"MMM")))</f>
        <v/>
      </c>
      <c r="L123">
        <f>IF($B123="","",IF(K123=0,0,(K123-J123)/K123))</f>
        <v/>
      </c>
    </row>
    <row r="124">
      <c r="A124">
        <f>IF($B124="","",ROW()-5)</f>
        <v/>
      </c>
      <c r="D124">
        <f>IF($B124="","",IF(C124="","",TEXT(C124,"MMM")))</f>
        <v/>
      </c>
      <c r="L124">
        <f>IF($B124="","",IF(K124=0,0,(K124-J124)/K124))</f>
        <v/>
      </c>
    </row>
    <row r="125">
      <c r="A125">
        <f>IF($B125="","",ROW()-5)</f>
        <v/>
      </c>
      <c r="D125">
        <f>IF($B125="","",IF(C125="","",TEXT(C125,"MMM")))</f>
        <v/>
      </c>
      <c r="L125">
        <f>IF($B125="","",IF(K125=0,0,(K125-J125)/K125))</f>
        <v/>
      </c>
    </row>
    <row r="126">
      <c r="A126">
        <f>IF($B126="","",ROW()-5)</f>
        <v/>
      </c>
      <c r="D126">
        <f>IF($B126="","",IF(C126="","",TEXT(C126,"MMM")))</f>
        <v/>
      </c>
      <c r="L126">
        <f>IF($B126="","",IF(K126=0,0,(K126-J126)/K126))</f>
        <v/>
      </c>
    </row>
    <row r="127">
      <c r="A127">
        <f>IF($B127="","",ROW()-5)</f>
        <v/>
      </c>
      <c r="D127">
        <f>IF($B127="","",IF(C127="","",TEXT(C127,"MMM")))</f>
        <v/>
      </c>
      <c r="L127">
        <f>IF($B127="","",IF(K127=0,0,(K127-J127)/K127))</f>
        <v/>
      </c>
    </row>
    <row r="128">
      <c r="A128">
        <f>IF($B128="","",ROW()-5)</f>
        <v/>
      </c>
      <c r="D128">
        <f>IF($B128="","",IF(C128="","",TEXT(C128,"MMM")))</f>
        <v/>
      </c>
      <c r="L128">
        <f>IF($B128="","",IF(K128=0,0,(K128-J128)/K128))</f>
        <v/>
      </c>
    </row>
    <row r="129">
      <c r="A129">
        <f>IF($B129="","",ROW()-5)</f>
        <v/>
      </c>
      <c r="D129">
        <f>IF($B129="","",IF(C129="","",TEXT(C129,"MMM")))</f>
        <v/>
      </c>
      <c r="L129">
        <f>IF($B129="","",IF(K129=0,0,(K129-J129)/K129))</f>
        <v/>
      </c>
    </row>
    <row r="130">
      <c r="A130">
        <f>IF($B130="","",ROW()-5)</f>
        <v/>
      </c>
      <c r="D130">
        <f>IF($B130="","",IF(C130="","",TEXT(C130,"MMM")))</f>
        <v/>
      </c>
      <c r="L130">
        <f>IF($B130="","",IF(K130=0,0,(K130-J130)/K130))</f>
        <v/>
      </c>
    </row>
    <row r="131">
      <c r="A131">
        <f>IF($B131="","",ROW()-5)</f>
        <v/>
      </c>
      <c r="D131">
        <f>IF($B131="","",IF(C131="","",TEXT(C131,"MMM")))</f>
        <v/>
      </c>
      <c r="L131">
        <f>IF($B131="","",IF(K131=0,0,(K131-J131)/K131))</f>
        <v/>
      </c>
    </row>
    <row r="132">
      <c r="A132">
        <f>IF($B132="","",ROW()-5)</f>
        <v/>
      </c>
      <c r="D132">
        <f>IF($B132="","",IF(C132="","",TEXT(C132,"MMM")))</f>
        <v/>
      </c>
      <c r="L132">
        <f>IF($B132="","",IF(K132=0,0,(K132-J132)/K132))</f>
        <v/>
      </c>
    </row>
    <row r="133">
      <c r="A133">
        <f>IF($B133="","",ROW()-5)</f>
        <v/>
      </c>
      <c r="D133">
        <f>IF($B133="","",IF(C133="","",TEXT(C133,"MMM")))</f>
        <v/>
      </c>
      <c r="L133">
        <f>IF($B133="","",IF(K133=0,0,(K133-J133)/K133))</f>
        <v/>
      </c>
    </row>
    <row r="134">
      <c r="A134">
        <f>IF($B134="","",ROW()-5)</f>
        <v/>
      </c>
      <c r="D134">
        <f>IF($B134="","",IF(C134="","",TEXT(C134,"MMM")))</f>
        <v/>
      </c>
      <c r="L134">
        <f>IF($B134="","",IF(K134=0,0,(K134-J134)/K134))</f>
        <v/>
      </c>
    </row>
    <row r="135">
      <c r="A135">
        <f>IF($B135="","",ROW()-5)</f>
        <v/>
      </c>
      <c r="D135">
        <f>IF($B135="","",IF(C135="","",TEXT(C135,"MMM")))</f>
        <v/>
      </c>
      <c r="L135">
        <f>IF($B135="","",IF(K135=0,0,(K135-J135)/K135))</f>
        <v/>
      </c>
    </row>
    <row r="136">
      <c r="A136">
        <f>IF($B136="","",ROW()-5)</f>
        <v/>
      </c>
      <c r="D136">
        <f>IF($B136="","",IF(C136="","",TEXT(C136,"MMM")))</f>
        <v/>
      </c>
      <c r="L136">
        <f>IF($B136="","",IF(K136=0,0,(K136-J136)/K136))</f>
        <v/>
      </c>
    </row>
    <row r="137">
      <c r="A137">
        <f>IF($B137="","",ROW()-5)</f>
        <v/>
      </c>
      <c r="D137">
        <f>IF($B137="","",IF(C137="","",TEXT(C137,"MMM")))</f>
        <v/>
      </c>
      <c r="L137">
        <f>IF($B137="","",IF(K137=0,0,(K137-J137)/K137))</f>
        <v/>
      </c>
    </row>
    <row r="138">
      <c r="A138">
        <f>IF($B138="","",ROW()-5)</f>
        <v/>
      </c>
      <c r="D138">
        <f>IF($B138="","",IF(C138="","",TEXT(C138,"MMM")))</f>
        <v/>
      </c>
      <c r="L138">
        <f>IF($B138="","",IF(K138=0,0,(K138-J138)/K138))</f>
        <v/>
      </c>
    </row>
    <row r="139">
      <c r="A139">
        <f>IF($B139="","",ROW()-5)</f>
        <v/>
      </c>
      <c r="D139">
        <f>IF($B139="","",IF(C139="","",TEXT(C139,"MMM")))</f>
        <v/>
      </c>
      <c r="L139">
        <f>IF($B139="","",IF(K139=0,0,(K139-J139)/K139))</f>
        <v/>
      </c>
    </row>
    <row r="140">
      <c r="A140">
        <f>IF($B140="","",ROW()-5)</f>
        <v/>
      </c>
      <c r="D140">
        <f>IF($B140="","",IF(C140="","",TEXT(C140,"MMM")))</f>
        <v/>
      </c>
      <c r="L140">
        <f>IF($B140="","",IF(K140=0,0,(K140-J140)/K140))</f>
        <v/>
      </c>
    </row>
    <row r="141">
      <c r="A141">
        <f>IF($B141="","",ROW()-5)</f>
        <v/>
      </c>
      <c r="D141">
        <f>IF($B141="","",IF(C141="","",TEXT(C141,"MMM")))</f>
        <v/>
      </c>
      <c r="L141">
        <f>IF($B141="","",IF(K141=0,0,(K141-J141)/K141))</f>
        <v/>
      </c>
    </row>
    <row r="142">
      <c r="A142">
        <f>IF($B142="","",ROW()-5)</f>
        <v/>
      </c>
      <c r="D142">
        <f>IF($B142="","",IF(C142="","",TEXT(C142,"MMM")))</f>
        <v/>
      </c>
      <c r="L142">
        <f>IF($B142="","",IF(K142=0,0,(K142-J142)/K142))</f>
        <v/>
      </c>
    </row>
    <row r="143">
      <c r="A143">
        <f>IF($B143="","",ROW()-5)</f>
        <v/>
      </c>
      <c r="D143">
        <f>IF($B143="","",IF(C143="","",TEXT(C143,"MMM")))</f>
        <v/>
      </c>
      <c r="L143">
        <f>IF($B143="","",IF(K143=0,0,(K143-J143)/K143))</f>
        <v/>
      </c>
    </row>
    <row r="144">
      <c r="A144">
        <f>IF($B144="","",ROW()-5)</f>
        <v/>
      </c>
      <c r="D144">
        <f>IF($B144="","",IF(C144="","",TEXT(C144,"MMM")))</f>
        <v/>
      </c>
      <c r="L144">
        <f>IF($B144="","",IF(K144=0,0,(K144-J144)/K144))</f>
        <v/>
      </c>
    </row>
    <row r="145">
      <c r="A145">
        <f>IF($B145="","",ROW()-5)</f>
        <v/>
      </c>
      <c r="D145">
        <f>IF($B145="","",IF(C145="","",TEXT(C145,"MMM")))</f>
        <v/>
      </c>
      <c r="L145">
        <f>IF($B145="","",IF(K145=0,0,(K145-J145)/K145))</f>
        <v/>
      </c>
    </row>
    <row r="146">
      <c r="A146">
        <f>IF($B146="","",ROW()-5)</f>
        <v/>
      </c>
      <c r="D146">
        <f>IF($B146="","",IF(C146="","",TEXT(C146,"MMM")))</f>
        <v/>
      </c>
      <c r="L146">
        <f>IF($B146="","",IF(K146=0,0,(K146-J146)/K146))</f>
        <v/>
      </c>
    </row>
    <row r="147">
      <c r="A147">
        <f>IF($B147="","",ROW()-5)</f>
        <v/>
      </c>
      <c r="D147">
        <f>IF($B147="","",IF(C147="","",TEXT(C147,"MMM")))</f>
        <v/>
      </c>
      <c r="L147">
        <f>IF($B147="","",IF(K147=0,0,(K147-J147)/K147))</f>
        <v/>
      </c>
    </row>
    <row r="148">
      <c r="A148">
        <f>IF($B148="","",ROW()-5)</f>
        <v/>
      </c>
      <c r="D148">
        <f>IF($B148="","",IF(C148="","",TEXT(C148,"MMM")))</f>
        <v/>
      </c>
      <c r="L148">
        <f>IF($B148="","",IF(K148=0,0,(K148-J148)/K148))</f>
        <v/>
      </c>
    </row>
    <row r="149">
      <c r="A149">
        <f>IF($B149="","",ROW()-5)</f>
        <v/>
      </c>
      <c r="D149">
        <f>IF($B149="","",IF(C149="","",TEXT(C149,"MMM")))</f>
        <v/>
      </c>
      <c r="L149">
        <f>IF($B149="","",IF(K149=0,0,(K149-J149)/K149))</f>
        <v/>
      </c>
    </row>
    <row r="150">
      <c r="A150">
        <f>IF($B150="","",ROW()-5)</f>
        <v/>
      </c>
      <c r="D150">
        <f>IF($B150="","",IF(C150="","",TEXT(C150,"MMM")))</f>
        <v/>
      </c>
      <c r="L150">
        <f>IF($B150="","",IF(K150=0,0,(K150-J150)/K150))</f>
        <v/>
      </c>
    </row>
    <row r="151">
      <c r="A151">
        <f>IF($B151="","",ROW()-5)</f>
        <v/>
      </c>
      <c r="D151">
        <f>IF($B151="","",IF(C151="","",TEXT(C151,"MMM")))</f>
        <v/>
      </c>
      <c r="L151">
        <f>IF($B151="","",IF(K151=0,0,(K151-J151)/K151))</f>
        <v/>
      </c>
    </row>
    <row r="152">
      <c r="A152">
        <f>IF($B152="","",ROW()-5)</f>
        <v/>
      </c>
      <c r="D152">
        <f>IF($B152="","",IF(C152="","",TEXT(C152,"MMM")))</f>
        <v/>
      </c>
      <c r="L152">
        <f>IF($B152="","",IF(K152=0,0,(K152-J152)/K152))</f>
        <v/>
      </c>
    </row>
    <row r="153">
      <c r="A153">
        <f>IF($B153="","",ROW()-5)</f>
        <v/>
      </c>
      <c r="D153">
        <f>IF($B153="","",IF(C153="","",TEXT(C153,"MMM")))</f>
        <v/>
      </c>
      <c r="L153">
        <f>IF($B153="","",IF(K153=0,0,(K153-J153)/K153))</f>
        <v/>
      </c>
    </row>
    <row r="154">
      <c r="A154">
        <f>IF($B154="","",ROW()-5)</f>
        <v/>
      </c>
      <c r="D154">
        <f>IF($B154="","",IF(C154="","",TEXT(C154,"MMM")))</f>
        <v/>
      </c>
      <c r="L154">
        <f>IF($B154="","",IF(K154=0,0,(K154-J154)/K154))</f>
        <v/>
      </c>
    </row>
    <row r="155">
      <c r="A155">
        <f>IF($B155="","",ROW()-5)</f>
        <v/>
      </c>
      <c r="D155">
        <f>IF($B155="","",IF(C155="","",TEXT(C155,"MMM")))</f>
        <v/>
      </c>
      <c r="L155">
        <f>IF($B155="","",IF(K155=0,0,(K155-J155)/K155))</f>
        <v/>
      </c>
    </row>
    <row r="156">
      <c r="A156">
        <f>IF($B156="","",ROW()-5)</f>
        <v/>
      </c>
      <c r="D156">
        <f>IF($B156="","",IF(C156="","",TEXT(C156,"MMM")))</f>
        <v/>
      </c>
      <c r="L156">
        <f>IF($B156="","",IF(K156=0,0,(K156-J156)/K156))</f>
        <v/>
      </c>
    </row>
    <row r="157">
      <c r="A157">
        <f>IF($B157="","",ROW()-5)</f>
        <v/>
      </c>
      <c r="D157">
        <f>IF($B157="","",IF(C157="","",TEXT(C157,"MMM")))</f>
        <v/>
      </c>
      <c r="L157">
        <f>IF($B157="","",IF(K157=0,0,(K157-J157)/K157))</f>
        <v/>
      </c>
    </row>
    <row r="158">
      <c r="A158">
        <f>IF($B158="","",ROW()-5)</f>
        <v/>
      </c>
      <c r="D158">
        <f>IF($B158="","",IF(C158="","",TEXT(C158,"MMM")))</f>
        <v/>
      </c>
      <c r="L158">
        <f>IF($B158="","",IF(K158=0,0,(K158-J158)/K158))</f>
        <v/>
      </c>
    </row>
    <row r="159">
      <c r="A159">
        <f>IF($B159="","",ROW()-5)</f>
        <v/>
      </c>
      <c r="D159">
        <f>IF($B159="","",IF(C159="","",TEXT(C159,"MMM")))</f>
        <v/>
      </c>
      <c r="L159">
        <f>IF($B159="","",IF(K159=0,0,(K159-J159)/K159))</f>
        <v/>
      </c>
    </row>
    <row r="160">
      <c r="A160">
        <f>IF($B160="","",ROW()-5)</f>
        <v/>
      </c>
      <c r="D160">
        <f>IF($B160="","",IF(C160="","",TEXT(C160,"MMM")))</f>
        <v/>
      </c>
      <c r="L160">
        <f>IF($B160="","",IF(K160=0,0,(K160-J160)/K160))</f>
        <v/>
      </c>
    </row>
    <row r="161">
      <c r="A161">
        <f>IF($B161="","",ROW()-5)</f>
        <v/>
      </c>
      <c r="D161">
        <f>IF($B161="","",IF(C161="","",TEXT(C161,"MMM")))</f>
        <v/>
      </c>
      <c r="L161">
        <f>IF($B161="","",IF(K161=0,0,(K161-J161)/K161))</f>
        <v/>
      </c>
    </row>
    <row r="162">
      <c r="A162">
        <f>IF($B162="","",ROW()-5)</f>
        <v/>
      </c>
      <c r="D162">
        <f>IF($B162="","",IF(C162="","",TEXT(C162,"MMM")))</f>
        <v/>
      </c>
      <c r="L162">
        <f>IF($B162="","",IF(K162=0,0,(K162-J162)/K162))</f>
        <v/>
      </c>
    </row>
    <row r="163">
      <c r="A163">
        <f>IF($B163="","",ROW()-5)</f>
        <v/>
      </c>
      <c r="D163">
        <f>IF($B163="","",IF(C163="","",TEXT(C163,"MMM")))</f>
        <v/>
      </c>
      <c r="L163">
        <f>IF($B163="","",IF(K163=0,0,(K163-J163)/K163))</f>
        <v/>
      </c>
    </row>
    <row r="164">
      <c r="A164">
        <f>IF($B164="","",ROW()-5)</f>
        <v/>
      </c>
      <c r="D164">
        <f>IF($B164="","",IF(C164="","",TEXT(C164,"MMM")))</f>
        <v/>
      </c>
      <c r="L164">
        <f>IF($B164="","",IF(K164=0,0,(K164-J164)/K164))</f>
        <v/>
      </c>
    </row>
    <row r="165">
      <c r="A165">
        <f>IF($B165="","",ROW()-5)</f>
        <v/>
      </c>
      <c r="D165">
        <f>IF($B165="","",IF(C165="","",TEXT(C165,"MMM")))</f>
        <v/>
      </c>
      <c r="L165">
        <f>IF($B165="","",IF(K165=0,0,(K165-J165)/K165))</f>
        <v/>
      </c>
    </row>
    <row r="166">
      <c r="A166">
        <f>IF($B166="","",ROW()-5)</f>
        <v/>
      </c>
      <c r="D166">
        <f>IF($B166="","",IF(C166="","",TEXT(C166,"MMM")))</f>
        <v/>
      </c>
      <c r="L166">
        <f>IF($B166="","",IF(K166=0,0,(K166-J166)/K166))</f>
        <v/>
      </c>
    </row>
    <row r="167">
      <c r="A167">
        <f>IF($B167="","",ROW()-5)</f>
        <v/>
      </c>
      <c r="D167">
        <f>IF($B167="","",IF(C167="","",TEXT(C167,"MMM")))</f>
        <v/>
      </c>
      <c r="L167">
        <f>IF($B167="","",IF(K167=0,0,(K167-J167)/K167))</f>
        <v/>
      </c>
    </row>
    <row r="168">
      <c r="A168">
        <f>IF($B168="","",ROW()-5)</f>
        <v/>
      </c>
      <c r="D168">
        <f>IF($B168="","",IF(C168="","",TEXT(C168,"MMM")))</f>
        <v/>
      </c>
      <c r="L168">
        <f>IF($B168="","",IF(K168=0,0,(K168-J168)/K168))</f>
        <v/>
      </c>
    </row>
    <row r="169">
      <c r="A169">
        <f>IF($B169="","",ROW()-5)</f>
        <v/>
      </c>
      <c r="D169">
        <f>IF($B169="","",IF(C169="","",TEXT(C169,"MMM")))</f>
        <v/>
      </c>
      <c r="L169">
        <f>IF($B169="","",IF(K169=0,0,(K169-J169)/K169))</f>
        <v/>
      </c>
    </row>
    <row r="170">
      <c r="A170">
        <f>IF($B170="","",ROW()-5)</f>
        <v/>
      </c>
      <c r="D170">
        <f>IF($B170="","",IF(C170="","",TEXT(C170,"MMM")))</f>
        <v/>
      </c>
      <c r="L170">
        <f>IF($B170="","",IF(K170=0,0,(K170-J170)/K170))</f>
        <v/>
      </c>
    </row>
    <row r="171">
      <c r="A171">
        <f>IF($B171="","",ROW()-5)</f>
        <v/>
      </c>
      <c r="D171">
        <f>IF($B171="","",IF(C171="","",TEXT(C171,"MMM")))</f>
        <v/>
      </c>
      <c r="L171">
        <f>IF($B171="","",IF(K171=0,0,(K171-J171)/K171))</f>
        <v/>
      </c>
    </row>
    <row r="172">
      <c r="A172">
        <f>IF($B172="","",ROW()-5)</f>
        <v/>
      </c>
      <c r="D172">
        <f>IF($B172="","",IF(C172="","",TEXT(C172,"MMM")))</f>
        <v/>
      </c>
      <c r="L172">
        <f>IF($B172="","",IF(K172=0,0,(K172-J172)/K172))</f>
        <v/>
      </c>
    </row>
    <row r="173">
      <c r="A173">
        <f>IF($B173="","",ROW()-5)</f>
        <v/>
      </c>
      <c r="D173">
        <f>IF($B173="","",IF(C173="","",TEXT(C173,"MMM")))</f>
        <v/>
      </c>
      <c r="L173">
        <f>IF($B173="","",IF(K173=0,0,(K173-J173)/K173))</f>
        <v/>
      </c>
    </row>
    <row r="174">
      <c r="A174">
        <f>IF($B174="","",ROW()-5)</f>
        <v/>
      </c>
      <c r="D174">
        <f>IF($B174="","",IF(C174="","",TEXT(C174,"MMM")))</f>
        <v/>
      </c>
      <c r="L174">
        <f>IF($B174="","",IF(K174=0,0,(K174-J174)/K174))</f>
        <v/>
      </c>
    </row>
    <row r="175">
      <c r="A175">
        <f>IF($B175="","",ROW()-5)</f>
        <v/>
      </c>
      <c r="D175">
        <f>IF($B175="","",IF(C175="","",TEXT(C175,"MMM")))</f>
        <v/>
      </c>
      <c r="L175">
        <f>IF($B175="","",IF(K175=0,0,(K175-J175)/K175))</f>
        <v/>
      </c>
    </row>
    <row r="176">
      <c r="A176">
        <f>IF($B176="","",ROW()-5)</f>
        <v/>
      </c>
      <c r="D176">
        <f>IF($B176="","",IF(C176="","",TEXT(C176,"MMM")))</f>
        <v/>
      </c>
      <c r="L176">
        <f>IF($B176="","",IF(K176=0,0,(K176-J176)/K176))</f>
        <v/>
      </c>
    </row>
    <row r="177">
      <c r="A177">
        <f>IF($B177="","",ROW()-5)</f>
        <v/>
      </c>
      <c r="D177">
        <f>IF($B177="","",IF(C177="","",TEXT(C177,"MMM")))</f>
        <v/>
      </c>
      <c r="L177">
        <f>IF($B177="","",IF(K177=0,0,(K177-J177)/K177))</f>
        <v/>
      </c>
    </row>
    <row r="178">
      <c r="A178">
        <f>IF($B178="","",ROW()-5)</f>
        <v/>
      </c>
      <c r="D178">
        <f>IF($B178="","",IF(C178="","",TEXT(C178,"MMM")))</f>
        <v/>
      </c>
      <c r="L178">
        <f>IF($B178="","",IF(K178=0,0,(K178-J178)/K178))</f>
        <v/>
      </c>
    </row>
    <row r="179">
      <c r="A179">
        <f>IF($B179="","",ROW()-5)</f>
        <v/>
      </c>
      <c r="D179">
        <f>IF($B179="","",IF(C179="","",TEXT(C179,"MMM")))</f>
        <v/>
      </c>
      <c r="L179">
        <f>IF($B179="","",IF(K179=0,0,(K179-J179)/K179))</f>
        <v/>
      </c>
    </row>
    <row r="180">
      <c r="A180">
        <f>IF($B180="","",ROW()-5)</f>
        <v/>
      </c>
      <c r="D180">
        <f>IF($B180="","",IF(C180="","",TEXT(C180,"MMM")))</f>
        <v/>
      </c>
      <c r="L180">
        <f>IF($B180="","",IF(K180=0,0,(K180-J180)/K180))</f>
        <v/>
      </c>
    </row>
    <row r="181">
      <c r="A181">
        <f>IF($B181="","",ROW()-5)</f>
        <v/>
      </c>
      <c r="D181">
        <f>IF($B181="","",IF(C181="","",TEXT(C181,"MMM")))</f>
        <v/>
      </c>
      <c r="L181">
        <f>IF($B181="","",IF(K181=0,0,(K181-J181)/K181))</f>
        <v/>
      </c>
    </row>
    <row r="182">
      <c r="A182">
        <f>IF($B182="","",ROW()-5)</f>
        <v/>
      </c>
      <c r="D182">
        <f>IF($B182="","",IF(C182="","",TEXT(C182,"MMM")))</f>
        <v/>
      </c>
      <c r="L182">
        <f>IF($B182="","",IF(K182=0,0,(K182-J182)/K182))</f>
        <v/>
      </c>
    </row>
    <row r="183">
      <c r="A183">
        <f>IF($B183="","",ROW()-5)</f>
        <v/>
      </c>
      <c r="D183">
        <f>IF($B183="","",IF(C183="","",TEXT(C183,"MMM")))</f>
        <v/>
      </c>
      <c r="L183">
        <f>IF($B183="","",IF(K183=0,0,(K183-J183)/K183))</f>
        <v/>
      </c>
    </row>
    <row r="184">
      <c r="A184">
        <f>IF($B184="","",ROW()-5)</f>
        <v/>
      </c>
      <c r="D184">
        <f>IF($B184="","",IF(C184="","",TEXT(C184,"MMM")))</f>
        <v/>
      </c>
      <c r="L184">
        <f>IF($B184="","",IF(K184=0,0,(K184-J184)/K184))</f>
        <v/>
      </c>
    </row>
    <row r="185">
      <c r="A185">
        <f>IF($B185="","",ROW()-5)</f>
        <v/>
      </c>
      <c r="D185">
        <f>IF($B185="","",IF(C185="","",TEXT(C185,"MMM")))</f>
        <v/>
      </c>
      <c r="L185">
        <f>IF($B185="","",IF(K185=0,0,(K185-J185)/K185))</f>
        <v/>
      </c>
    </row>
    <row r="186">
      <c r="A186">
        <f>IF($B186="","",ROW()-5)</f>
        <v/>
      </c>
      <c r="D186">
        <f>IF($B186="","",IF(C186="","",TEXT(C186,"MMM")))</f>
        <v/>
      </c>
      <c r="L186">
        <f>IF($B186="","",IF(K186=0,0,(K186-J186)/K186))</f>
        <v/>
      </c>
    </row>
    <row r="187">
      <c r="A187">
        <f>IF($B187="","",ROW()-5)</f>
        <v/>
      </c>
      <c r="D187">
        <f>IF($B187="","",IF(C187="","",TEXT(C187,"MMM")))</f>
        <v/>
      </c>
      <c r="L187">
        <f>IF($B187="","",IF(K187=0,0,(K187-J187)/K187))</f>
        <v/>
      </c>
    </row>
    <row r="188">
      <c r="A188">
        <f>IF($B188="","",ROW()-5)</f>
        <v/>
      </c>
      <c r="D188">
        <f>IF($B188="","",IF(C188="","",TEXT(C188,"MMM")))</f>
        <v/>
      </c>
      <c r="L188">
        <f>IF($B188="","",IF(K188=0,0,(K188-J188)/K188))</f>
        <v/>
      </c>
    </row>
    <row r="189">
      <c r="A189">
        <f>IF($B189="","",ROW()-5)</f>
        <v/>
      </c>
      <c r="D189">
        <f>IF($B189="","",IF(C189="","",TEXT(C189,"MMM")))</f>
        <v/>
      </c>
      <c r="L189">
        <f>IF($B189="","",IF(K189=0,0,(K189-J189)/K189))</f>
        <v/>
      </c>
    </row>
    <row r="190">
      <c r="A190">
        <f>IF($B190="","",ROW()-5)</f>
        <v/>
      </c>
      <c r="D190">
        <f>IF($B190="","",IF(C190="","",TEXT(C190,"MMM")))</f>
        <v/>
      </c>
      <c r="L190">
        <f>IF($B190="","",IF(K190=0,0,(K190-J190)/K190))</f>
        <v/>
      </c>
    </row>
    <row r="191">
      <c r="A191">
        <f>IF($B191="","",ROW()-5)</f>
        <v/>
      </c>
      <c r="D191">
        <f>IF($B191="","",IF(C191="","",TEXT(C191,"MMM")))</f>
        <v/>
      </c>
      <c r="L191">
        <f>IF($B191="","",IF(K191=0,0,(K191-J191)/K191))</f>
        <v/>
      </c>
    </row>
    <row r="192">
      <c r="A192">
        <f>IF($B192="","",ROW()-5)</f>
        <v/>
      </c>
      <c r="D192">
        <f>IF($B192="","",IF(C192="","",TEXT(C192,"MMM")))</f>
        <v/>
      </c>
      <c r="L192">
        <f>IF($B192="","",IF(K192=0,0,(K192-J192)/K192))</f>
        <v/>
      </c>
    </row>
    <row r="193">
      <c r="A193">
        <f>IF($B193="","",ROW()-5)</f>
        <v/>
      </c>
      <c r="D193">
        <f>IF($B193="","",IF(C193="","",TEXT(C193,"MMM")))</f>
        <v/>
      </c>
      <c r="L193">
        <f>IF($B193="","",IF(K193=0,0,(K193-J193)/K193))</f>
        <v/>
      </c>
    </row>
    <row r="194">
      <c r="A194">
        <f>IF($B194="","",ROW()-5)</f>
        <v/>
      </c>
      <c r="D194">
        <f>IF($B194="","",IF(C194="","",TEXT(C194,"MMM")))</f>
        <v/>
      </c>
      <c r="L194">
        <f>IF($B194="","",IF(K194=0,0,(K194-J194)/K194))</f>
        <v/>
      </c>
    </row>
    <row r="195">
      <c r="A195">
        <f>IF($B195="","",ROW()-5)</f>
        <v/>
      </c>
      <c r="D195">
        <f>IF($B195="","",IF(C195="","",TEXT(C195,"MMM")))</f>
        <v/>
      </c>
      <c r="L195">
        <f>IF($B195="","",IF(K195=0,0,(K195-J195)/K195))</f>
        <v/>
      </c>
    </row>
    <row r="196">
      <c r="A196">
        <f>IF($B196="","",ROW()-5)</f>
        <v/>
      </c>
      <c r="D196">
        <f>IF($B196="","",IF(C196="","",TEXT(C196,"MMM")))</f>
        <v/>
      </c>
      <c r="L196">
        <f>IF($B196="","",IF(K196=0,0,(K196-J196)/K196))</f>
        <v/>
      </c>
    </row>
    <row r="197">
      <c r="A197">
        <f>IF($B197="","",ROW()-5)</f>
        <v/>
      </c>
      <c r="D197">
        <f>IF($B197="","",IF(C197="","",TEXT(C197,"MMM")))</f>
        <v/>
      </c>
      <c r="L197">
        <f>IF($B197="","",IF(K197=0,0,(K197-J197)/K197))</f>
        <v/>
      </c>
    </row>
    <row r="198">
      <c r="A198">
        <f>IF($B198="","",ROW()-5)</f>
        <v/>
      </c>
      <c r="D198">
        <f>IF($B198="","",IF(C198="","",TEXT(C198,"MMM")))</f>
        <v/>
      </c>
      <c r="L198">
        <f>IF($B198="","",IF(K198=0,0,(K198-J198)/K198))</f>
        <v/>
      </c>
    </row>
    <row r="199">
      <c r="A199">
        <f>IF($B199="","",ROW()-5)</f>
        <v/>
      </c>
      <c r="D199">
        <f>IF($B199="","",IF(C199="","",TEXT(C199,"MMM")))</f>
        <v/>
      </c>
      <c r="L199">
        <f>IF($B199="","",IF(K199=0,0,(K199-J199)/K199))</f>
        <v/>
      </c>
    </row>
    <row r="200">
      <c r="A200">
        <f>IF($B200="","",ROW()-5)</f>
        <v/>
      </c>
      <c r="D200">
        <f>IF($B200="","",IF(C200="","",TEXT(C200,"MMM")))</f>
        <v/>
      </c>
      <c r="L200">
        <f>IF($B200="","",IF(K200=0,0,(K200-J200)/K200))</f>
        <v/>
      </c>
    </row>
    <row r="201">
      <c r="A201">
        <f>IF($B201="","",ROW()-5)</f>
        <v/>
      </c>
      <c r="D201">
        <f>IF($B201="","",IF(C201="","",TEXT(C201,"MMM")))</f>
        <v/>
      </c>
      <c r="L201">
        <f>IF($B201="","",IF(K201=0,0,(K201-J201)/K201))</f>
        <v/>
      </c>
    </row>
    <row r="202">
      <c r="A202">
        <f>IF($B202="","",ROW()-5)</f>
        <v/>
      </c>
      <c r="D202">
        <f>IF($B202="","",IF(C202="","",TEXT(C202,"MMM")))</f>
        <v/>
      </c>
      <c r="L202">
        <f>IF($B202="","",IF(K202=0,0,(K202-J202)/K202))</f>
        <v/>
      </c>
    </row>
    <row r="203">
      <c r="A203">
        <f>IF($B203="","",ROW()-5)</f>
        <v/>
      </c>
      <c r="D203">
        <f>IF($B203="","",IF(C203="","",TEXT(C203,"MMM")))</f>
        <v/>
      </c>
      <c r="L203">
        <f>IF($B203="","",IF(K203=0,0,(K203-J203)/K203))</f>
        <v/>
      </c>
    </row>
    <row r="204">
      <c r="A204">
        <f>IF($B204="","",ROW()-5)</f>
        <v/>
      </c>
      <c r="D204">
        <f>IF($B204="","",IF(C204="","",TEXT(C204,"MMM")))</f>
        <v/>
      </c>
      <c r="L204">
        <f>IF($B204="","",IF(K204=0,0,(K204-J204)/K204))</f>
        <v/>
      </c>
    </row>
    <row r="205">
      <c r="A205">
        <f>IF($B205="","",ROW()-5)</f>
        <v/>
      </c>
      <c r="D205">
        <f>IF($B205="","",IF(C205="","",TEXT(C205,"MMM")))</f>
        <v/>
      </c>
      <c r="L205">
        <f>IF($B205="","",IF(K205=0,0,(K205-J205)/K205))</f>
        <v/>
      </c>
    </row>
    <row r="206">
      <c r="A206">
        <f>IF($B206="","",ROW()-5)</f>
        <v/>
      </c>
      <c r="D206">
        <f>IF($B206="","",IF(C206="","",TEXT(C206,"MMM")))</f>
        <v/>
      </c>
      <c r="L206">
        <f>IF($B206="","",IF(K206=0,0,(K206-J206)/K206))</f>
        <v/>
      </c>
    </row>
    <row r="207">
      <c r="A207">
        <f>IF($B207="","",ROW()-5)</f>
        <v/>
      </c>
      <c r="D207">
        <f>IF($B207="","",IF(C207="","",TEXT(C207,"MMM")))</f>
        <v/>
      </c>
      <c r="L207">
        <f>IF($B207="","",IF(K207=0,0,(K207-J207)/K207))</f>
        <v/>
      </c>
    </row>
    <row r="208">
      <c r="A208">
        <f>IF($B208="","",ROW()-5)</f>
        <v/>
      </c>
      <c r="D208">
        <f>IF($B208="","",IF(C208="","",TEXT(C208,"MMM")))</f>
        <v/>
      </c>
      <c r="L208">
        <f>IF($B208="","",IF(K208=0,0,(K208-J208)/K208))</f>
        <v/>
      </c>
    </row>
    <row r="209">
      <c r="A209">
        <f>IF($B209="","",ROW()-5)</f>
        <v/>
      </c>
      <c r="D209">
        <f>IF($B209="","",IF(C209="","",TEXT(C209,"MMM")))</f>
        <v/>
      </c>
      <c r="L209">
        <f>IF($B209="","",IF(K209=0,0,(K209-J209)/K209))</f>
        <v/>
      </c>
    </row>
    <row r="210">
      <c r="A210">
        <f>IF($B210="","",ROW()-5)</f>
        <v/>
      </c>
      <c r="D210">
        <f>IF($B210="","",IF(C210="","",TEXT(C210,"MMM")))</f>
        <v/>
      </c>
      <c r="L210">
        <f>IF($B210="","",IF(K210=0,0,(K210-J210)/K210))</f>
        <v/>
      </c>
    </row>
    <row r="211">
      <c r="A211">
        <f>IF($B211="","",ROW()-5)</f>
        <v/>
      </c>
      <c r="D211">
        <f>IF($B211="","",IF(C211="","",TEXT(C211,"MMM")))</f>
        <v/>
      </c>
      <c r="L211">
        <f>IF($B211="","",IF(K211=0,0,(K211-J211)/K211))</f>
        <v/>
      </c>
    </row>
    <row r="212">
      <c r="A212">
        <f>IF($B212="","",ROW()-5)</f>
        <v/>
      </c>
      <c r="D212">
        <f>IF($B212="","",IF(C212="","",TEXT(C212,"MMM")))</f>
        <v/>
      </c>
      <c r="L212">
        <f>IF($B212="","",IF(K212=0,0,(K212-J212)/K212))</f>
        <v/>
      </c>
    </row>
    <row r="213">
      <c r="A213">
        <f>IF($B213="","",ROW()-5)</f>
        <v/>
      </c>
      <c r="D213">
        <f>IF($B213="","",IF(C213="","",TEXT(C213,"MMM")))</f>
        <v/>
      </c>
      <c r="L213">
        <f>IF($B213="","",IF(K213=0,0,(K213-J213)/K213))</f>
        <v/>
      </c>
    </row>
    <row r="214">
      <c r="A214">
        <f>IF($B214="","",ROW()-5)</f>
        <v/>
      </c>
      <c r="D214">
        <f>IF($B214="","",IF(C214="","",TEXT(C214,"MMM")))</f>
        <v/>
      </c>
      <c r="L214">
        <f>IF($B214="","",IF(K214=0,0,(K214-J214)/K214))</f>
        <v/>
      </c>
    </row>
    <row r="215">
      <c r="A215">
        <f>IF($B215="","",ROW()-5)</f>
        <v/>
      </c>
      <c r="D215">
        <f>IF($B215="","",IF(C215="","",TEXT(C215,"MMM")))</f>
        <v/>
      </c>
      <c r="L215">
        <f>IF($B215="","",IF(K215=0,0,(K215-J215)/K215))</f>
        <v/>
      </c>
    </row>
    <row r="216">
      <c r="A216">
        <f>IF($B216="","",ROW()-5)</f>
        <v/>
      </c>
      <c r="D216">
        <f>IF($B216="","",IF(C216="","",TEXT(C216,"MMM")))</f>
        <v/>
      </c>
      <c r="L216">
        <f>IF($B216="","",IF(K216=0,0,(K216-J216)/K216))</f>
        <v/>
      </c>
    </row>
    <row r="217">
      <c r="A217">
        <f>IF($B217="","",ROW()-5)</f>
        <v/>
      </c>
      <c r="D217">
        <f>IF($B217="","",IF(C217="","",TEXT(C217,"MMM")))</f>
        <v/>
      </c>
      <c r="L217">
        <f>IF($B217="","",IF(K217=0,0,(K217-J217)/K217))</f>
        <v/>
      </c>
    </row>
    <row r="218">
      <c r="A218">
        <f>IF($B218="","",ROW()-5)</f>
        <v/>
      </c>
      <c r="D218">
        <f>IF($B218="","",IF(C218="","",TEXT(C218,"MMM")))</f>
        <v/>
      </c>
      <c r="L218">
        <f>IF($B218="","",IF(K218=0,0,(K218-J218)/K218))</f>
        <v/>
      </c>
    </row>
    <row r="219">
      <c r="A219">
        <f>IF($B219="","",ROW()-5)</f>
        <v/>
      </c>
      <c r="D219">
        <f>IF($B219="","",IF(C219="","",TEXT(C219,"MMM")))</f>
        <v/>
      </c>
      <c r="L219">
        <f>IF($B219="","",IF(K219=0,0,(K219-J219)/K219))</f>
        <v/>
      </c>
    </row>
    <row r="220">
      <c r="A220">
        <f>IF($B220="","",ROW()-5)</f>
        <v/>
      </c>
      <c r="D220">
        <f>IF($B220="","",IF(C220="","",TEXT(C220,"MMM")))</f>
        <v/>
      </c>
      <c r="L220">
        <f>IF($B220="","",IF(K220=0,0,(K220-J220)/K220))</f>
        <v/>
      </c>
    </row>
    <row r="221">
      <c r="A221">
        <f>IF($B221="","",ROW()-5)</f>
        <v/>
      </c>
      <c r="D221">
        <f>IF($B221="","",IF(C221="","",TEXT(C221,"MMM")))</f>
        <v/>
      </c>
      <c r="L221">
        <f>IF($B221="","",IF(K221=0,0,(K221-J221)/K221))</f>
        <v/>
      </c>
    </row>
    <row r="222">
      <c r="A222">
        <f>IF($B222="","",ROW()-5)</f>
        <v/>
      </c>
      <c r="D222">
        <f>IF($B222="","",IF(C222="","",TEXT(C222,"MMM")))</f>
        <v/>
      </c>
      <c r="L222">
        <f>IF($B222="","",IF(K222=0,0,(K222-J222)/K222))</f>
        <v/>
      </c>
    </row>
    <row r="223">
      <c r="A223">
        <f>IF($B223="","",ROW()-5)</f>
        <v/>
      </c>
      <c r="D223">
        <f>IF($B223="","",IF(C223="","",TEXT(C223,"MMM")))</f>
        <v/>
      </c>
      <c r="L223">
        <f>IF($B223="","",IF(K223=0,0,(K223-J223)/K223))</f>
        <v/>
      </c>
    </row>
    <row r="224">
      <c r="A224">
        <f>IF($B224="","",ROW()-5)</f>
        <v/>
      </c>
      <c r="D224">
        <f>IF($B224="","",IF(C224="","",TEXT(C224,"MMM")))</f>
        <v/>
      </c>
      <c r="L224">
        <f>IF($B224="","",IF(K224=0,0,(K224-J224)/K224))</f>
        <v/>
      </c>
    </row>
    <row r="225">
      <c r="A225">
        <f>IF($B225="","",ROW()-5)</f>
        <v/>
      </c>
      <c r="D225">
        <f>IF($B225="","",IF(C225="","",TEXT(C225,"MMM")))</f>
        <v/>
      </c>
      <c r="L225">
        <f>IF($B225="","",IF(K225=0,0,(K225-J225)/K225))</f>
        <v/>
      </c>
    </row>
    <row r="226">
      <c r="A226">
        <f>IF($B226="","",ROW()-5)</f>
        <v/>
      </c>
      <c r="D226">
        <f>IF($B226="","",IF(C226="","",TEXT(C226,"MMM")))</f>
        <v/>
      </c>
      <c r="L226">
        <f>IF($B226="","",IF(K226=0,0,(K226-J226)/K226))</f>
        <v/>
      </c>
    </row>
    <row r="227">
      <c r="A227">
        <f>IF($B227="","",ROW()-5)</f>
        <v/>
      </c>
      <c r="D227">
        <f>IF($B227="","",IF(C227="","",TEXT(C227,"MMM")))</f>
        <v/>
      </c>
      <c r="L227">
        <f>IF($B227="","",IF(K227=0,0,(K227-J227)/K227))</f>
        <v/>
      </c>
    </row>
    <row r="228">
      <c r="A228">
        <f>IF($B228="","",ROW()-5)</f>
        <v/>
      </c>
      <c r="D228">
        <f>IF($B228="","",IF(C228="","",TEXT(C228,"MMM")))</f>
        <v/>
      </c>
      <c r="L228">
        <f>IF($B228="","",IF(K228=0,0,(K228-J228)/K228))</f>
        <v/>
      </c>
    </row>
    <row r="229">
      <c r="A229">
        <f>IF($B229="","",ROW()-5)</f>
        <v/>
      </c>
      <c r="D229">
        <f>IF($B229="","",IF(C229="","",TEXT(C229,"MMM")))</f>
        <v/>
      </c>
      <c r="L229">
        <f>IF($B229="","",IF(K229=0,0,(K229-J229)/K229))</f>
        <v/>
      </c>
    </row>
    <row r="230">
      <c r="A230">
        <f>IF($B230="","",ROW()-5)</f>
        <v/>
      </c>
      <c r="D230">
        <f>IF($B230="","",IF(C230="","",TEXT(C230,"MMM")))</f>
        <v/>
      </c>
      <c r="L230">
        <f>IF($B230="","",IF(K230=0,0,(K230-J230)/K230))</f>
        <v/>
      </c>
    </row>
    <row r="231">
      <c r="A231">
        <f>IF($B231="","",ROW()-5)</f>
        <v/>
      </c>
      <c r="D231">
        <f>IF($B231="","",IF(C231="","",TEXT(C231,"MMM")))</f>
        <v/>
      </c>
      <c r="L231">
        <f>IF($B231="","",IF(K231=0,0,(K231-J231)/K231))</f>
        <v/>
      </c>
    </row>
    <row r="232">
      <c r="A232">
        <f>IF($B232="","",ROW()-5)</f>
        <v/>
      </c>
      <c r="D232">
        <f>IF($B232="","",IF(C232="","",TEXT(C232,"MMM")))</f>
        <v/>
      </c>
      <c r="L232">
        <f>IF($B232="","",IF(K232=0,0,(K232-J232)/K232))</f>
        <v/>
      </c>
    </row>
    <row r="233">
      <c r="A233">
        <f>IF($B233="","",ROW()-5)</f>
        <v/>
      </c>
      <c r="D233">
        <f>IF($B233="","",IF(C233="","",TEXT(C233,"MMM")))</f>
        <v/>
      </c>
      <c r="L233">
        <f>IF($B233="","",IF(K233=0,0,(K233-J233)/K233))</f>
        <v/>
      </c>
    </row>
    <row r="234">
      <c r="A234">
        <f>IF($B234="","",ROW()-5)</f>
        <v/>
      </c>
      <c r="D234">
        <f>IF($B234="","",IF(C234="","",TEXT(C234,"MMM")))</f>
        <v/>
      </c>
      <c r="L234">
        <f>IF($B234="","",IF(K234=0,0,(K234-J234)/K234))</f>
        <v/>
      </c>
    </row>
    <row r="235">
      <c r="A235">
        <f>IF($B235="","",ROW()-5)</f>
        <v/>
      </c>
      <c r="D235">
        <f>IF($B235="","",IF(C235="","",TEXT(C235,"MMM")))</f>
        <v/>
      </c>
      <c r="L235">
        <f>IF($B235="","",IF(K235=0,0,(K235-J235)/K235))</f>
        <v/>
      </c>
    </row>
    <row r="236">
      <c r="A236">
        <f>IF($B236="","",ROW()-5)</f>
        <v/>
      </c>
      <c r="D236">
        <f>IF($B236="","",IF(C236="","",TEXT(C236,"MMM")))</f>
        <v/>
      </c>
      <c r="L236">
        <f>IF($B236="","",IF(K236=0,0,(K236-J236)/K236))</f>
        <v/>
      </c>
    </row>
    <row r="237">
      <c r="A237">
        <f>IF($B237="","",ROW()-5)</f>
        <v/>
      </c>
      <c r="D237">
        <f>IF($B237="","",IF(C237="","",TEXT(C237,"MMM")))</f>
        <v/>
      </c>
      <c r="L237">
        <f>IF($B237="","",IF(K237=0,0,(K237-J237)/K237))</f>
        <v/>
      </c>
    </row>
    <row r="238">
      <c r="A238">
        <f>IF($B238="","",ROW()-5)</f>
        <v/>
      </c>
      <c r="D238">
        <f>IF($B238="","",IF(C238="","",TEXT(C238,"MMM")))</f>
        <v/>
      </c>
      <c r="L238">
        <f>IF($B238="","",IF(K238=0,0,(K238-J238)/K238))</f>
        <v/>
      </c>
    </row>
    <row r="239">
      <c r="A239">
        <f>IF($B239="","",ROW()-5)</f>
        <v/>
      </c>
      <c r="D239">
        <f>IF($B239="","",IF(C239="","",TEXT(C239,"MMM")))</f>
        <v/>
      </c>
      <c r="L239">
        <f>IF($B239="","",IF(K239=0,0,(K239-J239)/K239))</f>
        <v/>
      </c>
    </row>
    <row r="240">
      <c r="A240">
        <f>IF($B240="","",ROW()-5)</f>
        <v/>
      </c>
      <c r="D240">
        <f>IF($B240="","",IF(C240="","",TEXT(C240,"MMM")))</f>
        <v/>
      </c>
      <c r="L240">
        <f>IF($B240="","",IF(K240=0,0,(K240-J240)/K240))</f>
        <v/>
      </c>
    </row>
    <row r="241">
      <c r="A241">
        <f>IF($B241="","",ROW()-5)</f>
        <v/>
      </c>
      <c r="D241">
        <f>IF($B241="","",IF(C241="","",TEXT(C241,"MMM")))</f>
        <v/>
      </c>
      <c r="L241">
        <f>IF($B241="","",IF(K241=0,0,(K241-J241)/K241))</f>
        <v/>
      </c>
    </row>
    <row r="242">
      <c r="A242">
        <f>IF($B242="","",ROW()-5)</f>
        <v/>
      </c>
      <c r="D242">
        <f>IF($B242="","",IF(C242="","",TEXT(C242,"MMM")))</f>
        <v/>
      </c>
      <c r="L242">
        <f>IF($B242="","",IF(K242=0,0,(K242-J242)/K242))</f>
        <v/>
      </c>
    </row>
    <row r="243">
      <c r="A243">
        <f>IF($B243="","",ROW()-5)</f>
        <v/>
      </c>
      <c r="D243">
        <f>IF($B243="","",IF(C243="","",TEXT(C243,"MMM")))</f>
        <v/>
      </c>
      <c r="L243">
        <f>IF($B243="","",IF(K243=0,0,(K243-J243)/K243))</f>
        <v/>
      </c>
    </row>
    <row r="244">
      <c r="A244">
        <f>IF($B244="","",ROW()-5)</f>
        <v/>
      </c>
      <c r="D244">
        <f>IF($B244="","",IF(C244="","",TEXT(C244,"MMM")))</f>
        <v/>
      </c>
      <c r="L244">
        <f>IF($B244="","",IF(K244=0,0,(K244-J244)/K244))</f>
        <v/>
      </c>
    </row>
    <row r="245">
      <c r="A245">
        <f>IF($B245="","",ROW()-5)</f>
        <v/>
      </c>
      <c r="D245">
        <f>IF($B245="","",IF(C245="","",TEXT(C245,"MMM")))</f>
        <v/>
      </c>
      <c r="L245">
        <f>IF($B245="","",IF(K245=0,0,(K245-J245)/K245))</f>
        <v/>
      </c>
    </row>
    <row r="246">
      <c r="A246">
        <f>IF($B246="","",ROW()-5)</f>
        <v/>
      </c>
      <c r="D246">
        <f>IF($B246="","",IF(C246="","",TEXT(C246,"MMM")))</f>
        <v/>
      </c>
      <c r="L246">
        <f>IF($B246="","",IF(K246=0,0,(K246-J246)/K246))</f>
        <v/>
      </c>
    </row>
    <row r="247">
      <c r="A247">
        <f>IF($B247="","",ROW()-5)</f>
        <v/>
      </c>
      <c r="D247">
        <f>IF($B247="","",IF(C247="","",TEXT(C247,"MMM")))</f>
        <v/>
      </c>
      <c r="L247">
        <f>IF($B247="","",IF(K247=0,0,(K247-J247)/K247))</f>
        <v/>
      </c>
    </row>
    <row r="248">
      <c r="A248">
        <f>IF($B248="","",ROW()-5)</f>
        <v/>
      </c>
      <c r="D248">
        <f>IF($B248="","",IF(C248="","",TEXT(C248,"MMM")))</f>
        <v/>
      </c>
      <c r="L248">
        <f>IF($B248="","",IF(K248=0,0,(K248-J248)/K248))</f>
        <v/>
      </c>
    </row>
    <row r="249">
      <c r="A249">
        <f>IF($B249="","",ROW()-5)</f>
        <v/>
      </c>
      <c r="D249">
        <f>IF($B249="","",IF(C249="","",TEXT(C249,"MMM")))</f>
        <v/>
      </c>
      <c r="L249">
        <f>IF($B249="","",IF(K249=0,0,(K249-J249)/K249))</f>
        <v/>
      </c>
    </row>
    <row r="250">
      <c r="A250">
        <f>IF($B250="","",ROW()-5)</f>
        <v/>
      </c>
      <c r="D250">
        <f>IF($B250="","",IF(C250="","",TEXT(C250,"MMM")))</f>
        <v/>
      </c>
      <c r="L250">
        <f>IF($B250="","",IF(K250=0,0,(K250-J250)/K250))</f>
        <v/>
      </c>
    </row>
    <row r="251">
      <c r="A251">
        <f>IF($B251="","",ROW()-5)</f>
        <v/>
      </c>
      <c r="D251">
        <f>IF($B251="","",IF(C251="","",TEXT(C251,"MMM")))</f>
        <v/>
      </c>
      <c r="L251">
        <f>IF($B251="","",IF(K251=0,0,(K251-J251)/K251))</f>
        <v/>
      </c>
    </row>
    <row r="252">
      <c r="A252">
        <f>IF($B252="","",ROW()-5)</f>
        <v/>
      </c>
      <c r="D252">
        <f>IF($B252="","",IF(C252="","",TEXT(C252,"MMM")))</f>
        <v/>
      </c>
      <c r="L252">
        <f>IF($B252="","",IF(K252=0,0,(K252-J252)/K252))</f>
        <v/>
      </c>
    </row>
    <row r="253">
      <c r="A253">
        <f>IF($B253="","",ROW()-5)</f>
        <v/>
      </c>
      <c r="D253">
        <f>IF($B253="","",IF(C253="","",TEXT(C253,"MMM")))</f>
        <v/>
      </c>
      <c r="L253">
        <f>IF($B253="","",IF(K253=0,0,(K253-J253)/K253))</f>
        <v/>
      </c>
    </row>
    <row r="254">
      <c r="A254">
        <f>IF($B254="","",ROW()-5)</f>
        <v/>
      </c>
      <c r="D254">
        <f>IF($B254="","",IF(C254="","",TEXT(C254,"MMM")))</f>
        <v/>
      </c>
      <c r="L254">
        <f>IF($B254="","",IF(K254=0,0,(K254-J254)/K254))</f>
        <v/>
      </c>
    </row>
    <row r="255">
      <c r="A255">
        <f>IF($B255="","",ROW()-5)</f>
        <v/>
      </c>
      <c r="D255">
        <f>IF($B255="","",IF(C255="","",TEXT(C255,"MMM")))</f>
        <v/>
      </c>
      <c r="L255">
        <f>IF($B255="","",IF(K255=0,0,(K255-J255)/K255))</f>
        <v/>
      </c>
    </row>
    <row r="256">
      <c r="A256">
        <f>IF($B256="","",ROW()-5)</f>
        <v/>
      </c>
      <c r="D256">
        <f>IF($B256="","",IF(C256="","",TEXT(C256,"MMM")))</f>
        <v/>
      </c>
      <c r="L256">
        <f>IF($B256="","",IF(K256=0,0,(K256-J256)/K256))</f>
        <v/>
      </c>
    </row>
    <row r="257">
      <c r="A257">
        <f>IF($B257="","",ROW()-5)</f>
        <v/>
      </c>
      <c r="D257">
        <f>IF($B257="","",IF(C257="","",TEXT(C257,"MMM")))</f>
        <v/>
      </c>
      <c r="L257">
        <f>IF($B257="","",IF(K257=0,0,(K257-J257)/K257))</f>
        <v/>
      </c>
    </row>
    <row r="258">
      <c r="A258">
        <f>IF($B258="","",ROW()-5)</f>
        <v/>
      </c>
      <c r="D258">
        <f>IF($B258="","",IF(C258="","",TEXT(C258,"MMM")))</f>
        <v/>
      </c>
      <c r="L258">
        <f>IF($B258="","",IF(K258=0,0,(K258-J258)/K258))</f>
        <v/>
      </c>
    </row>
    <row r="259">
      <c r="A259">
        <f>IF($B259="","",ROW()-5)</f>
        <v/>
      </c>
      <c r="D259">
        <f>IF($B259="","",IF(C259="","",TEXT(C259,"MMM")))</f>
        <v/>
      </c>
      <c r="L259">
        <f>IF($B259="","",IF(K259=0,0,(K259-J259)/K259))</f>
        <v/>
      </c>
    </row>
    <row r="260">
      <c r="A260">
        <f>IF($B260="","",ROW()-5)</f>
        <v/>
      </c>
      <c r="D260">
        <f>IF($B260="","",IF(C260="","",TEXT(C260,"MMM")))</f>
        <v/>
      </c>
      <c r="L260">
        <f>IF($B260="","",IF(K260=0,0,(K260-J260)/K260))</f>
        <v/>
      </c>
    </row>
    <row r="261">
      <c r="A261">
        <f>IF($B261="","",ROW()-5)</f>
        <v/>
      </c>
      <c r="D261">
        <f>IF($B261="","",IF(C261="","",TEXT(C261,"MMM")))</f>
        <v/>
      </c>
      <c r="L261">
        <f>IF($B261="","",IF(K261=0,0,(K261-J261)/K261))</f>
        <v/>
      </c>
    </row>
    <row r="262">
      <c r="A262">
        <f>IF($B262="","",ROW()-5)</f>
        <v/>
      </c>
      <c r="D262">
        <f>IF($B262="","",IF(C262="","",TEXT(C262,"MMM")))</f>
        <v/>
      </c>
      <c r="L262">
        <f>IF($B262="","",IF(K262=0,0,(K262-J262)/K262))</f>
        <v/>
      </c>
    </row>
    <row r="263">
      <c r="A263">
        <f>IF($B263="","",ROW()-5)</f>
        <v/>
      </c>
      <c r="D263">
        <f>IF($B263="","",IF(C263="","",TEXT(C263,"MMM")))</f>
        <v/>
      </c>
      <c r="L263">
        <f>IF($B263="","",IF(K263=0,0,(K263-J263)/K263))</f>
        <v/>
      </c>
    </row>
    <row r="264">
      <c r="A264">
        <f>IF($B264="","",ROW()-5)</f>
        <v/>
      </c>
      <c r="D264">
        <f>IF($B264="","",IF(C264="","",TEXT(C264,"MMM")))</f>
        <v/>
      </c>
      <c r="L264">
        <f>IF($B264="","",IF(K264=0,0,(K264-J264)/K264))</f>
        <v/>
      </c>
    </row>
    <row r="265">
      <c r="A265">
        <f>IF($B265="","",ROW()-5)</f>
        <v/>
      </c>
      <c r="D265">
        <f>IF($B265="","",IF(C265="","",TEXT(C265,"MMM")))</f>
        <v/>
      </c>
      <c r="L265">
        <f>IF($B265="","",IF(K265=0,0,(K265-J265)/K265))</f>
        <v/>
      </c>
    </row>
    <row r="266">
      <c r="A266">
        <f>IF($B266="","",ROW()-5)</f>
        <v/>
      </c>
      <c r="D266">
        <f>IF($B266="","",IF(C266="","",TEXT(C266,"MMM")))</f>
        <v/>
      </c>
      <c r="L266">
        <f>IF($B266="","",IF(K266=0,0,(K266-J266)/K266))</f>
        <v/>
      </c>
    </row>
    <row r="267">
      <c r="A267">
        <f>IF($B267="","",ROW()-5)</f>
        <v/>
      </c>
      <c r="D267">
        <f>IF($B267="","",IF(C267="","",TEXT(C267,"MMM")))</f>
        <v/>
      </c>
      <c r="L267">
        <f>IF($B267="","",IF(K267=0,0,(K267-J267)/K267))</f>
        <v/>
      </c>
    </row>
    <row r="268">
      <c r="A268">
        <f>IF($B268="","",ROW()-5)</f>
        <v/>
      </c>
      <c r="D268">
        <f>IF($B268="","",IF(C268="","",TEXT(C268,"MMM")))</f>
        <v/>
      </c>
      <c r="L268">
        <f>IF($B268="","",IF(K268=0,0,(K268-J268)/K268))</f>
        <v/>
      </c>
    </row>
    <row r="269">
      <c r="A269">
        <f>IF($B269="","",ROW()-5)</f>
        <v/>
      </c>
      <c r="D269">
        <f>IF($B269="","",IF(C269="","",TEXT(C269,"MMM")))</f>
        <v/>
      </c>
      <c r="L269">
        <f>IF($B269="","",IF(K269=0,0,(K269-J269)/K269))</f>
        <v/>
      </c>
    </row>
    <row r="270">
      <c r="A270">
        <f>IF($B270="","",ROW()-5)</f>
        <v/>
      </c>
      <c r="D270">
        <f>IF($B270="","",IF(C270="","",TEXT(C270,"MMM")))</f>
        <v/>
      </c>
      <c r="L270">
        <f>IF($B270="","",IF(K270=0,0,(K270-J270)/K270))</f>
        <v/>
      </c>
    </row>
    <row r="271">
      <c r="A271">
        <f>IF($B271="","",ROW()-5)</f>
        <v/>
      </c>
      <c r="D271">
        <f>IF($B271="","",IF(C271="","",TEXT(C271,"MMM")))</f>
        <v/>
      </c>
      <c r="L271">
        <f>IF($B271="","",IF(K271=0,0,(K271-J271)/K271))</f>
        <v/>
      </c>
    </row>
    <row r="272">
      <c r="A272">
        <f>IF($B272="","",ROW()-5)</f>
        <v/>
      </c>
      <c r="D272">
        <f>IF($B272="","",IF(C272="","",TEXT(C272,"MMM")))</f>
        <v/>
      </c>
      <c r="L272">
        <f>IF($B272="","",IF(K272=0,0,(K272-J272)/K272))</f>
        <v/>
      </c>
    </row>
    <row r="273">
      <c r="A273">
        <f>IF($B273="","",ROW()-5)</f>
        <v/>
      </c>
      <c r="D273">
        <f>IF($B273="","",IF(C273="","",TEXT(C273,"MMM")))</f>
        <v/>
      </c>
      <c r="L273">
        <f>IF($B273="","",IF(K273=0,0,(K273-J273)/K273))</f>
        <v/>
      </c>
    </row>
    <row r="274">
      <c r="A274">
        <f>IF($B274="","",ROW()-5)</f>
        <v/>
      </c>
      <c r="D274">
        <f>IF($B274="","",IF(C274="","",TEXT(C274,"MMM")))</f>
        <v/>
      </c>
      <c r="L274">
        <f>IF($B274="","",IF(K274=0,0,(K274-J274)/K274))</f>
        <v/>
      </c>
    </row>
    <row r="275">
      <c r="A275">
        <f>IF($B275="","",ROW()-5)</f>
        <v/>
      </c>
      <c r="D275">
        <f>IF($B275="","",IF(C275="","",TEXT(C275,"MMM")))</f>
        <v/>
      </c>
      <c r="L275">
        <f>IF($B275="","",IF(K275=0,0,(K275-J275)/K275))</f>
        <v/>
      </c>
    </row>
    <row r="276">
      <c r="A276">
        <f>IF($B276="","",ROW()-5)</f>
        <v/>
      </c>
      <c r="D276">
        <f>IF($B276="","",IF(C276="","",TEXT(C276,"MMM")))</f>
        <v/>
      </c>
      <c r="L276">
        <f>IF($B276="","",IF(K276=0,0,(K276-J276)/K276))</f>
        <v/>
      </c>
    </row>
    <row r="277">
      <c r="A277">
        <f>IF($B277="","",ROW()-5)</f>
        <v/>
      </c>
      <c r="D277">
        <f>IF($B277="","",IF(C277="","",TEXT(C277,"MMM")))</f>
        <v/>
      </c>
      <c r="L277">
        <f>IF($B277="","",IF(K277=0,0,(K277-J277)/K277))</f>
        <v/>
      </c>
    </row>
    <row r="278">
      <c r="A278">
        <f>IF($B278="","",ROW()-5)</f>
        <v/>
      </c>
      <c r="D278">
        <f>IF($B278="","",IF(C278="","",TEXT(C278,"MMM")))</f>
        <v/>
      </c>
      <c r="L278">
        <f>IF($B278="","",IF(K278=0,0,(K278-J278)/K278))</f>
        <v/>
      </c>
    </row>
    <row r="279">
      <c r="A279">
        <f>IF($B279="","",ROW()-5)</f>
        <v/>
      </c>
      <c r="D279">
        <f>IF($B279="","",IF(C279="","",TEXT(C279,"MMM")))</f>
        <v/>
      </c>
      <c r="L279">
        <f>IF($B279="","",IF(K279=0,0,(K279-J279)/K279))</f>
        <v/>
      </c>
    </row>
    <row r="280">
      <c r="A280">
        <f>IF($B280="","",ROW()-5)</f>
        <v/>
      </c>
      <c r="D280">
        <f>IF($B280="","",IF(C280="","",TEXT(C280,"MMM")))</f>
        <v/>
      </c>
      <c r="L280">
        <f>IF($B280="","",IF(K280=0,0,(K280-J280)/K280))</f>
        <v/>
      </c>
    </row>
    <row r="281">
      <c r="A281">
        <f>IF($B281="","",ROW()-5)</f>
        <v/>
      </c>
      <c r="D281">
        <f>IF($B281="","",IF(C281="","",TEXT(C281,"MMM")))</f>
        <v/>
      </c>
      <c r="L281">
        <f>IF($B281="","",IF(K281=0,0,(K281-J281)/K281))</f>
        <v/>
      </c>
    </row>
    <row r="282">
      <c r="A282">
        <f>IF($B282="","",ROW()-5)</f>
        <v/>
      </c>
      <c r="D282">
        <f>IF($B282="","",IF(C282="","",TEXT(C282,"MMM")))</f>
        <v/>
      </c>
      <c r="L282">
        <f>IF($B282="","",IF(K282=0,0,(K282-J282)/K282))</f>
        <v/>
      </c>
    </row>
    <row r="283">
      <c r="A283">
        <f>IF($B283="","",ROW()-5)</f>
        <v/>
      </c>
      <c r="D283">
        <f>IF($B283="","",IF(C283="","",TEXT(C283,"MMM")))</f>
        <v/>
      </c>
      <c r="L283">
        <f>IF($B283="","",IF(K283=0,0,(K283-J283)/K283))</f>
        <v/>
      </c>
    </row>
    <row r="284">
      <c r="A284">
        <f>IF($B284="","",ROW()-5)</f>
        <v/>
      </c>
      <c r="D284">
        <f>IF($B284="","",IF(C284="","",TEXT(C284,"MMM")))</f>
        <v/>
      </c>
      <c r="L284">
        <f>IF($B284="","",IF(K284=0,0,(K284-J284)/K284))</f>
        <v/>
      </c>
    </row>
    <row r="285">
      <c r="A285">
        <f>IF($B285="","",ROW()-5)</f>
        <v/>
      </c>
      <c r="D285">
        <f>IF($B285="","",IF(C285="","",TEXT(C285,"MMM")))</f>
        <v/>
      </c>
      <c r="L285">
        <f>IF($B285="","",IF(K285=0,0,(K285-J285)/K285))</f>
        <v/>
      </c>
    </row>
    <row r="286">
      <c r="A286">
        <f>IF($B286="","",ROW()-5)</f>
        <v/>
      </c>
      <c r="D286">
        <f>IF($B286="","",IF(C286="","",TEXT(C286,"MMM")))</f>
        <v/>
      </c>
      <c r="L286">
        <f>IF($B286="","",IF(K286=0,0,(K286-J286)/K286))</f>
        <v/>
      </c>
    </row>
    <row r="287">
      <c r="A287">
        <f>IF($B287="","",ROW()-5)</f>
        <v/>
      </c>
      <c r="D287">
        <f>IF($B287="","",IF(C287="","",TEXT(C287,"MMM")))</f>
        <v/>
      </c>
      <c r="L287">
        <f>IF($B287="","",IF(K287=0,0,(K287-J287)/K287))</f>
        <v/>
      </c>
    </row>
    <row r="288">
      <c r="A288">
        <f>IF($B288="","",ROW()-5)</f>
        <v/>
      </c>
      <c r="D288">
        <f>IF($B288="","",IF(C288="","",TEXT(C288,"MMM")))</f>
        <v/>
      </c>
      <c r="L288">
        <f>IF($B288="","",IF(K288=0,0,(K288-J288)/K288))</f>
        <v/>
      </c>
    </row>
    <row r="289">
      <c r="A289">
        <f>IF($B289="","",ROW()-5)</f>
        <v/>
      </c>
      <c r="D289">
        <f>IF($B289="","",IF(C289="","",TEXT(C289,"MMM")))</f>
        <v/>
      </c>
      <c r="L289">
        <f>IF($B289="","",IF(K289=0,0,(K289-J289)/K289))</f>
        <v/>
      </c>
    </row>
    <row r="290">
      <c r="A290">
        <f>IF($B290="","",ROW()-5)</f>
        <v/>
      </c>
      <c r="D290">
        <f>IF($B290="","",IF(C290="","",TEXT(C290,"MMM")))</f>
        <v/>
      </c>
      <c r="L290">
        <f>IF($B290="","",IF(K290=0,0,(K290-J290)/K290))</f>
        <v/>
      </c>
    </row>
    <row r="291">
      <c r="A291">
        <f>IF($B291="","",ROW()-5)</f>
        <v/>
      </c>
      <c r="D291">
        <f>IF($B291="","",IF(C291="","",TEXT(C291,"MMM")))</f>
        <v/>
      </c>
      <c r="L291">
        <f>IF($B291="","",IF(K291=0,0,(K291-J291)/K291))</f>
        <v/>
      </c>
    </row>
    <row r="292">
      <c r="A292">
        <f>IF($B292="","",ROW()-5)</f>
        <v/>
      </c>
      <c r="D292">
        <f>IF($B292="","",IF(C292="","",TEXT(C292,"MMM")))</f>
        <v/>
      </c>
      <c r="L292">
        <f>IF($B292="","",IF(K292=0,0,(K292-J292)/K292))</f>
        <v/>
      </c>
    </row>
    <row r="293">
      <c r="A293">
        <f>IF($B293="","",ROW()-5)</f>
        <v/>
      </c>
      <c r="D293">
        <f>IF($B293="","",IF(C293="","",TEXT(C293,"MMM")))</f>
        <v/>
      </c>
      <c r="L293">
        <f>IF($B293="","",IF(K293=0,0,(K293-J293)/K293))</f>
        <v/>
      </c>
    </row>
    <row r="294">
      <c r="A294">
        <f>IF($B294="","",ROW()-5)</f>
        <v/>
      </c>
      <c r="D294">
        <f>IF($B294="","",IF(C294="","",TEXT(C294,"MMM")))</f>
        <v/>
      </c>
      <c r="L294">
        <f>IF($B294="","",IF(K294=0,0,(K294-J294)/K294))</f>
        <v/>
      </c>
    </row>
    <row r="295">
      <c r="A295">
        <f>IF($B295="","",ROW()-5)</f>
        <v/>
      </c>
      <c r="D295">
        <f>IF($B295="","",IF(C295="","",TEXT(C295,"MMM")))</f>
        <v/>
      </c>
      <c r="L295">
        <f>IF($B295="","",IF(K295=0,0,(K295-J295)/K295))</f>
        <v/>
      </c>
    </row>
    <row r="296">
      <c r="A296">
        <f>IF($B296="","",ROW()-5)</f>
        <v/>
      </c>
      <c r="D296">
        <f>IF($B296="","",IF(C296="","",TEXT(C296,"MMM")))</f>
        <v/>
      </c>
      <c r="L296">
        <f>IF($B296="","",IF(K296=0,0,(K296-J296)/K296))</f>
        <v/>
      </c>
    </row>
    <row r="297">
      <c r="A297">
        <f>IF($B297="","",ROW()-5)</f>
        <v/>
      </c>
      <c r="D297">
        <f>IF($B297="","",IF(C297="","",TEXT(C297,"MMM")))</f>
        <v/>
      </c>
      <c r="L297">
        <f>IF($B297="","",IF(K297=0,0,(K297-J297)/K297))</f>
        <v/>
      </c>
    </row>
    <row r="298">
      <c r="A298">
        <f>IF($B298="","",ROW()-5)</f>
        <v/>
      </c>
      <c r="D298">
        <f>IF($B298="","",IF(C298="","",TEXT(C298,"MMM")))</f>
        <v/>
      </c>
      <c r="L298">
        <f>IF($B298="","",IF(K298=0,0,(K298-J298)/K298))</f>
        <v/>
      </c>
    </row>
    <row r="299">
      <c r="A299">
        <f>IF($B299="","",ROW()-5)</f>
        <v/>
      </c>
      <c r="D299">
        <f>IF($B299="","",IF(C299="","",TEXT(C299,"MMM")))</f>
        <v/>
      </c>
      <c r="L299">
        <f>IF($B299="","",IF(K299=0,0,(K299-J299)/K299))</f>
        <v/>
      </c>
    </row>
    <row r="300">
      <c r="A300">
        <f>IF($B300="","",ROW()-5)</f>
        <v/>
      </c>
      <c r="D300">
        <f>IF($B300="","",IF(C300="","",TEXT(C300,"MMM")))</f>
        <v/>
      </c>
      <c r="L300">
        <f>IF($B300="","",IF(K300=0,0,(K300-J300)/K300))</f>
        <v/>
      </c>
    </row>
    <row r="301">
      <c r="A301">
        <f>IF($B301="","",ROW()-5)</f>
        <v/>
      </c>
      <c r="D301">
        <f>IF($B301="","",IF(C301="","",TEXT(C301,"MMM")))</f>
        <v/>
      </c>
      <c r="L301">
        <f>IF($B301="","",IF(K301=0,0,(K301-J301)/K301))</f>
        <v/>
      </c>
    </row>
    <row r="302">
      <c r="A302">
        <f>IF($B302="","",ROW()-5)</f>
        <v/>
      </c>
      <c r="D302">
        <f>IF($B302="","",IF(C302="","",TEXT(C302,"MMM")))</f>
        <v/>
      </c>
      <c r="L302">
        <f>IF($B302="","",IF(K302=0,0,(K302-J302)/K302))</f>
        <v/>
      </c>
    </row>
    <row r="303">
      <c r="A303">
        <f>IF($B303="","",ROW()-5)</f>
        <v/>
      </c>
      <c r="D303">
        <f>IF($B303="","",IF(C303="","",TEXT(C303,"MMM")))</f>
        <v/>
      </c>
      <c r="L303">
        <f>IF($B303="","",IF(K303=0,0,(K303-J303)/K303))</f>
        <v/>
      </c>
    </row>
    <row r="304">
      <c r="A304">
        <f>IF($B304="","",ROW()-5)</f>
        <v/>
      </c>
      <c r="D304">
        <f>IF($B304="","",IF(C304="","",TEXT(C304,"MMM")))</f>
        <v/>
      </c>
      <c r="L304">
        <f>IF($B304="","",IF(K304=0,0,(K304-J304)/K304))</f>
        <v/>
      </c>
    </row>
    <row r="305">
      <c r="A305">
        <f>IF($B305="","",ROW()-5)</f>
        <v/>
      </c>
      <c r="D305">
        <f>IF($B305="","",IF(C305="","",TEXT(C305,"MMM")))</f>
        <v/>
      </c>
      <c r="L305">
        <f>IF($B305="","",IF(K305=0,0,(K305-J305)/K305))</f>
        <v/>
      </c>
    </row>
    <row r="306">
      <c r="A306">
        <f>IF($B306="","",ROW()-5)</f>
        <v/>
      </c>
      <c r="D306">
        <f>IF($B306="","",IF(C306="","",TEXT(C306,"MMM")))</f>
        <v/>
      </c>
      <c r="L306">
        <f>IF($B306="","",IF(K306=0,0,(K306-J306)/K306))</f>
        <v/>
      </c>
    </row>
    <row r="307">
      <c r="A307">
        <f>IF($B307="","",ROW()-5)</f>
        <v/>
      </c>
      <c r="D307">
        <f>IF($B307="","",IF(C307="","",TEXT(C307,"MMM")))</f>
        <v/>
      </c>
      <c r="L307">
        <f>IF($B307="","",IF(K307=0,0,(K307-J307)/K307))</f>
        <v/>
      </c>
    </row>
    <row r="308">
      <c r="A308">
        <f>IF($B308="","",ROW()-5)</f>
        <v/>
      </c>
      <c r="D308">
        <f>IF($B308="","",IF(C308="","",TEXT(C308,"MMM")))</f>
        <v/>
      </c>
      <c r="L308">
        <f>IF($B308="","",IF(K308=0,0,(K308-J308)/K308))</f>
        <v/>
      </c>
    </row>
    <row r="309">
      <c r="A309">
        <f>IF($B309="","",ROW()-5)</f>
        <v/>
      </c>
      <c r="D309">
        <f>IF($B309="","",IF(C309="","",TEXT(C309,"MMM")))</f>
        <v/>
      </c>
      <c r="L309">
        <f>IF($B309="","",IF(K309=0,0,(K309-J309)/K309))</f>
        <v/>
      </c>
    </row>
    <row r="310">
      <c r="A310">
        <f>IF($B310="","",ROW()-5)</f>
        <v/>
      </c>
      <c r="D310">
        <f>IF($B310="","",IF(C310="","",TEXT(C310,"MMM")))</f>
        <v/>
      </c>
      <c r="L310">
        <f>IF($B310="","",IF(K310=0,0,(K310-J310)/K310))</f>
        <v/>
      </c>
    </row>
    <row r="311">
      <c r="A311">
        <f>IF($B311="","",ROW()-5)</f>
        <v/>
      </c>
      <c r="D311">
        <f>IF($B311="","",IF(C311="","",TEXT(C311,"MMM")))</f>
        <v/>
      </c>
      <c r="L311">
        <f>IF($B311="","",IF(K311=0,0,(K311-J311)/K311))</f>
        <v/>
      </c>
    </row>
    <row r="312">
      <c r="A312">
        <f>IF($B312="","",ROW()-5)</f>
        <v/>
      </c>
      <c r="D312">
        <f>IF($B312="","",IF(C312="","",TEXT(C312,"MMM")))</f>
        <v/>
      </c>
      <c r="L312">
        <f>IF($B312="","",IF(K312=0,0,(K312-J312)/K312))</f>
        <v/>
      </c>
    </row>
    <row r="313">
      <c r="A313">
        <f>IF($B313="","",ROW()-5)</f>
        <v/>
      </c>
      <c r="D313">
        <f>IF($B313="","",IF(C313="","",TEXT(C313,"MMM")))</f>
        <v/>
      </c>
      <c r="L313">
        <f>IF($B313="","",IF(K313=0,0,(K313-J313)/K313))</f>
        <v/>
      </c>
    </row>
    <row r="314">
      <c r="A314">
        <f>IF($B314="","",ROW()-5)</f>
        <v/>
      </c>
      <c r="D314">
        <f>IF($B314="","",IF(C314="","",TEXT(C314,"MMM")))</f>
        <v/>
      </c>
      <c r="L314">
        <f>IF($B314="","",IF(K314=0,0,(K314-J314)/K314))</f>
        <v/>
      </c>
    </row>
    <row r="315">
      <c r="A315">
        <f>IF($B315="","",ROW()-5)</f>
        <v/>
      </c>
      <c r="D315">
        <f>IF($B315="","",IF(C315="","",TEXT(C315,"MMM")))</f>
        <v/>
      </c>
      <c r="L315">
        <f>IF($B315="","",IF(K315=0,0,(K315-J315)/K315))</f>
        <v/>
      </c>
    </row>
    <row r="316">
      <c r="A316">
        <f>IF($B316="","",ROW()-5)</f>
        <v/>
      </c>
      <c r="D316">
        <f>IF($B316="","",IF(C316="","",TEXT(C316,"MMM")))</f>
        <v/>
      </c>
      <c r="L316">
        <f>IF($B316="","",IF(K316=0,0,(K316-J316)/K316))</f>
        <v/>
      </c>
    </row>
    <row r="317">
      <c r="A317">
        <f>IF($B317="","",ROW()-5)</f>
        <v/>
      </c>
      <c r="D317">
        <f>IF($B317="","",IF(C317="","",TEXT(C317,"MMM")))</f>
        <v/>
      </c>
      <c r="L317">
        <f>IF($B317="","",IF(K317=0,0,(K317-J317)/K317))</f>
        <v/>
      </c>
    </row>
    <row r="318">
      <c r="A318">
        <f>IF($B318="","",ROW()-5)</f>
        <v/>
      </c>
      <c r="D318">
        <f>IF($B318="","",IF(C318="","",TEXT(C318,"MMM")))</f>
        <v/>
      </c>
      <c r="L318">
        <f>IF($B318="","",IF(K318=0,0,(K318-J318)/K318))</f>
        <v/>
      </c>
    </row>
    <row r="319">
      <c r="A319">
        <f>IF($B319="","",ROW()-5)</f>
        <v/>
      </c>
      <c r="D319">
        <f>IF($B319="","",IF(C319="","",TEXT(C319,"MMM")))</f>
        <v/>
      </c>
      <c r="L319">
        <f>IF($B319="","",IF(K319=0,0,(K319-J319)/K319))</f>
        <v/>
      </c>
    </row>
    <row r="320">
      <c r="A320">
        <f>IF($B320="","",ROW()-5)</f>
        <v/>
      </c>
      <c r="D320">
        <f>IF($B320="","",IF(C320="","",TEXT(C320,"MMM")))</f>
        <v/>
      </c>
      <c r="L320">
        <f>IF($B320="","",IF(K320=0,0,(K320-J320)/K320))</f>
        <v/>
      </c>
    </row>
    <row r="321">
      <c r="A321">
        <f>IF($B321="","",ROW()-5)</f>
        <v/>
      </c>
      <c r="D321">
        <f>IF($B321="","",IF(C321="","",TEXT(C321,"MMM")))</f>
        <v/>
      </c>
      <c r="L321">
        <f>IF($B321="","",IF(K321=0,0,(K321-J321)/K321))</f>
        <v/>
      </c>
    </row>
    <row r="322">
      <c r="A322">
        <f>IF($B322="","",ROW()-5)</f>
        <v/>
      </c>
      <c r="D322">
        <f>IF($B322="","",IF(C322="","",TEXT(C322,"MMM")))</f>
        <v/>
      </c>
      <c r="L322">
        <f>IF($B322="","",IF(K322=0,0,(K322-J322)/K322))</f>
        <v/>
      </c>
    </row>
    <row r="323">
      <c r="A323">
        <f>IF($B323="","",ROW()-5)</f>
        <v/>
      </c>
      <c r="D323">
        <f>IF($B323="","",IF(C323="","",TEXT(C323,"MMM")))</f>
        <v/>
      </c>
      <c r="L323">
        <f>IF($B323="","",IF(K323=0,0,(K323-J323)/K323))</f>
        <v/>
      </c>
    </row>
    <row r="324">
      <c r="A324">
        <f>IF($B324="","",ROW()-5)</f>
        <v/>
      </c>
      <c r="D324">
        <f>IF($B324="","",IF(C324="","",TEXT(C324,"MMM")))</f>
        <v/>
      </c>
      <c r="L324">
        <f>IF($B324="","",IF(K324=0,0,(K324-J324)/K324))</f>
        <v/>
      </c>
    </row>
    <row r="325">
      <c r="A325">
        <f>IF($B325="","",ROW()-5)</f>
        <v/>
      </c>
      <c r="D325">
        <f>IF($B325="","",IF(C325="","",TEXT(C325,"MMM")))</f>
        <v/>
      </c>
      <c r="L325">
        <f>IF($B325="","",IF(K325=0,0,(K325-J325)/K325))</f>
        <v/>
      </c>
    </row>
    <row r="326">
      <c r="A326">
        <f>IF($B326="","",ROW()-5)</f>
        <v/>
      </c>
      <c r="D326">
        <f>IF($B326="","",IF(C326="","",TEXT(C326,"MMM")))</f>
        <v/>
      </c>
      <c r="L326">
        <f>IF($B326="","",IF(K326=0,0,(K326-J326)/K326))</f>
        <v/>
      </c>
    </row>
    <row r="327">
      <c r="A327">
        <f>IF($B327="","",ROW()-5)</f>
        <v/>
      </c>
      <c r="D327">
        <f>IF($B327="","",IF(C327="","",TEXT(C327,"MMM")))</f>
        <v/>
      </c>
      <c r="L327">
        <f>IF($B327="","",IF(K327=0,0,(K327-J327)/K327))</f>
        <v/>
      </c>
    </row>
    <row r="328">
      <c r="A328">
        <f>IF($B328="","",ROW()-5)</f>
        <v/>
      </c>
      <c r="D328">
        <f>IF($B328="","",IF(C328="","",TEXT(C328,"MMM")))</f>
        <v/>
      </c>
      <c r="L328">
        <f>IF($B328="","",IF(K328=0,0,(K328-J328)/K328))</f>
        <v/>
      </c>
    </row>
    <row r="329">
      <c r="A329">
        <f>IF($B329="","",ROW()-5)</f>
        <v/>
      </c>
      <c r="D329">
        <f>IF($B329="","",IF(C329="","",TEXT(C329,"MMM")))</f>
        <v/>
      </c>
      <c r="L329">
        <f>IF($B329="","",IF(K329=0,0,(K329-J329)/K329))</f>
        <v/>
      </c>
    </row>
    <row r="330">
      <c r="A330">
        <f>IF($B330="","",ROW()-5)</f>
        <v/>
      </c>
      <c r="D330">
        <f>IF($B330="","",IF(C330="","",TEXT(C330,"MMM")))</f>
        <v/>
      </c>
      <c r="L330">
        <f>IF($B330="","",IF(K330=0,0,(K330-J330)/K330))</f>
        <v/>
      </c>
    </row>
    <row r="331">
      <c r="A331">
        <f>IF($B331="","",ROW()-5)</f>
        <v/>
      </c>
      <c r="D331">
        <f>IF($B331="","",IF(C331="","",TEXT(C331,"MMM")))</f>
        <v/>
      </c>
      <c r="L331">
        <f>IF($B331="","",IF(K331=0,0,(K331-J331)/K331))</f>
        <v/>
      </c>
    </row>
    <row r="332">
      <c r="A332">
        <f>IF($B332="","",ROW()-5)</f>
        <v/>
      </c>
      <c r="D332">
        <f>IF($B332="","",IF(C332="","",TEXT(C332,"MMM")))</f>
        <v/>
      </c>
      <c r="L332">
        <f>IF($B332="","",IF(K332=0,0,(K332-J332)/K332))</f>
        <v/>
      </c>
    </row>
    <row r="333">
      <c r="A333">
        <f>IF($B333="","",ROW()-5)</f>
        <v/>
      </c>
      <c r="D333">
        <f>IF($B333="","",IF(C333="","",TEXT(C333,"MMM")))</f>
        <v/>
      </c>
      <c r="L333">
        <f>IF($B333="","",IF(K333=0,0,(K333-J333)/K333))</f>
        <v/>
      </c>
    </row>
    <row r="334">
      <c r="A334">
        <f>IF($B334="","",ROW()-5)</f>
        <v/>
      </c>
      <c r="D334">
        <f>IF($B334="","",IF(C334="","",TEXT(C334,"MMM")))</f>
        <v/>
      </c>
      <c r="L334">
        <f>IF($B334="","",IF(K334=0,0,(K334-J334)/K334))</f>
        <v/>
      </c>
    </row>
    <row r="335">
      <c r="A335">
        <f>IF($B335="","",ROW()-5)</f>
        <v/>
      </c>
      <c r="D335">
        <f>IF($B335="","",IF(C335="","",TEXT(C335,"MMM")))</f>
        <v/>
      </c>
      <c r="L335">
        <f>IF($B335="","",IF(K335=0,0,(K335-J335)/K335))</f>
        <v/>
      </c>
    </row>
    <row r="336">
      <c r="A336">
        <f>IF($B336="","",ROW()-5)</f>
        <v/>
      </c>
      <c r="D336">
        <f>IF($B336="","",IF(C336="","",TEXT(C336,"MMM")))</f>
        <v/>
      </c>
      <c r="L336">
        <f>IF($B336="","",IF(K336=0,0,(K336-J336)/K336))</f>
        <v/>
      </c>
    </row>
    <row r="337">
      <c r="A337">
        <f>IF($B337="","",ROW()-5)</f>
        <v/>
      </c>
      <c r="D337">
        <f>IF($B337="","",IF(C337="","",TEXT(C337,"MMM")))</f>
        <v/>
      </c>
      <c r="L337">
        <f>IF($B337="","",IF(K337=0,0,(K337-J337)/K337))</f>
        <v/>
      </c>
    </row>
    <row r="338">
      <c r="A338">
        <f>IF($B338="","",ROW()-5)</f>
        <v/>
      </c>
      <c r="D338">
        <f>IF($B338="","",IF(C338="","",TEXT(C338,"MMM")))</f>
        <v/>
      </c>
      <c r="L338">
        <f>IF($B338="","",IF(K338=0,0,(K338-J338)/K338))</f>
        <v/>
      </c>
    </row>
    <row r="339">
      <c r="A339">
        <f>IF($B339="","",ROW()-5)</f>
        <v/>
      </c>
      <c r="D339">
        <f>IF($B339="","",IF(C339="","",TEXT(C339,"MMM")))</f>
        <v/>
      </c>
      <c r="L339">
        <f>IF($B339="","",IF(K339=0,0,(K339-J339)/K339))</f>
        <v/>
      </c>
    </row>
    <row r="340">
      <c r="A340">
        <f>IF($B340="","",ROW()-5)</f>
        <v/>
      </c>
      <c r="D340">
        <f>IF($B340="","",IF(C340="","",TEXT(C340,"MMM")))</f>
        <v/>
      </c>
      <c r="L340">
        <f>IF($B340="","",IF(K340=0,0,(K340-J340)/K340))</f>
        <v/>
      </c>
    </row>
    <row r="341">
      <c r="A341">
        <f>IF($B341="","",ROW()-5)</f>
        <v/>
      </c>
      <c r="D341">
        <f>IF($B341="","",IF(C341="","",TEXT(C341,"MMM")))</f>
        <v/>
      </c>
      <c r="L341">
        <f>IF($B341="","",IF(K341=0,0,(K341-J341)/K341))</f>
        <v/>
      </c>
    </row>
    <row r="342">
      <c r="A342">
        <f>IF($B342="","",ROW()-5)</f>
        <v/>
      </c>
      <c r="D342">
        <f>IF($B342="","",IF(C342="","",TEXT(C342,"MMM")))</f>
        <v/>
      </c>
      <c r="L342">
        <f>IF($B342="","",IF(K342=0,0,(K342-J342)/K342))</f>
        <v/>
      </c>
    </row>
    <row r="343">
      <c r="A343">
        <f>IF($B343="","",ROW()-5)</f>
        <v/>
      </c>
      <c r="D343">
        <f>IF($B343="","",IF(C343="","",TEXT(C343,"MMM")))</f>
        <v/>
      </c>
      <c r="L343">
        <f>IF($B343="","",IF(K343=0,0,(K343-J343)/K343))</f>
        <v/>
      </c>
    </row>
    <row r="344">
      <c r="A344">
        <f>IF($B344="","",ROW()-5)</f>
        <v/>
      </c>
      <c r="D344">
        <f>IF($B344="","",IF(C344="","",TEXT(C344,"MMM")))</f>
        <v/>
      </c>
      <c r="L344">
        <f>IF($B344="","",IF(K344=0,0,(K344-J344)/K344))</f>
        <v/>
      </c>
    </row>
    <row r="345">
      <c r="A345">
        <f>IF($B345="","",ROW()-5)</f>
        <v/>
      </c>
      <c r="D345">
        <f>IF($B345="","",IF(C345="","",TEXT(C345,"MMM")))</f>
        <v/>
      </c>
      <c r="L345">
        <f>IF($B345="","",IF(K345=0,0,(K345-J345)/K345))</f>
        <v/>
      </c>
    </row>
    <row r="346">
      <c r="A346">
        <f>IF($B346="","",ROW()-5)</f>
        <v/>
      </c>
      <c r="D346">
        <f>IF($B346="","",IF(C346="","",TEXT(C346,"MMM")))</f>
        <v/>
      </c>
      <c r="L346">
        <f>IF($B346="","",IF(K346=0,0,(K346-J346)/K346))</f>
        <v/>
      </c>
    </row>
    <row r="347">
      <c r="A347">
        <f>IF($B347="","",ROW()-5)</f>
        <v/>
      </c>
      <c r="D347">
        <f>IF($B347="","",IF(C347="","",TEXT(C347,"MMM")))</f>
        <v/>
      </c>
      <c r="L347">
        <f>IF($B347="","",IF(K347=0,0,(K347-J347)/K347))</f>
        <v/>
      </c>
    </row>
    <row r="348">
      <c r="A348">
        <f>IF($B348="","",ROW()-5)</f>
        <v/>
      </c>
      <c r="D348">
        <f>IF($B348="","",IF(C348="","",TEXT(C348,"MMM")))</f>
        <v/>
      </c>
      <c r="L348">
        <f>IF($B348="","",IF(K348=0,0,(K348-J348)/K348))</f>
        <v/>
      </c>
    </row>
    <row r="349">
      <c r="A349">
        <f>IF($B349="","",ROW()-5)</f>
        <v/>
      </c>
      <c r="D349">
        <f>IF($B349="","",IF(C349="","",TEXT(C349,"MMM")))</f>
        <v/>
      </c>
      <c r="L349">
        <f>IF($B349="","",IF(K349=0,0,(K349-J349)/K349))</f>
        <v/>
      </c>
    </row>
    <row r="350">
      <c r="A350">
        <f>IF($B350="","",ROW()-5)</f>
        <v/>
      </c>
      <c r="D350">
        <f>IF($B350="","",IF(C350="","",TEXT(C350,"MMM")))</f>
        <v/>
      </c>
      <c r="L350">
        <f>IF($B350="","",IF(K350=0,0,(K350-J350)/K350))</f>
        <v/>
      </c>
    </row>
    <row r="351">
      <c r="A351">
        <f>IF($B351="","",ROW()-5)</f>
        <v/>
      </c>
      <c r="D351">
        <f>IF($B351="","",IF(C351="","",TEXT(C351,"MMM")))</f>
        <v/>
      </c>
      <c r="L351">
        <f>IF($B351="","",IF(K351=0,0,(K351-J351)/K351))</f>
        <v/>
      </c>
    </row>
    <row r="352">
      <c r="A352">
        <f>IF($B352="","",ROW()-5)</f>
        <v/>
      </c>
      <c r="D352">
        <f>IF($B352="","",IF(C352="","",TEXT(C352,"MMM")))</f>
        <v/>
      </c>
      <c r="L352">
        <f>IF($B352="","",IF(K352=0,0,(K352-J352)/K352))</f>
        <v/>
      </c>
    </row>
    <row r="353">
      <c r="A353">
        <f>IF($B353="","",ROW()-5)</f>
        <v/>
      </c>
      <c r="D353">
        <f>IF($B353="","",IF(C353="","",TEXT(C353,"MMM")))</f>
        <v/>
      </c>
      <c r="L353">
        <f>IF($B353="","",IF(K353=0,0,(K353-J353)/K353))</f>
        <v/>
      </c>
    </row>
    <row r="354">
      <c r="A354">
        <f>IF($B354="","",ROW()-5)</f>
        <v/>
      </c>
      <c r="D354">
        <f>IF($B354="","",IF(C354="","",TEXT(C354,"MMM")))</f>
        <v/>
      </c>
      <c r="L354">
        <f>IF($B354="","",IF(K354=0,0,(K354-J354)/K354))</f>
        <v/>
      </c>
    </row>
    <row r="355">
      <c r="A355">
        <f>IF($B355="","",ROW()-5)</f>
        <v/>
      </c>
      <c r="D355">
        <f>IF($B355="","",IF(C355="","",TEXT(C355,"MMM")))</f>
        <v/>
      </c>
      <c r="L355">
        <f>IF($B355="","",IF(K355=0,0,(K355-J355)/K355))</f>
        <v/>
      </c>
    </row>
    <row r="356">
      <c r="A356">
        <f>IF($B356="","",ROW()-5)</f>
        <v/>
      </c>
      <c r="D356">
        <f>IF($B356="","",IF(C356="","",TEXT(C356,"MMM")))</f>
        <v/>
      </c>
      <c r="L356">
        <f>IF($B356="","",IF(K356=0,0,(K356-J356)/K356))</f>
        <v/>
      </c>
    </row>
    <row r="357">
      <c r="A357">
        <f>IF($B357="","",ROW()-5)</f>
        <v/>
      </c>
      <c r="D357">
        <f>IF($B357="","",IF(C357="","",TEXT(C357,"MMM")))</f>
        <v/>
      </c>
      <c r="L357">
        <f>IF($B357="","",IF(K357=0,0,(K357-J357)/K357))</f>
        <v/>
      </c>
    </row>
    <row r="358">
      <c r="A358">
        <f>IF($B358="","",ROW()-5)</f>
        <v/>
      </c>
      <c r="D358">
        <f>IF($B358="","",IF(C358="","",TEXT(C358,"MMM")))</f>
        <v/>
      </c>
      <c r="L358">
        <f>IF($B358="","",IF(K358=0,0,(K358-J358)/K358))</f>
        <v/>
      </c>
    </row>
    <row r="359">
      <c r="A359">
        <f>IF($B359="","",ROW()-5)</f>
        <v/>
      </c>
      <c r="D359">
        <f>IF($B359="","",IF(C359="","",TEXT(C359,"MMM")))</f>
        <v/>
      </c>
      <c r="L359">
        <f>IF($B359="","",IF(K359=0,0,(K359-J359)/K359))</f>
        <v/>
      </c>
    </row>
    <row r="360">
      <c r="A360">
        <f>IF($B360="","",ROW()-5)</f>
        <v/>
      </c>
      <c r="D360">
        <f>IF($B360="","",IF(C360="","",TEXT(C360,"MMM")))</f>
        <v/>
      </c>
      <c r="L360">
        <f>IF($B360="","",IF(K360=0,0,(K360-J360)/K360))</f>
        <v/>
      </c>
    </row>
    <row r="361">
      <c r="A361">
        <f>IF($B361="","",ROW()-5)</f>
        <v/>
      </c>
      <c r="D361">
        <f>IF($B361="","",IF(C361="","",TEXT(C361,"MMM")))</f>
        <v/>
      </c>
      <c r="L361">
        <f>IF($B361="","",IF(K361=0,0,(K361-J361)/K361))</f>
        <v/>
      </c>
    </row>
    <row r="362">
      <c r="A362">
        <f>IF($B362="","",ROW()-5)</f>
        <v/>
      </c>
      <c r="D362">
        <f>IF($B362="","",IF(C362="","",TEXT(C362,"MMM")))</f>
        <v/>
      </c>
      <c r="L362">
        <f>IF($B362="","",IF(K362=0,0,(K362-J362)/K362))</f>
        <v/>
      </c>
    </row>
    <row r="363">
      <c r="A363">
        <f>IF($B363="","",ROW()-5)</f>
        <v/>
      </c>
      <c r="D363">
        <f>IF($B363="","",IF(C363="","",TEXT(C363,"MMM")))</f>
        <v/>
      </c>
      <c r="L363">
        <f>IF($B363="","",IF(K363=0,0,(K363-J363)/K363))</f>
        <v/>
      </c>
    </row>
    <row r="364">
      <c r="A364">
        <f>IF($B364="","",ROW()-5)</f>
        <v/>
      </c>
      <c r="D364">
        <f>IF($B364="","",IF(C364="","",TEXT(C364,"MMM")))</f>
        <v/>
      </c>
      <c r="L364">
        <f>IF($B364="","",IF(K364=0,0,(K364-J364)/K364))</f>
        <v/>
      </c>
    </row>
    <row r="365">
      <c r="A365">
        <f>IF($B365="","",ROW()-5)</f>
        <v/>
      </c>
      <c r="D365">
        <f>IF($B365="","",IF(C365="","",TEXT(C365,"MMM")))</f>
        <v/>
      </c>
      <c r="L365">
        <f>IF($B365="","",IF(K365=0,0,(K365-J365)/K365))</f>
        <v/>
      </c>
    </row>
    <row r="366">
      <c r="A366">
        <f>IF($B366="","",ROW()-5)</f>
        <v/>
      </c>
      <c r="D366">
        <f>IF($B366="","",IF(C366="","",TEXT(C366,"MMM")))</f>
        <v/>
      </c>
      <c r="L366">
        <f>IF($B366="","",IF(K366=0,0,(K366-J366)/K366))</f>
        <v/>
      </c>
    </row>
    <row r="367">
      <c r="A367">
        <f>IF($B367="","",ROW()-5)</f>
        <v/>
      </c>
      <c r="D367">
        <f>IF($B367="","",IF(C367="","",TEXT(C367,"MMM")))</f>
        <v/>
      </c>
      <c r="L367">
        <f>IF($B367="","",IF(K367=0,0,(K367-J367)/K367))</f>
        <v/>
      </c>
    </row>
    <row r="368">
      <c r="A368">
        <f>IF($B368="","",ROW()-5)</f>
        <v/>
      </c>
      <c r="D368">
        <f>IF($B368="","",IF(C368="","",TEXT(C368,"MMM")))</f>
        <v/>
      </c>
      <c r="L368">
        <f>IF($B368="","",IF(K368=0,0,(K368-J368)/K368))</f>
        <v/>
      </c>
    </row>
    <row r="369">
      <c r="A369">
        <f>IF($B369="","",ROW()-5)</f>
        <v/>
      </c>
      <c r="D369">
        <f>IF($B369="","",IF(C369="","",TEXT(C369,"MMM")))</f>
        <v/>
      </c>
      <c r="L369">
        <f>IF($B369="","",IF(K369=0,0,(K369-J369)/K369))</f>
        <v/>
      </c>
    </row>
    <row r="370">
      <c r="A370">
        <f>IF($B370="","",ROW()-5)</f>
        <v/>
      </c>
      <c r="D370">
        <f>IF($B370="","",IF(C370="","",TEXT(C370,"MMM")))</f>
        <v/>
      </c>
      <c r="L370">
        <f>IF($B370="","",IF(K370=0,0,(K370-J370)/K370))</f>
        <v/>
      </c>
    </row>
    <row r="371">
      <c r="A371">
        <f>IF($B371="","",ROW()-5)</f>
        <v/>
      </c>
      <c r="D371">
        <f>IF($B371="","",IF(C371="","",TEXT(C371,"MMM")))</f>
        <v/>
      </c>
      <c r="L371">
        <f>IF($B371="","",IF(K371=0,0,(K371-J371)/K371))</f>
        <v/>
      </c>
    </row>
    <row r="372">
      <c r="A372">
        <f>IF($B372="","",ROW()-5)</f>
        <v/>
      </c>
      <c r="D372">
        <f>IF($B372="","",IF(C372="","",TEXT(C372,"MMM")))</f>
        <v/>
      </c>
      <c r="L372">
        <f>IF($B372="","",IF(K372=0,0,(K372-J372)/K372))</f>
        <v/>
      </c>
    </row>
    <row r="373">
      <c r="A373">
        <f>IF($B373="","",ROW()-5)</f>
        <v/>
      </c>
      <c r="D373">
        <f>IF($B373="","",IF(C373="","",TEXT(C373,"MMM")))</f>
        <v/>
      </c>
      <c r="L373">
        <f>IF($B373="","",IF(K373=0,0,(K373-J373)/K373))</f>
        <v/>
      </c>
    </row>
    <row r="374">
      <c r="A374">
        <f>IF($B374="","",ROW()-5)</f>
        <v/>
      </c>
      <c r="D374">
        <f>IF($B374="","",IF(C374="","",TEXT(C374,"MMM")))</f>
        <v/>
      </c>
      <c r="L374">
        <f>IF($B374="","",IF(K374=0,0,(K374-J374)/K374))</f>
        <v/>
      </c>
    </row>
    <row r="375">
      <c r="A375">
        <f>IF($B375="","",ROW()-5)</f>
        <v/>
      </c>
      <c r="D375">
        <f>IF($B375="","",IF(C375="","",TEXT(C375,"MMM")))</f>
        <v/>
      </c>
      <c r="L375">
        <f>IF($B375="","",IF(K375=0,0,(K375-J375)/K375))</f>
        <v/>
      </c>
    </row>
    <row r="376">
      <c r="A376">
        <f>IF($B376="","",ROW()-5)</f>
        <v/>
      </c>
      <c r="D376">
        <f>IF($B376="","",IF(C376="","",TEXT(C376,"MMM")))</f>
        <v/>
      </c>
      <c r="L376">
        <f>IF($B376="","",IF(K376=0,0,(K376-J376)/K376))</f>
        <v/>
      </c>
    </row>
    <row r="377">
      <c r="A377">
        <f>IF($B377="","",ROW()-5)</f>
        <v/>
      </c>
      <c r="D377">
        <f>IF($B377="","",IF(C377="","",TEXT(C377,"MMM")))</f>
        <v/>
      </c>
      <c r="L377">
        <f>IF($B377="","",IF(K377=0,0,(K377-J377)/K377))</f>
        <v/>
      </c>
    </row>
    <row r="378">
      <c r="A378">
        <f>IF($B378="","",ROW()-5)</f>
        <v/>
      </c>
      <c r="D378">
        <f>IF($B378="","",IF(C378="","",TEXT(C378,"MMM")))</f>
        <v/>
      </c>
      <c r="L378">
        <f>IF($B378="","",IF(K378=0,0,(K378-J378)/K378))</f>
        <v/>
      </c>
    </row>
    <row r="379">
      <c r="A379">
        <f>IF($B379="","",ROW()-5)</f>
        <v/>
      </c>
      <c r="D379">
        <f>IF($B379="","",IF(C379="","",TEXT(C379,"MMM")))</f>
        <v/>
      </c>
      <c r="L379">
        <f>IF($B379="","",IF(K379=0,0,(K379-J379)/K379))</f>
        <v/>
      </c>
    </row>
    <row r="380">
      <c r="A380">
        <f>IF($B380="","",ROW()-5)</f>
        <v/>
      </c>
      <c r="D380">
        <f>IF($B380="","",IF(C380="","",TEXT(C380,"MMM")))</f>
        <v/>
      </c>
      <c r="L380">
        <f>IF($B380="","",IF(K380=0,0,(K380-J380)/K380))</f>
        <v/>
      </c>
    </row>
    <row r="381">
      <c r="A381">
        <f>IF($B381="","",ROW()-5)</f>
        <v/>
      </c>
      <c r="D381">
        <f>IF($B381="","",IF(C381="","",TEXT(C381,"MMM")))</f>
        <v/>
      </c>
      <c r="L381">
        <f>IF($B381="","",IF(K381=0,0,(K381-J381)/K381))</f>
        <v/>
      </c>
    </row>
    <row r="382">
      <c r="A382">
        <f>IF($B382="","",ROW()-5)</f>
        <v/>
      </c>
      <c r="D382">
        <f>IF($B382="","",IF(C382="","",TEXT(C382,"MMM")))</f>
        <v/>
      </c>
      <c r="L382">
        <f>IF($B382="","",IF(K382=0,0,(K382-J382)/K382))</f>
        <v/>
      </c>
    </row>
    <row r="383">
      <c r="A383">
        <f>IF($B383="","",ROW()-5)</f>
        <v/>
      </c>
      <c r="D383">
        <f>IF($B383="","",IF(C383="","",TEXT(C383,"MMM")))</f>
        <v/>
      </c>
      <c r="L383">
        <f>IF($B383="","",IF(K383=0,0,(K383-J383)/K383))</f>
        <v/>
      </c>
    </row>
    <row r="384">
      <c r="A384">
        <f>IF($B384="","",ROW()-5)</f>
        <v/>
      </c>
      <c r="D384">
        <f>IF($B384="","",IF(C384="","",TEXT(C384,"MMM")))</f>
        <v/>
      </c>
      <c r="L384">
        <f>IF($B384="","",IF(K384=0,0,(K384-J384)/K384))</f>
        <v/>
      </c>
    </row>
    <row r="385">
      <c r="A385">
        <f>IF($B385="","",ROW()-5)</f>
        <v/>
      </c>
      <c r="D385">
        <f>IF($B385="","",IF(C385="","",TEXT(C385,"MMM")))</f>
        <v/>
      </c>
      <c r="L385">
        <f>IF($B385="","",IF(K385=0,0,(K385-J385)/K385))</f>
        <v/>
      </c>
    </row>
    <row r="386">
      <c r="A386">
        <f>IF($B386="","",ROW()-5)</f>
        <v/>
      </c>
      <c r="D386">
        <f>IF($B386="","",IF(C386="","",TEXT(C386,"MMM")))</f>
        <v/>
      </c>
      <c r="L386">
        <f>IF($B386="","",IF(K386=0,0,(K386-J386)/K386))</f>
        <v/>
      </c>
    </row>
    <row r="387">
      <c r="A387">
        <f>IF($B387="","",ROW()-5)</f>
        <v/>
      </c>
      <c r="D387">
        <f>IF($B387="","",IF(C387="","",TEXT(C387,"MMM")))</f>
        <v/>
      </c>
      <c r="L387">
        <f>IF($B387="","",IF(K387=0,0,(K387-J387)/K387))</f>
        <v/>
      </c>
    </row>
    <row r="388">
      <c r="A388">
        <f>IF($B388="","",ROW()-5)</f>
        <v/>
      </c>
      <c r="D388">
        <f>IF($B388="","",IF(C388="","",TEXT(C388,"MMM")))</f>
        <v/>
      </c>
      <c r="L388">
        <f>IF($B388="","",IF(K388=0,0,(K388-J388)/K388))</f>
        <v/>
      </c>
    </row>
    <row r="389">
      <c r="A389">
        <f>IF($B389="","",ROW()-5)</f>
        <v/>
      </c>
      <c r="D389">
        <f>IF($B389="","",IF(C389="","",TEXT(C389,"MMM")))</f>
        <v/>
      </c>
      <c r="L389">
        <f>IF($B389="","",IF(K389=0,0,(K389-J389)/K389))</f>
        <v/>
      </c>
    </row>
    <row r="390">
      <c r="A390">
        <f>IF($B390="","",ROW()-5)</f>
        <v/>
      </c>
      <c r="D390">
        <f>IF($B390="","",IF(C390="","",TEXT(C390,"MMM")))</f>
        <v/>
      </c>
      <c r="L390">
        <f>IF($B390="","",IF(K390=0,0,(K390-J390)/K390))</f>
        <v/>
      </c>
    </row>
    <row r="391">
      <c r="A391">
        <f>IF($B391="","",ROW()-5)</f>
        <v/>
      </c>
      <c r="D391">
        <f>IF($B391="","",IF(C391="","",TEXT(C391,"MMM")))</f>
        <v/>
      </c>
      <c r="L391">
        <f>IF($B391="","",IF(K391=0,0,(K391-J391)/K391))</f>
        <v/>
      </c>
    </row>
    <row r="392">
      <c r="A392">
        <f>IF($B392="","",ROW()-5)</f>
        <v/>
      </c>
      <c r="D392">
        <f>IF($B392="","",IF(C392="","",TEXT(C392,"MMM")))</f>
        <v/>
      </c>
      <c r="L392">
        <f>IF($B392="","",IF(K392=0,0,(K392-J392)/K392))</f>
        <v/>
      </c>
    </row>
    <row r="393">
      <c r="A393">
        <f>IF($B393="","",ROW()-5)</f>
        <v/>
      </c>
      <c r="D393">
        <f>IF($B393="","",IF(C393="","",TEXT(C393,"MMM")))</f>
        <v/>
      </c>
      <c r="L393">
        <f>IF($B393="","",IF(K393=0,0,(K393-J393)/K393))</f>
        <v/>
      </c>
    </row>
    <row r="394">
      <c r="A394">
        <f>IF($B394="","",ROW()-5)</f>
        <v/>
      </c>
      <c r="D394">
        <f>IF($B394="","",IF(C394="","",TEXT(C394,"MMM")))</f>
        <v/>
      </c>
      <c r="L394">
        <f>IF($B394="","",IF(K394=0,0,(K394-J394)/K394))</f>
        <v/>
      </c>
    </row>
    <row r="395">
      <c r="A395">
        <f>IF($B395="","",ROW()-5)</f>
        <v/>
      </c>
      <c r="D395">
        <f>IF($B395="","",IF(C395="","",TEXT(C395,"MMM")))</f>
        <v/>
      </c>
      <c r="L395">
        <f>IF($B395="","",IF(K395=0,0,(K395-J395)/K395))</f>
        <v/>
      </c>
    </row>
    <row r="396">
      <c r="A396">
        <f>IF($B396="","",ROW()-5)</f>
        <v/>
      </c>
      <c r="D396">
        <f>IF($B396="","",IF(C396="","",TEXT(C396,"MMM")))</f>
        <v/>
      </c>
      <c r="L396">
        <f>IF($B396="","",IF(K396=0,0,(K396-J396)/K396))</f>
        <v/>
      </c>
    </row>
    <row r="397">
      <c r="A397">
        <f>IF($B397="","",ROW()-5)</f>
        <v/>
      </c>
      <c r="D397">
        <f>IF($B397="","",IF(C397="","",TEXT(C397,"MMM")))</f>
        <v/>
      </c>
      <c r="L397">
        <f>IF($B397="","",IF(K397=0,0,(K397-J397)/K397))</f>
        <v/>
      </c>
    </row>
    <row r="398">
      <c r="A398">
        <f>IF($B398="","",ROW()-5)</f>
        <v/>
      </c>
      <c r="D398">
        <f>IF($B398="","",IF(C398="","",TEXT(C398,"MMM")))</f>
        <v/>
      </c>
      <c r="L398">
        <f>IF($B398="","",IF(K398=0,0,(K398-J398)/K398))</f>
        <v/>
      </c>
    </row>
    <row r="399">
      <c r="A399">
        <f>IF($B399="","",ROW()-5)</f>
        <v/>
      </c>
      <c r="D399">
        <f>IF($B399="","",IF(C399="","",TEXT(C399,"MMM")))</f>
        <v/>
      </c>
      <c r="L399">
        <f>IF($B399="","",IF(K399=0,0,(K399-J399)/K399))</f>
        <v/>
      </c>
    </row>
    <row r="400">
      <c r="A400">
        <f>IF($B400="","",ROW()-5)</f>
        <v/>
      </c>
      <c r="D400">
        <f>IF($B400="","",IF(C400="","",TEXT(C400,"MMM")))</f>
        <v/>
      </c>
      <c r="L400">
        <f>IF($B400="","",IF(K400=0,0,(K400-J400)/K400))</f>
        <v/>
      </c>
    </row>
    <row r="401">
      <c r="A401">
        <f>IF($B401="","",ROW()-5)</f>
        <v/>
      </c>
      <c r="D401">
        <f>IF($B401="","",IF(C401="","",TEXT(C401,"MMM")))</f>
        <v/>
      </c>
      <c r="L401">
        <f>IF($B401="","",IF(K401=0,0,(K401-J401)/K401))</f>
        <v/>
      </c>
    </row>
    <row r="402">
      <c r="A402">
        <f>IF($B402="","",ROW()-5)</f>
        <v/>
      </c>
      <c r="D402">
        <f>IF($B402="","",IF(C402="","",TEXT(C402,"MMM")))</f>
        <v/>
      </c>
      <c r="L402">
        <f>IF($B402="","",IF(K402=0,0,(K402-J402)/K402))</f>
        <v/>
      </c>
    </row>
    <row r="403">
      <c r="A403">
        <f>IF($B403="","",ROW()-5)</f>
        <v/>
      </c>
      <c r="D403">
        <f>IF($B403="","",IF(C403="","",TEXT(C403,"MMM")))</f>
        <v/>
      </c>
      <c r="L403">
        <f>IF($B403="","",IF(K403=0,0,(K403-J403)/K403))</f>
        <v/>
      </c>
    </row>
    <row r="404">
      <c r="A404">
        <f>IF($B404="","",ROW()-5)</f>
        <v/>
      </c>
      <c r="D404">
        <f>IF($B404="","",IF(C404="","",TEXT(C404,"MMM")))</f>
        <v/>
      </c>
      <c r="L404">
        <f>IF($B404="","",IF(K404=0,0,(K404-J404)/K404))</f>
        <v/>
      </c>
    </row>
    <row r="405">
      <c r="A405">
        <f>IF($B405="","",ROW()-5)</f>
        <v/>
      </c>
      <c r="D405">
        <f>IF($B405="","",IF(C405="","",TEXT(C405,"MMM")))</f>
        <v/>
      </c>
      <c r="L405">
        <f>IF($B405="","",IF(K405=0,0,(K405-J405)/K405))</f>
        <v/>
      </c>
    </row>
    <row r="406">
      <c r="A406">
        <f>IF($B406="","",ROW()-5)</f>
        <v/>
      </c>
      <c r="D406">
        <f>IF($B406="","",IF(C406="","",TEXT(C406,"MMM")))</f>
        <v/>
      </c>
      <c r="L406">
        <f>IF($B406="","",IF(K406=0,0,(K406-J406)/K406))</f>
        <v/>
      </c>
    </row>
    <row r="407">
      <c r="A407">
        <f>IF($B407="","",ROW()-5)</f>
        <v/>
      </c>
      <c r="D407">
        <f>IF($B407="","",IF(C407="","",TEXT(C407,"MMM")))</f>
        <v/>
      </c>
      <c r="L407">
        <f>IF($B407="","",IF(K407=0,0,(K407-J407)/K407))</f>
        <v/>
      </c>
    </row>
    <row r="408">
      <c r="A408">
        <f>IF($B408="","",ROW()-5)</f>
        <v/>
      </c>
      <c r="D408">
        <f>IF($B408="","",IF(C408="","",TEXT(C408,"MMM")))</f>
        <v/>
      </c>
      <c r="L408">
        <f>IF($B408="","",IF(K408=0,0,(K408-J408)/K408))</f>
        <v/>
      </c>
    </row>
    <row r="409">
      <c r="A409">
        <f>IF($B409="","",ROW()-5)</f>
        <v/>
      </c>
      <c r="D409">
        <f>IF($B409="","",IF(C409="","",TEXT(C409,"MMM")))</f>
        <v/>
      </c>
      <c r="L409">
        <f>IF($B409="","",IF(K409=0,0,(K409-J409)/K409))</f>
        <v/>
      </c>
    </row>
    <row r="410">
      <c r="A410">
        <f>IF($B410="","",ROW()-5)</f>
        <v/>
      </c>
      <c r="D410">
        <f>IF($B410="","",IF(C410="","",TEXT(C410,"MMM")))</f>
        <v/>
      </c>
      <c r="L410">
        <f>IF($B410="","",IF(K410=0,0,(K410-J410)/K410))</f>
        <v/>
      </c>
    </row>
    <row r="411">
      <c r="A411">
        <f>IF($B411="","",ROW()-5)</f>
        <v/>
      </c>
      <c r="D411">
        <f>IF($B411="","",IF(C411="","",TEXT(C411,"MMM")))</f>
        <v/>
      </c>
      <c r="L411">
        <f>IF($B411="","",IF(K411=0,0,(K411-J411)/K411))</f>
        <v/>
      </c>
    </row>
    <row r="412">
      <c r="A412">
        <f>IF($B412="","",ROW()-5)</f>
        <v/>
      </c>
      <c r="D412">
        <f>IF($B412="","",IF(C412="","",TEXT(C412,"MMM")))</f>
        <v/>
      </c>
      <c r="L412">
        <f>IF($B412="","",IF(K412=0,0,(K412-J412)/K412))</f>
        <v/>
      </c>
    </row>
    <row r="413">
      <c r="A413">
        <f>IF($B413="","",ROW()-5)</f>
        <v/>
      </c>
      <c r="D413">
        <f>IF($B413="","",IF(C413="","",TEXT(C413,"MMM")))</f>
        <v/>
      </c>
      <c r="L413">
        <f>IF($B413="","",IF(K413=0,0,(K413-J413)/K413))</f>
        <v/>
      </c>
    </row>
    <row r="414">
      <c r="A414">
        <f>IF($B414="","",ROW()-5)</f>
        <v/>
      </c>
      <c r="D414">
        <f>IF($B414="","",IF(C414="","",TEXT(C414,"MMM")))</f>
        <v/>
      </c>
      <c r="L414">
        <f>IF($B414="","",IF(K414=0,0,(K414-J414)/K414))</f>
        <v/>
      </c>
    </row>
    <row r="415">
      <c r="A415">
        <f>IF($B415="","",ROW()-5)</f>
        <v/>
      </c>
      <c r="D415">
        <f>IF($B415="","",IF(C415="","",TEXT(C415,"MMM")))</f>
        <v/>
      </c>
      <c r="L415">
        <f>IF($B415="","",IF(K415=0,0,(K415-J415)/K415))</f>
        <v/>
      </c>
    </row>
    <row r="416">
      <c r="A416">
        <f>IF($B416="","",ROW()-5)</f>
        <v/>
      </c>
      <c r="D416">
        <f>IF($B416="","",IF(C416="","",TEXT(C416,"MMM")))</f>
        <v/>
      </c>
      <c r="L416">
        <f>IF($B416="","",IF(K416=0,0,(K416-J416)/K416))</f>
        <v/>
      </c>
    </row>
    <row r="417">
      <c r="A417">
        <f>IF($B417="","",ROW()-5)</f>
        <v/>
      </c>
      <c r="D417">
        <f>IF($B417="","",IF(C417="","",TEXT(C417,"MMM")))</f>
        <v/>
      </c>
      <c r="L417">
        <f>IF($B417="","",IF(K417=0,0,(K417-J417)/K417))</f>
        <v/>
      </c>
    </row>
    <row r="418">
      <c r="A418">
        <f>IF($B418="","",ROW()-5)</f>
        <v/>
      </c>
      <c r="D418">
        <f>IF($B418="","",IF(C418="","",TEXT(C418,"MMM")))</f>
        <v/>
      </c>
      <c r="L418">
        <f>IF($B418="","",IF(K418=0,0,(K418-J418)/K418))</f>
        <v/>
      </c>
    </row>
    <row r="419">
      <c r="A419">
        <f>IF($B419="","",ROW()-5)</f>
        <v/>
      </c>
      <c r="D419">
        <f>IF($B419="","",IF(C419="","",TEXT(C419,"MMM")))</f>
        <v/>
      </c>
      <c r="L419">
        <f>IF($B419="","",IF(K419=0,0,(K419-J419)/K419))</f>
        <v/>
      </c>
    </row>
    <row r="420">
      <c r="A420">
        <f>IF($B420="","",ROW()-5)</f>
        <v/>
      </c>
      <c r="D420">
        <f>IF($B420="","",IF(C420="","",TEXT(C420,"MMM")))</f>
        <v/>
      </c>
      <c r="L420">
        <f>IF($B420="","",IF(K420=0,0,(K420-J420)/K420))</f>
        <v/>
      </c>
    </row>
    <row r="421">
      <c r="A421">
        <f>IF($B421="","",ROW()-5)</f>
        <v/>
      </c>
      <c r="D421">
        <f>IF($B421="","",IF(C421="","",TEXT(C421,"MMM")))</f>
        <v/>
      </c>
      <c r="L421">
        <f>IF($B421="","",IF(K421=0,0,(K421-J421)/K421))</f>
        <v/>
      </c>
    </row>
    <row r="422">
      <c r="A422">
        <f>IF($B422="","",ROW()-5)</f>
        <v/>
      </c>
      <c r="D422">
        <f>IF($B422="","",IF(C422="","",TEXT(C422,"MMM")))</f>
        <v/>
      </c>
      <c r="L422">
        <f>IF($B422="","",IF(K422=0,0,(K422-J422)/K422))</f>
        <v/>
      </c>
    </row>
    <row r="423">
      <c r="A423">
        <f>IF($B423="","",ROW()-5)</f>
        <v/>
      </c>
      <c r="D423">
        <f>IF($B423="","",IF(C423="","",TEXT(C423,"MMM")))</f>
        <v/>
      </c>
      <c r="L423">
        <f>IF($B423="","",IF(K423=0,0,(K423-J423)/K423))</f>
        <v/>
      </c>
    </row>
    <row r="424">
      <c r="A424">
        <f>IF($B424="","",ROW()-5)</f>
        <v/>
      </c>
      <c r="D424">
        <f>IF($B424="","",IF(C424="","",TEXT(C424,"MMM")))</f>
        <v/>
      </c>
      <c r="L424">
        <f>IF($B424="","",IF(K424=0,0,(K424-J424)/K424))</f>
        <v/>
      </c>
    </row>
    <row r="425">
      <c r="A425">
        <f>IF($B425="","",ROW()-5)</f>
        <v/>
      </c>
      <c r="D425">
        <f>IF($B425="","",IF(C425="","",TEXT(C425,"MMM")))</f>
        <v/>
      </c>
      <c r="L425">
        <f>IF($B425="","",IF(K425=0,0,(K425-J425)/K425))</f>
        <v/>
      </c>
    </row>
    <row r="426">
      <c r="A426">
        <f>IF($B426="","",ROW()-5)</f>
        <v/>
      </c>
      <c r="D426">
        <f>IF($B426="","",IF(C426="","",TEXT(C426,"MMM")))</f>
        <v/>
      </c>
      <c r="L426">
        <f>IF($B426="","",IF(K426=0,0,(K426-J426)/K426))</f>
        <v/>
      </c>
    </row>
    <row r="427">
      <c r="A427">
        <f>IF($B427="","",ROW()-5)</f>
        <v/>
      </c>
      <c r="D427">
        <f>IF($B427="","",IF(C427="","",TEXT(C427,"MMM")))</f>
        <v/>
      </c>
      <c r="L427">
        <f>IF($B427="","",IF(K427=0,0,(K427-J427)/K427))</f>
        <v/>
      </c>
    </row>
    <row r="428">
      <c r="A428">
        <f>IF($B428="","",ROW()-5)</f>
        <v/>
      </c>
      <c r="D428">
        <f>IF($B428="","",IF(C428="","",TEXT(C428,"MMM")))</f>
        <v/>
      </c>
      <c r="L428">
        <f>IF($B428="","",IF(K428=0,0,(K428-J428)/K428))</f>
        <v/>
      </c>
    </row>
    <row r="429">
      <c r="A429">
        <f>IF($B429="","",ROW()-5)</f>
        <v/>
      </c>
      <c r="D429">
        <f>IF($B429="","",IF(C429="","",TEXT(C429,"MMM")))</f>
        <v/>
      </c>
      <c r="L429">
        <f>IF($B429="","",IF(K429=0,0,(K429-J429)/K429))</f>
        <v/>
      </c>
    </row>
    <row r="430">
      <c r="A430">
        <f>IF($B430="","",ROW()-5)</f>
        <v/>
      </c>
      <c r="D430">
        <f>IF($B430="","",IF(C430="","",TEXT(C430,"MMM")))</f>
        <v/>
      </c>
      <c r="L430">
        <f>IF($B430="","",IF(K430=0,0,(K430-J430)/K430))</f>
        <v/>
      </c>
    </row>
    <row r="431">
      <c r="A431">
        <f>IF($B431="","",ROW()-5)</f>
        <v/>
      </c>
      <c r="D431">
        <f>IF($B431="","",IF(C431="","",TEXT(C431,"MMM")))</f>
        <v/>
      </c>
      <c r="L431">
        <f>IF($B431="","",IF(K431=0,0,(K431-J431)/K431))</f>
        <v/>
      </c>
    </row>
    <row r="432">
      <c r="A432">
        <f>IF($B432="","",ROW()-5)</f>
        <v/>
      </c>
      <c r="D432">
        <f>IF($B432="","",IF(C432="","",TEXT(C432,"MMM")))</f>
        <v/>
      </c>
      <c r="L432">
        <f>IF($B432="","",IF(K432=0,0,(K432-J432)/K432))</f>
        <v/>
      </c>
    </row>
    <row r="433">
      <c r="A433">
        <f>IF($B433="","",ROW()-5)</f>
        <v/>
      </c>
      <c r="D433">
        <f>IF($B433="","",IF(C433="","",TEXT(C433,"MMM")))</f>
        <v/>
      </c>
      <c r="L433">
        <f>IF($B433="","",IF(K433=0,0,(K433-J433)/K433))</f>
        <v/>
      </c>
    </row>
    <row r="434">
      <c r="A434">
        <f>IF($B434="","",ROW()-5)</f>
        <v/>
      </c>
      <c r="D434">
        <f>IF($B434="","",IF(C434="","",TEXT(C434,"MMM")))</f>
        <v/>
      </c>
      <c r="L434">
        <f>IF($B434="","",IF(K434=0,0,(K434-J434)/K434))</f>
        <v/>
      </c>
    </row>
    <row r="435">
      <c r="A435">
        <f>IF($B435="","",ROW()-5)</f>
        <v/>
      </c>
      <c r="D435">
        <f>IF($B435="","",IF(C435="","",TEXT(C435,"MMM")))</f>
        <v/>
      </c>
      <c r="L435">
        <f>IF($B435="","",IF(K435=0,0,(K435-J435)/K435))</f>
        <v/>
      </c>
    </row>
    <row r="436">
      <c r="A436">
        <f>IF($B436="","",ROW()-5)</f>
        <v/>
      </c>
      <c r="D436">
        <f>IF($B436="","",IF(C436="","",TEXT(C436,"MMM")))</f>
        <v/>
      </c>
      <c r="L436">
        <f>IF($B436="","",IF(K436=0,0,(K436-J436)/K436))</f>
        <v/>
      </c>
    </row>
    <row r="437">
      <c r="A437">
        <f>IF($B437="","",ROW()-5)</f>
        <v/>
      </c>
      <c r="D437">
        <f>IF($B437="","",IF(C437="","",TEXT(C437,"MMM")))</f>
        <v/>
      </c>
      <c r="L437">
        <f>IF($B437="","",IF(K437=0,0,(K437-J437)/K437))</f>
        <v/>
      </c>
    </row>
    <row r="438">
      <c r="A438">
        <f>IF($B438="","",ROW()-5)</f>
        <v/>
      </c>
      <c r="D438">
        <f>IF($B438="","",IF(C438="","",TEXT(C438,"MMM")))</f>
        <v/>
      </c>
      <c r="L438">
        <f>IF($B438="","",IF(K438=0,0,(K438-J438)/K438))</f>
        <v/>
      </c>
    </row>
    <row r="439">
      <c r="A439">
        <f>IF($B439="","",ROW()-5)</f>
        <v/>
      </c>
      <c r="D439">
        <f>IF($B439="","",IF(C439="","",TEXT(C439,"MMM")))</f>
        <v/>
      </c>
      <c r="L439">
        <f>IF($B439="","",IF(K439=0,0,(K439-J439)/K439))</f>
        <v/>
      </c>
    </row>
    <row r="440">
      <c r="A440">
        <f>IF($B440="","",ROW()-5)</f>
        <v/>
      </c>
      <c r="D440">
        <f>IF($B440="","",IF(C440="","",TEXT(C440,"MMM")))</f>
        <v/>
      </c>
      <c r="L440">
        <f>IF($B440="","",IF(K440=0,0,(K440-J440)/K440))</f>
        <v/>
      </c>
    </row>
    <row r="441">
      <c r="A441">
        <f>IF($B441="","",ROW()-5)</f>
        <v/>
      </c>
      <c r="D441">
        <f>IF($B441="","",IF(C441="","",TEXT(C441,"MMM")))</f>
        <v/>
      </c>
      <c r="L441">
        <f>IF($B441="","",IF(K441=0,0,(K441-J441)/K441))</f>
        <v/>
      </c>
    </row>
    <row r="442">
      <c r="A442">
        <f>IF($B442="","",ROW()-5)</f>
        <v/>
      </c>
      <c r="D442">
        <f>IF($B442="","",IF(C442="","",TEXT(C442,"MMM")))</f>
        <v/>
      </c>
      <c r="L442">
        <f>IF($B442="","",IF(K442=0,0,(K442-J442)/K442))</f>
        <v/>
      </c>
    </row>
    <row r="443">
      <c r="A443">
        <f>IF($B443="","",ROW()-5)</f>
        <v/>
      </c>
      <c r="D443">
        <f>IF($B443="","",IF(C443="","",TEXT(C443,"MMM")))</f>
        <v/>
      </c>
      <c r="L443">
        <f>IF($B443="","",IF(K443=0,0,(K443-J443)/K443))</f>
        <v/>
      </c>
    </row>
    <row r="444">
      <c r="A444">
        <f>IF($B444="","",ROW()-5)</f>
        <v/>
      </c>
      <c r="D444">
        <f>IF($B444="","",IF(C444="","",TEXT(C444,"MMM")))</f>
        <v/>
      </c>
      <c r="L444">
        <f>IF($B444="","",IF(K444=0,0,(K444-J444)/K444))</f>
        <v/>
      </c>
    </row>
    <row r="445">
      <c r="A445">
        <f>IF($B445="","",ROW()-5)</f>
        <v/>
      </c>
      <c r="D445">
        <f>IF($B445="","",IF(C445="","",TEXT(C445,"MMM")))</f>
        <v/>
      </c>
      <c r="L445">
        <f>IF($B445="","",IF(K445=0,0,(K445-J445)/K445))</f>
        <v/>
      </c>
    </row>
    <row r="446">
      <c r="A446">
        <f>IF($B446="","",ROW()-5)</f>
        <v/>
      </c>
      <c r="D446">
        <f>IF($B446="","",IF(C446="","",TEXT(C446,"MMM")))</f>
        <v/>
      </c>
      <c r="L446">
        <f>IF($B446="","",IF(K446=0,0,(K446-J446)/K446))</f>
        <v/>
      </c>
    </row>
    <row r="447">
      <c r="A447">
        <f>IF($B447="","",ROW()-5)</f>
        <v/>
      </c>
      <c r="D447">
        <f>IF($B447="","",IF(C447="","",TEXT(C447,"MMM")))</f>
        <v/>
      </c>
      <c r="L447">
        <f>IF($B447="","",IF(K447=0,0,(K447-J447)/K447))</f>
        <v/>
      </c>
    </row>
    <row r="448">
      <c r="A448">
        <f>IF($B448="","",ROW()-5)</f>
        <v/>
      </c>
      <c r="D448">
        <f>IF($B448="","",IF(C448="","",TEXT(C448,"MMM")))</f>
        <v/>
      </c>
      <c r="L448">
        <f>IF($B448="","",IF(K448=0,0,(K448-J448)/K448))</f>
        <v/>
      </c>
    </row>
    <row r="449">
      <c r="A449">
        <f>IF($B449="","",ROW()-5)</f>
        <v/>
      </c>
      <c r="D449">
        <f>IF($B449="","",IF(C449="","",TEXT(C449,"MMM")))</f>
        <v/>
      </c>
      <c r="L449">
        <f>IF($B449="","",IF(K449=0,0,(K449-J449)/K449))</f>
        <v/>
      </c>
    </row>
    <row r="450">
      <c r="A450">
        <f>IF($B450="","",ROW()-5)</f>
        <v/>
      </c>
      <c r="D450">
        <f>IF($B450="","",IF(C450="","",TEXT(C450,"MMM")))</f>
        <v/>
      </c>
      <c r="L450">
        <f>IF($B450="","",IF(K450=0,0,(K450-J450)/K450))</f>
        <v/>
      </c>
    </row>
    <row r="451">
      <c r="A451">
        <f>IF($B451="","",ROW()-5)</f>
        <v/>
      </c>
      <c r="D451">
        <f>IF($B451="","",IF(C451="","",TEXT(C451,"MMM")))</f>
        <v/>
      </c>
      <c r="L451">
        <f>IF($B451="","",IF(K451=0,0,(K451-J451)/K451))</f>
        <v/>
      </c>
    </row>
    <row r="452">
      <c r="A452">
        <f>IF($B452="","",ROW()-5)</f>
        <v/>
      </c>
      <c r="D452">
        <f>IF($B452="","",IF(C452="","",TEXT(C452,"MMM")))</f>
        <v/>
      </c>
      <c r="L452">
        <f>IF($B452="","",IF(K452=0,0,(K452-J452)/K452))</f>
        <v/>
      </c>
    </row>
    <row r="453">
      <c r="A453">
        <f>IF($B453="","",ROW()-5)</f>
        <v/>
      </c>
      <c r="D453">
        <f>IF($B453="","",IF(C453="","",TEXT(C453,"MMM")))</f>
        <v/>
      </c>
      <c r="L453">
        <f>IF($B453="","",IF(K453=0,0,(K453-J453)/K453))</f>
        <v/>
      </c>
    </row>
    <row r="454">
      <c r="A454">
        <f>IF($B454="","",ROW()-5)</f>
        <v/>
      </c>
      <c r="D454">
        <f>IF($B454="","",IF(C454="","",TEXT(C454,"MMM")))</f>
        <v/>
      </c>
      <c r="L454">
        <f>IF($B454="","",IF(K454=0,0,(K454-J454)/K454))</f>
        <v/>
      </c>
    </row>
    <row r="455">
      <c r="A455">
        <f>IF($B455="","",ROW()-5)</f>
        <v/>
      </c>
      <c r="D455">
        <f>IF($B455="","",IF(C455="","",TEXT(C455,"MMM")))</f>
        <v/>
      </c>
      <c r="L455">
        <f>IF($B455="","",IF(K455=0,0,(K455-J455)/K455))</f>
        <v/>
      </c>
    </row>
    <row r="456">
      <c r="A456">
        <f>IF($B456="","",ROW()-5)</f>
        <v/>
      </c>
      <c r="D456">
        <f>IF($B456="","",IF(C456="","",TEXT(C456,"MMM")))</f>
        <v/>
      </c>
      <c r="L456">
        <f>IF($B456="","",IF(K456=0,0,(K456-J456)/K456))</f>
        <v/>
      </c>
    </row>
    <row r="457">
      <c r="A457">
        <f>IF($B457="","",ROW()-5)</f>
        <v/>
      </c>
      <c r="D457">
        <f>IF($B457="","",IF(C457="","",TEXT(C457,"MMM")))</f>
        <v/>
      </c>
      <c r="L457">
        <f>IF($B457="","",IF(K457=0,0,(K457-J457)/K457))</f>
        <v/>
      </c>
    </row>
    <row r="458">
      <c r="A458">
        <f>IF($B458="","",ROW()-5)</f>
        <v/>
      </c>
      <c r="D458">
        <f>IF($B458="","",IF(C458="","",TEXT(C458,"MMM")))</f>
        <v/>
      </c>
      <c r="L458">
        <f>IF($B458="","",IF(K458=0,0,(K458-J458)/K458))</f>
        <v/>
      </c>
    </row>
    <row r="459">
      <c r="A459">
        <f>IF($B459="","",ROW()-5)</f>
        <v/>
      </c>
      <c r="D459">
        <f>IF($B459="","",IF(C459="","",TEXT(C459,"MMM")))</f>
        <v/>
      </c>
      <c r="L459">
        <f>IF($B459="","",IF(K459=0,0,(K459-J459)/K459))</f>
        <v/>
      </c>
    </row>
    <row r="460">
      <c r="A460">
        <f>IF($B460="","",ROW()-5)</f>
        <v/>
      </c>
      <c r="D460">
        <f>IF($B460="","",IF(C460="","",TEXT(C460,"MMM")))</f>
        <v/>
      </c>
      <c r="L460">
        <f>IF($B460="","",IF(K460=0,0,(K460-J460)/K460))</f>
        <v/>
      </c>
    </row>
    <row r="461">
      <c r="A461">
        <f>IF($B461="","",ROW()-5)</f>
        <v/>
      </c>
      <c r="D461">
        <f>IF($B461="","",IF(C461="","",TEXT(C461,"MMM")))</f>
        <v/>
      </c>
      <c r="L461">
        <f>IF($B461="","",IF(K461=0,0,(K461-J461)/K461))</f>
        <v/>
      </c>
    </row>
    <row r="462">
      <c r="A462">
        <f>IF($B462="","",ROW()-5)</f>
        <v/>
      </c>
      <c r="D462">
        <f>IF($B462="","",IF(C462="","",TEXT(C462,"MMM")))</f>
        <v/>
      </c>
      <c r="L462">
        <f>IF($B462="","",IF(K462=0,0,(K462-J462)/K462))</f>
        <v/>
      </c>
    </row>
    <row r="463">
      <c r="A463">
        <f>IF($B463="","",ROW()-5)</f>
        <v/>
      </c>
      <c r="D463">
        <f>IF($B463="","",IF(C463="","",TEXT(C463,"MMM")))</f>
        <v/>
      </c>
      <c r="L463">
        <f>IF($B463="","",IF(K463=0,0,(K463-J463)/K463))</f>
        <v/>
      </c>
    </row>
    <row r="464">
      <c r="A464">
        <f>IF($B464="","",ROW()-5)</f>
        <v/>
      </c>
      <c r="D464">
        <f>IF($B464="","",IF(C464="","",TEXT(C464,"MMM")))</f>
        <v/>
      </c>
      <c r="L464">
        <f>IF($B464="","",IF(K464=0,0,(K464-J464)/K464))</f>
        <v/>
      </c>
    </row>
    <row r="465">
      <c r="A465">
        <f>IF($B465="","",ROW()-5)</f>
        <v/>
      </c>
      <c r="D465">
        <f>IF($B465="","",IF(C465="","",TEXT(C465,"MMM")))</f>
        <v/>
      </c>
      <c r="L465">
        <f>IF($B465="","",IF(K465=0,0,(K465-J465)/K465))</f>
        <v/>
      </c>
    </row>
    <row r="466">
      <c r="A466">
        <f>IF($B466="","",ROW()-5)</f>
        <v/>
      </c>
      <c r="D466">
        <f>IF($B466="","",IF(C466="","",TEXT(C466,"MMM")))</f>
        <v/>
      </c>
      <c r="L466">
        <f>IF($B466="","",IF(K466=0,0,(K466-J466)/K466))</f>
        <v/>
      </c>
    </row>
    <row r="467">
      <c r="A467">
        <f>IF($B467="","",ROW()-5)</f>
        <v/>
      </c>
      <c r="D467">
        <f>IF($B467="","",IF(C467="","",TEXT(C467,"MMM")))</f>
        <v/>
      </c>
      <c r="L467">
        <f>IF($B467="","",IF(K467=0,0,(K467-J467)/K467))</f>
        <v/>
      </c>
    </row>
    <row r="468">
      <c r="A468">
        <f>IF($B468="","",ROW()-5)</f>
        <v/>
      </c>
      <c r="D468">
        <f>IF($B468="","",IF(C468="","",TEXT(C468,"MMM")))</f>
        <v/>
      </c>
      <c r="L468">
        <f>IF($B468="","",IF(K468=0,0,(K468-J468)/K468))</f>
        <v/>
      </c>
    </row>
    <row r="469">
      <c r="A469">
        <f>IF($B469="","",ROW()-5)</f>
        <v/>
      </c>
      <c r="D469">
        <f>IF($B469="","",IF(C469="","",TEXT(C469,"MMM")))</f>
        <v/>
      </c>
      <c r="L469">
        <f>IF($B469="","",IF(K469=0,0,(K469-J469)/K469))</f>
        <v/>
      </c>
    </row>
    <row r="470">
      <c r="A470">
        <f>IF($B470="","",ROW()-5)</f>
        <v/>
      </c>
      <c r="D470">
        <f>IF($B470="","",IF(C470="","",TEXT(C470,"MMM")))</f>
        <v/>
      </c>
      <c r="L470">
        <f>IF($B470="","",IF(K470=0,0,(K470-J470)/K470))</f>
        <v/>
      </c>
    </row>
    <row r="471">
      <c r="A471">
        <f>IF($B471="","",ROW()-5)</f>
        <v/>
      </c>
      <c r="D471">
        <f>IF($B471="","",IF(C471="","",TEXT(C471,"MMM")))</f>
        <v/>
      </c>
      <c r="L471">
        <f>IF($B471="","",IF(K471=0,0,(K471-J471)/K471))</f>
        <v/>
      </c>
    </row>
    <row r="472">
      <c r="A472">
        <f>IF($B472="","",ROW()-5)</f>
        <v/>
      </c>
      <c r="D472">
        <f>IF($B472="","",IF(C472="","",TEXT(C472,"MMM")))</f>
        <v/>
      </c>
      <c r="L472">
        <f>IF($B472="","",IF(K472=0,0,(K472-J472)/K472))</f>
        <v/>
      </c>
    </row>
    <row r="473">
      <c r="A473">
        <f>IF($B473="","",ROW()-5)</f>
        <v/>
      </c>
      <c r="D473">
        <f>IF($B473="","",IF(C473="","",TEXT(C473,"MMM")))</f>
        <v/>
      </c>
      <c r="L473">
        <f>IF($B473="","",IF(K473=0,0,(K473-J473)/K473))</f>
        <v/>
      </c>
    </row>
    <row r="474">
      <c r="A474">
        <f>IF($B474="","",ROW()-5)</f>
        <v/>
      </c>
      <c r="D474">
        <f>IF($B474="","",IF(C474="","",TEXT(C474,"MMM")))</f>
        <v/>
      </c>
      <c r="L474">
        <f>IF($B474="","",IF(K474=0,0,(K474-J474)/K474))</f>
        <v/>
      </c>
    </row>
    <row r="475">
      <c r="A475">
        <f>IF($B475="","",ROW()-5)</f>
        <v/>
      </c>
      <c r="D475">
        <f>IF($B475="","",IF(C475="","",TEXT(C475,"MMM")))</f>
        <v/>
      </c>
      <c r="L475">
        <f>IF($B475="","",IF(K475=0,0,(K475-J475)/K475))</f>
        <v/>
      </c>
    </row>
    <row r="476">
      <c r="A476">
        <f>IF($B476="","",ROW()-5)</f>
        <v/>
      </c>
      <c r="D476">
        <f>IF($B476="","",IF(C476="","",TEXT(C476,"MMM")))</f>
        <v/>
      </c>
      <c r="L476">
        <f>IF($B476="","",IF(K476=0,0,(K476-J476)/K476))</f>
        <v/>
      </c>
    </row>
    <row r="477">
      <c r="A477">
        <f>IF($B477="","",ROW()-5)</f>
        <v/>
      </c>
      <c r="D477">
        <f>IF($B477="","",IF(C477="","",TEXT(C477,"MMM")))</f>
        <v/>
      </c>
      <c r="L477">
        <f>IF($B477="","",IF(K477=0,0,(K477-J477)/K477))</f>
        <v/>
      </c>
    </row>
    <row r="478">
      <c r="A478">
        <f>IF($B478="","",ROW()-5)</f>
        <v/>
      </c>
      <c r="D478">
        <f>IF($B478="","",IF(C478="","",TEXT(C478,"MMM")))</f>
        <v/>
      </c>
      <c r="L478">
        <f>IF($B478="","",IF(K478=0,0,(K478-J478)/K478))</f>
        <v/>
      </c>
    </row>
    <row r="479">
      <c r="A479">
        <f>IF($B479="","",ROW()-5)</f>
        <v/>
      </c>
      <c r="D479">
        <f>IF($B479="","",IF(C479="","",TEXT(C479,"MMM")))</f>
        <v/>
      </c>
      <c r="L479">
        <f>IF($B479="","",IF(K479=0,0,(K479-J479)/K479))</f>
        <v/>
      </c>
    </row>
    <row r="480">
      <c r="A480">
        <f>IF($B480="","",ROW()-5)</f>
        <v/>
      </c>
      <c r="D480">
        <f>IF($B480="","",IF(C480="","",TEXT(C480,"MMM")))</f>
        <v/>
      </c>
      <c r="L480">
        <f>IF($B480="","",IF(K480=0,0,(K480-J480)/K480))</f>
        <v/>
      </c>
    </row>
    <row r="481">
      <c r="A481">
        <f>IF($B481="","",ROW()-5)</f>
        <v/>
      </c>
      <c r="D481">
        <f>IF($B481="","",IF(C481="","",TEXT(C481,"MMM")))</f>
        <v/>
      </c>
      <c r="L481">
        <f>IF($B481="","",IF(K481=0,0,(K481-J481)/K481))</f>
        <v/>
      </c>
    </row>
    <row r="482">
      <c r="A482">
        <f>IF($B482="","",ROW()-5)</f>
        <v/>
      </c>
      <c r="D482">
        <f>IF($B482="","",IF(C482="","",TEXT(C482,"MMM")))</f>
        <v/>
      </c>
      <c r="L482">
        <f>IF($B482="","",IF(K482=0,0,(K482-J482)/K482))</f>
        <v/>
      </c>
    </row>
    <row r="483">
      <c r="A483">
        <f>IF($B483="","",ROW()-5)</f>
        <v/>
      </c>
      <c r="D483">
        <f>IF($B483="","",IF(C483="","",TEXT(C483,"MMM")))</f>
        <v/>
      </c>
      <c r="L483">
        <f>IF($B483="","",IF(K483=0,0,(K483-J483)/K483))</f>
        <v/>
      </c>
    </row>
    <row r="484">
      <c r="A484">
        <f>IF($B484="","",ROW()-5)</f>
        <v/>
      </c>
      <c r="D484">
        <f>IF($B484="","",IF(C484="","",TEXT(C484,"MMM")))</f>
        <v/>
      </c>
      <c r="L484">
        <f>IF($B484="","",IF(K484=0,0,(K484-J484)/K484))</f>
        <v/>
      </c>
    </row>
    <row r="485">
      <c r="A485">
        <f>IF($B485="","",ROW()-5)</f>
        <v/>
      </c>
      <c r="D485">
        <f>IF($B485="","",IF(C485="","",TEXT(C485,"MMM")))</f>
        <v/>
      </c>
      <c r="L485">
        <f>IF($B485="","",IF(K485=0,0,(K485-J485)/K485))</f>
        <v/>
      </c>
    </row>
    <row r="486">
      <c r="A486">
        <f>IF($B486="","",ROW()-5)</f>
        <v/>
      </c>
      <c r="D486">
        <f>IF($B486="","",IF(C486="","",TEXT(C486,"MMM")))</f>
        <v/>
      </c>
      <c r="L486">
        <f>IF($B486="","",IF(K486=0,0,(K486-J486)/K486))</f>
        <v/>
      </c>
    </row>
    <row r="487">
      <c r="A487">
        <f>IF($B487="","",ROW()-5)</f>
        <v/>
      </c>
      <c r="D487">
        <f>IF($B487="","",IF(C487="","",TEXT(C487,"MMM")))</f>
        <v/>
      </c>
      <c r="L487">
        <f>IF($B487="","",IF(K487=0,0,(K487-J487)/K487))</f>
        <v/>
      </c>
    </row>
    <row r="488">
      <c r="A488">
        <f>IF($B488="","",ROW()-5)</f>
        <v/>
      </c>
      <c r="D488">
        <f>IF($B488="","",IF(C488="","",TEXT(C488,"MMM")))</f>
        <v/>
      </c>
      <c r="L488">
        <f>IF($B488="","",IF(K488=0,0,(K488-J488)/K488))</f>
        <v/>
      </c>
    </row>
    <row r="489">
      <c r="A489">
        <f>IF($B489="","",ROW()-5)</f>
        <v/>
      </c>
      <c r="D489">
        <f>IF($B489="","",IF(C489="","",TEXT(C489,"MMM")))</f>
        <v/>
      </c>
      <c r="L489">
        <f>IF($B489="","",IF(K489=0,0,(K489-J489)/K489))</f>
        <v/>
      </c>
    </row>
    <row r="490">
      <c r="A490">
        <f>IF($B490="","",ROW()-5)</f>
        <v/>
      </c>
      <c r="D490">
        <f>IF($B490="","",IF(C490="","",TEXT(C490,"MMM")))</f>
        <v/>
      </c>
      <c r="L490">
        <f>IF($B490="","",IF(K490=0,0,(K490-J490)/K490))</f>
        <v/>
      </c>
    </row>
    <row r="491">
      <c r="A491">
        <f>IF($B491="","",ROW()-5)</f>
        <v/>
      </c>
      <c r="D491">
        <f>IF($B491="","",IF(C491="","",TEXT(C491,"MMM")))</f>
        <v/>
      </c>
      <c r="L491">
        <f>IF($B491="","",IF(K491=0,0,(K491-J491)/K491))</f>
        <v/>
      </c>
    </row>
    <row r="492">
      <c r="A492">
        <f>IF($B492="","",ROW()-5)</f>
        <v/>
      </c>
      <c r="D492">
        <f>IF($B492="","",IF(C492="","",TEXT(C492,"MMM")))</f>
        <v/>
      </c>
      <c r="L492">
        <f>IF($B492="","",IF(K492=0,0,(K492-J492)/K492))</f>
        <v/>
      </c>
    </row>
    <row r="493">
      <c r="A493">
        <f>IF($B493="","",ROW()-5)</f>
        <v/>
      </c>
      <c r="D493">
        <f>IF($B493="","",IF(C493="","",TEXT(C493,"MMM")))</f>
        <v/>
      </c>
      <c r="L493">
        <f>IF($B493="","",IF(K493=0,0,(K493-J493)/K493))</f>
        <v/>
      </c>
    </row>
    <row r="494">
      <c r="A494">
        <f>IF($B494="","",ROW()-5)</f>
        <v/>
      </c>
      <c r="D494">
        <f>IF($B494="","",IF(C494="","",TEXT(C494,"MMM")))</f>
        <v/>
      </c>
      <c r="L494">
        <f>IF($B494="","",IF(K494=0,0,(K494-J494)/K494))</f>
        <v/>
      </c>
    </row>
    <row r="495">
      <c r="A495">
        <f>IF($B495="","",ROW()-5)</f>
        <v/>
      </c>
      <c r="D495">
        <f>IF($B495="","",IF(C495="","",TEXT(C495,"MMM")))</f>
        <v/>
      </c>
      <c r="L495">
        <f>IF($B495="","",IF(K495=0,0,(K495-J495)/K495))</f>
        <v/>
      </c>
    </row>
    <row r="496">
      <c r="A496">
        <f>IF($B496="","",ROW()-5)</f>
        <v/>
      </c>
      <c r="D496">
        <f>IF($B496="","",IF(C496="","",TEXT(C496,"MMM")))</f>
        <v/>
      </c>
      <c r="L496">
        <f>IF($B496="","",IF(K496=0,0,(K496-J496)/K496))</f>
        <v/>
      </c>
    </row>
    <row r="497">
      <c r="A497">
        <f>IF($B497="","",ROW()-5)</f>
        <v/>
      </c>
      <c r="D497">
        <f>IF($B497="","",IF(C497="","",TEXT(C497,"MMM")))</f>
        <v/>
      </c>
      <c r="L497">
        <f>IF($B497="","",IF(K497=0,0,(K497-J497)/K497))</f>
        <v/>
      </c>
    </row>
    <row r="498">
      <c r="A498">
        <f>IF($B498="","",ROW()-5)</f>
        <v/>
      </c>
      <c r="D498">
        <f>IF($B498="","",IF(C498="","",TEXT(C498,"MMM")))</f>
        <v/>
      </c>
      <c r="L498">
        <f>IF($B498="","",IF(K498=0,0,(K498-J498)/K498))</f>
        <v/>
      </c>
    </row>
    <row r="499">
      <c r="A499">
        <f>IF($B499="","",ROW()-5)</f>
        <v/>
      </c>
      <c r="D499">
        <f>IF($B499="","",IF(C499="","",TEXT(C499,"MMM")))</f>
        <v/>
      </c>
      <c r="L499">
        <f>IF($B499="","",IF(K499=0,0,(K499-J499)/K499))</f>
        <v/>
      </c>
    </row>
    <row r="500">
      <c r="A500">
        <f>IF($B500="","",ROW()-5)</f>
        <v/>
      </c>
      <c r="D500">
        <f>IF($B500="","",IF(C500="","",TEXT(C500,"MMM")))</f>
        <v/>
      </c>
      <c r="L500">
        <f>IF($B500="","",IF(K500=0,0,(K500-J500)/K500))</f>
        <v/>
      </c>
    </row>
    <row r="501">
      <c r="A501">
        <f>IF($B501="","",ROW()-5)</f>
        <v/>
      </c>
      <c r="D501">
        <f>IF($B501="","",IF(C501="","",TEXT(C501,"MMM")))</f>
        <v/>
      </c>
      <c r="L501">
        <f>IF($B501="","",IF(K501=0,0,(K501-J501)/K501))</f>
        <v/>
      </c>
    </row>
    <row r="502">
      <c r="A502">
        <f>IF($B502="","",ROW()-5)</f>
        <v/>
      </c>
      <c r="D502">
        <f>IF($B502="","",IF(C502="","",TEXT(C502,"MMM")))</f>
        <v/>
      </c>
      <c r="L502">
        <f>IF($B502="","",IF(K502=0,0,(K502-J502)/K502))</f>
        <v/>
      </c>
    </row>
    <row r="503">
      <c r="A503">
        <f>IF($B503="","",ROW()-5)</f>
        <v/>
      </c>
      <c r="D503">
        <f>IF($B503="","",IF(C503="","",TEXT(C503,"MMM")))</f>
        <v/>
      </c>
      <c r="L503">
        <f>IF($B503="","",IF(K503=0,0,(K503-J503)/K503))</f>
        <v/>
      </c>
    </row>
    <row r="504">
      <c r="A504">
        <f>IF($B504="","",ROW()-5)</f>
        <v/>
      </c>
      <c r="D504">
        <f>IF($B504="","",IF(C504="","",TEXT(C504,"MMM")))</f>
        <v/>
      </c>
      <c r="L504">
        <f>IF($B504="","",IF(K504=0,0,(K504-J504)/K504))</f>
        <v/>
      </c>
    </row>
    <row r="505">
      <c r="A505">
        <f>IF($B505="","",ROW()-5)</f>
        <v/>
      </c>
      <c r="D505">
        <f>IF($B505="","",IF(C505="","",TEXT(C505,"MMM")))</f>
        <v/>
      </c>
      <c r="L505">
        <f>IF($B505="","",IF(K505=0,0,(K505-J505)/K505))</f>
        <v/>
      </c>
    </row>
    <row r="506">
      <c r="A506">
        <f>IF($B506="","",ROW()-5)</f>
        <v/>
      </c>
      <c r="D506">
        <f>IF($B506="","",IF(C506="","",TEXT(C506,"MMM")))</f>
        <v/>
      </c>
      <c r="L506">
        <f>IF($B506="","",IF(K506=0,0,(K506-J506)/K506))</f>
        <v/>
      </c>
    </row>
  </sheetData>
  <autoFilter ref="A4:N17"/>
  <mergeCells count="5">
    <mergeCell ref="F3:G3"/>
    <mergeCell ref="A2:N2"/>
    <mergeCell ref="A3:D3"/>
    <mergeCell ref="I3:K3"/>
    <mergeCell ref="A1:N1"/>
  </mergeCells>
  <dataValidations count="4">
    <dataValidation sqref="E6:E506" showDropDown="0" showInputMessage="0" showErrorMessage="0" allowBlank="1" type="list">
      <formula1>L_Permit_Type_Audited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M6:M506" showDropDown="0" showInputMessage="0" showErrorMessage="0" allowBlank="1" type="list">
      <formula1>L_Verdict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tabColor rgb="FFE65100"/>
    <outlinePr summaryBelow="1" summaryRight="1"/>
    <pageSetUpPr/>
  </sheetPr>
  <dimension ref="A1:O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6" customWidth="1" style="15" min="5" max="5"/>
    <col width="14" customWidth="1" style="15" min="6" max="7"/>
    <col width="26" customWidth="1" style="15" min="8" max="8"/>
    <col width="10" customWidth="1" style="15" min="9" max="9"/>
    <col width="16" customWidth="1" style="15" min="10" max="11"/>
    <col width="12" customWidth="1" style="15" min="12" max="14"/>
    <col width="10" customWidth="1" style="15" min="15" max="15"/>
  </cols>
  <sheetData>
    <row r="1" ht="42" customHeight="1" s="15">
      <c r="A1" s="1" t="inlineStr">
        <is>
          <t>🔧  CORRECTIVE ACTIONS — DATA ENTRY</t>
        </is>
      </c>
    </row>
    <row r="2" ht="21.75" customHeight="1" s="15">
      <c r="A2" s="201" t="inlineStr">
        <is>
          <t>🔵 Blue = User Input  |  ⚫ Gray = Auto-Calculated  |  Use dropdowns where available</t>
        </is>
      </c>
    </row>
    <row r="3" ht="19.5" customHeight="1" s="15">
      <c r="A3" s="39" t="inlineStr">
        <is>
          <t>IDENTIFICATION</t>
        </is>
      </c>
      <c r="E3" s="16" t="inlineStr">
        <is>
          <t>CLASSIFICATION</t>
        </is>
      </c>
      <c r="F3" s="39" t="inlineStr">
        <is>
          <t>ORGANIZATIONAL</t>
        </is>
      </c>
      <c r="H3" s="17" t="inlineStr">
        <is>
          <t>ACTION</t>
        </is>
      </c>
      <c r="I3" s="40" t="inlineStr">
        <is>
          <t>CLASSIFICATION</t>
        </is>
      </c>
      <c r="J3" s="18" t="inlineStr">
        <is>
          <t>PEOPLE</t>
        </is>
      </c>
      <c r="L3" s="19" t="inlineStr">
        <is>
          <t>TRACKING</t>
        </is>
      </c>
      <c r="N3" s="20" t="inlineStr">
        <is>
          <t>STATUS</t>
        </is>
      </c>
    </row>
    <row r="4" ht="31.5" customHeight="1" s="15">
      <c r="A4" s="44" t="inlineStr">
        <is>
          <t>S.No</t>
        </is>
      </c>
      <c r="B4" s="44" t="inlineStr">
        <is>
          <t>CA No.</t>
        </is>
      </c>
      <c r="C4" s="44" t="inlineStr">
        <is>
          <t>Date Raised</t>
        </is>
      </c>
      <c r="D4" s="44" t="inlineStr">
        <is>
          <t>Month</t>
        </is>
      </c>
      <c r="E4" s="44" t="inlineStr">
        <is>
          <t>Source</t>
        </is>
      </c>
      <c r="F4" s="44" t="inlineStr">
        <is>
          <t>Department</t>
        </is>
      </c>
      <c r="G4" s="44" t="inlineStr">
        <is>
          <t>Location</t>
        </is>
      </c>
      <c r="H4" s="44" t="inlineStr">
        <is>
          <t>Corrective Action</t>
        </is>
      </c>
      <c r="I4" s="44" t="inlineStr">
        <is>
          <t>Priority</t>
        </is>
      </c>
      <c r="J4" s="44" t="inlineStr">
        <is>
          <t>Assigned To</t>
        </is>
      </c>
      <c r="K4" s="44" t="inlineStr">
        <is>
          <t>Verified By</t>
        </is>
      </c>
      <c r="L4" s="44" t="inlineStr">
        <is>
          <t>Due Date</t>
        </is>
      </c>
      <c r="M4" s="44" t="inlineStr">
        <is>
          <t>Completion Date</t>
        </is>
      </c>
      <c r="N4" s="44" t="inlineStr">
        <is>
          <t>Status</t>
        </is>
      </c>
      <c r="O4" s="44" t="inlineStr">
        <is>
          <t>Timeliness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  <c r="O5" s="22" t="inlineStr">
        <is>
          <t>⚙️ AUTO</t>
        </is>
      </c>
    </row>
    <row r="6" ht="15" customHeight="1" s="15">
      <c r="A6" s="24" t="n">
        <v>1</v>
      </c>
      <c r="B6" s="25" t="inlineStr">
        <is>
          <t>CA-001</t>
        </is>
      </c>
      <c r="C6" s="26" t="n">
        <v>46163</v>
      </c>
      <c r="D6" s="24">
        <f>IF(C6="","",TEXT(C6,"MMM"))</f>
        <v/>
      </c>
      <c r="E6" s="27" t="inlineStr">
        <is>
          <t>Audit Finding</t>
        </is>
      </c>
      <c r="F6" s="28" t="inlineStr">
        <is>
          <t>Construction</t>
        </is>
      </c>
      <c r="G6" s="28" t="inlineStr">
        <is>
          <t>Tank Farm</t>
        </is>
      </c>
      <c r="H6" s="27" t="inlineStr">
        <is>
          <t>Implement LOTO</t>
        </is>
      </c>
      <c r="I6" s="28" t="inlineStr">
        <is>
          <t>High</t>
        </is>
      </c>
      <c r="J6" s="27" t="inlineStr">
        <is>
          <t>Maria Garcia</t>
        </is>
      </c>
      <c r="K6" s="27" t="inlineStr">
        <is>
          <t>Priya Sharma</t>
        </is>
      </c>
      <c r="L6" s="26" t="n">
        <v>46357</v>
      </c>
      <c r="M6" s="26" t="n"/>
      <c r="N6" s="28" t="inlineStr">
        <is>
          <t>In Progress</t>
        </is>
      </c>
      <c r="O6" s="24">
        <f>IF(M6="","",IF(M6&lt;=L6,"On Time","Delayed"))</f>
        <v/>
      </c>
    </row>
    <row r="7" ht="21.75" customHeight="1" s="15">
      <c r="A7" s="31" t="n">
        <v>2</v>
      </c>
      <c r="B7" s="32" t="inlineStr">
        <is>
          <t>CA-002</t>
        </is>
      </c>
      <c r="C7" s="33" t="n">
        <v>46231</v>
      </c>
      <c r="D7" s="31">
        <f>IF(C7="","",TEXT(C7,"MMM"))</f>
        <v/>
      </c>
      <c r="E7" s="34" t="inlineStr">
        <is>
          <t>Management Review</t>
        </is>
      </c>
      <c r="F7" s="35" t="inlineStr">
        <is>
          <t>Quality</t>
        </is>
      </c>
      <c r="G7" s="35" t="inlineStr">
        <is>
          <t>Control Room</t>
        </is>
      </c>
      <c r="H7" s="34" t="inlineStr">
        <is>
          <t>Conduct training</t>
        </is>
      </c>
      <c r="I7" s="35" t="inlineStr">
        <is>
          <t>Medium</t>
        </is>
      </c>
      <c r="J7" s="34" t="inlineStr">
        <is>
          <t>Sarah Wilson</t>
        </is>
      </c>
      <c r="K7" s="34" t="inlineStr">
        <is>
          <t>Ahmed Khan</t>
        </is>
      </c>
      <c r="L7" s="33" t="n">
        <v>46305</v>
      </c>
      <c r="M7" s="33" t="n">
        <v>46161</v>
      </c>
      <c r="N7" s="35" t="inlineStr">
        <is>
          <t>Pending</t>
        </is>
      </c>
      <c r="O7" s="31">
        <f>IF(M7="","",IF(M7&lt;=L7,"On Time","Delayed"))</f>
        <v/>
      </c>
    </row>
    <row r="8" ht="15" customHeight="1" s="15">
      <c r="A8" s="24" t="n">
        <v>3</v>
      </c>
      <c r="B8" s="25" t="inlineStr">
        <is>
          <t>CA-003</t>
        </is>
      </c>
      <c r="C8" s="26" t="n">
        <v>46275</v>
      </c>
      <c r="D8" s="24">
        <f>IF(C8="","",TEXT(C8,"MMM"))</f>
        <v/>
      </c>
      <c r="E8" s="27" t="inlineStr">
        <is>
          <t>Drill Finding</t>
        </is>
      </c>
      <c r="F8" s="28" t="inlineStr">
        <is>
          <t>Projects</t>
        </is>
      </c>
      <c r="G8" s="28" t="inlineStr">
        <is>
          <t>Office</t>
        </is>
      </c>
      <c r="H8" s="27" t="inlineStr">
        <is>
          <t>Implement LOTO</t>
        </is>
      </c>
      <c r="I8" s="28" t="inlineStr">
        <is>
          <t>Low</t>
        </is>
      </c>
      <c r="J8" s="27" t="inlineStr">
        <is>
          <t>David Chen</t>
        </is>
      </c>
      <c r="K8" s="27" t="inlineStr">
        <is>
          <t>Sarah Wilson</t>
        </is>
      </c>
      <c r="L8" s="26" t="n">
        <v>46385</v>
      </c>
      <c r="M8" s="26" t="n">
        <v>46327</v>
      </c>
      <c r="N8" s="28" t="inlineStr">
        <is>
          <t>Overdue</t>
        </is>
      </c>
      <c r="O8" s="24">
        <f>IF(M8="","",IF(M8&lt;=L8,"On Time","Delayed"))</f>
        <v/>
      </c>
    </row>
    <row r="9" ht="15" customHeight="1" s="15">
      <c r="A9" s="31" t="n">
        <v>4</v>
      </c>
      <c r="B9" s="32" t="inlineStr">
        <is>
          <t>CA-004</t>
        </is>
      </c>
      <c r="C9" s="33" t="n">
        <v>46070</v>
      </c>
      <c r="D9" s="31">
        <f>IF(C9="","",TEXT(C9,"MMM"))</f>
        <v/>
      </c>
      <c r="E9" s="34" t="inlineStr">
        <is>
          <t>Inspection Finding</t>
        </is>
      </c>
      <c r="F9" s="35" t="inlineStr">
        <is>
          <t>Engineering</t>
        </is>
      </c>
      <c r="G9" s="35" t="inlineStr">
        <is>
          <t>Control Room</t>
        </is>
      </c>
      <c r="H9" s="34" t="inlineStr">
        <is>
          <t>Implement LOTO</t>
        </is>
      </c>
      <c r="I9" s="35" t="inlineStr">
        <is>
          <t>Low</t>
        </is>
      </c>
      <c r="J9" s="34" t="inlineStr">
        <is>
          <t>Sarah Wilson</t>
        </is>
      </c>
      <c r="K9" s="34" t="inlineStr">
        <is>
          <t>John Smith</t>
        </is>
      </c>
      <c r="L9" s="33" t="n">
        <v>46423</v>
      </c>
      <c r="M9" s="33" t="n">
        <v>46139</v>
      </c>
      <c r="N9" s="35" t="inlineStr">
        <is>
          <t>Pending</t>
        </is>
      </c>
      <c r="O9" s="31">
        <f>IF(M9="","",IF(M9&lt;=L9,"On Time","Delayed"))</f>
        <v/>
      </c>
    </row>
    <row r="10" ht="21.75" customHeight="1" s="15">
      <c r="A10" s="24" t="n">
        <v>5</v>
      </c>
      <c r="B10" s="25" t="inlineStr">
        <is>
          <t>CA-005</t>
        </is>
      </c>
      <c r="C10" s="26" t="n">
        <v>46068</v>
      </c>
      <c r="D10" s="24">
        <f>IF(C10="","",TEXT(C10,"MMM"))</f>
        <v/>
      </c>
      <c r="E10" s="27" t="inlineStr">
        <is>
          <t>Management Review</t>
        </is>
      </c>
      <c r="F10" s="28" t="inlineStr">
        <is>
          <t>Contractor</t>
        </is>
      </c>
      <c r="G10" s="28" t="inlineStr">
        <is>
          <t>Plant A</t>
        </is>
      </c>
      <c r="H10" s="27" t="inlineStr">
        <is>
          <t>Add signage</t>
        </is>
      </c>
      <c r="I10" s="28" t="inlineStr">
        <is>
          <t>Low</t>
        </is>
      </c>
      <c r="J10" s="27" t="inlineStr">
        <is>
          <t>Raj Patel</t>
        </is>
      </c>
      <c r="K10" s="27" t="inlineStr">
        <is>
          <t>Sarah Wilson</t>
        </is>
      </c>
      <c r="L10" s="26" t="n">
        <v>46060</v>
      </c>
      <c r="M10" s="26" t="n"/>
      <c r="N10" s="28" t="inlineStr">
        <is>
          <t>Overdue</t>
        </is>
      </c>
      <c r="O10" s="24">
        <f>IF(M10="","",IF(M10&lt;=L10,"On Time","Delayed"))</f>
        <v/>
      </c>
    </row>
    <row r="11" ht="15" customHeight="1" s="15">
      <c r="A11" s="31" t="n">
        <v>6</v>
      </c>
      <c r="B11" s="32" t="inlineStr">
        <is>
          <t>CA-006</t>
        </is>
      </c>
      <c r="C11" s="33" t="n">
        <v>46282</v>
      </c>
      <c r="D11" s="31">
        <f>IF(C11="","",TEXT(C11,"MMM"))</f>
        <v/>
      </c>
      <c r="E11" s="34" t="inlineStr">
        <is>
          <t>Drill Finding</t>
        </is>
      </c>
      <c r="F11" s="35" t="inlineStr">
        <is>
          <t>Safety</t>
        </is>
      </c>
      <c r="G11" s="35" t="inlineStr">
        <is>
          <t>Warehouse</t>
        </is>
      </c>
      <c r="H11" s="34" t="inlineStr">
        <is>
          <t>Fix ventilation</t>
        </is>
      </c>
      <c r="I11" s="35" t="inlineStr">
        <is>
          <t>High</t>
        </is>
      </c>
      <c r="J11" s="34" t="inlineStr">
        <is>
          <t>John Smith</t>
        </is>
      </c>
      <c r="K11" s="34" t="inlineStr">
        <is>
          <t>Sarah Wilson</t>
        </is>
      </c>
      <c r="L11" s="33" t="n">
        <v>46091</v>
      </c>
      <c r="M11" s="33" t="n">
        <v>46255</v>
      </c>
      <c r="N11" s="35" t="inlineStr">
        <is>
          <t>Overdue</t>
        </is>
      </c>
      <c r="O11" s="31">
        <f>IF(M11="","",IF(M11&lt;=L11,"On Time","Delayed"))</f>
        <v/>
      </c>
    </row>
    <row r="12" ht="15" customHeight="1" s="15">
      <c r="A12" s="24" t="n">
        <v>7</v>
      </c>
      <c r="B12" s="25" t="inlineStr">
        <is>
          <t>CA-007</t>
        </is>
      </c>
      <c r="C12" s="26" t="n">
        <v>46375</v>
      </c>
      <c r="D12" s="24">
        <f>IF(C12="","",TEXT(C12,"MMM"))</f>
        <v/>
      </c>
      <c r="E12" s="27" t="inlineStr">
        <is>
          <t>Drill Finding</t>
        </is>
      </c>
      <c r="F12" s="28" t="inlineStr">
        <is>
          <t>Maintenance</t>
        </is>
      </c>
      <c r="G12" s="28" t="inlineStr">
        <is>
          <t>Tank Farm</t>
        </is>
      </c>
      <c r="H12" s="27" t="inlineStr">
        <is>
          <t>Repair floor</t>
        </is>
      </c>
      <c r="I12" s="28" t="inlineStr">
        <is>
          <t>Low</t>
        </is>
      </c>
      <c r="J12" s="27" t="inlineStr">
        <is>
          <t>Fatima Al-Said</t>
        </is>
      </c>
      <c r="K12" s="27" t="inlineStr">
        <is>
          <t>Ahmed Khan</t>
        </is>
      </c>
      <c r="L12" s="26" t="n">
        <v>46305</v>
      </c>
      <c r="M12" s="26" t="n"/>
      <c r="N12" s="28" t="inlineStr">
        <is>
          <t>Completed</t>
        </is>
      </c>
      <c r="O12" s="24">
        <f>IF(M12="","",IF(M12&lt;=L12,"On Time","Delayed"))</f>
        <v/>
      </c>
    </row>
    <row r="13" ht="15" customHeight="1" s="15">
      <c r="A13" s="31" t="n">
        <v>8</v>
      </c>
      <c r="B13" s="32" t="inlineStr">
        <is>
          <t>CA-008</t>
        </is>
      </c>
      <c r="C13" s="33" t="n">
        <v>46317</v>
      </c>
      <c r="D13" s="31">
        <f>IF(C13="","",TEXT(C13,"MMM"))</f>
        <v/>
      </c>
      <c r="E13" s="34" t="inlineStr">
        <is>
          <t>Drill Finding</t>
        </is>
      </c>
      <c r="F13" s="35" t="inlineStr">
        <is>
          <t>Maintenance</t>
        </is>
      </c>
      <c r="G13" s="35" t="inlineStr">
        <is>
          <t>Workshop</t>
        </is>
      </c>
      <c r="H13" s="34" t="inlineStr">
        <is>
          <t>Install guard rail</t>
        </is>
      </c>
      <c r="I13" s="35" t="inlineStr">
        <is>
          <t>High</t>
        </is>
      </c>
      <c r="J13" s="34" t="inlineStr">
        <is>
          <t>Ahmed Khan</t>
        </is>
      </c>
      <c r="K13" s="34" t="inlineStr">
        <is>
          <t>Maria Garcia</t>
        </is>
      </c>
      <c r="L13" s="33" t="n">
        <v>46068</v>
      </c>
      <c r="M13" s="33" t="n">
        <v>46229</v>
      </c>
      <c r="N13" s="35" t="inlineStr">
        <is>
          <t>Pending</t>
        </is>
      </c>
      <c r="O13" s="31">
        <f>IF(M13="","",IF(M13&lt;=L13,"On Time","Delayed"))</f>
        <v/>
      </c>
    </row>
    <row r="14" ht="15" customHeight="1" s="15">
      <c r="A14" s="24" t="n">
        <v>9</v>
      </c>
      <c r="B14" s="25" t="inlineStr">
        <is>
          <t>CA-009</t>
        </is>
      </c>
      <c r="C14" s="26" t="n">
        <v>46123</v>
      </c>
      <c r="D14" s="24">
        <f>IF(C14="","",TEXT(C14,"MMM"))</f>
        <v/>
      </c>
      <c r="E14" s="27" t="inlineStr">
        <is>
          <t>Inspection Finding</t>
        </is>
      </c>
      <c r="F14" s="28" t="inlineStr">
        <is>
          <t>Quality</t>
        </is>
      </c>
      <c r="G14" s="28" t="inlineStr">
        <is>
          <t>Control Room</t>
        </is>
      </c>
      <c r="H14" s="27" t="inlineStr">
        <is>
          <t>Add signage</t>
        </is>
      </c>
      <c r="I14" s="28" t="inlineStr">
        <is>
          <t>High</t>
        </is>
      </c>
      <c r="J14" s="27" t="inlineStr">
        <is>
          <t>Lisa Park</t>
        </is>
      </c>
      <c r="K14" s="27" t="inlineStr">
        <is>
          <t>Fatima Al-Said</t>
        </is>
      </c>
      <c r="L14" s="26" t="n">
        <v>46120</v>
      </c>
      <c r="M14" s="26" t="n"/>
      <c r="N14" s="28" t="inlineStr">
        <is>
          <t>Completed</t>
        </is>
      </c>
      <c r="O14" s="24">
        <f>IF(M14="","",IF(M14&lt;=L14,"On Time","Delayed"))</f>
        <v/>
      </c>
    </row>
    <row r="15" ht="21.75" customHeight="1" s="15">
      <c r="A15" s="31" t="n">
        <v>10</v>
      </c>
      <c r="B15" s="32" t="inlineStr">
        <is>
          <t>CA-010</t>
        </is>
      </c>
      <c r="C15" s="33" t="n">
        <v>46206</v>
      </c>
      <c r="D15" s="31">
        <f>IF(C15="","",TEXT(C15,"MMM"))</f>
        <v/>
      </c>
      <c r="E15" s="34" t="inlineStr">
        <is>
          <t>Observation Follow-up</t>
        </is>
      </c>
      <c r="F15" s="35" t="inlineStr">
        <is>
          <t>Safety</t>
        </is>
      </c>
      <c r="G15" s="35" t="inlineStr">
        <is>
          <t>Field Site</t>
        </is>
      </c>
      <c r="H15" s="34" t="inlineStr">
        <is>
          <t>Fix ventilation</t>
        </is>
      </c>
      <c r="I15" s="35" t="inlineStr">
        <is>
          <t>High</t>
        </is>
      </c>
      <c r="J15" s="34" t="inlineStr">
        <is>
          <t>Tom Brown</t>
        </is>
      </c>
      <c r="K15" s="34" t="inlineStr">
        <is>
          <t>Priya Sharma</t>
        </is>
      </c>
      <c r="L15" s="33" t="n">
        <v>46053</v>
      </c>
      <c r="M15" s="33" t="n"/>
      <c r="N15" s="35" t="inlineStr">
        <is>
          <t>In Progress</t>
        </is>
      </c>
      <c r="O15" s="31">
        <f>IF(M15="","",IF(M15&lt;=L15,"On Time","Delayed"))</f>
        <v/>
      </c>
    </row>
    <row r="16" ht="21.75" customHeight="1" s="15">
      <c r="A16" s="24" t="n">
        <v>11</v>
      </c>
      <c r="B16" s="25" t="inlineStr">
        <is>
          <t>CA-011</t>
        </is>
      </c>
      <c r="C16" s="26" t="n">
        <v>46246</v>
      </c>
      <c r="D16" s="24">
        <f>IF(C16="","",TEXT(C16,"MMM"))</f>
        <v/>
      </c>
      <c r="E16" s="27" t="inlineStr">
        <is>
          <t>Management Review</t>
        </is>
      </c>
      <c r="F16" s="28" t="inlineStr">
        <is>
          <t>Admin</t>
        </is>
      </c>
      <c r="G16" s="28" t="inlineStr">
        <is>
          <t>Workshop</t>
        </is>
      </c>
      <c r="H16" s="27" t="inlineStr">
        <is>
          <t>Replace equipment</t>
        </is>
      </c>
      <c r="I16" s="28" t="inlineStr">
        <is>
          <t>High</t>
        </is>
      </c>
      <c r="J16" s="27" t="inlineStr">
        <is>
          <t>Ahmed Khan</t>
        </is>
      </c>
      <c r="K16" s="27" t="inlineStr">
        <is>
          <t>David Chen</t>
        </is>
      </c>
      <c r="L16" s="26" t="n">
        <v>46071</v>
      </c>
      <c r="M16" s="26" t="n"/>
      <c r="N16" s="28" t="inlineStr">
        <is>
          <t>Completed</t>
        </is>
      </c>
      <c r="O16" s="24">
        <f>IF(M16="","",IF(M16&lt;=L16,"On Time","Delayed"))</f>
        <v/>
      </c>
    </row>
    <row r="17" ht="15" customHeight="1" s="15">
      <c r="A17" s="31" t="n">
        <v>12</v>
      </c>
      <c r="B17" s="32" t="inlineStr">
        <is>
          <t>CA-012</t>
        </is>
      </c>
      <c r="C17" s="33" t="n">
        <v>46174</v>
      </c>
      <c r="D17" s="31">
        <f>IF(C17="","",TEXT(C17,"MMM"))</f>
        <v/>
      </c>
      <c r="E17" s="34" t="inlineStr">
        <is>
          <t>Drill Finding</t>
        </is>
      </c>
      <c r="F17" s="35" t="inlineStr">
        <is>
          <t>Quality</t>
        </is>
      </c>
      <c r="G17" s="35" t="inlineStr">
        <is>
          <t>Field Site</t>
        </is>
      </c>
      <c r="H17" s="34" t="inlineStr">
        <is>
          <t>Update procedure</t>
        </is>
      </c>
      <c r="I17" s="35" t="inlineStr">
        <is>
          <t>High</t>
        </is>
      </c>
      <c r="J17" s="34" t="inlineStr">
        <is>
          <t>Tom Brown</t>
        </is>
      </c>
      <c r="K17" s="34" t="inlineStr">
        <is>
          <t>Maria Garcia</t>
        </is>
      </c>
      <c r="L17" s="33" t="n">
        <v>46229</v>
      </c>
      <c r="M17" s="33" t="n">
        <v>46131</v>
      </c>
      <c r="N17" s="35" t="inlineStr">
        <is>
          <t>Completed</t>
        </is>
      </c>
      <c r="O17" s="31">
        <f>IF(M17="","",IF(M17&lt;=L17,"On Time","Delayed"))</f>
        <v/>
      </c>
    </row>
    <row r="18" ht="21.75" customHeight="1" s="15">
      <c r="A18" s="24" t="n">
        <v>13</v>
      </c>
      <c r="B18" s="25" t="inlineStr">
        <is>
          <t>CA-013</t>
        </is>
      </c>
      <c r="C18" s="26" t="n">
        <v>46140</v>
      </c>
      <c r="D18" s="24">
        <f>IF(C18="","",TEXT(C18,"MMM"))</f>
        <v/>
      </c>
      <c r="E18" s="27" t="inlineStr">
        <is>
          <t>Management Review</t>
        </is>
      </c>
      <c r="F18" s="28" t="inlineStr">
        <is>
          <t>Quality</t>
        </is>
      </c>
      <c r="G18" s="28" t="inlineStr">
        <is>
          <t>Control Room</t>
        </is>
      </c>
      <c r="H18" s="27" t="inlineStr">
        <is>
          <t>Repair floor</t>
        </is>
      </c>
      <c r="I18" s="28" t="inlineStr">
        <is>
          <t>Low</t>
        </is>
      </c>
      <c r="J18" s="27" t="inlineStr">
        <is>
          <t>Sarah Wilson</t>
        </is>
      </c>
      <c r="K18" s="27" t="inlineStr">
        <is>
          <t>Lisa Park</t>
        </is>
      </c>
      <c r="L18" s="26" t="n">
        <v>46085</v>
      </c>
      <c r="M18" s="26" t="n">
        <v>46388</v>
      </c>
      <c r="N18" s="28" t="inlineStr">
        <is>
          <t>Completed</t>
        </is>
      </c>
      <c r="O18" s="24">
        <f>IF(M18="","",IF(M18&lt;=L18,"On Time","Delayed"))</f>
        <v/>
      </c>
    </row>
    <row r="19" ht="15" customHeight="1" s="15">
      <c r="A19" s="31" t="n">
        <v>14</v>
      </c>
      <c r="B19" s="32" t="inlineStr">
        <is>
          <t>CA-014</t>
        </is>
      </c>
      <c r="C19" s="33" t="n">
        <v>46225</v>
      </c>
      <c r="D19" s="31">
        <f>IF(C19="","",TEXT(C19,"MMM"))</f>
        <v/>
      </c>
      <c r="E19" s="34" t="inlineStr">
        <is>
          <t>Inspection Finding</t>
        </is>
      </c>
      <c r="F19" s="35" t="inlineStr">
        <is>
          <t>Construction</t>
        </is>
      </c>
      <c r="G19" s="35" t="inlineStr">
        <is>
          <t>Field Site</t>
        </is>
      </c>
      <c r="H19" s="34" t="inlineStr">
        <is>
          <t>Add signage</t>
        </is>
      </c>
      <c r="I19" s="35" t="inlineStr">
        <is>
          <t>Medium</t>
        </is>
      </c>
      <c r="J19" s="34" t="inlineStr">
        <is>
          <t>David Chen</t>
        </is>
      </c>
      <c r="K19" s="34" t="inlineStr">
        <is>
          <t>Fatima Al-Said</t>
        </is>
      </c>
      <c r="L19" s="33" t="n">
        <v>46212</v>
      </c>
      <c r="M19" s="33" t="n">
        <v>46185</v>
      </c>
      <c r="N19" s="35" t="inlineStr">
        <is>
          <t>In Progress</t>
        </is>
      </c>
      <c r="O19" s="31">
        <f>IF(M19="","",IF(M19&lt;=L19,"On Time","Delayed"))</f>
        <v/>
      </c>
    </row>
    <row r="20" ht="15" customHeight="1" s="15">
      <c r="A20" s="24" t="n">
        <v>15</v>
      </c>
      <c r="B20" s="25" t="inlineStr">
        <is>
          <t>CA-015</t>
        </is>
      </c>
      <c r="C20" s="26" t="n">
        <v>46299</v>
      </c>
      <c r="D20" s="24">
        <f>IF(C20="","",TEXT(C20,"MMM"))</f>
        <v/>
      </c>
      <c r="E20" s="27" t="inlineStr">
        <is>
          <t>Inspection Finding</t>
        </is>
      </c>
      <c r="F20" s="28" t="inlineStr">
        <is>
          <t>Maintenance</t>
        </is>
      </c>
      <c r="G20" s="28" t="inlineStr">
        <is>
          <t>Warehouse</t>
        </is>
      </c>
      <c r="H20" s="27" t="inlineStr">
        <is>
          <t>Repair floor</t>
        </is>
      </c>
      <c r="I20" s="28" t="inlineStr">
        <is>
          <t>Medium</t>
        </is>
      </c>
      <c r="J20" s="27" t="inlineStr">
        <is>
          <t>Fatima Al-Said</t>
        </is>
      </c>
      <c r="K20" s="27" t="inlineStr">
        <is>
          <t>David Chen</t>
        </is>
      </c>
      <c r="L20" s="26" t="n">
        <v>46100</v>
      </c>
      <c r="M20" s="26" t="n"/>
      <c r="N20" s="28" t="inlineStr">
        <is>
          <t>Overdue</t>
        </is>
      </c>
      <c r="O20" s="24">
        <f>IF(M20="","",IF(M20&lt;=L20,"On Time","Delayed"))</f>
        <v/>
      </c>
    </row>
    <row r="21" ht="15" customHeight="1" s="15">
      <c r="A21" s="31" t="n">
        <v>16</v>
      </c>
      <c r="B21" s="32" t="inlineStr">
        <is>
          <t>CA-016</t>
        </is>
      </c>
      <c r="C21" s="33" t="n">
        <v>46056</v>
      </c>
      <c r="D21" s="31">
        <f>IF(C21="","",TEXT(C21,"MMM"))</f>
        <v/>
      </c>
      <c r="E21" s="34" t="inlineStr">
        <is>
          <t>Inspection Finding</t>
        </is>
      </c>
      <c r="F21" s="35" t="inlineStr">
        <is>
          <t>Safety</t>
        </is>
      </c>
      <c r="G21" s="35" t="inlineStr">
        <is>
          <t>Plant A</t>
        </is>
      </c>
      <c r="H21" s="34" t="inlineStr">
        <is>
          <t>Replace equipment</t>
        </is>
      </c>
      <c r="I21" s="35" t="inlineStr">
        <is>
          <t>Medium</t>
        </is>
      </c>
      <c r="J21" s="34" t="inlineStr">
        <is>
          <t>Raj Patel</t>
        </is>
      </c>
      <c r="K21" s="34" t="inlineStr">
        <is>
          <t>Sarah Wilson</t>
        </is>
      </c>
      <c r="L21" s="33" t="n">
        <v>46393</v>
      </c>
      <c r="M21" s="33" t="n"/>
      <c r="N21" s="35" t="inlineStr">
        <is>
          <t>Overdue</t>
        </is>
      </c>
      <c r="O21" s="31">
        <f>IF(M21="","",IF(M21&lt;=L21,"On Time","Delayed"))</f>
        <v/>
      </c>
    </row>
    <row r="22" ht="15" customHeight="1" s="15">
      <c r="A22" s="24" t="n">
        <v>17</v>
      </c>
      <c r="B22" s="25" t="inlineStr">
        <is>
          <t>CA-017</t>
        </is>
      </c>
      <c r="C22" s="26" t="n">
        <v>46169</v>
      </c>
      <c r="D22" s="24">
        <f>IF(C22="","",TEXT(C22,"MMM"))</f>
        <v/>
      </c>
      <c r="E22" s="27" t="inlineStr">
        <is>
          <t>Inspection Finding</t>
        </is>
      </c>
      <c r="F22" s="28" t="inlineStr">
        <is>
          <t>Operations</t>
        </is>
      </c>
      <c r="G22" s="28" t="inlineStr">
        <is>
          <t>Office</t>
        </is>
      </c>
      <c r="H22" s="27" t="inlineStr">
        <is>
          <t>Repair floor</t>
        </is>
      </c>
      <c r="I22" s="28" t="inlineStr">
        <is>
          <t>Low</t>
        </is>
      </c>
      <c r="J22" s="27" t="inlineStr">
        <is>
          <t>Tom Brown</t>
        </is>
      </c>
      <c r="K22" s="27" t="inlineStr">
        <is>
          <t>Maria Garcia</t>
        </is>
      </c>
      <c r="L22" s="26" t="n">
        <v>46081</v>
      </c>
      <c r="M22" s="26" t="n">
        <v>46095</v>
      </c>
      <c r="N22" s="28" t="inlineStr">
        <is>
          <t>In Progress</t>
        </is>
      </c>
      <c r="O22" s="24">
        <f>IF(M22="","",IF(M22&lt;=L22,"On Time","Delayed"))</f>
        <v/>
      </c>
    </row>
    <row r="23" ht="21.75" customHeight="1" s="15">
      <c r="A23" s="31" t="n">
        <v>18</v>
      </c>
      <c r="B23" s="32" t="inlineStr">
        <is>
          <t>CA-018</t>
        </is>
      </c>
      <c r="C23" s="33" t="n">
        <v>46088</v>
      </c>
      <c r="D23" s="31">
        <f>IF(C23="","",TEXT(C23,"MMM"))</f>
        <v/>
      </c>
      <c r="E23" s="34" t="inlineStr">
        <is>
          <t>Observation Follow-up</t>
        </is>
      </c>
      <c r="F23" s="35" t="inlineStr">
        <is>
          <t>Logistics</t>
        </is>
      </c>
      <c r="G23" s="35" t="inlineStr">
        <is>
          <t>Plant B</t>
        </is>
      </c>
      <c r="H23" s="34" t="inlineStr">
        <is>
          <t>Add signage</t>
        </is>
      </c>
      <c r="I23" s="35" t="inlineStr">
        <is>
          <t>High</t>
        </is>
      </c>
      <c r="J23" s="34" t="inlineStr">
        <is>
          <t>Ahmed Khan</t>
        </is>
      </c>
      <c r="K23" s="34" t="inlineStr">
        <is>
          <t>Sarah Wilson</t>
        </is>
      </c>
      <c r="L23" s="33" t="n">
        <v>46168</v>
      </c>
      <c r="M23" s="33" t="n"/>
      <c r="N23" s="35" t="inlineStr">
        <is>
          <t>Completed</t>
        </is>
      </c>
      <c r="O23" s="31">
        <f>IF(M23="","",IF(M23&lt;=L23,"On Time","Delayed"))</f>
        <v/>
      </c>
    </row>
    <row r="24" ht="15" customHeight="1" s="15">
      <c r="A24" s="24" t="n">
        <v>19</v>
      </c>
      <c r="B24" s="25" t="inlineStr">
        <is>
          <t>CA-019</t>
        </is>
      </c>
      <c r="C24" s="26" t="n">
        <v>46037</v>
      </c>
      <c r="D24" s="24">
        <f>IF(C24="","",TEXT(C24,"MMM"))</f>
        <v/>
      </c>
      <c r="E24" s="27" t="inlineStr">
        <is>
          <t>Audit Finding</t>
        </is>
      </c>
      <c r="F24" s="28" t="inlineStr">
        <is>
          <t>Engineering</t>
        </is>
      </c>
      <c r="G24" s="28" t="inlineStr">
        <is>
          <t>Office</t>
        </is>
      </c>
      <c r="H24" s="27" t="inlineStr">
        <is>
          <t>Implement LOTO</t>
        </is>
      </c>
      <c r="I24" s="28" t="inlineStr">
        <is>
          <t>Medium</t>
        </is>
      </c>
      <c r="J24" s="27" t="inlineStr">
        <is>
          <t>Ahmed Khan</t>
        </is>
      </c>
      <c r="K24" s="27" t="inlineStr">
        <is>
          <t>David Chen</t>
        </is>
      </c>
      <c r="L24" s="26" t="n">
        <v>46358</v>
      </c>
      <c r="M24" s="26" t="n">
        <v>46248</v>
      </c>
      <c r="N24" s="28" t="inlineStr">
        <is>
          <t>Overdue</t>
        </is>
      </c>
      <c r="O24" s="24">
        <f>IF(M24="","",IF(M24&lt;=L24,"On Time","Delayed"))</f>
        <v/>
      </c>
    </row>
    <row r="25" ht="15" customHeight="1" s="15">
      <c r="A25" s="31" t="n">
        <v>20</v>
      </c>
      <c r="B25" s="32" t="inlineStr">
        <is>
          <t>CA-020</t>
        </is>
      </c>
      <c r="C25" s="33" t="n">
        <v>46157</v>
      </c>
      <c r="D25" s="31">
        <f>IF(C25="","",TEXT(C25,"MMM"))</f>
        <v/>
      </c>
      <c r="E25" s="34" t="inlineStr">
        <is>
          <t>Inspection Finding</t>
        </is>
      </c>
      <c r="F25" s="35" t="inlineStr">
        <is>
          <t>Operations</t>
        </is>
      </c>
      <c r="G25" s="35" t="inlineStr">
        <is>
          <t>Workshop</t>
        </is>
      </c>
      <c r="H25" s="34" t="inlineStr">
        <is>
          <t>Add signage</t>
        </is>
      </c>
      <c r="I25" s="35" t="inlineStr">
        <is>
          <t>Medium</t>
        </is>
      </c>
      <c r="J25" s="34" t="inlineStr">
        <is>
          <t>David Chen</t>
        </is>
      </c>
      <c r="K25" s="34" t="inlineStr">
        <is>
          <t>Tom Brown</t>
        </is>
      </c>
      <c r="L25" s="33" t="n">
        <v>46248</v>
      </c>
      <c r="M25" s="33" t="n"/>
      <c r="N25" s="35" t="inlineStr">
        <is>
          <t>In Progress</t>
        </is>
      </c>
      <c r="O25" s="31">
        <f>IF(M25="","",IF(M25&lt;=L25,"On Time","Delayed"))</f>
        <v/>
      </c>
    </row>
    <row r="26">
      <c r="A26">
        <f>IF($B26="","",ROW()-5)</f>
        <v/>
      </c>
      <c r="D26">
        <f>IF($B26="","",IF(C26="","",TEXT(C26,"MMM")))</f>
        <v/>
      </c>
      <c r="O26">
        <f>IF($B26="","",IF(M26="","",IF(M26&lt;=L26,"On Time","Delayed")))</f>
        <v/>
      </c>
    </row>
    <row r="27">
      <c r="A27">
        <f>IF($B27="","",ROW()-5)</f>
        <v/>
      </c>
      <c r="D27">
        <f>IF($B27="","",IF(C27="","",TEXT(C27,"MMM")))</f>
        <v/>
      </c>
      <c r="O27">
        <f>IF($B27="","",IF(M27="","",IF(M27&lt;=L27,"On Time","Delayed")))</f>
        <v/>
      </c>
    </row>
    <row r="28">
      <c r="A28">
        <f>IF($B28="","",ROW()-5)</f>
        <v/>
      </c>
      <c r="D28">
        <f>IF($B28="","",IF(C28="","",TEXT(C28,"MMM")))</f>
        <v/>
      </c>
      <c r="O28">
        <f>IF($B28="","",IF(M28="","",IF(M28&lt;=L28,"On Time","Delayed")))</f>
        <v/>
      </c>
    </row>
    <row r="29">
      <c r="A29">
        <f>IF($B29="","",ROW()-5)</f>
        <v/>
      </c>
      <c r="D29">
        <f>IF($B29="","",IF(C29="","",TEXT(C29,"MMM")))</f>
        <v/>
      </c>
      <c r="O29">
        <f>IF($B29="","",IF(M29="","",IF(M29&lt;=L29,"On Time","Delayed")))</f>
        <v/>
      </c>
    </row>
    <row r="30">
      <c r="A30">
        <f>IF($B30="","",ROW()-5)</f>
        <v/>
      </c>
      <c r="D30">
        <f>IF($B30="","",IF(C30="","",TEXT(C30,"MMM")))</f>
        <v/>
      </c>
      <c r="O30">
        <f>IF($B30="","",IF(M30="","",IF(M30&lt;=L30,"On Time","Delayed")))</f>
        <v/>
      </c>
    </row>
    <row r="31">
      <c r="A31">
        <f>IF($B31="","",ROW()-5)</f>
        <v/>
      </c>
      <c r="D31">
        <f>IF($B31="","",IF(C31="","",TEXT(C31,"MMM")))</f>
        <v/>
      </c>
      <c r="O31">
        <f>IF($B31="","",IF(M31="","",IF(M31&lt;=L31,"On Time","Delayed")))</f>
        <v/>
      </c>
    </row>
    <row r="32">
      <c r="A32">
        <f>IF($B32="","",ROW()-5)</f>
        <v/>
      </c>
      <c r="D32">
        <f>IF($B32="","",IF(C32="","",TEXT(C32,"MMM")))</f>
        <v/>
      </c>
      <c r="O32">
        <f>IF($B32="","",IF(M32="","",IF(M32&lt;=L32,"On Time","Delayed")))</f>
        <v/>
      </c>
    </row>
    <row r="33">
      <c r="A33">
        <f>IF($B33="","",ROW()-5)</f>
        <v/>
      </c>
      <c r="D33">
        <f>IF($B33="","",IF(C33="","",TEXT(C33,"MMM")))</f>
        <v/>
      </c>
      <c r="O33">
        <f>IF($B33="","",IF(M33="","",IF(M33&lt;=L33,"On Time","Delayed")))</f>
        <v/>
      </c>
    </row>
    <row r="34">
      <c r="A34">
        <f>IF($B34="","",ROW()-5)</f>
        <v/>
      </c>
      <c r="D34">
        <f>IF($B34="","",IF(C34="","",TEXT(C34,"MMM")))</f>
        <v/>
      </c>
      <c r="O34">
        <f>IF($B34="","",IF(M34="","",IF(M34&lt;=L34,"On Time","Delayed")))</f>
        <v/>
      </c>
    </row>
    <row r="35">
      <c r="A35">
        <f>IF($B35="","",ROW()-5)</f>
        <v/>
      </c>
      <c r="D35">
        <f>IF($B35="","",IF(C35="","",TEXT(C35,"MMM")))</f>
        <v/>
      </c>
      <c r="O35">
        <f>IF($B35="","",IF(M35="","",IF(M35&lt;=L35,"On Time","Delayed")))</f>
        <v/>
      </c>
    </row>
    <row r="36">
      <c r="A36">
        <f>IF($B36="","",ROW()-5)</f>
        <v/>
      </c>
      <c r="D36">
        <f>IF($B36="","",IF(C36="","",TEXT(C36,"MMM")))</f>
        <v/>
      </c>
      <c r="O36">
        <f>IF($B36="","",IF(M36="","",IF(M36&lt;=L36,"On Time","Delayed")))</f>
        <v/>
      </c>
    </row>
    <row r="37">
      <c r="A37">
        <f>IF($B37="","",ROW()-5)</f>
        <v/>
      </c>
      <c r="D37">
        <f>IF($B37="","",IF(C37="","",TEXT(C37,"MMM")))</f>
        <v/>
      </c>
      <c r="O37">
        <f>IF($B37="","",IF(M37="","",IF(M37&lt;=L37,"On Time","Delayed")))</f>
        <v/>
      </c>
    </row>
    <row r="38">
      <c r="A38">
        <f>IF($B38="","",ROW()-5)</f>
        <v/>
      </c>
      <c r="D38">
        <f>IF($B38="","",IF(C38="","",TEXT(C38,"MMM")))</f>
        <v/>
      </c>
      <c r="O38">
        <f>IF($B38="","",IF(M38="","",IF(M38&lt;=L38,"On Time","Delayed")))</f>
        <v/>
      </c>
    </row>
    <row r="39">
      <c r="A39">
        <f>IF($B39="","",ROW()-5)</f>
        <v/>
      </c>
      <c r="D39">
        <f>IF($B39="","",IF(C39="","",TEXT(C39,"MMM")))</f>
        <v/>
      </c>
      <c r="O39">
        <f>IF($B39="","",IF(M39="","",IF(M39&lt;=L39,"On Time","Delayed")))</f>
        <v/>
      </c>
    </row>
    <row r="40">
      <c r="A40">
        <f>IF($B40="","",ROW()-5)</f>
        <v/>
      </c>
      <c r="D40">
        <f>IF($B40="","",IF(C40="","",TEXT(C40,"MMM")))</f>
        <v/>
      </c>
      <c r="O40">
        <f>IF($B40="","",IF(M40="","",IF(M40&lt;=L40,"On Time","Delayed")))</f>
        <v/>
      </c>
    </row>
    <row r="41">
      <c r="A41">
        <f>IF($B41="","",ROW()-5)</f>
        <v/>
      </c>
      <c r="D41">
        <f>IF($B41="","",IF(C41="","",TEXT(C41,"MMM")))</f>
        <v/>
      </c>
      <c r="O41">
        <f>IF($B41="","",IF(M41="","",IF(M41&lt;=L41,"On Time","Delayed")))</f>
        <v/>
      </c>
    </row>
    <row r="42">
      <c r="A42">
        <f>IF($B42="","",ROW()-5)</f>
        <v/>
      </c>
      <c r="D42">
        <f>IF($B42="","",IF(C42="","",TEXT(C42,"MMM")))</f>
        <v/>
      </c>
      <c r="O42">
        <f>IF($B42="","",IF(M42="","",IF(M42&lt;=L42,"On Time","Delayed")))</f>
        <v/>
      </c>
    </row>
    <row r="43">
      <c r="A43">
        <f>IF($B43="","",ROW()-5)</f>
        <v/>
      </c>
      <c r="D43">
        <f>IF($B43="","",IF(C43="","",TEXT(C43,"MMM")))</f>
        <v/>
      </c>
      <c r="O43">
        <f>IF($B43="","",IF(M43="","",IF(M43&lt;=L43,"On Time","Delayed")))</f>
        <v/>
      </c>
    </row>
    <row r="44">
      <c r="A44">
        <f>IF($B44="","",ROW()-5)</f>
        <v/>
      </c>
      <c r="D44">
        <f>IF($B44="","",IF(C44="","",TEXT(C44,"MMM")))</f>
        <v/>
      </c>
      <c r="O44">
        <f>IF($B44="","",IF(M44="","",IF(M44&lt;=L44,"On Time","Delayed")))</f>
        <v/>
      </c>
    </row>
    <row r="45">
      <c r="A45">
        <f>IF($B45="","",ROW()-5)</f>
        <v/>
      </c>
      <c r="D45">
        <f>IF($B45="","",IF(C45="","",TEXT(C45,"MMM")))</f>
        <v/>
      </c>
      <c r="O45">
        <f>IF($B45="","",IF(M45="","",IF(M45&lt;=L45,"On Time","Delayed")))</f>
        <v/>
      </c>
    </row>
    <row r="46">
      <c r="A46">
        <f>IF($B46="","",ROW()-5)</f>
        <v/>
      </c>
      <c r="D46">
        <f>IF($B46="","",IF(C46="","",TEXT(C46,"MMM")))</f>
        <v/>
      </c>
      <c r="O46">
        <f>IF($B46="","",IF(M46="","",IF(M46&lt;=L46,"On Time","Delayed")))</f>
        <v/>
      </c>
    </row>
    <row r="47">
      <c r="A47">
        <f>IF($B47="","",ROW()-5)</f>
        <v/>
      </c>
      <c r="D47">
        <f>IF($B47="","",IF(C47="","",TEXT(C47,"MMM")))</f>
        <v/>
      </c>
      <c r="O47">
        <f>IF($B47="","",IF(M47="","",IF(M47&lt;=L47,"On Time","Delayed")))</f>
        <v/>
      </c>
    </row>
    <row r="48">
      <c r="A48">
        <f>IF($B48="","",ROW()-5)</f>
        <v/>
      </c>
      <c r="D48">
        <f>IF($B48="","",IF(C48="","",TEXT(C48,"MMM")))</f>
        <v/>
      </c>
      <c r="O48">
        <f>IF($B48="","",IF(M48="","",IF(M48&lt;=L48,"On Time","Delayed")))</f>
        <v/>
      </c>
    </row>
    <row r="49">
      <c r="A49">
        <f>IF($B49="","",ROW()-5)</f>
        <v/>
      </c>
      <c r="D49">
        <f>IF($B49="","",IF(C49="","",TEXT(C49,"MMM")))</f>
        <v/>
      </c>
      <c r="O49">
        <f>IF($B49="","",IF(M49="","",IF(M49&lt;=L49,"On Time","Delayed")))</f>
        <v/>
      </c>
    </row>
    <row r="50">
      <c r="A50">
        <f>IF($B50="","",ROW()-5)</f>
        <v/>
      </c>
      <c r="D50">
        <f>IF($B50="","",IF(C50="","",TEXT(C50,"MMM")))</f>
        <v/>
      </c>
      <c r="O50">
        <f>IF($B50="","",IF(M50="","",IF(M50&lt;=L50,"On Time","Delayed")))</f>
        <v/>
      </c>
    </row>
    <row r="51">
      <c r="A51">
        <f>IF($B51="","",ROW()-5)</f>
        <v/>
      </c>
      <c r="D51">
        <f>IF($B51="","",IF(C51="","",TEXT(C51,"MMM")))</f>
        <v/>
      </c>
      <c r="O51">
        <f>IF($B51="","",IF(M51="","",IF(M51&lt;=L51,"On Time","Delayed")))</f>
        <v/>
      </c>
    </row>
    <row r="52">
      <c r="A52">
        <f>IF($B52="","",ROW()-5)</f>
        <v/>
      </c>
      <c r="D52">
        <f>IF($B52="","",IF(C52="","",TEXT(C52,"MMM")))</f>
        <v/>
      </c>
      <c r="O52">
        <f>IF($B52="","",IF(M52="","",IF(M52&lt;=L52,"On Time","Delayed")))</f>
        <v/>
      </c>
    </row>
    <row r="53">
      <c r="A53">
        <f>IF($B53="","",ROW()-5)</f>
        <v/>
      </c>
      <c r="D53">
        <f>IF($B53="","",IF(C53="","",TEXT(C53,"MMM")))</f>
        <v/>
      </c>
      <c r="O53">
        <f>IF($B53="","",IF(M53="","",IF(M53&lt;=L53,"On Time","Delayed")))</f>
        <v/>
      </c>
    </row>
    <row r="54">
      <c r="A54">
        <f>IF($B54="","",ROW()-5)</f>
        <v/>
      </c>
      <c r="D54">
        <f>IF($B54="","",IF(C54="","",TEXT(C54,"MMM")))</f>
        <v/>
      </c>
      <c r="O54">
        <f>IF($B54="","",IF(M54="","",IF(M54&lt;=L54,"On Time","Delayed")))</f>
        <v/>
      </c>
    </row>
    <row r="55">
      <c r="A55">
        <f>IF($B55="","",ROW()-5)</f>
        <v/>
      </c>
      <c r="D55">
        <f>IF($B55="","",IF(C55="","",TEXT(C55,"MMM")))</f>
        <v/>
      </c>
      <c r="O55">
        <f>IF($B55="","",IF(M55="","",IF(M55&lt;=L55,"On Time","Delayed")))</f>
        <v/>
      </c>
    </row>
    <row r="56">
      <c r="A56">
        <f>IF($B56="","",ROW()-5)</f>
        <v/>
      </c>
      <c r="D56">
        <f>IF($B56="","",IF(C56="","",TEXT(C56,"MMM")))</f>
        <v/>
      </c>
      <c r="O56">
        <f>IF($B56="","",IF(M56="","",IF(M56&lt;=L56,"On Time","Delayed")))</f>
        <v/>
      </c>
    </row>
    <row r="57">
      <c r="A57">
        <f>IF($B57="","",ROW()-5)</f>
        <v/>
      </c>
      <c r="D57">
        <f>IF($B57="","",IF(C57="","",TEXT(C57,"MMM")))</f>
        <v/>
      </c>
      <c r="O57">
        <f>IF($B57="","",IF(M57="","",IF(M57&lt;=L57,"On Time","Delayed")))</f>
        <v/>
      </c>
    </row>
    <row r="58">
      <c r="A58">
        <f>IF($B58="","",ROW()-5)</f>
        <v/>
      </c>
      <c r="D58">
        <f>IF($B58="","",IF(C58="","",TEXT(C58,"MMM")))</f>
        <v/>
      </c>
      <c r="O58">
        <f>IF($B58="","",IF(M58="","",IF(M58&lt;=L58,"On Time","Delayed")))</f>
        <v/>
      </c>
    </row>
    <row r="59">
      <c r="A59">
        <f>IF($B59="","",ROW()-5)</f>
        <v/>
      </c>
      <c r="D59">
        <f>IF($B59="","",IF(C59="","",TEXT(C59,"MMM")))</f>
        <v/>
      </c>
      <c r="O59">
        <f>IF($B59="","",IF(M59="","",IF(M59&lt;=L59,"On Time","Delayed")))</f>
        <v/>
      </c>
    </row>
    <row r="60">
      <c r="A60">
        <f>IF($B60="","",ROW()-5)</f>
        <v/>
      </c>
      <c r="D60">
        <f>IF($B60="","",IF(C60="","",TEXT(C60,"MMM")))</f>
        <v/>
      </c>
      <c r="O60">
        <f>IF($B60="","",IF(M60="","",IF(M60&lt;=L60,"On Time","Delayed")))</f>
        <v/>
      </c>
    </row>
    <row r="61">
      <c r="A61">
        <f>IF($B61="","",ROW()-5)</f>
        <v/>
      </c>
      <c r="D61">
        <f>IF($B61="","",IF(C61="","",TEXT(C61,"MMM")))</f>
        <v/>
      </c>
      <c r="O61">
        <f>IF($B61="","",IF(M61="","",IF(M61&lt;=L61,"On Time","Delayed")))</f>
        <v/>
      </c>
    </row>
    <row r="62">
      <c r="A62">
        <f>IF($B62="","",ROW()-5)</f>
        <v/>
      </c>
      <c r="D62">
        <f>IF($B62="","",IF(C62="","",TEXT(C62,"MMM")))</f>
        <v/>
      </c>
      <c r="O62">
        <f>IF($B62="","",IF(M62="","",IF(M62&lt;=L62,"On Time","Delayed")))</f>
        <v/>
      </c>
    </row>
    <row r="63">
      <c r="A63">
        <f>IF($B63="","",ROW()-5)</f>
        <v/>
      </c>
      <c r="D63">
        <f>IF($B63="","",IF(C63="","",TEXT(C63,"MMM")))</f>
        <v/>
      </c>
      <c r="O63">
        <f>IF($B63="","",IF(M63="","",IF(M63&lt;=L63,"On Time","Delayed")))</f>
        <v/>
      </c>
    </row>
    <row r="64">
      <c r="A64">
        <f>IF($B64="","",ROW()-5)</f>
        <v/>
      </c>
      <c r="D64">
        <f>IF($B64="","",IF(C64="","",TEXT(C64,"MMM")))</f>
        <v/>
      </c>
      <c r="O64">
        <f>IF($B64="","",IF(M64="","",IF(M64&lt;=L64,"On Time","Delayed")))</f>
        <v/>
      </c>
    </row>
    <row r="65">
      <c r="A65">
        <f>IF($B65="","",ROW()-5)</f>
        <v/>
      </c>
      <c r="D65">
        <f>IF($B65="","",IF(C65="","",TEXT(C65,"MMM")))</f>
        <v/>
      </c>
      <c r="O65">
        <f>IF($B65="","",IF(M65="","",IF(M65&lt;=L65,"On Time","Delayed")))</f>
        <v/>
      </c>
    </row>
    <row r="66">
      <c r="A66">
        <f>IF($B66="","",ROW()-5)</f>
        <v/>
      </c>
      <c r="D66">
        <f>IF($B66="","",IF(C66="","",TEXT(C66,"MMM")))</f>
        <v/>
      </c>
      <c r="O66">
        <f>IF($B66="","",IF(M66="","",IF(M66&lt;=L66,"On Time","Delayed")))</f>
        <v/>
      </c>
    </row>
    <row r="67">
      <c r="A67">
        <f>IF($B67="","",ROW()-5)</f>
        <v/>
      </c>
      <c r="D67">
        <f>IF($B67="","",IF(C67="","",TEXT(C67,"MMM")))</f>
        <v/>
      </c>
      <c r="O67">
        <f>IF($B67="","",IF(M67="","",IF(M67&lt;=L67,"On Time","Delayed")))</f>
        <v/>
      </c>
    </row>
    <row r="68">
      <c r="A68">
        <f>IF($B68="","",ROW()-5)</f>
        <v/>
      </c>
      <c r="D68">
        <f>IF($B68="","",IF(C68="","",TEXT(C68,"MMM")))</f>
        <v/>
      </c>
      <c r="O68">
        <f>IF($B68="","",IF(M68="","",IF(M68&lt;=L68,"On Time","Delayed")))</f>
        <v/>
      </c>
    </row>
    <row r="69">
      <c r="A69">
        <f>IF($B69="","",ROW()-5)</f>
        <v/>
      </c>
      <c r="D69">
        <f>IF($B69="","",IF(C69="","",TEXT(C69,"MMM")))</f>
        <v/>
      </c>
      <c r="O69">
        <f>IF($B69="","",IF(M69="","",IF(M69&lt;=L69,"On Time","Delayed")))</f>
        <v/>
      </c>
    </row>
    <row r="70">
      <c r="A70">
        <f>IF($B70="","",ROW()-5)</f>
        <v/>
      </c>
      <c r="D70">
        <f>IF($B70="","",IF(C70="","",TEXT(C70,"MMM")))</f>
        <v/>
      </c>
      <c r="O70">
        <f>IF($B70="","",IF(M70="","",IF(M70&lt;=L70,"On Time","Delayed")))</f>
        <v/>
      </c>
    </row>
    <row r="71">
      <c r="A71">
        <f>IF($B71="","",ROW()-5)</f>
        <v/>
      </c>
      <c r="D71">
        <f>IF($B71="","",IF(C71="","",TEXT(C71,"MMM")))</f>
        <v/>
      </c>
      <c r="O71">
        <f>IF($B71="","",IF(M71="","",IF(M71&lt;=L71,"On Time","Delayed")))</f>
        <v/>
      </c>
    </row>
    <row r="72">
      <c r="A72">
        <f>IF($B72="","",ROW()-5)</f>
        <v/>
      </c>
      <c r="D72">
        <f>IF($B72="","",IF(C72="","",TEXT(C72,"MMM")))</f>
        <v/>
      </c>
      <c r="O72">
        <f>IF($B72="","",IF(M72="","",IF(M72&lt;=L72,"On Time","Delayed")))</f>
        <v/>
      </c>
    </row>
    <row r="73">
      <c r="A73">
        <f>IF($B73="","",ROW()-5)</f>
        <v/>
      </c>
      <c r="D73">
        <f>IF($B73="","",IF(C73="","",TEXT(C73,"MMM")))</f>
        <v/>
      </c>
      <c r="O73">
        <f>IF($B73="","",IF(M73="","",IF(M73&lt;=L73,"On Time","Delayed")))</f>
        <v/>
      </c>
    </row>
    <row r="74">
      <c r="A74">
        <f>IF($B74="","",ROW()-5)</f>
        <v/>
      </c>
      <c r="D74">
        <f>IF($B74="","",IF(C74="","",TEXT(C74,"MMM")))</f>
        <v/>
      </c>
      <c r="O74">
        <f>IF($B74="","",IF(M74="","",IF(M74&lt;=L74,"On Time","Delayed")))</f>
        <v/>
      </c>
    </row>
    <row r="75">
      <c r="A75">
        <f>IF($B75="","",ROW()-5)</f>
        <v/>
      </c>
      <c r="D75">
        <f>IF($B75="","",IF(C75="","",TEXT(C75,"MMM")))</f>
        <v/>
      </c>
      <c r="O75">
        <f>IF($B75="","",IF(M75="","",IF(M75&lt;=L75,"On Time","Delayed")))</f>
        <v/>
      </c>
    </row>
    <row r="76">
      <c r="A76">
        <f>IF($B76="","",ROW()-5)</f>
        <v/>
      </c>
      <c r="D76">
        <f>IF($B76="","",IF(C76="","",TEXT(C76,"MMM")))</f>
        <v/>
      </c>
      <c r="O76">
        <f>IF($B76="","",IF(M76="","",IF(M76&lt;=L76,"On Time","Delayed")))</f>
        <v/>
      </c>
    </row>
    <row r="77">
      <c r="A77">
        <f>IF($B77="","",ROW()-5)</f>
        <v/>
      </c>
      <c r="D77">
        <f>IF($B77="","",IF(C77="","",TEXT(C77,"MMM")))</f>
        <v/>
      </c>
      <c r="O77">
        <f>IF($B77="","",IF(M77="","",IF(M77&lt;=L77,"On Time","Delayed")))</f>
        <v/>
      </c>
    </row>
    <row r="78">
      <c r="A78">
        <f>IF($B78="","",ROW()-5)</f>
        <v/>
      </c>
      <c r="D78">
        <f>IF($B78="","",IF(C78="","",TEXT(C78,"MMM")))</f>
        <v/>
      </c>
      <c r="O78">
        <f>IF($B78="","",IF(M78="","",IF(M78&lt;=L78,"On Time","Delayed")))</f>
        <v/>
      </c>
    </row>
    <row r="79">
      <c r="A79">
        <f>IF($B79="","",ROW()-5)</f>
        <v/>
      </c>
      <c r="D79">
        <f>IF($B79="","",IF(C79="","",TEXT(C79,"MMM")))</f>
        <v/>
      </c>
      <c r="O79">
        <f>IF($B79="","",IF(M79="","",IF(M79&lt;=L79,"On Time","Delayed")))</f>
        <v/>
      </c>
    </row>
    <row r="80">
      <c r="A80">
        <f>IF($B80="","",ROW()-5)</f>
        <v/>
      </c>
      <c r="D80">
        <f>IF($B80="","",IF(C80="","",TEXT(C80,"MMM")))</f>
        <v/>
      </c>
      <c r="O80">
        <f>IF($B80="","",IF(M80="","",IF(M80&lt;=L80,"On Time","Delayed")))</f>
        <v/>
      </c>
    </row>
    <row r="81">
      <c r="A81">
        <f>IF($B81="","",ROW()-5)</f>
        <v/>
      </c>
      <c r="D81">
        <f>IF($B81="","",IF(C81="","",TEXT(C81,"MMM")))</f>
        <v/>
      </c>
      <c r="O81">
        <f>IF($B81="","",IF(M81="","",IF(M81&lt;=L81,"On Time","Delayed")))</f>
        <v/>
      </c>
    </row>
    <row r="82">
      <c r="A82">
        <f>IF($B82="","",ROW()-5)</f>
        <v/>
      </c>
      <c r="D82">
        <f>IF($B82="","",IF(C82="","",TEXT(C82,"MMM")))</f>
        <v/>
      </c>
      <c r="O82">
        <f>IF($B82="","",IF(M82="","",IF(M82&lt;=L82,"On Time","Delayed")))</f>
        <v/>
      </c>
    </row>
    <row r="83">
      <c r="A83">
        <f>IF($B83="","",ROW()-5)</f>
        <v/>
      </c>
      <c r="D83">
        <f>IF($B83="","",IF(C83="","",TEXT(C83,"MMM")))</f>
        <v/>
      </c>
      <c r="O83">
        <f>IF($B83="","",IF(M83="","",IF(M83&lt;=L83,"On Time","Delayed")))</f>
        <v/>
      </c>
    </row>
    <row r="84">
      <c r="A84">
        <f>IF($B84="","",ROW()-5)</f>
        <v/>
      </c>
      <c r="D84">
        <f>IF($B84="","",IF(C84="","",TEXT(C84,"MMM")))</f>
        <v/>
      </c>
      <c r="O84">
        <f>IF($B84="","",IF(M84="","",IF(M84&lt;=L84,"On Time","Delayed")))</f>
        <v/>
      </c>
    </row>
    <row r="85">
      <c r="A85">
        <f>IF($B85="","",ROW()-5)</f>
        <v/>
      </c>
      <c r="D85">
        <f>IF($B85="","",IF(C85="","",TEXT(C85,"MMM")))</f>
        <v/>
      </c>
      <c r="O85">
        <f>IF($B85="","",IF(M85="","",IF(M85&lt;=L85,"On Time","Delayed")))</f>
        <v/>
      </c>
    </row>
    <row r="86">
      <c r="A86">
        <f>IF($B86="","",ROW()-5)</f>
        <v/>
      </c>
      <c r="D86">
        <f>IF($B86="","",IF(C86="","",TEXT(C86,"MMM")))</f>
        <v/>
      </c>
      <c r="O86">
        <f>IF($B86="","",IF(M86="","",IF(M86&lt;=L86,"On Time","Delayed")))</f>
        <v/>
      </c>
    </row>
    <row r="87">
      <c r="A87">
        <f>IF($B87="","",ROW()-5)</f>
        <v/>
      </c>
      <c r="D87">
        <f>IF($B87="","",IF(C87="","",TEXT(C87,"MMM")))</f>
        <v/>
      </c>
      <c r="O87">
        <f>IF($B87="","",IF(M87="","",IF(M87&lt;=L87,"On Time","Delayed")))</f>
        <v/>
      </c>
    </row>
    <row r="88">
      <c r="A88">
        <f>IF($B88="","",ROW()-5)</f>
        <v/>
      </c>
      <c r="D88">
        <f>IF($B88="","",IF(C88="","",TEXT(C88,"MMM")))</f>
        <v/>
      </c>
      <c r="O88">
        <f>IF($B88="","",IF(M88="","",IF(M88&lt;=L88,"On Time","Delayed")))</f>
        <v/>
      </c>
    </row>
    <row r="89">
      <c r="A89">
        <f>IF($B89="","",ROW()-5)</f>
        <v/>
      </c>
      <c r="D89">
        <f>IF($B89="","",IF(C89="","",TEXT(C89,"MMM")))</f>
        <v/>
      </c>
      <c r="O89">
        <f>IF($B89="","",IF(M89="","",IF(M89&lt;=L89,"On Time","Delayed")))</f>
        <v/>
      </c>
    </row>
    <row r="90">
      <c r="A90">
        <f>IF($B90="","",ROW()-5)</f>
        <v/>
      </c>
      <c r="D90">
        <f>IF($B90="","",IF(C90="","",TEXT(C90,"MMM")))</f>
        <v/>
      </c>
      <c r="O90">
        <f>IF($B90="","",IF(M90="","",IF(M90&lt;=L90,"On Time","Delayed")))</f>
        <v/>
      </c>
    </row>
    <row r="91">
      <c r="A91">
        <f>IF($B91="","",ROW()-5)</f>
        <v/>
      </c>
      <c r="D91">
        <f>IF($B91="","",IF(C91="","",TEXT(C91,"MMM")))</f>
        <v/>
      </c>
      <c r="O91">
        <f>IF($B91="","",IF(M91="","",IF(M91&lt;=L91,"On Time","Delayed")))</f>
        <v/>
      </c>
    </row>
    <row r="92">
      <c r="A92">
        <f>IF($B92="","",ROW()-5)</f>
        <v/>
      </c>
      <c r="D92">
        <f>IF($B92="","",IF(C92="","",TEXT(C92,"MMM")))</f>
        <v/>
      </c>
      <c r="O92">
        <f>IF($B92="","",IF(M92="","",IF(M92&lt;=L92,"On Time","Delayed")))</f>
        <v/>
      </c>
    </row>
    <row r="93">
      <c r="A93">
        <f>IF($B93="","",ROW()-5)</f>
        <v/>
      </c>
      <c r="D93">
        <f>IF($B93="","",IF(C93="","",TEXT(C93,"MMM")))</f>
        <v/>
      </c>
      <c r="O93">
        <f>IF($B93="","",IF(M93="","",IF(M93&lt;=L93,"On Time","Delayed")))</f>
        <v/>
      </c>
    </row>
    <row r="94">
      <c r="A94">
        <f>IF($B94="","",ROW()-5)</f>
        <v/>
      </c>
      <c r="D94">
        <f>IF($B94="","",IF(C94="","",TEXT(C94,"MMM")))</f>
        <v/>
      </c>
      <c r="O94">
        <f>IF($B94="","",IF(M94="","",IF(M94&lt;=L94,"On Time","Delayed")))</f>
        <v/>
      </c>
    </row>
    <row r="95">
      <c r="A95">
        <f>IF($B95="","",ROW()-5)</f>
        <v/>
      </c>
      <c r="D95">
        <f>IF($B95="","",IF(C95="","",TEXT(C95,"MMM")))</f>
        <v/>
      </c>
      <c r="O95">
        <f>IF($B95="","",IF(M95="","",IF(M95&lt;=L95,"On Time","Delayed")))</f>
        <v/>
      </c>
    </row>
    <row r="96">
      <c r="A96">
        <f>IF($B96="","",ROW()-5)</f>
        <v/>
      </c>
      <c r="D96">
        <f>IF($B96="","",IF(C96="","",TEXT(C96,"MMM")))</f>
        <v/>
      </c>
      <c r="O96">
        <f>IF($B96="","",IF(M96="","",IF(M96&lt;=L96,"On Time","Delayed")))</f>
        <v/>
      </c>
    </row>
    <row r="97">
      <c r="A97">
        <f>IF($B97="","",ROW()-5)</f>
        <v/>
      </c>
      <c r="D97">
        <f>IF($B97="","",IF(C97="","",TEXT(C97,"MMM")))</f>
        <v/>
      </c>
      <c r="O97">
        <f>IF($B97="","",IF(M97="","",IF(M97&lt;=L97,"On Time","Delayed")))</f>
        <v/>
      </c>
    </row>
    <row r="98">
      <c r="A98">
        <f>IF($B98="","",ROW()-5)</f>
        <v/>
      </c>
      <c r="D98">
        <f>IF($B98="","",IF(C98="","",TEXT(C98,"MMM")))</f>
        <v/>
      </c>
      <c r="O98">
        <f>IF($B98="","",IF(M98="","",IF(M98&lt;=L98,"On Time","Delayed")))</f>
        <v/>
      </c>
    </row>
    <row r="99">
      <c r="A99">
        <f>IF($B99="","",ROW()-5)</f>
        <v/>
      </c>
      <c r="D99">
        <f>IF($B99="","",IF(C99="","",TEXT(C99,"MMM")))</f>
        <v/>
      </c>
      <c r="O99">
        <f>IF($B99="","",IF(M99="","",IF(M99&lt;=L99,"On Time","Delayed")))</f>
        <v/>
      </c>
    </row>
    <row r="100">
      <c r="A100">
        <f>IF($B100="","",ROW()-5)</f>
        <v/>
      </c>
      <c r="D100">
        <f>IF($B100="","",IF(C100="","",TEXT(C100,"MMM")))</f>
        <v/>
      </c>
      <c r="O100">
        <f>IF($B100="","",IF(M100="","",IF(M100&lt;=L100,"On Time","Delayed")))</f>
        <v/>
      </c>
    </row>
    <row r="101">
      <c r="A101">
        <f>IF($B101="","",ROW()-5)</f>
        <v/>
      </c>
      <c r="D101">
        <f>IF($B101="","",IF(C101="","",TEXT(C101,"MMM")))</f>
        <v/>
      </c>
      <c r="O101">
        <f>IF($B101="","",IF(M101="","",IF(M101&lt;=L101,"On Time","Delayed")))</f>
        <v/>
      </c>
    </row>
    <row r="102">
      <c r="A102">
        <f>IF($B102="","",ROW()-5)</f>
        <v/>
      </c>
      <c r="D102">
        <f>IF($B102="","",IF(C102="","",TEXT(C102,"MMM")))</f>
        <v/>
      </c>
      <c r="O102">
        <f>IF($B102="","",IF(M102="","",IF(M102&lt;=L102,"On Time","Delayed")))</f>
        <v/>
      </c>
    </row>
    <row r="103">
      <c r="A103">
        <f>IF($B103="","",ROW()-5)</f>
        <v/>
      </c>
      <c r="D103">
        <f>IF($B103="","",IF(C103="","",TEXT(C103,"MMM")))</f>
        <v/>
      </c>
      <c r="O103">
        <f>IF($B103="","",IF(M103="","",IF(M103&lt;=L103,"On Time","Delayed")))</f>
        <v/>
      </c>
    </row>
    <row r="104">
      <c r="A104">
        <f>IF($B104="","",ROW()-5)</f>
        <v/>
      </c>
      <c r="D104">
        <f>IF($B104="","",IF(C104="","",TEXT(C104,"MMM")))</f>
        <v/>
      </c>
      <c r="O104">
        <f>IF($B104="","",IF(M104="","",IF(M104&lt;=L104,"On Time","Delayed")))</f>
        <v/>
      </c>
    </row>
    <row r="105">
      <c r="A105">
        <f>IF($B105="","",ROW()-5)</f>
        <v/>
      </c>
      <c r="D105">
        <f>IF($B105="","",IF(C105="","",TEXT(C105,"MMM")))</f>
        <v/>
      </c>
      <c r="O105">
        <f>IF($B105="","",IF(M105="","",IF(M105&lt;=L105,"On Time","Delayed")))</f>
        <v/>
      </c>
    </row>
    <row r="106">
      <c r="A106">
        <f>IF($B106="","",ROW()-5)</f>
        <v/>
      </c>
      <c r="D106">
        <f>IF($B106="","",IF(C106="","",TEXT(C106,"MMM")))</f>
        <v/>
      </c>
      <c r="O106">
        <f>IF($B106="","",IF(M106="","",IF(M106&lt;=L106,"On Time","Delayed")))</f>
        <v/>
      </c>
    </row>
    <row r="107">
      <c r="A107">
        <f>IF($B107="","",ROW()-5)</f>
        <v/>
      </c>
      <c r="D107">
        <f>IF($B107="","",IF(C107="","",TEXT(C107,"MMM")))</f>
        <v/>
      </c>
      <c r="O107">
        <f>IF($B107="","",IF(M107="","",IF(M107&lt;=L107,"On Time","Delayed")))</f>
        <v/>
      </c>
    </row>
    <row r="108">
      <c r="A108">
        <f>IF($B108="","",ROW()-5)</f>
        <v/>
      </c>
      <c r="D108">
        <f>IF($B108="","",IF(C108="","",TEXT(C108,"MMM")))</f>
        <v/>
      </c>
      <c r="O108">
        <f>IF($B108="","",IF(M108="","",IF(M108&lt;=L108,"On Time","Delayed")))</f>
        <v/>
      </c>
    </row>
    <row r="109">
      <c r="A109">
        <f>IF($B109="","",ROW()-5)</f>
        <v/>
      </c>
      <c r="D109">
        <f>IF($B109="","",IF(C109="","",TEXT(C109,"MMM")))</f>
        <v/>
      </c>
      <c r="O109">
        <f>IF($B109="","",IF(M109="","",IF(M109&lt;=L109,"On Time","Delayed")))</f>
        <v/>
      </c>
    </row>
    <row r="110">
      <c r="A110">
        <f>IF($B110="","",ROW()-5)</f>
        <v/>
      </c>
      <c r="D110">
        <f>IF($B110="","",IF(C110="","",TEXT(C110,"MMM")))</f>
        <v/>
      </c>
      <c r="O110">
        <f>IF($B110="","",IF(M110="","",IF(M110&lt;=L110,"On Time","Delayed")))</f>
        <v/>
      </c>
    </row>
    <row r="111">
      <c r="A111">
        <f>IF($B111="","",ROW()-5)</f>
        <v/>
      </c>
      <c r="D111">
        <f>IF($B111="","",IF(C111="","",TEXT(C111,"MMM")))</f>
        <v/>
      </c>
      <c r="O111">
        <f>IF($B111="","",IF(M111="","",IF(M111&lt;=L111,"On Time","Delayed")))</f>
        <v/>
      </c>
    </row>
    <row r="112">
      <c r="A112">
        <f>IF($B112="","",ROW()-5)</f>
        <v/>
      </c>
      <c r="D112">
        <f>IF($B112="","",IF(C112="","",TEXT(C112,"MMM")))</f>
        <v/>
      </c>
      <c r="O112">
        <f>IF($B112="","",IF(M112="","",IF(M112&lt;=L112,"On Time","Delayed")))</f>
        <v/>
      </c>
    </row>
    <row r="113">
      <c r="A113">
        <f>IF($B113="","",ROW()-5)</f>
        <v/>
      </c>
      <c r="D113">
        <f>IF($B113="","",IF(C113="","",TEXT(C113,"MMM")))</f>
        <v/>
      </c>
      <c r="O113">
        <f>IF($B113="","",IF(M113="","",IF(M113&lt;=L113,"On Time","Delayed")))</f>
        <v/>
      </c>
    </row>
    <row r="114">
      <c r="A114">
        <f>IF($B114="","",ROW()-5)</f>
        <v/>
      </c>
      <c r="D114">
        <f>IF($B114="","",IF(C114="","",TEXT(C114,"MMM")))</f>
        <v/>
      </c>
      <c r="O114">
        <f>IF($B114="","",IF(M114="","",IF(M114&lt;=L114,"On Time","Delayed")))</f>
        <v/>
      </c>
    </row>
    <row r="115">
      <c r="A115">
        <f>IF($B115="","",ROW()-5)</f>
        <v/>
      </c>
      <c r="D115">
        <f>IF($B115="","",IF(C115="","",TEXT(C115,"MMM")))</f>
        <v/>
      </c>
      <c r="O115">
        <f>IF($B115="","",IF(M115="","",IF(M115&lt;=L115,"On Time","Delayed")))</f>
        <v/>
      </c>
    </row>
    <row r="116">
      <c r="A116">
        <f>IF($B116="","",ROW()-5)</f>
        <v/>
      </c>
      <c r="D116">
        <f>IF($B116="","",IF(C116="","",TEXT(C116,"MMM")))</f>
        <v/>
      </c>
      <c r="O116">
        <f>IF($B116="","",IF(M116="","",IF(M116&lt;=L116,"On Time","Delayed")))</f>
        <v/>
      </c>
    </row>
    <row r="117">
      <c r="A117">
        <f>IF($B117="","",ROW()-5)</f>
        <v/>
      </c>
      <c r="D117">
        <f>IF($B117="","",IF(C117="","",TEXT(C117,"MMM")))</f>
        <v/>
      </c>
      <c r="O117">
        <f>IF($B117="","",IF(M117="","",IF(M117&lt;=L117,"On Time","Delayed")))</f>
        <v/>
      </c>
    </row>
    <row r="118">
      <c r="A118">
        <f>IF($B118="","",ROW()-5)</f>
        <v/>
      </c>
      <c r="D118">
        <f>IF($B118="","",IF(C118="","",TEXT(C118,"MMM")))</f>
        <v/>
      </c>
      <c r="O118">
        <f>IF($B118="","",IF(M118="","",IF(M118&lt;=L118,"On Time","Delayed")))</f>
        <v/>
      </c>
    </row>
    <row r="119">
      <c r="A119">
        <f>IF($B119="","",ROW()-5)</f>
        <v/>
      </c>
      <c r="D119">
        <f>IF($B119="","",IF(C119="","",TEXT(C119,"MMM")))</f>
        <v/>
      </c>
      <c r="O119">
        <f>IF($B119="","",IF(M119="","",IF(M119&lt;=L119,"On Time","Delayed")))</f>
        <v/>
      </c>
    </row>
    <row r="120">
      <c r="A120">
        <f>IF($B120="","",ROW()-5)</f>
        <v/>
      </c>
      <c r="D120">
        <f>IF($B120="","",IF(C120="","",TEXT(C120,"MMM")))</f>
        <v/>
      </c>
      <c r="O120">
        <f>IF($B120="","",IF(M120="","",IF(M120&lt;=L120,"On Time","Delayed")))</f>
        <v/>
      </c>
    </row>
    <row r="121">
      <c r="A121">
        <f>IF($B121="","",ROW()-5)</f>
        <v/>
      </c>
      <c r="D121">
        <f>IF($B121="","",IF(C121="","",TEXT(C121,"MMM")))</f>
        <v/>
      </c>
      <c r="O121">
        <f>IF($B121="","",IF(M121="","",IF(M121&lt;=L121,"On Time","Delayed")))</f>
        <v/>
      </c>
    </row>
    <row r="122">
      <c r="A122">
        <f>IF($B122="","",ROW()-5)</f>
        <v/>
      </c>
      <c r="D122">
        <f>IF($B122="","",IF(C122="","",TEXT(C122,"MMM")))</f>
        <v/>
      </c>
      <c r="O122">
        <f>IF($B122="","",IF(M122="","",IF(M122&lt;=L122,"On Time","Delayed")))</f>
        <v/>
      </c>
    </row>
    <row r="123">
      <c r="A123">
        <f>IF($B123="","",ROW()-5)</f>
        <v/>
      </c>
      <c r="D123">
        <f>IF($B123="","",IF(C123="","",TEXT(C123,"MMM")))</f>
        <v/>
      </c>
      <c r="O123">
        <f>IF($B123="","",IF(M123="","",IF(M123&lt;=L123,"On Time","Delayed")))</f>
        <v/>
      </c>
    </row>
    <row r="124">
      <c r="A124">
        <f>IF($B124="","",ROW()-5)</f>
        <v/>
      </c>
      <c r="D124">
        <f>IF($B124="","",IF(C124="","",TEXT(C124,"MMM")))</f>
        <v/>
      </c>
      <c r="O124">
        <f>IF($B124="","",IF(M124="","",IF(M124&lt;=L124,"On Time","Delayed")))</f>
        <v/>
      </c>
    </row>
    <row r="125">
      <c r="A125">
        <f>IF($B125="","",ROW()-5)</f>
        <v/>
      </c>
      <c r="D125">
        <f>IF($B125="","",IF(C125="","",TEXT(C125,"MMM")))</f>
        <v/>
      </c>
      <c r="O125">
        <f>IF($B125="","",IF(M125="","",IF(M125&lt;=L125,"On Time","Delayed")))</f>
        <v/>
      </c>
    </row>
    <row r="126">
      <c r="A126">
        <f>IF($B126="","",ROW()-5)</f>
        <v/>
      </c>
      <c r="D126">
        <f>IF($B126="","",IF(C126="","",TEXT(C126,"MMM")))</f>
        <v/>
      </c>
      <c r="O126">
        <f>IF($B126="","",IF(M126="","",IF(M126&lt;=L126,"On Time","Delayed")))</f>
        <v/>
      </c>
    </row>
    <row r="127">
      <c r="A127">
        <f>IF($B127="","",ROW()-5)</f>
        <v/>
      </c>
      <c r="D127">
        <f>IF($B127="","",IF(C127="","",TEXT(C127,"MMM")))</f>
        <v/>
      </c>
      <c r="O127">
        <f>IF($B127="","",IF(M127="","",IF(M127&lt;=L127,"On Time","Delayed")))</f>
        <v/>
      </c>
    </row>
    <row r="128">
      <c r="A128">
        <f>IF($B128="","",ROW()-5)</f>
        <v/>
      </c>
      <c r="D128">
        <f>IF($B128="","",IF(C128="","",TEXT(C128,"MMM")))</f>
        <v/>
      </c>
      <c r="O128">
        <f>IF($B128="","",IF(M128="","",IF(M128&lt;=L128,"On Time","Delayed")))</f>
        <v/>
      </c>
    </row>
    <row r="129">
      <c r="A129">
        <f>IF($B129="","",ROW()-5)</f>
        <v/>
      </c>
      <c r="D129">
        <f>IF($B129="","",IF(C129="","",TEXT(C129,"MMM")))</f>
        <v/>
      </c>
      <c r="O129">
        <f>IF($B129="","",IF(M129="","",IF(M129&lt;=L129,"On Time","Delayed")))</f>
        <v/>
      </c>
    </row>
    <row r="130">
      <c r="A130">
        <f>IF($B130="","",ROW()-5)</f>
        <v/>
      </c>
      <c r="D130">
        <f>IF($B130="","",IF(C130="","",TEXT(C130,"MMM")))</f>
        <v/>
      </c>
      <c r="O130">
        <f>IF($B130="","",IF(M130="","",IF(M130&lt;=L130,"On Time","Delayed")))</f>
        <v/>
      </c>
    </row>
    <row r="131">
      <c r="A131">
        <f>IF($B131="","",ROW()-5)</f>
        <v/>
      </c>
      <c r="D131">
        <f>IF($B131="","",IF(C131="","",TEXT(C131,"MMM")))</f>
        <v/>
      </c>
      <c r="O131">
        <f>IF($B131="","",IF(M131="","",IF(M131&lt;=L131,"On Time","Delayed")))</f>
        <v/>
      </c>
    </row>
    <row r="132">
      <c r="A132">
        <f>IF($B132="","",ROW()-5)</f>
        <v/>
      </c>
      <c r="D132">
        <f>IF($B132="","",IF(C132="","",TEXT(C132,"MMM")))</f>
        <v/>
      </c>
      <c r="O132">
        <f>IF($B132="","",IF(M132="","",IF(M132&lt;=L132,"On Time","Delayed")))</f>
        <v/>
      </c>
    </row>
    <row r="133">
      <c r="A133">
        <f>IF($B133="","",ROW()-5)</f>
        <v/>
      </c>
      <c r="D133">
        <f>IF($B133="","",IF(C133="","",TEXT(C133,"MMM")))</f>
        <v/>
      </c>
      <c r="O133">
        <f>IF($B133="","",IF(M133="","",IF(M133&lt;=L133,"On Time","Delayed")))</f>
        <v/>
      </c>
    </row>
    <row r="134">
      <c r="A134">
        <f>IF($B134="","",ROW()-5)</f>
        <v/>
      </c>
      <c r="D134">
        <f>IF($B134="","",IF(C134="","",TEXT(C134,"MMM")))</f>
        <v/>
      </c>
      <c r="O134">
        <f>IF($B134="","",IF(M134="","",IF(M134&lt;=L134,"On Time","Delayed")))</f>
        <v/>
      </c>
    </row>
    <row r="135">
      <c r="A135">
        <f>IF($B135="","",ROW()-5)</f>
        <v/>
      </c>
      <c r="D135">
        <f>IF($B135="","",IF(C135="","",TEXT(C135,"MMM")))</f>
        <v/>
      </c>
      <c r="O135">
        <f>IF($B135="","",IF(M135="","",IF(M135&lt;=L135,"On Time","Delayed")))</f>
        <v/>
      </c>
    </row>
    <row r="136">
      <c r="A136">
        <f>IF($B136="","",ROW()-5)</f>
        <v/>
      </c>
      <c r="D136">
        <f>IF($B136="","",IF(C136="","",TEXT(C136,"MMM")))</f>
        <v/>
      </c>
      <c r="O136">
        <f>IF($B136="","",IF(M136="","",IF(M136&lt;=L136,"On Time","Delayed")))</f>
        <v/>
      </c>
    </row>
    <row r="137">
      <c r="A137">
        <f>IF($B137="","",ROW()-5)</f>
        <v/>
      </c>
      <c r="D137">
        <f>IF($B137="","",IF(C137="","",TEXT(C137,"MMM")))</f>
        <v/>
      </c>
      <c r="O137">
        <f>IF($B137="","",IF(M137="","",IF(M137&lt;=L137,"On Time","Delayed")))</f>
        <v/>
      </c>
    </row>
    <row r="138">
      <c r="A138">
        <f>IF($B138="","",ROW()-5)</f>
        <v/>
      </c>
      <c r="D138">
        <f>IF($B138="","",IF(C138="","",TEXT(C138,"MMM")))</f>
        <v/>
      </c>
      <c r="O138">
        <f>IF($B138="","",IF(M138="","",IF(M138&lt;=L138,"On Time","Delayed")))</f>
        <v/>
      </c>
    </row>
    <row r="139">
      <c r="A139">
        <f>IF($B139="","",ROW()-5)</f>
        <v/>
      </c>
      <c r="D139">
        <f>IF($B139="","",IF(C139="","",TEXT(C139,"MMM")))</f>
        <v/>
      </c>
      <c r="O139">
        <f>IF($B139="","",IF(M139="","",IF(M139&lt;=L139,"On Time","Delayed")))</f>
        <v/>
      </c>
    </row>
    <row r="140">
      <c r="A140">
        <f>IF($B140="","",ROW()-5)</f>
        <v/>
      </c>
      <c r="D140">
        <f>IF($B140="","",IF(C140="","",TEXT(C140,"MMM")))</f>
        <v/>
      </c>
      <c r="O140">
        <f>IF($B140="","",IF(M140="","",IF(M140&lt;=L140,"On Time","Delayed")))</f>
        <v/>
      </c>
    </row>
    <row r="141">
      <c r="A141">
        <f>IF($B141="","",ROW()-5)</f>
        <v/>
      </c>
      <c r="D141">
        <f>IF($B141="","",IF(C141="","",TEXT(C141,"MMM")))</f>
        <v/>
      </c>
      <c r="O141">
        <f>IF($B141="","",IF(M141="","",IF(M141&lt;=L141,"On Time","Delayed")))</f>
        <v/>
      </c>
    </row>
    <row r="142">
      <c r="A142">
        <f>IF($B142="","",ROW()-5)</f>
        <v/>
      </c>
      <c r="D142">
        <f>IF($B142="","",IF(C142="","",TEXT(C142,"MMM")))</f>
        <v/>
      </c>
      <c r="O142">
        <f>IF($B142="","",IF(M142="","",IF(M142&lt;=L142,"On Time","Delayed")))</f>
        <v/>
      </c>
    </row>
    <row r="143">
      <c r="A143">
        <f>IF($B143="","",ROW()-5)</f>
        <v/>
      </c>
      <c r="D143">
        <f>IF($B143="","",IF(C143="","",TEXT(C143,"MMM")))</f>
        <v/>
      </c>
      <c r="O143">
        <f>IF($B143="","",IF(M143="","",IF(M143&lt;=L143,"On Time","Delayed")))</f>
        <v/>
      </c>
    </row>
    <row r="144">
      <c r="A144">
        <f>IF($B144="","",ROW()-5)</f>
        <v/>
      </c>
      <c r="D144">
        <f>IF($B144="","",IF(C144="","",TEXT(C144,"MMM")))</f>
        <v/>
      </c>
      <c r="O144">
        <f>IF($B144="","",IF(M144="","",IF(M144&lt;=L144,"On Time","Delayed")))</f>
        <v/>
      </c>
    </row>
    <row r="145">
      <c r="A145">
        <f>IF($B145="","",ROW()-5)</f>
        <v/>
      </c>
      <c r="D145">
        <f>IF($B145="","",IF(C145="","",TEXT(C145,"MMM")))</f>
        <v/>
      </c>
      <c r="O145">
        <f>IF($B145="","",IF(M145="","",IF(M145&lt;=L145,"On Time","Delayed")))</f>
        <v/>
      </c>
    </row>
    <row r="146">
      <c r="A146">
        <f>IF($B146="","",ROW()-5)</f>
        <v/>
      </c>
      <c r="D146">
        <f>IF($B146="","",IF(C146="","",TEXT(C146,"MMM")))</f>
        <v/>
      </c>
      <c r="O146">
        <f>IF($B146="","",IF(M146="","",IF(M146&lt;=L146,"On Time","Delayed")))</f>
        <v/>
      </c>
    </row>
    <row r="147">
      <c r="A147">
        <f>IF($B147="","",ROW()-5)</f>
        <v/>
      </c>
      <c r="D147">
        <f>IF($B147="","",IF(C147="","",TEXT(C147,"MMM")))</f>
        <v/>
      </c>
      <c r="O147">
        <f>IF($B147="","",IF(M147="","",IF(M147&lt;=L147,"On Time","Delayed")))</f>
        <v/>
      </c>
    </row>
    <row r="148">
      <c r="A148">
        <f>IF($B148="","",ROW()-5)</f>
        <v/>
      </c>
      <c r="D148">
        <f>IF($B148="","",IF(C148="","",TEXT(C148,"MMM")))</f>
        <v/>
      </c>
      <c r="O148">
        <f>IF($B148="","",IF(M148="","",IF(M148&lt;=L148,"On Time","Delayed")))</f>
        <v/>
      </c>
    </row>
    <row r="149">
      <c r="A149">
        <f>IF($B149="","",ROW()-5)</f>
        <v/>
      </c>
      <c r="D149">
        <f>IF($B149="","",IF(C149="","",TEXT(C149,"MMM")))</f>
        <v/>
      </c>
      <c r="O149">
        <f>IF($B149="","",IF(M149="","",IF(M149&lt;=L149,"On Time","Delayed")))</f>
        <v/>
      </c>
    </row>
    <row r="150">
      <c r="A150">
        <f>IF($B150="","",ROW()-5)</f>
        <v/>
      </c>
      <c r="D150">
        <f>IF($B150="","",IF(C150="","",TEXT(C150,"MMM")))</f>
        <v/>
      </c>
      <c r="O150">
        <f>IF($B150="","",IF(M150="","",IF(M150&lt;=L150,"On Time","Delayed")))</f>
        <v/>
      </c>
    </row>
    <row r="151">
      <c r="A151">
        <f>IF($B151="","",ROW()-5)</f>
        <v/>
      </c>
      <c r="D151">
        <f>IF($B151="","",IF(C151="","",TEXT(C151,"MMM")))</f>
        <v/>
      </c>
      <c r="O151">
        <f>IF($B151="","",IF(M151="","",IF(M151&lt;=L151,"On Time","Delayed")))</f>
        <v/>
      </c>
    </row>
    <row r="152">
      <c r="A152">
        <f>IF($B152="","",ROW()-5)</f>
        <v/>
      </c>
      <c r="D152">
        <f>IF($B152="","",IF(C152="","",TEXT(C152,"MMM")))</f>
        <v/>
      </c>
      <c r="O152">
        <f>IF($B152="","",IF(M152="","",IF(M152&lt;=L152,"On Time","Delayed")))</f>
        <v/>
      </c>
    </row>
    <row r="153">
      <c r="A153">
        <f>IF($B153="","",ROW()-5)</f>
        <v/>
      </c>
      <c r="D153">
        <f>IF($B153="","",IF(C153="","",TEXT(C153,"MMM")))</f>
        <v/>
      </c>
      <c r="O153">
        <f>IF($B153="","",IF(M153="","",IF(M153&lt;=L153,"On Time","Delayed")))</f>
        <v/>
      </c>
    </row>
    <row r="154">
      <c r="A154">
        <f>IF($B154="","",ROW()-5)</f>
        <v/>
      </c>
      <c r="D154">
        <f>IF($B154="","",IF(C154="","",TEXT(C154,"MMM")))</f>
        <v/>
      </c>
      <c r="O154">
        <f>IF($B154="","",IF(M154="","",IF(M154&lt;=L154,"On Time","Delayed")))</f>
        <v/>
      </c>
    </row>
    <row r="155">
      <c r="A155">
        <f>IF($B155="","",ROW()-5)</f>
        <v/>
      </c>
      <c r="D155">
        <f>IF($B155="","",IF(C155="","",TEXT(C155,"MMM")))</f>
        <v/>
      </c>
      <c r="O155">
        <f>IF($B155="","",IF(M155="","",IF(M155&lt;=L155,"On Time","Delayed")))</f>
        <v/>
      </c>
    </row>
    <row r="156">
      <c r="A156">
        <f>IF($B156="","",ROW()-5)</f>
        <v/>
      </c>
      <c r="D156">
        <f>IF($B156="","",IF(C156="","",TEXT(C156,"MMM")))</f>
        <v/>
      </c>
      <c r="O156">
        <f>IF($B156="","",IF(M156="","",IF(M156&lt;=L156,"On Time","Delayed")))</f>
        <v/>
      </c>
    </row>
    <row r="157">
      <c r="A157">
        <f>IF($B157="","",ROW()-5)</f>
        <v/>
      </c>
      <c r="D157">
        <f>IF($B157="","",IF(C157="","",TEXT(C157,"MMM")))</f>
        <v/>
      </c>
      <c r="O157">
        <f>IF($B157="","",IF(M157="","",IF(M157&lt;=L157,"On Time","Delayed")))</f>
        <v/>
      </c>
    </row>
    <row r="158">
      <c r="A158">
        <f>IF($B158="","",ROW()-5)</f>
        <v/>
      </c>
      <c r="D158">
        <f>IF($B158="","",IF(C158="","",TEXT(C158,"MMM")))</f>
        <v/>
      </c>
      <c r="O158">
        <f>IF($B158="","",IF(M158="","",IF(M158&lt;=L158,"On Time","Delayed")))</f>
        <v/>
      </c>
    </row>
    <row r="159">
      <c r="A159">
        <f>IF($B159="","",ROW()-5)</f>
        <v/>
      </c>
      <c r="D159">
        <f>IF($B159="","",IF(C159="","",TEXT(C159,"MMM")))</f>
        <v/>
      </c>
      <c r="O159">
        <f>IF($B159="","",IF(M159="","",IF(M159&lt;=L159,"On Time","Delayed")))</f>
        <v/>
      </c>
    </row>
    <row r="160">
      <c r="A160">
        <f>IF($B160="","",ROW()-5)</f>
        <v/>
      </c>
      <c r="D160">
        <f>IF($B160="","",IF(C160="","",TEXT(C160,"MMM")))</f>
        <v/>
      </c>
      <c r="O160">
        <f>IF($B160="","",IF(M160="","",IF(M160&lt;=L160,"On Time","Delayed")))</f>
        <v/>
      </c>
    </row>
    <row r="161">
      <c r="A161">
        <f>IF($B161="","",ROW()-5)</f>
        <v/>
      </c>
      <c r="D161">
        <f>IF($B161="","",IF(C161="","",TEXT(C161,"MMM")))</f>
        <v/>
      </c>
      <c r="O161">
        <f>IF($B161="","",IF(M161="","",IF(M161&lt;=L161,"On Time","Delayed")))</f>
        <v/>
      </c>
    </row>
    <row r="162">
      <c r="A162">
        <f>IF($B162="","",ROW()-5)</f>
        <v/>
      </c>
      <c r="D162">
        <f>IF($B162="","",IF(C162="","",TEXT(C162,"MMM")))</f>
        <v/>
      </c>
      <c r="O162">
        <f>IF($B162="","",IF(M162="","",IF(M162&lt;=L162,"On Time","Delayed")))</f>
        <v/>
      </c>
    </row>
    <row r="163">
      <c r="A163">
        <f>IF($B163="","",ROW()-5)</f>
        <v/>
      </c>
      <c r="D163">
        <f>IF($B163="","",IF(C163="","",TEXT(C163,"MMM")))</f>
        <v/>
      </c>
      <c r="O163">
        <f>IF($B163="","",IF(M163="","",IF(M163&lt;=L163,"On Time","Delayed")))</f>
        <v/>
      </c>
    </row>
    <row r="164">
      <c r="A164">
        <f>IF($B164="","",ROW()-5)</f>
        <v/>
      </c>
      <c r="D164">
        <f>IF($B164="","",IF(C164="","",TEXT(C164,"MMM")))</f>
        <v/>
      </c>
      <c r="O164">
        <f>IF($B164="","",IF(M164="","",IF(M164&lt;=L164,"On Time","Delayed")))</f>
        <v/>
      </c>
    </row>
    <row r="165">
      <c r="A165">
        <f>IF($B165="","",ROW()-5)</f>
        <v/>
      </c>
      <c r="D165">
        <f>IF($B165="","",IF(C165="","",TEXT(C165,"MMM")))</f>
        <v/>
      </c>
      <c r="O165">
        <f>IF($B165="","",IF(M165="","",IF(M165&lt;=L165,"On Time","Delayed")))</f>
        <v/>
      </c>
    </row>
    <row r="166">
      <c r="A166">
        <f>IF($B166="","",ROW()-5)</f>
        <v/>
      </c>
      <c r="D166">
        <f>IF($B166="","",IF(C166="","",TEXT(C166,"MMM")))</f>
        <v/>
      </c>
      <c r="O166">
        <f>IF($B166="","",IF(M166="","",IF(M166&lt;=L166,"On Time","Delayed")))</f>
        <v/>
      </c>
    </row>
    <row r="167">
      <c r="A167">
        <f>IF($B167="","",ROW()-5)</f>
        <v/>
      </c>
      <c r="D167">
        <f>IF($B167="","",IF(C167="","",TEXT(C167,"MMM")))</f>
        <v/>
      </c>
      <c r="O167">
        <f>IF($B167="","",IF(M167="","",IF(M167&lt;=L167,"On Time","Delayed")))</f>
        <v/>
      </c>
    </row>
    <row r="168">
      <c r="A168">
        <f>IF($B168="","",ROW()-5)</f>
        <v/>
      </c>
      <c r="D168">
        <f>IF($B168="","",IF(C168="","",TEXT(C168,"MMM")))</f>
        <v/>
      </c>
      <c r="O168">
        <f>IF($B168="","",IF(M168="","",IF(M168&lt;=L168,"On Time","Delayed")))</f>
        <v/>
      </c>
    </row>
    <row r="169">
      <c r="A169">
        <f>IF($B169="","",ROW()-5)</f>
        <v/>
      </c>
      <c r="D169">
        <f>IF($B169="","",IF(C169="","",TEXT(C169,"MMM")))</f>
        <v/>
      </c>
      <c r="O169">
        <f>IF($B169="","",IF(M169="","",IF(M169&lt;=L169,"On Time","Delayed")))</f>
        <v/>
      </c>
    </row>
    <row r="170">
      <c r="A170">
        <f>IF($B170="","",ROW()-5)</f>
        <v/>
      </c>
      <c r="D170">
        <f>IF($B170="","",IF(C170="","",TEXT(C170,"MMM")))</f>
        <v/>
      </c>
      <c r="O170">
        <f>IF($B170="","",IF(M170="","",IF(M170&lt;=L170,"On Time","Delayed")))</f>
        <v/>
      </c>
    </row>
    <row r="171">
      <c r="A171">
        <f>IF($B171="","",ROW()-5)</f>
        <v/>
      </c>
      <c r="D171">
        <f>IF($B171="","",IF(C171="","",TEXT(C171,"MMM")))</f>
        <v/>
      </c>
      <c r="O171">
        <f>IF($B171="","",IF(M171="","",IF(M171&lt;=L171,"On Time","Delayed")))</f>
        <v/>
      </c>
    </row>
    <row r="172">
      <c r="A172">
        <f>IF($B172="","",ROW()-5)</f>
        <v/>
      </c>
      <c r="D172">
        <f>IF($B172="","",IF(C172="","",TEXT(C172,"MMM")))</f>
        <v/>
      </c>
      <c r="O172">
        <f>IF($B172="","",IF(M172="","",IF(M172&lt;=L172,"On Time","Delayed")))</f>
        <v/>
      </c>
    </row>
    <row r="173">
      <c r="A173">
        <f>IF($B173="","",ROW()-5)</f>
        <v/>
      </c>
      <c r="D173">
        <f>IF($B173="","",IF(C173="","",TEXT(C173,"MMM")))</f>
        <v/>
      </c>
      <c r="O173">
        <f>IF($B173="","",IF(M173="","",IF(M173&lt;=L173,"On Time","Delayed")))</f>
        <v/>
      </c>
    </row>
    <row r="174">
      <c r="A174">
        <f>IF($B174="","",ROW()-5)</f>
        <v/>
      </c>
      <c r="D174">
        <f>IF($B174="","",IF(C174="","",TEXT(C174,"MMM")))</f>
        <v/>
      </c>
      <c r="O174">
        <f>IF($B174="","",IF(M174="","",IF(M174&lt;=L174,"On Time","Delayed")))</f>
        <v/>
      </c>
    </row>
    <row r="175">
      <c r="A175">
        <f>IF($B175="","",ROW()-5)</f>
        <v/>
      </c>
      <c r="D175">
        <f>IF($B175="","",IF(C175="","",TEXT(C175,"MMM")))</f>
        <v/>
      </c>
      <c r="O175">
        <f>IF($B175="","",IF(M175="","",IF(M175&lt;=L175,"On Time","Delayed")))</f>
        <v/>
      </c>
    </row>
    <row r="176">
      <c r="A176">
        <f>IF($B176="","",ROW()-5)</f>
        <v/>
      </c>
      <c r="D176">
        <f>IF($B176="","",IF(C176="","",TEXT(C176,"MMM")))</f>
        <v/>
      </c>
      <c r="O176">
        <f>IF($B176="","",IF(M176="","",IF(M176&lt;=L176,"On Time","Delayed")))</f>
        <v/>
      </c>
    </row>
    <row r="177">
      <c r="A177">
        <f>IF($B177="","",ROW()-5)</f>
        <v/>
      </c>
      <c r="D177">
        <f>IF($B177="","",IF(C177="","",TEXT(C177,"MMM")))</f>
        <v/>
      </c>
      <c r="O177">
        <f>IF($B177="","",IF(M177="","",IF(M177&lt;=L177,"On Time","Delayed")))</f>
        <v/>
      </c>
    </row>
    <row r="178">
      <c r="A178">
        <f>IF($B178="","",ROW()-5)</f>
        <v/>
      </c>
      <c r="D178">
        <f>IF($B178="","",IF(C178="","",TEXT(C178,"MMM")))</f>
        <v/>
      </c>
      <c r="O178">
        <f>IF($B178="","",IF(M178="","",IF(M178&lt;=L178,"On Time","Delayed")))</f>
        <v/>
      </c>
    </row>
    <row r="179">
      <c r="A179">
        <f>IF($B179="","",ROW()-5)</f>
        <v/>
      </c>
      <c r="D179">
        <f>IF($B179="","",IF(C179="","",TEXT(C179,"MMM")))</f>
        <v/>
      </c>
      <c r="O179">
        <f>IF($B179="","",IF(M179="","",IF(M179&lt;=L179,"On Time","Delayed")))</f>
        <v/>
      </c>
    </row>
    <row r="180">
      <c r="A180">
        <f>IF($B180="","",ROW()-5)</f>
        <v/>
      </c>
      <c r="D180">
        <f>IF($B180="","",IF(C180="","",TEXT(C180,"MMM")))</f>
        <v/>
      </c>
      <c r="O180">
        <f>IF($B180="","",IF(M180="","",IF(M180&lt;=L180,"On Time","Delayed")))</f>
        <v/>
      </c>
    </row>
    <row r="181">
      <c r="A181">
        <f>IF($B181="","",ROW()-5)</f>
        <v/>
      </c>
      <c r="D181">
        <f>IF($B181="","",IF(C181="","",TEXT(C181,"MMM")))</f>
        <v/>
      </c>
      <c r="O181">
        <f>IF($B181="","",IF(M181="","",IF(M181&lt;=L181,"On Time","Delayed")))</f>
        <v/>
      </c>
    </row>
    <row r="182">
      <c r="A182">
        <f>IF($B182="","",ROW()-5)</f>
        <v/>
      </c>
      <c r="D182">
        <f>IF($B182="","",IF(C182="","",TEXT(C182,"MMM")))</f>
        <v/>
      </c>
      <c r="O182">
        <f>IF($B182="","",IF(M182="","",IF(M182&lt;=L182,"On Time","Delayed")))</f>
        <v/>
      </c>
    </row>
    <row r="183">
      <c r="A183">
        <f>IF($B183="","",ROW()-5)</f>
        <v/>
      </c>
      <c r="D183">
        <f>IF($B183="","",IF(C183="","",TEXT(C183,"MMM")))</f>
        <v/>
      </c>
      <c r="O183">
        <f>IF($B183="","",IF(M183="","",IF(M183&lt;=L183,"On Time","Delayed")))</f>
        <v/>
      </c>
    </row>
    <row r="184">
      <c r="A184">
        <f>IF($B184="","",ROW()-5)</f>
        <v/>
      </c>
      <c r="D184">
        <f>IF($B184="","",IF(C184="","",TEXT(C184,"MMM")))</f>
        <v/>
      </c>
      <c r="O184">
        <f>IF($B184="","",IF(M184="","",IF(M184&lt;=L184,"On Time","Delayed")))</f>
        <v/>
      </c>
    </row>
    <row r="185">
      <c r="A185">
        <f>IF($B185="","",ROW()-5)</f>
        <v/>
      </c>
      <c r="D185">
        <f>IF($B185="","",IF(C185="","",TEXT(C185,"MMM")))</f>
        <v/>
      </c>
      <c r="O185">
        <f>IF($B185="","",IF(M185="","",IF(M185&lt;=L185,"On Time","Delayed")))</f>
        <v/>
      </c>
    </row>
    <row r="186">
      <c r="A186">
        <f>IF($B186="","",ROW()-5)</f>
        <v/>
      </c>
      <c r="D186">
        <f>IF($B186="","",IF(C186="","",TEXT(C186,"MMM")))</f>
        <v/>
      </c>
      <c r="O186">
        <f>IF($B186="","",IF(M186="","",IF(M186&lt;=L186,"On Time","Delayed")))</f>
        <v/>
      </c>
    </row>
    <row r="187">
      <c r="A187">
        <f>IF($B187="","",ROW()-5)</f>
        <v/>
      </c>
      <c r="D187">
        <f>IF($B187="","",IF(C187="","",TEXT(C187,"MMM")))</f>
        <v/>
      </c>
      <c r="O187">
        <f>IF($B187="","",IF(M187="","",IF(M187&lt;=L187,"On Time","Delayed")))</f>
        <v/>
      </c>
    </row>
    <row r="188">
      <c r="A188">
        <f>IF($B188="","",ROW()-5)</f>
        <v/>
      </c>
      <c r="D188">
        <f>IF($B188="","",IF(C188="","",TEXT(C188,"MMM")))</f>
        <v/>
      </c>
      <c r="O188">
        <f>IF($B188="","",IF(M188="","",IF(M188&lt;=L188,"On Time","Delayed")))</f>
        <v/>
      </c>
    </row>
    <row r="189">
      <c r="A189">
        <f>IF($B189="","",ROW()-5)</f>
        <v/>
      </c>
      <c r="D189">
        <f>IF($B189="","",IF(C189="","",TEXT(C189,"MMM")))</f>
        <v/>
      </c>
      <c r="O189">
        <f>IF($B189="","",IF(M189="","",IF(M189&lt;=L189,"On Time","Delayed")))</f>
        <v/>
      </c>
    </row>
    <row r="190">
      <c r="A190">
        <f>IF($B190="","",ROW()-5)</f>
        <v/>
      </c>
      <c r="D190">
        <f>IF($B190="","",IF(C190="","",TEXT(C190,"MMM")))</f>
        <v/>
      </c>
      <c r="O190">
        <f>IF($B190="","",IF(M190="","",IF(M190&lt;=L190,"On Time","Delayed")))</f>
        <v/>
      </c>
    </row>
    <row r="191">
      <c r="A191">
        <f>IF($B191="","",ROW()-5)</f>
        <v/>
      </c>
      <c r="D191">
        <f>IF($B191="","",IF(C191="","",TEXT(C191,"MMM")))</f>
        <v/>
      </c>
      <c r="O191">
        <f>IF($B191="","",IF(M191="","",IF(M191&lt;=L191,"On Time","Delayed")))</f>
        <v/>
      </c>
    </row>
    <row r="192">
      <c r="A192">
        <f>IF($B192="","",ROW()-5)</f>
        <v/>
      </c>
      <c r="D192">
        <f>IF($B192="","",IF(C192="","",TEXT(C192,"MMM")))</f>
        <v/>
      </c>
      <c r="O192">
        <f>IF($B192="","",IF(M192="","",IF(M192&lt;=L192,"On Time","Delayed")))</f>
        <v/>
      </c>
    </row>
    <row r="193">
      <c r="A193">
        <f>IF($B193="","",ROW()-5)</f>
        <v/>
      </c>
      <c r="D193">
        <f>IF($B193="","",IF(C193="","",TEXT(C193,"MMM")))</f>
        <v/>
      </c>
      <c r="O193">
        <f>IF($B193="","",IF(M193="","",IF(M193&lt;=L193,"On Time","Delayed")))</f>
        <v/>
      </c>
    </row>
    <row r="194">
      <c r="A194">
        <f>IF($B194="","",ROW()-5)</f>
        <v/>
      </c>
      <c r="D194">
        <f>IF($B194="","",IF(C194="","",TEXT(C194,"MMM")))</f>
        <v/>
      </c>
      <c r="O194">
        <f>IF($B194="","",IF(M194="","",IF(M194&lt;=L194,"On Time","Delayed")))</f>
        <v/>
      </c>
    </row>
    <row r="195">
      <c r="A195">
        <f>IF($B195="","",ROW()-5)</f>
        <v/>
      </c>
      <c r="D195">
        <f>IF($B195="","",IF(C195="","",TEXT(C195,"MMM")))</f>
        <v/>
      </c>
      <c r="O195">
        <f>IF($B195="","",IF(M195="","",IF(M195&lt;=L195,"On Time","Delayed")))</f>
        <v/>
      </c>
    </row>
    <row r="196">
      <c r="A196">
        <f>IF($B196="","",ROW()-5)</f>
        <v/>
      </c>
      <c r="D196">
        <f>IF($B196="","",IF(C196="","",TEXT(C196,"MMM")))</f>
        <v/>
      </c>
      <c r="O196">
        <f>IF($B196="","",IF(M196="","",IF(M196&lt;=L196,"On Time","Delayed")))</f>
        <v/>
      </c>
    </row>
    <row r="197">
      <c r="A197">
        <f>IF($B197="","",ROW()-5)</f>
        <v/>
      </c>
      <c r="D197">
        <f>IF($B197="","",IF(C197="","",TEXT(C197,"MMM")))</f>
        <v/>
      </c>
      <c r="O197">
        <f>IF($B197="","",IF(M197="","",IF(M197&lt;=L197,"On Time","Delayed")))</f>
        <v/>
      </c>
    </row>
    <row r="198">
      <c r="A198">
        <f>IF($B198="","",ROW()-5)</f>
        <v/>
      </c>
      <c r="D198">
        <f>IF($B198="","",IF(C198="","",TEXT(C198,"MMM")))</f>
        <v/>
      </c>
      <c r="O198">
        <f>IF($B198="","",IF(M198="","",IF(M198&lt;=L198,"On Time","Delayed")))</f>
        <v/>
      </c>
    </row>
    <row r="199">
      <c r="A199">
        <f>IF($B199="","",ROW()-5)</f>
        <v/>
      </c>
      <c r="D199">
        <f>IF($B199="","",IF(C199="","",TEXT(C199,"MMM")))</f>
        <v/>
      </c>
      <c r="O199">
        <f>IF($B199="","",IF(M199="","",IF(M199&lt;=L199,"On Time","Delayed")))</f>
        <v/>
      </c>
    </row>
    <row r="200">
      <c r="A200">
        <f>IF($B200="","",ROW()-5)</f>
        <v/>
      </c>
      <c r="D200">
        <f>IF($B200="","",IF(C200="","",TEXT(C200,"MMM")))</f>
        <v/>
      </c>
      <c r="O200">
        <f>IF($B200="","",IF(M200="","",IF(M200&lt;=L200,"On Time","Delayed")))</f>
        <v/>
      </c>
    </row>
    <row r="201">
      <c r="A201">
        <f>IF($B201="","",ROW()-5)</f>
        <v/>
      </c>
      <c r="D201">
        <f>IF($B201="","",IF(C201="","",TEXT(C201,"MMM")))</f>
        <v/>
      </c>
      <c r="O201">
        <f>IF($B201="","",IF(M201="","",IF(M201&lt;=L201,"On Time","Delayed")))</f>
        <v/>
      </c>
    </row>
    <row r="202">
      <c r="A202">
        <f>IF($B202="","",ROW()-5)</f>
        <v/>
      </c>
      <c r="D202">
        <f>IF($B202="","",IF(C202="","",TEXT(C202,"MMM")))</f>
        <v/>
      </c>
      <c r="O202">
        <f>IF($B202="","",IF(M202="","",IF(M202&lt;=L202,"On Time","Delayed")))</f>
        <v/>
      </c>
    </row>
    <row r="203">
      <c r="A203">
        <f>IF($B203="","",ROW()-5)</f>
        <v/>
      </c>
      <c r="D203">
        <f>IF($B203="","",IF(C203="","",TEXT(C203,"MMM")))</f>
        <v/>
      </c>
      <c r="O203">
        <f>IF($B203="","",IF(M203="","",IF(M203&lt;=L203,"On Time","Delayed")))</f>
        <v/>
      </c>
    </row>
    <row r="204">
      <c r="A204">
        <f>IF($B204="","",ROW()-5)</f>
        <v/>
      </c>
      <c r="D204">
        <f>IF($B204="","",IF(C204="","",TEXT(C204,"MMM")))</f>
        <v/>
      </c>
      <c r="O204">
        <f>IF($B204="","",IF(M204="","",IF(M204&lt;=L204,"On Time","Delayed")))</f>
        <v/>
      </c>
    </row>
    <row r="205">
      <c r="A205">
        <f>IF($B205="","",ROW()-5)</f>
        <v/>
      </c>
      <c r="D205">
        <f>IF($B205="","",IF(C205="","",TEXT(C205,"MMM")))</f>
        <v/>
      </c>
      <c r="O205">
        <f>IF($B205="","",IF(M205="","",IF(M205&lt;=L205,"On Time","Delayed")))</f>
        <v/>
      </c>
    </row>
    <row r="206">
      <c r="A206">
        <f>IF($B206="","",ROW()-5)</f>
        <v/>
      </c>
      <c r="D206">
        <f>IF($B206="","",IF(C206="","",TEXT(C206,"MMM")))</f>
        <v/>
      </c>
      <c r="O206">
        <f>IF($B206="","",IF(M206="","",IF(M206&lt;=L206,"On Time","Delayed")))</f>
        <v/>
      </c>
    </row>
    <row r="207">
      <c r="A207">
        <f>IF($B207="","",ROW()-5)</f>
        <v/>
      </c>
      <c r="D207">
        <f>IF($B207="","",IF(C207="","",TEXT(C207,"MMM")))</f>
        <v/>
      </c>
      <c r="O207">
        <f>IF($B207="","",IF(M207="","",IF(M207&lt;=L207,"On Time","Delayed")))</f>
        <v/>
      </c>
    </row>
    <row r="208">
      <c r="A208">
        <f>IF($B208="","",ROW()-5)</f>
        <v/>
      </c>
      <c r="D208">
        <f>IF($B208="","",IF(C208="","",TEXT(C208,"MMM")))</f>
        <v/>
      </c>
      <c r="O208">
        <f>IF($B208="","",IF(M208="","",IF(M208&lt;=L208,"On Time","Delayed")))</f>
        <v/>
      </c>
    </row>
    <row r="209">
      <c r="A209">
        <f>IF($B209="","",ROW()-5)</f>
        <v/>
      </c>
      <c r="D209">
        <f>IF($B209="","",IF(C209="","",TEXT(C209,"MMM")))</f>
        <v/>
      </c>
      <c r="O209">
        <f>IF($B209="","",IF(M209="","",IF(M209&lt;=L209,"On Time","Delayed")))</f>
        <v/>
      </c>
    </row>
    <row r="210">
      <c r="A210">
        <f>IF($B210="","",ROW()-5)</f>
        <v/>
      </c>
      <c r="D210">
        <f>IF($B210="","",IF(C210="","",TEXT(C210,"MMM")))</f>
        <v/>
      </c>
      <c r="O210">
        <f>IF($B210="","",IF(M210="","",IF(M210&lt;=L210,"On Time","Delayed")))</f>
        <v/>
      </c>
    </row>
    <row r="211">
      <c r="A211">
        <f>IF($B211="","",ROW()-5)</f>
        <v/>
      </c>
      <c r="D211">
        <f>IF($B211="","",IF(C211="","",TEXT(C211,"MMM")))</f>
        <v/>
      </c>
      <c r="O211">
        <f>IF($B211="","",IF(M211="","",IF(M211&lt;=L211,"On Time","Delayed")))</f>
        <v/>
      </c>
    </row>
    <row r="212">
      <c r="A212">
        <f>IF($B212="","",ROW()-5)</f>
        <v/>
      </c>
      <c r="D212">
        <f>IF($B212="","",IF(C212="","",TEXT(C212,"MMM")))</f>
        <v/>
      </c>
      <c r="O212">
        <f>IF($B212="","",IF(M212="","",IF(M212&lt;=L212,"On Time","Delayed")))</f>
        <v/>
      </c>
    </row>
    <row r="213">
      <c r="A213">
        <f>IF($B213="","",ROW()-5)</f>
        <v/>
      </c>
      <c r="D213">
        <f>IF($B213="","",IF(C213="","",TEXT(C213,"MMM")))</f>
        <v/>
      </c>
      <c r="O213">
        <f>IF($B213="","",IF(M213="","",IF(M213&lt;=L213,"On Time","Delayed")))</f>
        <v/>
      </c>
    </row>
    <row r="214">
      <c r="A214">
        <f>IF($B214="","",ROW()-5)</f>
        <v/>
      </c>
      <c r="D214">
        <f>IF($B214="","",IF(C214="","",TEXT(C214,"MMM")))</f>
        <v/>
      </c>
      <c r="O214">
        <f>IF($B214="","",IF(M214="","",IF(M214&lt;=L214,"On Time","Delayed")))</f>
        <v/>
      </c>
    </row>
    <row r="215">
      <c r="A215">
        <f>IF($B215="","",ROW()-5)</f>
        <v/>
      </c>
      <c r="D215">
        <f>IF($B215="","",IF(C215="","",TEXT(C215,"MMM")))</f>
        <v/>
      </c>
      <c r="O215">
        <f>IF($B215="","",IF(M215="","",IF(M215&lt;=L215,"On Time","Delayed")))</f>
        <v/>
      </c>
    </row>
    <row r="216">
      <c r="A216">
        <f>IF($B216="","",ROW()-5)</f>
        <v/>
      </c>
      <c r="D216">
        <f>IF($B216="","",IF(C216="","",TEXT(C216,"MMM")))</f>
        <v/>
      </c>
      <c r="O216">
        <f>IF($B216="","",IF(M216="","",IF(M216&lt;=L216,"On Time","Delayed")))</f>
        <v/>
      </c>
    </row>
    <row r="217">
      <c r="A217">
        <f>IF($B217="","",ROW()-5)</f>
        <v/>
      </c>
      <c r="D217">
        <f>IF($B217="","",IF(C217="","",TEXT(C217,"MMM")))</f>
        <v/>
      </c>
      <c r="O217">
        <f>IF($B217="","",IF(M217="","",IF(M217&lt;=L217,"On Time","Delayed")))</f>
        <v/>
      </c>
    </row>
    <row r="218">
      <c r="A218">
        <f>IF($B218="","",ROW()-5)</f>
        <v/>
      </c>
      <c r="D218">
        <f>IF($B218="","",IF(C218="","",TEXT(C218,"MMM")))</f>
        <v/>
      </c>
      <c r="O218">
        <f>IF($B218="","",IF(M218="","",IF(M218&lt;=L218,"On Time","Delayed")))</f>
        <v/>
      </c>
    </row>
    <row r="219">
      <c r="A219">
        <f>IF($B219="","",ROW()-5)</f>
        <v/>
      </c>
      <c r="D219">
        <f>IF($B219="","",IF(C219="","",TEXT(C219,"MMM")))</f>
        <v/>
      </c>
      <c r="O219">
        <f>IF($B219="","",IF(M219="","",IF(M219&lt;=L219,"On Time","Delayed")))</f>
        <v/>
      </c>
    </row>
    <row r="220">
      <c r="A220">
        <f>IF($B220="","",ROW()-5)</f>
        <v/>
      </c>
      <c r="D220">
        <f>IF($B220="","",IF(C220="","",TEXT(C220,"MMM")))</f>
        <v/>
      </c>
      <c r="O220">
        <f>IF($B220="","",IF(M220="","",IF(M220&lt;=L220,"On Time","Delayed")))</f>
        <v/>
      </c>
    </row>
    <row r="221">
      <c r="A221">
        <f>IF($B221="","",ROW()-5)</f>
        <v/>
      </c>
      <c r="D221">
        <f>IF($B221="","",IF(C221="","",TEXT(C221,"MMM")))</f>
        <v/>
      </c>
      <c r="O221">
        <f>IF($B221="","",IF(M221="","",IF(M221&lt;=L221,"On Time","Delayed")))</f>
        <v/>
      </c>
    </row>
    <row r="222">
      <c r="A222">
        <f>IF($B222="","",ROW()-5)</f>
        <v/>
      </c>
      <c r="D222">
        <f>IF($B222="","",IF(C222="","",TEXT(C222,"MMM")))</f>
        <v/>
      </c>
      <c r="O222">
        <f>IF($B222="","",IF(M222="","",IF(M222&lt;=L222,"On Time","Delayed")))</f>
        <v/>
      </c>
    </row>
    <row r="223">
      <c r="A223">
        <f>IF($B223="","",ROW()-5)</f>
        <v/>
      </c>
      <c r="D223">
        <f>IF($B223="","",IF(C223="","",TEXT(C223,"MMM")))</f>
        <v/>
      </c>
      <c r="O223">
        <f>IF($B223="","",IF(M223="","",IF(M223&lt;=L223,"On Time","Delayed")))</f>
        <v/>
      </c>
    </row>
    <row r="224">
      <c r="A224">
        <f>IF($B224="","",ROW()-5)</f>
        <v/>
      </c>
      <c r="D224">
        <f>IF($B224="","",IF(C224="","",TEXT(C224,"MMM")))</f>
        <v/>
      </c>
      <c r="O224">
        <f>IF($B224="","",IF(M224="","",IF(M224&lt;=L224,"On Time","Delayed")))</f>
        <v/>
      </c>
    </row>
    <row r="225">
      <c r="A225">
        <f>IF($B225="","",ROW()-5)</f>
        <v/>
      </c>
      <c r="D225">
        <f>IF($B225="","",IF(C225="","",TEXT(C225,"MMM")))</f>
        <v/>
      </c>
      <c r="O225">
        <f>IF($B225="","",IF(M225="","",IF(M225&lt;=L225,"On Time","Delayed")))</f>
        <v/>
      </c>
    </row>
    <row r="226">
      <c r="A226">
        <f>IF($B226="","",ROW()-5)</f>
        <v/>
      </c>
      <c r="D226">
        <f>IF($B226="","",IF(C226="","",TEXT(C226,"MMM")))</f>
        <v/>
      </c>
      <c r="O226">
        <f>IF($B226="","",IF(M226="","",IF(M226&lt;=L226,"On Time","Delayed")))</f>
        <v/>
      </c>
    </row>
    <row r="227">
      <c r="A227">
        <f>IF($B227="","",ROW()-5)</f>
        <v/>
      </c>
      <c r="D227">
        <f>IF($B227="","",IF(C227="","",TEXT(C227,"MMM")))</f>
        <v/>
      </c>
      <c r="O227">
        <f>IF($B227="","",IF(M227="","",IF(M227&lt;=L227,"On Time","Delayed")))</f>
        <v/>
      </c>
    </row>
    <row r="228">
      <c r="A228">
        <f>IF($B228="","",ROW()-5)</f>
        <v/>
      </c>
      <c r="D228">
        <f>IF($B228="","",IF(C228="","",TEXT(C228,"MMM")))</f>
        <v/>
      </c>
      <c r="O228">
        <f>IF($B228="","",IF(M228="","",IF(M228&lt;=L228,"On Time","Delayed")))</f>
        <v/>
      </c>
    </row>
    <row r="229">
      <c r="A229">
        <f>IF($B229="","",ROW()-5)</f>
        <v/>
      </c>
      <c r="D229">
        <f>IF($B229="","",IF(C229="","",TEXT(C229,"MMM")))</f>
        <v/>
      </c>
      <c r="O229">
        <f>IF($B229="","",IF(M229="","",IF(M229&lt;=L229,"On Time","Delayed")))</f>
        <v/>
      </c>
    </row>
    <row r="230">
      <c r="A230">
        <f>IF($B230="","",ROW()-5)</f>
        <v/>
      </c>
      <c r="D230">
        <f>IF($B230="","",IF(C230="","",TEXT(C230,"MMM")))</f>
        <v/>
      </c>
      <c r="O230">
        <f>IF($B230="","",IF(M230="","",IF(M230&lt;=L230,"On Time","Delayed")))</f>
        <v/>
      </c>
    </row>
    <row r="231">
      <c r="A231">
        <f>IF($B231="","",ROW()-5)</f>
        <v/>
      </c>
      <c r="D231">
        <f>IF($B231="","",IF(C231="","",TEXT(C231,"MMM")))</f>
        <v/>
      </c>
      <c r="O231">
        <f>IF($B231="","",IF(M231="","",IF(M231&lt;=L231,"On Time","Delayed")))</f>
        <v/>
      </c>
    </row>
    <row r="232">
      <c r="A232">
        <f>IF($B232="","",ROW()-5)</f>
        <v/>
      </c>
      <c r="D232">
        <f>IF($B232="","",IF(C232="","",TEXT(C232,"MMM")))</f>
        <v/>
      </c>
      <c r="O232">
        <f>IF($B232="","",IF(M232="","",IF(M232&lt;=L232,"On Time","Delayed")))</f>
        <v/>
      </c>
    </row>
    <row r="233">
      <c r="A233">
        <f>IF($B233="","",ROW()-5)</f>
        <v/>
      </c>
      <c r="D233">
        <f>IF($B233="","",IF(C233="","",TEXT(C233,"MMM")))</f>
        <v/>
      </c>
      <c r="O233">
        <f>IF($B233="","",IF(M233="","",IF(M233&lt;=L233,"On Time","Delayed")))</f>
        <v/>
      </c>
    </row>
    <row r="234">
      <c r="A234">
        <f>IF($B234="","",ROW()-5)</f>
        <v/>
      </c>
      <c r="D234">
        <f>IF($B234="","",IF(C234="","",TEXT(C234,"MMM")))</f>
        <v/>
      </c>
      <c r="O234">
        <f>IF($B234="","",IF(M234="","",IF(M234&lt;=L234,"On Time","Delayed")))</f>
        <v/>
      </c>
    </row>
    <row r="235">
      <c r="A235">
        <f>IF($B235="","",ROW()-5)</f>
        <v/>
      </c>
      <c r="D235">
        <f>IF($B235="","",IF(C235="","",TEXT(C235,"MMM")))</f>
        <v/>
      </c>
      <c r="O235">
        <f>IF($B235="","",IF(M235="","",IF(M235&lt;=L235,"On Time","Delayed")))</f>
        <v/>
      </c>
    </row>
    <row r="236">
      <c r="A236">
        <f>IF($B236="","",ROW()-5)</f>
        <v/>
      </c>
      <c r="D236">
        <f>IF($B236="","",IF(C236="","",TEXT(C236,"MMM")))</f>
        <v/>
      </c>
      <c r="O236">
        <f>IF($B236="","",IF(M236="","",IF(M236&lt;=L236,"On Time","Delayed")))</f>
        <v/>
      </c>
    </row>
    <row r="237">
      <c r="A237">
        <f>IF($B237="","",ROW()-5)</f>
        <v/>
      </c>
      <c r="D237">
        <f>IF($B237="","",IF(C237="","",TEXT(C237,"MMM")))</f>
        <v/>
      </c>
      <c r="O237">
        <f>IF($B237="","",IF(M237="","",IF(M237&lt;=L237,"On Time","Delayed")))</f>
        <v/>
      </c>
    </row>
    <row r="238">
      <c r="A238">
        <f>IF($B238="","",ROW()-5)</f>
        <v/>
      </c>
      <c r="D238">
        <f>IF($B238="","",IF(C238="","",TEXT(C238,"MMM")))</f>
        <v/>
      </c>
      <c r="O238">
        <f>IF($B238="","",IF(M238="","",IF(M238&lt;=L238,"On Time","Delayed")))</f>
        <v/>
      </c>
    </row>
    <row r="239">
      <c r="A239">
        <f>IF($B239="","",ROW()-5)</f>
        <v/>
      </c>
      <c r="D239">
        <f>IF($B239="","",IF(C239="","",TEXT(C239,"MMM")))</f>
        <v/>
      </c>
      <c r="O239">
        <f>IF($B239="","",IF(M239="","",IF(M239&lt;=L239,"On Time","Delayed")))</f>
        <v/>
      </c>
    </row>
    <row r="240">
      <c r="A240">
        <f>IF($B240="","",ROW()-5)</f>
        <v/>
      </c>
      <c r="D240">
        <f>IF($B240="","",IF(C240="","",TEXT(C240,"MMM")))</f>
        <v/>
      </c>
      <c r="O240">
        <f>IF($B240="","",IF(M240="","",IF(M240&lt;=L240,"On Time","Delayed")))</f>
        <v/>
      </c>
    </row>
    <row r="241">
      <c r="A241">
        <f>IF($B241="","",ROW()-5)</f>
        <v/>
      </c>
      <c r="D241">
        <f>IF($B241="","",IF(C241="","",TEXT(C241,"MMM")))</f>
        <v/>
      </c>
      <c r="O241">
        <f>IF($B241="","",IF(M241="","",IF(M241&lt;=L241,"On Time","Delayed")))</f>
        <v/>
      </c>
    </row>
    <row r="242">
      <c r="A242">
        <f>IF($B242="","",ROW()-5)</f>
        <v/>
      </c>
      <c r="D242">
        <f>IF($B242="","",IF(C242="","",TEXT(C242,"MMM")))</f>
        <v/>
      </c>
      <c r="O242">
        <f>IF($B242="","",IF(M242="","",IF(M242&lt;=L242,"On Time","Delayed")))</f>
        <v/>
      </c>
    </row>
    <row r="243">
      <c r="A243">
        <f>IF($B243="","",ROW()-5)</f>
        <v/>
      </c>
      <c r="D243">
        <f>IF($B243="","",IF(C243="","",TEXT(C243,"MMM")))</f>
        <v/>
      </c>
      <c r="O243">
        <f>IF($B243="","",IF(M243="","",IF(M243&lt;=L243,"On Time","Delayed")))</f>
        <v/>
      </c>
    </row>
    <row r="244">
      <c r="A244">
        <f>IF($B244="","",ROW()-5)</f>
        <v/>
      </c>
      <c r="D244">
        <f>IF($B244="","",IF(C244="","",TEXT(C244,"MMM")))</f>
        <v/>
      </c>
      <c r="O244">
        <f>IF($B244="","",IF(M244="","",IF(M244&lt;=L244,"On Time","Delayed")))</f>
        <v/>
      </c>
    </row>
    <row r="245">
      <c r="A245">
        <f>IF($B245="","",ROW()-5)</f>
        <v/>
      </c>
      <c r="D245">
        <f>IF($B245="","",IF(C245="","",TEXT(C245,"MMM")))</f>
        <v/>
      </c>
      <c r="O245">
        <f>IF($B245="","",IF(M245="","",IF(M245&lt;=L245,"On Time","Delayed")))</f>
        <v/>
      </c>
    </row>
    <row r="246">
      <c r="A246">
        <f>IF($B246="","",ROW()-5)</f>
        <v/>
      </c>
      <c r="D246">
        <f>IF($B246="","",IF(C246="","",TEXT(C246,"MMM")))</f>
        <v/>
      </c>
      <c r="O246">
        <f>IF($B246="","",IF(M246="","",IF(M246&lt;=L246,"On Time","Delayed")))</f>
        <v/>
      </c>
    </row>
    <row r="247">
      <c r="A247">
        <f>IF($B247="","",ROW()-5)</f>
        <v/>
      </c>
      <c r="D247">
        <f>IF($B247="","",IF(C247="","",TEXT(C247,"MMM")))</f>
        <v/>
      </c>
      <c r="O247">
        <f>IF($B247="","",IF(M247="","",IF(M247&lt;=L247,"On Time","Delayed")))</f>
        <v/>
      </c>
    </row>
    <row r="248">
      <c r="A248">
        <f>IF($B248="","",ROW()-5)</f>
        <v/>
      </c>
      <c r="D248">
        <f>IF($B248="","",IF(C248="","",TEXT(C248,"MMM")))</f>
        <v/>
      </c>
      <c r="O248">
        <f>IF($B248="","",IF(M248="","",IF(M248&lt;=L248,"On Time","Delayed")))</f>
        <v/>
      </c>
    </row>
    <row r="249">
      <c r="A249">
        <f>IF($B249="","",ROW()-5)</f>
        <v/>
      </c>
      <c r="D249">
        <f>IF($B249="","",IF(C249="","",TEXT(C249,"MMM")))</f>
        <v/>
      </c>
      <c r="O249">
        <f>IF($B249="","",IF(M249="","",IF(M249&lt;=L249,"On Time","Delayed")))</f>
        <v/>
      </c>
    </row>
    <row r="250">
      <c r="A250">
        <f>IF($B250="","",ROW()-5)</f>
        <v/>
      </c>
      <c r="D250">
        <f>IF($B250="","",IF(C250="","",TEXT(C250,"MMM")))</f>
        <v/>
      </c>
      <c r="O250">
        <f>IF($B250="","",IF(M250="","",IF(M250&lt;=L250,"On Time","Delayed")))</f>
        <v/>
      </c>
    </row>
    <row r="251">
      <c r="A251">
        <f>IF($B251="","",ROW()-5)</f>
        <v/>
      </c>
      <c r="D251">
        <f>IF($B251="","",IF(C251="","",TEXT(C251,"MMM")))</f>
        <v/>
      </c>
      <c r="O251">
        <f>IF($B251="","",IF(M251="","",IF(M251&lt;=L251,"On Time","Delayed")))</f>
        <v/>
      </c>
    </row>
    <row r="252">
      <c r="A252">
        <f>IF($B252="","",ROW()-5)</f>
        <v/>
      </c>
      <c r="D252">
        <f>IF($B252="","",IF(C252="","",TEXT(C252,"MMM")))</f>
        <v/>
      </c>
      <c r="O252">
        <f>IF($B252="","",IF(M252="","",IF(M252&lt;=L252,"On Time","Delayed")))</f>
        <v/>
      </c>
    </row>
    <row r="253">
      <c r="A253">
        <f>IF($B253="","",ROW()-5)</f>
        <v/>
      </c>
      <c r="D253">
        <f>IF($B253="","",IF(C253="","",TEXT(C253,"MMM")))</f>
        <v/>
      </c>
      <c r="O253">
        <f>IF($B253="","",IF(M253="","",IF(M253&lt;=L253,"On Time","Delayed")))</f>
        <v/>
      </c>
    </row>
    <row r="254">
      <c r="A254">
        <f>IF($B254="","",ROW()-5)</f>
        <v/>
      </c>
      <c r="D254">
        <f>IF($B254="","",IF(C254="","",TEXT(C254,"MMM")))</f>
        <v/>
      </c>
      <c r="O254">
        <f>IF($B254="","",IF(M254="","",IF(M254&lt;=L254,"On Time","Delayed")))</f>
        <v/>
      </c>
    </row>
    <row r="255">
      <c r="A255">
        <f>IF($B255="","",ROW()-5)</f>
        <v/>
      </c>
      <c r="D255">
        <f>IF($B255="","",IF(C255="","",TEXT(C255,"MMM")))</f>
        <v/>
      </c>
      <c r="O255">
        <f>IF($B255="","",IF(M255="","",IF(M255&lt;=L255,"On Time","Delayed")))</f>
        <v/>
      </c>
    </row>
    <row r="256">
      <c r="A256">
        <f>IF($B256="","",ROW()-5)</f>
        <v/>
      </c>
      <c r="D256">
        <f>IF($B256="","",IF(C256="","",TEXT(C256,"MMM")))</f>
        <v/>
      </c>
      <c r="O256">
        <f>IF($B256="","",IF(M256="","",IF(M256&lt;=L256,"On Time","Delayed")))</f>
        <v/>
      </c>
    </row>
    <row r="257">
      <c r="A257">
        <f>IF($B257="","",ROW()-5)</f>
        <v/>
      </c>
      <c r="D257">
        <f>IF($B257="","",IF(C257="","",TEXT(C257,"MMM")))</f>
        <v/>
      </c>
      <c r="O257">
        <f>IF($B257="","",IF(M257="","",IF(M257&lt;=L257,"On Time","Delayed")))</f>
        <v/>
      </c>
    </row>
    <row r="258">
      <c r="A258">
        <f>IF($B258="","",ROW()-5)</f>
        <v/>
      </c>
      <c r="D258">
        <f>IF($B258="","",IF(C258="","",TEXT(C258,"MMM")))</f>
        <v/>
      </c>
      <c r="O258">
        <f>IF($B258="","",IF(M258="","",IF(M258&lt;=L258,"On Time","Delayed")))</f>
        <v/>
      </c>
    </row>
    <row r="259">
      <c r="A259">
        <f>IF($B259="","",ROW()-5)</f>
        <v/>
      </c>
      <c r="D259">
        <f>IF($B259="","",IF(C259="","",TEXT(C259,"MMM")))</f>
        <v/>
      </c>
      <c r="O259">
        <f>IF($B259="","",IF(M259="","",IF(M259&lt;=L259,"On Time","Delayed")))</f>
        <v/>
      </c>
    </row>
    <row r="260">
      <c r="A260">
        <f>IF($B260="","",ROW()-5)</f>
        <v/>
      </c>
      <c r="D260">
        <f>IF($B260="","",IF(C260="","",TEXT(C260,"MMM")))</f>
        <v/>
      </c>
      <c r="O260">
        <f>IF($B260="","",IF(M260="","",IF(M260&lt;=L260,"On Time","Delayed")))</f>
        <v/>
      </c>
    </row>
    <row r="261">
      <c r="A261">
        <f>IF($B261="","",ROW()-5)</f>
        <v/>
      </c>
      <c r="D261">
        <f>IF($B261="","",IF(C261="","",TEXT(C261,"MMM")))</f>
        <v/>
      </c>
      <c r="O261">
        <f>IF($B261="","",IF(M261="","",IF(M261&lt;=L261,"On Time","Delayed")))</f>
        <v/>
      </c>
    </row>
    <row r="262">
      <c r="A262">
        <f>IF($B262="","",ROW()-5)</f>
        <v/>
      </c>
      <c r="D262">
        <f>IF($B262="","",IF(C262="","",TEXT(C262,"MMM")))</f>
        <v/>
      </c>
      <c r="O262">
        <f>IF($B262="","",IF(M262="","",IF(M262&lt;=L262,"On Time","Delayed")))</f>
        <v/>
      </c>
    </row>
    <row r="263">
      <c r="A263">
        <f>IF($B263="","",ROW()-5)</f>
        <v/>
      </c>
      <c r="D263">
        <f>IF($B263="","",IF(C263="","",TEXT(C263,"MMM")))</f>
        <v/>
      </c>
      <c r="O263">
        <f>IF($B263="","",IF(M263="","",IF(M263&lt;=L263,"On Time","Delayed")))</f>
        <v/>
      </c>
    </row>
    <row r="264">
      <c r="A264">
        <f>IF($B264="","",ROW()-5)</f>
        <v/>
      </c>
      <c r="D264">
        <f>IF($B264="","",IF(C264="","",TEXT(C264,"MMM")))</f>
        <v/>
      </c>
      <c r="O264">
        <f>IF($B264="","",IF(M264="","",IF(M264&lt;=L264,"On Time","Delayed")))</f>
        <v/>
      </c>
    </row>
    <row r="265">
      <c r="A265">
        <f>IF($B265="","",ROW()-5)</f>
        <v/>
      </c>
      <c r="D265">
        <f>IF($B265="","",IF(C265="","",TEXT(C265,"MMM")))</f>
        <v/>
      </c>
      <c r="O265">
        <f>IF($B265="","",IF(M265="","",IF(M265&lt;=L265,"On Time","Delayed")))</f>
        <v/>
      </c>
    </row>
    <row r="266">
      <c r="A266">
        <f>IF($B266="","",ROW()-5)</f>
        <v/>
      </c>
      <c r="D266">
        <f>IF($B266="","",IF(C266="","",TEXT(C266,"MMM")))</f>
        <v/>
      </c>
      <c r="O266">
        <f>IF($B266="","",IF(M266="","",IF(M266&lt;=L266,"On Time","Delayed")))</f>
        <v/>
      </c>
    </row>
    <row r="267">
      <c r="A267">
        <f>IF($B267="","",ROW()-5)</f>
        <v/>
      </c>
      <c r="D267">
        <f>IF($B267="","",IF(C267="","",TEXT(C267,"MMM")))</f>
        <v/>
      </c>
      <c r="O267">
        <f>IF($B267="","",IF(M267="","",IF(M267&lt;=L267,"On Time","Delayed")))</f>
        <v/>
      </c>
    </row>
    <row r="268">
      <c r="A268">
        <f>IF($B268="","",ROW()-5)</f>
        <v/>
      </c>
      <c r="D268">
        <f>IF($B268="","",IF(C268="","",TEXT(C268,"MMM")))</f>
        <v/>
      </c>
      <c r="O268">
        <f>IF($B268="","",IF(M268="","",IF(M268&lt;=L268,"On Time","Delayed")))</f>
        <v/>
      </c>
    </row>
    <row r="269">
      <c r="A269">
        <f>IF($B269="","",ROW()-5)</f>
        <v/>
      </c>
      <c r="D269">
        <f>IF($B269="","",IF(C269="","",TEXT(C269,"MMM")))</f>
        <v/>
      </c>
      <c r="O269">
        <f>IF($B269="","",IF(M269="","",IF(M269&lt;=L269,"On Time","Delayed")))</f>
        <v/>
      </c>
    </row>
    <row r="270">
      <c r="A270">
        <f>IF($B270="","",ROW()-5)</f>
        <v/>
      </c>
      <c r="D270">
        <f>IF($B270="","",IF(C270="","",TEXT(C270,"MMM")))</f>
        <v/>
      </c>
      <c r="O270">
        <f>IF($B270="","",IF(M270="","",IF(M270&lt;=L270,"On Time","Delayed")))</f>
        <v/>
      </c>
    </row>
    <row r="271">
      <c r="A271">
        <f>IF($B271="","",ROW()-5)</f>
        <v/>
      </c>
      <c r="D271">
        <f>IF($B271="","",IF(C271="","",TEXT(C271,"MMM")))</f>
        <v/>
      </c>
      <c r="O271">
        <f>IF($B271="","",IF(M271="","",IF(M271&lt;=L271,"On Time","Delayed")))</f>
        <v/>
      </c>
    </row>
    <row r="272">
      <c r="A272">
        <f>IF($B272="","",ROW()-5)</f>
        <v/>
      </c>
      <c r="D272">
        <f>IF($B272="","",IF(C272="","",TEXT(C272,"MMM")))</f>
        <v/>
      </c>
      <c r="O272">
        <f>IF($B272="","",IF(M272="","",IF(M272&lt;=L272,"On Time","Delayed")))</f>
        <v/>
      </c>
    </row>
    <row r="273">
      <c r="A273">
        <f>IF($B273="","",ROW()-5)</f>
        <v/>
      </c>
      <c r="D273">
        <f>IF($B273="","",IF(C273="","",TEXT(C273,"MMM")))</f>
        <v/>
      </c>
      <c r="O273">
        <f>IF($B273="","",IF(M273="","",IF(M273&lt;=L273,"On Time","Delayed")))</f>
        <v/>
      </c>
    </row>
    <row r="274">
      <c r="A274">
        <f>IF($B274="","",ROW()-5)</f>
        <v/>
      </c>
      <c r="D274">
        <f>IF($B274="","",IF(C274="","",TEXT(C274,"MMM")))</f>
        <v/>
      </c>
      <c r="O274">
        <f>IF($B274="","",IF(M274="","",IF(M274&lt;=L274,"On Time","Delayed")))</f>
        <v/>
      </c>
    </row>
    <row r="275">
      <c r="A275">
        <f>IF($B275="","",ROW()-5)</f>
        <v/>
      </c>
      <c r="D275">
        <f>IF($B275="","",IF(C275="","",TEXT(C275,"MMM")))</f>
        <v/>
      </c>
      <c r="O275">
        <f>IF($B275="","",IF(M275="","",IF(M275&lt;=L275,"On Time","Delayed")))</f>
        <v/>
      </c>
    </row>
    <row r="276">
      <c r="A276">
        <f>IF($B276="","",ROW()-5)</f>
        <v/>
      </c>
      <c r="D276">
        <f>IF($B276="","",IF(C276="","",TEXT(C276,"MMM")))</f>
        <v/>
      </c>
      <c r="O276">
        <f>IF($B276="","",IF(M276="","",IF(M276&lt;=L276,"On Time","Delayed")))</f>
        <v/>
      </c>
    </row>
    <row r="277">
      <c r="A277">
        <f>IF($B277="","",ROW()-5)</f>
        <v/>
      </c>
      <c r="D277">
        <f>IF($B277="","",IF(C277="","",TEXT(C277,"MMM")))</f>
        <v/>
      </c>
      <c r="O277">
        <f>IF($B277="","",IF(M277="","",IF(M277&lt;=L277,"On Time","Delayed")))</f>
        <v/>
      </c>
    </row>
    <row r="278">
      <c r="A278">
        <f>IF($B278="","",ROW()-5)</f>
        <v/>
      </c>
      <c r="D278">
        <f>IF($B278="","",IF(C278="","",TEXT(C278,"MMM")))</f>
        <v/>
      </c>
      <c r="O278">
        <f>IF($B278="","",IF(M278="","",IF(M278&lt;=L278,"On Time","Delayed")))</f>
        <v/>
      </c>
    </row>
    <row r="279">
      <c r="A279">
        <f>IF($B279="","",ROW()-5)</f>
        <v/>
      </c>
      <c r="D279">
        <f>IF($B279="","",IF(C279="","",TEXT(C279,"MMM")))</f>
        <v/>
      </c>
      <c r="O279">
        <f>IF($B279="","",IF(M279="","",IF(M279&lt;=L279,"On Time","Delayed")))</f>
        <v/>
      </c>
    </row>
    <row r="280">
      <c r="A280">
        <f>IF($B280="","",ROW()-5)</f>
        <v/>
      </c>
      <c r="D280">
        <f>IF($B280="","",IF(C280="","",TEXT(C280,"MMM")))</f>
        <v/>
      </c>
      <c r="O280">
        <f>IF($B280="","",IF(M280="","",IF(M280&lt;=L280,"On Time","Delayed")))</f>
        <v/>
      </c>
    </row>
    <row r="281">
      <c r="A281">
        <f>IF($B281="","",ROW()-5)</f>
        <v/>
      </c>
      <c r="D281">
        <f>IF($B281="","",IF(C281="","",TEXT(C281,"MMM")))</f>
        <v/>
      </c>
      <c r="O281">
        <f>IF($B281="","",IF(M281="","",IF(M281&lt;=L281,"On Time","Delayed")))</f>
        <v/>
      </c>
    </row>
    <row r="282">
      <c r="A282">
        <f>IF($B282="","",ROW()-5)</f>
        <v/>
      </c>
      <c r="D282">
        <f>IF($B282="","",IF(C282="","",TEXT(C282,"MMM")))</f>
        <v/>
      </c>
      <c r="O282">
        <f>IF($B282="","",IF(M282="","",IF(M282&lt;=L282,"On Time","Delayed")))</f>
        <v/>
      </c>
    </row>
    <row r="283">
      <c r="A283">
        <f>IF($B283="","",ROW()-5)</f>
        <v/>
      </c>
      <c r="D283">
        <f>IF($B283="","",IF(C283="","",TEXT(C283,"MMM")))</f>
        <v/>
      </c>
      <c r="O283">
        <f>IF($B283="","",IF(M283="","",IF(M283&lt;=L283,"On Time","Delayed")))</f>
        <v/>
      </c>
    </row>
    <row r="284">
      <c r="A284">
        <f>IF($B284="","",ROW()-5)</f>
        <v/>
      </c>
      <c r="D284">
        <f>IF($B284="","",IF(C284="","",TEXT(C284,"MMM")))</f>
        <v/>
      </c>
      <c r="O284">
        <f>IF($B284="","",IF(M284="","",IF(M284&lt;=L284,"On Time","Delayed")))</f>
        <v/>
      </c>
    </row>
    <row r="285">
      <c r="A285">
        <f>IF($B285="","",ROW()-5)</f>
        <v/>
      </c>
      <c r="D285">
        <f>IF($B285="","",IF(C285="","",TEXT(C285,"MMM")))</f>
        <v/>
      </c>
      <c r="O285">
        <f>IF($B285="","",IF(M285="","",IF(M285&lt;=L285,"On Time","Delayed")))</f>
        <v/>
      </c>
    </row>
    <row r="286">
      <c r="A286">
        <f>IF($B286="","",ROW()-5)</f>
        <v/>
      </c>
      <c r="D286">
        <f>IF($B286="","",IF(C286="","",TEXT(C286,"MMM")))</f>
        <v/>
      </c>
      <c r="O286">
        <f>IF($B286="","",IF(M286="","",IF(M286&lt;=L286,"On Time","Delayed")))</f>
        <v/>
      </c>
    </row>
    <row r="287">
      <c r="A287">
        <f>IF($B287="","",ROW()-5)</f>
        <v/>
      </c>
      <c r="D287">
        <f>IF($B287="","",IF(C287="","",TEXT(C287,"MMM")))</f>
        <v/>
      </c>
      <c r="O287">
        <f>IF($B287="","",IF(M287="","",IF(M287&lt;=L287,"On Time","Delayed")))</f>
        <v/>
      </c>
    </row>
    <row r="288">
      <c r="A288">
        <f>IF($B288="","",ROW()-5)</f>
        <v/>
      </c>
      <c r="D288">
        <f>IF($B288="","",IF(C288="","",TEXT(C288,"MMM")))</f>
        <v/>
      </c>
      <c r="O288">
        <f>IF($B288="","",IF(M288="","",IF(M288&lt;=L288,"On Time","Delayed")))</f>
        <v/>
      </c>
    </row>
    <row r="289">
      <c r="A289">
        <f>IF($B289="","",ROW()-5)</f>
        <v/>
      </c>
      <c r="D289">
        <f>IF($B289="","",IF(C289="","",TEXT(C289,"MMM")))</f>
        <v/>
      </c>
      <c r="O289">
        <f>IF($B289="","",IF(M289="","",IF(M289&lt;=L289,"On Time","Delayed")))</f>
        <v/>
      </c>
    </row>
    <row r="290">
      <c r="A290">
        <f>IF($B290="","",ROW()-5)</f>
        <v/>
      </c>
      <c r="D290">
        <f>IF($B290="","",IF(C290="","",TEXT(C290,"MMM")))</f>
        <v/>
      </c>
      <c r="O290">
        <f>IF($B290="","",IF(M290="","",IF(M290&lt;=L290,"On Time","Delayed")))</f>
        <v/>
      </c>
    </row>
    <row r="291">
      <c r="A291">
        <f>IF($B291="","",ROW()-5)</f>
        <v/>
      </c>
      <c r="D291">
        <f>IF($B291="","",IF(C291="","",TEXT(C291,"MMM")))</f>
        <v/>
      </c>
      <c r="O291">
        <f>IF($B291="","",IF(M291="","",IF(M291&lt;=L291,"On Time","Delayed")))</f>
        <v/>
      </c>
    </row>
    <row r="292">
      <c r="A292">
        <f>IF($B292="","",ROW()-5)</f>
        <v/>
      </c>
      <c r="D292">
        <f>IF($B292="","",IF(C292="","",TEXT(C292,"MMM")))</f>
        <v/>
      </c>
      <c r="O292">
        <f>IF($B292="","",IF(M292="","",IF(M292&lt;=L292,"On Time","Delayed")))</f>
        <v/>
      </c>
    </row>
    <row r="293">
      <c r="A293">
        <f>IF($B293="","",ROW()-5)</f>
        <v/>
      </c>
      <c r="D293">
        <f>IF($B293="","",IF(C293="","",TEXT(C293,"MMM")))</f>
        <v/>
      </c>
      <c r="O293">
        <f>IF($B293="","",IF(M293="","",IF(M293&lt;=L293,"On Time","Delayed")))</f>
        <v/>
      </c>
    </row>
    <row r="294">
      <c r="A294">
        <f>IF($B294="","",ROW()-5)</f>
        <v/>
      </c>
      <c r="D294">
        <f>IF($B294="","",IF(C294="","",TEXT(C294,"MMM")))</f>
        <v/>
      </c>
      <c r="O294">
        <f>IF($B294="","",IF(M294="","",IF(M294&lt;=L294,"On Time","Delayed")))</f>
        <v/>
      </c>
    </row>
    <row r="295">
      <c r="A295">
        <f>IF($B295="","",ROW()-5)</f>
        <v/>
      </c>
      <c r="D295">
        <f>IF($B295="","",IF(C295="","",TEXT(C295,"MMM")))</f>
        <v/>
      </c>
      <c r="O295">
        <f>IF($B295="","",IF(M295="","",IF(M295&lt;=L295,"On Time","Delayed")))</f>
        <v/>
      </c>
    </row>
    <row r="296">
      <c r="A296">
        <f>IF($B296="","",ROW()-5)</f>
        <v/>
      </c>
      <c r="D296">
        <f>IF($B296="","",IF(C296="","",TEXT(C296,"MMM")))</f>
        <v/>
      </c>
      <c r="O296">
        <f>IF($B296="","",IF(M296="","",IF(M296&lt;=L296,"On Time","Delayed")))</f>
        <v/>
      </c>
    </row>
    <row r="297">
      <c r="A297">
        <f>IF($B297="","",ROW()-5)</f>
        <v/>
      </c>
      <c r="D297">
        <f>IF($B297="","",IF(C297="","",TEXT(C297,"MMM")))</f>
        <v/>
      </c>
      <c r="O297">
        <f>IF($B297="","",IF(M297="","",IF(M297&lt;=L297,"On Time","Delayed")))</f>
        <v/>
      </c>
    </row>
    <row r="298">
      <c r="A298">
        <f>IF($B298="","",ROW()-5)</f>
        <v/>
      </c>
      <c r="D298">
        <f>IF($B298="","",IF(C298="","",TEXT(C298,"MMM")))</f>
        <v/>
      </c>
      <c r="O298">
        <f>IF($B298="","",IF(M298="","",IF(M298&lt;=L298,"On Time","Delayed")))</f>
        <v/>
      </c>
    </row>
    <row r="299">
      <c r="A299">
        <f>IF($B299="","",ROW()-5)</f>
        <v/>
      </c>
      <c r="D299">
        <f>IF($B299="","",IF(C299="","",TEXT(C299,"MMM")))</f>
        <v/>
      </c>
      <c r="O299">
        <f>IF($B299="","",IF(M299="","",IF(M299&lt;=L299,"On Time","Delayed")))</f>
        <v/>
      </c>
    </row>
    <row r="300">
      <c r="A300">
        <f>IF($B300="","",ROW()-5)</f>
        <v/>
      </c>
      <c r="D300">
        <f>IF($B300="","",IF(C300="","",TEXT(C300,"MMM")))</f>
        <v/>
      </c>
      <c r="O300">
        <f>IF($B300="","",IF(M300="","",IF(M300&lt;=L300,"On Time","Delayed")))</f>
        <v/>
      </c>
    </row>
    <row r="301">
      <c r="A301">
        <f>IF($B301="","",ROW()-5)</f>
        <v/>
      </c>
      <c r="D301">
        <f>IF($B301="","",IF(C301="","",TEXT(C301,"MMM")))</f>
        <v/>
      </c>
      <c r="O301">
        <f>IF($B301="","",IF(M301="","",IF(M301&lt;=L301,"On Time","Delayed")))</f>
        <v/>
      </c>
    </row>
    <row r="302">
      <c r="A302">
        <f>IF($B302="","",ROW()-5)</f>
        <v/>
      </c>
      <c r="D302">
        <f>IF($B302="","",IF(C302="","",TEXT(C302,"MMM")))</f>
        <v/>
      </c>
      <c r="O302">
        <f>IF($B302="","",IF(M302="","",IF(M302&lt;=L302,"On Time","Delayed")))</f>
        <v/>
      </c>
    </row>
    <row r="303">
      <c r="A303">
        <f>IF($B303="","",ROW()-5)</f>
        <v/>
      </c>
      <c r="D303">
        <f>IF($B303="","",IF(C303="","",TEXT(C303,"MMM")))</f>
        <v/>
      </c>
      <c r="O303">
        <f>IF($B303="","",IF(M303="","",IF(M303&lt;=L303,"On Time","Delayed")))</f>
        <v/>
      </c>
    </row>
    <row r="304">
      <c r="A304">
        <f>IF($B304="","",ROW()-5)</f>
        <v/>
      </c>
      <c r="D304">
        <f>IF($B304="","",IF(C304="","",TEXT(C304,"MMM")))</f>
        <v/>
      </c>
      <c r="O304">
        <f>IF($B304="","",IF(M304="","",IF(M304&lt;=L304,"On Time","Delayed")))</f>
        <v/>
      </c>
    </row>
    <row r="305">
      <c r="A305">
        <f>IF($B305="","",ROW()-5)</f>
        <v/>
      </c>
      <c r="D305">
        <f>IF($B305="","",IF(C305="","",TEXT(C305,"MMM")))</f>
        <v/>
      </c>
      <c r="O305">
        <f>IF($B305="","",IF(M305="","",IF(M305&lt;=L305,"On Time","Delayed")))</f>
        <v/>
      </c>
    </row>
    <row r="306">
      <c r="A306">
        <f>IF($B306="","",ROW()-5)</f>
        <v/>
      </c>
      <c r="D306">
        <f>IF($B306="","",IF(C306="","",TEXT(C306,"MMM")))</f>
        <v/>
      </c>
      <c r="O306">
        <f>IF($B306="","",IF(M306="","",IF(M306&lt;=L306,"On Time","Delayed")))</f>
        <v/>
      </c>
    </row>
    <row r="307">
      <c r="A307">
        <f>IF($B307="","",ROW()-5)</f>
        <v/>
      </c>
      <c r="D307">
        <f>IF($B307="","",IF(C307="","",TEXT(C307,"MMM")))</f>
        <v/>
      </c>
      <c r="O307">
        <f>IF($B307="","",IF(M307="","",IF(M307&lt;=L307,"On Time","Delayed")))</f>
        <v/>
      </c>
    </row>
    <row r="308">
      <c r="A308">
        <f>IF($B308="","",ROW()-5)</f>
        <v/>
      </c>
      <c r="D308">
        <f>IF($B308="","",IF(C308="","",TEXT(C308,"MMM")))</f>
        <v/>
      </c>
      <c r="O308">
        <f>IF($B308="","",IF(M308="","",IF(M308&lt;=L308,"On Time","Delayed")))</f>
        <v/>
      </c>
    </row>
    <row r="309">
      <c r="A309">
        <f>IF($B309="","",ROW()-5)</f>
        <v/>
      </c>
      <c r="D309">
        <f>IF($B309="","",IF(C309="","",TEXT(C309,"MMM")))</f>
        <v/>
      </c>
      <c r="O309">
        <f>IF($B309="","",IF(M309="","",IF(M309&lt;=L309,"On Time","Delayed")))</f>
        <v/>
      </c>
    </row>
    <row r="310">
      <c r="A310">
        <f>IF($B310="","",ROW()-5)</f>
        <v/>
      </c>
      <c r="D310">
        <f>IF($B310="","",IF(C310="","",TEXT(C310,"MMM")))</f>
        <v/>
      </c>
      <c r="O310">
        <f>IF($B310="","",IF(M310="","",IF(M310&lt;=L310,"On Time","Delayed")))</f>
        <v/>
      </c>
    </row>
    <row r="311">
      <c r="A311">
        <f>IF($B311="","",ROW()-5)</f>
        <v/>
      </c>
      <c r="D311">
        <f>IF($B311="","",IF(C311="","",TEXT(C311,"MMM")))</f>
        <v/>
      </c>
      <c r="O311">
        <f>IF($B311="","",IF(M311="","",IF(M311&lt;=L311,"On Time","Delayed")))</f>
        <v/>
      </c>
    </row>
    <row r="312">
      <c r="A312">
        <f>IF($B312="","",ROW()-5)</f>
        <v/>
      </c>
      <c r="D312">
        <f>IF($B312="","",IF(C312="","",TEXT(C312,"MMM")))</f>
        <v/>
      </c>
      <c r="O312">
        <f>IF($B312="","",IF(M312="","",IF(M312&lt;=L312,"On Time","Delayed")))</f>
        <v/>
      </c>
    </row>
    <row r="313">
      <c r="A313">
        <f>IF($B313="","",ROW()-5)</f>
        <v/>
      </c>
      <c r="D313">
        <f>IF($B313="","",IF(C313="","",TEXT(C313,"MMM")))</f>
        <v/>
      </c>
      <c r="O313">
        <f>IF($B313="","",IF(M313="","",IF(M313&lt;=L313,"On Time","Delayed")))</f>
        <v/>
      </c>
    </row>
    <row r="314">
      <c r="A314">
        <f>IF($B314="","",ROW()-5)</f>
        <v/>
      </c>
      <c r="D314">
        <f>IF($B314="","",IF(C314="","",TEXT(C314,"MMM")))</f>
        <v/>
      </c>
      <c r="O314">
        <f>IF($B314="","",IF(M314="","",IF(M314&lt;=L314,"On Time","Delayed")))</f>
        <v/>
      </c>
    </row>
    <row r="315">
      <c r="A315">
        <f>IF($B315="","",ROW()-5)</f>
        <v/>
      </c>
      <c r="D315">
        <f>IF($B315="","",IF(C315="","",TEXT(C315,"MMM")))</f>
        <v/>
      </c>
      <c r="O315">
        <f>IF($B315="","",IF(M315="","",IF(M315&lt;=L315,"On Time","Delayed")))</f>
        <v/>
      </c>
    </row>
    <row r="316">
      <c r="A316">
        <f>IF($B316="","",ROW()-5)</f>
        <v/>
      </c>
      <c r="D316">
        <f>IF($B316="","",IF(C316="","",TEXT(C316,"MMM")))</f>
        <v/>
      </c>
      <c r="O316">
        <f>IF($B316="","",IF(M316="","",IF(M316&lt;=L316,"On Time","Delayed")))</f>
        <v/>
      </c>
    </row>
    <row r="317">
      <c r="A317">
        <f>IF($B317="","",ROW()-5)</f>
        <v/>
      </c>
      <c r="D317">
        <f>IF($B317="","",IF(C317="","",TEXT(C317,"MMM")))</f>
        <v/>
      </c>
      <c r="O317">
        <f>IF($B317="","",IF(M317="","",IF(M317&lt;=L317,"On Time","Delayed")))</f>
        <v/>
      </c>
    </row>
    <row r="318">
      <c r="A318">
        <f>IF($B318="","",ROW()-5)</f>
        <v/>
      </c>
      <c r="D318">
        <f>IF($B318="","",IF(C318="","",TEXT(C318,"MMM")))</f>
        <v/>
      </c>
      <c r="O318">
        <f>IF($B318="","",IF(M318="","",IF(M318&lt;=L318,"On Time","Delayed")))</f>
        <v/>
      </c>
    </row>
    <row r="319">
      <c r="A319">
        <f>IF($B319="","",ROW()-5)</f>
        <v/>
      </c>
      <c r="D319">
        <f>IF($B319="","",IF(C319="","",TEXT(C319,"MMM")))</f>
        <v/>
      </c>
      <c r="O319">
        <f>IF($B319="","",IF(M319="","",IF(M319&lt;=L319,"On Time","Delayed")))</f>
        <v/>
      </c>
    </row>
    <row r="320">
      <c r="A320">
        <f>IF($B320="","",ROW()-5)</f>
        <v/>
      </c>
      <c r="D320">
        <f>IF($B320="","",IF(C320="","",TEXT(C320,"MMM")))</f>
        <v/>
      </c>
      <c r="O320">
        <f>IF($B320="","",IF(M320="","",IF(M320&lt;=L320,"On Time","Delayed")))</f>
        <v/>
      </c>
    </row>
    <row r="321">
      <c r="A321">
        <f>IF($B321="","",ROW()-5)</f>
        <v/>
      </c>
      <c r="D321">
        <f>IF($B321="","",IF(C321="","",TEXT(C321,"MMM")))</f>
        <v/>
      </c>
      <c r="O321">
        <f>IF($B321="","",IF(M321="","",IF(M321&lt;=L321,"On Time","Delayed")))</f>
        <v/>
      </c>
    </row>
    <row r="322">
      <c r="A322">
        <f>IF($B322="","",ROW()-5)</f>
        <v/>
      </c>
      <c r="D322">
        <f>IF($B322="","",IF(C322="","",TEXT(C322,"MMM")))</f>
        <v/>
      </c>
      <c r="O322">
        <f>IF($B322="","",IF(M322="","",IF(M322&lt;=L322,"On Time","Delayed")))</f>
        <v/>
      </c>
    </row>
    <row r="323">
      <c r="A323">
        <f>IF($B323="","",ROW()-5)</f>
        <v/>
      </c>
      <c r="D323">
        <f>IF($B323="","",IF(C323="","",TEXT(C323,"MMM")))</f>
        <v/>
      </c>
      <c r="O323">
        <f>IF($B323="","",IF(M323="","",IF(M323&lt;=L323,"On Time","Delayed")))</f>
        <v/>
      </c>
    </row>
    <row r="324">
      <c r="A324">
        <f>IF($B324="","",ROW()-5)</f>
        <v/>
      </c>
      <c r="D324">
        <f>IF($B324="","",IF(C324="","",TEXT(C324,"MMM")))</f>
        <v/>
      </c>
      <c r="O324">
        <f>IF($B324="","",IF(M324="","",IF(M324&lt;=L324,"On Time","Delayed")))</f>
        <v/>
      </c>
    </row>
    <row r="325">
      <c r="A325">
        <f>IF($B325="","",ROW()-5)</f>
        <v/>
      </c>
      <c r="D325">
        <f>IF($B325="","",IF(C325="","",TEXT(C325,"MMM")))</f>
        <v/>
      </c>
      <c r="O325">
        <f>IF($B325="","",IF(M325="","",IF(M325&lt;=L325,"On Time","Delayed")))</f>
        <v/>
      </c>
    </row>
    <row r="326">
      <c r="A326">
        <f>IF($B326="","",ROW()-5)</f>
        <v/>
      </c>
      <c r="D326">
        <f>IF($B326="","",IF(C326="","",TEXT(C326,"MMM")))</f>
        <v/>
      </c>
      <c r="O326">
        <f>IF($B326="","",IF(M326="","",IF(M326&lt;=L326,"On Time","Delayed")))</f>
        <v/>
      </c>
    </row>
    <row r="327">
      <c r="A327">
        <f>IF($B327="","",ROW()-5)</f>
        <v/>
      </c>
      <c r="D327">
        <f>IF($B327="","",IF(C327="","",TEXT(C327,"MMM")))</f>
        <v/>
      </c>
      <c r="O327">
        <f>IF($B327="","",IF(M327="","",IF(M327&lt;=L327,"On Time","Delayed")))</f>
        <v/>
      </c>
    </row>
    <row r="328">
      <c r="A328">
        <f>IF($B328="","",ROW()-5)</f>
        <v/>
      </c>
      <c r="D328">
        <f>IF($B328="","",IF(C328="","",TEXT(C328,"MMM")))</f>
        <v/>
      </c>
      <c r="O328">
        <f>IF($B328="","",IF(M328="","",IF(M328&lt;=L328,"On Time","Delayed")))</f>
        <v/>
      </c>
    </row>
    <row r="329">
      <c r="A329">
        <f>IF($B329="","",ROW()-5)</f>
        <v/>
      </c>
      <c r="D329">
        <f>IF($B329="","",IF(C329="","",TEXT(C329,"MMM")))</f>
        <v/>
      </c>
      <c r="O329">
        <f>IF($B329="","",IF(M329="","",IF(M329&lt;=L329,"On Time","Delayed")))</f>
        <v/>
      </c>
    </row>
    <row r="330">
      <c r="A330">
        <f>IF($B330="","",ROW()-5)</f>
        <v/>
      </c>
      <c r="D330">
        <f>IF($B330="","",IF(C330="","",TEXT(C330,"MMM")))</f>
        <v/>
      </c>
      <c r="O330">
        <f>IF($B330="","",IF(M330="","",IF(M330&lt;=L330,"On Time","Delayed")))</f>
        <v/>
      </c>
    </row>
    <row r="331">
      <c r="A331">
        <f>IF($B331="","",ROW()-5)</f>
        <v/>
      </c>
      <c r="D331">
        <f>IF($B331="","",IF(C331="","",TEXT(C331,"MMM")))</f>
        <v/>
      </c>
      <c r="O331">
        <f>IF($B331="","",IF(M331="","",IF(M331&lt;=L331,"On Time","Delayed")))</f>
        <v/>
      </c>
    </row>
    <row r="332">
      <c r="A332">
        <f>IF($B332="","",ROW()-5)</f>
        <v/>
      </c>
      <c r="D332">
        <f>IF($B332="","",IF(C332="","",TEXT(C332,"MMM")))</f>
        <v/>
      </c>
      <c r="O332">
        <f>IF($B332="","",IF(M332="","",IF(M332&lt;=L332,"On Time","Delayed")))</f>
        <v/>
      </c>
    </row>
    <row r="333">
      <c r="A333">
        <f>IF($B333="","",ROW()-5)</f>
        <v/>
      </c>
      <c r="D333">
        <f>IF($B333="","",IF(C333="","",TEXT(C333,"MMM")))</f>
        <v/>
      </c>
      <c r="O333">
        <f>IF($B333="","",IF(M333="","",IF(M333&lt;=L333,"On Time","Delayed")))</f>
        <v/>
      </c>
    </row>
    <row r="334">
      <c r="A334">
        <f>IF($B334="","",ROW()-5)</f>
        <v/>
      </c>
      <c r="D334">
        <f>IF($B334="","",IF(C334="","",TEXT(C334,"MMM")))</f>
        <v/>
      </c>
      <c r="O334">
        <f>IF($B334="","",IF(M334="","",IF(M334&lt;=L334,"On Time","Delayed")))</f>
        <v/>
      </c>
    </row>
    <row r="335">
      <c r="A335">
        <f>IF($B335="","",ROW()-5)</f>
        <v/>
      </c>
      <c r="D335">
        <f>IF($B335="","",IF(C335="","",TEXT(C335,"MMM")))</f>
        <v/>
      </c>
      <c r="O335">
        <f>IF($B335="","",IF(M335="","",IF(M335&lt;=L335,"On Time","Delayed")))</f>
        <v/>
      </c>
    </row>
    <row r="336">
      <c r="A336">
        <f>IF($B336="","",ROW()-5)</f>
        <v/>
      </c>
      <c r="D336">
        <f>IF($B336="","",IF(C336="","",TEXT(C336,"MMM")))</f>
        <v/>
      </c>
      <c r="O336">
        <f>IF($B336="","",IF(M336="","",IF(M336&lt;=L336,"On Time","Delayed")))</f>
        <v/>
      </c>
    </row>
    <row r="337">
      <c r="A337">
        <f>IF($B337="","",ROW()-5)</f>
        <v/>
      </c>
      <c r="D337">
        <f>IF($B337="","",IF(C337="","",TEXT(C337,"MMM")))</f>
        <v/>
      </c>
      <c r="O337">
        <f>IF($B337="","",IF(M337="","",IF(M337&lt;=L337,"On Time","Delayed")))</f>
        <v/>
      </c>
    </row>
    <row r="338">
      <c r="A338">
        <f>IF($B338="","",ROW()-5)</f>
        <v/>
      </c>
      <c r="D338">
        <f>IF($B338="","",IF(C338="","",TEXT(C338,"MMM")))</f>
        <v/>
      </c>
      <c r="O338">
        <f>IF($B338="","",IF(M338="","",IF(M338&lt;=L338,"On Time","Delayed")))</f>
        <v/>
      </c>
    </row>
    <row r="339">
      <c r="A339">
        <f>IF($B339="","",ROW()-5)</f>
        <v/>
      </c>
      <c r="D339">
        <f>IF($B339="","",IF(C339="","",TEXT(C339,"MMM")))</f>
        <v/>
      </c>
      <c r="O339">
        <f>IF($B339="","",IF(M339="","",IF(M339&lt;=L339,"On Time","Delayed")))</f>
        <v/>
      </c>
    </row>
    <row r="340">
      <c r="A340">
        <f>IF($B340="","",ROW()-5)</f>
        <v/>
      </c>
      <c r="D340">
        <f>IF($B340="","",IF(C340="","",TEXT(C340,"MMM")))</f>
        <v/>
      </c>
      <c r="O340">
        <f>IF($B340="","",IF(M340="","",IF(M340&lt;=L340,"On Time","Delayed")))</f>
        <v/>
      </c>
    </row>
    <row r="341">
      <c r="A341">
        <f>IF($B341="","",ROW()-5)</f>
        <v/>
      </c>
      <c r="D341">
        <f>IF($B341="","",IF(C341="","",TEXT(C341,"MMM")))</f>
        <v/>
      </c>
      <c r="O341">
        <f>IF($B341="","",IF(M341="","",IF(M341&lt;=L341,"On Time","Delayed")))</f>
        <v/>
      </c>
    </row>
    <row r="342">
      <c r="A342">
        <f>IF($B342="","",ROW()-5)</f>
        <v/>
      </c>
      <c r="D342">
        <f>IF($B342="","",IF(C342="","",TEXT(C342,"MMM")))</f>
        <v/>
      </c>
      <c r="O342">
        <f>IF($B342="","",IF(M342="","",IF(M342&lt;=L342,"On Time","Delayed")))</f>
        <v/>
      </c>
    </row>
    <row r="343">
      <c r="A343">
        <f>IF($B343="","",ROW()-5)</f>
        <v/>
      </c>
      <c r="D343">
        <f>IF($B343="","",IF(C343="","",TEXT(C343,"MMM")))</f>
        <v/>
      </c>
      <c r="O343">
        <f>IF($B343="","",IF(M343="","",IF(M343&lt;=L343,"On Time","Delayed")))</f>
        <v/>
      </c>
    </row>
    <row r="344">
      <c r="A344">
        <f>IF($B344="","",ROW()-5)</f>
        <v/>
      </c>
      <c r="D344">
        <f>IF($B344="","",IF(C344="","",TEXT(C344,"MMM")))</f>
        <v/>
      </c>
      <c r="O344">
        <f>IF($B344="","",IF(M344="","",IF(M344&lt;=L344,"On Time","Delayed")))</f>
        <v/>
      </c>
    </row>
    <row r="345">
      <c r="A345">
        <f>IF($B345="","",ROW()-5)</f>
        <v/>
      </c>
      <c r="D345">
        <f>IF($B345="","",IF(C345="","",TEXT(C345,"MMM")))</f>
        <v/>
      </c>
      <c r="O345">
        <f>IF($B345="","",IF(M345="","",IF(M345&lt;=L345,"On Time","Delayed")))</f>
        <v/>
      </c>
    </row>
    <row r="346">
      <c r="A346">
        <f>IF($B346="","",ROW()-5)</f>
        <v/>
      </c>
      <c r="D346">
        <f>IF($B346="","",IF(C346="","",TEXT(C346,"MMM")))</f>
        <v/>
      </c>
      <c r="O346">
        <f>IF($B346="","",IF(M346="","",IF(M346&lt;=L346,"On Time","Delayed")))</f>
        <v/>
      </c>
    </row>
    <row r="347">
      <c r="A347">
        <f>IF($B347="","",ROW()-5)</f>
        <v/>
      </c>
      <c r="D347">
        <f>IF($B347="","",IF(C347="","",TEXT(C347,"MMM")))</f>
        <v/>
      </c>
      <c r="O347">
        <f>IF($B347="","",IF(M347="","",IF(M347&lt;=L347,"On Time","Delayed")))</f>
        <v/>
      </c>
    </row>
    <row r="348">
      <c r="A348">
        <f>IF($B348="","",ROW()-5)</f>
        <v/>
      </c>
      <c r="D348">
        <f>IF($B348="","",IF(C348="","",TEXT(C348,"MMM")))</f>
        <v/>
      </c>
      <c r="O348">
        <f>IF($B348="","",IF(M348="","",IF(M348&lt;=L348,"On Time","Delayed")))</f>
        <v/>
      </c>
    </row>
    <row r="349">
      <c r="A349">
        <f>IF($B349="","",ROW()-5)</f>
        <v/>
      </c>
      <c r="D349">
        <f>IF($B349="","",IF(C349="","",TEXT(C349,"MMM")))</f>
        <v/>
      </c>
      <c r="O349">
        <f>IF($B349="","",IF(M349="","",IF(M349&lt;=L349,"On Time","Delayed")))</f>
        <v/>
      </c>
    </row>
    <row r="350">
      <c r="A350">
        <f>IF($B350="","",ROW()-5)</f>
        <v/>
      </c>
      <c r="D350">
        <f>IF($B350="","",IF(C350="","",TEXT(C350,"MMM")))</f>
        <v/>
      </c>
      <c r="O350">
        <f>IF($B350="","",IF(M350="","",IF(M350&lt;=L350,"On Time","Delayed")))</f>
        <v/>
      </c>
    </row>
    <row r="351">
      <c r="A351">
        <f>IF($B351="","",ROW()-5)</f>
        <v/>
      </c>
      <c r="D351">
        <f>IF($B351="","",IF(C351="","",TEXT(C351,"MMM")))</f>
        <v/>
      </c>
      <c r="O351">
        <f>IF($B351="","",IF(M351="","",IF(M351&lt;=L351,"On Time","Delayed")))</f>
        <v/>
      </c>
    </row>
    <row r="352">
      <c r="A352">
        <f>IF($B352="","",ROW()-5)</f>
        <v/>
      </c>
      <c r="D352">
        <f>IF($B352="","",IF(C352="","",TEXT(C352,"MMM")))</f>
        <v/>
      </c>
      <c r="O352">
        <f>IF($B352="","",IF(M352="","",IF(M352&lt;=L352,"On Time","Delayed")))</f>
        <v/>
      </c>
    </row>
    <row r="353">
      <c r="A353">
        <f>IF($B353="","",ROW()-5)</f>
        <v/>
      </c>
      <c r="D353">
        <f>IF($B353="","",IF(C353="","",TEXT(C353,"MMM")))</f>
        <v/>
      </c>
      <c r="O353">
        <f>IF($B353="","",IF(M353="","",IF(M353&lt;=L353,"On Time","Delayed")))</f>
        <v/>
      </c>
    </row>
    <row r="354">
      <c r="A354">
        <f>IF($B354="","",ROW()-5)</f>
        <v/>
      </c>
      <c r="D354">
        <f>IF($B354="","",IF(C354="","",TEXT(C354,"MMM")))</f>
        <v/>
      </c>
      <c r="O354">
        <f>IF($B354="","",IF(M354="","",IF(M354&lt;=L354,"On Time","Delayed")))</f>
        <v/>
      </c>
    </row>
    <row r="355">
      <c r="A355">
        <f>IF($B355="","",ROW()-5)</f>
        <v/>
      </c>
      <c r="D355">
        <f>IF($B355="","",IF(C355="","",TEXT(C355,"MMM")))</f>
        <v/>
      </c>
      <c r="O355">
        <f>IF($B355="","",IF(M355="","",IF(M355&lt;=L355,"On Time","Delayed")))</f>
        <v/>
      </c>
    </row>
    <row r="356">
      <c r="A356">
        <f>IF($B356="","",ROW()-5)</f>
        <v/>
      </c>
      <c r="D356">
        <f>IF($B356="","",IF(C356="","",TEXT(C356,"MMM")))</f>
        <v/>
      </c>
      <c r="O356">
        <f>IF($B356="","",IF(M356="","",IF(M356&lt;=L356,"On Time","Delayed")))</f>
        <v/>
      </c>
    </row>
    <row r="357">
      <c r="A357">
        <f>IF($B357="","",ROW()-5)</f>
        <v/>
      </c>
      <c r="D357">
        <f>IF($B357="","",IF(C357="","",TEXT(C357,"MMM")))</f>
        <v/>
      </c>
      <c r="O357">
        <f>IF($B357="","",IF(M357="","",IF(M357&lt;=L357,"On Time","Delayed")))</f>
        <v/>
      </c>
    </row>
    <row r="358">
      <c r="A358">
        <f>IF($B358="","",ROW()-5)</f>
        <v/>
      </c>
      <c r="D358">
        <f>IF($B358="","",IF(C358="","",TEXT(C358,"MMM")))</f>
        <v/>
      </c>
      <c r="O358">
        <f>IF($B358="","",IF(M358="","",IF(M358&lt;=L358,"On Time","Delayed")))</f>
        <v/>
      </c>
    </row>
    <row r="359">
      <c r="A359">
        <f>IF($B359="","",ROW()-5)</f>
        <v/>
      </c>
      <c r="D359">
        <f>IF($B359="","",IF(C359="","",TEXT(C359,"MMM")))</f>
        <v/>
      </c>
      <c r="O359">
        <f>IF($B359="","",IF(M359="","",IF(M359&lt;=L359,"On Time","Delayed")))</f>
        <v/>
      </c>
    </row>
    <row r="360">
      <c r="A360">
        <f>IF($B360="","",ROW()-5)</f>
        <v/>
      </c>
      <c r="D360">
        <f>IF($B360="","",IF(C360="","",TEXT(C360,"MMM")))</f>
        <v/>
      </c>
      <c r="O360">
        <f>IF($B360="","",IF(M360="","",IF(M360&lt;=L360,"On Time","Delayed")))</f>
        <v/>
      </c>
    </row>
    <row r="361">
      <c r="A361">
        <f>IF($B361="","",ROW()-5)</f>
        <v/>
      </c>
      <c r="D361">
        <f>IF($B361="","",IF(C361="","",TEXT(C361,"MMM")))</f>
        <v/>
      </c>
      <c r="O361">
        <f>IF($B361="","",IF(M361="","",IF(M361&lt;=L361,"On Time","Delayed")))</f>
        <v/>
      </c>
    </row>
    <row r="362">
      <c r="A362">
        <f>IF($B362="","",ROW()-5)</f>
        <v/>
      </c>
      <c r="D362">
        <f>IF($B362="","",IF(C362="","",TEXT(C362,"MMM")))</f>
        <v/>
      </c>
      <c r="O362">
        <f>IF($B362="","",IF(M362="","",IF(M362&lt;=L362,"On Time","Delayed")))</f>
        <v/>
      </c>
    </row>
    <row r="363">
      <c r="A363">
        <f>IF($B363="","",ROW()-5)</f>
        <v/>
      </c>
      <c r="D363">
        <f>IF($B363="","",IF(C363="","",TEXT(C363,"MMM")))</f>
        <v/>
      </c>
      <c r="O363">
        <f>IF($B363="","",IF(M363="","",IF(M363&lt;=L363,"On Time","Delayed")))</f>
        <v/>
      </c>
    </row>
    <row r="364">
      <c r="A364">
        <f>IF($B364="","",ROW()-5)</f>
        <v/>
      </c>
      <c r="D364">
        <f>IF($B364="","",IF(C364="","",TEXT(C364,"MMM")))</f>
        <v/>
      </c>
      <c r="O364">
        <f>IF($B364="","",IF(M364="","",IF(M364&lt;=L364,"On Time","Delayed")))</f>
        <v/>
      </c>
    </row>
    <row r="365">
      <c r="A365">
        <f>IF($B365="","",ROW()-5)</f>
        <v/>
      </c>
      <c r="D365">
        <f>IF($B365="","",IF(C365="","",TEXT(C365,"MMM")))</f>
        <v/>
      </c>
      <c r="O365">
        <f>IF($B365="","",IF(M365="","",IF(M365&lt;=L365,"On Time","Delayed")))</f>
        <v/>
      </c>
    </row>
    <row r="366">
      <c r="A366">
        <f>IF($B366="","",ROW()-5)</f>
        <v/>
      </c>
      <c r="D366">
        <f>IF($B366="","",IF(C366="","",TEXT(C366,"MMM")))</f>
        <v/>
      </c>
      <c r="O366">
        <f>IF($B366="","",IF(M366="","",IF(M366&lt;=L366,"On Time","Delayed")))</f>
        <v/>
      </c>
    </row>
    <row r="367">
      <c r="A367">
        <f>IF($B367="","",ROW()-5)</f>
        <v/>
      </c>
      <c r="D367">
        <f>IF($B367="","",IF(C367="","",TEXT(C367,"MMM")))</f>
        <v/>
      </c>
      <c r="O367">
        <f>IF($B367="","",IF(M367="","",IF(M367&lt;=L367,"On Time","Delayed")))</f>
        <v/>
      </c>
    </row>
    <row r="368">
      <c r="A368">
        <f>IF($B368="","",ROW()-5)</f>
        <v/>
      </c>
      <c r="D368">
        <f>IF($B368="","",IF(C368="","",TEXT(C368,"MMM")))</f>
        <v/>
      </c>
      <c r="O368">
        <f>IF($B368="","",IF(M368="","",IF(M368&lt;=L368,"On Time","Delayed")))</f>
        <v/>
      </c>
    </row>
    <row r="369">
      <c r="A369">
        <f>IF($B369="","",ROW()-5)</f>
        <v/>
      </c>
      <c r="D369">
        <f>IF($B369="","",IF(C369="","",TEXT(C369,"MMM")))</f>
        <v/>
      </c>
      <c r="O369">
        <f>IF($B369="","",IF(M369="","",IF(M369&lt;=L369,"On Time","Delayed")))</f>
        <v/>
      </c>
    </row>
    <row r="370">
      <c r="A370">
        <f>IF($B370="","",ROW()-5)</f>
        <v/>
      </c>
      <c r="D370">
        <f>IF($B370="","",IF(C370="","",TEXT(C370,"MMM")))</f>
        <v/>
      </c>
      <c r="O370">
        <f>IF($B370="","",IF(M370="","",IF(M370&lt;=L370,"On Time","Delayed")))</f>
        <v/>
      </c>
    </row>
    <row r="371">
      <c r="A371">
        <f>IF($B371="","",ROW()-5)</f>
        <v/>
      </c>
      <c r="D371">
        <f>IF($B371="","",IF(C371="","",TEXT(C371,"MMM")))</f>
        <v/>
      </c>
      <c r="O371">
        <f>IF($B371="","",IF(M371="","",IF(M371&lt;=L371,"On Time","Delayed")))</f>
        <v/>
      </c>
    </row>
    <row r="372">
      <c r="A372">
        <f>IF($B372="","",ROW()-5)</f>
        <v/>
      </c>
      <c r="D372">
        <f>IF($B372="","",IF(C372="","",TEXT(C372,"MMM")))</f>
        <v/>
      </c>
      <c r="O372">
        <f>IF($B372="","",IF(M372="","",IF(M372&lt;=L372,"On Time","Delayed")))</f>
        <v/>
      </c>
    </row>
    <row r="373">
      <c r="A373">
        <f>IF($B373="","",ROW()-5)</f>
        <v/>
      </c>
      <c r="D373">
        <f>IF($B373="","",IF(C373="","",TEXT(C373,"MMM")))</f>
        <v/>
      </c>
      <c r="O373">
        <f>IF($B373="","",IF(M373="","",IF(M373&lt;=L373,"On Time","Delayed")))</f>
        <v/>
      </c>
    </row>
    <row r="374">
      <c r="A374">
        <f>IF($B374="","",ROW()-5)</f>
        <v/>
      </c>
      <c r="D374">
        <f>IF($B374="","",IF(C374="","",TEXT(C374,"MMM")))</f>
        <v/>
      </c>
      <c r="O374">
        <f>IF($B374="","",IF(M374="","",IF(M374&lt;=L374,"On Time","Delayed")))</f>
        <v/>
      </c>
    </row>
    <row r="375">
      <c r="A375">
        <f>IF($B375="","",ROW()-5)</f>
        <v/>
      </c>
      <c r="D375">
        <f>IF($B375="","",IF(C375="","",TEXT(C375,"MMM")))</f>
        <v/>
      </c>
      <c r="O375">
        <f>IF($B375="","",IF(M375="","",IF(M375&lt;=L375,"On Time","Delayed")))</f>
        <v/>
      </c>
    </row>
    <row r="376">
      <c r="A376">
        <f>IF($B376="","",ROW()-5)</f>
        <v/>
      </c>
      <c r="D376">
        <f>IF($B376="","",IF(C376="","",TEXT(C376,"MMM")))</f>
        <v/>
      </c>
      <c r="O376">
        <f>IF($B376="","",IF(M376="","",IF(M376&lt;=L376,"On Time","Delayed")))</f>
        <v/>
      </c>
    </row>
    <row r="377">
      <c r="A377">
        <f>IF($B377="","",ROW()-5)</f>
        <v/>
      </c>
      <c r="D377">
        <f>IF($B377="","",IF(C377="","",TEXT(C377,"MMM")))</f>
        <v/>
      </c>
      <c r="O377">
        <f>IF($B377="","",IF(M377="","",IF(M377&lt;=L377,"On Time","Delayed")))</f>
        <v/>
      </c>
    </row>
    <row r="378">
      <c r="A378">
        <f>IF($B378="","",ROW()-5)</f>
        <v/>
      </c>
      <c r="D378">
        <f>IF($B378="","",IF(C378="","",TEXT(C378,"MMM")))</f>
        <v/>
      </c>
      <c r="O378">
        <f>IF($B378="","",IF(M378="","",IF(M378&lt;=L378,"On Time","Delayed")))</f>
        <v/>
      </c>
    </row>
    <row r="379">
      <c r="A379">
        <f>IF($B379="","",ROW()-5)</f>
        <v/>
      </c>
      <c r="D379">
        <f>IF($B379="","",IF(C379="","",TEXT(C379,"MMM")))</f>
        <v/>
      </c>
      <c r="O379">
        <f>IF($B379="","",IF(M379="","",IF(M379&lt;=L379,"On Time","Delayed")))</f>
        <v/>
      </c>
    </row>
    <row r="380">
      <c r="A380">
        <f>IF($B380="","",ROW()-5)</f>
        <v/>
      </c>
      <c r="D380">
        <f>IF($B380="","",IF(C380="","",TEXT(C380,"MMM")))</f>
        <v/>
      </c>
      <c r="O380">
        <f>IF($B380="","",IF(M380="","",IF(M380&lt;=L380,"On Time","Delayed")))</f>
        <v/>
      </c>
    </row>
    <row r="381">
      <c r="A381">
        <f>IF($B381="","",ROW()-5)</f>
        <v/>
      </c>
      <c r="D381">
        <f>IF($B381="","",IF(C381="","",TEXT(C381,"MMM")))</f>
        <v/>
      </c>
      <c r="O381">
        <f>IF($B381="","",IF(M381="","",IF(M381&lt;=L381,"On Time","Delayed")))</f>
        <v/>
      </c>
    </row>
    <row r="382">
      <c r="A382">
        <f>IF($B382="","",ROW()-5)</f>
        <v/>
      </c>
      <c r="D382">
        <f>IF($B382="","",IF(C382="","",TEXT(C382,"MMM")))</f>
        <v/>
      </c>
      <c r="O382">
        <f>IF($B382="","",IF(M382="","",IF(M382&lt;=L382,"On Time","Delayed")))</f>
        <v/>
      </c>
    </row>
    <row r="383">
      <c r="A383">
        <f>IF($B383="","",ROW()-5)</f>
        <v/>
      </c>
      <c r="D383">
        <f>IF($B383="","",IF(C383="","",TEXT(C383,"MMM")))</f>
        <v/>
      </c>
      <c r="O383">
        <f>IF($B383="","",IF(M383="","",IF(M383&lt;=L383,"On Time","Delayed")))</f>
        <v/>
      </c>
    </row>
    <row r="384">
      <c r="A384">
        <f>IF($B384="","",ROW()-5)</f>
        <v/>
      </c>
      <c r="D384">
        <f>IF($B384="","",IF(C384="","",TEXT(C384,"MMM")))</f>
        <v/>
      </c>
      <c r="O384">
        <f>IF($B384="","",IF(M384="","",IF(M384&lt;=L384,"On Time","Delayed")))</f>
        <v/>
      </c>
    </row>
    <row r="385">
      <c r="A385">
        <f>IF($B385="","",ROW()-5)</f>
        <v/>
      </c>
      <c r="D385">
        <f>IF($B385="","",IF(C385="","",TEXT(C385,"MMM")))</f>
        <v/>
      </c>
      <c r="O385">
        <f>IF($B385="","",IF(M385="","",IF(M385&lt;=L385,"On Time","Delayed")))</f>
        <v/>
      </c>
    </row>
    <row r="386">
      <c r="A386">
        <f>IF($B386="","",ROW()-5)</f>
        <v/>
      </c>
      <c r="D386">
        <f>IF($B386="","",IF(C386="","",TEXT(C386,"MMM")))</f>
        <v/>
      </c>
      <c r="O386">
        <f>IF($B386="","",IF(M386="","",IF(M386&lt;=L386,"On Time","Delayed")))</f>
        <v/>
      </c>
    </row>
    <row r="387">
      <c r="A387">
        <f>IF($B387="","",ROW()-5)</f>
        <v/>
      </c>
      <c r="D387">
        <f>IF($B387="","",IF(C387="","",TEXT(C387,"MMM")))</f>
        <v/>
      </c>
      <c r="O387">
        <f>IF($B387="","",IF(M387="","",IF(M387&lt;=L387,"On Time","Delayed")))</f>
        <v/>
      </c>
    </row>
    <row r="388">
      <c r="A388">
        <f>IF($B388="","",ROW()-5)</f>
        <v/>
      </c>
      <c r="D388">
        <f>IF($B388="","",IF(C388="","",TEXT(C388,"MMM")))</f>
        <v/>
      </c>
      <c r="O388">
        <f>IF($B388="","",IF(M388="","",IF(M388&lt;=L388,"On Time","Delayed")))</f>
        <v/>
      </c>
    </row>
    <row r="389">
      <c r="A389">
        <f>IF($B389="","",ROW()-5)</f>
        <v/>
      </c>
      <c r="D389">
        <f>IF($B389="","",IF(C389="","",TEXT(C389,"MMM")))</f>
        <v/>
      </c>
      <c r="O389">
        <f>IF($B389="","",IF(M389="","",IF(M389&lt;=L389,"On Time","Delayed")))</f>
        <v/>
      </c>
    </row>
    <row r="390">
      <c r="A390">
        <f>IF($B390="","",ROW()-5)</f>
        <v/>
      </c>
      <c r="D390">
        <f>IF($B390="","",IF(C390="","",TEXT(C390,"MMM")))</f>
        <v/>
      </c>
      <c r="O390">
        <f>IF($B390="","",IF(M390="","",IF(M390&lt;=L390,"On Time","Delayed")))</f>
        <v/>
      </c>
    </row>
    <row r="391">
      <c r="A391">
        <f>IF($B391="","",ROW()-5)</f>
        <v/>
      </c>
      <c r="D391">
        <f>IF($B391="","",IF(C391="","",TEXT(C391,"MMM")))</f>
        <v/>
      </c>
      <c r="O391">
        <f>IF($B391="","",IF(M391="","",IF(M391&lt;=L391,"On Time","Delayed")))</f>
        <v/>
      </c>
    </row>
    <row r="392">
      <c r="A392">
        <f>IF($B392="","",ROW()-5)</f>
        <v/>
      </c>
      <c r="D392">
        <f>IF($B392="","",IF(C392="","",TEXT(C392,"MMM")))</f>
        <v/>
      </c>
      <c r="O392">
        <f>IF($B392="","",IF(M392="","",IF(M392&lt;=L392,"On Time","Delayed")))</f>
        <v/>
      </c>
    </row>
    <row r="393">
      <c r="A393">
        <f>IF($B393="","",ROW()-5)</f>
        <v/>
      </c>
      <c r="D393">
        <f>IF($B393="","",IF(C393="","",TEXT(C393,"MMM")))</f>
        <v/>
      </c>
      <c r="O393">
        <f>IF($B393="","",IF(M393="","",IF(M393&lt;=L393,"On Time","Delayed")))</f>
        <v/>
      </c>
    </row>
    <row r="394">
      <c r="A394">
        <f>IF($B394="","",ROW()-5)</f>
        <v/>
      </c>
      <c r="D394">
        <f>IF($B394="","",IF(C394="","",TEXT(C394,"MMM")))</f>
        <v/>
      </c>
      <c r="O394">
        <f>IF($B394="","",IF(M394="","",IF(M394&lt;=L394,"On Time","Delayed")))</f>
        <v/>
      </c>
    </row>
    <row r="395">
      <c r="A395">
        <f>IF($B395="","",ROW()-5)</f>
        <v/>
      </c>
      <c r="D395">
        <f>IF($B395="","",IF(C395="","",TEXT(C395,"MMM")))</f>
        <v/>
      </c>
      <c r="O395">
        <f>IF($B395="","",IF(M395="","",IF(M395&lt;=L395,"On Time","Delayed")))</f>
        <v/>
      </c>
    </row>
    <row r="396">
      <c r="A396">
        <f>IF($B396="","",ROW()-5)</f>
        <v/>
      </c>
      <c r="D396">
        <f>IF($B396="","",IF(C396="","",TEXT(C396,"MMM")))</f>
        <v/>
      </c>
      <c r="O396">
        <f>IF($B396="","",IF(M396="","",IF(M396&lt;=L396,"On Time","Delayed")))</f>
        <v/>
      </c>
    </row>
    <row r="397">
      <c r="A397">
        <f>IF($B397="","",ROW()-5)</f>
        <v/>
      </c>
      <c r="D397">
        <f>IF($B397="","",IF(C397="","",TEXT(C397,"MMM")))</f>
        <v/>
      </c>
      <c r="O397">
        <f>IF($B397="","",IF(M397="","",IF(M397&lt;=L397,"On Time","Delayed")))</f>
        <v/>
      </c>
    </row>
    <row r="398">
      <c r="A398">
        <f>IF($B398="","",ROW()-5)</f>
        <v/>
      </c>
      <c r="D398">
        <f>IF($B398="","",IF(C398="","",TEXT(C398,"MMM")))</f>
        <v/>
      </c>
      <c r="O398">
        <f>IF($B398="","",IF(M398="","",IF(M398&lt;=L398,"On Time","Delayed")))</f>
        <v/>
      </c>
    </row>
    <row r="399">
      <c r="A399">
        <f>IF($B399="","",ROW()-5)</f>
        <v/>
      </c>
      <c r="D399">
        <f>IF($B399="","",IF(C399="","",TEXT(C399,"MMM")))</f>
        <v/>
      </c>
      <c r="O399">
        <f>IF($B399="","",IF(M399="","",IF(M399&lt;=L399,"On Time","Delayed")))</f>
        <v/>
      </c>
    </row>
    <row r="400">
      <c r="A400">
        <f>IF($B400="","",ROW()-5)</f>
        <v/>
      </c>
      <c r="D400">
        <f>IF($B400="","",IF(C400="","",TEXT(C400,"MMM")))</f>
        <v/>
      </c>
      <c r="O400">
        <f>IF($B400="","",IF(M400="","",IF(M400&lt;=L400,"On Time","Delayed")))</f>
        <v/>
      </c>
    </row>
    <row r="401">
      <c r="A401">
        <f>IF($B401="","",ROW()-5)</f>
        <v/>
      </c>
      <c r="D401">
        <f>IF($B401="","",IF(C401="","",TEXT(C401,"MMM")))</f>
        <v/>
      </c>
      <c r="O401">
        <f>IF($B401="","",IF(M401="","",IF(M401&lt;=L401,"On Time","Delayed")))</f>
        <v/>
      </c>
    </row>
    <row r="402">
      <c r="A402">
        <f>IF($B402="","",ROW()-5)</f>
        <v/>
      </c>
      <c r="D402">
        <f>IF($B402="","",IF(C402="","",TEXT(C402,"MMM")))</f>
        <v/>
      </c>
      <c r="O402">
        <f>IF($B402="","",IF(M402="","",IF(M402&lt;=L402,"On Time","Delayed")))</f>
        <v/>
      </c>
    </row>
    <row r="403">
      <c r="A403">
        <f>IF($B403="","",ROW()-5)</f>
        <v/>
      </c>
      <c r="D403">
        <f>IF($B403="","",IF(C403="","",TEXT(C403,"MMM")))</f>
        <v/>
      </c>
      <c r="O403">
        <f>IF($B403="","",IF(M403="","",IF(M403&lt;=L403,"On Time","Delayed")))</f>
        <v/>
      </c>
    </row>
    <row r="404">
      <c r="A404">
        <f>IF($B404="","",ROW()-5)</f>
        <v/>
      </c>
      <c r="D404">
        <f>IF($B404="","",IF(C404="","",TEXT(C404,"MMM")))</f>
        <v/>
      </c>
      <c r="O404">
        <f>IF($B404="","",IF(M404="","",IF(M404&lt;=L404,"On Time","Delayed")))</f>
        <v/>
      </c>
    </row>
    <row r="405">
      <c r="A405">
        <f>IF($B405="","",ROW()-5)</f>
        <v/>
      </c>
      <c r="D405">
        <f>IF($B405="","",IF(C405="","",TEXT(C405,"MMM")))</f>
        <v/>
      </c>
      <c r="O405">
        <f>IF($B405="","",IF(M405="","",IF(M405&lt;=L405,"On Time","Delayed")))</f>
        <v/>
      </c>
    </row>
    <row r="406">
      <c r="A406">
        <f>IF($B406="","",ROW()-5)</f>
        <v/>
      </c>
      <c r="D406">
        <f>IF($B406="","",IF(C406="","",TEXT(C406,"MMM")))</f>
        <v/>
      </c>
      <c r="O406">
        <f>IF($B406="","",IF(M406="","",IF(M406&lt;=L406,"On Time","Delayed")))</f>
        <v/>
      </c>
    </row>
    <row r="407">
      <c r="A407">
        <f>IF($B407="","",ROW()-5)</f>
        <v/>
      </c>
      <c r="D407">
        <f>IF($B407="","",IF(C407="","",TEXT(C407,"MMM")))</f>
        <v/>
      </c>
      <c r="O407">
        <f>IF($B407="","",IF(M407="","",IF(M407&lt;=L407,"On Time","Delayed")))</f>
        <v/>
      </c>
    </row>
    <row r="408">
      <c r="A408">
        <f>IF($B408="","",ROW()-5)</f>
        <v/>
      </c>
      <c r="D408">
        <f>IF($B408="","",IF(C408="","",TEXT(C408,"MMM")))</f>
        <v/>
      </c>
      <c r="O408">
        <f>IF($B408="","",IF(M408="","",IF(M408&lt;=L408,"On Time","Delayed")))</f>
        <v/>
      </c>
    </row>
    <row r="409">
      <c r="A409">
        <f>IF($B409="","",ROW()-5)</f>
        <v/>
      </c>
      <c r="D409">
        <f>IF($B409="","",IF(C409="","",TEXT(C409,"MMM")))</f>
        <v/>
      </c>
      <c r="O409">
        <f>IF($B409="","",IF(M409="","",IF(M409&lt;=L409,"On Time","Delayed")))</f>
        <v/>
      </c>
    </row>
    <row r="410">
      <c r="A410">
        <f>IF($B410="","",ROW()-5)</f>
        <v/>
      </c>
      <c r="D410">
        <f>IF($B410="","",IF(C410="","",TEXT(C410,"MMM")))</f>
        <v/>
      </c>
      <c r="O410">
        <f>IF($B410="","",IF(M410="","",IF(M410&lt;=L410,"On Time","Delayed")))</f>
        <v/>
      </c>
    </row>
    <row r="411">
      <c r="A411">
        <f>IF($B411="","",ROW()-5)</f>
        <v/>
      </c>
      <c r="D411">
        <f>IF($B411="","",IF(C411="","",TEXT(C411,"MMM")))</f>
        <v/>
      </c>
      <c r="O411">
        <f>IF($B411="","",IF(M411="","",IF(M411&lt;=L411,"On Time","Delayed")))</f>
        <v/>
      </c>
    </row>
    <row r="412">
      <c r="A412">
        <f>IF($B412="","",ROW()-5)</f>
        <v/>
      </c>
      <c r="D412">
        <f>IF($B412="","",IF(C412="","",TEXT(C412,"MMM")))</f>
        <v/>
      </c>
      <c r="O412">
        <f>IF($B412="","",IF(M412="","",IF(M412&lt;=L412,"On Time","Delayed")))</f>
        <v/>
      </c>
    </row>
    <row r="413">
      <c r="A413">
        <f>IF($B413="","",ROW()-5)</f>
        <v/>
      </c>
      <c r="D413">
        <f>IF($B413="","",IF(C413="","",TEXT(C413,"MMM")))</f>
        <v/>
      </c>
      <c r="O413">
        <f>IF($B413="","",IF(M413="","",IF(M413&lt;=L413,"On Time","Delayed")))</f>
        <v/>
      </c>
    </row>
    <row r="414">
      <c r="A414">
        <f>IF($B414="","",ROW()-5)</f>
        <v/>
      </c>
      <c r="D414">
        <f>IF($B414="","",IF(C414="","",TEXT(C414,"MMM")))</f>
        <v/>
      </c>
      <c r="O414">
        <f>IF($B414="","",IF(M414="","",IF(M414&lt;=L414,"On Time","Delayed")))</f>
        <v/>
      </c>
    </row>
    <row r="415">
      <c r="A415">
        <f>IF($B415="","",ROW()-5)</f>
        <v/>
      </c>
      <c r="D415">
        <f>IF($B415="","",IF(C415="","",TEXT(C415,"MMM")))</f>
        <v/>
      </c>
      <c r="O415">
        <f>IF($B415="","",IF(M415="","",IF(M415&lt;=L415,"On Time","Delayed")))</f>
        <v/>
      </c>
    </row>
    <row r="416">
      <c r="A416">
        <f>IF($B416="","",ROW()-5)</f>
        <v/>
      </c>
      <c r="D416">
        <f>IF($B416="","",IF(C416="","",TEXT(C416,"MMM")))</f>
        <v/>
      </c>
      <c r="O416">
        <f>IF($B416="","",IF(M416="","",IF(M416&lt;=L416,"On Time","Delayed")))</f>
        <v/>
      </c>
    </row>
    <row r="417">
      <c r="A417">
        <f>IF($B417="","",ROW()-5)</f>
        <v/>
      </c>
      <c r="D417">
        <f>IF($B417="","",IF(C417="","",TEXT(C417,"MMM")))</f>
        <v/>
      </c>
      <c r="O417">
        <f>IF($B417="","",IF(M417="","",IF(M417&lt;=L417,"On Time","Delayed")))</f>
        <v/>
      </c>
    </row>
    <row r="418">
      <c r="A418">
        <f>IF($B418="","",ROW()-5)</f>
        <v/>
      </c>
      <c r="D418">
        <f>IF($B418="","",IF(C418="","",TEXT(C418,"MMM")))</f>
        <v/>
      </c>
      <c r="O418">
        <f>IF($B418="","",IF(M418="","",IF(M418&lt;=L418,"On Time","Delayed")))</f>
        <v/>
      </c>
    </row>
    <row r="419">
      <c r="A419">
        <f>IF($B419="","",ROW()-5)</f>
        <v/>
      </c>
      <c r="D419">
        <f>IF($B419="","",IF(C419="","",TEXT(C419,"MMM")))</f>
        <v/>
      </c>
      <c r="O419">
        <f>IF($B419="","",IF(M419="","",IF(M419&lt;=L419,"On Time","Delayed")))</f>
        <v/>
      </c>
    </row>
    <row r="420">
      <c r="A420">
        <f>IF($B420="","",ROW()-5)</f>
        <v/>
      </c>
      <c r="D420">
        <f>IF($B420="","",IF(C420="","",TEXT(C420,"MMM")))</f>
        <v/>
      </c>
      <c r="O420">
        <f>IF($B420="","",IF(M420="","",IF(M420&lt;=L420,"On Time","Delayed")))</f>
        <v/>
      </c>
    </row>
    <row r="421">
      <c r="A421">
        <f>IF($B421="","",ROW()-5)</f>
        <v/>
      </c>
      <c r="D421">
        <f>IF($B421="","",IF(C421="","",TEXT(C421,"MMM")))</f>
        <v/>
      </c>
      <c r="O421">
        <f>IF($B421="","",IF(M421="","",IF(M421&lt;=L421,"On Time","Delayed")))</f>
        <v/>
      </c>
    </row>
    <row r="422">
      <c r="A422">
        <f>IF($B422="","",ROW()-5)</f>
        <v/>
      </c>
      <c r="D422">
        <f>IF($B422="","",IF(C422="","",TEXT(C422,"MMM")))</f>
        <v/>
      </c>
      <c r="O422">
        <f>IF($B422="","",IF(M422="","",IF(M422&lt;=L422,"On Time","Delayed")))</f>
        <v/>
      </c>
    </row>
    <row r="423">
      <c r="A423">
        <f>IF($B423="","",ROW()-5)</f>
        <v/>
      </c>
      <c r="D423">
        <f>IF($B423="","",IF(C423="","",TEXT(C423,"MMM")))</f>
        <v/>
      </c>
      <c r="O423">
        <f>IF($B423="","",IF(M423="","",IF(M423&lt;=L423,"On Time","Delayed")))</f>
        <v/>
      </c>
    </row>
    <row r="424">
      <c r="A424">
        <f>IF($B424="","",ROW()-5)</f>
        <v/>
      </c>
      <c r="D424">
        <f>IF($B424="","",IF(C424="","",TEXT(C424,"MMM")))</f>
        <v/>
      </c>
      <c r="O424">
        <f>IF($B424="","",IF(M424="","",IF(M424&lt;=L424,"On Time","Delayed")))</f>
        <v/>
      </c>
    </row>
    <row r="425">
      <c r="A425">
        <f>IF($B425="","",ROW()-5)</f>
        <v/>
      </c>
      <c r="D425">
        <f>IF($B425="","",IF(C425="","",TEXT(C425,"MMM")))</f>
        <v/>
      </c>
      <c r="O425">
        <f>IF($B425="","",IF(M425="","",IF(M425&lt;=L425,"On Time","Delayed")))</f>
        <v/>
      </c>
    </row>
    <row r="426">
      <c r="A426">
        <f>IF($B426="","",ROW()-5)</f>
        <v/>
      </c>
      <c r="D426">
        <f>IF($B426="","",IF(C426="","",TEXT(C426,"MMM")))</f>
        <v/>
      </c>
      <c r="O426">
        <f>IF($B426="","",IF(M426="","",IF(M426&lt;=L426,"On Time","Delayed")))</f>
        <v/>
      </c>
    </row>
    <row r="427">
      <c r="A427">
        <f>IF($B427="","",ROW()-5)</f>
        <v/>
      </c>
      <c r="D427">
        <f>IF($B427="","",IF(C427="","",TEXT(C427,"MMM")))</f>
        <v/>
      </c>
      <c r="O427">
        <f>IF($B427="","",IF(M427="","",IF(M427&lt;=L427,"On Time","Delayed")))</f>
        <v/>
      </c>
    </row>
    <row r="428">
      <c r="A428">
        <f>IF($B428="","",ROW()-5)</f>
        <v/>
      </c>
      <c r="D428">
        <f>IF($B428="","",IF(C428="","",TEXT(C428,"MMM")))</f>
        <v/>
      </c>
      <c r="O428">
        <f>IF($B428="","",IF(M428="","",IF(M428&lt;=L428,"On Time","Delayed")))</f>
        <v/>
      </c>
    </row>
    <row r="429">
      <c r="A429">
        <f>IF($B429="","",ROW()-5)</f>
        <v/>
      </c>
      <c r="D429">
        <f>IF($B429="","",IF(C429="","",TEXT(C429,"MMM")))</f>
        <v/>
      </c>
      <c r="O429">
        <f>IF($B429="","",IF(M429="","",IF(M429&lt;=L429,"On Time","Delayed")))</f>
        <v/>
      </c>
    </row>
    <row r="430">
      <c r="A430">
        <f>IF($B430="","",ROW()-5)</f>
        <v/>
      </c>
      <c r="D430">
        <f>IF($B430="","",IF(C430="","",TEXT(C430,"MMM")))</f>
        <v/>
      </c>
      <c r="O430">
        <f>IF($B430="","",IF(M430="","",IF(M430&lt;=L430,"On Time","Delayed")))</f>
        <v/>
      </c>
    </row>
    <row r="431">
      <c r="A431">
        <f>IF($B431="","",ROW()-5)</f>
        <v/>
      </c>
      <c r="D431">
        <f>IF($B431="","",IF(C431="","",TEXT(C431,"MMM")))</f>
        <v/>
      </c>
      <c r="O431">
        <f>IF($B431="","",IF(M431="","",IF(M431&lt;=L431,"On Time","Delayed")))</f>
        <v/>
      </c>
    </row>
    <row r="432">
      <c r="A432">
        <f>IF($B432="","",ROW()-5)</f>
        <v/>
      </c>
      <c r="D432">
        <f>IF($B432="","",IF(C432="","",TEXT(C432,"MMM")))</f>
        <v/>
      </c>
      <c r="O432">
        <f>IF($B432="","",IF(M432="","",IF(M432&lt;=L432,"On Time","Delayed")))</f>
        <v/>
      </c>
    </row>
    <row r="433">
      <c r="A433">
        <f>IF($B433="","",ROW()-5)</f>
        <v/>
      </c>
      <c r="D433">
        <f>IF($B433="","",IF(C433="","",TEXT(C433,"MMM")))</f>
        <v/>
      </c>
      <c r="O433">
        <f>IF($B433="","",IF(M433="","",IF(M433&lt;=L433,"On Time","Delayed")))</f>
        <v/>
      </c>
    </row>
    <row r="434">
      <c r="A434">
        <f>IF($B434="","",ROW()-5)</f>
        <v/>
      </c>
      <c r="D434">
        <f>IF($B434="","",IF(C434="","",TEXT(C434,"MMM")))</f>
        <v/>
      </c>
      <c r="O434">
        <f>IF($B434="","",IF(M434="","",IF(M434&lt;=L434,"On Time","Delayed")))</f>
        <v/>
      </c>
    </row>
    <row r="435">
      <c r="A435">
        <f>IF($B435="","",ROW()-5)</f>
        <v/>
      </c>
      <c r="D435">
        <f>IF($B435="","",IF(C435="","",TEXT(C435,"MMM")))</f>
        <v/>
      </c>
      <c r="O435">
        <f>IF($B435="","",IF(M435="","",IF(M435&lt;=L435,"On Time","Delayed")))</f>
        <v/>
      </c>
    </row>
    <row r="436">
      <c r="A436">
        <f>IF($B436="","",ROW()-5)</f>
        <v/>
      </c>
      <c r="D436">
        <f>IF($B436="","",IF(C436="","",TEXT(C436,"MMM")))</f>
        <v/>
      </c>
      <c r="O436">
        <f>IF($B436="","",IF(M436="","",IF(M436&lt;=L436,"On Time","Delayed")))</f>
        <v/>
      </c>
    </row>
    <row r="437">
      <c r="A437">
        <f>IF($B437="","",ROW()-5)</f>
        <v/>
      </c>
      <c r="D437">
        <f>IF($B437="","",IF(C437="","",TEXT(C437,"MMM")))</f>
        <v/>
      </c>
      <c r="O437">
        <f>IF($B437="","",IF(M437="","",IF(M437&lt;=L437,"On Time","Delayed")))</f>
        <v/>
      </c>
    </row>
    <row r="438">
      <c r="A438">
        <f>IF($B438="","",ROW()-5)</f>
        <v/>
      </c>
      <c r="D438">
        <f>IF($B438="","",IF(C438="","",TEXT(C438,"MMM")))</f>
        <v/>
      </c>
      <c r="O438">
        <f>IF($B438="","",IF(M438="","",IF(M438&lt;=L438,"On Time","Delayed")))</f>
        <v/>
      </c>
    </row>
    <row r="439">
      <c r="A439">
        <f>IF($B439="","",ROW()-5)</f>
        <v/>
      </c>
      <c r="D439">
        <f>IF($B439="","",IF(C439="","",TEXT(C439,"MMM")))</f>
        <v/>
      </c>
      <c r="O439">
        <f>IF($B439="","",IF(M439="","",IF(M439&lt;=L439,"On Time","Delayed")))</f>
        <v/>
      </c>
    </row>
    <row r="440">
      <c r="A440">
        <f>IF($B440="","",ROW()-5)</f>
        <v/>
      </c>
      <c r="D440">
        <f>IF($B440="","",IF(C440="","",TEXT(C440,"MMM")))</f>
        <v/>
      </c>
      <c r="O440">
        <f>IF($B440="","",IF(M440="","",IF(M440&lt;=L440,"On Time","Delayed")))</f>
        <v/>
      </c>
    </row>
    <row r="441">
      <c r="A441">
        <f>IF($B441="","",ROW()-5)</f>
        <v/>
      </c>
      <c r="D441">
        <f>IF($B441="","",IF(C441="","",TEXT(C441,"MMM")))</f>
        <v/>
      </c>
      <c r="O441">
        <f>IF($B441="","",IF(M441="","",IF(M441&lt;=L441,"On Time","Delayed")))</f>
        <v/>
      </c>
    </row>
    <row r="442">
      <c r="A442">
        <f>IF($B442="","",ROW()-5)</f>
        <v/>
      </c>
      <c r="D442">
        <f>IF($B442="","",IF(C442="","",TEXT(C442,"MMM")))</f>
        <v/>
      </c>
      <c r="O442">
        <f>IF($B442="","",IF(M442="","",IF(M442&lt;=L442,"On Time","Delayed")))</f>
        <v/>
      </c>
    </row>
    <row r="443">
      <c r="A443">
        <f>IF($B443="","",ROW()-5)</f>
        <v/>
      </c>
      <c r="D443">
        <f>IF($B443="","",IF(C443="","",TEXT(C443,"MMM")))</f>
        <v/>
      </c>
      <c r="O443">
        <f>IF($B443="","",IF(M443="","",IF(M443&lt;=L443,"On Time","Delayed")))</f>
        <v/>
      </c>
    </row>
    <row r="444">
      <c r="A444">
        <f>IF($B444="","",ROW()-5)</f>
        <v/>
      </c>
      <c r="D444">
        <f>IF($B444="","",IF(C444="","",TEXT(C444,"MMM")))</f>
        <v/>
      </c>
      <c r="O444">
        <f>IF($B444="","",IF(M444="","",IF(M444&lt;=L444,"On Time","Delayed")))</f>
        <v/>
      </c>
    </row>
    <row r="445">
      <c r="A445">
        <f>IF($B445="","",ROW()-5)</f>
        <v/>
      </c>
      <c r="D445">
        <f>IF($B445="","",IF(C445="","",TEXT(C445,"MMM")))</f>
        <v/>
      </c>
      <c r="O445">
        <f>IF($B445="","",IF(M445="","",IF(M445&lt;=L445,"On Time","Delayed")))</f>
        <v/>
      </c>
    </row>
    <row r="446">
      <c r="A446">
        <f>IF($B446="","",ROW()-5)</f>
        <v/>
      </c>
      <c r="D446">
        <f>IF($B446="","",IF(C446="","",TEXT(C446,"MMM")))</f>
        <v/>
      </c>
      <c r="O446">
        <f>IF($B446="","",IF(M446="","",IF(M446&lt;=L446,"On Time","Delayed")))</f>
        <v/>
      </c>
    </row>
    <row r="447">
      <c r="A447">
        <f>IF($B447="","",ROW()-5)</f>
        <v/>
      </c>
      <c r="D447">
        <f>IF($B447="","",IF(C447="","",TEXT(C447,"MMM")))</f>
        <v/>
      </c>
      <c r="O447">
        <f>IF($B447="","",IF(M447="","",IF(M447&lt;=L447,"On Time","Delayed")))</f>
        <v/>
      </c>
    </row>
    <row r="448">
      <c r="A448">
        <f>IF($B448="","",ROW()-5)</f>
        <v/>
      </c>
      <c r="D448">
        <f>IF($B448="","",IF(C448="","",TEXT(C448,"MMM")))</f>
        <v/>
      </c>
      <c r="O448">
        <f>IF($B448="","",IF(M448="","",IF(M448&lt;=L448,"On Time","Delayed")))</f>
        <v/>
      </c>
    </row>
    <row r="449">
      <c r="A449">
        <f>IF($B449="","",ROW()-5)</f>
        <v/>
      </c>
      <c r="D449">
        <f>IF($B449="","",IF(C449="","",TEXT(C449,"MMM")))</f>
        <v/>
      </c>
      <c r="O449">
        <f>IF($B449="","",IF(M449="","",IF(M449&lt;=L449,"On Time","Delayed")))</f>
        <v/>
      </c>
    </row>
    <row r="450">
      <c r="A450">
        <f>IF($B450="","",ROW()-5)</f>
        <v/>
      </c>
      <c r="D450">
        <f>IF($B450="","",IF(C450="","",TEXT(C450,"MMM")))</f>
        <v/>
      </c>
      <c r="O450">
        <f>IF($B450="","",IF(M450="","",IF(M450&lt;=L450,"On Time","Delayed")))</f>
        <v/>
      </c>
    </row>
    <row r="451">
      <c r="A451">
        <f>IF($B451="","",ROW()-5)</f>
        <v/>
      </c>
      <c r="D451">
        <f>IF($B451="","",IF(C451="","",TEXT(C451,"MMM")))</f>
        <v/>
      </c>
      <c r="O451">
        <f>IF($B451="","",IF(M451="","",IF(M451&lt;=L451,"On Time","Delayed")))</f>
        <v/>
      </c>
    </row>
    <row r="452">
      <c r="A452">
        <f>IF($B452="","",ROW()-5)</f>
        <v/>
      </c>
      <c r="D452">
        <f>IF($B452="","",IF(C452="","",TEXT(C452,"MMM")))</f>
        <v/>
      </c>
      <c r="O452">
        <f>IF($B452="","",IF(M452="","",IF(M452&lt;=L452,"On Time","Delayed")))</f>
        <v/>
      </c>
    </row>
    <row r="453">
      <c r="A453">
        <f>IF($B453="","",ROW()-5)</f>
        <v/>
      </c>
      <c r="D453">
        <f>IF($B453="","",IF(C453="","",TEXT(C453,"MMM")))</f>
        <v/>
      </c>
      <c r="O453">
        <f>IF($B453="","",IF(M453="","",IF(M453&lt;=L453,"On Time","Delayed")))</f>
        <v/>
      </c>
    </row>
    <row r="454">
      <c r="A454">
        <f>IF($B454="","",ROW()-5)</f>
        <v/>
      </c>
      <c r="D454">
        <f>IF($B454="","",IF(C454="","",TEXT(C454,"MMM")))</f>
        <v/>
      </c>
      <c r="O454">
        <f>IF($B454="","",IF(M454="","",IF(M454&lt;=L454,"On Time","Delayed")))</f>
        <v/>
      </c>
    </row>
    <row r="455">
      <c r="A455">
        <f>IF($B455="","",ROW()-5)</f>
        <v/>
      </c>
      <c r="D455">
        <f>IF($B455="","",IF(C455="","",TEXT(C455,"MMM")))</f>
        <v/>
      </c>
      <c r="O455">
        <f>IF($B455="","",IF(M455="","",IF(M455&lt;=L455,"On Time","Delayed")))</f>
        <v/>
      </c>
    </row>
    <row r="456">
      <c r="A456">
        <f>IF($B456="","",ROW()-5)</f>
        <v/>
      </c>
      <c r="D456">
        <f>IF($B456="","",IF(C456="","",TEXT(C456,"MMM")))</f>
        <v/>
      </c>
      <c r="O456">
        <f>IF($B456="","",IF(M456="","",IF(M456&lt;=L456,"On Time","Delayed")))</f>
        <v/>
      </c>
    </row>
    <row r="457">
      <c r="A457">
        <f>IF($B457="","",ROW()-5)</f>
        <v/>
      </c>
      <c r="D457">
        <f>IF($B457="","",IF(C457="","",TEXT(C457,"MMM")))</f>
        <v/>
      </c>
      <c r="O457">
        <f>IF($B457="","",IF(M457="","",IF(M457&lt;=L457,"On Time","Delayed")))</f>
        <v/>
      </c>
    </row>
    <row r="458">
      <c r="A458">
        <f>IF($B458="","",ROW()-5)</f>
        <v/>
      </c>
      <c r="D458">
        <f>IF($B458="","",IF(C458="","",TEXT(C458,"MMM")))</f>
        <v/>
      </c>
      <c r="O458">
        <f>IF($B458="","",IF(M458="","",IF(M458&lt;=L458,"On Time","Delayed")))</f>
        <v/>
      </c>
    </row>
    <row r="459">
      <c r="A459">
        <f>IF($B459="","",ROW()-5)</f>
        <v/>
      </c>
      <c r="D459">
        <f>IF($B459="","",IF(C459="","",TEXT(C459,"MMM")))</f>
        <v/>
      </c>
      <c r="O459">
        <f>IF($B459="","",IF(M459="","",IF(M459&lt;=L459,"On Time","Delayed")))</f>
        <v/>
      </c>
    </row>
    <row r="460">
      <c r="A460">
        <f>IF($B460="","",ROW()-5)</f>
        <v/>
      </c>
      <c r="D460">
        <f>IF($B460="","",IF(C460="","",TEXT(C460,"MMM")))</f>
        <v/>
      </c>
      <c r="O460">
        <f>IF($B460="","",IF(M460="","",IF(M460&lt;=L460,"On Time","Delayed")))</f>
        <v/>
      </c>
    </row>
    <row r="461">
      <c r="A461">
        <f>IF($B461="","",ROW()-5)</f>
        <v/>
      </c>
      <c r="D461">
        <f>IF($B461="","",IF(C461="","",TEXT(C461,"MMM")))</f>
        <v/>
      </c>
      <c r="O461">
        <f>IF($B461="","",IF(M461="","",IF(M461&lt;=L461,"On Time","Delayed")))</f>
        <v/>
      </c>
    </row>
    <row r="462">
      <c r="A462">
        <f>IF($B462="","",ROW()-5)</f>
        <v/>
      </c>
      <c r="D462">
        <f>IF($B462="","",IF(C462="","",TEXT(C462,"MMM")))</f>
        <v/>
      </c>
      <c r="O462">
        <f>IF($B462="","",IF(M462="","",IF(M462&lt;=L462,"On Time","Delayed")))</f>
        <v/>
      </c>
    </row>
    <row r="463">
      <c r="A463">
        <f>IF($B463="","",ROW()-5)</f>
        <v/>
      </c>
      <c r="D463">
        <f>IF($B463="","",IF(C463="","",TEXT(C463,"MMM")))</f>
        <v/>
      </c>
      <c r="O463">
        <f>IF($B463="","",IF(M463="","",IF(M463&lt;=L463,"On Time","Delayed")))</f>
        <v/>
      </c>
    </row>
    <row r="464">
      <c r="A464">
        <f>IF($B464="","",ROW()-5)</f>
        <v/>
      </c>
      <c r="D464">
        <f>IF($B464="","",IF(C464="","",TEXT(C464,"MMM")))</f>
        <v/>
      </c>
      <c r="O464">
        <f>IF($B464="","",IF(M464="","",IF(M464&lt;=L464,"On Time","Delayed")))</f>
        <v/>
      </c>
    </row>
    <row r="465">
      <c r="A465">
        <f>IF($B465="","",ROW()-5)</f>
        <v/>
      </c>
      <c r="D465">
        <f>IF($B465="","",IF(C465="","",TEXT(C465,"MMM")))</f>
        <v/>
      </c>
      <c r="O465">
        <f>IF($B465="","",IF(M465="","",IF(M465&lt;=L465,"On Time","Delayed")))</f>
        <v/>
      </c>
    </row>
    <row r="466">
      <c r="A466">
        <f>IF($B466="","",ROW()-5)</f>
        <v/>
      </c>
      <c r="D466">
        <f>IF($B466="","",IF(C466="","",TEXT(C466,"MMM")))</f>
        <v/>
      </c>
      <c r="O466">
        <f>IF($B466="","",IF(M466="","",IF(M466&lt;=L466,"On Time","Delayed")))</f>
        <v/>
      </c>
    </row>
    <row r="467">
      <c r="A467">
        <f>IF($B467="","",ROW()-5)</f>
        <v/>
      </c>
      <c r="D467">
        <f>IF($B467="","",IF(C467="","",TEXT(C467,"MMM")))</f>
        <v/>
      </c>
      <c r="O467">
        <f>IF($B467="","",IF(M467="","",IF(M467&lt;=L467,"On Time","Delayed")))</f>
        <v/>
      </c>
    </row>
    <row r="468">
      <c r="A468">
        <f>IF($B468="","",ROW()-5)</f>
        <v/>
      </c>
      <c r="D468">
        <f>IF($B468="","",IF(C468="","",TEXT(C468,"MMM")))</f>
        <v/>
      </c>
      <c r="O468">
        <f>IF($B468="","",IF(M468="","",IF(M468&lt;=L468,"On Time","Delayed")))</f>
        <v/>
      </c>
    </row>
    <row r="469">
      <c r="A469">
        <f>IF($B469="","",ROW()-5)</f>
        <v/>
      </c>
      <c r="D469">
        <f>IF($B469="","",IF(C469="","",TEXT(C469,"MMM")))</f>
        <v/>
      </c>
      <c r="O469">
        <f>IF($B469="","",IF(M469="","",IF(M469&lt;=L469,"On Time","Delayed")))</f>
        <v/>
      </c>
    </row>
    <row r="470">
      <c r="A470">
        <f>IF($B470="","",ROW()-5)</f>
        <v/>
      </c>
      <c r="D470">
        <f>IF($B470="","",IF(C470="","",TEXT(C470,"MMM")))</f>
        <v/>
      </c>
      <c r="O470">
        <f>IF($B470="","",IF(M470="","",IF(M470&lt;=L470,"On Time","Delayed")))</f>
        <v/>
      </c>
    </row>
    <row r="471">
      <c r="A471">
        <f>IF($B471="","",ROW()-5)</f>
        <v/>
      </c>
      <c r="D471">
        <f>IF($B471="","",IF(C471="","",TEXT(C471,"MMM")))</f>
        <v/>
      </c>
      <c r="O471">
        <f>IF($B471="","",IF(M471="","",IF(M471&lt;=L471,"On Time","Delayed")))</f>
        <v/>
      </c>
    </row>
    <row r="472">
      <c r="A472">
        <f>IF($B472="","",ROW()-5)</f>
        <v/>
      </c>
      <c r="D472">
        <f>IF($B472="","",IF(C472="","",TEXT(C472,"MMM")))</f>
        <v/>
      </c>
      <c r="O472">
        <f>IF($B472="","",IF(M472="","",IF(M472&lt;=L472,"On Time","Delayed")))</f>
        <v/>
      </c>
    </row>
    <row r="473">
      <c r="A473">
        <f>IF($B473="","",ROW()-5)</f>
        <v/>
      </c>
      <c r="D473">
        <f>IF($B473="","",IF(C473="","",TEXT(C473,"MMM")))</f>
        <v/>
      </c>
      <c r="O473">
        <f>IF($B473="","",IF(M473="","",IF(M473&lt;=L473,"On Time","Delayed")))</f>
        <v/>
      </c>
    </row>
    <row r="474">
      <c r="A474">
        <f>IF($B474="","",ROW()-5)</f>
        <v/>
      </c>
      <c r="D474">
        <f>IF($B474="","",IF(C474="","",TEXT(C474,"MMM")))</f>
        <v/>
      </c>
      <c r="O474">
        <f>IF($B474="","",IF(M474="","",IF(M474&lt;=L474,"On Time","Delayed")))</f>
        <v/>
      </c>
    </row>
    <row r="475">
      <c r="A475">
        <f>IF($B475="","",ROW()-5)</f>
        <v/>
      </c>
      <c r="D475">
        <f>IF($B475="","",IF(C475="","",TEXT(C475,"MMM")))</f>
        <v/>
      </c>
      <c r="O475">
        <f>IF($B475="","",IF(M475="","",IF(M475&lt;=L475,"On Time","Delayed")))</f>
        <v/>
      </c>
    </row>
    <row r="476">
      <c r="A476">
        <f>IF($B476="","",ROW()-5)</f>
        <v/>
      </c>
      <c r="D476">
        <f>IF($B476="","",IF(C476="","",TEXT(C476,"MMM")))</f>
        <v/>
      </c>
      <c r="O476">
        <f>IF($B476="","",IF(M476="","",IF(M476&lt;=L476,"On Time","Delayed")))</f>
        <v/>
      </c>
    </row>
    <row r="477">
      <c r="A477">
        <f>IF($B477="","",ROW()-5)</f>
        <v/>
      </c>
      <c r="D477">
        <f>IF($B477="","",IF(C477="","",TEXT(C477,"MMM")))</f>
        <v/>
      </c>
      <c r="O477">
        <f>IF($B477="","",IF(M477="","",IF(M477&lt;=L477,"On Time","Delayed")))</f>
        <v/>
      </c>
    </row>
    <row r="478">
      <c r="A478">
        <f>IF($B478="","",ROW()-5)</f>
        <v/>
      </c>
      <c r="D478">
        <f>IF($B478="","",IF(C478="","",TEXT(C478,"MMM")))</f>
        <v/>
      </c>
      <c r="O478">
        <f>IF($B478="","",IF(M478="","",IF(M478&lt;=L478,"On Time","Delayed")))</f>
        <v/>
      </c>
    </row>
    <row r="479">
      <c r="A479">
        <f>IF($B479="","",ROW()-5)</f>
        <v/>
      </c>
      <c r="D479">
        <f>IF($B479="","",IF(C479="","",TEXT(C479,"MMM")))</f>
        <v/>
      </c>
      <c r="O479">
        <f>IF($B479="","",IF(M479="","",IF(M479&lt;=L479,"On Time","Delayed")))</f>
        <v/>
      </c>
    </row>
    <row r="480">
      <c r="A480">
        <f>IF($B480="","",ROW()-5)</f>
        <v/>
      </c>
      <c r="D480">
        <f>IF($B480="","",IF(C480="","",TEXT(C480,"MMM")))</f>
        <v/>
      </c>
      <c r="O480">
        <f>IF($B480="","",IF(M480="","",IF(M480&lt;=L480,"On Time","Delayed")))</f>
        <v/>
      </c>
    </row>
    <row r="481">
      <c r="A481">
        <f>IF($B481="","",ROW()-5)</f>
        <v/>
      </c>
      <c r="D481">
        <f>IF($B481="","",IF(C481="","",TEXT(C481,"MMM")))</f>
        <v/>
      </c>
      <c r="O481">
        <f>IF($B481="","",IF(M481="","",IF(M481&lt;=L481,"On Time","Delayed")))</f>
        <v/>
      </c>
    </row>
    <row r="482">
      <c r="A482">
        <f>IF($B482="","",ROW()-5)</f>
        <v/>
      </c>
      <c r="D482">
        <f>IF($B482="","",IF(C482="","",TEXT(C482,"MMM")))</f>
        <v/>
      </c>
      <c r="O482">
        <f>IF($B482="","",IF(M482="","",IF(M482&lt;=L482,"On Time","Delayed")))</f>
        <v/>
      </c>
    </row>
    <row r="483">
      <c r="A483">
        <f>IF($B483="","",ROW()-5)</f>
        <v/>
      </c>
      <c r="D483">
        <f>IF($B483="","",IF(C483="","",TEXT(C483,"MMM")))</f>
        <v/>
      </c>
      <c r="O483">
        <f>IF($B483="","",IF(M483="","",IF(M483&lt;=L483,"On Time","Delayed")))</f>
        <v/>
      </c>
    </row>
    <row r="484">
      <c r="A484">
        <f>IF($B484="","",ROW()-5)</f>
        <v/>
      </c>
      <c r="D484">
        <f>IF($B484="","",IF(C484="","",TEXT(C484,"MMM")))</f>
        <v/>
      </c>
      <c r="O484">
        <f>IF($B484="","",IF(M484="","",IF(M484&lt;=L484,"On Time","Delayed")))</f>
        <v/>
      </c>
    </row>
    <row r="485">
      <c r="A485">
        <f>IF($B485="","",ROW()-5)</f>
        <v/>
      </c>
      <c r="D485">
        <f>IF($B485="","",IF(C485="","",TEXT(C485,"MMM")))</f>
        <v/>
      </c>
      <c r="O485">
        <f>IF($B485="","",IF(M485="","",IF(M485&lt;=L485,"On Time","Delayed")))</f>
        <v/>
      </c>
    </row>
    <row r="486">
      <c r="A486">
        <f>IF($B486="","",ROW()-5)</f>
        <v/>
      </c>
      <c r="D486">
        <f>IF($B486="","",IF(C486="","",TEXT(C486,"MMM")))</f>
        <v/>
      </c>
      <c r="O486">
        <f>IF($B486="","",IF(M486="","",IF(M486&lt;=L486,"On Time","Delayed")))</f>
        <v/>
      </c>
    </row>
    <row r="487">
      <c r="A487">
        <f>IF($B487="","",ROW()-5)</f>
        <v/>
      </c>
      <c r="D487">
        <f>IF($B487="","",IF(C487="","",TEXT(C487,"MMM")))</f>
        <v/>
      </c>
      <c r="O487">
        <f>IF($B487="","",IF(M487="","",IF(M487&lt;=L487,"On Time","Delayed")))</f>
        <v/>
      </c>
    </row>
    <row r="488">
      <c r="A488">
        <f>IF($B488="","",ROW()-5)</f>
        <v/>
      </c>
      <c r="D488">
        <f>IF($B488="","",IF(C488="","",TEXT(C488,"MMM")))</f>
        <v/>
      </c>
      <c r="O488">
        <f>IF($B488="","",IF(M488="","",IF(M488&lt;=L488,"On Time","Delayed")))</f>
        <v/>
      </c>
    </row>
    <row r="489">
      <c r="A489">
        <f>IF($B489="","",ROW()-5)</f>
        <v/>
      </c>
      <c r="D489">
        <f>IF($B489="","",IF(C489="","",TEXT(C489,"MMM")))</f>
        <v/>
      </c>
      <c r="O489">
        <f>IF($B489="","",IF(M489="","",IF(M489&lt;=L489,"On Time","Delayed")))</f>
        <v/>
      </c>
    </row>
    <row r="490">
      <c r="A490">
        <f>IF($B490="","",ROW()-5)</f>
        <v/>
      </c>
      <c r="D490">
        <f>IF($B490="","",IF(C490="","",TEXT(C490,"MMM")))</f>
        <v/>
      </c>
      <c r="O490">
        <f>IF($B490="","",IF(M490="","",IF(M490&lt;=L490,"On Time","Delayed")))</f>
        <v/>
      </c>
    </row>
    <row r="491">
      <c r="A491">
        <f>IF($B491="","",ROW()-5)</f>
        <v/>
      </c>
      <c r="D491">
        <f>IF($B491="","",IF(C491="","",TEXT(C491,"MMM")))</f>
        <v/>
      </c>
      <c r="O491">
        <f>IF($B491="","",IF(M491="","",IF(M491&lt;=L491,"On Time","Delayed")))</f>
        <v/>
      </c>
    </row>
    <row r="492">
      <c r="A492">
        <f>IF($B492="","",ROW()-5)</f>
        <v/>
      </c>
      <c r="D492">
        <f>IF($B492="","",IF(C492="","",TEXT(C492,"MMM")))</f>
        <v/>
      </c>
      <c r="O492">
        <f>IF($B492="","",IF(M492="","",IF(M492&lt;=L492,"On Time","Delayed")))</f>
        <v/>
      </c>
    </row>
    <row r="493">
      <c r="A493">
        <f>IF($B493="","",ROW()-5)</f>
        <v/>
      </c>
      <c r="D493">
        <f>IF($B493="","",IF(C493="","",TEXT(C493,"MMM")))</f>
        <v/>
      </c>
      <c r="O493">
        <f>IF($B493="","",IF(M493="","",IF(M493&lt;=L493,"On Time","Delayed")))</f>
        <v/>
      </c>
    </row>
    <row r="494">
      <c r="A494">
        <f>IF($B494="","",ROW()-5)</f>
        <v/>
      </c>
      <c r="D494">
        <f>IF($B494="","",IF(C494="","",TEXT(C494,"MMM")))</f>
        <v/>
      </c>
      <c r="O494">
        <f>IF($B494="","",IF(M494="","",IF(M494&lt;=L494,"On Time","Delayed")))</f>
        <v/>
      </c>
    </row>
    <row r="495">
      <c r="A495">
        <f>IF($B495="","",ROW()-5)</f>
        <v/>
      </c>
      <c r="D495">
        <f>IF($B495="","",IF(C495="","",TEXT(C495,"MMM")))</f>
        <v/>
      </c>
      <c r="O495">
        <f>IF($B495="","",IF(M495="","",IF(M495&lt;=L495,"On Time","Delayed")))</f>
        <v/>
      </c>
    </row>
    <row r="496">
      <c r="A496">
        <f>IF($B496="","",ROW()-5)</f>
        <v/>
      </c>
      <c r="D496">
        <f>IF($B496="","",IF(C496="","",TEXT(C496,"MMM")))</f>
        <v/>
      </c>
      <c r="O496">
        <f>IF($B496="","",IF(M496="","",IF(M496&lt;=L496,"On Time","Delayed")))</f>
        <v/>
      </c>
    </row>
    <row r="497">
      <c r="A497">
        <f>IF($B497="","",ROW()-5)</f>
        <v/>
      </c>
      <c r="D497">
        <f>IF($B497="","",IF(C497="","",TEXT(C497,"MMM")))</f>
        <v/>
      </c>
      <c r="O497">
        <f>IF($B497="","",IF(M497="","",IF(M497&lt;=L497,"On Time","Delayed")))</f>
        <v/>
      </c>
    </row>
    <row r="498">
      <c r="A498">
        <f>IF($B498="","",ROW()-5)</f>
        <v/>
      </c>
      <c r="D498">
        <f>IF($B498="","",IF(C498="","",TEXT(C498,"MMM")))</f>
        <v/>
      </c>
      <c r="O498">
        <f>IF($B498="","",IF(M498="","",IF(M498&lt;=L498,"On Time","Delayed")))</f>
        <v/>
      </c>
    </row>
    <row r="499">
      <c r="A499">
        <f>IF($B499="","",ROW()-5)</f>
        <v/>
      </c>
      <c r="D499">
        <f>IF($B499="","",IF(C499="","",TEXT(C499,"MMM")))</f>
        <v/>
      </c>
      <c r="O499">
        <f>IF($B499="","",IF(M499="","",IF(M499&lt;=L499,"On Time","Delayed")))</f>
        <v/>
      </c>
    </row>
    <row r="500">
      <c r="A500">
        <f>IF($B500="","",ROW()-5)</f>
        <v/>
      </c>
      <c r="D500">
        <f>IF($B500="","",IF(C500="","",TEXT(C500,"MMM")))</f>
        <v/>
      </c>
      <c r="O500">
        <f>IF($B500="","",IF(M500="","",IF(M500&lt;=L500,"On Time","Delayed")))</f>
        <v/>
      </c>
    </row>
    <row r="501">
      <c r="A501">
        <f>IF($B501="","",ROW()-5)</f>
        <v/>
      </c>
      <c r="D501">
        <f>IF($B501="","",IF(C501="","",TEXT(C501,"MMM")))</f>
        <v/>
      </c>
      <c r="O501">
        <f>IF($B501="","",IF(M501="","",IF(M501&lt;=L501,"On Time","Delayed")))</f>
        <v/>
      </c>
    </row>
    <row r="502">
      <c r="A502">
        <f>IF($B502="","",ROW()-5)</f>
        <v/>
      </c>
      <c r="D502">
        <f>IF($B502="","",IF(C502="","",TEXT(C502,"MMM")))</f>
        <v/>
      </c>
      <c r="O502">
        <f>IF($B502="","",IF(M502="","",IF(M502&lt;=L502,"On Time","Delayed")))</f>
        <v/>
      </c>
    </row>
    <row r="503">
      <c r="A503">
        <f>IF($B503="","",ROW()-5)</f>
        <v/>
      </c>
      <c r="D503">
        <f>IF($B503="","",IF(C503="","",TEXT(C503,"MMM")))</f>
        <v/>
      </c>
      <c r="O503">
        <f>IF($B503="","",IF(M503="","",IF(M503&lt;=L503,"On Time","Delayed")))</f>
        <v/>
      </c>
    </row>
    <row r="504">
      <c r="A504">
        <f>IF($B504="","",ROW()-5)</f>
        <v/>
      </c>
      <c r="D504">
        <f>IF($B504="","",IF(C504="","",TEXT(C504,"MMM")))</f>
        <v/>
      </c>
      <c r="O504">
        <f>IF($B504="","",IF(M504="","",IF(M504&lt;=L504,"On Time","Delayed")))</f>
        <v/>
      </c>
    </row>
    <row r="505">
      <c r="A505">
        <f>IF($B505="","",ROW()-5)</f>
        <v/>
      </c>
      <c r="D505">
        <f>IF($B505="","",IF(C505="","",TEXT(C505,"MMM")))</f>
        <v/>
      </c>
      <c r="O505">
        <f>IF($B505="","",IF(M505="","",IF(M505&lt;=L505,"On Time","Delayed")))</f>
        <v/>
      </c>
    </row>
    <row r="506">
      <c r="A506">
        <f>IF($B506="","",ROW()-5)</f>
        <v/>
      </c>
      <c r="D506">
        <f>IF($B506="","",IF(C506="","",TEXT(C506,"MMM")))</f>
        <v/>
      </c>
      <c r="O506">
        <f>IF($B506="","",IF(M506="","",IF(M506&lt;=L506,"On Time","Delayed")))</f>
        <v/>
      </c>
    </row>
  </sheetData>
  <autoFilter ref="A4:O25"/>
  <mergeCells count="7">
    <mergeCell ref="F3:G3"/>
    <mergeCell ref="L3:M3"/>
    <mergeCell ref="J3:K3"/>
    <mergeCell ref="N3:O3"/>
    <mergeCell ref="A2:O2"/>
    <mergeCell ref="A3:D3"/>
    <mergeCell ref="A1:O1"/>
  </mergeCells>
  <conditionalFormatting sqref="I6:I25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N6:N25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5">
    <dataValidation sqref="E6:E506" showDropDown="0" showInputMessage="0" showErrorMessage="0" allowBlank="1" type="list">
      <formula1>L_Source</formula1>
      <formula2>0</formula2>
    </dataValidation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I6:I506" showDropDown="0" showInputMessage="0" showErrorMessage="0" allowBlank="1" type="list">
      <formula1>L_Risk_Level</formula1>
      <formula2>0</formula2>
    </dataValidation>
    <dataValidation sqref="N6:N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tabColor rgb="FFB71C1C"/>
    <outlinePr summaryBelow="1" summaryRight="1"/>
    <pageSetUpPr/>
  </sheetPr>
  <dimension ref="A1:N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16" customWidth="1" style="15" min="5" max="5"/>
    <col width="10" customWidth="1" style="15" min="6" max="6"/>
    <col width="14" customWidth="1" style="15" min="7" max="7"/>
    <col width="24" customWidth="1" style="15" min="8" max="8"/>
    <col width="16" customWidth="1" style="15" min="9" max="10"/>
    <col width="12" customWidth="1" style="15" min="11" max="13"/>
    <col width="20" customWidth="1" style="15" min="14" max="14"/>
  </cols>
  <sheetData>
    <row r="1" ht="42" customHeight="1" s="15">
      <c r="A1" s="202" t="inlineStr">
        <is>
          <t>📌  NON-CONFORMANCE MANAGEMENT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CLASSIFICATION</t>
        </is>
      </c>
      <c r="G3" s="39" t="inlineStr">
        <is>
          <t>ORGANIZATIONAL</t>
        </is>
      </c>
      <c r="H3" s="17" t="inlineStr">
        <is>
          <t>DETAILS</t>
        </is>
      </c>
      <c r="I3" s="40" t="inlineStr">
        <is>
          <t>PEOPLE</t>
        </is>
      </c>
      <c r="K3" s="18" t="inlineStr">
        <is>
          <t>TRACKING</t>
        </is>
      </c>
      <c r="M3" s="19" t="inlineStr">
        <is>
          <t>STATUS</t>
        </is>
      </c>
      <c r="N3" s="20" t="inlineStr">
        <is>
          <t>ANALYSIS</t>
        </is>
      </c>
    </row>
    <row r="4" ht="31.5" customHeight="1" s="15">
      <c r="A4" s="45" t="inlineStr">
        <is>
          <t>S.No</t>
        </is>
      </c>
      <c r="B4" s="45" t="inlineStr">
        <is>
          <t>NC No.</t>
        </is>
      </c>
      <c r="C4" s="45" t="inlineStr">
        <is>
          <t>Date Raised</t>
        </is>
      </c>
      <c r="D4" s="45" t="inlineStr">
        <is>
          <t>Month</t>
        </is>
      </c>
      <c r="E4" s="45" t="inlineStr">
        <is>
          <t>Source</t>
        </is>
      </c>
      <c r="F4" s="45" t="inlineStr">
        <is>
          <t>Severity</t>
        </is>
      </c>
      <c r="G4" s="45" t="inlineStr">
        <is>
          <t>Department</t>
        </is>
      </c>
      <c r="H4" s="45" t="inlineStr">
        <is>
          <t>NC Description</t>
        </is>
      </c>
      <c r="I4" s="45" t="inlineStr">
        <is>
          <t>Assigned To</t>
        </is>
      </c>
      <c r="J4" s="45" t="inlineStr">
        <is>
          <t>Approved By</t>
        </is>
      </c>
      <c r="K4" s="45" t="inlineStr">
        <is>
          <t>Target Close Date</t>
        </is>
      </c>
      <c r="L4" s="45" t="inlineStr">
        <is>
          <t>Actual Close Date</t>
        </is>
      </c>
      <c r="M4" s="45" t="inlineStr">
        <is>
          <t>Status</t>
        </is>
      </c>
      <c r="N4" s="45" t="inlineStr">
        <is>
          <t>Root Cause / CAPA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  <c r="N5" s="23" t="inlineStr">
        <is>
          <t>✏️ INPUT</t>
        </is>
      </c>
    </row>
    <row r="6" ht="15" customHeight="1" s="15">
      <c r="A6" s="24" t="n">
        <v>1</v>
      </c>
      <c r="B6" s="25" t="inlineStr">
        <is>
          <t>NC-001</t>
        </is>
      </c>
      <c r="C6" s="26" t="n">
        <v>46352</v>
      </c>
      <c r="D6" s="24">
        <f>IF(C6="","",TEXT(C6,"MMM"))</f>
        <v/>
      </c>
      <c r="E6" s="27" t="inlineStr">
        <is>
          <t>Customer Audit</t>
        </is>
      </c>
      <c r="F6" s="28" t="inlineStr">
        <is>
          <t>Major</t>
        </is>
      </c>
      <c r="G6" s="28" t="inlineStr">
        <is>
          <t>Projects</t>
        </is>
      </c>
      <c r="H6" s="27" t="inlineStr">
        <is>
          <t>Communication Gap</t>
        </is>
      </c>
      <c r="I6" s="27" t="inlineStr">
        <is>
          <t>Ahmed Khan</t>
        </is>
      </c>
      <c r="J6" s="27" t="inlineStr">
        <is>
          <t>David Chen</t>
        </is>
      </c>
      <c r="K6" s="26" t="n">
        <v>46443</v>
      </c>
      <c r="L6" s="26" t="n"/>
      <c r="M6" s="28" t="inlineStr">
        <is>
          <t>Under Review</t>
        </is>
      </c>
      <c r="N6" s="27" t="inlineStr">
        <is>
          <t>Equipment Replaced</t>
        </is>
      </c>
    </row>
    <row r="7" ht="15" customHeight="1" s="15">
      <c r="A7" s="31" t="n">
        <v>2</v>
      </c>
      <c r="B7" s="32" t="inlineStr">
        <is>
          <t>NC-002</t>
        </is>
      </c>
      <c r="C7" s="33" t="n">
        <v>46148</v>
      </c>
      <c r="D7" s="31">
        <f>IF(C7="","",TEXT(C7,"MMM"))</f>
        <v/>
      </c>
      <c r="E7" s="34" t="inlineStr">
        <is>
          <t>Internal Audit</t>
        </is>
      </c>
      <c r="F7" s="35" t="inlineStr">
        <is>
          <t>Minor</t>
        </is>
      </c>
      <c r="G7" s="35" t="inlineStr">
        <is>
          <t>Contractor</t>
        </is>
      </c>
      <c r="H7" s="34" t="inlineStr">
        <is>
          <t>Training Deficiency</t>
        </is>
      </c>
      <c r="I7" s="34" t="inlineStr">
        <is>
          <t>Ahmed Khan</t>
        </is>
      </c>
      <c r="J7" s="34" t="inlineStr">
        <is>
          <t>John Smith</t>
        </is>
      </c>
      <c r="K7" s="33" t="n">
        <v>46122</v>
      </c>
      <c r="L7" s="33" t="n">
        <v>46326</v>
      </c>
      <c r="M7" s="35" t="inlineStr">
        <is>
          <t>Closed</t>
        </is>
      </c>
      <c r="N7" s="34" t="inlineStr">
        <is>
          <t>Procedure Update</t>
        </is>
      </c>
    </row>
    <row r="8" ht="15" customHeight="1" s="15">
      <c r="A8" s="24" t="n">
        <v>3</v>
      </c>
      <c r="B8" s="25" t="inlineStr">
        <is>
          <t>NC-003</t>
        </is>
      </c>
      <c r="C8" s="26" t="n">
        <v>46334</v>
      </c>
      <c r="D8" s="24">
        <f>IF(C8="","",TEXT(C8,"MMM"))</f>
        <v/>
      </c>
      <c r="E8" s="27" t="inlineStr">
        <is>
          <t>PTW Audit</t>
        </is>
      </c>
      <c r="F8" s="28" t="inlineStr">
        <is>
          <t>Observation</t>
        </is>
      </c>
      <c r="G8" s="28" t="inlineStr">
        <is>
          <t>Operations</t>
        </is>
      </c>
      <c r="H8" s="27" t="inlineStr">
        <is>
          <t>Communication Gap</t>
        </is>
      </c>
      <c r="I8" s="27" t="inlineStr">
        <is>
          <t>Maria Garcia</t>
        </is>
      </c>
      <c r="J8" s="27" t="inlineStr">
        <is>
          <t>Lisa Park</t>
        </is>
      </c>
      <c r="K8" s="26" t="n">
        <v>46251</v>
      </c>
      <c r="L8" s="26" t="n"/>
      <c r="M8" s="28" t="inlineStr">
        <is>
          <t>Under Review</t>
        </is>
      </c>
      <c r="N8" s="27" t="inlineStr">
        <is>
          <t>Process Change</t>
        </is>
      </c>
    </row>
    <row r="9" ht="21.75" customHeight="1" s="15">
      <c r="A9" s="31" t="n">
        <v>4</v>
      </c>
      <c r="B9" s="32" t="inlineStr">
        <is>
          <t>NC-004</t>
        </is>
      </c>
      <c r="C9" s="33" t="n">
        <v>46045</v>
      </c>
      <c r="D9" s="31">
        <f>IF(C9="","",TEXT(C9,"MMM"))</f>
        <v/>
      </c>
      <c r="E9" s="34" t="inlineStr">
        <is>
          <t>Regulatory Inspection</t>
        </is>
      </c>
      <c r="F9" s="35" t="inlineStr">
        <is>
          <t>Minor</t>
        </is>
      </c>
      <c r="G9" s="35" t="inlineStr">
        <is>
          <t>Contractor</t>
        </is>
      </c>
      <c r="H9" s="34" t="inlineStr">
        <is>
          <t>PPE Non-Compliance</t>
        </is>
      </c>
      <c r="I9" s="34" t="inlineStr">
        <is>
          <t>Raj Patel</t>
        </is>
      </c>
      <c r="J9" s="34" t="inlineStr">
        <is>
          <t>Lisa Park</t>
        </is>
      </c>
      <c r="K9" s="33" t="n">
        <v>46216</v>
      </c>
      <c r="L9" s="33" t="n"/>
      <c r="M9" s="35" t="inlineStr">
        <is>
          <t>Closed</t>
        </is>
      </c>
      <c r="N9" s="34" t="inlineStr">
        <is>
          <t>Root Cause Analysis</t>
        </is>
      </c>
    </row>
    <row r="10" ht="15" customHeight="1" s="15">
      <c r="A10" s="24" t="n">
        <v>5</v>
      </c>
      <c r="B10" s="25" t="inlineStr">
        <is>
          <t>NC-005</t>
        </is>
      </c>
      <c r="C10" s="26" t="n">
        <v>46030</v>
      </c>
      <c r="D10" s="24">
        <f>IF(C10="","",TEXT(C10,"MMM"))</f>
        <v/>
      </c>
      <c r="E10" s="27" t="inlineStr">
        <is>
          <t>Customer Audit</t>
        </is>
      </c>
      <c r="F10" s="28" t="inlineStr">
        <is>
          <t>Major</t>
        </is>
      </c>
      <c r="G10" s="28" t="inlineStr">
        <is>
          <t>Operations</t>
        </is>
      </c>
      <c r="H10" s="27" t="inlineStr">
        <is>
          <t>PPE Non-Compliance</t>
        </is>
      </c>
      <c r="I10" s="27" t="inlineStr">
        <is>
          <t>Priya Sharma</t>
        </is>
      </c>
      <c r="J10" s="27" t="inlineStr">
        <is>
          <t>Ahmed Khan</t>
        </is>
      </c>
      <c r="K10" s="26" t="n">
        <v>46232</v>
      </c>
      <c r="L10" s="26" t="n"/>
      <c r="M10" s="28" t="inlineStr">
        <is>
          <t>Closed</t>
        </is>
      </c>
      <c r="N10" s="27" t="inlineStr">
        <is>
          <t>Root Cause Analysis</t>
        </is>
      </c>
    </row>
    <row r="11" ht="21.75" customHeight="1" s="15">
      <c r="A11" s="31" t="n">
        <v>6</v>
      </c>
      <c r="B11" s="32" t="inlineStr">
        <is>
          <t>NC-006</t>
        </is>
      </c>
      <c r="C11" s="33" t="n">
        <v>46100</v>
      </c>
      <c r="D11" s="31">
        <f>IF(C11="","",TEXT(C11,"MMM"))</f>
        <v/>
      </c>
      <c r="E11" s="34" t="inlineStr">
        <is>
          <t>Regulatory Inspection</t>
        </is>
      </c>
      <c r="F11" s="35" t="inlineStr">
        <is>
          <t>Major</t>
        </is>
      </c>
      <c r="G11" s="35" t="inlineStr">
        <is>
          <t>Maintenance</t>
        </is>
      </c>
      <c r="H11" s="34" t="inlineStr">
        <is>
          <t>Communication Gap</t>
        </is>
      </c>
      <c r="I11" s="34" t="inlineStr">
        <is>
          <t>Tom Brown</t>
        </is>
      </c>
      <c r="J11" s="34" t="inlineStr">
        <is>
          <t>Fatima Al-Said</t>
        </is>
      </c>
      <c r="K11" s="33" t="n">
        <v>46129</v>
      </c>
      <c r="L11" s="33" t="n"/>
      <c r="M11" s="35" t="inlineStr">
        <is>
          <t>Under Review</t>
        </is>
      </c>
      <c r="N11" s="34" t="inlineStr">
        <is>
          <t>Procedure Update</t>
        </is>
      </c>
    </row>
    <row r="12" ht="21.75" customHeight="1" s="15">
      <c r="A12" s="24" t="n">
        <v>7</v>
      </c>
      <c r="B12" s="25" t="inlineStr">
        <is>
          <t>NC-007</t>
        </is>
      </c>
      <c r="C12" s="26" t="n">
        <v>46105</v>
      </c>
      <c r="D12" s="24">
        <f>IF(C12="","",TEXT(C12,"MMM"))</f>
        <v/>
      </c>
      <c r="E12" s="27" t="inlineStr">
        <is>
          <t>Workplace Inspection</t>
        </is>
      </c>
      <c r="F12" s="28" t="inlineStr">
        <is>
          <t>Observation</t>
        </is>
      </c>
      <c r="G12" s="28" t="inlineStr">
        <is>
          <t>Admin</t>
        </is>
      </c>
      <c r="H12" s="27" t="inlineStr">
        <is>
          <t>Housekeeping</t>
        </is>
      </c>
      <c r="I12" s="27" t="inlineStr">
        <is>
          <t>Fatima Al-Said</t>
        </is>
      </c>
      <c r="J12" s="27" t="inlineStr">
        <is>
          <t>Raj Patel</t>
        </is>
      </c>
      <c r="K12" s="26" t="n">
        <v>46433</v>
      </c>
      <c r="L12" s="26" t="n"/>
      <c r="M12" s="28" t="inlineStr">
        <is>
          <t>Under Review</t>
        </is>
      </c>
      <c r="N12" s="27" t="inlineStr">
        <is>
          <t>Training Conducted</t>
        </is>
      </c>
    </row>
    <row r="13" ht="21.75" customHeight="1" s="15">
      <c r="A13" s="31" t="n">
        <v>8</v>
      </c>
      <c r="B13" s="32" t="inlineStr">
        <is>
          <t>NC-008</t>
        </is>
      </c>
      <c r="C13" s="33" t="n">
        <v>46087</v>
      </c>
      <c r="D13" s="31">
        <f>IF(C13="","",TEXT(C13,"MMM"))</f>
        <v/>
      </c>
      <c r="E13" s="34" t="inlineStr">
        <is>
          <t>Regulatory Inspection</t>
        </is>
      </c>
      <c r="F13" s="35" t="inlineStr">
        <is>
          <t>Major</t>
        </is>
      </c>
      <c r="G13" s="35" t="inlineStr">
        <is>
          <t>Contractor</t>
        </is>
      </c>
      <c r="H13" s="34" t="inlineStr">
        <is>
          <t>Documentation Gap</t>
        </is>
      </c>
      <c r="I13" s="34" t="inlineStr">
        <is>
          <t>Lisa Park</t>
        </is>
      </c>
      <c r="J13" s="34" t="inlineStr">
        <is>
          <t>Ahmed Khan</t>
        </is>
      </c>
      <c r="K13" s="33" t="n">
        <v>46155</v>
      </c>
      <c r="L13" s="33" t="n"/>
      <c r="M13" s="35" t="inlineStr">
        <is>
          <t>Open</t>
        </is>
      </c>
      <c r="N13" s="34" t="inlineStr">
        <is>
          <t>Training Conducted</t>
        </is>
      </c>
    </row>
    <row r="14" ht="15" customHeight="1" s="15">
      <c r="A14" s="24" t="n">
        <v>9</v>
      </c>
      <c r="B14" s="25" t="inlineStr">
        <is>
          <t>NC-009</t>
        </is>
      </c>
      <c r="C14" s="26" t="n">
        <v>46359</v>
      </c>
      <c r="D14" s="24">
        <f>IF(C14="","",TEXT(C14,"MMM"))</f>
        <v/>
      </c>
      <c r="E14" s="27" t="inlineStr">
        <is>
          <t>External Audit</t>
        </is>
      </c>
      <c r="F14" s="28" t="inlineStr">
        <is>
          <t>Minor</t>
        </is>
      </c>
      <c r="G14" s="28" t="inlineStr">
        <is>
          <t>Logistics</t>
        </is>
      </c>
      <c r="H14" s="27" t="inlineStr">
        <is>
          <t>Training Deficiency</t>
        </is>
      </c>
      <c r="I14" s="27" t="inlineStr">
        <is>
          <t>Sarah Wilson</t>
        </is>
      </c>
      <c r="J14" s="27" t="inlineStr">
        <is>
          <t>Fatima Al-Said</t>
        </is>
      </c>
      <c r="K14" s="26" t="n">
        <v>46282</v>
      </c>
      <c r="L14" s="26" t="n"/>
      <c r="M14" s="28" t="inlineStr">
        <is>
          <t>Under Review</t>
        </is>
      </c>
      <c r="N14" s="27" t="inlineStr">
        <is>
          <t>Root Cause Analysis</t>
        </is>
      </c>
    </row>
    <row r="15" ht="15" customHeight="1" s="15">
      <c r="A15" s="31" t="n">
        <v>10</v>
      </c>
      <c r="B15" s="32" t="inlineStr">
        <is>
          <t>NC-010</t>
        </is>
      </c>
      <c r="C15" s="33" t="n">
        <v>46357</v>
      </c>
      <c r="D15" s="31">
        <f>IF(C15="","",TEXT(C15,"MMM"))</f>
        <v/>
      </c>
      <c r="E15" s="34" t="inlineStr">
        <is>
          <t>Internal Audit</t>
        </is>
      </c>
      <c r="F15" s="35" t="inlineStr">
        <is>
          <t>Minor</t>
        </is>
      </c>
      <c r="G15" s="35" t="inlineStr">
        <is>
          <t>Admin</t>
        </is>
      </c>
      <c r="H15" s="34" t="inlineStr">
        <is>
          <t>Housekeeping</t>
        </is>
      </c>
      <c r="I15" s="34" t="inlineStr">
        <is>
          <t>David Chen</t>
        </is>
      </c>
      <c r="J15" s="34" t="inlineStr">
        <is>
          <t>Raj Patel</t>
        </is>
      </c>
      <c r="K15" s="33" t="n">
        <v>46281</v>
      </c>
      <c r="L15" s="33" t="n">
        <v>46259</v>
      </c>
      <c r="M15" s="35" t="inlineStr">
        <is>
          <t>Overdue</t>
        </is>
      </c>
      <c r="N15" s="34" t="inlineStr">
        <is>
          <t>Process Change</t>
        </is>
      </c>
    </row>
    <row r="16" ht="21.75" customHeight="1" s="15">
      <c r="A16" s="24" t="n">
        <v>11</v>
      </c>
      <c r="B16" s="25" t="inlineStr">
        <is>
          <t>NC-011</t>
        </is>
      </c>
      <c r="C16" s="26" t="n">
        <v>46351</v>
      </c>
      <c r="D16" s="24">
        <f>IF(C16="","",TEXT(C16,"MMM"))</f>
        <v/>
      </c>
      <c r="E16" s="27" t="inlineStr">
        <is>
          <t>Regulatory Inspection</t>
        </is>
      </c>
      <c r="F16" s="28" t="inlineStr">
        <is>
          <t>Major</t>
        </is>
      </c>
      <c r="G16" s="28" t="inlineStr">
        <is>
          <t>Engineering</t>
        </is>
      </c>
      <c r="H16" s="27" t="inlineStr">
        <is>
          <t>Documentation Gap</t>
        </is>
      </c>
      <c r="I16" s="27" t="inlineStr">
        <is>
          <t>Sarah Wilson</t>
        </is>
      </c>
      <c r="J16" s="27" t="inlineStr">
        <is>
          <t>Ahmed Khan</t>
        </is>
      </c>
      <c r="K16" s="26" t="n">
        <v>46197</v>
      </c>
      <c r="L16" s="26" t="n"/>
      <c r="M16" s="28" t="inlineStr">
        <is>
          <t>Open</t>
        </is>
      </c>
      <c r="N16" s="27" t="inlineStr">
        <is>
          <t>Equipment Replaced</t>
        </is>
      </c>
    </row>
    <row r="17" ht="15" customHeight="1" s="15">
      <c r="A17" s="31" t="n">
        <v>12</v>
      </c>
      <c r="B17" s="32" t="inlineStr">
        <is>
          <t>NC-012</t>
        </is>
      </c>
      <c r="C17" s="33" t="n">
        <v>46105</v>
      </c>
      <c r="D17" s="31">
        <f>IF(C17="","",TEXT(C17,"MMM"))</f>
        <v/>
      </c>
      <c r="E17" s="34" t="inlineStr">
        <is>
          <t>Internal Audit</t>
        </is>
      </c>
      <c r="F17" s="35" t="inlineStr">
        <is>
          <t>Observation</t>
        </is>
      </c>
      <c r="G17" s="35" t="inlineStr">
        <is>
          <t>Maintenance</t>
        </is>
      </c>
      <c r="H17" s="34" t="inlineStr">
        <is>
          <t>Equipment Issue</t>
        </is>
      </c>
      <c r="I17" s="34" t="inlineStr">
        <is>
          <t>Lisa Park</t>
        </is>
      </c>
      <c r="J17" s="34" t="inlineStr">
        <is>
          <t>Lisa Park</t>
        </is>
      </c>
      <c r="K17" s="33" t="n">
        <v>46274</v>
      </c>
      <c r="L17" s="33" t="n"/>
      <c r="M17" s="35" t="inlineStr">
        <is>
          <t>Overdue</t>
        </is>
      </c>
      <c r="N17" s="34" t="inlineStr">
        <is>
          <t>Procedure Update</t>
        </is>
      </c>
    </row>
    <row r="18" ht="15" customHeight="1" s="15">
      <c r="A18" s="24" t="n">
        <v>13</v>
      </c>
      <c r="B18" s="25" t="inlineStr">
        <is>
          <t>NC-013</t>
        </is>
      </c>
      <c r="C18" s="26" t="n">
        <v>46026</v>
      </c>
      <c r="D18" s="24">
        <f>IF(C18="","",TEXT(C18,"MMM"))</f>
        <v/>
      </c>
      <c r="E18" s="27" t="inlineStr">
        <is>
          <t>PTW Audit</t>
        </is>
      </c>
      <c r="F18" s="28" t="inlineStr">
        <is>
          <t>Major</t>
        </is>
      </c>
      <c r="G18" s="28" t="inlineStr">
        <is>
          <t>Construction</t>
        </is>
      </c>
      <c r="H18" s="27" t="inlineStr">
        <is>
          <t>Documentation Gap</t>
        </is>
      </c>
      <c r="I18" s="27" t="inlineStr">
        <is>
          <t>Tom Brown</t>
        </is>
      </c>
      <c r="J18" s="27" t="inlineStr">
        <is>
          <t>Tom Brown</t>
        </is>
      </c>
      <c r="K18" s="26" t="n">
        <v>46214</v>
      </c>
      <c r="L18" s="26" t="n">
        <v>46182</v>
      </c>
      <c r="M18" s="28" t="inlineStr">
        <is>
          <t>Overdue</t>
        </is>
      </c>
      <c r="N18" s="27" t="inlineStr">
        <is>
          <t>Process Change</t>
        </is>
      </c>
    </row>
    <row r="19" ht="21.75" customHeight="1" s="15">
      <c r="A19" s="31" t="n">
        <v>14</v>
      </c>
      <c r="B19" s="32" t="inlineStr">
        <is>
          <t>NC-014</t>
        </is>
      </c>
      <c r="C19" s="33" t="n">
        <v>46292</v>
      </c>
      <c r="D19" s="31">
        <f>IF(C19="","",TEXT(C19,"MMM"))</f>
        <v/>
      </c>
      <c r="E19" s="34" t="inlineStr">
        <is>
          <t>Workplace Inspection</t>
        </is>
      </c>
      <c r="F19" s="35" t="inlineStr">
        <is>
          <t>Major</t>
        </is>
      </c>
      <c r="G19" s="35" t="inlineStr">
        <is>
          <t>Operations</t>
        </is>
      </c>
      <c r="H19" s="34" t="inlineStr">
        <is>
          <t>Equipment Issue</t>
        </is>
      </c>
      <c r="I19" s="34" t="inlineStr">
        <is>
          <t>Ahmed Khan</t>
        </is>
      </c>
      <c r="J19" s="34" t="inlineStr">
        <is>
          <t>David Chen</t>
        </is>
      </c>
      <c r="K19" s="33" t="n">
        <v>46153</v>
      </c>
      <c r="L19" s="33" t="n">
        <v>46273</v>
      </c>
      <c r="M19" s="35" t="inlineStr">
        <is>
          <t>Open</t>
        </is>
      </c>
      <c r="N19" s="34" t="inlineStr">
        <is>
          <t>Procedure Update</t>
        </is>
      </c>
    </row>
    <row r="20" ht="15" customHeight="1" s="15">
      <c r="A20" s="24" t="n">
        <v>15</v>
      </c>
      <c r="B20" s="25" t="inlineStr">
        <is>
          <t>NC-015</t>
        </is>
      </c>
      <c r="C20" s="26" t="n">
        <v>46336</v>
      </c>
      <c r="D20" s="24">
        <f>IF(C20="","",TEXT(C20,"MMM"))</f>
        <v/>
      </c>
      <c r="E20" s="27" t="inlineStr">
        <is>
          <t>Internal Audit</t>
        </is>
      </c>
      <c r="F20" s="28" t="inlineStr">
        <is>
          <t>Minor</t>
        </is>
      </c>
      <c r="G20" s="28" t="inlineStr">
        <is>
          <t>Maintenance</t>
        </is>
      </c>
      <c r="H20" s="27" t="inlineStr">
        <is>
          <t>Equipment Issue</t>
        </is>
      </c>
      <c r="I20" s="27" t="inlineStr">
        <is>
          <t>David Chen</t>
        </is>
      </c>
      <c r="J20" s="27" t="inlineStr">
        <is>
          <t>Priya Sharma</t>
        </is>
      </c>
      <c r="K20" s="26" t="n">
        <v>46303</v>
      </c>
      <c r="L20" s="26" t="n">
        <v>46143</v>
      </c>
      <c r="M20" s="28" t="inlineStr">
        <is>
          <t>Under Review</t>
        </is>
      </c>
      <c r="N20" s="27" t="inlineStr">
        <is>
          <t>Equipment Replaced</t>
        </is>
      </c>
    </row>
    <row r="21" ht="21.75" customHeight="1" s="15">
      <c r="A21" s="31" t="n">
        <v>16</v>
      </c>
      <c r="B21" s="32" t="inlineStr">
        <is>
          <t>NC-016</t>
        </is>
      </c>
      <c r="C21" s="33" t="n">
        <v>46179</v>
      </c>
      <c r="D21" s="31">
        <f>IF(C21="","",TEXT(C21,"MMM"))</f>
        <v/>
      </c>
      <c r="E21" s="34" t="inlineStr">
        <is>
          <t>Workplace Inspection</t>
        </is>
      </c>
      <c r="F21" s="35" t="inlineStr">
        <is>
          <t>Major</t>
        </is>
      </c>
      <c r="G21" s="35" t="inlineStr">
        <is>
          <t>Safety</t>
        </is>
      </c>
      <c r="H21" s="34" t="inlineStr">
        <is>
          <t>Documentation Gap</t>
        </is>
      </c>
      <c r="I21" s="34" t="inlineStr">
        <is>
          <t>Priya Sharma</t>
        </is>
      </c>
      <c r="J21" s="34" t="inlineStr">
        <is>
          <t>John Smith</t>
        </is>
      </c>
      <c r="K21" s="33" t="n">
        <v>46187</v>
      </c>
      <c r="L21" s="33" t="n"/>
      <c r="M21" s="35" t="inlineStr">
        <is>
          <t>Closed</t>
        </is>
      </c>
      <c r="N21" s="34" t="inlineStr">
        <is>
          <t>Root Cause Analysis</t>
        </is>
      </c>
    </row>
    <row r="22" ht="15" customHeight="1" s="15">
      <c r="A22" s="24" t="n">
        <v>17</v>
      </c>
      <c r="B22" s="25" t="inlineStr">
        <is>
          <t>NC-017</t>
        </is>
      </c>
      <c r="C22" s="26" t="n">
        <v>46338</v>
      </c>
      <c r="D22" s="24">
        <f>IF(C22="","",TEXT(C22,"MMM"))</f>
        <v/>
      </c>
      <c r="E22" s="27" t="inlineStr">
        <is>
          <t>Customer Audit</t>
        </is>
      </c>
      <c r="F22" s="28" t="inlineStr">
        <is>
          <t>Minor</t>
        </is>
      </c>
      <c r="G22" s="28" t="inlineStr">
        <is>
          <t>Contractor</t>
        </is>
      </c>
      <c r="H22" s="27" t="inlineStr">
        <is>
          <t>Training Deficiency</t>
        </is>
      </c>
      <c r="I22" s="27" t="inlineStr">
        <is>
          <t>Tom Brown</t>
        </is>
      </c>
      <c r="J22" s="27" t="inlineStr">
        <is>
          <t>Ahmed Khan</t>
        </is>
      </c>
      <c r="K22" s="26" t="n">
        <v>46310</v>
      </c>
      <c r="L22" s="26" t="n"/>
      <c r="M22" s="28" t="inlineStr">
        <is>
          <t>Open</t>
        </is>
      </c>
      <c r="N22" s="27" t="inlineStr">
        <is>
          <t>Equipment Replaced</t>
        </is>
      </c>
    </row>
    <row r="23" ht="21.75" customHeight="1" s="15">
      <c r="A23" s="31" t="n">
        <v>18</v>
      </c>
      <c r="B23" s="32" t="inlineStr">
        <is>
          <t>NC-018</t>
        </is>
      </c>
      <c r="C23" s="33" t="n">
        <v>46145</v>
      </c>
      <c r="D23" s="31">
        <f>IF(C23="","",TEXT(C23,"MMM"))</f>
        <v/>
      </c>
      <c r="E23" s="34" t="inlineStr">
        <is>
          <t>Workplace Inspection</t>
        </is>
      </c>
      <c r="F23" s="35" t="inlineStr">
        <is>
          <t>Observation</t>
        </is>
      </c>
      <c r="G23" s="35" t="inlineStr">
        <is>
          <t>Operations</t>
        </is>
      </c>
      <c r="H23" s="34" t="inlineStr">
        <is>
          <t>PPE Non-Compliance</t>
        </is>
      </c>
      <c r="I23" s="34" t="inlineStr">
        <is>
          <t>Lisa Park</t>
        </is>
      </c>
      <c r="J23" s="34" t="inlineStr">
        <is>
          <t>Tom Brown</t>
        </is>
      </c>
      <c r="K23" s="33" t="n">
        <v>46349</v>
      </c>
      <c r="L23" s="33" t="n">
        <v>46155</v>
      </c>
      <c r="M23" s="35" t="inlineStr">
        <is>
          <t>Open</t>
        </is>
      </c>
      <c r="N23" s="34" t="inlineStr">
        <is>
          <t>Procedure Update</t>
        </is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N23"/>
  <mergeCells count="6">
    <mergeCell ref="I3:J3"/>
    <mergeCell ref="A2:N2"/>
    <mergeCell ref="A3:D3"/>
    <mergeCell ref="E3:F3"/>
    <mergeCell ref="K3:L3"/>
    <mergeCell ref="A1:N1"/>
  </mergeCells>
  <conditionalFormatting sqref="F6:F23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M6:M23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4">
    <dataValidation sqref="E6:E506" showDropDown="0" showInputMessage="0" showErrorMessage="0" allowBlank="1" type="list">
      <formula1>L_Source_2</formula1>
      <formula2>0</formula2>
    </dataValidation>
    <dataValidation sqref="F6:F506" showDropDown="0" showInputMessage="0" showErrorMessage="0" allowBlank="1" type="list">
      <formula1>L_Severity_2</formula1>
      <formula2>0</formula2>
    </dataValidation>
    <dataValidation sqref="G6:G506" showDropDown="0" showInputMessage="0" showErrorMessage="0" allowBlank="1" type="list">
      <formula1>L_Department</formula1>
      <formula2>0</formula2>
    </dataValidation>
    <dataValidation sqref="M6:M506" showDropDown="0" showInputMessage="0" showErrorMessage="0" allowBlank="1" type="list">
      <formula1>L_Status_8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tabColor rgb="FFB71C1C"/>
    <outlinePr summaryBelow="1" summaryRight="1"/>
    <pageSetUpPr/>
  </sheetPr>
  <dimension ref="A1:M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6" customWidth="1" style="15" min="5" max="5"/>
    <col width="14" customWidth="1" style="15" min="6" max="7"/>
    <col width="16" customWidth="1" style="15" min="8" max="8"/>
    <col width="10" customWidth="1" style="15" min="9" max="9"/>
    <col width="16" customWidth="1" style="15" min="10" max="10"/>
    <col width="22" customWidth="1" style="15" min="11" max="11"/>
    <col width="12" customWidth="1" style="15" min="12" max="13"/>
  </cols>
  <sheetData>
    <row r="1" ht="42" customHeight="1" s="15">
      <c r="A1" s="202" t="inlineStr">
        <is>
          <t>⚠️  UNSAFE ACTS REPORTED — DATA ENTRY</t>
        </is>
      </c>
    </row>
    <row r="2" ht="21.75" customHeight="1" s="15">
      <c r="A2" s="203" t="inlineStr">
        <is>
          <t>🔵 Blue = User Input  |  ⚫ Gray = Auto-Calculated  |  Use dropdowns where available</t>
        </is>
      </c>
    </row>
    <row r="3" ht="19.5" customHeight="1" s="15">
      <c r="A3" s="204" t="inlineStr">
        <is>
          <t>IDENTIFICATION</t>
        </is>
      </c>
      <c r="E3" s="16" t="inlineStr">
        <is>
          <t>DETAILS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CLASSIFICATION</t>
        </is>
      </c>
      <c r="J3" s="18" t="inlineStr">
        <is>
          <t>RESPONSE</t>
        </is>
      </c>
      <c r="K3" s="19" t="inlineStr">
        <is>
          <t>FOLLOW-UP</t>
        </is>
      </c>
      <c r="L3" s="20" t="inlineStr">
        <is>
          <t>TRACKING</t>
        </is>
      </c>
      <c r="M3" s="204" t="inlineStr">
        <is>
          <t>STATUS</t>
        </is>
      </c>
    </row>
    <row r="4" ht="31.5" customHeight="1" s="15">
      <c r="A4" s="45" t="inlineStr">
        <is>
          <t>S.No</t>
        </is>
      </c>
      <c r="B4" s="45" t="inlineStr">
        <is>
          <t>Report No.</t>
        </is>
      </c>
      <c r="C4" s="45" t="inlineStr">
        <is>
          <t>Date</t>
        </is>
      </c>
      <c r="D4" s="45" t="inlineStr">
        <is>
          <t>Month</t>
        </is>
      </c>
      <c r="E4" s="45" t="inlineStr">
        <is>
          <t>Description</t>
        </is>
      </c>
      <c r="F4" s="45" t="inlineStr">
        <is>
          <t>Department</t>
        </is>
      </c>
      <c r="G4" s="45" t="inlineStr">
        <is>
          <t>Location</t>
        </is>
      </c>
      <c r="H4" s="45" t="inlineStr">
        <is>
          <t>Reported By</t>
        </is>
      </c>
      <c r="I4" s="45" t="inlineStr">
        <is>
          <t>Risk Level</t>
        </is>
      </c>
      <c r="J4" s="45" t="inlineStr">
        <is>
          <t>Immediate Action</t>
        </is>
      </c>
      <c r="K4" s="45" t="inlineStr">
        <is>
          <t>Corrective Action</t>
        </is>
      </c>
      <c r="L4" s="45" t="inlineStr">
        <is>
          <t>Due Date</t>
        </is>
      </c>
      <c r="M4" s="45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</row>
    <row r="6" ht="15" customHeight="1" s="15">
      <c r="A6" s="24" t="n">
        <v>1</v>
      </c>
      <c r="B6" s="25" t="inlineStr">
        <is>
          <t>UA-001</t>
        </is>
      </c>
      <c r="C6" s="26" t="n">
        <v>46117</v>
      </c>
      <c r="D6" s="24">
        <f>IF(C6="","",TEXT(C6,"MMM"))</f>
        <v/>
      </c>
      <c r="E6" s="27" t="inlineStr">
        <is>
          <t>No PPE Worn</t>
        </is>
      </c>
      <c r="F6" s="28" t="inlineStr">
        <is>
          <t>Quality</t>
        </is>
      </c>
      <c r="G6" s="28" t="inlineStr">
        <is>
          <t>Plant B</t>
        </is>
      </c>
      <c r="H6" s="27" t="inlineStr">
        <is>
          <t>David Chen</t>
        </is>
      </c>
      <c r="I6" s="28" t="inlineStr">
        <is>
          <t>High</t>
        </is>
      </c>
      <c r="J6" s="27" t="inlineStr">
        <is>
          <t>Action Raised</t>
        </is>
      </c>
      <c r="K6" s="27" t="inlineStr">
        <is>
          <t>Add signage</t>
        </is>
      </c>
      <c r="L6" s="26" t="n"/>
      <c r="M6" s="28" t="inlineStr">
        <is>
          <t>Completed</t>
        </is>
      </c>
    </row>
    <row r="7" ht="15" customHeight="1" s="15">
      <c r="A7" s="31" t="n">
        <v>2</v>
      </c>
      <c r="B7" s="32" t="inlineStr">
        <is>
          <t>UA-002</t>
        </is>
      </c>
      <c r="C7" s="33" t="n">
        <v>46066</v>
      </c>
      <c r="D7" s="31">
        <f>IF(C7="","",TEXT(C7,"MMM"))</f>
        <v/>
      </c>
      <c r="E7" s="34" t="inlineStr">
        <is>
          <t>Horseplay</t>
        </is>
      </c>
      <c r="F7" s="35" t="inlineStr">
        <is>
          <t>Projects</t>
        </is>
      </c>
      <c r="G7" s="35" t="inlineStr">
        <is>
          <t>Control Room</t>
        </is>
      </c>
      <c r="H7" s="34" t="inlineStr">
        <is>
          <t>John Smith</t>
        </is>
      </c>
      <c r="I7" s="35" t="inlineStr">
        <is>
          <t>Low</t>
        </is>
      </c>
      <c r="J7" s="34" t="inlineStr">
        <is>
          <t>Pending</t>
        </is>
      </c>
      <c r="K7" s="34" t="n"/>
      <c r="L7" s="33" t="n">
        <v>46333</v>
      </c>
      <c r="M7" s="35" t="inlineStr">
        <is>
          <t>Pending</t>
        </is>
      </c>
    </row>
    <row r="8" ht="21.75" customHeight="1" s="15">
      <c r="A8" s="24" t="n">
        <v>3</v>
      </c>
      <c r="B8" s="25" t="inlineStr">
        <is>
          <t>UA-003</t>
        </is>
      </c>
      <c r="C8" s="26" t="n">
        <v>46067</v>
      </c>
      <c r="D8" s="24">
        <f>IF(C8="","",TEXT(C8,"MMM"))</f>
        <v/>
      </c>
      <c r="E8" s="27" t="inlineStr">
        <is>
          <t>Bypassing Safety Guard</t>
        </is>
      </c>
      <c r="F8" s="28" t="inlineStr">
        <is>
          <t>Engineering</t>
        </is>
      </c>
      <c r="G8" s="28" t="inlineStr">
        <is>
          <t>Plant B</t>
        </is>
      </c>
      <c r="H8" s="27" t="inlineStr">
        <is>
          <t>Sarah Wilson</t>
        </is>
      </c>
      <c r="I8" s="28" t="inlineStr">
        <is>
          <t>Low</t>
        </is>
      </c>
      <c r="J8" s="27" t="inlineStr">
        <is>
          <t>Corrected Immediately</t>
        </is>
      </c>
      <c r="K8" s="27" t="inlineStr">
        <is>
          <t>Fix condition</t>
        </is>
      </c>
      <c r="L8" s="26" t="n">
        <v>46198</v>
      </c>
      <c r="M8" s="28" t="inlineStr">
        <is>
          <t>Pending</t>
        </is>
      </c>
    </row>
    <row r="9" ht="15" customHeight="1" s="15">
      <c r="A9" s="31" t="n">
        <v>4</v>
      </c>
      <c r="B9" s="32" t="inlineStr">
        <is>
          <t>UA-004</t>
        </is>
      </c>
      <c r="C9" s="33" t="n">
        <v>46342</v>
      </c>
      <c r="D9" s="31">
        <f>IF(C9="","",TEXT(C9,"MMM"))</f>
        <v/>
      </c>
      <c r="E9" s="34" t="inlineStr">
        <is>
          <t>Improper Tool Use</t>
        </is>
      </c>
      <c r="F9" s="35" t="inlineStr">
        <is>
          <t>Operations</t>
        </is>
      </c>
      <c r="G9" s="35" t="inlineStr">
        <is>
          <t>Warehouse</t>
        </is>
      </c>
      <c r="H9" s="34" t="inlineStr">
        <is>
          <t>John Smith</t>
        </is>
      </c>
      <c r="I9" s="35" t="inlineStr">
        <is>
          <t>Medium</t>
        </is>
      </c>
      <c r="J9" s="34" t="inlineStr">
        <is>
          <t>Action Raised</t>
        </is>
      </c>
      <c r="K9" s="34" t="inlineStr">
        <is>
          <t>Add signage</t>
        </is>
      </c>
      <c r="L9" s="33" t="n">
        <v>46373</v>
      </c>
      <c r="M9" s="35" t="inlineStr">
        <is>
          <t>Pending</t>
        </is>
      </c>
    </row>
    <row r="10" ht="21.75" customHeight="1" s="15">
      <c r="A10" s="24" t="n">
        <v>5</v>
      </c>
      <c r="B10" s="25" t="inlineStr">
        <is>
          <t>UA-005</t>
        </is>
      </c>
      <c r="C10" s="26" t="n">
        <v>46196</v>
      </c>
      <c r="D10" s="24">
        <f>IF(C10="","",TEXT(C10,"MMM"))</f>
        <v/>
      </c>
      <c r="E10" s="27" t="inlineStr">
        <is>
          <t>Using Phone While Walking</t>
        </is>
      </c>
      <c r="F10" s="28" t="inlineStr">
        <is>
          <t>Operations</t>
        </is>
      </c>
      <c r="G10" s="28" t="inlineStr">
        <is>
          <t>Tank Farm</t>
        </is>
      </c>
      <c r="H10" s="27" t="inlineStr">
        <is>
          <t>John Smith</t>
        </is>
      </c>
      <c r="I10" s="28" t="inlineStr">
        <is>
          <t>Medium</t>
        </is>
      </c>
      <c r="J10" s="27" t="inlineStr">
        <is>
          <t>Corrected Immediately</t>
        </is>
      </c>
      <c r="K10" s="27" t="inlineStr">
        <is>
          <t>Fix condition</t>
        </is>
      </c>
      <c r="L10" s="26" t="n">
        <v>46163</v>
      </c>
      <c r="M10" s="28" t="inlineStr">
        <is>
          <t>Pending</t>
        </is>
      </c>
    </row>
    <row r="11" ht="15" customHeight="1" s="15">
      <c r="A11" s="31" t="n">
        <v>6</v>
      </c>
      <c r="B11" s="32" t="inlineStr">
        <is>
          <t>UA-006</t>
        </is>
      </c>
      <c r="C11" s="33" t="n">
        <v>46378</v>
      </c>
      <c r="D11" s="31">
        <f>IF(C11="","",TEXT(C11,"MMM"))</f>
        <v/>
      </c>
      <c r="E11" s="34" t="inlineStr">
        <is>
          <t>Improper Lifting</t>
        </is>
      </c>
      <c r="F11" s="35" t="inlineStr">
        <is>
          <t>Construction</t>
        </is>
      </c>
      <c r="G11" s="35" t="inlineStr">
        <is>
          <t>Warehouse</t>
        </is>
      </c>
      <c r="H11" s="34" t="inlineStr">
        <is>
          <t>John Smith</t>
        </is>
      </c>
      <c r="I11" s="35" t="inlineStr">
        <is>
          <t>Low</t>
        </is>
      </c>
      <c r="J11" s="34" t="inlineStr">
        <is>
          <t>Pending</t>
        </is>
      </c>
      <c r="K11" s="34" t="inlineStr">
        <is>
          <t>Fix condition</t>
        </is>
      </c>
      <c r="L11" s="33" t="n"/>
      <c r="M11" s="35" t="inlineStr">
        <is>
          <t>Pending</t>
        </is>
      </c>
    </row>
    <row r="12" ht="15" customHeight="1" s="15">
      <c r="A12" s="24" t="n">
        <v>7</v>
      </c>
      <c r="B12" s="25" t="inlineStr">
        <is>
          <t>UA-007</t>
        </is>
      </c>
      <c r="C12" s="26" t="n">
        <v>46316</v>
      </c>
      <c r="D12" s="24">
        <f>IF(C12="","",TEXT(C12,"MMM"))</f>
        <v/>
      </c>
      <c r="E12" s="27" t="inlineStr">
        <is>
          <t>Improper Lifting</t>
        </is>
      </c>
      <c r="F12" s="28" t="inlineStr">
        <is>
          <t>Construction</t>
        </is>
      </c>
      <c r="G12" s="28" t="inlineStr">
        <is>
          <t>Tank Farm</t>
        </is>
      </c>
      <c r="H12" s="27" t="inlineStr">
        <is>
          <t>Maria Garcia</t>
        </is>
      </c>
      <c r="I12" s="28" t="inlineStr">
        <is>
          <t>Medium</t>
        </is>
      </c>
      <c r="J12" s="27" t="inlineStr">
        <is>
          <t>Pending</t>
        </is>
      </c>
      <c r="K12" s="27" t="inlineStr">
        <is>
          <t>Add signage</t>
        </is>
      </c>
      <c r="L12" s="26" t="n">
        <v>46047</v>
      </c>
      <c r="M12" s="28" t="inlineStr">
        <is>
          <t>Completed</t>
        </is>
      </c>
    </row>
    <row r="13" ht="15" customHeight="1" s="15">
      <c r="A13" s="31" t="n">
        <v>8</v>
      </c>
      <c r="B13" s="32" t="inlineStr">
        <is>
          <t>UA-008</t>
        </is>
      </c>
      <c r="C13" s="33" t="n">
        <v>46165</v>
      </c>
      <c r="D13" s="31">
        <f>IF(C13="","",TEXT(C13,"MMM"))</f>
        <v/>
      </c>
      <c r="E13" s="34" t="inlineStr">
        <is>
          <t>Horseplay</t>
        </is>
      </c>
      <c r="F13" s="35" t="inlineStr">
        <is>
          <t>Engineering</t>
        </is>
      </c>
      <c r="G13" s="35" t="inlineStr">
        <is>
          <t>Plant A</t>
        </is>
      </c>
      <c r="H13" s="34" t="inlineStr">
        <is>
          <t>Raj Patel</t>
        </is>
      </c>
      <c r="I13" s="35" t="inlineStr">
        <is>
          <t>High</t>
        </is>
      </c>
      <c r="J13" s="34" t="inlineStr">
        <is>
          <t>Action Raised</t>
        </is>
      </c>
      <c r="K13" s="34" t="n"/>
      <c r="L13" s="33" t="n"/>
      <c r="M13" s="35" t="inlineStr">
        <is>
          <t>Pending</t>
        </is>
      </c>
    </row>
    <row r="14" ht="15" customHeight="1" s="15">
      <c r="A14" s="24" t="n">
        <v>9</v>
      </c>
      <c r="B14" s="25" t="inlineStr">
        <is>
          <t>UA-009</t>
        </is>
      </c>
      <c r="C14" s="26" t="n">
        <v>46034</v>
      </c>
      <c r="D14" s="24">
        <f>IF(C14="","",TEXT(C14,"MMM"))</f>
        <v/>
      </c>
      <c r="E14" s="27" t="inlineStr">
        <is>
          <t>Using Phone While Walking</t>
        </is>
      </c>
      <c r="F14" s="28" t="inlineStr">
        <is>
          <t>Safety</t>
        </is>
      </c>
      <c r="G14" s="28" t="inlineStr">
        <is>
          <t>Control Room</t>
        </is>
      </c>
      <c r="H14" s="27" t="inlineStr">
        <is>
          <t>Priya Sharma</t>
        </is>
      </c>
      <c r="I14" s="28" t="inlineStr">
        <is>
          <t>Low</t>
        </is>
      </c>
      <c r="J14" s="27" t="inlineStr">
        <is>
          <t>Pending</t>
        </is>
      </c>
      <c r="K14" s="27" t="inlineStr">
        <is>
          <t>Replace equipment</t>
        </is>
      </c>
      <c r="L14" s="26" t="n">
        <v>46337</v>
      </c>
      <c r="M14" s="28" t="inlineStr">
        <is>
          <t>Overdue</t>
        </is>
      </c>
    </row>
    <row r="15" ht="15" customHeight="1" s="15">
      <c r="A15" s="31" t="n">
        <v>10</v>
      </c>
      <c r="B15" s="32" t="inlineStr">
        <is>
          <t>UA-010</t>
        </is>
      </c>
      <c r="C15" s="33" t="n">
        <v>46254</v>
      </c>
      <c r="D15" s="31">
        <f>IF(C15="","",TEXT(C15,"MMM"))</f>
        <v/>
      </c>
      <c r="E15" s="34" t="inlineStr">
        <is>
          <t>Improper Tool Use</t>
        </is>
      </c>
      <c r="F15" s="35" t="inlineStr">
        <is>
          <t>Engineering</t>
        </is>
      </c>
      <c r="G15" s="35" t="inlineStr">
        <is>
          <t>Tank Farm</t>
        </is>
      </c>
      <c r="H15" s="34" t="inlineStr">
        <is>
          <t>Lisa Park</t>
        </is>
      </c>
      <c r="I15" s="35" t="inlineStr">
        <is>
          <t>Low</t>
        </is>
      </c>
      <c r="J15" s="34" t="inlineStr">
        <is>
          <t>Under Review</t>
        </is>
      </c>
      <c r="K15" s="34" t="inlineStr">
        <is>
          <t>Fix condition</t>
        </is>
      </c>
      <c r="L15" s="33" t="n"/>
      <c r="M15" s="35" t="inlineStr">
        <is>
          <t>Overdue</t>
        </is>
      </c>
    </row>
    <row r="16" ht="15" customHeight="1" s="15">
      <c r="A16" s="24" t="n">
        <v>11</v>
      </c>
      <c r="B16" s="25" t="inlineStr">
        <is>
          <t>UA-011</t>
        </is>
      </c>
      <c r="C16" s="26" t="n">
        <v>46383</v>
      </c>
      <c r="D16" s="24">
        <f>IF(C16="","",TEXT(C16,"MMM"))</f>
        <v/>
      </c>
      <c r="E16" s="27" t="inlineStr">
        <is>
          <t>Improper Lifting</t>
        </is>
      </c>
      <c r="F16" s="28" t="inlineStr">
        <is>
          <t>Safety</t>
        </is>
      </c>
      <c r="G16" s="28" t="inlineStr">
        <is>
          <t>Plant A</t>
        </is>
      </c>
      <c r="H16" s="27" t="inlineStr">
        <is>
          <t>David Chen</t>
        </is>
      </c>
      <c r="I16" s="28" t="inlineStr">
        <is>
          <t>High</t>
        </is>
      </c>
      <c r="J16" s="27" t="inlineStr">
        <is>
          <t>Action Raised</t>
        </is>
      </c>
      <c r="K16" s="27" t="inlineStr">
        <is>
          <t>Add signage</t>
        </is>
      </c>
      <c r="L16" s="26" t="n">
        <v>46150</v>
      </c>
      <c r="M16" s="28" t="inlineStr">
        <is>
          <t>In Progress</t>
        </is>
      </c>
    </row>
    <row r="17" ht="15" customHeight="1" s="15">
      <c r="A17" s="31" t="n">
        <v>12</v>
      </c>
      <c r="B17" s="32" t="inlineStr">
        <is>
          <t>UA-012</t>
        </is>
      </c>
      <c r="C17" s="33" t="n">
        <v>46333</v>
      </c>
      <c r="D17" s="31">
        <f>IF(C17="","",TEXT(C17,"MMM"))</f>
        <v/>
      </c>
      <c r="E17" s="34" t="inlineStr">
        <is>
          <t>Not Following LOTO</t>
        </is>
      </c>
      <c r="F17" s="35" t="inlineStr">
        <is>
          <t>Quality</t>
        </is>
      </c>
      <c r="G17" s="35" t="inlineStr">
        <is>
          <t>Plant A</t>
        </is>
      </c>
      <c r="H17" s="34" t="inlineStr">
        <is>
          <t>Ahmed Khan</t>
        </is>
      </c>
      <c r="I17" s="35" t="inlineStr">
        <is>
          <t>Medium</t>
        </is>
      </c>
      <c r="J17" s="34" t="inlineStr">
        <is>
          <t>Action Raised</t>
        </is>
      </c>
      <c r="K17" s="34" t="inlineStr">
        <is>
          <t>Replace equipment</t>
        </is>
      </c>
      <c r="L17" s="33" t="n"/>
      <c r="M17" s="35" t="inlineStr">
        <is>
          <t>Completed</t>
        </is>
      </c>
    </row>
    <row r="18" ht="15" customHeight="1" s="15">
      <c r="A18" s="24" t="n">
        <v>13</v>
      </c>
      <c r="B18" s="25" t="inlineStr">
        <is>
          <t>UA-013</t>
        </is>
      </c>
      <c r="C18" s="26" t="n">
        <v>46121</v>
      </c>
      <c r="D18" s="24">
        <f>IF(C18="","",TEXT(C18,"MMM"))</f>
        <v/>
      </c>
      <c r="E18" s="27" t="inlineStr">
        <is>
          <t>Not Following LOTO</t>
        </is>
      </c>
      <c r="F18" s="28" t="inlineStr">
        <is>
          <t>Safety</t>
        </is>
      </c>
      <c r="G18" s="28" t="inlineStr">
        <is>
          <t>Office</t>
        </is>
      </c>
      <c r="H18" s="27" t="inlineStr">
        <is>
          <t>David Chen</t>
        </is>
      </c>
      <c r="I18" s="28" t="inlineStr">
        <is>
          <t>Medium</t>
        </is>
      </c>
      <c r="J18" s="27" t="inlineStr">
        <is>
          <t>Pending</t>
        </is>
      </c>
      <c r="K18" s="27" t="inlineStr">
        <is>
          <t>Fix condition</t>
        </is>
      </c>
      <c r="L18" s="26" t="n"/>
      <c r="M18" s="28" t="inlineStr">
        <is>
          <t>Overdue</t>
        </is>
      </c>
    </row>
    <row r="19" ht="15" customHeight="1" s="15">
      <c r="A19" s="31" t="n">
        <v>14</v>
      </c>
      <c r="B19" s="32" t="inlineStr">
        <is>
          <t>UA-014</t>
        </is>
      </c>
      <c r="C19" s="33" t="n">
        <v>46343</v>
      </c>
      <c r="D19" s="31">
        <f>IF(C19="","",TEXT(C19,"MMM"))</f>
        <v/>
      </c>
      <c r="E19" s="34" t="inlineStr">
        <is>
          <t>Horseplay</t>
        </is>
      </c>
      <c r="F19" s="35" t="inlineStr">
        <is>
          <t>Contractor</t>
        </is>
      </c>
      <c r="G19" s="35" t="inlineStr">
        <is>
          <t>Plant B</t>
        </is>
      </c>
      <c r="H19" s="34" t="inlineStr">
        <is>
          <t>Ahmed Khan</t>
        </is>
      </c>
      <c r="I19" s="35" t="inlineStr">
        <is>
          <t>Low</t>
        </is>
      </c>
      <c r="J19" s="34" t="inlineStr">
        <is>
          <t>Under Review</t>
        </is>
      </c>
      <c r="K19" s="34" t="inlineStr">
        <is>
          <t>Add signage</t>
        </is>
      </c>
      <c r="L19" s="33" t="n">
        <v>46317</v>
      </c>
      <c r="M19" s="35" t="inlineStr">
        <is>
          <t>Completed</t>
        </is>
      </c>
    </row>
    <row r="20" ht="15" customHeight="1" s="15">
      <c r="A20" s="24" t="n">
        <v>15</v>
      </c>
      <c r="B20" s="25" t="inlineStr">
        <is>
          <t>UA-015</t>
        </is>
      </c>
      <c r="C20" s="26" t="n">
        <v>46237</v>
      </c>
      <c r="D20" s="24">
        <f>IF(C20="","",TEXT(C20,"MMM"))</f>
        <v/>
      </c>
      <c r="E20" s="27" t="inlineStr">
        <is>
          <t>Running in Work Area</t>
        </is>
      </c>
      <c r="F20" s="28" t="inlineStr">
        <is>
          <t>Safety</t>
        </is>
      </c>
      <c r="G20" s="28" t="inlineStr">
        <is>
          <t>Control Room</t>
        </is>
      </c>
      <c r="H20" s="27" t="inlineStr">
        <is>
          <t>John Smith</t>
        </is>
      </c>
      <c r="I20" s="28" t="inlineStr">
        <is>
          <t>Medium</t>
        </is>
      </c>
      <c r="J20" s="27" t="inlineStr">
        <is>
          <t>Under Review</t>
        </is>
      </c>
      <c r="K20" s="27" t="inlineStr">
        <is>
          <t>Retrain</t>
        </is>
      </c>
      <c r="L20" s="26" t="n"/>
      <c r="M20" s="28" t="inlineStr">
        <is>
          <t>In Progress</t>
        </is>
      </c>
    </row>
    <row r="21" ht="15" customHeight="1" s="15">
      <c r="A21" s="31" t="n">
        <v>16</v>
      </c>
      <c r="B21" s="32" t="inlineStr">
        <is>
          <t>UA-016</t>
        </is>
      </c>
      <c r="C21" s="33" t="n">
        <v>46048</v>
      </c>
      <c r="D21" s="31">
        <f>IF(C21="","",TEXT(C21,"MMM"))</f>
        <v/>
      </c>
      <c r="E21" s="34" t="inlineStr">
        <is>
          <t>Horseplay</t>
        </is>
      </c>
      <c r="F21" s="35" t="inlineStr">
        <is>
          <t>Logistics</t>
        </is>
      </c>
      <c r="G21" s="35" t="inlineStr">
        <is>
          <t>Warehouse</t>
        </is>
      </c>
      <c r="H21" s="34" t="inlineStr">
        <is>
          <t>Ahmed Khan</t>
        </is>
      </c>
      <c r="I21" s="35" t="inlineStr">
        <is>
          <t>Low</t>
        </is>
      </c>
      <c r="J21" s="34" t="inlineStr">
        <is>
          <t>Pending</t>
        </is>
      </c>
      <c r="K21" s="34" t="inlineStr">
        <is>
          <t>Fix condition</t>
        </is>
      </c>
      <c r="L21" s="33" t="n"/>
      <c r="M21" s="35" t="inlineStr">
        <is>
          <t>Pending</t>
        </is>
      </c>
    </row>
    <row r="22" ht="15" customHeight="1" s="15">
      <c r="A22" s="24" t="n">
        <v>17</v>
      </c>
      <c r="B22" s="25" t="inlineStr">
        <is>
          <t>UA-017</t>
        </is>
      </c>
      <c r="C22" s="26" t="n">
        <v>46216</v>
      </c>
      <c r="D22" s="24">
        <f>IF(C22="","",TEXT(C22,"MMM"))</f>
        <v/>
      </c>
      <c r="E22" s="27" t="inlineStr">
        <is>
          <t>No PPE Worn</t>
        </is>
      </c>
      <c r="F22" s="28" t="inlineStr">
        <is>
          <t>Contractor</t>
        </is>
      </c>
      <c r="G22" s="28" t="inlineStr">
        <is>
          <t>Workshop</t>
        </is>
      </c>
      <c r="H22" s="27" t="inlineStr">
        <is>
          <t>Fatima Al-Said</t>
        </is>
      </c>
      <c r="I22" s="28" t="inlineStr">
        <is>
          <t>Low</t>
        </is>
      </c>
      <c r="J22" s="27" t="inlineStr">
        <is>
          <t>Action Raised</t>
        </is>
      </c>
      <c r="K22" s="27" t="inlineStr">
        <is>
          <t>Replace equipment</t>
        </is>
      </c>
      <c r="L22" s="26" t="n">
        <v>46270</v>
      </c>
      <c r="M22" s="28" t="inlineStr">
        <is>
          <t>Overdue</t>
        </is>
      </c>
    </row>
    <row r="23" ht="15" customHeight="1" s="15">
      <c r="A23" s="31" t="n">
        <v>18</v>
      </c>
      <c r="B23" s="32" t="inlineStr">
        <is>
          <t>UA-018</t>
        </is>
      </c>
      <c r="C23" s="33" t="n">
        <v>46108</v>
      </c>
      <c r="D23" s="31">
        <f>IF(C23="","",TEXT(C23,"MMM"))</f>
        <v/>
      </c>
      <c r="E23" s="34" t="inlineStr">
        <is>
          <t>Bypassing Safety Guard</t>
        </is>
      </c>
      <c r="F23" s="35" t="inlineStr">
        <is>
          <t>Safety</t>
        </is>
      </c>
      <c r="G23" s="35" t="inlineStr">
        <is>
          <t>Plant B</t>
        </is>
      </c>
      <c r="H23" s="34" t="inlineStr">
        <is>
          <t>Priya Sharma</t>
        </is>
      </c>
      <c r="I23" s="35" t="inlineStr">
        <is>
          <t>High</t>
        </is>
      </c>
      <c r="J23" s="34" t="inlineStr">
        <is>
          <t>Under Review</t>
        </is>
      </c>
      <c r="K23" s="34" t="inlineStr">
        <is>
          <t>Replace equipment</t>
        </is>
      </c>
      <c r="L23" s="33" t="n">
        <v>46116</v>
      </c>
      <c r="M23" s="35" t="inlineStr">
        <is>
          <t>Completed</t>
        </is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M23"/>
  <mergeCells count="4">
    <mergeCell ref="F3:G3"/>
    <mergeCell ref="A2:M2"/>
    <mergeCell ref="A3:D3"/>
    <mergeCell ref="A1:M1"/>
  </mergeCells>
  <conditionalFormatting sqref="I6:I23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M6:M23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5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I6:I506" showDropDown="0" showInputMessage="0" showErrorMessage="0" allowBlank="1" type="list">
      <formula1>L_Risk_Level</formula1>
      <formula2>0</formula2>
    </dataValidation>
    <dataValidation sqref="J6:J506" showDropDown="0" showInputMessage="0" showErrorMessage="0" allowBlank="1" type="list">
      <formula1>L_Immediate_Action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tabColor rgb="FFE65100"/>
    <outlinePr summaryBelow="1" summaryRight="1"/>
    <pageSetUpPr/>
  </sheetPr>
  <dimension ref="A1:M50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8" defaultColWidth="8.7109375" defaultRowHeight="15"/>
  <cols>
    <col width="5" customWidth="1" style="15" min="1" max="1"/>
    <col width="12" customWidth="1" style="15" min="2" max="3"/>
    <col width="8" customWidth="1" style="15" min="4" max="4"/>
    <col width="26" customWidth="1" style="15" min="5" max="5"/>
    <col width="14" customWidth="1" style="15" min="6" max="7"/>
    <col width="16" customWidth="1" style="15" min="8" max="8"/>
    <col width="10" customWidth="1" style="15" min="9" max="9"/>
    <col width="16" customWidth="1" style="15" min="10" max="10"/>
    <col width="22" customWidth="1" style="15" min="11" max="11"/>
    <col width="12" customWidth="1" style="15" min="12" max="13"/>
  </cols>
  <sheetData>
    <row r="1" ht="42" customHeight="1" s="15">
      <c r="A1" s="1" t="inlineStr">
        <is>
          <t>🚧  UNSAFE CONDITIONS REPORTED — DATA ENTRY</t>
        </is>
      </c>
    </row>
    <row r="2" ht="21.75" customHeight="1" s="15">
      <c r="A2" s="201" t="inlineStr">
        <is>
          <t>🔵 Blue = User Input  |  ⚫ Gray = Auto-Calculated  |  Use dropdowns where available</t>
        </is>
      </c>
    </row>
    <row r="3" ht="19.5" customHeight="1" s="15">
      <c r="A3" s="39" t="inlineStr">
        <is>
          <t>IDENTIFICATION</t>
        </is>
      </c>
      <c r="E3" s="16" t="inlineStr">
        <is>
          <t>DETAILS</t>
        </is>
      </c>
      <c r="F3" s="39" t="inlineStr">
        <is>
          <t>ORGANIZATIONAL</t>
        </is>
      </c>
      <c r="H3" s="17" t="inlineStr">
        <is>
          <t>PEOPLE</t>
        </is>
      </c>
      <c r="I3" s="40" t="inlineStr">
        <is>
          <t>CLASSIFICATION</t>
        </is>
      </c>
      <c r="J3" s="18" t="inlineStr">
        <is>
          <t>RESPONSE</t>
        </is>
      </c>
      <c r="K3" s="19" t="inlineStr">
        <is>
          <t>FOLLOW-UP</t>
        </is>
      </c>
      <c r="L3" s="20" t="inlineStr">
        <is>
          <t>TRACKING</t>
        </is>
      </c>
      <c r="M3" s="39" t="inlineStr">
        <is>
          <t>STATUS</t>
        </is>
      </c>
    </row>
    <row r="4" ht="31.5" customHeight="1" s="15">
      <c r="A4" s="44" t="inlineStr">
        <is>
          <t>S.No</t>
        </is>
      </c>
      <c r="B4" s="44" t="inlineStr">
        <is>
          <t>Report No.</t>
        </is>
      </c>
      <c r="C4" s="44" t="inlineStr">
        <is>
          <t>Date</t>
        </is>
      </c>
      <c r="D4" s="44" t="inlineStr">
        <is>
          <t>Month</t>
        </is>
      </c>
      <c r="E4" s="44" t="inlineStr">
        <is>
          <t>Description</t>
        </is>
      </c>
      <c r="F4" s="44" t="inlineStr">
        <is>
          <t>Department</t>
        </is>
      </c>
      <c r="G4" s="44" t="inlineStr">
        <is>
          <t>Location</t>
        </is>
      </c>
      <c r="H4" s="44" t="inlineStr">
        <is>
          <t>Reported By</t>
        </is>
      </c>
      <c r="I4" s="44" t="inlineStr">
        <is>
          <t>Risk Level</t>
        </is>
      </c>
      <c r="J4" s="44" t="inlineStr">
        <is>
          <t>Immediate Action</t>
        </is>
      </c>
      <c r="K4" s="44" t="inlineStr">
        <is>
          <t>Corrective Action</t>
        </is>
      </c>
      <c r="L4" s="44" t="inlineStr">
        <is>
          <t>Due Date</t>
        </is>
      </c>
      <c r="M4" s="44" t="inlineStr">
        <is>
          <t>Status</t>
        </is>
      </c>
    </row>
    <row r="5" ht="15.75" customHeight="1" s="15">
      <c r="A5" s="22" t="inlineStr">
        <is>
          <t>⚙️ AUTO</t>
        </is>
      </c>
      <c r="B5" s="23" t="inlineStr">
        <is>
          <t>✏️ INPUT</t>
        </is>
      </c>
      <c r="C5" s="23" t="inlineStr">
        <is>
          <t>✏️ INPUT</t>
        </is>
      </c>
      <c r="D5" s="22" t="inlineStr">
        <is>
          <t>⚙️ AUTO</t>
        </is>
      </c>
      <c r="E5" s="23" t="inlineStr">
        <is>
          <t>✏️ INPUT</t>
        </is>
      </c>
      <c r="F5" s="23" t="inlineStr">
        <is>
          <t>✏️ INPUT</t>
        </is>
      </c>
      <c r="G5" s="23" t="inlineStr">
        <is>
          <t>✏️ INPUT</t>
        </is>
      </c>
      <c r="H5" s="23" t="inlineStr">
        <is>
          <t>✏️ INPUT</t>
        </is>
      </c>
      <c r="I5" s="23" t="inlineStr">
        <is>
          <t>✏️ INPUT</t>
        </is>
      </c>
      <c r="J5" s="23" t="inlineStr">
        <is>
          <t>✏️ INPUT</t>
        </is>
      </c>
      <c r="K5" s="23" t="inlineStr">
        <is>
          <t>✏️ INPUT</t>
        </is>
      </c>
      <c r="L5" s="23" t="inlineStr">
        <is>
          <t>✏️ INPUT</t>
        </is>
      </c>
      <c r="M5" s="23" t="inlineStr">
        <is>
          <t>✏️ INPUT</t>
        </is>
      </c>
    </row>
    <row r="6" ht="15" customHeight="1" s="15">
      <c r="A6" s="24" t="n">
        <v>1</v>
      </c>
      <c r="B6" s="25" t="inlineStr">
        <is>
          <t>UC-001</t>
        </is>
      </c>
      <c r="C6" s="26" t="n">
        <v>46124</v>
      </c>
      <c r="D6" s="24">
        <f>IF(C6="","",TEXT(C6,"MMM"))</f>
        <v/>
      </c>
      <c r="E6" s="27" t="inlineStr">
        <is>
          <t>Missing Fire Extinguisher</t>
        </is>
      </c>
      <c r="F6" s="28" t="inlineStr">
        <is>
          <t>Safety</t>
        </is>
      </c>
      <c r="G6" s="28" t="inlineStr">
        <is>
          <t>Office</t>
        </is>
      </c>
      <c r="H6" s="27" t="inlineStr">
        <is>
          <t>Fatima Al-Said</t>
        </is>
      </c>
      <c r="I6" s="28" t="inlineStr">
        <is>
          <t>Medium</t>
        </is>
      </c>
      <c r="J6" s="27" t="inlineStr">
        <is>
          <t>Under Review</t>
        </is>
      </c>
      <c r="K6" s="27" t="inlineStr">
        <is>
          <t>Add signage</t>
        </is>
      </c>
      <c r="L6" s="26" t="n"/>
      <c r="M6" s="28" t="inlineStr">
        <is>
          <t>Completed</t>
        </is>
      </c>
    </row>
    <row r="7" ht="15" customHeight="1" s="15">
      <c r="A7" s="31" t="n">
        <v>2</v>
      </c>
      <c r="B7" s="32" t="inlineStr">
        <is>
          <t>UC-002</t>
        </is>
      </c>
      <c r="C7" s="33" t="n">
        <v>46236</v>
      </c>
      <c r="D7" s="31">
        <f>IF(C7="","",TEXT(C7,"MMM"))</f>
        <v/>
      </c>
      <c r="E7" s="34" t="inlineStr">
        <is>
          <t>Broken Handrail</t>
        </is>
      </c>
      <c r="F7" s="35" t="inlineStr">
        <is>
          <t>Admin</t>
        </is>
      </c>
      <c r="G7" s="35" t="inlineStr">
        <is>
          <t>Workshop</t>
        </is>
      </c>
      <c r="H7" s="34" t="inlineStr">
        <is>
          <t>Tom Brown</t>
        </is>
      </c>
      <c r="I7" s="35" t="inlineStr">
        <is>
          <t>High</t>
        </is>
      </c>
      <c r="J7" s="34" t="inlineStr">
        <is>
          <t>Pending</t>
        </is>
      </c>
      <c r="K7" s="34" t="inlineStr">
        <is>
          <t>Add signage</t>
        </is>
      </c>
      <c r="L7" s="33" t="n"/>
      <c r="M7" s="35" t="inlineStr">
        <is>
          <t>Completed</t>
        </is>
      </c>
    </row>
    <row r="8" ht="15" customHeight="1" s="15">
      <c r="A8" s="24" t="n">
        <v>3</v>
      </c>
      <c r="B8" s="25" t="inlineStr">
        <is>
          <t>UC-003</t>
        </is>
      </c>
      <c r="C8" s="26" t="n">
        <v>46086</v>
      </c>
      <c r="D8" s="24">
        <f>IF(C8="","",TEXT(C8,"MMM"))</f>
        <v/>
      </c>
      <c r="E8" s="27" t="inlineStr">
        <is>
          <t>Missing Fire Extinguisher</t>
        </is>
      </c>
      <c r="F8" s="28" t="inlineStr">
        <is>
          <t>Logistics</t>
        </is>
      </c>
      <c r="G8" s="28" t="inlineStr">
        <is>
          <t>Office</t>
        </is>
      </c>
      <c r="H8" s="27" t="inlineStr">
        <is>
          <t>Lisa Park</t>
        </is>
      </c>
      <c r="I8" s="28" t="inlineStr">
        <is>
          <t>Medium</t>
        </is>
      </c>
      <c r="J8" s="27" t="inlineStr">
        <is>
          <t>Action Raised</t>
        </is>
      </c>
      <c r="K8" s="27" t="inlineStr">
        <is>
          <t>Fix condition</t>
        </is>
      </c>
      <c r="L8" s="26" t="n">
        <v>46111</v>
      </c>
      <c r="M8" s="28" t="inlineStr">
        <is>
          <t>Pending</t>
        </is>
      </c>
    </row>
    <row r="9" ht="15" customHeight="1" s="15">
      <c r="A9" s="31" t="n">
        <v>4</v>
      </c>
      <c r="B9" s="32" t="inlineStr">
        <is>
          <t>UC-004</t>
        </is>
      </c>
      <c r="C9" s="33" t="n">
        <v>46194</v>
      </c>
      <c r="D9" s="31">
        <f>IF(C9="","",TEXT(C9,"MMM"))</f>
        <v/>
      </c>
      <c r="E9" s="34" t="inlineStr">
        <is>
          <t>Poor Lighting</t>
        </is>
      </c>
      <c r="F9" s="35" t="inlineStr">
        <is>
          <t>Logistics</t>
        </is>
      </c>
      <c r="G9" s="35" t="inlineStr">
        <is>
          <t>Plant A</t>
        </is>
      </c>
      <c r="H9" s="34" t="inlineStr">
        <is>
          <t>Ahmed Khan</t>
        </is>
      </c>
      <c r="I9" s="35" t="inlineStr">
        <is>
          <t>Medium</t>
        </is>
      </c>
      <c r="J9" s="34" t="inlineStr">
        <is>
          <t>Under Review</t>
        </is>
      </c>
      <c r="K9" s="34" t="inlineStr">
        <is>
          <t>Retrain</t>
        </is>
      </c>
      <c r="L9" s="33" t="n">
        <v>46108</v>
      </c>
      <c r="M9" s="35" t="inlineStr">
        <is>
          <t>Pending</t>
        </is>
      </c>
    </row>
    <row r="10" ht="15" customHeight="1" s="15">
      <c r="A10" s="24" t="n">
        <v>5</v>
      </c>
      <c r="B10" s="25" t="inlineStr">
        <is>
          <t>UC-005</t>
        </is>
      </c>
      <c r="C10" s="26" t="n">
        <v>46058</v>
      </c>
      <c r="D10" s="24">
        <f>IF(C10="","",TEXT(C10,"MMM"))</f>
        <v/>
      </c>
      <c r="E10" s="27" t="inlineStr">
        <is>
          <t>Damaged Scaffold</t>
        </is>
      </c>
      <c r="F10" s="28" t="inlineStr">
        <is>
          <t>Quality</t>
        </is>
      </c>
      <c r="G10" s="28" t="inlineStr">
        <is>
          <t>Office</t>
        </is>
      </c>
      <c r="H10" s="27" t="inlineStr">
        <is>
          <t>David Chen</t>
        </is>
      </c>
      <c r="I10" s="28" t="inlineStr">
        <is>
          <t>Medium</t>
        </is>
      </c>
      <c r="J10" s="27" t="inlineStr">
        <is>
          <t>Pending</t>
        </is>
      </c>
      <c r="K10" s="27" t="n"/>
      <c r="L10" s="26" t="n"/>
      <c r="M10" s="28" t="inlineStr">
        <is>
          <t>In Progress</t>
        </is>
      </c>
    </row>
    <row r="11" ht="21.75" customHeight="1" s="15">
      <c r="A11" s="31" t="n">
        <v>6</v>
      </c>
      <c r="B11" s="32" t="inlineStr">
        <is>
          <t>UC-006</t>
        </is>
      </c>
      <c r="C11" s="33" t="n">
        <v>46368</v>
      </c>
      <c r="D11" s="31">
        <f>IF(C11="","",TEXT(C11,"MMM"))</f>
        <v/>
      </c>
      <c r="E11" s="34" t="inlineStr">
        <is>
          <t>Oil Spill on Floor</t>
        </is>
      </c>
      <c r="F11" s="35" t="inlineStr">
        <is>
          <t>Logistics</t>
        </is>
      </c>
      <c r="G11" s="35" t="inlineStr">
        <is>
          <t>Workshop</t>
        </is>
      </c>
      <c r="H11" s="34" t="inlineStr">
        <is>
          <t>Ahmed Khan</t>
        </is>
      </c>
      <c r="I11" s="35" t="inlineStr">
        <is>
          <t>Low</t>
        </is>
      </c>
      <c r="J11" s="34" t="inlineStr">
        <is>
          <t>Corrected Immediately</t>
        </is>
      </c>
      <c r="K11" s="34" t="inlineStr">
        <is>
          <t>Replace equipment</t>
        </is>
      </c>
      <c r="L11" s="33" t="n">
        <v>46149</v>
      </c>
      <c r="M11" s="35" t="inlineStr">
        <is>
          <t>Overdue</t>
        </is>
      </c>
    </row>
    <row r="12" ht="21.75" customHeight="1" s="15">
      <c r="A12" s="24" t="n">
        <v>7</v>
      </c>
      <c r="B12" s="25" t="inlineStr">
        <is>
          <t>UC-007</t>
        </is>
      </c>
      <c r="C12" s="26" t="n">
        <v>46085</v>
      </c>
      <c r="D12" s="24">
        <f>IF(C12="","",TEXT(C12,"MMM"))</f>
        <v/>
      </c>
      <c r="E12" s="27" t="inlineStr">
        <is>
          <t>Damaged Scaffold</t>
        </is>
      </c>
      <c r="F12" s="28" t="inlineStr">
        <is>
          <t>Projects</t>
        </is>
      </c>
      <c r="G12" s="28" t="inlineStr">
        <is>
          <t>Field Site</t>
        </is>
      </c>
      <c r="H12" s="27" t="inlineStr">
        <is>
          <t>Raj Patel</t>
        </is>
      </c>
      <c r="I12" s="28" t="inlineStr">
        <is>
          <t>High</t>
        </is>
      </c>
      <c r="J12" s="27" t="inlineStr">
        <is>
          <t>Corrected Immediately</t>
        </is>
      </c>
      <c r="K12" s="27" t="inlineStr">
        <is>
          <t>Fix condition</t>
        </is>
      </c>
      <c r="L12" s="26" t="n">
        <v>46277</v>
      </c>
      <c r="M12" s="28" t="inlineStr">
        <is>
          <t>Overdue</t>
        </is>
      </c>
    </row>
    <row r="13" ht="15" customHeight="1" s="15">
      <c r="A13" s="31" t="n">
        <v>8</v>
      </c>
      <c r="B13" s="32" t="inlineStr">
        <is>
          <t>UC-008</t>
        </is>
      </c>
      <c r="C13" s="33" t="n">
        <v>46225</v>
      </c>
      <c r="D13" s="31">
        <f>IF(C13="","",TEXT(C13,"MMM"))</f>
        <v/>
      </c>
      <c r="E13" s="34" t="inlineStr">
        <is>
          <t>Poor Lighting</t>
        </is>
      </c>
      <c r="F13" s="35" t="inlineStr">
        <is>
          <t>Logistics</t>
        </is>
      </c>
      <c r="G13" s="35" t="inlineStr">
        <is>
          <t>Tank Farm</t>
        </is>
      </c>
      <c r="H13" s="34" t="inlineStr">
        <is>
          <t>Fatima Al-Said</t>
        </is>
      </c>
      <c r="I13" s="35" t="inlineStr">
        <is>
          <t>High</t>
        </is>
      </c>
      <c r="J13" s="34" t="inlineStr">
        <is>
          <t>Action Raised</t>
        </is>
      </c>
      <c r="K13" s="34" t="inlineStr">
        <is>
          <t>Install barrier</t>
        </is>
      </c>
      <c r="L13" s="33" t="n"/>
      <c r="M13" s="35" t="inlineStr">
        <is>
          <t>In Progress</t>
        </is>
      </c>
    </row>
    <row r="14" ht="21.75" customHeight="1" s="15">
      <c r="A14" s="24" t="n">
        <v>9</v>
      </c>
      <c r="B14" s="25" t="inlineStr">
        <is>
          <t>UC-009</t>
        </is>
      </c>
      <c r="C14" s="26" t="n">
        <v>46361</v>
      </c>
      <c r="D14" s="24">
        <f>IF(C14="","",TEXT(C14,"MMM"))</f>
        <v/>
      </c>
      <c r="E14" s="27" t="inlineStr">
        <is>
          <t>Missing Fire Extinguisher</t>
        </is>
      </c>
      <c r="F14" s="28" t="inlineStr">
        <is>
          <t>Operations</t>
        </is>
      </c>
      <c r="G14" s="28" t="inlineStr">
        <is>
          <t>Warehouse</t>
        </is>
      </c>
      <c r="H14" s="27" t="inlineStr">
        <is>
          <t>Sarah Wilson</t>
        </is>
      </c>
      <c r="I14" s="28" t="inlineStr">
        <is>
          <t>Medium</t>
        </is>
      </c>
      <c r="J14" s="27" t="inlineStr">
        <is>
          <t>Corrected Immediately</t>
        </is>
      </c>
      <c r="K14" s="27" t="inlineStr">
        <is>
          <t>Install barrier</t>
        </is>
      </c>
      <c r="L14" s="26" t="n">
        <v>46187</v>
      </c>
      <c r="M14" s="28" t="inlineStr">
        <is>
          <t>Completed</t>
        </is>
      </c>
    </row>
    <row r="15" ht="15" customHeight="1" s="15">
      <c r="A15" s="31" t="n">
        <v>10</v>
      </c>
      <c r="B15" s="32" t="inlineStr">
        <is>
          <t>UC-010</t>
        </is>
      </c>
      <c r="C15" s="33" t="n">
        <v>46297</v>
      </c>
      <c r="D15" s="31">
        <f>IF(C15="","",TEXT(C15,"MMM"))</f>
        <v/>
      </c>
      <c r="E15" s="34" t="inlineStr">
        <is>
          <t>Broken Handrail</t>
        </is>
      </c>
      <c r="F15" s="35" t="inlineStr">
        <is>
          <t>Operations</t>
        </is>
      </c>
      <c r="G15" s="35" t="inlineStr">
        <is>
          <t>Plant A</t>
        </is>
      </c>
      <c r="H15" s="34" t="inlineStr">
        <is>
          <t>Sarah Wilson</t>
        </is>
      </c>
      <c r="I15" s="35" t="inlineStr">
        <is>
          <t>Medium</t>
        </is>
      </c>
      <c r="J15" s="34" t="inlineStr">
        <is>
          <t>Pending</t>
        </is>
      </c>
      <c r="K15" s="34" t="inlineStr">
        <is>
          <t>Install barrier</t>
        </is>
      </c>
      <c r="L15" s="33" t="n"/>
      <c r="M15" s="35" t="inlineStr">
        <is>
          <t>Overdue</t>
        </is>
      </c>
    </row>
    <row r="16" ht="21.75" customHeight="1" s="15">
      <c r="A16" s="24" t="n">
        <v>11</v>
      </c>
      <c r="B16" s="25" t="inlineStr">
        <is>
          <t>UC-011</t>
        </is>
      </c>
      <c r="C16" s="26" t="n">
        <v>46257</v>
      </c>
      <c r="D16" s="24">
        <f>IF(C16="","",TEXT(C16,"MMM"))</f>
        <v/>
      </c>
      <c r="E16" s="27" t="inlineStr">
        <is>
          <t>Poor Lighting</t>
        </is>
      </c>
      <c r="F16" s="28" t="inlineStr">
        <is>
          <t>Construction</t>
        </is>
      </c>
      <c r="G16" s="28" t="inlineStr">
        <is>
          <t>Plant A</t>
        </is>
      </c>
      <c r="H16" s="27" t="inlineStr">
        <is>
          <t>John Smith</t>
        </is>
      </c>
      <c r="I16" s="28" t="inlineStr">
        <is>
          <t>Medium</t>
        </is>
      </c>
      <c r="J16" s="27" t="inlineStr">
        <is>
          <t>Corrected Immediately</t>
        </is>
      </c>
      <c r="K16" s="27" t="inlineStr">
        <is>
          <t>Replace equipment</t>
        </is>
      </c>
      <c r="L16" s="26" t="n">
        <v>46322</v>
      </c>
      <c r="M16" s="28" t="inlineStr">
        <is>
          <t>Pending</t>
        </is>
      </c>
    </row>
    <row r="17" ht="15" customHeight="1" s="15">
      <c r="A17" s="31" t="n">
        <v>12</v>
      </c>
      <c r="B17" s="32" t="inlineStr">
        <is>
          <t>UC-012</t>
        </is>
      </c>
      <c r="C17" s="33" t="n">
        <v>46070</v>
      </c>
      <c r="D17" s="31">
        <f>IF(C17="","",TEXT(C17,"MMM"))</f>
        <v/>
      </c>
      <c r="E17" s="34" t="inlineStr">
        <is>
          <t>Broken Handrail</t>
        </is>
      </c>
      <c r="F17" s="35" t="inlineStr">
        <is>
          <t>Safety</t>
        </is>
      </c>
      <c r="G17" s="35" t="inlineStr">
        <is>
          <t>Plant B</t>
        </is>
      </c>
      <c r="H17" s="34" t="inlineStr">
        <is>
          <t>Sarah Wilson</t>
        </is>
      </c>
      <c r="I17" s="35" t="inlineStr">
        <is>
          <t>Medium</t>
        </is>
      </c>
      <c r="J17" s="34" t="inlineStr">
        <is>
          <t>Action Raised</t>
        </is>
      </c>
      <c r="K17" s="34" t="inlineStr">
        <is>
          <t>Add signage</t>
        </is>
      </c>
      <c r="L17" s="33" t="n"/>
      <c r="M17" s="35" t="inlineStr">
        <is>
          <t>Overdue</t>
        </is>
      </c>
    </row>
    <row r="18" ht="15" customHeight="1" s="15">
      <c r="A18" s="24" t="n">
        <v>13</v>
      </c>
      <c r="B18" s="25" t="inlineStr">
        <is>
          <t>UC-013</t>
        </is>
      </c>
      <c r="C18" s="26" t="n">
        <v>46272</v>
      </c>
      <c r="D18" s="24">
        <f>IF(C18="","",TEXT(C18,"MMM"))</f>
        <v/>
      </c>
      <c r="E18" s="27" t="inlineStr">
        <is>
          <t>Blocked Emergency Exit</t>
        </is>
      </c>
      <c r="F18" s="28" t="inlineStr">
        <is>
          <t>Quality</t>
        </is>
      </c>
      <c r="G18" s="28" t="inlineStr">
        <is>
          <t>Field Site</t>
        </is>
      </c>
      <c r="H18" s="27" t="inlineStr">
        <is>
          <t>Raj Patel</t>
        </is>
      </c>
      <c r="I18" s="28" t="inlineStr">
        <is>
          <t>High</t>
        </is>
      </c>
      <c r="J18" s="27" t="inlineStr">
        <is>
          <t>Pending</t>
        </is>
      </c>
      <c r="K18" s="27" t="inlineStr">
        <is>
          <t>Retrain</t>
        </is>
      </c>
      <c r="L18" s="26" t="n">
        <v>46255</v>
      </c>
      <c r="M18" s="28" t="inlineStr">
        <is>
          <t>Completed</t>
        </is>
      </c>
    </row>
    <row r="19" ht="21.75" customHeight="1" s="15">
      <c r="A19" s="31" t="n">
        <v>14</v>
      </c>
      <c r="B19" s="32" t="inlineStr">
        <is>
          <t>UC-014</t>
        </is>
      </c>
      <c r="C19" s="33" t="n">
        <v>46044</v>
      </c>
      <c r="D19" s="31">
        <f>IF(C19="","",TEXT(C19,"MMM"))</f>
        <v/>
      </c>
      <c r="E19" s="34" t="inlineStr">
        <is>
          <t>Broken Handrail</t>
        </is>
      </c>
      <c r="F19" s="35" t="inlineStr">
        <is>
          <t>Maintenance</t>
        </is>
      </c>
      <c r="G19" s="35" t="inlineStr">
        <is>
          <t>Tank Farm</t>
        </is>
      </c>
      <c r="H19" s="34" t="inlineStr">
        <is>
          <t>Raj Patel</t>
        </is>
      </c>
      <c r="I19" s="35" t="inlineStr">
        <is>
          <t>High</t>
        </is>
      </c>
      <c r="J19" s="34" t="inlineStr">
        <is>
          <t>Corrected Immediately</t>
        </is>
      </c>
      <c r="K19" s="34" t="inlineStr">
        <is>
          <t>Replace equipment</t>
        </is>
      </c>
      <c r="L19" s="33" t="n">
        <v>46173</v>
      </c>
      <c r="M19" s="35" t="inlineStr">
        <is>
          <t>Pending</t>
        </is>
      </c>
    </row>
    <row r="20" ht="15" customHeight="1" s="15">
      <c r="A20" s="24" t="n">
        <v>15</v>
      </c>
      <c r="B20" s="25" t="inlineStr">
        <is>
          <t>UC-015</t>
        </is>
      </c>
      <c r="C20" s="26" t="n">
        <v>46151</v>
      </c>
      <c r="D20" s="24">
        <f>IF(C20="","",TEXT(C20,"MMM"))</f>
        <v/>
      </c>
      <c r="E20" s="27" t="inlineStr">
        <is>
          <t>Leaking Pipe</t>
        </is>
      </c>
      <c r="F20" s="28" t="inlineStr">
        <is>
          <t>Operations</t>
        </is>
      </c>
      <c r="G20" s="28" t="inlineStr">
        <is>
          <t>Plant B</t>
        </is>
      </c>
      <c r="H20" s="27" t="inlineStr">
        <is>
          <t>Raj Patel</t>
        </is>
      </c>
      <c r="I20" s="28" t="inlineStr">
        <is>
          <t>High</t>
        </is>
      </c>
      <c r="J20" s="27" t="inlineStr">
        <is>
          <t>Under Review</t>
        </is>
      </c>
      <c r="K20" s="27" t="inlineStr">
        <is>
          <t>Fix condition</t>
        </is>
      </c>
      <c r="L20" s="26" t="n">
        <v>46193</v>
      </c>
      <c r="M20" s="28" t="inlineStr">
        <is>
          <t>Completed</t>
        </is>
      </c>
    </row>
    <row r="21" ht="15" customHeight="1" s="15">
      <c r="A21" s="31" t="n">
        <v>16</v>
      </c>
      <c r="B21" s="32" t="inlineStr">
        <is>
          <t>UC-016</t>
        </is>
      </c>
      <c r="C21" s="33" t="n">
        <v>46023</v>
      </c>
      <c r="D21" s="31">
        <f>IF(C21="","",TEXT(C21,"MMM"))</f>
        <v/>
      </c>
      <c r="E21" s="34" t="inlineStr">
        <is>
          <t>Poor Lighting</t>
        </is>
      </c>
      <c r="F21" s="35" t="inlineStr">
        <is>
          <t>Engineering</t>
        </is>
      </c>
      <c r="G21" s="35" t="inlineStr">
        <is>
          <t>Control Room</t>
        </is>
      </c>
      <c r="H21" s="34" t="inlineStr">
        <is>
          <t>Fatima Al-Said</t>
        </is>
      </c>
      <c r="I21" s="35" t="inlineStr">
        <is>
          <t>Medium</t>
        </is>
      </c>
      <c r="J21" s="34" t="inlineStr">
        <is>
          <t>Under Review</t>
        </is>
      </c>
      <c r="K21" s="34" t="inlineStr">
        <is>
          <t>Replace equipment</t>
        </is>
      </c>
      <c r="L21" s="33" t="n"/>
      <c r="M21" s="35" t="inlineStr">
        <is>
          <t>Overdue</t>
        </is>
      </c>
    </row>
    <row r="22" ht="15" customHeight="1" s="15">
      <c r="A22" s="24" t="n">
        <v>17</v>
      </c>
      <c r="B22" s="25" t="inlineStr">
        <is>
          <t>UC-017</t>
        </is>
      </c>
      <c r="C22" s="26" t="n">
        <v>46085</v>
      </c>
      <c r="D22" s="24">
        <f>IF(C22="","",TEXT(C22,"MMM"))</f>
        <v/>
      </c>
      <c r="E22" s="27" t="inlineStr">
        <is>
          <t>Damaged Scaffold</t>
        </is>
      </c>
      <c r="F22" s="28" t="inlineStr">
        <is>
          <t>Quality</t>
        </is>
      </c>
      <c r="G22" s="28" t="inlineStr">
        <is>
          <t>Tank Farm</t>
        </is>
      </c>
      <c r="H22" s="27" t="inlineStr">
        <is>
          <t>John Smith</t>
        </is>
      </c>
      <c r="I22" s="28" t="inlineStr">
        <is>
          <t>Medium</t>
        </is>
      </c>
      <c r="J22" s="27" t="inlineStr">
        <is>
          <t>Pending</t>
        </is>
      </c>
      <c r="K22" s="27" t="inlineStr">
        <is>
          <t>Install barrier</t>
        </is>
      </c>
      <c r="L22" s="26" t="n">
        <v>46092</v>
      </c>
      <c r="M22" s="28" t="inlineStr">
        <is>
          <t>Completed</t>
        </is>
      </c>
    </row>
    <row r="23" ht="15" customHeight="1" s="15">
      <c r="A23" s="31" t="n">
        <v>18</v>
      </c>
      <c r="B23" s="32" t="inlineStr">
        <is>
          <t>UC-018</t>
        </is>
      </c>
      <c r="C23" s="33" t="n">
        <v>46085</v>
      </c>
      <c r="D23" s="31">
        <f>IF(C23="","",TEXT(C23,"MMM"))</f>
        <v/>
      </c>
      <c r="E23" s="34" t="inlineStr">
        <is>
          <t>Damaged Scaffold</t>
        </is>
      </c>
      <c r="F23" s="35" t="inlineStr">
        <is>
          <t>Contractor</t>
        </is>
      </c>
      <c r="G23" s="35" t="inlineStr">
        <is>
          <t>Tank Farm</t>
        </is>
      </c>
      <c r="H23" s="34" t="inlineStr">
        <is>
          <t>Lisa Park</t>
        </is>
      </c>
      <c r="I23" s="35" t="inlineStr">
        <is>
          <t>Low</t>
        </is>
      </c>
      <c r="J23" s="34" t="inlineStr">
        <is>
          <t>Pending</t>
        </is>
      </c>
      <c r="K23" s="34" t="inlineStr">
        <is>
          <t>Retrain</t>
        </is>
      </c>
      <c r="L23" s="33" t="n">
        <v>46196</v>
      </c>
      <c r="M23" s="35" t="inlineStr">
        <is>
          <t>In Progress</t>
        </is>
      </c>
    </row>
    <row r="24">
      <c r="A24">
        <f>IF($B24="","",ROW()-5)</f>
        <v/>
      </c>
      <c r="D24">
        <f>IF($B24="","",IF(C24="","",TEXT(C24,"MMM")))</f>
        <v/>
      </c>
    </row>
    <row r="25">
      <c r="A25">
        <f>IF($B25="","",ROW()-5)</f>
        <v/>
      </c>
      <c r="D25">
        <f>IF($B25="","",IF(C25="","",TEXT(C25,"MMM")))</f>
        <v/>
      </c>
    </row>
    <row r="26">
      <c r="A26">
        <f>IF($B26="","",ROW()-5)</f>
        <v/>
      </c>
      <c r="D26">
        <f>IF($B26="","",IF(C26="","",TEXT(C26,"MMM")))</f>
        <v/>
      </c>
    </row>
    <row r="27">
      <c r="A27">
        <f>IF($B27="","",ROW()-5)</f>
        <v/>
      </c>
      <c r="D27">
        <f>IF($B27="","",IF(C27="","",TEXT(C27,"MMM")))</f>
        <v/>
      </c>
    </row>
    <row r="28">
      <c r="A28">
        <f>IF($B28="","",ROW()-5)</f>
        <v/>
      </c>
      <c r="D28">
        <f>IF($B28="","",IF(C28="","",TEXT(C28,"MMM")))</f>
        <v/>
      </c>
    </row>
    <row r="29">
      <c r="A29">
        <f>IF($B29="","",ROW()-5)</f>
        <v/>
      </c>
      <c r="D29">
        <f>IF($B29="","",IF(C29="","",TEXT(C29,"MMM")))</f>
        <v/>
      </c>
    </row>
    <row r="30">
      <c r="A30">
        <f>IF($B30="","",ROW()-5)</f>
        <v/>
      </c>
      <c r="D30">
        <f>IF($B30="","",IF(C30="","",TEXT(C30,"MMM")))</f>
        <v/>
      </c>
    </row>
    <row r="31">
      <c r="A31">
        <f>IF($B31="","",ROW()-5)</f>
        <v/>
      </c>
      <c r="D31">
        <f>IF($B31="","",IF(C31="","",TEXT(C31,"MMM")))</f>
        <v/>
      </c>
    </row>
    <row r="32">
      <c r="A32">
        <f>IF($B32="","",ROW()-5)</f>
        <v/>
      </c>
      <c r="D32">
        <f>IF($B32="","",IF(C32="","",TEXT(C32,"MMM")))</f>
        <v/>
      </c>
    </row>
    <row r="33">
      <c r="A33">
        <f>IF($B33="","",ROW()-5)</f>
        <v/>
      </c>
      <c r="D33">
        <f>IF($B33="","",IF(C33="","",TEXT(C33,"MMM")))</f>
        <v/>
      </c>
    </row>
    <row r="34">
      <c r="A34">
        <f>IF($B34="","",ROW()-5)</f>
        <v/>
      </c>
      <c r="D34">
        <f>IF($B34="","",IF(C34="","",TEXT(C34,"MMM")))</f>
        <v/>
      </c>
    </row>
    <row r="35">
      <c r="A35">
        <f>IF($B35="","",ROW()-5)</f>
        <v/>
      </c>
      <c r="D35">
        <f>IF($B35="","",IF(C35="","",TEXT(C35,"MMM")))</f>
        <v/>
      </c>
    </row>
    <row r="36">
      <c r="A36">
        <f>IF($B36="","",ROW()-5)</f>
        <v/>
      </c>
      <c r="D36">
        <f>IF($B36="","",IF(C36="","",TEXT(C36,"MMM")))</f>
        <v/>
      </c>
    </row>
    <row r="37">
      <c r="A37">
        <f>IF($B37="","",ROW()-5)</f>
        <v/>
      </c>
      <c r="D37">
        <f>IF($B37="","",IF(C37="","",TEXT(C37,"MMM")))</f>
        <v/>
      </c>
    </row>
    <row r="38">
      <c r="A38">
        <f>IF($B38="","",ROW()-5)</f>
        <v/>
      </c>
      <c r="D38">
        <f>IF($B38="","",IF(C38="","",TEXT(C38,"MMM")))</f>
        <v/>
      </c>
    </row>
    <row r="39">
      <c r="A39">
        <f>IF($B39="","",ROW()-5)</f>
        <v/>
      </c>
      <c r="D39">
        <f>IF($B39="","",IF(C39="","",TEXT(C39,"MMM")))</f>
        <v/>
      </c>
    </row>
    <row r="40">
      <c r="A40">
        <f>IF($B40="","",ROW()-5)</f>
        <v/>
      </c>
      <c r="D40">
        <f>IF($B40="","",IF(C40="","",TEXT(C40,"MMM")))</f>
        <v/>
      </c>
    </row>
    <row r="41">
      <c r="A41">
        <f>IF($B41="","",ROW()-5)</f>
        <v/>
      </c>
      <c r="D41">
        <f>IF($B41="","",IF(C41="","",TEXT(C41,"MMM")))</f>
        <v/>
      </c>
    </row>
    <row r="42">
      <c r="A42">
        <f>IF($B42="","",ROW()-5)</f>
        <v/>
      </c>
      <c r="D42">
        <f>IF($B42="","",IF(C42="","",TEXT(C42,"MMM")))</f>
        <v/>
      </c>
    </row>
    <row r="43">
      <c r="A43">
        <f>IF($B43="","",ROW()-5)</f>
        <v/>
      </c>
      <c r="D43">
        <f>IF($B43="","",IF(C43="","",TEXT(C43,"MMM")))</f>
        <v/>
      </c>
    </row>
    <row r="44">
      <c r="A44">
        <f>IF($B44="","",ROW()-5)</f>
        <v/>
      </c>
      <c r="D44">
        <f>IF($B44="","",IF(C44="","",TEXT(C44,"MMM")))</f>
        <v/>
      </c>
    </row>
    <row r="45">
      <c r="A45">
        <f>IF($B45="","",ROW()-5)</f>
        <v/>
      </c>
      <c r="D45">
        <f>IF($B45="","",IF(C45="","",TEXT(C45,"MMM")))</f>
        <v/>
      </c>
    </row>
    <row r="46">
      <c r="A46">
        <f>IF($B46="","",ROW()-5)</f>
        <v/>
      </c>
      <c r="D46">
        <f>IF($B46="","",IF(C46="","",TEXT(C46,"MMM")))</f>
        <v/>
      </c>
    </row>
    <row r="47">
      <c r="A47">
        <f>IF($B47="","",ROW()-5)</f>
        <v/>
      </c>
      <c r="D47">
        <f>IF($B47="","",IF(C47="","",TEXT(C47,"MMM")))</f>
        <v/>
      </c>
    </row>
    <row r="48">
      <c r="A48">
        <f>IF($B48="","",ROW()-5)</f>
        <v/>
      </c>
      <c r="D48">
        <f>IF($B48="","",IF(C48="","",TEXT(C48,"MMM")))</f>
        <v/>
      </c>
    </row>
    <row r="49">
      <c r="A49">
        <f>IF($B49="","",ROW()-5)</f>
        <v/>
      </c>
      <c r="D49">
        <f>IF($B49="","",IF(C49="","",TEXT(C49,"MMM")))</f>
        <v/>
      </c>
    </row>
    <row r="50">
      <c r="A50">
        <f>IF($B50="","",ROW()-5)</f>
        <v/>
      </c>
      <c r="D50">
        <f>IF($B50="","",IF(C50="","",TEXT(C50,"MMM")))</f>
        <v/>
      </c>
    </row>
    <row r="51">
      <c r="A51">
        <f>IF($B51="","",ROW()-5)</f>
        <v/>
      </c>
      <c r="D51">
        <f>IF($B51="","",IF(C51="","",TEXT(C51,"MMM")))</f>
        <v/>
      </c>
    </row>
    <row r="52">
      <c r="A52">
        <f>IF($B52="","",ROW()-5)</f>
        <v/>
      </c>
      <c r="D52">
        <f>IF($B52="","",IF(C52="","",TEXT(C52,"MMM")))</f>
        <v/>
      </c>
    </row>
    <row r="53">
      <c r="A53">
        <f>IF($B53="","",ROW()-5)</f>
        <v/>
      </c>
      <c r="D53">
        <f>IF($B53="","",IF(C53="","",TEXT(C53,"MMM")))</f>
        <v/>
      </c>
    </row>
    <row r="54">
      <c r="A54">
        <f>IF($B54="","",ROW()-5)</f>
        <v/>
      </c>
      <c r="D54">
        <f>IF($B54="","",IF(C54="","",TEXT(C54,"MMM")))</f>
        <v/>
      </c>
    </row>
    <row r="55">
      <c r="A55">
        <f>IF($B55="","",ROW()-5)</f>
        <v/>
      </c>
      <c r="D55">
        <f>IF($B55="","",IF(C55="","",TEXT(C55,"MMM")))</f>
        <v/>
      </c>
    </row>
    <row r="56">
      <c r="A56">
        <f>IF($B56="","",ROW()-5)</f>
        <v/>
      </c>
      <c r="D56">
        <f>IF($B56="","",IF(C56="","",TEXT(C56,"MMM")))</f>
        <v/>
      </c>
    </row>
    <row r="57">
      <c r="A57">
        <f>IF($B57="","",ROW()-5)</f>
        <v/>
      </c>
      <c r="D57">
        <f>IF($B57="","",IF(C57="","",TEXT(C57,"MMM")))</f>
        <v/>
      </c>
    </row>
    <row r="58">
      <c r="A58">
        <f>IF($B58="","",ROW()-5)</f>
        <v/>
      </c>
      <c r="D58">
        <f>IF($B58="","",IF(C58="","",TEXT(C58,"MMM")))</f>
        <v/>
      </c>
    </row>
    <row r="59">
      <c r="A59">
        <f>IF($B59="","",ROW()-5)</f>
        <v/>
      </c>
      <c r="D59">
        <f>IF($B59="","",IF(C59="","",TEXT(C59,"MMM")))</f>
        <v/>
      </c>
    </row>
    <row r="60">
      <c r="A60">
        <f>IF($B60="","",ROW()-5)</f>
        <v/>
      </c>
      <c r="D60">
        <f>IF($B60="","",IF(C60="","",TEXT(C60,"MMM")))</f>
        <v/>
      </c>
    </row>
    <row r="61">
      <c r="A61">
        <f>IF($B61="","",ROW()-5)</f>
        <v/>
      </c>
      <c r="D61">
        <f>IF($B61="","",IF(C61="","",TEXT(C61,"MMM")))</f>
        <v/>
      </c>
    </row>
    <row r="62">
      <c r="A62">
        <f>IF($B62="","",ROW()-5)</f>
        <v/>
      </c>
      <c r="D62">
        <f>IF($B62="","",IF(C62="","",TEXT(C62,"MMM")))</f>
        <v/>
      </c>
    </row>
    <row r="63">
      <c r="A63">
        <f>IF($B63="","",ROW()-5)</f>
        <v/>
      </c>
      <c r="D63">
        <f>IF($B63="","",IF(C63="","",TEXT(C63,"MMM")))</f>
        <v/>
      </c>
    </row>
    <row r="64">
      <c r="A64">
        <f>IF($B64="","",ROW()-5)</f>
        <v/>
      </c>
      <c r="D64">
        <f>IF($B64="","",IF(C64="","",TEXT(C64,"MMM")))</f>
        <v/>
      </c>
    </row>
    <row r="65">
      <c r="A65">
        <f>IF($B65="","",ROW()-5)</f>
        <v/>
      </c>
      <c r="D65">
        <f>IF($B65="","",IF(C65="","",TEXT(C65,"MMM")))</f>
        <v/>
      </c>
    </row>
    <row r="66">
      <c r="A66">
        <f>IF($B66="","",ROW()-5)</f>
        <v/>
      </c>
      <c r="D66">
        <f>IF($B66="","",IF(C66="","",TEXT(C66,"MMM")))</f>
        <v/>
      </c>
    </row>
    <row r="67">
      <c r="A67">
        <f>IF($B67="","",ROW()-5)</f>
        <v/>
      </c>
      <c r="D67">
        <f>IF($B67="","",IF(C67="","",TEXT(C67,"MMM")))</f>
        <v/>
      </c>
    </row>
    <row r="68">
      <c r="A68">
        <f>IF($B68="","",ROW()-5)</f>
        <v/>
      </c>
      <c r="D68">
        <f>IF($B68="","",IF(C68="","",TEXT(C68,"MMM")))</f>
        <v/>
      </c>
    </row>
    <row r="69">
      <c r="A69">
        <f>IF($B69="","",ROW()-5)</f>
        <v/>
      </c>
      <c r="D69">
        <f>IF($B69="","",IF(C69="","",TEXT(C69,"MMM")))</f>
        <v/>
      </c>
    </row>
    <row r="70">
      <c r="A70">
        <f>IF($B70="","",ROW()-5)</f>
        <v/>
      </c>
      <c r="D70">
        <f>IF($B70="","",IF(C70="","",TEXT(C70,"MMM")))</f>
        <v/>
      </c>
    </row>
    <row r="71">
      <c r="A71">
        <f>IF($B71="","",ROW()-5)</f>
        <v/>
      </c>
      <c r="D71">
        <f>IF($B71="","",IF(C71="","",TEXT(C71,"MMM")))</f>
        <v/>
      </c>
    </row>
    <row r="72">
      <c r="A72">
        <f>IF($B72="","",ROW()-5)</f>
        <v/>
      </c>
      <c r="D72">
        <f>IF($B72="","",IF(C72="","",TEXT(C72,"MMM")))</f>
        <v/>
      </c>
    </row>
    <row r="73">
      <c r="A73">
        <f>IF($B73="","",ROW()-5)</f>
        <v/>
      </c>
      <c r="D73">
        <f>IF($B73="","",IF(C73="","",TEXT(C73,"MMM")))</f>
        <v/>
      </c>
    </row>
    <row r="74">
      <c r="A74">
        <f>IF($B74="","",ROW()-5)</f>
        <v/>
      </c>
      <c r="D74">
        <f>IF($B74="","",IF(C74="","",TEXT(C74,"MMM")))</f>
        <v/>
      </c>
    </row>
    <row r="75">
      <c r="A75">
        <f>IF($B75="","",ROW()-5)</f>
        <v/>
      </c>
      <c r="D75">
        <f>IF($B75="","",IF(C75="","",TEXT(C75,"MMM")))</f>
        <v/>
      </c>
    </row>
    <row r="76">
      <c r="A76">
        <f>IF($B76="","",ROW()-5)</f>
        <v/>
      </c>
      <c r="D76">
        <f>IF($B76="","",IF(C76="","",TEXT(C76,"MMM")))</f>
        <v/>
      </c>
    </row>
    <row r="77">
      <c r="A77">
        <f>IF($B77="","",ROW()-5)</f>
        <v/>
      </c>
      <c r="D77">
        <f>IF($B77="","",IF(C77="","",TEXT(C77,"MMM")))</f>
        <v/>
      </c>
    </row>
    <row r="78">
      <c r="A78">
        <f>IF($B78="","",ROW()-5)</f>
        <v/>
      </c>
      <c r="D78">
        <f>IF($B78="","",IF(C78="","",TEXT(C78,"MMM")))</f>
        <v/>
      </c>
    </row>
    <row r="79">
      <c r="A79">
        <f>IF($B79="","",ROW()-5)</f>
        <v/>
      </c>
      <c r="D79">
        <f>IF($B79="","",IF(C79="","",TEXT(C79,"MMM")))</f>
        <v/>
      </c>
    </row>
    <row r="80">
      <c r="A80">
        <f>IF($B80="","",ROW()-5)</f>
        <v/>
      </c>
      <c r="D80">
        <f>IF($B80="","",IF(C80="","",TEXT(C80,"MMM")))</f>
        <v/>
      </c>
    </row>
    <row r="81">
      <c r="A81">
        <f>IF($B81="","",ROW()-5)</f>
        <v/>
      </c>
      <c r="D81">
        <f>IF($B81="","",IF(C81="","",TEXT(C81,"MMM")))</f>
        <v/>
      </c>
    </row>
    <row r="82">
      <c r="A82">
        <f>IF($B82="","",ROW()-5)</f>
        <v/>
      </c>
      <c r="D82">
        <f>IF($B82="","",IF(C82="","",TEXT(C82,"MMM")))</f>
        <v/>
      </c>
    </row>
    <row r="83">
      <c r="A83">
        <f>IF($B83="","",ROW()-5)</f>
        <v/>
      </c>
      <c r="D83">
        <f>IF($B83="","",IF(C83="","",TEXT(C83,"MMM")))</f>
        <v/>
      </c>
    </row>
    <row r="84">
      <c r="A84">
        <f>IF($B84="","",ROW()-5)</f>
        <v/>
      </c>
      <c r="D84">
        <f>IF($B84="","",IF(C84="","",TEXT(C84,"MMM")))</f>
        <v/>
      </c>
    </row>
    <row r="85">
      <c r="A85">
        <f>IF($B85="","",ROW()-5)</f>
        <v/>
      </c>
      <c r="D85">
        <f>IF($B85="","",IF(C85="","",TEXT(C85,"MMM")))</f>
        <v/>
      </c>
    </row>
    <row r="86">
      <c r="A86">
        <f>IF($B86="","",ROW()-5)</f>
        <v/>
      </c>
      <c r="D86">
        <f>IF($B86="","",IF(C86="","",TEXT(C86,"MMM")))</f>
        <v/>
      </c>
    </row>
    <row r="87">
      <c r="A87">
        <f>IF($B87="","",ROW()-5)</f>
        <v/>
      </c>
      <c r="D87">
        <f>IF($B87="","",IF(C87="","",TEXT(C87,"MMM")))</f>
        <v/>
      </c>
    </row>
    <row r="88">
      <c r="A88">
        <f>IF($B88="","",ROW()-5)</f>
        <v/>
      </c>
      <c r="D88">
        <f>IF($B88="","",IF(C88="","",TEXT(C88,"MMM")))</f>
        <v/>
      </c>
    </row>
    <row r="89">
      <c r="A89">
        <f>IF($B89="","",ROW()-5)</f>
        <v/>
      </c>
      <c r="D89">
        <f>IF($B89="","",IF(C89="","",TEXT(C89,"MMM")))</f>
        <v/>
      </c>
    </row>
    <row r="90">
      <c r="A90">
        <f>IF($B90="","",ROW()-5)</f>
        <v/>
      </c>
      <c r="D90">
        <f>IF($B90="","",IF(C90="","",TEXT(C90,"MMM")))</f>
        <v/>
      </c>
    </row>
    <row r="91">
      <c r="A91">
        <f>IF($B91="","",ROW()-5)</f>
        <v/>
      </c>
      <c r="D91">
        <f>IF($B91="","",IF(C91="","",TEXT(C91,"MMM")))</f>
        <v/>
      </c>
    </row>
    <row r="92">
      <c r="A92">
        <f>IF($B92="","",ROW()-5)</f>
        <v/>
      </c>
      <c r="D92">
        <f>IF($B92="","",IF(C92="","",TEXT(C92,"MMM")))</f>
        <v/>
      </c>
    </row>
    <row r="93">
      <c r="A93">
        <f>IF($B93="","",ROW()-5)</f>
        <v/>
      </c>
      <c r="D93">
        <f>IF($B93="","",IF(C93="","",TEXT(C93,"MMM")))</f>
        <v/>
      </c>
    </row>
    <row r="94">
      <c r="A94">
        <f>IF($B94="","",ROW()-5)</f>
        <v/>
      </c>
      <c r="D94">
        <f>IF($B94="","",IF(C94="","",TEXT(C94,"MMM")))</f>
        <v/>
      </c>
    </row>
    <row r="95">
      <c r="A95">
        <f>IF($B95="","",ROW()-5)</f>
        <v/>
      </c>
      <c r="D95">
        <f>IF($B95="","",IF(C95="","",TEXT(C95,"MMM")))</f>
        <v/>
      </c>
    </row>
    <row r="96">
      <c r="A96">
        <f>IF($B96="","",ROW()-5)</f>
        <v/>
      </c>
      <c r="D96">
        <f>IF($B96="","",IF(C96="","",TEXT(C96,"MMM")))</f>
        <v/>
      </c>
    </row>
    <row r="97">
      <c r="A97">
        <f>IF($B97="","",ROW()-5)</f>
        <v/>
      </c>
      <c r="D97">
        <f>IF($B97="","",IF(C97="","",TEXT(C97,"MMM")))</f>
        <v/>
      </c>
    </row>
    <row r="98">
      <c r="A98">
        <f>IF($B98="","",ROW()-5)</f>
        <v/>
      </c>
      <c r="D98">
        <f>IF($B98="","",IF(C98="","",TEXT(C98,"MMM")))</f>
        <v/>
      </c>
    </row>
    <row r="99">
      <c r="A99">
        <f>IF($B99="","",ROW()-5)</f>
        <v/>
      </c>
      <c r="D99">
        <f>IF($B99="","",IF(C99="","",TEXT(C99,"MMM")))</f>
        <v/>
      </c>
    </row>
    <row r="100">
      <c r="A100">
        <f>IF($B100="","",ROW()-5)</f>
        <v/>
      </c>
      <c r="D100">
        <f>IF($B100="","",IF(C100="","",TEXT(C100,"MMM")))</f>
        <v/>
      </c>
    </row>
    <row r="101">
      <c r="A101">
        <f>IF($B101="","",ROW()-5)</f>
        <v/>
      </c>
      <c r="D101">
        <f>IF($B101="","",IF(C101="","",TEXT(C101,"MMM")))</f>
        <v/>
      </c>
    </row>
    <row r="102">
      <c r="A102">
        <f>IF($B102="","",ROW()-5)</f>
        <v/>
      </c>
      <c r="D102">
        <f>IF($B102="","",IF(C102="","",TEXT(C102,"MMM")))</f>
        <v/>
      </c>
    </row>
    <row r="103">
      <c r="A103">
        <f>IF($B103="","",ROW()-5)</f>
        <v/>
      </c>
      <c r="D103">
        <f>IF($B103="","",IF(C103="","",TEXT(C103,"MMM")))</f>
        <v/>
      </c>
    </row>
    <row r="104">
      <c r="A104">
        <f>IF($B104="","",ROW()-5)</f>
        <v/>
      </c>
      <c r="D104">
        <f>IF($B104="","",IF(C104="","",TEXT(C104,"MMM")))</f>
        <v/>
      </c>
    </row>
    <row r="105">
      <c r="A105">
        <f>IF($B105="","",ROW()-5)</f>
        <v/>
      </c>
      <c r="D105">
        <f>IF($B105="","",IF(C105="","",TEXT(C105,"MMM")))</f>
        <v/>
      </c>
    </row>
    <row r="106">
      <c r="A106">
        <f>IF($B106="","",ROW()-5)</f>
        <v/>
      </c>
      <c r="D106">
        <f>IF($B106="","",IF(C106="","",TEXT(C106,"MMM")))</f>
        <v/>
      </c>
    </row>
    <row r="107">
      <c r="A107">
        <f>IF($B107="","",ROW()-5)</f>
        <v/>
      </c>
      <c r="D107">
        <f>IF($B107="","",IF(C107="","",TEXT(C107,"MMM")))</f>
        <v/>
      </c>
    </row>
    <row r="108">
      <c r="A108">
        <f>IF($B108="","",ROW()-5)</f>
        <v/>
      </c>
      <c r="D108">
        <f>IF($B108="","",IF(C108="","",TEXT(C108,"MMM")))</f>
        <v/>
      </c>
    </row>
    <row r="109">
      <c r="A109">
        <f>IF($B109="","",ROW()-5)</f>
        <v/>
      </c>
      <c r="D109">
        <f>IF($B109="","",IF(C109="","",TEXT(C109,"MMM")))</f>
        <v/>
      </c>
    </row>
    <row r="110">
      <c r="A110">
        <f>IF($B110="","",ROW()-5)</f>
        <v/>
      </c>
      <c r="D110">
        <f>IF($B110="","",IF(C110="","",TEXT(C110,"MMM")))</f>
        <v/>
      </c>
    </row>
    <row r="111">
      <c r="A111">
        <f>IF($B111="","",ROW()-5)</f>
        <v/>
      </c>
      <c r="D111">
        <f>IF($B111="","",IF(C111="","",TEXT(C111,"MMM")))</f>
        <v/>
      </c>
    </row>
    <row r="112">
      <c r="A112">
        <f>IF($B112="","",ROW()-5)</f>
        <v/>
      </c>
      <c r="D112">
        <f>IF($B112="","",IF(C112="","",TEXT(C112,"MMM")))</f>
        <v/>
      </c>
    </row>
    <row r="113">
      <c r="A113">
        <f>IF($B113="","",ROW()-5)</f>
        <v/>
      </c>
      <c r="D113">
        <f>IF($B113="","",IF(C113="","",TEXT(C113,"MMM")))</f>
        <v/>
      </c>
    </row>
    <row r="114">
      <c r="A114">
        <f>IF($B114="","",ROW()-5)</f>
        <v/>
      </c>
      <c r="D114">
        <f>IF($B114="","",IF(C114="","",TEXT(C114,"MMM")))</f>
        <v/>
      </c>
    </row>
    <row r="115">
      <c r="A115">
        <f>IF($B115="","",ROW()-5)</f>
        <v/>
      </c>
      <c r="D115">
        <f>IF($B115="","",IF(C115="","",TEXT(C115,"MMM")))</f>
        <v/>
      </c>
    </row>
    <row r="116">
      <c r="A116">
        <f>IF($B116="","",ROW()-5)</f>
        <v/>
      </c>
      <c r="D116">
        <f>IF($B116="","",IF(C116="","",TEXT(C116,"MMM")))</f>
        <v/>
      </c>
    </row>
    <row r="117">
      <c r="A117">
        <f>IF($B117="","",ROW()-5)</f>
        <v/>
      </c>
      <c r="D117">
        <f>IF($B117="","",IF(C117="","",TEXT(C117,"MMM")))</f>
        <v/>
      </c>
    </row>
    <row r="118">
      <c r="A118">
        <f>IF($B118="","",ROW()-5)</f>
        <v/>
      </c>
      <c r="D118">
        <f>IF($B118="","",IF(C118="","",TEXT(C118,"MMM")))</f>
        <v/>
      </c>
    </row>
    <row r="119">
      <c r="A119">
        <f>IF($B119="","",ROW()-5)</f>
        <v/>
      </c>
      <c r="D119">
        <f>IF($B119="","",IF(C119="","",TEXT(C119,"MMM")))</f>
        <v/>
      </c>
    </row>
    <row r="120">
      <c r="A120">
        <f>IF($B120="","",ROW()-5)</f>
        <v/>
      </c>
      <c r="D120">
        <f>IF($B120="","",IF(C120="","",TEXT(C120,"MMM")))</f>
        <v/>
      </c>
    </row>
    <row r="121">
      <c r="A121">
        <f>IF($B121="","",ROW()-5)</f>
        <v/>
      </c>
      <c r="D121">
        <f>IF($B121="","",IF(C121="","",TEXT(C121,"MMM")))</f>
        <v/>
      </c>
    </row>
    <row r="122">
      <c r="A122">
        <f>IF($B122="","",ROW()-5)</f>
        <v/>
      </c>
      <c r="D122">
        <f>IF($B122="","",IF(C122="","",TEXT(C122,"MMM")))</f>
        <v/>
      </c>
    </row>
    <row r="123">
      <c r="A123">
        <f>IF($B123="","",ROW()-5)</f>
        <v/>
      </c>
      <c r="D123">
        <f>IF($B123="","",IF(C123="","",TEXT(C123,"MMM")))</f>
        <v/>
      </c>
    </row>
    <row r="124">
      <c r="A124">
        <f>IF($B124="","",ROW()-5)</f>
        <v/>
      </c>
      <c r="D124">
        <f>IF($B124="","",IF(C124="","",TEXT(C124,"MMM")))</f>
        <v/>
      </c>
    </row>
    <row r="125">
      <c r="A125">
        <f>IF($B125="","",ROW()-5)</f>
        <v/>
      </c>
      <c r="D125">
        <f>IF($B125="","",IF(C125="","",TEXT(C125,"MMM")))</f>
        <v/>
      </c>
    </row>
    <row r="126">
      <c r="A126">
        <f>IF($B126="","",ROW()-5)</f>
        <v/>
      </c>
      <c r="D126">
        <f>IF($B126="","",IF(C126="","",TEXT(C126,"MMM")))</f>
        <v/>
      </c>
    </row>
    <row r="127">
      <c r="A127">
        <f>IF($B127="","",ROW()-5)</f>
        <v/>
      </c>
      <c r="D127">
        <f>IF($B127="","",IF(C127="","",TEXT(C127,"MMM")))</f>
        <v/>
      </c>
    </row>
    <row r="128">
      <c r="A128">
        <f>IF($B128="","",ROW()-5)</f>
        <v/>
      </c>
      <c r="D128">
        <f>IF($B128="","",IF(C128="","",TEXT(C128,"MMM")))</f>
        <v/>
      </c>
    </row>
    <row r="129">
      <c r="A129">
        <f>IF($B129="","",ROW()-5)</f>
        <v/>
      </c>
      <c r="D129">
        <f>IF($B129="","",IF(C129="","",TEXT(C129,"MMM")))</f>
        <v/>
      </c>
    </row>
    <row r="130">
      <c r="A130">
        <f>IF($B130="","",ROW()-5)</f>
        <v/>
      </c>
      <c r="D130">
        <f>IF($B130="","",IF(C130="","",TEXT(C130,"MMM")))</f>
        <v/>
      </c>
    </row>
    <row r="131">
      <c r="A131">
        <f>IF($B131="","",ROW()-5)</f>
        <v/>
      </c>
      <c r="D131">
        <f>IF($B131="","",IF(C131="","",TEXT(C131,"MMM")))</f>
        <v/>
      </c>
    </row>
    <row r="132">
      <c r="A132">
        <f>IF($B132="","",ROW()-5)</f>
        <v/>
      </c>
      <c r="D132">
        <f>IF($B132="","",IF(C132="","",TEXT(C132,"MMM")))</f>
        <v/>
      </c>
    </row>
    <row r="133">
      <c r="A133">
        <f>IF($B133="","",ROW()-5)</f>
        <v/>
      </c>
      <c r="D133">
        <f>IF($B133="","",IF(C133="","",TEXT(C133,"MMM")))</f>
        <v/>
      </c>
    </row>
    <row r="134">
      <c r="A134">
        <f>IF($B134="","",ROW()-5)</f>
        <v/>
      </c>
      <c r="D134">
        <f>IF($B134="","",IF(C134="","",TEXT(C134,"MMM")))</f>
        <v/>
      </c>
    </row>
    <row r="135">
      <c r="A135">
        <f>IF($B135="","",ROW()-5)</f>
        <v/>
      </c>
      <c r="D135">
        <f>IF($B135="","",IF(C135="","",TEXT(C135,"MMM")))</f>
        <v/>
      </c>
    </row>
    <row r="136">
      <c r="A136">
        <f>IF($B136="","",ROW()-5)</f>
        <v/>
      </c>
      <c r="D136">
        <f>IF($B136="","",IF(C136="","",TEXT(C136,"MMM")))</f>
        <v/>
      </c>
    </row>
    <row r="137">
      <c r="A137">
        <f>IF($B137="","",ROW()-5)</f>
        <v/>
      </c>
      <c r="D137">
        <f>IF($B137="","",IF(C137="","",TEXT(C137,"MMM")))</f>
        <v/>
      </c>
    </row>
    <row r="138">
      <c r="A138">
        <f>IF($B138="","",ROW()-5)</f>
        <v/>
      </c>
      <c r="D138">
        <f>IF($B138="","",IF(C138="","",TEXT(C138,"MMM")))</f>
        <v/>
      </c>
    </row>
    <row r="139">
      <c r="A139">
        <f>IF($B139="","",ROW()-5)</f>
        <v/>
      </c>
      <c r="D139">
        <f>IF($B139="","",IF(C139="","",TEXT(C139,"MMM")))</f>
        <v/>
      </c>
    </row>
    <row r="140">
      <c r="A140">
        <f>IF($B140="","",ROW()-5)</f>
        <v/>
      </c>
      <c r="D140">
        <f>IF($B140="","",IF(C140="","",TEXT(C140,"MMM")))</f>
        <v/>
      </c>
    </row>
    <row r="141">
      <c r="A141">
        <f>IF($B141="","",ROW()-5)</f>
        <v/>
      </c>
      <c r="D141">
        <f>IF($B141="","",IF(C141="","",TEXT(C141,"MMM")))</f>
        <v/>
      </c>
    </row>
    <row r="142">
      <c r="A142">
        <f>IF($B142="","",ROW()-5)</f>
        <v/>
      </c>
      <c r="D142">
        <f>IF($B142="","",IF(C142="","",TEXT(C142,"MMM")))</f>
        <v/>
      </c>
    </row>
    <row r="143">
      <c r="A143">
        <f>IF($B143="","",ROW()-5)</f>
        <v/>
      </c>
      <c r="D143">
        <f>IF($B143="","",IF(C143="","",TEXT(C143,"MMM")))</f>
        <v/>
      </c>
    </row>
    <row r="144">
      <c r="A144">
        <f>IF($B144="","",ROW()-5)</f>
        <v/>
      </c>
      <c r="D144">
        <f>IF($B144="","",IF(C144="","",TEXT(C144,"MMM")))</f>
        <v/>
      </c>
    </row>
    <row r="145">
      <c r="A145">
        <f>IF($B145="","",ROW()-5)</f>
        <v/>
      </c>
      <c r="D145">
        <f>IF($B145="","",IF(C145="","",TEXT(C145,"MMM")))</f>
        <v/>
      </c>
    </row>
    <row r="146">
      <c r="A146">
        <f>IF($B146="","",ROW()-5)</f>
        <v/>
      </c>
      <c r="D146">
        <f>IF($B146="","",IF(C146="","",TEXT(C146,"MMM")))</f>
        <v/>
      </c>
    </row>
    <row r="147">
      <c r="A147">
        <f>IF($B147="","",ROW()-5)</f>
        <v/>
      </c>
      <c r="D147">
        <f>IF($B147="","",IF(C147="","",TEXT(C147,"MMM")))</f>
        <v/>
      </c>
    </row>
    <row r="148">
      <c r="A148">
        <f>IF($B148="","",ROW()-5)</f>
        <v/>
      </c>
      <c r="D148">
        <f>IF($B148="","",IF(C148="","",TEXT(C148,"MMM")))</f>
        <v/>
      </c>
    </row>
    <row r="149">
      <c r="A149">
        <f>IF($B149="","",ROW()-5)</f>
        <v/>
      </c>
      <c r="D149">
        <f>IF($B149="","",IF(C149="","",TEXT(C149,"MMM")))</f>
        <v/>
      </c>
    </row>
    <row r="150">
      <c r="A150">
        <f>IF($B150="","",ROW()-5)</f>
        <v/>
      </c>
      <c r="D150">
        <f>IF($B150="","",IF(C150="","",TEXT(C150,"MMM")))</f>
        <v/>
      </c>
    </row>
    <row r="151">
      <c r="A151">
        <f>IF($B151="","",ROW()-5)</f>
        <v/>
      </c>
      <c r="D151">
        <f>IF($B151="","",IF(C151="","",TEXT(C151,"MMM")))</f>
        <v/>
      </c>
    </row>
    <row r="152">
      <c r="A152">
        <f>IF($B152="","",ROW()-5)</f>
        <v/>
      </c>
      <c r="D152">
        <f>IF($B152="","",IF(C152="","",TEXT(C152,"MMM")))</f>
        <v/>
      </c>
    </row>
    <row r="153">
      <c r="A153">
        <f>IF($B153="","",ROW()-5)</f>
        <v/>
      </c>
      <c r="D153">
        <f>IF($B153="","",IF(C153="","",TEXT(C153,"MMM")))</f>
        <v/>
      </c>
    </row>
    <row r="154">
      <c r="A154">
        <f>IF($B154="","",ROW()-5)</f>
        <v/>
      </c>
      <c r="D154">
        <f>IF($B154="","",IF(C154="","",TEXT(C154,"MMM")))</f>
        <v/>
      </c>
    </row>
    <row r="155">
      <c r="A155">
        <f>IF($B155="","",ROW()-5)</f>
        <v/>
      </c>
      <c r="D155">
        <f>IF($B155="","",IF(C155="","",TEXT(C155,"MMM")))</f>
        <v/>
      </c>
    </row>
    <row r="156">
      <c r="A156">
        <f>IF($B156="","",ROW()-5)</f>
        <v/>
      </c>
      <c r="D156">
        <f>IF($B156="","",IF(C156="","",TEXT(C156,"MMM")))</f>
        <v/>
      </c>
    </row>
    <row r="157">
      <c r="A157">
        <f>IF($B157="","",ROW()-5)</f>
        <v/>
      </c>
      <c r="D157">
        <f>IF($B157="","",IF(C157="","",TEXT(C157,"MMM")))</f>
        <v/>
      </c>
    </row>
    <row r="158">
      <c r="A158">
        <f>IF($B158="","",ROW()-5)</f>
        <v/>
      </c>
      <c r="D158">
        <f>IF($B158="","",IF(C158="","",TEXT(C158,"MMM")))</f>
        <v/>
      </c>
    </row>
    <row r="159">
      <c r="A159">
        <f>IF($B159="","",ROW()-5)</f>
        <v/>
      </c>
      <c r="D159">
        <f>IF($B159="","",IF(C159="","",TEXT(C159,"MMM")))</f>
        <v/>
      </c>
    </row>
    <row r="160">
      <c r="A160">
        <f>IF($B160="","",ROW()-5)</f>
        <v/>
      </c>
      <c r="D160">
        <f>IF($B160="","",IF(C160="","",TEXT(C160,"MMM")))</f>
        <v/>
      </c>
    </row>
    <row r="161">
      <c r="A161">
        <f>IF($B161="","",ROW()-5)</f>
        <v/>
      </c>
      <c r="D161">
        <f>IF($B161="","",IF(C161="","",TEXT(C161,"MMM")))</f>
        <v/>
      </c>
    </row>
    <row r="162">
      <c r="A162">
        <f>IF($B162="","",ROW()-5)</f>
        <v/>
      </c>
      <c r="D162">
        <f>IF($B162="","",IF(C162="","",TEXT(C162,"MMM")))</f>
        <v/>
      </c>
    </row>
    <row r="163">
      <c r="A163">
        <f>IF($B163="","",ROW()-5)</f>
        <v/>
      </c>
      <c r="D163">
        <f>IF($B163="","",IF(C163="","",TEXT(C163,"MMM")))</f>
        <v/>
      </c>
    </row>
    <row r="164">
      <c r="A164">
        <f>IF($B164="","",ROW()-5)</f>
        <v/>
      </c>
      <c r="D164">
        <f>IF($B164="","",IF(C164="","",TEXT(C164,"MMM")))</f>
        <v/>
      </c>
    </row>
    <row r="165">
      <c r="A165">
        <f>IF($B165="","",ROW()-5)</f>
        <v/>
      </c>
      <c r="D165">
        <f>IF($B165="","",IF(C165="","",TEXT(C165,"MMM")))</f>
        <v/>
      </c>
    </row>
    <row r="166">
      <c r="A166">
        <f>IF($B166="","",ROW()-5)</f>
        <v/>
      </c>
      <c r="D166">
        <f>IF($B166="","",IF(C166="","",TEXT(C166,"MMM")))</f>
        <v/>
      </c>
    </row>
    <row r="167">
      <c r="A167">
        <f>IF($B167="","",ROW()-5)</f>
        <v/>
      </c>
      <c r="D167">
        <f>IF($B167="","",IF(C167="","",TEXT(C167,"MMM")))</f>
        <v/>
      </c>
    </row>
    <row r="168">
      <c r="A168">
        <f>IF($B168="","",ROW()-5)</f>
        <v/>
      </c>
      <c r="D168">
        <f>IF($B168="","",IF(C168="","",TEXT(C168,"MMM")))</f>
        <v/>
      </c>
    </row>
    <row r="169">
      <c r="A169">
        <f>IF($B169="","",ROW()-5)</f>
        <v/>
      </c>
      <c r="D169">
        <f>IF($B169="","",IF(C169="","",TEXT(C169,"MMM")))</f>
        <v/>
      </c>
    </row>
    <row r="170">
      <c r="A170">
        <f>IF($B170="","",ROW()-5)</f>
        <v/>
      </c>
      <c r="D170">
        <f>IF($B170="","",IF(C170="","",TEXT(C170,"MMM")))</f>
        <v/>
      </c>
    </row>
    <row r="171">
      <c r="A171">
        <f>IF($B171="","",ROW()-5)</f>
        <v/>
      </c>
      <c r="D171">
        <f>IF($B171="","",IF(C171="","",TEXT(C171,"MMM")))</f>
        <v/>
      </c>
    </row>
    <row r="172">
      <c r="A172">
        <f>IF($B172="","",ROW()-5)</f>
        <v/>
      </c>
      <c r="D172">
        <f>IF($B172="","",IF(C172="","",TEXT(C172,"MMM")))</f>
        <v/>
      </c>
    </row>
    <row r="173">
      <c r="A173">
        <f>IF($B173="","",ROW()-5)</f>
        <v/>
      </c>
      <c r="D173">
        <f>IF($B173="","",IF(C173="","",TEXT(C173,"MMM")))</f>
        <v/>
      </c>
    </row>
    <row r="174">
      <c r="A174">
        <f>IF($B174="","",ROW()-5)</f>
        <v/>
      </c>
      <c r="D174">
        <f>IF($B174="","",IF(C174="","",TEXT(C174,"MMM")))</f>
        <v/>
      </c>
    </row>
    <row r="175">
      <c r="A175">
        <f>IF($B175="","",ROW()-5)</f>
        <v/>
      </c>
      <c r="D175">
        <f>IF($B175="","",IF(C175="","",TEXT(C175,"MMM")))</f>
        <v/>
      </c>
    </row>
    <row r="176">
      <c r="A176">
        <f>IF($B176="","",ROW()-5)</f>
        <v/>
      </c>
      <c r="D176">
        <f>IF($B176="","",IF(C176="","",TEXT(C176,"MMM")))</f>
        <v/>
      </c>
    </row>
    <row r="177">
      <c r="A177">
        <f>IF($B177="","",ROW()-5)</f>
        <v/>
      </c>
      <c r="D177">
        <f>IF($B177="","",IF(C177="","",TEXT(C177,"MMM")))</f>
        <v/>
      </c>
    </row>
    <row r="178">
      <c r="A178">
        <f>IF($B178="","",ROW()-5)</f>
        <v/>
      </c>
      <c r="D178">
        <f>IF($B178="","",IF(C178="","",TEXT(C178,"MMM")))</f>
        <v/>
      </c>
    </row>
    <row r="179">
      <c r="A179">
        <f>IF($B179="","",ROW()-5)</f>
        <v/>
      </c>
      <c r="D179">
        <f>IF($B179="","",IF(C179="","",TEXT(C179,"MMM")))</f>
        <v/>
      </c>
    </row>
    <row r="180">
      <c r="A180">
        <f>IF($B180="","",ROW()-5)</f>
        <v/>
      </c>
      <c r="D180">
        <f>IF($B180="","",IF(C180="","",TEXT(C180,"MMM")))</f>
        <v/>
      </c>
    </row>
    <row r="181">
      <c r="A181">
        <f>IF($B181="","",ROW()-5)</f>
        <v/>
      </c>
      <c r="D181">
        <f>IF($B181="","",IF(C181="","",TEXT(C181,"MMM")))</f>
        <v/>
      </c>
    </row>
    <row r="182">
      <c r="A182">
        <f>IF($B182="","",ROW()-5)</f>
        <v/>
      </c>
      <c r="D182">
        <f>IF($B182="","",IF(C182="","",TEXT(C182,"MMM")))</f>
        <v/>
      </c>
    </row>
    <row r="183">
      <c r="A183">
        <f>IF($B183="","",ROW()-5)</f>
        <v/>
      </c>
      <c r="D183">
        <f>IF($B183="","",IF(C183="","",TEXT(C183,"MMM")))</f>
        <v/>
      </c>
    </row>
    <row r="184">
      <c r="A184">
        <f>IF($B184="","",ROW()-5)</f>
        <v/>
      </c>
      <c r="D184">
        <f>IF($B184="","",IF(C184="","",TEXT(C184,"MMM")))</f>
        <v/>
      </c>
    </row>
    <row r="185">
      <c r="A185">
        <f>IF($B185="","",ROW()-5)</f>
        <v/>
      </c>
      <c r="D185">
        <f>IF($B185="","",IF(C185="","",TEXT(C185,"MMM")))</f>
        <v/>
      </c>
    </row>
    <row r="186">
      <c r="A186">
        <f>IF($B186="","",ROW()-5)</f>
        <v/>
      </c>
      <c r="D186">
        <f>IF($B186="","",IF(C186="","",TEXT(C186,"MMM")))</f>
        <v/>
      </c>
    </row>
    <row r="187">
      <c r="A187">
        <f>IF($B187="","",ROW()-5)</f>
        <v/>
      </c>
      <c r="D187">
        <f>IF($B187="","",IF(C187="","",TEXT(C187,"MMM")))</f>
        <v/>
      </c>
    </row>
    <row r="188">
      <c r="A188">
        <f>IF($B188="","",ROW()-5)</f>
        <v/>
      </c>
      <c r="D188">
        <f>IF($B188="","",IF(C188="","",TEXT(C188,"MMM")))</f>
        <v/>
      </c>
    </row>
    <row r="189">
      <c r="A189">
        <f>IF($B189="","",ROW()-5)</f>
        <v/>
      </c>
      <c r="D189">
        <f>IF($B189="","",IF(C189="","",TEXT(C189,"MMM")))</f>
        <v/>
      </c>
    </row>
    <row r="190">
      <c r="A190">
        <f>IF($B190="","",ROW()-5)</f>
        <v/>
      </c>
      <c r="D190">
        <f>IF($B190="","",IF(C190="","",TEXT(C190,"MMM")))</f>
        <v/>
      </c>
    </row>
    <row r="191">
      <c r="A191">
        <f>IF($B191="","",ROW()-5)</f>
        <v/>
      </c>
      <c r="D191">
        <f>IF($B191="","",IF(C191="","",TEXT(C191,"MMM")))</f>
        <v/>
      </c>
    </row>
    <row r="192">
      <c r="A192">
        <f>IF($B192="","",ROW()-5)</f>
        <v/>
      </c>
      <c r="D192">
        <f>IF($B192="","",IF(C192="","",TEXT(C192,"MMM")))</f>
        <v/>
      </c>
    </row>
    <row r="193">
      <c r="A193">
        <f>IF($B193="","",ROW()-5)</f>
        <v/>
      </c>
      <c r="D193">
        <f>IF($B193="","",IF(C193="","",TEXT(C193,"MMM")))</f>
        <v/>
      </c>
    </row>
    <row r="194">
      <c r="A194">
        <f>IF($B194="","",ROW()-5)</f>
        <v/>
      </c>
      <c r="D194">
        <f>IF($B194="","",IF(C194="","",TEXT(C194,"MMM")))</f>
        <v/>
      </c>
    </row>
    <row r="195">
      <c r="A195">
        <f>IF($B195="","",ROW()-5)</f>
        <v/>
      </c>
      <c r="D195">
        <f>IF($B195="","",IF(C195="","",TEXT(C195,"MMM")))</f>
        <v/>
      </c>
    </row>
    <row r="196">
      <c r="A196">
        <f>IF($B196="","",ROW()-5)</f>
        <v/>
      </c>
      <c r="D196">
        <f>IF($B196="","",IF(C196="","",TEXT(C196,"MMM")))</f>
        <v/>
      </c>
    </row>
    <row r="197">
      <c r="A197">
        <f>IF($B197="","",ROW()-5)</f>
        <v/>
      </c>
      <c r="D197">
        <f>IF($B197="","",IF(C197="","",TEXT(C197,"MMM")))</f>
        <v/>
      </c>
    </row>
    <row r="198">
      <c r="A198">
        <f>IF($B198="","",ROW()-5)</f>
        <v/>
      </c>
      <c r="D198">
        <f>IF($B198="","",IF(C198="","",TEXT(C198,"MMM")))</f>
        <v/>
      </c>
    </row>
    <row r="199">
      <c r="A199">
        <f>IF($B199="","",ROW()-5)</f>
        <v/>
      </c>
      <c r="D199">
        <f>IF($B199="","",IF(C199="","",TEXT(C199,"MMM")))</f>
        <v/>
      </c>
    </row>
    <row r="200">
      <c r="A200">
        <f>IF($B200="","",ROW()-5)</f>
        <v/>
      </c>
      <c r="D200">
        <f>IF($B200="","",IF(C200="","",TEXT(C200,"MMM")))</f>
        <v/>
      </c>
    </row>
    <row r="201">
      <c r="A201">
        <f>IF($B201="","",ROW()-5)</f>
        <v/>
      </c>
      <c r="D201">
        <f>IF($B201="","",IF(C201="","",TEXT(C201,"MMM")))</f>
        <v/>
      </c>
    </row>
    <row r="202">
      <c r="A202">
        <f>IF($B202="","",ROW()-5)</f>
        <v/>
      </c>
      <c r="D202">
        <f>IF($B202="","",IF(C202="","",TEXT(C202,"MMM")))</f>
        <v/>
      </c>
    </row>
    <row r="203">
      <c r="A203">
        <f>IF($B203="","",ROW()-5)</f>
        <v/>
      </c>
      <c r="D203">
        <f>IF($B203="","",IF(C203="","",TEXT(C203,"MMM")))</f>
        <v/>
      </c>
    </row>
    <row r="204">
      <c r="A204">
        <f>IF($B204="","",ROW()-5)</f>
        <v/>
      </c>
      <c r="D204">
        <f>IF($B204="","",IF(C204="","",TEXT(C204,"MMM")))</f>
        <v/>
      </c>
    </row>
    <row r="205">
      <c r="A205">
        <f>IF($B205="","",ROW()-5)</f>
        <v/>
      </c>
      <c r="D205">
        <f>IF($B205="","",IF(C205="","",TEXT(C205,"MMM")))</f>
        <v/>
      </c>
    </row>
    <row r="206">
      <c r="A206">
        <f>IF($B206="","",ROW()-5)</f>
        <v/>
      </c>
      <c r="D206">
        <f>IF($B206="","",IF(C206="","",TEXT(C206,"MMM")))</f>
        <v/>
      </c>
    </row>
    <row r="207">
      <c r="A207">
        <f>IF($B207="","",ROW()-5)</f>
        <v/>
      </c>
      <c r="D207">
        <f>IF($B207="","",IF(C207="","",TEXT(C207,"MMM")))</f>
        <v/>
      </c>
    </row>
    <row r="208">
      <c r="A208">
        <f>IF($B208="","",ROW()-5)</f>
        <v/>
      </c>
      <c r="D208">
        <f>IF($B208="","",IF(C208="","",TEXT(C208,"MMM")))</f>
        <v/>
      </c>
    </row>
    <row r="209">
      <c r="A209">
        <f>IF($B209="","",ROW()-5)</f>
        <v/>
      </c>
      <c r="D209">
        <f>IF($B209="","",IF(C209="","",TEXT(C209,"MMM")))</f>
        <v/>
      </c>
    </row>
    <row r="210">
      <c r="A210">
        <f>IF($B210="","",ROW()-5)</f>
        <v/>
      </c>
      <c r="D210">
        <f>IF($B210="","",IF(C210="","",TEXT(C210,"MMM")))</f>
        <v/>
      </c>
    </row>
    <row r="211">
      <c r="A211">
        <f>IF($B211="","",ROW()-5)</f>
        <v/>
      </c>
      <c r="D211">
        <f>IF($B211="","",IF(C211="","",TEXT(C211,"MMM")))</f>
        <v/>
      </c>
    </row>
    <row r="212">
      <c r="A212">
        <f>IF($B212="","",ROW()-5)</f>
        <v/>
      </c>
      <c r="D212">
        <f>IF($B212="","",IF(C212="","",TEXT(C212,"MMM")))</f>
        <v/>
      </c>
    </row>
    <row r="213">
      <c r="A213">
        <f>IF($B213="","",ROW()-5)</f>
        <v/>
      </c>
      <c r="D213">
        <f>IF($B213="","",IF(C213="","",TEXT(C213,"MMM")))</f>
        <v/>
      </c>
    </row>
    <row r="214">
      <c r="A214">
        <f>IF($B214="","",ROW()-5)</f>
        <v/>
      </c>
      <c r="D214">
        <f>IF($B214="","",IF(C214="","",TEXT(C214,"MMM")))</f>
        <v/>
      </c>
    </row>
    <row r="215">
      <c r="A215">
        <f>IF($B215="","",ROW()-5)</f>
        <v/>
      </c>
      <c r="D215">
        <f>IF($B215="","",IF(C215="","",TEXT(C215,"MMM")))</f>
        <v/>
      </c>
    </row>
    <row r="216">
      <c r="A216">
        <f>IF($B216="","",ROW()-5)</f>
        <v/>
      </c>
      <c r="D216">
        <f>IF($B216="","",IF(C216="","",TEXT(C216,"MMM")))</f>
        <v/>
      </c>
    </row>
    <row r="217">
      <c r="A217">
        <f>IF($B217="","",ROW()-5)</f>
        <v/>
      </c>
      <c r="D217">
        <f>IF($B217="","",IF(C217="","",TEXT(C217,"MMM")))</f>
        <v/>
      </c>
    </row>
    <row r="218">
      <c r="A218">
        <f>IF($B218="","",ROW()-5)</f>
        <v/>
      </c>
      <c r="D218">
        <f>IF($B218="","",IF(C218="","",TEXT(C218,"MMM")))</f>
        <v/>
      </c>
    </row>
    <row r="219">
      <c r="A219">
        <f>IF($B219="","",ROW()-5)</f>
        <v/>
      </c>
      <c r="D219">
        <f>IF($B219="","",IF(C219="","",TEXT(C219,"MMM")))</f>
        <v/>
      </c>
    </row>
    <row r="220">
      <c r="A220">
        <f>IF($B220="","",ROW()-5)</f>
        <v/>
      </c>
      <c r="D220">
        <f>IF($B220="","",IF(C220="","",TEXT(C220,"MMM")))</f>
        <v/>
      </c>
    </row>
    <row r="221">
      <c r="A221">
        <f>IF($B221="","",ROW()-5)</f>
        <v/>
      </c>
      <c r="D221">
        <f>IF($B221="","",IF(C221="","",TEXT(C221,"MMM")))</f>
        <v/>
      </c>
    </row>
    <row r="222">
      <c r="A222">
        <f>IF($B222="","",ROW()-5)</f>
        <v/>
      </c>
      <c r="D222">
        <f>IF($B222="","",IF(C222="","",TEXT(C222,"MMM")))</f>
        <v/>
      </c>
    </row>
    <row r="223">
      <c r="A223">
        <f>IF($B223="","",ROW()-5)</f>
        <v/>
      </c>
      <c r="D223">
        <f>IF($B223="","",IF(C223="","",TEXT(C223,"MMM")))</f>
        <v/>
      </c>
    </row>
    <row r="224">
      <c r="A224">
        <f>IF($B224="","",ROW()-5)</f>
        <v/>
      </c>
      <c r="D224">
        <f>IF($B224="","",IF(C224="","",TEXT(C224,"MMM")))</f>
        <v/>
      </c>
    </row>
    <row r="225">
      <c r="A225">
        <f>IF($B225="","",ROW()-5)</f>
        <v/>
      </c>
      <c r="D225">
        <f>IF($B225="","",IF(C225="","",TEXT(C225,"MMM")))</f>
        <v/>
      </c>
    </row>
    <row r="226">
      <c r="A226">
        <f>IF($B226="","",ROW()-5)</f>
        <v/>
      </c>
      <c r="D226">
        <f>IF($B226="","",IF(C226="","",TEXT(C226,"MMM")))</f>
        <v/>
      </c>
    </row>
    <row r="227">
      <c r="A227">
        <f>IF($B227="","",ROW()-5)</f>
        <v/>
      </c>
      <c r="D227">
        <f>IF($B227="","",IF(C227="","",TEXT(C227,"MMM")))</f>
        <v/>
      </c>
    </row>
    <row r="228">
      <c r="A228">
        <f>IF($B228="","",ROW()-5)</f>
        <v/>
      </c>
      <c r="D228">
        <f>IF($B228="","",IF(C228="","",TEXT(C228,"MMM")))</f>
        <v/>
      </c>
    </row>
    <row r="229">
      <c r="A229">
        <f>IF($B229="","",ROW()-5)</f>
        <v/>
      </c>
      <c r="D229">
        <f>IF($B229="","",IF(C229="","",TEXT(C229,"MMM")))</f>
        <v/>
      </c>
    </row>
    <row r="230">
      <c r="A230">
        <f>IF($B230="","",ROW()-5)</f>
        <v/>
      </c>
      <c r="D230">
        <f>IF($B230="","",IF(C230="","",TEXT(C230,"MMM")))</f>
        <v/>
      </c>
    </row>
    <row r="231">
      <c r="A231">
        <f>IF($B231="","",ROW()-5)</f>
        <v/>
      </c>
      <c r="D231">
        <f>IF($B231="","",IF(C231="","",TEXT(C231,"MMM")))</f>
        <v/>
      </c>
    </row>
    <row r="232">
      <c r="A232">
        <f>IF($B232="","",ROW()-5)</f>
        <v/>
      </c>
      <c r="D232">
        <f>IF($B232="","",IF(C232="","",TEXT(C232,"MMM")))</f>
        <v/>
      </c>
    </row>
    <row r="233">
      <c r="A233">
        <f>IF($B233="","",ROW()-5)</f>
        <v/>
      </c>
      <c r="D233">
        <f>IF($B233="","",IF(C233="","",TEXT(C233,"MMM")))</f>
        <v/>
      </c>
    </row>
    <row r="234">
      <c r="A234">
        <f>IF($B234="","",ROW()-5)</f>
        <v/>
      </c>
      <c r="D234">
        <f>IF($B234="","",IF(C234="","",TEXT(C234,"MMM")))</f>
        <v/>
      </c>
    </row>
    <row r="235">
      <c r="A235">
        <f>IF($B235="","",ROW()-5)</f>
        <v/>
      </c>
      <c r="D235">
        <f>IF($B235="","",IF(C235="","",TEXT(C235,"MMM")))</f>
        <v/>
      </c>
    </row>
    <row r="236">
      <c r="A236">
        <f>IF($B236="","",ROW()-5)</f>
        <v/>
      </c>
      <c r="D236">
        <f>IF($B236="","",IF(C236="","",TEXT(C236,"MMM")))</f>
        <v/>
      </c>
    </row>
    <row r="237">
      <c r="A237">
        <f>IF($B237="","",ROW()-5)</f>
        <v/>
      </c>
      <c r="D237">
        <f>IF($B237="","",IF(C237="","",TEXT(C237,"MMM")))</f>
        <v/>
      </c>
    </row>
    <row r="238">
      <c r="A238">
        <f>IF($B238="","",ROW()-5)</f>
        <v/>
      </c>
      <c r="D238">
        <f>IF($B238="","",IF(C238="","",TEXT(C238,"MMM")))</f>
        <v/>
      </c>
    </row>
    <row r="239">
      <c r="A239">
        <f>IF($B239="","",ROW()-5)</f>
        <v/>
      </c>
      <c r="D239">
        <f>IF($B239="","",IF(C239="","",TEXT(C239,"MMM")))</f>
        <v/>
      </c>
    </row>
    <row r="240">
      <c r="A240">
        <f>IF($B240="","",ROW()-5)</f>
        <v/>
      </c>
      <c r="D240">
        <f>IF($B240="","",IF(C240="","",TEXT(C240,"MMM")))</f>
        <v/>
      </c>
    </row>
    <row r="241">
      <c r="A241">
        <f>IF($B241="","",ROW()-5)</f>
        <v/>
      </c>
      <c r="D241">
        <f>IF($B241="","",IF(C241="","",TEXT(C241,"MMM")))</f>
        <v/>
      </c>
    </row>
    <row r="242">
      <c r="A242">
        <f>IF($B242="","",ROW()-5)</f>
        <v/>
      </c>
      <c r="D242">
        <f>IF($B242="","",IF(C242="","",TEXT(C242,"MMM")))</f>
        <v/>
      </c>
    </row>
    <row r="243">
      <c r="A243">
        <f>IF($B243="","",ROW()-5)</f>
        <v/>
      </c>
      <c r="D243">
        <f>IF($B243="","",IF(C243="","",TEXT(C243,"MMM")))</f>
        <v/>
      </c>
    </row>
    <row r="244">
      <c r="A244">
        <f>IF($B244="","",ROW()-5)</f>
        <v/>
      </c>
      <c r="D244">
        <f>IF($B244="","",IF(C244="","",TEXT(C244,"MMM")))</f>
        <v/>
      </c>
    </row>
    <row r="245">
      <c r="A245">
        <f>IF($B245="","",ROW()-5)</f>
        <v/>
      </c>
      <c r="D245">
        <f>IF($B245="","",IF(C245="","",TEXT(C245,"MMM")))</f>
        <v/>
      </c>
    </row>
    <row r="246">
      <c r="A246">
        <f>IF($B246="","",ROW()-5)</f>
        <v/>
      </c>
      <c r="D246">
        <f>IF($B246="","",IF(C246="","",TEXT(C246,"MMM")))</f>
        <v/>
      </c>
    </row>
    <row r="247">
      <c r="A247">
        <f>IF($B247="","",ROW()-5)</f>
        <v/>
      </c>
      <c r="D247">
        <f>IF($B247="","",IF(C247="","",TEXT(C247,"MMM")))</f>
        <v/>
      </c>
    </row>
    <row r="248">
      <c r="A248">
        <f>IF($B248="","",ROW()-5)</f>
        <v/>
      </c>
      <c r="D248">
        <f>IF($B248="","",IF(C248="","",TEXT(C248,"MMM")))</f>
        <v/>
      </c>
    </row>
    <row r="249">
      <c r="A249">
        <f>IF($B249="","",ROW()-5)</f>
        <v/>
      </c>
      <c r="D249">
        <f>IF($B249="","",IF(C249="","",TEXT(C249,"MMM")))</f>
        <v/>
      </c>
    </row>
    <row r="250">
      <c r="A250">
        <f>IF($B250="","",ROW()-5)</f>
        <v/>
      </c>
      <c r="D250">
        <f>IF($B250="","",IF(C250="","",TEXT(C250,"MMM")))</f>
        <v/>
      </c>
    </row>
    <row r="251">
      <c r="A251">
        <f>IF($B251="","",ROW()-5)</f>
        <v/>
      </c>
      <c r="D251">
        <f>IF($B251="","",IF(C251="","",TEXT(C251,"MMM")))</f>
        <v/>
      </c>
    </row>
    <row r="252">
      <c r="A252">
        <f>IF($B252="","",ROW()-5)</f>
        <v/>
      </c>
      <c r="D252">
        <f>IF($B252="","",IF(C252="","",TEXT(C252,"MMM")))</f>
        <v/>
      </c>
    </row>
    <row r="253">
      <c r="A253">
        <f>IF($B253="","",ROW()-5)</f>
        <v/>
      </c>
      <c r="D253">
        <f>IF($B253="","",IF(C253="","",TEXT(C253,"MMM")))</f>
        <v/>
      </c>
    </row>
    <row r="254">
      <c r="A254">
        <f>IF($B254="","",ROW()-5)</f>
        <v/>
      </c>
      <c r="D254">
        <f>IF($B254="","",IF(C254="","",TEXT(C254,"MMM")))</f>
        <v/>
      </c>
    </row>
    <row r="255">
      <c r="A255">
        <f>IF($B255="","",ROW()-5)</f>
        <v/>
      </c>
      <c r="D255">
        <f>IF($B255="","",IF(C255="","",TEXT(C255,"MMM")))</f>
        <v/>
      </c>
    </row>
    <row r="256">
      <c r="A256">
        <f>IF($B256="","",ROW()-5)</f>
        <v/>
      </c>
      <c r="D256">
        <f>IF($B256="","",IF(C256="","",TEXT(C256,"MMM")))</f>
        <v/>
      </c>
    </row>
    <row r="257">
      <c r="A257">
        <f>IF($B257="","",ROW()-5)</f>
        <v/>
      </c>
      <c r="D257">
        <f>IF($B257="","",IF(C257="","",TEXT(C257,"MMM")))</f>
        <v/>
      </c>
    </row>
    <row r="258">
      <c r="A258">
        <f>IF($B258="","",ROW()-5)</f>
        <v/>
      </c>
      <c r="D258">
        <f>IF($B258="","",IF(C258="","",TEXT(C258,"MMM")))</f>
        <v/>
      </c>
    </row>
    <row r="259">
      <c r="A259">
        <f>IF($B259="","",ROW()-5)</f>
        <v/>
      </c>
      <c r="D259">
        <f>IF($B259="","",IF(C259="","",TEXT(C259,"MMM")))</f>
        <v/>
      </c>
    </row>
    <row r="260">
      <c r="A260">
        <f>IF($B260="","",ROW()-5)</f>
        <v/>
      </c>
      <c r="D260">
        <f>IF($B260="","",IF(C260="","",TEXT(C260,"MMM")))</f>
        <v/>
      </c>
    </row>
    <row r="261">
      <c r="A261">
        <f>IF($B261="","",ROW()-5)</f>
        <v/>
      </c>
      <c r="D261">
        <f>IF($B261="","",IF(C261="","",TEXT(C261,"MMM")))</f>
        <v/>
      </c>
    </row>
    <row r="262">
      <c r="A262">
        <f>IF($B262="","",ROW()-5)</f>
        <v/>
      </c>
      <c r="D262">
        <f>IF($B262="","",IF(C262="","",TEXT(C262,"MMM")))</f>
        <v/>
      </c>
    </row>
    <row r="263">
      <c r="A263">
        <f>IF($B263="","",ROW()-5)</f>
        <v/>
      </c>
      <c r="D263">
        <f>IF($B263="","",IF(C263="","",TEXT(C263,"MMM")))</f>
        <v/>
      </c>
    </row>
    <row r="264">
      <c r="A264">
        <f>IF($B264="","",ROW()-5)</f>
        <v/>
      </c>
      <c r="D264">
        <f>IF($B264="","",IF(C264="","",TEXT(C264,"MMM")))</f>
        <v/>
      </c>
    </row>
    <row r="265">
      <c r="A265">
        <f>IF($B265="","",ROW()-5)</f>
        <v/>
      </c>
      <c r="D265">
        <f>IF($B265="","",IF(C265="","",TEXT(C265,"MMM")))</f>
        <v/>
      </c>
    </row>
    <row r="266">
      <c r="A266">
        <f>IF($B266="","",ROW()-5)</f>
        <v/>
      </c>
      <c r="D266">
        <f>IF($B266="","",IF(C266="","",TEXT(C266,"MMM")))</f>
        <v/>
      </c>
    </row>
    <row r="267">
      <c r="A267">
        <f>IF($B267="","",ROW()-5)</f>
        <v/>
      </c>
      <c r="D267">
        <f>IF($B267="","",IF(C267="","",TEXT(C267,"MMM")))</f>
        <v/>
      </c>
    </row>
    <row r="268">
      <c r="A268">
        <f>IF($B268="","",ROW()-5)</f>
        <v/>
      </c>
      <c r="D268">
        <f>IF($B268="","",IF(C268="","",TEXT(C268,"MMM")))</f>
        <v/>
      </c>
    </row>
    <row r="269">
      <c r="A269">
        <f>IF($B269="","",ROW()-5)</f>
        <v/>
      </c>
      <c r="D269">
        <f>IF($B269="","",IF(C269="","",TEXT(C269,"MMM")))</f>
        <v/>
      </c>
    </row>
    <row r="270">
      <c r="A270">
        <f>IF($B270="","",ROW()-5)</f>
        <v/>
      </c>
      <c r="D270">
        <f>IF($B270="","",IF(C270="","",TEXT(C270,"MMM")))</f>
        <v/>
      </c>
    </row>
    <row r="271">
      <c r="A271">
        <f>IF($B271="","",ROW()-5)</f>
        <v/>
      </c>
      <c r="D271">
        <f>IF($B271="","",IF(C271="","",TEXT(C271,"MMM")))</f>
        <v/>
      </c>
    </row>
    <row r="272">
      <c r="A272">
        <f>IF($B272="","",ROW()-5)</f>
        <v/>
      </c>
      <c r="D272">
        <f>IF($B272="","",IF(C272="","",TEXT(C272,"MMM")))</f>
        <v/>
      </c>
    </row>
    <row r="273">
      <c r="A273">
        <f>IF($B273="","",ROW()-5)</f>
        <v/>
      </c>
      <c r="D273">
        <f>IF($B273="","",IF(C273="","",TEXT(C273,"MMM")))</f>
        <v/>
      </c>
    </row>
    <row r="274">
      <c r="A274">
        <f>IF($B274="","",ROW()-5)</f>
        <v/>
      </c>
      <c r="D274">
        <f>IF($B274="","",IF(C274="","",TEXT(C274,"MMM")))</f>
        <v/>
      </c>
    </row>
    <row r="275">
      <c r="A275">
        <f>IF($B275="","",ROW()-5)</f>
        <v/>
      </c>
      <c r="D275">
        <f>IF($B275="","",IF(C275="","",TEXT(C275,"MMM")))</f>
        <v/>
      </c>
    </row>
    <row r="276">
      <c r="A276">
        <f>IF($B276="","",ROW()-5)</f>
        <v/>
      </c>
      <c r="D276">
        <f>IF($B276="","",IF(C276="","",TEXT(C276,"MMM")))</f>
        <v/>
      </c>
    </row>
    <row r="277">
      <c r="A277">
        <f>IF($B277="","",ROW()-5)</f>
        <v/>
      </c>
      <c r="D277">
        <f>IF($B277="","",IF(C277="","",TEXT(C277,"MMM")))</f>
        <v/>
      </c>
    </row>
    <row r="278">
      <c r="A278">
        <f>IF($B278="","",ROW()-5)</f>
        <v/>
      </c>
      <c r="D278">
        <f>IF($B278="","",IF(C278="","",TEXT(C278,"MMM")))</f>
        <v/>
      </c>
    </row>
    <row r="279">
      <c r="A279">
        <f>IF($B279="","",ROW()-5)</f>
        <v/>
      </c>
      <c r="D279">
        <f>IF($B279="","",IF(C279="","",TEXT(C279,"MMM")))</f>
        <v/>
      </c>
    </row>
    <row r="280">
      <c r="A280">
        <f>IF($B280="","",ROW()-5)</f>
        <v/>
      </c>
      <c r="D280">
        <f>IF($B280="","",IF(C280="","",TEXT(C280,"MMM")))</f>
        <v/>
      </c>
    </row>
    <row r="281">
      <c r="A281">
        <f>IF($B281="","",ROW()-5)</f>
        <v/>
      </c>
      <c r="D281">
        <f>IF($B281="","",IF(C281="","",TEXT(C281,"MMM")))</f>
        <v/>
      </c>
    </row>
    <row r="282">
      <c r="A282">
        <f>IF($B282="","",ROW()-5)</f>
        <v/>
      </c>
      <c r="D282">
        <f>IF($B282="","",IF(C282="","",TEXT(C282,"MMM")))</f>
        <v/>
      </c>
    </row>
    <row r="283">
      <c r="A283">
        <f>IF($B283="","",ROW()-5)</f>
        <v/>
      </c>
      <c r="D283">
        <f>IF($B283="","",IF(C283="","",TEXT(C283,"MMM")))</f>
        <v/>
      </c>
    </row>
    <row r="284">
      <c r="A284">
        <f>IF($B284="","",ROW()-5)</f>
        <v/>
      </c>
      <c r="D284">
        <f>IF($B284="","",IF(C284="","",TEXT(C284,"MMM")))</f>
        <v/>
      </c>
    </row>
    <row r="285">
      <c r="A285">
        <f>IF($B285="","",ROW()-5)</f>
        <v/>
      </c>
      <c r="D285">
        <f>IF($B285="","",IF(C285="","",TEXT(C285,"MMM")))</f>
        <v/>
      </c>
    </row>
    <row r="286">
      <c r="A286">
        <f>IF($B286="","",ROW()-5)</f>
        <v/>
      </c>
      <c r="D286">
        <f>IF($B286="","",IF(C286="","",TEXT(C286,"MMM")))</f>
        <v/>
      </c>
    </row>
    <row r="287">
      <c r="A287">
        <f>IF($B287="","",ROW()-5)</f>
        <v/>
      </c>
      <c r="D287">
        <f>IF($B287="","",IF(C287="","",TEXT(C287,"MMM")))</f>
        <v/>
      </c>
    </row>
    <row r="288">
      <c r="A288">
        <f>IF($B288="","",ROW()-5)</f>
        <v/>
      </c>
      <c r="D288">
        <f>IF($B288="","",IF(C288="","",TEXT(C288,"MMM")))</f>
        <v/>
      </c>
    </row>
    <row r="289">
      <c r="A289">
        <f>IF($B289="","",ROW()-5)</f>
        <v/>
      </c>
      <c r="D289">
        <f>IF($B289="","",IF(C289="","",TEXT(C289,"MMM")))</f>
        <v/>
      </c>
    </row>
    <row r="290">
      <c r="A290">
        <f>IF($B290="","",ROW()-5)</f>
        <v/>
      </c>
      <c r="D290">
        <f>IF($B290="","",IF(C290="","",TEXT(C290,"MMM")))</f>
        <v/>
      </c>
    </row>
    <row r="291">
      <c r="A291">
        <f>IF($B291="","",ROW()-5)</f>
        <v/>
      </c>
      <c r="D291">
        <f>IF($B291="","",IF(C291="","",TEXT(C291,"MMM")))</f>
        <v/>
      </c>
    </row>
    <row r="292">
      <c r="A292">
        <f>IF($B292="","",ROW()-5)</f>
        <v/>
      </c>
      <c r="D292">
        <f>IF($B292="","",IF(C292="","",TEXT(C292,"MMM")))</f>
        <v/>
      </c>
    </row>
    <row r="293">
      <c r="A293">
        <f>IF($B293="","",ROW()-5)</f>
        <v/>
      </c>
      <c r="D293">
        <f>IF($B293="","",IF(C293="","",TEXT(C293,"MMM")))</f>
        <v/>
      </c>
    </row>
    <row r="294">
      <c r="A294">
        <f>IF($B294="","",ROW()-5)</f>
        <v/>
      </c>
      <c r="D294">
        <f>IF($B294="","",IF(C294="","",TEXT(C294,"MMM")))</f>
        <v/>
      </c>
    </row>
    <row r="295">
      <c r="A295">
        <f>IF($B295="","",ROW()-5)</f>
        <v/>
      </c>
      <c r="D295">
        <f>IF($B295="","",IF(C295="","",TEXT(C295,"MMM")))</f>
        <v/>
      </c>
    </row>
    <row r="296">
      <c r="A296">
        <f>IF($B296="","",ROW()-5)</f>
        <v/>
      </c>
      <c r="D296">
        <f>IF($B296="","",IF(C296="","",TEXT(C296,"MMM")))</f>
        <v/>
      </c>
    </row>
    <row r="297">
      <c r="A297">
        <f>IF($B297="","",ROW()-5)</f>
        <v/>
      </c>
      <c r="D297">
        <f>IF($B297="","",IF(C297="","",TEXT(C297,"MMM")))</f>
        <v/>
      </c>
    </row>
    <row r="298">
      <c r="A298">
        <f>IF($B298="","",ROW()-5)</f>
        <v/>
      </c>
      <c r="D298">
        <f>IF($B298="","",IF(C298="","",TEXT(C298,"MMM")))</f>
        <v/>
      </c>
    </row>
    <row r="299">
      <c r="A299">
        <f>IF($B299="","",ROW()-5)</f>
        <v/>
      </c>
      <c r="D299">
        <f>IF($B299="","",IF(C299="","",TEXT(C299,"MMM")))</f>
        <v/>
      </c>
    </row>
    <row r="300">
      <c r="A300">
        <f>IF($B300="","",ROW()-5)</f>
        <v/>
      </c>
      <c r="D300">
        <f>IF($B300="","",IF(C300="","",TEXT(C300,"MMM")))</f>
        <v/>
      </c>
    </row>
    <row r="301">
      <c r="A301">
        <f>IF($B301="","",ROW()-5)</f>
        <v/>
      </c>
      <c r="D301">
        <f>IF($B301="","",IF(C301="","",TEXT(C301,"MMM")))</f>
        <v/>
      </c>
    </row>
    <row r="302">
      <c r="A302">
        <f>IF($B302="","",ROW()-5)</f>
        <v/>
      </c>
      <c r="D302">
        <f>IF($B302="","",IF(C302="","",TEXT(C302,"MMM")))</f>
        <v/>
      </c>
    </row>
    <row r="303">
      <c r="A303">
        <f>IF($B303="","",ROW()-5)</f>
        <v/>
      </c>
      <c r="D303">
        <f>IF($B303="","",IF(C303="","",TEXT(C303,"MMM")))</f>
        <v/>
      </c>
    </row>
    <row r="304">
      <c r="A304">
        <f>IF($B304="","",ROW()-5)</f>
        <v/>
      </c>
      <c r="D304">
        <f>IF($B304="","",IF(C304="","",TEXT(C304,"MMM")))</f>
        <v/>
      </c>
    </row>
    <row r="305">
      <c r="A305">
        <f>IF($B305="","",ROW()-5)</f>
        <v/>
      </c>
      <c r="D305">
        <f>IF($B305="","",IF(C305="","",TEXT(C305,"MMM")))</f>
        <v/>
      </c>
    </row>
    <row r="306">
      <c r="A306">
        <f>IF($B306="","",ROW()-5)</f>
        <v/>
      </c>
      <c r="D306">
        <f>IF($B306="","",IF(C306="","",TEXT(C306,"MMM")))</f>
        <v/>
      </c>
    </row>
    <row r="307">
      <c r="A307">
        <f>IF($B307="","",ROW()-5)</f>
        <v/>
      </c>
      <c r="D307">
        <f>IF($B307="","",IF(C307="","",TEXT(C307,"MMM")))</f>
        <v/>
      </c>
    </row>
    <row r="308">
      <c r="A308">
        <f>IF($B308="","",ROW()-5)</f>
        <v/>
      </c>
      <c r="D308">
        <f>IF($B308="","",IF(C308="","",TEXT(C308,"MMM")))</f>
        <v/>
      </c>
    </row>
    <row r="309">
      <c r="A309">
        <f>IF($B309="","",ROW()-5)</f>
        <v/>
      </c>
      <c r="D309">
        <f>IF($B309="","",IF(C309="","",TEXT(C309,"MMM")))</f>
        <v/>
      </c>
    </row>
    <row r="310">
      <c r="A310">
        <f>IF($B310="","",ROW()-5)</f>
        <v/>
      </c>
      <c r="D310">
        <f>IF($B310="","",IF(C310="","",TEXT(C310,"MMM")))</f>
        <v/>
      </c>
    </row>
    <row r="311">
      <c r="A311">
        <f>IF($B311="","",ROW()-5)</f>
        <v/>
      </c>
      <c r="D311">
        <f>IF($B311="","",IF(C311="","",TEXT(C311,"MMM")))</f>
        <v/>
      </c>
    </row>
    <row r="312">
      <c r="A312">
        <f>IF($B312="","",ROW()-5)</f>
        <v/>
      </c>
      <c r="D312">
        <f>IF($B312="","",IF(C312="","",TEXT(C312,"MMM")))</f>
        <v/>
      </c>
    </row>
    <row r="313">
      <c r="A313">
        <f>IF($B313="","",ROW()-5)</f>
        <v/>
      </c>
      <c r="D313">
        <f>IF($B313="","",IF(C313="","",TEXT(C313,"MMM")))</f>
        <v/>
      </c>
    </row>
    <row r="314">
      <c r="A314">
        <f>IF($B314="","",ROW()-5)</f>
        <v/>
      </c>
      <c r="D314">
        <f>IF($B314="","",IF(C314="","",TEXT(C314,"MMM")))</f>
        <v/>
      </c>
    </row>
    <row r="315">
      <c r="A315">
        <f>IF($B315="","",ROW()-5)</f>
        <v/>
      </c>
      <c r="D315">
        <f>IF($B315="","",IF(C315="","",TEXT(C315,"MMM")))</f>
        <v/>
      </c>
    </row>
    <row r="316">
      <c r="A316">
        <f>IF($B316="","",ROW()-5)</f>
        <v/>
      </c>
      <c r="D316">
        <f>IF($B316="","",IF(C316="","",TEXT(C316,"MMM")))</f>
        <v/>
      </c>
    </row>
    <row r="317">
      <c r="A317">
        <f>IF($B317="","",ROW()-5)</f>
        <v/>
      </c>
      <c r="D317">
        <f>IF($B317="","",IF(C317="","",TEXT(C317,"MMM")))</f>
        <v/>
      </c>
    </row>
    <row r="318">
      <c r="A318">
        <f>IF($B318="","",ROW()-5)</f>
        <v/>
      </c>
      <c r="D318">
        <f>IF($B318="","",IF(C318="","",TEXT(C318,"MMM")))</f>
        <v/>
      </c>
    </row>
    <row r="319">
      <c r="A319">
        <f>IF($B319="","",ROW()-5)</f>
        <v/>
      </c>
      <c r="D319">
        <f>IF($B319="","",IF(C319="","",TEXT(C319,"MMM")))</f>
        <v/>
      </c>
    </row>
    <row r="320">
      <c r="A320">
        <f>IF($B320="","",ROW()-5)</f>
        <v/>
      </c>
      <c r="D320">
        <f>IF($B320="","",IF(C320="","",TEXT(C320,"MMM")))</f>
        <v/>
      </c>
    </row>
    <row r="321">
      <c r="A321">
        <f>IF($B321="","",ROW()-5)</f>
        <v/>
      </c>
      <c r="D321">
        <f>IF($B321="","",IF(C321="","",TEXT(C321,"MMM")))</f>
        <v/>
      </c>
    </row>
    <row r="322">
      <c r="A322">
        <f>IF($B322="","",ROW()-5)</f>
        <v/>
      </c>
      <c r="D322">
        <f>IF($B322="","",IF(C322="","",TEXT(C322,"MMM")))</f>
        <v/>
      </c>
    </row>
    <row r="323">
      <c r="A323">
        <f>IF($B323="","",ROW()-5)</f>
        <v/>
      </c>
      <c r="D323">
        <f>IF($B323="","",IF(C323="","",TEXT(C323,"MMM")))</f>
        <v/>
      </c>
    </row>
    <row r="324">
      <c r="A324">
        <f>IF($B324="","",ROW()-5)</f>
        <v/>
      </c>
      <c r="D324">
        <f>IF($B324="","",IF(C324="","",TEXT(C324,"MMM")))</f>
        <v/>
      </c>
    </row>
    <row r="325">
      <c r="A325">
        <f>IF($B325="","",ROW()-5)</f>
        <v/>
      </c>
      <c r="D325">
        <f>IF($B325="","",IF(C325="","",TEXT(C325,"MMM")))</f>
        <v/>
      </c>
    </row>
    <row r="326">
      <c r="A326">
        <f>IF($B326="","",ROW()-5)</f>
        <v/>
      </c>
      <c r="D326">
        <f>IF($B326="","",IF(C326="","",TEXT(C326,"MMM")))</f>
        <v/>
      </c>
    </row>
    <row r="327">
      <c r="A327">
        <f>IF($B327="","",ROW()-5)</f>
        <v/>
      </c>
      <c r="D327">
        <f>IF($B327="","",IF(C327="","",TEXT(C327,"MMM")))</f>
        <v/>
      </c>
    </row>
    <row r="328">
      <c r="A328">
        <f>IF($B328="","",ROW()-5)</f>
        <v/>
      </c>
      <c r="D328">
        <f>IF($B328="","",IF(C328="","",TEXT(C328,"MMM")))</f>
        <v/>
      </c>
    </row>
    <row r="329">
      <c r="A329">
        <f>IF($B329="","",ROW()-5)</f>
        <v/>
      </c>
      <c r="D329">
        <f>IF($B329="","",IF(C329="","",TEXT(C329,"MMM")))</f>
        <v/>
      </c>
    </row>
    <row r="330">
      <c r="A330">
        <f>IF($B330="","",ROW()-5)</f>
        <v/>
      </c>
      <c r="D330">
        <f>IF($B330="","",IF(C330="","",TEXT(C330,"MMM")))</f>
        <v/>
      </c>
    </row>
    <row r="331">
      <c r="A331">
        <f>IF($B331="","",ROW()-5)</f>
        <v/>
      </c>
      <c r="D331">
        <f>IF($B331="","",IF(C331="","",TEXT(C331,"MMM")))</f>
        <v/>
      </c>
    </row>
    <row r="332">
      <c r="A332">
        <f>IF($B332="","",ROW()-5)</f>
        <v/>
      </c>
      <c r="D332">
        <f>IF($B332="","",IF(C332="","",TEXT(C332,"MMM")))</f>
        <v/>
      </c>
    </row>
    <row r="333">
      <c r="A333">
        <f>IF($B333="","",ROW()-5)</f>
        <v/>
      </c>
      <c r="D333">
        <f>IF($B333="","",IF(C333="","",TEXT(C333,"MMM")))</f>
        <v/>
      </c>
    </row>
    <row r="334">
      <c r="A334">
        <f>IF($B334="","",ROW()-5)</f>
        <v/>
      </c>
      <c r="D334">
        <f>IF($B334="","",IF(C334="","",TEXT(C334,"MMM")))</f>
        <v/>
      </c>
    </row>
    <row r="335">
      <c r="A335">
        <f>IF($B335="","",ROW()-5)</f>
        <v/>
      </c>
      <c r="D335">
        <f>IF($B335="","",IF(C335="","",TEXT(C335,"MMM")))</f>
        <v/>
      </c>
    </row>
    <row r="336">
      <c r="A336">
        <f>IF($B336="","",ROW()-5)</f>
        <v/>
      </c>
      <c r="D336">
        <f>IF($B336="","",IF(C336="","",TEXT(C336,"MMM")))</f>
        <v/>
      </c>
    </row>
    <row r="337">
      <c r="A337">
        <f>IF($B337="","",ROW()-5)</f>
        <v/>
      </c>
      <c r="D337">
        <f>IF($B337="","",IF(C337="","",TEXT(C337,"MMM")))</f>
        <v/>
      </c>
    </row>
    <row r="338">
      <c r="A338">
        <f>IF($B338="","",ROW()-5)</f>
        <v/>
      </c>
      <c r="D338">
        <f>IF($B338="","",IF(C338="","",TEXT(C338,"MMM")))</f>
        <v/>
      </c>
    </row>
    <row r="339">
      <c r="A339">
        <f>IF($B339="","",ROW()-5)</f>
        <v/>
      </c>
      <c r="D339">
        <f>IF($B339="","",IF(C339="","",TEXT(C339,"MMM")))</f>
        <v/>
      </c>
    </row>
    <row r="340">
      <c r="A340">
        <f>IF($B340="","",ROW()-5)</f>
        <v/>
      </c>
      <c r="D340">
        <f>IF($B340="","",IF(C340="","",TEXT(C340,"MMM")))</f>
        <v/>
      </c>
    </row>
    <row r="341">
      <c r="A341">
        <f>IF($B341="","",ROW()-5)</f>
        <v/>
      </c>
      <c r="D341">
        <f>IF($B341="","",IF(C341="","",TEXT(C341,"MMM")))</f>
        <v/>
      </c>
    </row>
    <row r="342">
      <c r="A342">
        <f>IF($B342="","",ROW()-5)</f>
        <v/>
      </c>
      <c r="D342">
        <f>IF($B342="","",IF(C342="","",TEXT(C342,"MMM")))</f>
        <v/>
      </c>
    </row>
    <row r="343">
      <c r="A343">
        <f>IF($B343="","",ROW()-5)</f>
        <v/>
      </c>
      <c r="D343">
        <f>IF($B343="","",IF(C343="","",TEXT(C343,"MMM")))</f>
        <v/>
      </c>
    </row>
    <row r="344">
      <c r="A344">
        <f>IF($B344="","",ROW()-5)</f>
        <v/>
      </c>
      <c r="D344">
        <f>IF($B344="","",IF(C344="","",TEXT(C344,"MMM")))</f>
        <v/>
      </c>
    </row>
    <row r="345">
      <c r="A345">
        <f>IF($B345="","",ROW()-5)</f>
        <v/>
      </c>
      <c r="D345">
        <f>IF($B345="","",IF(C345="","",TEXT(C345,"MMM")))</f>
        <v/>
      </c>
    </row>
    <row r="346">
      <c r="A346">
        <f>IF($B346="","",ROW()-5)</f>
        <v/>
      </c>
      <c r="D346">
        <f>IF($B346="","",IF(C346="","",TEXT(C346,"MMM")))</f>
        <v/>
      </c>
    </row>
    <row r="347">
      <c r="A347">
        <f>IF($B347="","",ROW()-5)</f>
        <v/>
      </c>
      <c r="D347">
        <f>IF($B347="","",IF(C347="","",TEXT(C347,"MMM")))</f>
        <v/>
      </c>
    </row>
    <row r="348">
      <c r="A348">
        <f>IF($B348="","",ROW()-5)</f>
        <v/>
      </c>
      <c r="D348">
        <f>IF($B348="","",IF(C348="","",TEXT(C348,"MMM")))</f>
        <v/>
      </c>
    </row>
    <row r="349">
      <c r="A349">
        <f>IF($B349="","",ROW()-5)</f>
        <v/>
      </c>
      <c r="D349">
        <f>IF($B349="","",IF(C349="","",TEXT(C349,"MMM")))</f>
        <v/>
      </c>
    </row>
    <row r="350">
      <c r="A350">
        <f>IF($B350="","",ROW()-5)</f>
        <v/>
      </c>
      <c r="D350">
        <f>IF($B350="","",IF(C350="","",TEXT(C350,"MMM")))</f>
        <v/>
      </c>
    </row>
    <row r="351">
      <c r="A351">
        <f>IF($B351="","",ROW()-5)</f>
        <v/>
      </c>
      <c r="D351">
        <f>IF($B351="","",IF(C351="","",TEXT(C351,"MMM")))</f>
        <v/>
      </c>
    </row>
    <row r="352">
      <c r="A352">
        <f>IF($B352="","",ROW()-5)</f>
        <v/>
      </c>
      <c r="D352">
        <f>IF($B352="","",IF(C352="","",TEXT(C352,"MMM")))</f>
        <v/>
      </c>
    </row>
    <row r="353">
      <c r="A353">
        <f>IF($B353="","",ROW()-5)</f>
        <v/>
      </c>
      <c r="D353">
        <f>IF($B353="","",IF(C353="","",TEXT(C353,"MMM")))</f>
        <v/>
      </c>
    </row>
    <row r="354">
      <c r="A354">
        <f>IF($B354="","",ROW()-5)</f>
        <v/>
      </c>
      <c r="D354">
        <f>IF($B354="","",IF(C354="","",TEXT(C354,"MMM")))</f>
        <v/>
      </c>
    </row>
    <row r="355">
      <c r="A355">
        <f>IF($B355="","",ROW()-5)</f>
        <v/>
      </c>
      <c r="D355">
        <f>IF($B355="","",IF(C355="","",TEXT(C355,"MMM")))</f>
        <v/>
      </c>
    </row>
    <row r="356">
      <c r="A356">
        <f>IF($B356="","",ROW()-5)</f>
        <v/>
      </c>
      <c r="D356">
        <f>IF($B356="","",IF(C356="","",TEXT(C356,"MMM")))</f>
        <v/>
      </c>
    </row>
    <row r="357">
      <c r="A357">
        <f>IF($B357="","",ROW()-5)</f>
        <v/>
      </c>
      <c r="D357">
        <f>IF($B357="","",IF(C357="","",TEXT(C357,"MMM")))</f>
        <v/>
      </c>
    </row>
    <row r="358">
      <c r="A358">
        <f>IF($B358="","",ROW()-5)</f>
        <v/>
      </c>
      <c r="D358">
        <f>IF($B358="","",IF(C358="","",TEXT(C358,"MMM")))</f>
        <v/>
      </c>
    </row>
    <row r="359">
      <c r="A359">
        <f>IF($B359="","",ROW()-5)</f>
        <v/>
      </c>
      <c r="D359">
        <f>IF($B359="","",IF(C359="","",TEXT(C359,"MMM")))</f>
        <v/>
      </c>
    </row>
    <row r="360">
      <c r="A360">
        <f>IF($B360="","",ROW()-5)</f>
        <v/>
      </c>
      <c r="D360">
        <f>IF($B360="","",IF(C360="","",TEXT(C360,"MMM")))</f>
        <v/>
      </c>
    </row>
    <row r="361">
      <c r="A361">
        <f>IF($B361="","",ROW()-5)</f>
        <v/>
      </c>
      <c r="D361">
        <f>IF($B361="","",IF(C361="","",TEXT(C361,"MMM")))</f>
        <v/>
      </c>
    </row>
    <row r="362">
      <c r="A362">
        <f>IF($B362="","",ROW()-5)</f>
        <v/>
      </c>
      <c r="D362">
        <f>IF($B362="","",IF(C362="","",TEXT(C362,"MMM")))</f>
        <v/>
      </c>
    </row>
    <row r="363">
      <c r="A363">
        <f>IF($B363="","",ROW()-5)</f>
        <v/>
      </c>
      <c r="D363">
        <f>IF($B363="","",IF(C363="","",TEXT(C363,"MMM")))</f>
        <v/>
      </c>
    </row>
    <row r="364">
      <c r="A364">
        <f>IF($B364="","",ROW()-5)</f>
        <v/>
      </c>
      <c r="D364">
        <f>IF($B364="","",IF(C364="","",TEXT(C364,"MMM")))</f>
        <v/>
      </c>
    </row>
    <row r="365">
      <c r="A365">
        <f>IF($B365="","",ROW()-5)</f>
        <v/>
      </c>
      <c r="D365">
        <f>IF($B365="","",IF(C365="","",TEXT(C365,"MMM")))</f>
        <v/>
      </c>
    </row>
    <row r="366">
      <c r="A366">
        <f>IF($B366="","",ROW()-5)</f>
        <v/>
      </c>
      <c r="D366">
        <f>IF($B366="","",IF(C366="","",TEXT(C366,"MMM")))</f>
        <v/>
      </c>
    </row>
    <row r="367">
      <c r="A367">
        <f>IF($B367="","",ROW()-5)</f>
        <v/>
      </c>
      <c r="D367">
        <f>IF($B367="","",IF(C367="","",TEXT(C367,"MMM")))</f>
        <v/>
      </c>
    </row>
    <row r="368">
      <c r="A368">
        <f>IF($B368="","",ROW()-5)</f>
        <v/>
      </c>
      <c r="D368">
        <f>IF($B368="","",IF(C368="","",TEXT(C368,"MMM")))</f>
        <v/>
      </c>
    </row>
    <row r="369">
      <c r="A369">
        <f>IF($B369="","",ROW()-5)</f>
        <v/>
      </c>
      <c r="D369">
        <f>IF($B369="","",IF(C369="","",TEXT(C369,"MMM")))</f>
        <v/>
      </c>
    </row>
    <row r="370">
      <c r="A370">
        <f>IF($B370="","",ROW()-5)</f>
        <v/>
      </c>
      <c r="D370">
        <f>IF($B370="","",IF(C370="","",TEXT(C370,"MMM")))</f>
        <v/>
      </c>
    </row>
    <row r="371">
      <c r="A371">
        <f>IF($B371="","",ROW()-5)</f>
        <v/>
      </c>
      <c r="D371">
        <f>IF($B371="","",IF(C371="","",TEXT(C371,"MMM")))</f>
        <v/>
      </c>
    </row>
    <row r="372">
      <c r="A372">
        <f>IF($B372="","",ROW()-5)</f>
        <v/>
      </c>
      <c r="D372">
        <f>IF($B372="","",IF(C372="","",TEXT(C372,"MMM")))</f>
        <v/>
      </c>
    </row>
    <row r="373">
      <c r="A373">
        <f>IF($B373="","",ROW()-5)</f>
        <v/>
      </c>
      <c r="D373">
        <f>IF($B373="","",IF(C373="","",TEXT(C373,"MMM")))</f>
        <v/>
      </c>
    </row>
    <row r="374">
      <c r="A374">
        <f>IF($B374="","",ROW()-5)</f>
        <v/>
      </c>
      <c r="D374">
        <f>IF($B374="","",IF(C374="","",TEXT(C374,"MMM")))</f>
        <v/>
      </c>
    </row>
    <row r="375">
      <c r="A375">
        <f>IF($B375="","",ROW()-5)</f>
        <v/>
      </c>
      <c r="D375">
        <f>IF($B375="","",IF(C375="","",TEXT(C375,"MMM")))</f>
        <v/>
      </c>
    </row>
    <row r="376">
      <c r="A376">
        <f>IF($B376="","",ROW()-5)</f>
        <v/>
      </c>
      <c r="D376">
        <f>IF($B376="","",IF(C376="","",TEXT(C376,"MMM")))</f>
        <v/>
      </c>
    </row>
    <row r="377">
      <c r="A377">
        <f>IF($B377="","",ROW()-5)</f>
        <v/>
      </c>
      <c r="D377">
        <f>IF($B377="","",IF(C377="","",TEXT(C377,"MMM")))</f>
        <v/>
      </c>
    </row>
    <row r="378">
      <c r="A378">
        <f>IF($B378="","",ROW()-5)</f>
        <v/>
      </c>
      <c r="D378">
        <f>IF($B378="","",IF(C378="","",TEXT(C378,"MMM")))</f>
        <v/>
      </c>
    </row>
    <row r="379">
      <c r="A379">
        <f>IF($B379="","",ROW()-5)</f>
        <v/>
      </c>
      <c r="D379">
        <f>IF($B379="","",IF(C379="","",TEXT(C379,"MMM")))</f>
        <v/>
      </c>
    </row>
    <row r="380">
      <c r="A380">
        <f>IF($B380="","",ROW()-5)</f>
        <v/>
      </c>
      <c r="D380">
        <f>IF($B380="","",IF(C380="","",TEXT(C380,"MMM")))</f>
        <v/>
      </c>
    </row>
    <row r="381">
      <c r="A381">
        <f>IF($B381="","",ROW()-5)</f>
        <v/>
      </c>
      <c r="D381">
        <f>IF($B381="","",IF(C381="","",TEXT(C381,"MMM")))</f>
        <v/>
      </c>
    </row>
    <row r="382">
      <c r="A382">
        <f>IF($B382="","",ROW()-5)</f>
        <v/>
      </c>
      <c r="D382">
        <f>IF($B382="","",IF(C382="","",TEXT(C382,"MMM")))</f>
        <v/>
      </c>
    </row>
    <row r="383">
      <c r="A383">
        <f>IF($B383="","",ROW()-5)</f>
        <v/>
      </c>
      <c r="D383">
        <f>IF($B383="","",IF(C383="","",TEXT(C383,"MMM")))</f>
        <v/>
      </c>
    </row>
    <row r="384">
      <c r="A384">
        <f>IF($B384="","",ROW()-5)</f>
        <v/>
      </c>
      <c r="D384">
        <f>IF($B384="","",IF(C384="","",TEXT(C384,"MMM")))</f>
        <v/>
      </c>
    </row>
    <row r="385">
      <c r="A385">
        <f>IF($B385="","",ROW()-5)</f>
        <v/>
      </c>
      <c r="D385">
        <f>IF($B385="","",IF(C385="","",TEXT(C385,"MMM")))</f>
        <v/>
      </c>
    </row>
    <row r="386">
      <c r="A386">
        <f>IF($B386="","",ROW()-5)</f>
        <v/>
      </c>
      <c r="D386">
        <f>IF($B386="","",IF(C386="","",TEXT(C386,"MMM")))</f>
        <v/>
      </c>
    </row>
    <row r="387">
      <c r="A387">
        <f>IF($B387="","",ROW()-5)</f>
        <v/>
      </c>
      <c r="D387">
        <f>IF($B387="","",IF(C387="","",TEXT(C387,"MMM")))</f>
        <v/>
      </c>
    </row>
    <row r="388">
      <c r="A388">
        <f>IF($B388="","",ROW()-5)</f>
        <v/>
      </c>
      <c r="D388">
        <f>IF($B388="","",IF(C388="","",TEXT(C388,"MMM")))</f>
        <v/>
      </c>
    </row>
    <row r="389">
      <c r="A389">
        <f>IF($B389="","",ROW()-5)</f>
        <v/>
      </c>
      <c r="D389">
        <f>IF($B389="","",IF(C389="","",TEXT(C389,"MMM")))</f>
        <v/>
      </c>
    </row>
    <row r="390">
      <c r="A390">
        <f>IF($B390="","",ROW()-5)</f>
        <v/>
      </c>
      <c r="D390">
        <f>IF($B390="","",IF(C390="","",TEXT(C390,"MMM")))</f>
        <v/>
      </c>
    </row>
    <row r="391">
      <c r="A391">
        <f>IF($B391="","",ROW()-5)</f>
        <v/>
      </c>
      <c r="D391">
        <f>IF($B391="","",IF(C391="","",TEXT(C391,"MMM")))</f>
        <v/>
      </c>
    </row>
    <row r="392">
      <c r="A392">
        <f>IF($B392="","",ROW()-5)</f>
        <v/>
      </c>
      <c r="D392">
        <f>IF($B392="","",IF(C392="","",TEXT(C392,"MMM")))</f>
        <v/>
      </c>
    </row>
    <row r="393">
      <c r="A393">
        <f>IF($B393="","",ROW()-5)</f>
        <v/>
      </c>
      <c r="D393">
        <f>IF($B393="","",IF(C393="","",TEXT(C393,"MMM")))</f>
        <v/>
      </c>
    </row>
    <row r="394">
      <c r="A394">
        <f>IF($B394="","",ROW()-5)</f>
        <v/>
      </c>
      <c r="D394">
        <f>IF($B394="","",IF(C394="","",TEXT(C394,"MMM")))</f>
        <v/>
      </c>
    </row>
    <row r="395">
      <c r="A395">
        <f>IF($B395="","",ROW()-5)</f>
        <v/>
      </c>
      <c r="D395">
        <f>IF($B395="","",IF(C395="","",TEXT(C395,"MMM")))</f>
        <v/>
      </c>
    </row>
    <row r="396">
      <c r="A396">
        <f>IF($B396="","",ROW()-5)</f>
        <v/>
      </c>
      <c r="D396">
        <f>IF($B396="","",IF(C396="","",TEXT(C396,"MMM")))</f>
        <v/>
      </c>
    </row>
    <row r="397">
      <c r="A397">
        <f>IF($B397="","",ROW()-5)</f>
        <v/>
      </c>
      <c r="D397">
        <f>IF($B397="","",IF(C397="","",TEXT(C397,"MMM")))</f>
        <v/>
      </c>
    </row>
    <row r="398">
      <c r="A398">
        <f>IF($B398="","",ROW()-5)</f>
        <v/>
      </c>
      <c r="D398">
        <f>IF($B398="","",IF(C398="","",TEXT(C398,"MMM")))</f>
        <v/>
      </c>
    </row>
    <row r="399">
      <c r="A399">
        <f>IF($B399="","",ROW()-5)</f>
        <v/>
      </c>
      <c r="D399">
        <f>IF($B399="","",IF(C399="","",TEXT(C399,"MMM")))</f>
        <v/>
      </c>
    </row>
    <row r="400">
      <c r="A400">
        <f>IF($B400="","",ROW()-5)</f>
        <v/>
      </c>
      <c r="D400">
        <f>IF($B400="","",IF(C400="","",TEXT(C400,"MMM")))</f>
        <v/>
      </c>
    </row>
    <row r="401">
      <c r="A401">
        <f>IF($B401="","",ROW()-5)</f>
        <v/>
      </c>
      <c r="D401">
        <f>IF($B401="","",IF(C401="","",TEXT(C401,"MMM")))</f>
        <v/>
      </c>
    </row>
    <row r="402">
      <c r="A402">
        <f>IF($B402="","",ROW()-5)</f>
        <v/>
      </c>
      <c r="D402">
        <f>IF($B402="","",IF(C402="","",TEXT(C402,"MMM")))</f>
        <v/>
      </c>
    </row>
    <row r="403">
      <c r="A403">
        <f>IF($B403="","",ROW()-5)</f>
        <v/>
      </c>
      <c r="D403">
        <f>IF($B403="","",IF(C403="","",TEXT(C403,"MMM")))</f>
        <v/>
      </c>
    </row>
    <row r="404">
      <c r="A404">
        <f>IF($B404="","",ROW()-5)</f>
        <v/>
      </c>
      <c r="D404">
        <f>IF($B404="","",IF(C404="","",TEXT(C404,"MMM")))</f>
        <v/>
      </c>
    </row>
    <row r="405">
      <c r="A405">
        <f>IF($B405="","",ROW()-5)</f>
        <v/>
      </c>
      <c r="D405">
        <f>IF($B405="","",IF(C405="","",TEXT(C405,"MMM")))</f>
        <v/>
      </c>
    </row>
    <row r="406">
      <c r="A406">
        <f>IF($B406="","",ROW()-5)</f>
        <v/>
      </c>
      <c r="D406">
        <f>IF($B406="","",IF(C406="","",TEXT(C406,"MMM")))</f>
        <v/>
      </c>
    </row>
    <row r="407">
      <c r="A407">
        <f>IF($B407="","",ROW()-5)</f>
        <v/>
      </c>
      <c r="D407">
        <f>IF($B407="","",IF(C407="","",TEXT(C407,"MMM")))</f>
        <v/>
      </c>
    </row>
    <row r="408">
      <c r="A408">
        <f>IF($B408="","",ROW()-5)</f>
        <v/>
      </c>
      <c r="D408">
        <f>IF($B408="","",IF(C408="","",TEXT(C408,"MMM")))</f>
        <v/>
      </c>
    </row>
    <row r="409">
      <c r="A409">
        <f>IF($B409="","",ROW()-5)</f>
        <v/>
      </c>
      <c r="D409">
        <f>IF($B409="","",IF(C409="","",TEXT(C409,"MMM")))</f>
        <v/>
      </c>
    </row>
    <row r="410">
      <c r="A410">
        <f>IF($B410="","",ROW()-5)</f>
        <v/>
      </c>
      <c r="D410">
        <f>IF($B410="","",IF(C410="","",TEXT(C410,"MMM")))</f>
        <v/>
      </c>
    </row>
    <row r="411">
      <c r="A411">
        <f>IF($B411="","",ROW()-5)</f>
        <v/>
      </c>
      <c r="D411">
        <f>IF($B411="","",IF(C411="","",TEXT(C411,"MMM")))</f>
        <v/>
      </c>
    </row>
    <row r="412">
      <c r="A412">
        <f>IF($B412="","",ROW()-5)</f>
        <v/>
      </c>
      <c r="D412">
        <f>IF($B412="","",IF(C412="","",TEXT(C412,"MMM")))</f>
        <v/>
      </c>
    </row>
    <row r="413">
      <c r="A413">
        <f>IF($B413="","",ROW()-5)</f>
        <v/>
      </c>
      <c r="D413">
        <f>IF($B413="","",IF(C413="","",TEXT(C413,"MMM")))</f>
        <v/>
      </c>
    </row>
    <row r="414">
      <c r="A414">
        <f>IF($B414="","",ROW()-5)</f>
        <v/>
      </c>
      <c r="D414">
        <f>IF($B414="","",IF(C414="","",TEXT(C414,"MMM")))</f>
        <v/>
      </c>
    </row>
    <row r="415">
      <c r="A415">
        <f>IF($B415="","",ROW()-5)</f>
        <v/>
      </c>
      <c r="D415">
        <f>IF($B415="","",IF(C415="","",TEXT(C415,"MMM")))</f>
        <v/>
      </c>
    </row>
    <row r="416">
      <c r="A416">
        <f>IF($B416="","",ROW()-5)</f>
        <v/>
      </c>
      <c r="D416">
        <f>IF($B416="","",IF(C416="","",TEXT(C416,"MMM")))</f>
        <v/>
      </c>
    </row>
    <row r="417">
      <c r="A417">
        <f>IF($B417="","",ROW()-5)</f>
        <v/>
      </c>
      <c r="D417">
        <f>IF($B417="","",IF(C417="","",TEXT(C417,"MMM")))</f>
        <v/>
      </c>
    </row>
    <row r="418">
      <c r="A418">
        <f>IF($B418="","",ROW()-5)</f>
        <v/>
      </c>
      <c r="D418">
        <f>IF($B418="","",IF(C418="","",TEXT(C418,"MMM")))</f>
        <v/>
      </c>
    </row>
    <row r="419">
      <c r="A419">
        <f>IF($B419="","",ROW()-5)</f>
        <v/>
      </c>
      <c r="D419">
        <f>IF($B419="","",IF(C419="","",TEXT(C419,"MMM")))</f>
        <v/>
      </c>
    </row>
    <row r="420">
      <c r="A420">
        <f>IF($B420="","",ROW()-5)</f>
        <v/>
      </c>
      <c r="D420">
        <f>IF($B420="","",IF(C420="","",TEXT(C420,"MMM")))</f>
        <v/>
      </c>
    </row>
    <row r="421">
      <c r="A421">
        <f>IF($B421="","",ROW()-5)</f>
        <v/>
      </c>
      <c r="D421">
        <f>IF($B421="","",IF(C421="","",TEXT(C421,"MMM")))</f>
        <v/>
      </c>
    </row>
    <row r="422">
      <c r="A422">
        <f>IF($B422="","",ROW()-5)</f>
        <v/>
      </c>
      <c r="D422">
        <f>IF($B422="","",IF(C422="","",TEXT(C422,"MMM")))</f>
        <v/>
      </c>
    </row>
    <row r="423">
      <c r="A423">
        <f>IF($B423="","",ROW()-5)</f>
        <v/>
      </c>
      <c r="D423">
        <f>IF($B423="","",IF(C423="","",TEXT(C423,"MMM")))</f>
        <v/>
      </c>
    </row>
    <row r="424">
      <c r="A424">
        <f>IF($B424="","",ROW()-5)</f>
        <v/>
      </c>
      <c r="D424">
        <f>IF($B424="","",IF(C424="","",TEXT(C424,"MMM")))</f>
        <v/>
      </c>
    </row>
    <row r="425">
      <c r="A425">
        <f>IF($B425="","",ROW()-5)</f>
        <v/>
      </c>
      <c r="D425">
        <f>IF($B425="","",IF(C425="","",TEXT(C425,"MMM")))</f>
        <v/>
      </c>
    </row>
    <row r="426">
      <c r="A426">
        <f>IF($B426="","",ROW()-5)</f>
        <v/>
      </c>
      <c r="D426">
        <f>IF($B426="","",IF(C426="","",TEXT(C426,"MMM")))</f>
        <v/>
      </c>
    </row>
    <row r="427">
      <c r="A427">
        <f>IF($B427="","",ROW()-5)</f>
        <v/>
      </c>
      <c r="D427">
        <f>IF($B427="","",IF(C427="","",TEXT(C427,"MMM")))</f>
        <v/>
      </c>
    </row>
    <row r="428">
      <c r="A428">
        <f>IF($B428="","",ROW()-5)</f>
        <v/>
      </c>
      <c r="D428">
        <f>IF($B428="","",IF(C428="","",TEXT(C428,"MMM")))</f>
        <v/>
      </c>
    </row>
    <row r="429">
      <c r="A429">
        <f>IF($B429="","",ROW()-5)</f>
        <v/>
      </c>
      <c r="D429">
        <f>IF($B429="","",IF(C429="","",TEXT(C429,"MMM")))</f>
        <v/>
      </c>
    </row>
    <row r="430">
      <c r="A430">
        <f>IF($B430="","",ROW()-5)</f>
        <v/>
      </c>
      <c r="D430">
        <f>IF($B430="","",IF(C430="","",TEXT(C430,"MMM")))</f>
        <v/>
      </c>
    </row>
    <row r="431">
      <c r="A431">
        <f>IF($B431="","",ROW()-5)</f>
        <v/>
      </c>
      <c r="D431">
        <f>IF($B431="","",IF(C431="","",TEXT(C431,"MMM")))</f>
        <v/>
      </c>
    </row>
    <row r="432">
      <c r="A432">
        <f>IF($B432="","",ROW()-5)</f>
        <v/>
      </c>
      <c r="D432">
        <f>IF($B432="","",IF(C432="","",TEXT(C432,"MMM")))</f>
        <v/>
      </c>
    </row>
    <row r="433">
      <c r="A433">
        <f>IF($B433="","",ROW()-5)</f>
        <v/>
      </c>
      <c r="D433">
        <f>IF($B433="","",IF(C433="","",TEXT(C433,"MMM")))</f>
        <v/>
      </c>
    </row>
    <row r="434">
      <c r="A434">
        <f>IF($B434="","",ROW()-5)</f>
        <v/>
      </c>
      <c r="D434">
        <f>IF($B434="","",IF(C434="","",TEXT(C434,"MMM")))</f>
        <v/>
      </c>
    </row>
    <row r="435">
      <c r="A435">
        <f>IF($B435="","",ROW()-5)</f>
        <v/>
      </c>
      <c r="D435">
        <f>IF($B435="","",IF(C435="","",TEXT(C435,"MMM")))</f>
        <v/>
      </c>
    </row>
    <row r="436">
      <c r="A436">
        <f>IF($B436="","",ROW()-5)</f>
        <v/>
      </c>
      <c r="D436">
        <f>IF($B436="","",IF(C436="","",TEXT(C436,"MMM")))</f>
        <v/>
      </c>
    </row>
    <row r="437">
      <c r="A437">
        <f>IF($B437="","",ROW()-5)</f>
        <v/>
      </c>
      <c r="D437">
        <f>IF($B437="","",IF(C437="","",TEXT(C437,"MMM")))</f>
        <v/>
      </c>
    </row>
    <row r="438">
      <c r="A438">
        <f>IF($B438="","",ROW()-5)</f>
        <v/>
      </c>
      <c r="D438">
        <f>IF($B438="","",IF(C438="","",TEXT(C438,"MMM")))</f>
        <v/>
      </c>
    </row>
    <row r="439">
      <c r="A439">
        <f>IF($B439="","",ROW()-5)</f>
        <v/>
      </c>
      <c r="D439">
        <f>IF($B439="","",IF(C439="","",TEXT(C439,"MMM")))</f>
        <v/>
      </c>
    </row>
    <row r="440">
      <c r="A440">
        <f>IF($B440="","",ROW()-5)</f>
        <v/>
      </c>
      <c r="D440">
        <f>IF($B440="","",IF(C440="","",TEXT(C440,"MMM")))</f>
        <v/>
      </c>
    </row>
    <row r="441">
      <c r="A441">
        <f>IF($B441="","",ROW()-5)</f>
        <v/>
      </c>
      <c r="D441">
        <f>IF($B441="","",IF(C441="","",TEXT(C441,"MMM")))</f>
        <v/>
      </c>
    </row>
    <row r="442">
      <c r="A442">
        <f>IF($B442="","",ROW()-5)</f>
        <v/>
      </c>
      <c r="D442">
        <f>IF($B442="","",IF(C442="","",TEXT(C442,"MMM")))</f>
        <v/>
      </c>
    </row>
    <row r="443">
      <c r="A443">
        <f>IF($B443="","",ROW()-5)</f>
        <v/>
      </c>
      <c r="D443">
        <f>IF($B443="","",IF(C443="","",TEXT(C443,"MMM")))</f>
        <v/>
      </c>
    </row>
    <row r="444">
      <c r="A444">
        <f>IF($B444="","",ROW()-5)</f>
        <v/>
      </c>
      <c r="D444">
        <f>IF($B444="","",IF(C444="","",TEXT(C444,"MMM")))</f>
        <v/>
      </c>
    </row>
    <row r="445">
      <c r="A445">
        <f>IF($B445="","",ROW()-5)</f>
        <v/>
      </c>
      <c r="D445">
        <f>IF($B445="","",IF(C445="","",TEXT(C445,"MMM")))</f>
        <v/>
      </c>
    </row>
    <row r="446">
      <c r="A446">
        <f>IF($B446="","",ROW()-5)</f>
        <v/>
      </c>
      <c r="D446">
        <f>IF($B446="","",IF(C446="","",TEXT(C446,"MMM")))</f>
        <v/>
      </c>
    </row>
    <row r="447">
      <c r="A447">
        <f>IF($B447="","",ROW()-5)</f>
        <v/>
      </c>
      <c r="D447">
        <f>IF($B447="","",IF(C447="","",TEXT(C447,"MMM")))</f>
        <v/>
      </c>
    </row>
    <row r="448">
      <c r="A448">
        <f>IF($B448="","",ROW()-5)</f>
        <v/>
      </c>
      <c r="D448">
        <f>IF($B448="","",IF(C448="","",TEXT(C448,"MMM")))</f>
        <v/>
      </c>
    </row>
    <row r="449">
      <c r="A449">
        <f>IF($B449="","",ROW()-5)</f>
        <v/>
      </c>
      <c r="D449">
        <f>IF($B449="","",IF(C449="","",TEXT(C449,"MMM")))</f>
        <v/>
      </c>
    </row>
    <row r="450">
      <c r="A450">
        <f>IF($B450="","",ROW()-5)</f>
        <v/>
      </c>
      <c r="D450">
        <f>IF($B450="","",IF(C450="","",TEXT(C450,"MMM")))</f>
        <v/>
      </c>
    </row>
    <row r="451">
      <c r="A451">
        <f>IF($B451="","",ROW()-5)</f>
        <v/>
      </c>
      <c r="D451">
        <f>IF($B451="","",IF(C451="","",TEXT(C451,"MMM")))</f>
        <v/>
      </c>
    </row>
    <row r="452">
      <c r="A452">
        <f>IF($B452="","",ROW()-5)</f>
        <v/>
      </c>
      <c r="D452">
        <f>IF($B452="","",IF(C452="","",TEXT(C452,"MMM")))</f>
        <v/>
      </c>
    </row>
    <row r="453">
      <c r="A453">
        <f>IF($B453="","",ROW()-5)</f>
        <v/>
      </c>
      <c r="D453">
        <f>IF($B453="","",IF(C453="","",TEXT(C453,"MMM")))</f>
        <v/>
      </c>
    </row>
    <row r="454">
      <c r="A454">
        <f>IF($B454="","",ROW()-5)</f>
        <v/>
      </c>
      <c r="D454">
        <f>IF($B454="","",IF(C454="","",TEXT(C454,"MMM")))</f>
        <v/>
      </c>
    </row>
    <row r="455">
      <c r="A455">
        <f>IF($B455="","",ROW()-5)</f>
        <v/>
      </c>
      <c r="D455">
        <f>IF($B455="","",IF(C455="","",TEXT(C455,"MMM")))</f>
        <v/>
      </c>
    </row>
    <row r="456">
      <c r="A456">
        <f>IF($B456="","",ROW()-5)</f>
        <v/>
      </c>
      <c r="D456">
        <f>IF($B456="","",IF(C456="","",TEXT(C456,"MMM")))</f>
        <v/>
      </c>
    </row>
    <row r="457">
      <c r="A457">
        <f>IF($B457="","",ROW()-5)</f>
        <v/>
      </c>
      <c r="D457">
        <f>IF($B457="","",IF(C457="","",TEXT(C457,"MMM")))</f>
        <v/>
      </c>
    </row>
    <row r="458">
      <c r="A458">
        <f>IF($B458="","",ROW()-5)</f>
        <v/>
      </c>
      <c r="D458">
        <f>IF($B458="","",IF(C458="","",TEXT(C458,"MMM")))</f>
        <v/>
      </c>
    </row>
    <row r="459">
      <c r="A459">
        <f>IF($B459="","",ROW()-5)</f>
        <v/>
      </c>
      <c r="D459">
        <f>IF($B459="","",IF(C459="","",TEXT(C459,"MMM")))</f>
        <v/>
      </c>
    </row>
    <row r="460">
      <c r="A460">
        <f>IF($B460="","",ROW()-5)</f>
        <v/>
      </c>
      <c r="D460">
        <f>IF($B460="","",IF(C460="","",TEXT(C460,"MMM")))</f>
        <v/>
      </c>
    </row>
    <row r="461">
      <c r="A461">
        <f>IF($B461="","",ROW()-5)</f>
        <v/>
      </c>
      <c r="D461">
        <f>IF($B461="","",IF(C461="","",TEXT(C461,"MMM")))</f>
        <v/>
      </c>
    </row>
    <row r="462">
      <c r="A462">
        <f>IF($B462="","",ROW()-5)</f>
        <v/>
      </c>
      <c r="D462">
        <f>IF($B462="","",IF(C462="","",TEXT(C462,"MMM")))</f>
        <v/>
      </c>
    </row>
    <row r="463">
      <c r="A463">
        <f>IF($B463="","",ROW()-5)</f>
        <v/>
      </c>
      <c r="D463">
        <f>IF($B463="","",IF(C463="","",TEXT(C463,"MMM")))</f>
        <v/>
      </c>
    </row>
    <row r="464">
      <c r="A464">
        <f>IF($B464="","",ROW()-5)</f>
        <v/>
      </c>
      <c r="D464">
        <f>IF($B464="","",IF(C464="","",TEXT(C464,"MMM")))</f>
        <v/>
      </c>
    </row>
    <row r="465">
      <c r="A465">
        <f>IF($B465="","",ROW()-5)</f>
        <v/>
      </c>
      <c r="D465">
        <f>IF($B465="","",IF(C465="","",TEXT(C465,"MMM")))</f>
        <v/>
      </c>
    </row>
    <row r="466">
      <c r="A466">
        <f>IF($B466="","",ROW()-5)</f>
        <v/>
      </c>
      <c r="D466">
        <f>IF($B466="","",IF(C466="","",TEXT(C466,"MMM")))</f>
        <v/>
      </c>
    </row>
    <row r="467">
      <c r="A467">
        <f>IF($B467="","",ROW()-5)</f>
        <v/>
      </c>
      <c r="D467">
        <f>IF($B467="","",IF(C467="","",TEXT(C467,"MMM")))</f>
        <v/>
      </c>
    </row>
    <row r="468">
      <c r="A468">
        <f>IF($B468="","",ROW()-5)</f>
        <v/>
      </c>
      <c r="D468">
        <f>IF($B468="","",IF(C468="","",TEXT(C468,"MMM")))</f>
        <v/>
      </c>
    </row>
    <row r="469">
      <c r="A469">
        <f>IF($B469="","",ROW()-5)</f>
        <v/>
      </c>
      <c r="D469">
        <f>IF($B469="","",IF(C469="","",TEXT(C469,"MMM")))</f>
        <v/>
      </c>
    </row>
    <row r="470">
      <c r="A470">
        <f>IF($B470="","",ROW()-5)</f>
        <v/>
      </c>
      <c r="D470">
        <f>IF($B470="","",IF(C470="","",TEXT(C470,"MMM")))</f>
        <v/>
      </c>
    </row>
    <row r="471">
      <c r="A471">
        <f>IF($B471="","",ROW()-5)</f>
        <v/>
      </c>
      <c r="D471">
        <f>IF($B471="","",IF(C471="","",TEXT(C471,"MMM")))</f>
        <v/>
      </c>
    </row>
    <row r="472">
      <c r="A472">
        <f>IF($B472="","",ROW()-5)</f>
        <v/>
      </c>
      <c r="D472">
        <f>IF($B472="","",IF(C472="","",TEXT(C472,"MMM")))</f>
        <v/>
      </c>
    </row>
    <row r="473">
      <c r="A473">
        <f>IF($B473="","",ROW()-5)</f>
        <v/>
      </c>
      <c r="D473">
        <f>IF($B473="","",IF(C473="","",TEXT(C473,"MMM")))</f>
        <v/>
      </c>
    </row>
    <row r="474">
      <c r="A474">
        <f>IF($B474="","",ROW()-5)</f>
        <v/>
      </c>
      <c r="D474">
        <f>IF($B474="","",IF(C474="","",TEXT(C474,"MMM")))</f>
        <v/>
      </c>
    </row>
    <row r="475">
      <c r="A475">
        <f>IF($B475="","",ROW()-5)</f>
        <v/>
      </c>
      <c r="D475">
        <f>IF($B475="","",IF(C475="","",TEXT(C475,"MMM")))</f>
        <v/>
      </c>
    </row>
    <row r="476">
      <c r="A476">
        <f>IF($B476="","",ROW()-5)</f>
        <v/>
      </c>
      <c r="D476">
        <f>IF($B476="","",IF(C476="","",TEXT(C476,"MMM")))</f>
        <v/>
      </c>
    </row>
    <row r="477">
      <c r="A477">
        <f>IF($B477="","",ROW()-5)</f>
        <v/>
      </c>
      <c r="D477">
        <f>IF($B477="","",IF(C477="","",TEXT(C477,"MMM")))</f>
        <v/>
      </c>
    </row>
    <row r="478">
      <c r="A478">
        <f>IF($B478="","",ROW()-5)</f>
        <v/>
      </c>
      <c r="D478">
        <f>IF($B478="","",IF(C478="","",TEXT(C478,"MMM")))</f>
        <v/>
      </c>
    </row>
    <row r="479">
      <c r="A479">
        <f>IF($B479="","",ROW()-5)</f>
        <v/>
      </c>
      <c r="D479">
        <f>IF($B479="","",IF(C479="","",TEXT(C479,"MMM")))</f>
        <v/>
      </c>
    </row>
    <row r="480">
      <c r="A480">
        <f>IF($B480="","",ROW()-5)</f>
        <v/>
      </c>
      <c r="D480">
        <f>IF($B480="","",IF(C480="","",TEXT(C480,"MMM")))</f>
        <v/>
      </c>
    </row>
    <row r="481">
      <c r="A481">
        <f>IF($B481="","",ROW()-5)</f>
        <v/>
      </c>
      <c r="D481">
        <f>IF($B481="","",IF(C481="","",TEXT(C481,"MMM")))</f>
        <v/>
      </c>
    </row>
    <row r="482">
      <c r="A482">
        <f>IF($B482="","",ROW()-5)</f>
        <v/>
      </c>
      <c r="D482">
        <f>IF($B482="","",IF(C482="","",TEXT(C482,"MMM")))</f>
        <v/>
      </c>
    </row>
    <row r="483">
      <c r="A483">
        <f>IF($B483="","",ROW()-5)</f>
        <v/>
      </c>
      <c r="D483">
        <f>IF($B483="","",IF(C483="","",TEXT(C483,"MMM")))</f>
        <v/>
      </c>
    </row>
    <row r="484">
      <c r="A484">
        <f>IF($B484="","",ROW()-5)</f>
        <v/>
      </c>
      <c r="D484">
        <f>IF($B484="","",IF(C484="","",TEXT(C484,"MMM")))</f>
        <v/>
      </c>
    </row>
    <row r="485">
      <c r="A485">
        <f>IF($B485="","",ROW()-5)</f>
        <v/>
      </c>
      <c r="D485">
        <f>IF($B485="","",IF(C485="","",TEXT(C485,"MMM")))</f>
        <v/>
      </c>
    </row>
    <row r="486">
      <c r="A486">
        <f>IF($B486="","",ROW()-5)</f>
        <v/>
      </c>
      <c r="D486">
        <f>IF($B486="","",IF(C486="","",TEXT(C486,"MMM")))</f>
        <v/>
      </c>
    </row>
    <row r="487">
      <c r="A487">
        <f>IF($B487="","",ROW()-5)</f>
        <v/>
      </c>
      <c r="D487">
        <f>IF($B487="","",IF(C487="","",TEXT(C487,"MMM")))</f>
        <v/>
      </c>
    </row>
    <row r="488">
      <c r="A488">
        <f>IF($B488="","",ROW()-5)</f>
        <v/>
      </c>
      <c r="D488">
        <f>IF($B488="","",IF(C488="","",TEXT(C488,"MMM")))</f>
        <v/>
      </c>
    </row>
    <row r="489">
      <c r="A489">
        <f>IF($B489="","",ROW()-5)</f>
        <v/>
      </c>
      <c r="D489">
        <f>IF($B489="","",IF(C489="","",TEXT(C489,"MMM")))</f>
        <v/>
      </c>
    </row>
    <row r="490">
      <c r="A490">
        <f>IF($B490="","",ROW()-5)</f>
        <v/>
      </c>
      <c r="D490">
        <f>IF($B490="","",IF(C490="","",TEXT(C490,"MMM")))</f>
        <v/>
      </c>
    </row>
    <row r="491">
      <c r="A491">
        <f>IF($B491="","",ROW()-5)</f>
        <v/>
      </c>
      <c r="D491">
        <f>IF($B491="","",IF(C491="","",TEXT(C491,"MMM")))</f>
        <v/>
      </c>
    </row>
    <row r="492">
      <c r="A492">
        <f>IF($B492="","",ROW()-5)</f>
        <v/>
      </c>
      <c r="D492">
        <f>IF($B492="","",IF(C492="","",TEXT(C492,"MMM")))</f>
        <v/>
      </c>
    </row>
    <row r="493">
      <c r="A493">
        <f>IF($B493="","",ROW()-5)</f>
        <v/>
      </c>
      <c r="D493">
        <f>IF($B493="","",IF(C493="","",TEXT(C493,"MMM")))</f>
        <v/>
      </c>
    </row>
    <row r="494">
      <c r="A494">
        <f>IF($B494="","",ROW()-5)</f>
        <v/>
      </c>
      <c r="D494">
        <f>IF($B494="","",IF(C494="","",TEXT(C494,"MMM")))</f>
        <v/>
      </c>
    </row>
    <row r="495">
      <c r="A495">
        <f>IF($B495="","",ROW()-5)</f>
        <v/>
      </c>
      <c r="D495">
        <f>IF($B495="","",IF(C495="","",TEXT(C495,"MMM")))</f>
        <v/>
      </c>
    </row>
    <row r="496">
      <c r="A496">
        <f>IF($B496="","",ROW()-5)</f>
        <v/>
      </c>
      <c r="D496">
        <f>IF($B496="","",IF(C496="","",TEXT(C496,"MMM")))</f>
        <v/>
      </c>
    </row>
    <row r="497">
      <c r="A497">
        <f>IF($B497="","",ROW()-5)</f>
        <v/>
      </c>
      <c r="D497">
        <f>IF($B497="","",IF(C497="","",TEXT(C497,"MMM")))</f>
        <v/>
      </c>
    </row>
    <row r="498">
      <c r="A498">
        <f>IF($B498="","",ROW()-5)</f>
        <v/>
      </c>
      <c r="D498">
        <f>IF($B498="","",IF(C498="","",TEXT(C498,"MMM")))</f>
        <v/>
      </c>
    </row>
    <row r="499">
      <c r="A499">
        <f>IF($B499="","",ROW()-5)</f>
        <v/>
      </c>
      <c r="D499">
        <f>IF($B499="","",IF(C499="","",TEXT(C499,"MMM")))</f>
        <v/>
      </c>
    </row>
    <row r="500">
      <c r="A500">
        <f>IF($B500="","",ROW()-5)</f>
        <v/>
      </c>
      <c r="D500">
        <f>IF($B500="","",IF(C500="","",TEXT(C500,"MMM")))</f>
        <v/>
      </c>
    </row>
    <row r="501">
      <c r="A501">
        <f>IF($B501="","",ROW()-5)</f>
        <v/>
      </c>
      <c r="D501">
        <f>IF($B501="","",IF(C501="","",TEXT(C501,"MMM")))</f>
        <v/>
      </c>
    </row>
    <row r="502">
      <c r="A502">
        <f>IF($B502="","",ROW()-5)</f>
        <v/>
      </c>
      <c r="D502">
        <f>IF($B502="","",IF(C502="","",TEXT(C502,"MMM")))</f>
        <v/>
      </c>
    </row>
    <row r="503">
      <c r="A503">
        <f>IF($B503="","",ROW()-5)</f>
        <v/>
      </c>
      <c r="D503">
        <f>IF($B503="","",IF(C503="","",TEXT(C503,"MMM")))</f>
        <v/>
      </c>
    </row>
    <row r="504">
      <c r="A504">
        <f>IF($B504="","",ROW()-5)</f>
        <v/>
      </c>
      <c r="D504">
        <f>IF($B504="","",IF(C504="","",TEXT(C504,"MMM")))</f>
        <v/>
      </c>
    </row>
    <row r="505">
      <c r="A505">
        <f>IF($B505="","",ROW()-5)</f>
        <v/>
      </c>
      <c r="D505">
        <f>IF($B505="","",IF(C505="","",TEXT(C505,"MMM")))</f>
        <v/>
      </c>
    </row>
    <row r="506">
      <c r="A506">
        <f>IF($B506="","",ROW()-5)</f>
        <v/>
      </c>
      <c r="D506">
        <f>IF($B506="","",IF(C506="","",TEXT(C506,"MMM")))</f>
        <v/>
      </c>
    </row>
  </sheetData>
  <autoFilter ref="A4:M23"/>
  <mergeCells count="4">
    <mergeCell ref="F3:G3"/>
    <mergeCell ref="A2:M2"/>
    <mergeCell ref="A3:D3"/>
    <mergeCell ref="A1:M1"/>
  </mergeCells>
  <conditionalFormatting sqref="I6:I23">
    <cfRule type="cellIs" priority="2" operator="equal" dxfId="86">
      <formula>"High"</formula>
    </cfRule>
    <cfRule type="cellIs" priority="3" operator="equal" dxfId="84">
      <formula>"Medium"</formula>
    </cfRule>
    <cfRule type="cellIs" priority="4" operator="equal" dxfId="87">
      <formula>"Low"</formula>
    </cfRule>
  </conditionalFormatting>
  <conditionalFormatting sqref="M6:M23">
    <cfRule type="cellIs" priority="5" operator="equal" dxfId="87">
      <formula>"Completed"</formula>
    </cfRule>
    <cfRule type="cellIs" priority="6" operator="equal" dxfId="86">
      <formula>"Overdue"</formula>
    </cfRule>
    <cfRule type="cellIs" priority="7" operator="equal" dxfId="85">
      <formula>"In Progress"</formula>
    </cfRule>
    <cfRule type="cellIs" priority="8" operator="equal" dxfId="84">
      <formula>"Open"</formula>
    </cfRule>
  </conditionalFormatting>
  <dataValidations count="5">
    <dataValidation sqref="F6:F506" showDropDown="0" showInputMessage="0" showErrorMessage="0" allowBlank="1" type="list">
      <formula1>L_Department</formula1>
      <formula2>0</formula2>
    </dataValidation>
    <dataValidation sqref="G6:G506" showDropDown="0" showInputMessage="0" showErrorMessage="0" allowBlank="1" type="list">
      <formula1>L_Location</formula1>
      <formula2>0</formula2>
    </dataValidation>
    <dataValidation sqref="I6:I506" showDropDown="0" showInputMessage="0" showErrorMessage="0" allowBlank="1" type="list">
      <formula1>L_Risk_Level</formula1>
      <formula2>0</formula2>
    </dataValidation>
    <dataValidation sqref="J6:J506" showDropDown="0" showInputMessage="0" showErrorMessage="0" allowBlank="1" type="list">
      <formula1>L_Immediate_Action</formula1>
      <formula2>0</formula2>
    </dataValidation>
    <dataValidation sqref="M6:M506" showDropDown="0" showInputMessage="0" showErrorMessage="0" allowBlank="1" type="list">
      <formula1>L_Status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tabColor rgb="FF1B5E20"/>
    <outlinePr summaryBelow="1" summaryRight="1"/>
    <pageSetUpPr/>
  </sheetPr>
  <dimension ref="A1:R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8"/>
  </cols>
  <sheetData>
    <row r="1" ht="51.75" customHeight="1" s="15">
      <c r="A1" s="227" t="inlineStr">
        <is>
          <t>🎓  TRAINING PERFORMANCE DASHBOARD</t>
        </is>
      </c>
      <c r="R1" s="93" t="n"/>
    </row>
    <row r="2" ht="24" customHeight="1" s="15">
      <c r="A2" s="228" t="inlineStr">
        <is>
          <t>Live data from Training sheet  ·  All KPIs auto-update  ·  Scroll down for detailed analysis</t>
        </is>
      </c>
      <c r="R2" s="93" t="n"/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3" t="n"/>
    </row>
    <row r="4" ht="15.75" customHeight="1" s="15">
      <c r="A4" s="93" t="n"/>
      <c r="B4" s="229" t="inlineStr">
        <is>
          <t>📋 TOTAL TRAININGS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32" t="inlineStr">
        <is>
          <t>📅 SCHEDULED</t>
        </is>
      </c>
      <c r="Q4" s="93" t="n"/>
      <c r="R4" s="93" t="n"/>
    </row>
    <row r="5" ht="43.5" customHeight="1" s="15">
      <c r="A5" s="93" t="n"/>
      <c r="B5" s="233">
        <f>COUNTA(Training!B$6:B$506)</f>
        <v/>
      </c>
      <c r="E5" s="93" t="n"/>
      <c r="F5" s="234">
        <f>COUNTIF(Training!N$6:N$506,"Completed")</f>
        <v/>
      </c>
      <c r="I5" s="93" t="n"/>
      <c r="J5" s="235">
        <f>COUNTIF(Training!N$6:N$506,"In Progress")</f>
        <v/>
      </c>
      <c r="M5" s="93" t="n"/>
      <c r="N5" s="236">
        <f>COUNTIF(Training!N$6:N$506,"Scheduled")</f>
        <v/>
      </c>
      <c r="Q5" s="93" t="n"/>
      <c r="R5" s="93" t="n"/>
    </row>
    <row r="6" ht="13.5" customHeight="1" s="15">
      <c r="A6" s="93" t="n"/>
      <c r="B6" s="237" t="n"/>
      <c r="E6" s="93" t="n"/>
      <c r="F6" s="262" t="n"/>
      <c r="I6" s="93" t="n"/>
      <c r="J6" s="263" t="n"/>
      <c r="M6" s="93" t="n"/>
      <c r="N6" s="240" t="n"/>
      <c r="Q6" s="93" t="n"/>
      <c r="R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</row>
    <row r="8" ht="15.75" customHeight="1" s="15">
      <c r="A8" s="93" t="n"/>
      <c r="B8" s="241" t="inlineStr">
        <is>
          <t>👥 AVG ATTENDANCE %</t>
        </is>
      </c>
      <c r="E8" s="93" t="n"/>
      <c r="F8" s="242" t="inlineStr">
        <is>
          <t>⏱️ TOTAL HOURS</t>
        </is>
      </c>
      <c r="I8" s="93" t="n"/>
      <c r="J8" s="243" t="inlineStr">
        <is>
          <t>✅ PASS RATE</t>
        </is>
      </c>
      <c r="M8" s="93" t="n"/>
      <c r="N8" s="244" t="inlineStr">
        <is>
          <t>📜 CERTIFICATES</t>
        </is>
      </c>
      <c r="Q8" s="93" t="n"/>
      <c r="R8" s="93" t="n"/>
    </row>
    <row r="9" ht="43.5" customHeight="1" s="15">
      <c r="A9" s="93" t="n"/>
      <c r="B9" s="245">
        <f>IFERROR(AVERAGE(Training!L$6:L$506),0)</f>
        <v/>
      </c>
      <c r="E9" s="93" t="n"/>
      <c r="F9" s="246">
        <f>SUM(Training!M$6:M$506)</f>
        <v/>
      </c>
      <c r="I9" s="93" t="n"/>
      <c r="J9" s="247">
        <f>IF(COUNTIF(Training!O$6:O$506,"Pass")+COUNTIF(Training!O$6:O$506,"Fail")=0,0,COUNTIF(Training!O$6:O$506,"Pass")/(COUNTIF(Training!O$6:O$506,"Pass")+COUNTIF(Training!O$6:O$506,"Fail")))</f>
        <v/>
      </c>
      <c r="M9" s="93" t="n"/>
      <c r="N9" s="248">
        <f>COUNTIF(Training!P$6:P$506,"Yes")</f>
        <v/>
      </c>
      <c r="Q9" s="93" t="n"/>
      <c r="R9" s="93" t="n"/>
    </row>
    <row r="10" ht="13.5" customHeight="1" s="15">
      <c r="A10" s="93" t="n"/>
      <c r="B10" s="268" t="n"/>
      <c r="E10" s="93" t="n"/>
      <c r="F10" s="269" t="n"/>
      <c r="I10" s="93" t="n"/>
      <c r="J10" s="251" t="n"/>
      <c r="M10" s="93" t="n"/>
      <c r="N10" s="271" t="n"/>
      <c r="Q10" s="93" t="n"/>
      <c r="R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3" t="n"/>
    </row>
    <row r="12" ht="15" customHeight="1" s="15">
      <c r="A12" s="93" t="n"/>
      <c r="B12" s="253" t="inlineStr">
        <is>
          <t>📅  Monthly Training Volume</t>
        </is>
      </c>
      <c r="I12" s="93" t="n"/>
      <c r="J12" s="253" t="inlineStr">
        <is>
          <t>🏷️  Training Type Breakdown</t>
        </is>
      </c>
      <c r="Q12" s="93" t="n"/>
      <c r="R12" s="93" t="n"/>
    </row>
    <row r="13" ht="17.25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58" t="inlineStr">
        <is>
          <t>Induction</t>
        </is>
      </c>
      <c r="P13" s="59">
        <f>COUNTIF(Training!F$6:F$506,"Induction")</f>
        <v/>
      </c>
      <c r="Q13" s="93" t="n"/>
      <c r="R13" s="93" t="n"/>
    </row>
    <row r="14" ht="15" customHeight="1" s="15">
      <c r="A14" s="94" t="n"/>
      <c r="B14" s="60">
        <f>COUNTIF(Training!D$6:D$506,"Jan")</f>
        <v/>
      </c>
      <c r="C14" s="60">
        <f>COUNTIF(Training!D$6:D$506,"Feb")</f>
        <v/>
      </c>
      <c r="D14" s="60">
        <f>COUNTIF(Training!D$6:D$506,"Mar")</f>
        <v/>
      </c>
      <c r="E14" s="60">
        <f>COUNTIF(Training!D$6:D$506,"Apr")</f>
        <v/>
      </c>
      <c r="F14" s="60">
        <f>COUNTIF(Training!D$6:D$506,"May")</f>
        <v/>
      </c>
      <c r="G14" s="60">
        <f>COUNTIF(Training!D$6:D$506,"Jun")</f>
        <v/>
      </c>
      <c r="H14" s="60">
        <f>COUNTIF(Training!D$6:D$506,"Jul")</f>
        <v/>
      </c>
      <c r="I14" s="60">
        <f>COUNTIF(Training!D$6:D$506,"Aug")</f>
        <v/>
      </c>
      <c r="J14" s="60">
        <f>COUNTIF(Training!D$6:D$506,"Sep")</f>
        <v/>
      </c>
      <c r="K14" s="60">
        <f>COUNTIF(Training!D$6:D$506,"Oct")</f>
        <v/>
      </c>
      <c r="L14" s="60">
        <f>COUNTIF(Training!D$6:D$506,"Nov")</f>
        <v/>
      </c>
      <c r="M14" s="60">
        <f>COUNTIF(Training!D$6:D$506,"Dec")</f>
        <v/>
      </c>
      <c r="N14" s="94" t="n"/>
      <c r="O14" s="58" t="inlineStr">
        <is>
          <t>Refresher</t>
        </is>
      </c>
      <c r="P14" s="59">
        <f>COUNTIF(Training!F$6:F$506,"Refresher")</f>
        <v/>
      </c>
      <c r="Q14" s="93" t="n"/>
      <c r="R14" s="93" t="n"/>
    </row>
    <row r="15" ht="15" customHeight="1" s="15">
      <c r="A15" s="93" t="n"/>
      <c r="B15" s="60">
        <f>COUNTIFS(Training!D$6:D$506,"Jan",Training!N$6:N$506,"Completed")</f>
        <v/>
      </c>
      <c r="C15" s="60">
        <f>COUNTIFS(Training!D$6:D$506,"Feb",Training!N$6:N$506,"Completed")</f>
        <v/>
      </c>
      <c r="D15" s="60">
        <f>COUNTIFS(Training!D$6:D$506,"Mar",Training!N$6:N$506,"Completed")</f>
        <v/>
      </c>
      <c r="E15" s="60">
        <f>COUNTIFS(Training!D$6:D$506,"Apr",Training!N$6:N$506,"Completed")</f>
        <v/>
      </c>
      <c r="F15" s="60">
        <f>COUNTIFS(Training!D$6:D$506,"May",Training!N$6:N$506,"Completed")</f>
        <v/>
      </c>
      <c r="G15" s="60">
        <f>COUNTIFS(Training!D$6:D$506,"Jun",Training!N$6:N$506,"Completed")</f>
        <v/>
      </c>
      <c r="H15" s="60">
        <f>COUNTIFS(Training!D$6:D$506,"Jul",Training!N$6:N$506,"Completed")</f>
        <v/>
      </c>
      <c r="I15" s="60">
        <f>COUNTIFS(Training!D$6:D$506,"Aug",Training!N$6:N$506,"Completed")</f>
        <v/>
      </c>
      <c r="J15" s="60">
        <f>COUNTIFS(Training!D$6:D$506,"Sep",Training!N$6:N$506,"Completed")</f>
        <v/>
      </c>
      <c r="K15" s="60">
        <f>COUNTIFS(Training!D$6:D$506,"Oct",Training!N$6:N$506,"Completed")</f>
        <v/>
      </c>
      <c r="L15" s="60">
        <f>COUNTIFS(Training!D$6:D$506,"Nov",Training!N$6:N$506,"Completed")</f>
        <v/>
      </c>
      <c r="M15" s="60">
        <f>COUNTIFS(Training!D$6:D$506,"Dec",Training!N$6:N$506,"Completed")</f>
        <v/>
      </c>
      <c r="N15" s="94" t="n"/>
      <c r="O15" s="58" t="inlineStr">
        <is>
          <t>Advanced</t>
        </is>
      </c>
      <c r="P15" s="59">
        <f>COUNTIF(Training!F$6:F$506,"Advanced")</f>
        <v/>
      </c>
      <c r="Q15" s="93" t="n"/>
      <c r="R15" s="93" t="n"/>
    </row>
    <row r="16" ht="15" customHeight="1" s="15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3" t="n"/>
      <c r="J16" s="94" t="n"/>
      <c r="K16" s="94" t="n"/>
      <c r="L16" s="94" t="n"/>
      <c r="M16" s="94" t="n"/>
      <c r="N16" s="94" t="n"/>
      <c r="O16" s="58" t="inlineStr">
        <is>
          <t>Certification</t>
        </is>
      </c>
      <c r="P16" s="59">
        <f>COUNTIF(Training!F$6:F$506,"Certification")</f>
        <v/>
      </c>
      <c r="Q16" s="93" t="n"/>
      <c r="R16" s="93" t="n"/>
    </row>
    <row r="17" ht="15" customHeight="1" s="15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58" t="inlineStr">
        <is>
          <t>Awareness</t>
        </is>
      </c>
      <c r="P17" s="59">
        <f>COUNTIF(Training!F$6:F$506,"Awareness")</f>
        <v/>
      </c>
      <c r="Q17" s="93" t="n"/>
      <c r="R17" s="93" t="n"/>
    </row>
    <row r="18" ht="15" customHeight="1" s="15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58" t="inlineStr">
        <is>
          <t>Competency</t>
        </is>
      </c>
      <c r="P18" s="59">
        <f>COUNTIF(Training!F$6:F$506,"Competency")</f>
        <v/>
      </c>
      <c r="Q18" s="93" t="n"/>
      <c r="R18" s="93" t="n"/>
    </row>
    <row r="19" ht="15" customHeight="1" s="15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3" t="n"/>
    </row>
    <row r="20" ht="15" customHeight="1" s="15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</row>
    <row r="21" ht="15" customHeight="1" s="15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3" t="n"/>
    </row>
    <row r="22" ht="15" customHeight="1" s="15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3" t="n"/>
    </row>
    <row r="23" ht="15" customHeight="1" s="15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</row>
    <row r="24" ht="15" customHeight="1" s="15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3" t="n"/>
    </row>
    <row r="25" ht="15" customHeight="1" s="1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3" t="n"/>
    </row>
    <row r="26" ht="15" customHeight="1" s="15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</row>
    <row r="27" ht="15" customHeight="1" s="15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3" t="n"/>
    </row>
    <row r="28" ht="15" customHeight="1" s="15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3" t="n"/>
    </row>
    <row r="29" ht="15" customHeight="1" s="15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3" t="n"/>
    </row>
    <row r="31" ht="15" customHeight="1" s="15">
      <c r="A31" s="93" t="n"/>
      <c r="B31" s="253" t="inlineStr">
        <is>
          <t>🏢  Department Performance</t>
        </is>
      </c>
      <c r="I31" s="93" t="n"/>
      <c r="J31" s="253" t="inlineStr">
        <is>
          <t>🖥️  Training Mode Distribution</t>
        </is>
      </c>
      <c r="Q31" s="93" t="n"/>
      <c r="R31" s="93" t="n"/>
    </row>
    <row r="32" ht="49.5" customHeight="1" s="15">
      <c r="A32" s="93" t="n"/>
      <c r="B32" s="61" t="inlineStr">
        <is>
          <t>Department</t>
        </is>
      </c>
      <c r="C32" s="61" t="inlineStr">
        <is>
          <t>Count</t>
        </is>
      </c>
      <c r="D32" s="61" t="inlineStr">
        <is>
          <t>Completed</t>
        </is>
      </c>
      <c r="E32" s="61" t="inlineStr">
        <is>
          <t>Comp %</t>
        </is>
      </c>
      <c r="F32" s="61" t="inlineStr">
        <is>
          <t>Avg Att %</t>
        </is>
      </c>
      <c r="G32" s="61" t="inlineStr">
        <is>
          <t>Hours</t>
        </is>
      </c>
      <c r="H32" s="61" t="inlineStr">
        <is>
          <t>Pass Rate</t>
        </is>
      </c>
      <c r="I32" s="93" t="n"/>
      <c r="J32" s="94" t="n"/>
      <c r="K32" s="94" t="n"/>
      <c r="L32" s="94" t="n"/>
      <c r="M32" s="94" t="n"/>
      <c r="N32" s="94" t="n"/>
      <c r="O32" s="58" t="inlineStr">
        <is>
          <t>Internal</t>
        </is>
      </c>
      <c r="P32" s="59">
        <f>COUNTIF(Training!I$6:I$506,"Internal")</f>
        <v/>
      </c>
      <c r="Q32" s="93" t="n"/>
      <c r="R32" s="93" t="n"/>
    </row>
    <row r="33" ht="39.75" customHeight="1" s="15">
      <c r="A33" s="93" t="n"/>
      <c r="B33" s="62" t="inlineStr">
        <is>
          <t>Operations</t>
        </is>
      </c>
      <c r="C33" s="63">
        <f>COUNTIF(Training!G$6:G$506,B33)</f>
        <v/>
      </c>
      <c r="D33" s="63">
        <f>COUNTIFS(Training!G$6:G$506,B33,Training!N$6:N$506,"Completed")</f>
        <v/>
      </c>
      <c r="E33" s="64">
        <f>IF(C33=0,0,D33/C33)</f>
        <v/>
      </c>
      <c r="F33" s="65">
        <f>IFERROR(AVERAGEIF(Training!G$6:G$506,B33,Training!L$6:L$506),0)</f>
        <v/>
      </c>
      <c r="G33" s="66">
        <f>SUMIF(Training!G$6:G$506,B33,Training!M$6:M$506)</f>
        <v/>
      </c>
      <c r="H33" s="64">
        <f>IFERROR(COUNTIFS(Training!G$6:G$506,B33,Training!O$6:O$506,"Pass")/(COUNTIFS(Training!G$6:G$506,B33,Training!O$6:O$506,"Pass")+COUNTIFS(Training!G$6:G$506,B33,Training!O$6:O$506,"Fail")),0)</f>
        <v/>
      </c>
      <c r="I33" s="93" t="n"/>
      <c r="J33" s="94" t="n"/>
      <c r="K33" s="94" t="n"/>
      <c r="L33" s="94" t="n"/>
      <c r="M33" s="94" t="n"/>
      <c r="N33" s="94" t="n"/>
      <c r="O33" s="58" t="inlineStr">
        <is>
          <t>External</t>
        </is>
      </c>
      <c r="P33" s="59">
        <f>COUNTIF(Training!I$6:I$506,"External")</f>
        <v/>
      </c>
      <c r="Q33" s="93" t="n"/>
      <c r="R33" s="93" t="n"/>
    </row>
    <row r="34" ht="20.25" customHeight="1" s="15">
      <c r="A34" s="93" t="n"/>
      <c r="B34" s="67" t="inlineStr">
        <is>
          <t>Maintenance</t>
        </is>
      </c>
      <c r="C34" s="68">
        <f>COUNTIF(Training!G$6:G$506,B34)</f>
        <v/>
      </c>
      <c r="D34" s="68">
        <f>COUNTIFS(Training!G$6:G$506,B34,Training!N$6:N$506,"Completed")</f>
        <v/>
      </c>
      <c r="E34" s="69">
        <f>IF(C34=0,0,D34/C34)</f>
        <v/>
      </c>
      <c r="F34" s="70">
        <f>IFERROR(AVERAGEIF(Training!G$6:G$506,B34,Training!L$6:L$506),0)</f>
        <v/>
      </c>
      <c r="G34" s="71">
        <f>SUMIF(Training!G$6:G$506,B34,Training!M$6:M$506)</f>
        <v/>
      </c>
      <c r="H34" s="69">
        <f>IFERROR(COUNTIFS(Training!G$6:G$506,B34,Training!O$6:O$506,"Pass")/(COUNTIFS(Training!G$6:G$506,B34,Training!O$6:O$506,"Pass")+COUNTIFS(Training!G$6:G$506,B34,Training!O$6:O$506,"Fail")),0)</f>
        <v/>
      </c>
      <c r="I34" s="93" t="n"/>
      <c r="J34" s="94" t="n"/>
      <c r="K34" s="94" t="n"/>
      <c r="L34" s="94" t="n"/>
      <c r="M34" s="94" t="n"/>
      <c r="N34" s="94" t="n"/>
      <c r="O34" s="58" t="inlineStr">
        <is>
          <t>Online</t>
        </is>
      </c>
      <c r="P34" s="59">
        <f>COUNTIF(Training!I$6:I$506,"Online")</f>
        <v/>
      </c>
      <c r="Q34" s="93" t="n"/>
      <c r="R34" s="93" t="n"/>
    </row>
    <row r="35" ht="20.25" customHeight="1" s="15">
      <c r="A35" s="93" t="n"/>
      <c r="B35" s="62" t="inlineStr">
        <is>
          <t>Engineering</t>
        </is>
      </c>
      <c r="C35" s="63">
        <f>COUNTIF(Training!G$6:G$506,B35)</f>
        <v/>
      </c>
      <c r="D35" s="63">
        <f>COUNTIFS(Training!G$6:G$506,B35,Training!N$6:N$506,"Completed")</f>
        <v/>
      </c>
      <c r="E35" s="64">
        <f>IF(C35=0,0,D35/C35)</f>
        <v/>
      </c>
      <c r="F35" s="65">
        <f>IFERROR(AVERAGEIF(Training!G$6:G$506,B35,Training!L$6:L$506),0)</f>
        <v/>
      </c>
      <c r="G35" s="66">
        <f>SUMIF(Training!G$6:G$506,B35,Training!M$6:M$506)</f>
        <v/>
      </c>
      <c r="H35" s="64">
        <f>IFERROR(COUNTIFS(Training!G$6:G$506,B35,Training!O$6:O$506,"Pass")/(COUNTIFS(Training!G$6:G$506,B35,Training!O$6:O$506,"Pass")+COUNTIFS(Training!G$6:G$506,B35,Training!O$6:O$506,"Fail")),0)</f>
        <v/>
      </c>
      <c r="I35" s="93" t="n"/>
      <c r="J35" s="94" t="n"/>
      <c r="K35" s="94" t="n"/>
      <c r="L35" s="94" t="n"/>
      <c r="M35" s="94" t="n"/>
      <c r="N35" s="94" t="n"/>
      <c r="O35" s="58" t="inlineStr">
        <is>
          <t>On-the-Job</t>
        </is>
      </c>
      <c r="P35" s="59">
        <f>COUNTIF(Training!I$6:I$506,"On-the-Job")</f>
        <v/>
      </c>
      <c r="Q35" s="93" t="n"/>
      <c r="R35" s="93" t="n"/>
    </row>
    <row r="36" ht="30" customHeight="1" s="15">
      <c r="A36" s="93" t="n"/>
      <c r="B36" s="67" t="inlineStr">
        <is>
          <t>Construction</t>
        </is>
      </c>
      <c r="C36" s="68">
        <f>COUNTIF(Training!G$6:G$506,B36)</f>
        <v/>
      </c>
      <c r="D36" s="68">
        <f>COUNTIFS(Training!G$6:G$506,B36,Training!N$6:N$506,"Completed")</f>
        <v/>
      </c>
      <c r="E36" s="69">
        <f>IF(C36=0,0,D36/C36)</f>
        <v/>
      </c>
      <c r="F36" s="70">
        <f>IFERROR(AVERAGEIF(Training!G$6:G$506,B36,Training!L$6:L$506),0)</f>
        <v/>
      </c>
      <c r="G36" s="71">
        <f>SUMIF(Training!G$6:G$506,B36,Training!M$6:M$506)</f>
        <v/>
      </c>
      <c r="H36" s="69">
        <f>IFERROR(COUNTIFS(Training!G$6:G$506,B36,Training!O$6:O$506,"Pass")/(COUNTIFS(Training!G$6:G$506,B36,Training!O$6:O$506,"Pass")+COUNTIFS(Training!G$6:G$506,B36,Training!O$6:O$506,"Fail")),0)</f>
        <v/>
      </c>
      <c r="I36" s="93" t="n"/>
      <c r="J36" s="94" t="n"/>
      <c r="K36" s="94" t="n"/>
      <c r="L36" s="94" t="n"/>
      <c r="M36" s="94" t="n"/>
      <c r="N36" s="94" t="n"/>
      <c r="O36" s="94" t="n"/>
      <c r="P36" s="94" t="n"/>
      <c r="Q36" s="93" t="n"/>
      <c r="R36" s="93" t="n"/>
    </row>
    <row r="37" ht="30" customHeight="1" s="15">
      <c r="A37" s="93" t="n"/>
      <c r="B37" s="62" t="inlineStr">
        <is>
          <t>Safety</t>
        </is>
      </c>
      <c r="C37" s="63">
        <f>COUNTIF(Training!G$6:G$506,B37)</f>
        <v/>
      </c>
      <c r="D37" s="63">
        <f>COUNTIFS(Training!G$6:G$506,B37,Training!N$6:N$506,"Completed")</f>
        <v/>
      </c>
      <c r="E37" s="64">
        <f>IF(C37=0,0,D37/C37)</f>
        <v/>
      </c>
      <c r="F37" s="65">
        <f>IFERROR(AVERAGEIF(Training!G$6:G$506,B37,Training!L$6:L$506),0)</f>
        <v/>
      </c>
      <c r="G37" s="66">
        <f>SUMIF(Training!G$6:G$506,B37,Training!M$6:M$506)</f>
        <v/>
      </c>
      <c r="H37" s="64">
        <f>IFERROR(COUNTIFS(Training!G$6:G$506,B37,Training!O$6:O$506,"Pass")/(COUNTIFS(Training!G$6:G$506,B37,Training!O$6:O$506,"Pass")+COUNTIFS(Training!G$6:G$506,B37,Training!O$6:O$506,"Fail")),0)</f>
        <v/>
      </c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  <c r="R37" s="93" t="n"/>
    </row>
    <row r="38" ht="30" customHeight="1" s="15">
      <c r="A38" s="93" t="n"/>
      <c r="B38" s="67" t="inlineStr">
        <is>
          <t>Logistics</t>
        </is>
      </c>
      <c r="C38" s="68">
        <f>COUNTIF(Training!G$6:G$506,B38)</f>
        <v/>
      </c>
      <c r="D38" s="68">
        <f>COUNTIFS(Training!G$6:G$506,B38,Training!N$6:N$506,"Completed")</f>
        <v/>
      </c>
      <c r="E38" s="69">
        <f>IF(C38=0,0,D38/C38)</f>
        <v/>
      </c>
      <c r="F38" s="70">
        <f>IFERROR(AVERAGEIF(Training!G$6:G$506,B38,Training!L$6:L$506),0)</f>
        <v/>
      </c>
      <c r="G38" s="71">
        <f>SUMIF(Training!G$6:G$506,B38,Training!M$6:M$506)</f>
        <v/>
      </c>
      <c r="H38" s="69">
        <f>IFERROR(COUNTIFS(Training!G$6:G$506,B38,Training!O$6:O$506,"Pass")/(COUNTIFS(Training!G$6:G$506,B38,Training!O$6:O$506,"Pass")+COUNTIFS(Training!G$6:G$506,B38,Training!O$6:O$506,"Fail")),0)</f>
        <v/>
      </c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</row>
    <row r="39" ht="30" customHeight="1" s="15">
      <c r="A39" s="93" t="n"/>
      <c r="B39" s="62" t="inlineStr">
        <is>
          <t>Quality</t>
        </is>
      </c>
      <c r="C39" s="63">
        <f>COUNTIF(Training!G$6:G$506,B39)</f>
        <v/>
      </c>
      <c r="D39" s="63">
        <f>COUNTIFS(Training!G$6:G$506,B39,Training!N$6:N$506,"Completed")</f>
        <v/>
      </c>
      <c r="E39" s="64">
        <f>IF(C39=0,0,D39/C39)</f>
        <v/>
      </c>
      <c r="F39" s="65">
        <f>IFERROR(AVERAGEIF(Training!G$6:G$506,B39,Training!L$6:L$506),0)</f>
        <v/>
      </c>
      <c r="G39" s="66">
        <f>SUMIF(Training!G$6:G$506,B39,Training!M$6:M$506)</f>
        <v/>
      </c>
      <c r="H39" s="64">
        <f>IFERROR(COUNTIFS(Training!G$6:G$506,B39,Training!O$6:O$506,"Pass")/(COUNTIFS(Training!G$6:G$506,B39,Training!O$6:O$506,"Pass")+COUNTIFS(Training!G$6:G$506,B39,Training!O$6:O$506,"Fail")),0)</f>
        <v/>
      </c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3" t="n"/>
    </row>
    <row r="40" ht="30" customHeight="1" s="15">
      <c r="A40" s="93" t="n"/>
      <c r="B40" s="67" t="inlineStr">
        <is>
          <t>Admin</t>
        </is>
      </c>
      <c r="C40" s="68">
        <f>COUNTIF(Training!G$6:G$506,B40)</f>
        <v/>
      </c>
      <c r="D40" s="68">
        <f>COUNTIFS(Training!G$6:G$506,B40,Training!N$6:N$506,"Completed")</f>
        <v/>
      </c>
      <c r="E40" s="69">
        <f>IF(C40=0,0,D40/C40)</f>
        <v/>
      </c>
      <c r="F40" s="70">
        <f>IFERROR(AVERAGEIF(Training!G$6:G$506,B40,Training!L$6:L$506),0)</f>
        <v/>
      </c>
      <c r="G40" s="71">
        <f>SUMIF(Training!G$6:G$506,B40,Training!M$6:M$506)</f>
        <v/>
      </c>
      <c r="H40" s="69">
        <f>IFERROR(COUNTIFS(Training!G$6:G$506,B40,Training!O$6:O$506,"Pass")/(COUNTIFS(Training!G$6:G$506,B40,Training!O$6:O$506,"Pass")+COUNTIFS(Training!G$6:G$506,B40,Training!O$6:O$506,"Fail")),0)</f>
        <v/>
      </c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3" t="n"/>
    </row>
    <row r="41" ht="39.75" customHeight="1" s="15">
      <c r="A41" s="93" t="n"/>
      <c r="B41" s="62" t="inlineStr">
        <is>
          <t>Projects</t>
        </is>
      </c>
      <c r="C41" s="63">
        <f>COUNTIF(Training!G$6:G$506,B41)</f>
        <v/>
      </c>
      <c r="D41" s="63">
        <f>COUNTIFS(Training!G$6:G$506,B41,Training!N$6:N$506,"Completed")</f>
        <v/>
      </c>
      <c r="E41" s="64">
        <f>IF(C41=0,0,D41/C41)</f>
        <v/>
      </c>
      <c r="F41" s="65">
        <f>IFERROR(AVERAGEIF(Training!G$6:G$506,B41,Training!L$6:L$506),0)</f>
        <v/>
      </c>
      <c r="G41" s="66">
        <f>SUMIF(Training!G$6:G$506,B41,Training!M$6:M$506)</f>
        <v/>
      </c>
      <c r="H41" s="64">
        <f>IFERROR(COUNTIFS(Training!G$6:G$506,B41,Training!O$6:O$506,"Pass")/(COUNTIFS(Training!G$6:G$506,B41,Training!O$6:O$506,"Pass")+COUNTIFS(Training!G$6:G$506,B41,Training!O$6:O$506,"Fail")),0)</f>
        <v/>
      </c>
      <c r="I41" s="93" t="n"/>
      <c r="J41" s="253" t="inlineStr">
        <is>
          <t>📝  Assessment Results</t>
        </is>
      </c>
      <c r="Q41" s="93" t="n"/>
      <c r="R41" s="93" t="n"/>
    </row>
    <row r="42" ht="30" customHeight="1" s="15">
      <c r="A42" s="93" t="n"/>
      <c r="B42" s="67" t="inlineStr">
        <is>
          <t>Contractor</t>
        </is>
      </c>
      <c r="C42" s="68">
        <f>COUNTIF(Training!G$6:G$506,B42)</f>
        <v/>
      </c>
      <c r="D42" s="68">
        <f>COUNTIFS(Training!G$6:G$506,B42,Training!N$6:N$506,"Completed")</f>
        <v/>
      </c>
      <c r="E42" s="69">
        <f>IF(C42=0,0,D42/C42)</f>
        <v/>
      </c>
      <c r="F42" s="70">
        <f>IFERROR(AVERAGEIF(Training!G$6:G$506,B42,Training!L$6:L$506),0)</f>
        <v/>
      </c>
      <c r="G42" s="71">
        <f>SUMIF(Training!G$6:G$506,B42,Training!M$6:M$506)</f>
        <v/>
      </c>
      <c r="H42" s="69">
        <f>IFERROR(COUNTIFS(Training!G$6:G$506,B42,Training!O$6:O$506,"Pass")/(COUNTIFS(Training!G$6:G$506,B42,Training!O$6:O$506,"Pass")+COUNTIFS(Training!G$6:G$506,B42,Training!O$6:O$506,"Fail")),0)</f>
        <v/>
      </c>
      <c r="I42" s="93" t="n"/>
      <c r="J42" s="94" t="n"/>
      <c r="K42" s="94" t="n"/>
      <c r="L42" s="94" t="n"/>
      <c r="M42" s="94" t="n"/>
      <c r="N42" s="94" t="n"/>
      <c r="O42" s="58" t="inlineStr">
        <is>
          <t>Pass</t>
        </is>
      </c>
      <c r="P42" s="59">
        <f>COUNTIF(Training!O$6:O$506,"Pass")</f>
        <v/>
      </c>
      <c r="Q42" s="93" t="n"/>
      <c r="R42" s="93" t="n"/>
    </row>
    <row r="43" ht="15" customHeight="1" s="15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4" t="n"/>
      <c r="K43" s="94" t="n"/>
      <c r="L43" s="94" t="n"/>
      <c r="M43" s="94" t="n"/>
      <c r="N43" s="94" t="n"/>
      <c r="O43" s="58" t="inlineStr">
        <is>
          <t>Fail</t>
        </is>
      </c>
      <c r="P43" s="59">
        <f>COUNTIF(Training!O$6:O$506,"Fail")</f>
        <v/>
      </c>
      <c r="Q43" s="93" t="n"/>
      <c r="R43" s="93" t="n"/>
    </row>
    <row r="44" ht="15" customHeight="1" s="15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4" t="n"/>
      <c r="K44" s="94" t="n"/>
      <c r="L44" s="94" t="n"/>
      <c r="M44" s="94" t="n"/>
      <c r="N44" s="94" t="n"/>
      <c r="O44" s="58" t="inlineStr">
        <is>
          <t>N/A</t>
        </is>
      </c>
      <c r="P44" s="59">
        <f>COUNTIF(Training!O$6:O$506,"N/A")</f>
        <v/>
      </c>
      <c r="Q44" s="93" t="n"/>
      <c r="R44" s="93" t="n"/>
    </row>
    <row r="45" ht="15" customHeight="1" s="15">
      <c r="A45" s="93" t="n"/>
      <c r="B45" s="253" t="inlineStr">
        <is>
          <t>📈  Monthly Performance Matrix</t>
        </is>
      </c>
      <c r="Q45" s="93" t="n"/>
      <c r="R45" s="93" t="n"/>
    </row>
    <row r="46" ht="30" customHeight="1" s="15">
      <c r="A46" s="93" t="n"/>
      <c r="B46" s="61" t="inlineStr">
        <is>
          <t>Metric</t>
        </is>
      </c>
      <c r="C46" s="61" t="inlineStr">
        <is>
          <t>Jan</t>
        </is>
      </c>
      <c r="D46" s="61" t="inlineStr">
        <is>
          <t>Feb</t>
        </is>
      </c>
      <c r="E46" s="61" t="inlineStr">
        <is>
          <t>Mar</t>
        </is>
      </c>
      <c r="F46" s="61" t="inlineStr">
        <is>
          <t>Apr</t>
        </is>
      </c>
      <c r="G46" s="61" t="inlineStr">
        <is>
          <t>May</t>
        </is>
      </c>
      <c r="H46" s="61" t="inlineStr">
        <is>
          <t>Jun</t>
        </is>
      </c>
      <c r="I46" s="61" t="inlineStr">
        <is>
          <t>Jul</t>
        </is>
      </c>
      <c r="J46" s="61" t="inlineStr">
        <is>
          <t>Aug</t>
        </is>
      </c>
      <c r="K46" s="61" t="inlineStr">
        <is>
          <t>Sep</t>
        </is>
      </c>
      <c r="L46" s="61" t="inlineStr">
        <is>
          <t>Oct</t>
        </is>
      </c>
      <c r="M46" s="61" t="inlineStr">
        <is>
          <t>Nov</t>
        </is>
      </c>
      <c r="N46" s="61" t="inlineStr">
        <is>
          <t>Dec</t>
        </is>
      </c>
      <c r="O46" s="61" t="inlineStr">
        <is>
          <t>YTD</t>
        </is>
      </c>
      <c r="P46" s="93" t="n"/>
      <c r="Q46" s="93" t="n"/>
      <c r="R46" s="93" t="n"/>
    </row>
    <row r="47" ht="15" customHeight="1" s="15">
      <c r="A47" s="93" t="n"/>
      <c r="B47" s="97" t="inlineStr">
        <is>
          <t>Trainings Conducted</t>
        </is>
      </c>
      <c r="C47" s="73">
        <f>COUNTIF(Training!D$6:D$506,"Jan")</f>
        <v/>
      </c>
      <c r="D47" s="73">
        <f>COUNTIF(Training!D$6:D$506,"Feb")</f>
        <v/>
      </c>
      <c r="E47" s="73">
        <f>COUNTIF(Training!D$6:D$506,"Mar")</f>
        <v/>
      </c>
      <c r="F47" s="73">
        <f>COUNTIF(Training!D$6:D$506,"Apr")</f>
        <v/>
      </c>
      <c r="G47" s="73">
        <f>COUNTIF(Training!D$6:D$506,"May")</f>
        <v/>
      </c>
      <c r="H47" s="73">
        <f>COUNTIF(Training!D$6:D$506,"Jun")</f>
        <v/>
      </c>
      <c r="I47" s="73">
        <f>COUNTIF(Training!D$6:D$506,"Jul")</f>
        <v/>
      </c>
      <c r="J47" s="73">
        <f>COUNTIF(Training!D$6:D$506,"Aug")</f>
        <v/>
      </c>
      <c r="K47" s="73">
        <f>COUNTIF(Training!D$6:D$506,"Sep")</f>
        <v/>
      </c>
      <c r="L47" s="73">
        <f>COUNTIF(Training!D$6:D$506,"Oct")</f>
        <v/>
      </c>
      <c r="M47" s="73">
        <f>COUNTIF(Training!D$6:D$506,"Nov")</f>
        <v/>
      </c>
      <c r="N47" s="73">
        <f>COUNTIF(Training!D$6:D$506,"Dec")</f>
        <v/>
      </c>
      <c r="O47" s="74">
        <f>SUM(C47:N47)</f>
        <v/>
      </c>
      <c r="P47" s="93" t="n"/>
      <c r="Q47" s="93" t="n"/>
      <c r="R47" s="93" t="n"/>
    </row>
    <row r="48" ht="15" customHeight="1" s="15">
      <c r="A48" s="93" t="n"/>
      <c r="B48" s="124" t="inlineStr">
        <is>
          <t>Completed</t>
        </is>
      </c>
      <c r="C48" s="76">
        <f>COUNTIFS(Training!D$6:D$506,"Jan",Training!N$6:N$506,"Completed")</f>
        <v/>
      </c>
      <c r="D48" s="76">
        <f>COUNTIFS(Training!D$6:D$506,"Feb",Training!N$6:N$506,"Completed")</f>
        <v/>
      </c>
      <c r="E48" s="76">
        <f>COUNTIFS(Training!D$6:D$506,"Mar",Training!N$6:N$506,"Completed")</f>
        <v/>
      </c>
      <c r="F48" s="76">
        <f>COUNTIFS(Training!D$6:D$506,"Apr",Training!N$6:N$506,"Completed")</f>
        <v/>
      </c>
      <c r="G48" s="76">
        <f>COUNTIFS(Training!D$6:D$506,"May",Training!N$6:N$506,"Completed")</f>
        <v/>
      </c>
      <c r="H48" s="76">
        <f>COUNTIFS(Training!D$6:D$506,"Jun",Training!N$6:N$506,"Completed")</f>
        <v/>
      </c>
      <c r="I48" s="76">
        <f>COUNTIFS(Training!D$6:D$506,"Jul",Training!N$6:N$506,"Completed")</f>
        <v/>
      </c>
      <c r="J48" s="76">
        <f>COUNTIFS(Training!D$6:D$506,"Aug",Training!N$6:N$506,"Completed")</f>
        <v/>
      </c>
      <c r="K48" s="76">
        <f>COUNTIFS(Training!D$6:D$506,"Sep",Training!N$6:N$506,"Completed")</f>
        <v/>
      </c>
      <c r="L48" s="76">
        <f>COUNTIFS(Training!D$6:D$506,"Oct",Training!N$6:N$506,"Completed")</f>
        <v/>
      </c>
      <c r="M48" s="76">
        <f>COUNTIFS(Training!D$6:D$506,"Nov",Training!N$6:N$506,"Completed")</f>
        <v/>
      </c>
      <c r="N48" s="76">
        <f>COUNTIFS(Training!D$6:D$506,"Dec",Training!N$6:N$506,"Completed")</f>
        <v/>
      </c>
      <c r="O48" s="77">
        <f>SUM(C48:N48)</f>
        <v/>
      </c>
      <c r="P48" s="93" t="n"/>
      <c r="Q48" s="93" t="n"/>
      <c r="R48" s="93" t="n"/>
    </row>
    <row r="49" ht="15" customHeight="1" s="15">
      <c r="A49" s="93" t="n"/>
      <c r="B49" s="200" t="inlineStr">
        <is>
          <t>In Progress</t>
        </is>
      </c>
      <c r="C49" s="79">
        <f>COUNTIFS(Training!D$6:D$506,"Jan",Training!N$6:N$506,"In Progress")</f>
        <v/>
      </c>
      <c r="D49" s="79">
        <f>COUNTIFS(Training!D$6:D$506,"Feb",Training!N$6:N$506,"In Progress")</f>
        <v/>
      </c>
      <c r="E49" s="79">
        <f>COUNTIFS(Training!D$6:D$506,"Mar",Training!N$6:N$506,"In Progress")</f>
        <v/>
      </c>
      <c r="F49" s="79">
        <f>COUNTIFS(Training!D$6:D$506,"Apr",Training!N$6:N$506,"In Progress")</f>
        <v/>
      </c>
      <c r="G49" s="79">
        <f>COUNTIFS(Training!D$6:D$506,"May",Training!N$6:N$506,"In Progress")</f>
        <v/>
      </c>
      <c r="H49" s="79">
        <f>COUNTIFS(Training!D$6:D$506,"Jun",Training!N$6:N$506,"In Progress")</f>
        <v/>
      </c>
      <c r="I49" s="79">
        <f>COUNTIFS(Training!D$6:D$506,"Jul",Training!N$6:N$506,"In Progress")</f>
        <v/>
      </c>
      <c r="J49" s="79">
        <f>COUNTIFS(Training!D$6:D$506,"Aug",Training!N$6:N$506,"In Progress")</f>
        <v/>
      </c>
      <c r="K49" s="79">
        <f>COUNTIFS(Training!D$6:D$506,"Sep",Training!N$6:N$506,"In Progress")</f>
        <v/>
      </c>
      <c r="L49" s="79">
        <f>COUNTIFS(Training!D$6:D$506,"Oct",Training!N$6:N$506,"In Progress")</f>
        <v/>
      </c>
      <c r="M49" s="79">
        <f>COUNTIFS(Training!D$6:D$506,"Nov",Training!N$6:N$506,"In Progress")</f>
        <v/>
      </c>
      <c r="N49" s="79">
        <f>COUNTIFS(Training!D$6:D$506,"Dec",Training!N$6:N$506,"In Progress")</f>
        <v/>
      </c>
      <c r="O49" s="80">
        <f>SUM(C49:N49)</f>
        <v/>
      </c>
      <c r="P49" s="93" t="n"/>
      <c r="Q49" s="93" t="n"/>
      <c r="R49" s="93" t="n"/>
    </row>
    <row r="50" ht="15" customHeight="1" s="15">
      <c r="A50" s="93" t="n"/>
      <c r="B50" s="163" t="inlineStr">
        <is>
          <t>Scheduled</t>
        </is>
      </c>
      <c r="C50" s="82">
        <f>COUNTIFS(Training!D$6:D$506,"Jan",Training!N$6:N$506,"Scheduled")</f>
        <v/>
      </c>
      <c r="D50" s="82">
        <f>COUNTIFS(Training!D$6:D$506,"Feb",Training!N$6:N$506,"Scheduled")</f>
        <v/>
      </c>
      <c r="E50" s="82">
        <f>COUNTIFS(Training!D$6:D$506,"Mar",Training!N$6:N$506,"Scheduled")</f>
        <v/>
      </c>
      <c r="F50" s="82">
        <f>COUNTIFS(Training!D$6:D$506,"Apr",Training!N$6:N$506,"Scheduled")</f>
        <v/>
      </c>
      <c r="G50" s="82">
        <f>COUNTIFS(Training!D$6:D$506,"May",Training!N$6:N$506,"Scheduled")</f>
        <v/>
      </c>
      <c r="H50" s="82">
        <f>COUNTIFS(Training!D$6:D$506,"Jun",Training!N$6:N$506,"Scheduled")</f>
        <v/>
      </c>
      <c r="I50" s="82">
        <f>COUNTIFS(Training!D$6:D$506,"Jul",Training!N$6:N$506,"Scheduled")</f>
        <v/>
      </c>
      <c r="J50" s="82">
        <f>COUNTIFS(Training!D$6:D$506,"Aug",Training!N$6:N$506,"Scheduled")</f>
        <v/>
      </c>
      <c r="K50" s="82">
        <f>COUNTIFS(Training!D$6:D$506,"Sep",Training!N$6:N$506,"Scheduled")</f>
        <v/>
      </c>
      <c r="L50" s="82">
        <f>COUNTIFS(Training!D$6:D$506,"Oct",Training!N$6:N$506,"Scheduled")</f>
        <v/>
      </c>
      <c r="M50" s="82">
        <f>COUNTIFS(Training!D$6:D$506,"Nov",Training!N$6:N$506,"Scheduled")</f>
        <v/>
      </c>
      <c r="N50" s="82">
        <f>COUNTIFS(Training!D$6:D$506,"Dec",Training!N$6:N$506,"Scheduled")</f>
        <v/>
      </c>
      <c r="O50" s="83">
        <f>SUM(C50:N50)</f>
        <v/>
      </c>
      <c r="P50" s="93" t="n"/>
      <c r="Q50" s="93" t="n"/>
      <c r="R50" s="93" t="n"/>
    </row>
    <row r="51" ht="15" customHeight="1" s="15">
      <c r="A51" s="93" t="n"/>
      <c r="B51" s="97" t="inlineStr">
        <is>
          <t>Total Target Attendees</t>
        </is>
      </c>
      <c r="C51" s="73">
        <f>SUMPRODUCT((Training!D$6:D$506="Jan")*Training!J$6:J$506)</f>
        <v/>
      </c>
      <c r="D51" s="73">
        <f>SUMPRODUCT((Training!D$6:D$506="Feb")*Training!J$6:J$506)</f>
        <v/>
      </c>
      <c r="E51" s="73">
        <f>SUMPRODUCT((Training!D$6:D$506="Mar")*Training!J$6:J$506)</f>
        <v/>
      </c>
      <c r="F51" s="73">
        <f>SUMPRODUCT((Training!D$6:D$506="Apr")*Training!J$6:J$506)</f>
        <v/>
      </c>
      <c r="G51" s="73">
        <f>SUMPRODUCT((Training!D$6:D$506="May")*Training!J$6:J$506)</f>
        <v/>
      </c>
      <c r="H51" s="73">
        <f>SUMPRODUCT((Training!D$6:D$506="Jun")*Training!J$6:J$506)</f>
        <v/>
      </c>
      <c r="I51" s="73">
        <f>SUMPRODUCT((Training!D$6:D$506="Jul")*Training!J$6:J$506)</f>
        <v/>
      </c>
      <c r="J51" s="73">
        <f>SUMPRODUCT((Training!D$6:D$506="Aug")*Training!J$6:J$506)</f>
        <v/>
      </c>
      <c r="K51" s="73">
        <f>SUMPRODUCT((Training!D$6:D$506="Sep")*Training!J$6:J$506)</f>
        <v/>
      </c>
      <c r="L51" s="73">
        <f>SUMPRODUCT((Training!D$6:D$506="Oct")*Training!J$6:J$506)</f>
        <v/>
      </c>
      <c r="M51" s="73">
        <f>SUMPRODUCT((Training!D$6:D$506="Nov")*Training!J$6:J$506)</f>
        <v/>
      </c>
      <c r="N51" s="73">
        <f>SUMPRODUCT((Training!D$6:D$506="Dec")*Training!J$6:J$506)</f>
        <v/>
      </c>
      <c r="O51" s="74">
        <f>SUM(C51:N51)</f>
        <v/>
      </c>
      <c r="P51" s="93" t="n"/>
      <c r="Q51" s="93" t="n"/>
      <c r="R51" s="93" t="n"/>
    </row>
    <row r="52" ht="15" customHeight="1" s="15">
      <c r="A52" s="93" t="n"/>
      <c r="B52" s="97" t="inlineStr">
        <is>
          <t>Total Actual Attendees</t>
        </is>
      </c>
      <c r="C52" s="73">
        <f>SUMPRODUCT((Training!D$6:D$506="Jan")*Training!K$6:K$506)</f>
        <v/>
      </c>
      <c r="D52" s="73">
        <f>SUMPRODUCT((Training!D$6:D$506="Feb")*Training!K$6:K$506)</f>
        <v/>
      </c>
      <c r="E52" s="73">
        <f>SUMPRODUCT((Training!D$6:D$506="Mar")*Training!K$6:K$506)</f>
        <v/>
      </c>
      <c r="F52" s="73">
        <f>SUMPRODUCT((Training!D$6:D$506="Apr")*Training!K$6:K$506)</f>
        <v/>
      </c>
      <c r="G52" s="73">
        <f>SUMPRODUCT((Training!D$6:D$506="May")*Training!K$6:K$506)</f>
        <v/>
      </c>
      <c r="H52" s="73">
        <f>SUMPRODUCT((Training!D$6:D$506="Jun")*Training!K$6:K$506)</f>
        <v/>
      </c>
      <c r="I52" s="73">
        <f>SUMPRODUCT((Training!D$6:D$506="Jul")*Training!K$6:K$506)</f>
        <v/>
      </c>
      <c r="J52" s="73">
        <f>SUMPRODUCT((Training!D$6:D$506="Aug")*Training!K$6:K$506)</f>
        <v/>
      </c>
      <c r="K52" s="73">
        <f>SUMPRODUCT((Training!D$6:D$506="Sep")*Training!K$6:K$506)</f>
        <v/>
      </c>
      <c r="L52" s="73">
        <f>SUMPRODUCT((Training!D$6:D$506="Oct")*Training!K$6:K$506)</f>
        <v/>
      </c>
      <c r="M52" s="73">
        <f>SUMPRODUCT((Training!D$6:D$506="Nov")*Training!K$6:K$506)</f>
        <v/>
      </c>
      <c r="N52" s="73">
        <f>SUMPRODUCT((Training!D$6:D$506="Dec")*Training!K$6:K$506)</f>
        <v/>
      </c>
      <c r="O52" s="74">
        <f>SUM(C52:N52)</f>
        <v/>
      </c>
      <c r="P52" s="93" t="n"/>
      <c r="Q52" s="93" t="n"/>
      <c r="R52" s="93" t="n"/>
    </row>
    <row r="53" ht="15" customHeight="1" s="15">
      <c r="A53" s="93" t="n"/>
      <c r="B53" s="97" t="inlineStr">
        <is>
          <t>Total Hours</t>
        </is>
      </c>
      <c r="C53" s="73">
        <f>SUMPRODUCT((Training!D$6:D$506="Jan")*Training!M$6:M$506)</f>
        <v/>
      </c>
      <c r="D53" s="73">
        <f>SUMPRODUCT((Training!D$6:D$506="Feb")*Training!M$6:M$506)</f>
        <v/>
      </c>
      <c r="E53" s="73">
        <f>SUMPRODUCT((Training!D$6:D$506="Mar")*Training!M$6:M$506)</f>
        <v/>
      </c>
      <c r="F53" s="73">
        <f>SUMPRODUCT((Training!D$6:D$506="Apr")*Training!M$6:M$506)</f>
        <v/>
      </c>
      <c r="G53" s="73">
        <f>SUMPRODUCT((Training!D$6:D$506="May")*Training!M$6:M$506)</f>
        <v/>
      </c>
      <c r="H53" s="73">
        <f>SUMPRODUCT((Training!D$6:D$506="Jun")*Training!M$6:M$506)</f>
        <v/>
      </c>
      <c r="I53" s="73">
        <f>SUMPRODUCT((Training!D$6:D$506="Jul")*Training!M$6:M$506)</f>
        <v/>
      </c>
      <c r="J53" s="73">
        <f>SUMPRODUCT((Training!D$6:D$506="Aug")*Training!M$6:M$506)</f>
        <v/>
      </c>
      <c r="K53" s="73">
        <f>SUMPRODUCT((Training!D$6:D$506="Sep")*Training!M$6:M$506)</f>
        <v/>
      </c>
      <c r="L53" s="73">
        <f>SUMPRODUCT((Training!D$6:D$506="Oct")*Training!M$6:M$506)</f>
        <v/>
      </c>
      <c r="M53" s="73">
        <f>SUMPRODUCT((Training!D$6:D$506="Nov")*Training!M$6:M$506)</f>
        <v/>
      </c>
      <c r="N53" s="73">
        <f>SUMPRODUCT((Training!D$6:D$506="Dec")*Training!M$6:M$506)</f>
        <v/>
      </c>
      <c r="O53" s="74">
        <f>SUM(C53:N53)</f>
        <v/>
      </c>
      <c r="P53" s="93" t="n"/>
      <c r="Q53" s="93" t="n"/>
      <c r="R53" s="93" t="n"/>
    </row>
    <row r="54" ht="30" customHeight="1" s="15">
      <c r="A54" s="93" t="n"/>
      <c r="B54" s="84" t="inlineStr">
        <is>
          <t>Completion Rate</t>
        </is>
      </c>
      <c r="C54" s="85">
        <f>IF(C47=0,0,C48/C47)</f>
        <v/>
      </c>
      <c r="D54" s="85">
        <f>IF(D47=0,0,D48/D47)</f>
        <v/>
      </c>
      <c r="E54" s="85">
        <f>IF(E47=0,0,E48/E47)</f>
        <v/>
      </c>
      <c r="F54" s="85">
        <f>IF(F47=0,0,F48/F47)</f>
        <v/>
      </c>
      <c r="G54" s="85">
        <f>IF(G47=0,0,G48/G47)</f>
        <v/>
      </c>
      <c r="H54" s="85">
        <f>IF(H47=0,0,H48/H47)</f>
        <v/>
      </c>
      <c r="I54" s="85">
        <f>IF(I47=0,0,I48/I47)</f>
        <v/>
      </c>
      <c r="J54" s="85">
        <f>IF(J47=0,0,J48/J47)</f>
        <v/>
      </c>
      <c r="K54" s="85">
        <f>IF(K47=0,0,K48/K47)</f>
        <v/>
      </c>
      <c r="L54" s="85">
        <f>IF(L47=0,0,L48/L47)</f>
        <v/>
      </c>
      <c r="M54" s="85">
        <f>IF(M47=0,0,M48/M47)</f>
        <v/>
      </c>
      <c r="N54" s="85">
        <f>IF(N47=0,0,N48/N47)</f>
        <v/>
      </c>
      <c r="O54" s="85">
        <f>IF(O47=0,0,O48/O47)</f>
        <v/>
      </c>
      <c r="P54" s="93" t="n"/>
      <c r="Q54" s="93" t="n"/>
      <c r="R54" s="93" t="n"/>
    </row>
    <row r="55" ht="15" customHeight="1" s="1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3" t="n"/>
    </row>
    <row r="56" ht="15" customHeight="1" s="15">
      <c r="A56" s="93" t="n"/>
      <c r="B56" s="253" t="inlineStr">
        <is>
          <t>👥  Monthly Attendance Trend</t>
        </is>
      </c>
      <c r="I56" s="93" t="n"/>
      <c r="J56" s="253" t="inlineStr">
        <is>
          <t>📚  Course-wise Analysis</t>
        </is>
      </c>
      <c r="Q56" s="93" t="n"/>
      <c r="R56" s="93" t="n"/>
    </row>
    <row r="57" ht="39.75" customHeight="1" s="15">
      <c r="A57" s="93" t="n"/>
      <c r="B57" s="56" t="inlineStr">
        <is>
          <t>Jan</t>
        </is>
      </c>
      <c r="C57" s="56" t="inlineStr">
        <is>
          <t>Feb</t>
        </is>
      </c>
      <c r="D57" s="56" t="inlineStr">
        <is>
          <t>Mar</t>
        </is>
      </c>
      <c r="E57" s="56" t="inlineStr">
        <is>
          <t>Apr</t>
        </is>
      </c>
      <c r="F57" s="56" t="inlineStr">
        <is>
          <t>May</t>
        </is>
      </c>
      <c r="G57" s="56" t="inlineStr">
        <is>
          <t>Jun</t>
        </is>
      </c>
      <c r="H57" s="56" t="inlineStr">
        <is>
          <t>Jul</t>
        </is>
      </c>
      <c r="I57" s="56" t="inlineStr">
        <is>
          <t>Aug</t>
        </is>
      </c>
      <c r="J57" s="61" t="inlineStr">
        <is>
          <t>Course</t>
        </is>
      </c>
      <c r="K57" s="61" t="inlineStr">
        <is>
          <t>Count</t>
        </is>
      </c>
      <c r="L57" s="61" t="inlineStr">
        <is>
          <t>Hrs</t>
        </is>
      </c>
      <c r="M57" s="61" t="inlineStr">
        <is>
          <t>Pass%</t>
        </is>
      </c>
      <c r="N57" s="93" t="n"/>
      <c r="O57" s="93" t="n"/>
      <c r="P57" s="93" t="n"/>
      <c r="Q57" s="93" t="n"/>
      <c r="R57" s="93" t="n"/>
    </row>
    <row r="58" ht="25.5" customHeight="1" s="15">
      <c r="A58" s="93" t="n"/>
      <c r="B58" s="86">
        <f>SUMPRODUCT((Training!D$6:D$506="Jan")*Training!J$6:J$506)</f>
        <v/>
      </c>
      <c r="C58" s="86">
        <f>SUMPRODUCT((Training!D$6:D$506="Feb")*Training!J$6:J$506)</f>
        <v/>
      </c>
      <c r="D58" s="86">
        <f>SUMPRODUCT((Training!D$6:D$506="Mar")*Training!J$6:J$506)</f>
        <v/>
      </c>
      <c r="E58" s="86">
        <f>SUMPRODUCT((Training!D$6:D$506="Apr")*Training!J$6:J$506)</f>
        <v/>
      </c>
      <c r="F58" s="86">
        <f>SUMPRODUCT((Training!D$6:D$506="May")*Training!J$6:J$506)</f>
        <v/>
      </c>
      <c r="G58" s="86">
        <f>SUMPRODUCT((Training!D$6:D$506="Jun")*Training!J$6:J$506)</f>
        <v/>
      </c>
      <c r="H58" s="86">
        <f>SUMPRODUCT((Training!D$6:D$506="Jul")*Training!J$6:J$506)</f>
        <v/>
      </c>
      <c r="I58" s="86">
        <f>SUMPRODUCT((Training!D$6:D$506="Aug")*Training!J$6:J$506)</f>
        <v/>
      </c>
      <c r="J58" s="87" t="inlineStr">
        <is>
          <t>First Aid</t>
        </is>
      </c>
      <c r="K58" s="88">
        <f>COUNTIF(Training!E$6:E$506,J58)</f>
        <v/>
      </c>
      <c r="L58" s="88">
        <f>SUMIF(Training!E$6:E$506,J58,Training!M$6:M$506)</f>
        <v/>
      </c>
      <c r="M58" s="89">
        <f>IFERROR(COUNTIFS(Training!E$6:E$506,J58,Training!O$6:O$506,"Pass")/(COUNTIFS(Training!E$6:E$506,J58,Training!O$6:O$506,"Pass")+COUNTIFS(Training!E$6:E$506,J58,Training!O$6:O$506,"Fail")),0)</f>
        <v/>
      </c>
      <c r="N58" s="93" t="n"/>
      <c r="O58" s="93" t="n"/>
      <c r="P58" s="93" t="n"/>
      <c r="Q58" s="93" t="n"/>
      <c r="R58" s="93" t="n"/>
    </row>
    <row r="59" ht="17.25" customHeight="1" s="15">
      <c r="A59" s="93" t="n"/>
      <c r="B59" s="86">
        <f>SUMPRODUCT((Training!D$6:D$506="Jan")*Training!K$6:K$506)</f>
        <v/>
      </c>
      <c r="C59" s="86">
        <f>SUMPRODUCT((Training!D$6:D$506="Feb")*Training!K$6:K$506)</f>
        <v/>
      </c>
      <c r="D59" s="86">
        <f>SUMPRODUCT((Training!D$6:D$506="Mar")*Training!K$6:K$506)</f>
        <v/>
      </c>
      <c r="E59" s="86">
        <f>SUMPRODUCT((Training!D$6:D$506="Apr")*Training!K$6:K$506)</f>
        <v/>
      </c>
      <c r="F59" s="86">
        <f>SUMPRODUCT((Training!D$6:D$506="May")*Training!K$6:K$506)</f>
        <v/>
      </c>
      <c r="G59" s="86">
        <f>SUMPRODUCT((Training!D$6:D$506="Jun")*Training!K$6:K$506)</f>
        <v/>
      </c>
      <c r="H59" s="86">
        <f>SUMPRODUCT((Training!D$6:D$506="Jul")*Training!K$6:K$506)</f>
        <v/>
      </c>
      <c r="I59" s="86">
        <f>SUMPRODUCT((Training!D$6:D$506="Aug")*Training!K$6:K$506)</f>
        <v/>
      </c>
      <c r="J59" s="90" t="inlineStr">
        <is>
          <t>Fire Fighting</t>
        </is>
      </c>
      <c r="K59" s="91">
        <f>COUNTIF(Training!E$6:E$506,J59)</f>
        <v/>
      </c>
      <c r="L59" s="91">
        <f>SUMIF(Training!E$6:E$506,J59,Training!M$6:M$506)</f>
        <v/>
      </c>
      <c r="M59" s="92">
        <f>IFERROR(COUNTIFS(Training!E$6:E$506,J59,Training!O$6:O$506,"Pass")/(COUNTIFS(Training!E$6:E$506,J59,Training!O$6:O$506,"Pass")+COUNTIFS(Training!E$6:E$506,J59,Training!O$6:O$506,"Fail")),0)</f>
        <v/>
      </c>
      <c r="N59" s="93" t="n"/>
      <c r="O59" s="93" t="n"/>
      <c r="P59" s="93" t="n"/>
      <c r="Q59" s="93" t="n"/>
      <c r="R59" s="93" t="n"/>
    </row>
    <row r="60" ht="17.25" customHeight="1" s="15">
      <c r="A60" s="93" t="n"/>
      <c r="B60" s="94" t="n"/>
      <c r="C60" s="94" t="n"/>
      <c r="D60" s="94" t="n"/>
      <c r="E60" s="94" t="n"/>
      <c r="F60" s="94" t="n"/>
      <c r="G60" s="94" t="n"/>
      <c r="H60" s="94" t="n"/>
      <c r="I60" s="93" t="n"/>
      <c r="J60" s="87" t="inlineStr">
        <is>
          <t>H2S Awareness</t>
        </is>
      </c>
      <c r="K60" s="88">
        <f>COUNTIF(Training!E$6:E$506,J60)</f>
        <v/>
      </c>
      <c r="L60" s="88">
        <f>SUMIF(Training!E$6:E$506,J60,Training!M$6:M$506)</f>
        <v/>
      </c>
      <c r="M60" s="89">
        <f>IFERROR(COUNTIFS(Training!E$6:E$506,J60,Training!O$6:O$506,"Pass")/(COUNTIFS(Training!E$6:E$506,J60,Training!O$6:O$506,"Pass")+COUNTIFS(Training!E$6:E$506,J60,Training!O$6:O$506,"Fail")),0)</f>
        <v/>
      </c>
      <c r="N60" s="93" t="n"/>
      <c r="O60" s="93" t="n"/>
      <c r="P60" s="93" t="n"/>
      <c r="Q60" s="93" t="n"/>
      <c r="R60" s="93" t="n"/>
    </row>
    <row r="61" ht="17.25" customHeight="1" s="15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0" t="inlineStr">
        <is>
          <t>Defensive Driving</t>
        </is>
      </c>
      <c r="K61" s="91">
        <f>COUNTIF(Training!E$6:E$506,J61)</f>
        <v/>
      </c>
      <c r="L61" s="91">
        <f>SUMIF(Training!E$6:E$506,J61,Training!M$6:M$506)</f>
        <v/>
      </c>
      <c r="M61" s="92">
        <f>IFERROR(COUNTIFS(Training!E$6:E$506,J61,Training!O$6:O$506,"Pass")/(COUNTIFS(Training!E$6:E$506,J61,Training!O$6:O$506,"Pass")+COUNTIFS(Training!E$6:E$506,J61,Training!O$6:O$506,"Fail")),0)</f>
        <v/>
      </c>
      <c r="N61" s="93" t="n"/>
      <c r="O61" s="93" t="n"/>
      <c r="P61" s="93" t="n"/>
      <c r="Q61" s="93" t="n"/>
      <c r="R61" s="93" t="n"/>
    </row>
    <row r="62" ht="25.5" customHeight="1" s="15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87" t="inlineStr">
        <is>
          <t>PTW Training</t>
        </is>
      </c>
      <c r="K62" s="88">
        <f>COUNTIF(Training!E$6:E$506,J62)</f>
        <v/>
      </c>
      <c r="L62" s="88">
        <f>SUMIF(Training!E$6:E$506,J62,Training!M$6:M$506)</f>
        <v/>
      </c>
      <c r="M62" s="89">
        <f>IFERROR(COUNTIFS(Training!E$6:E$506,J62,Training!O$6:O$506,"Pass")/(COUNTIFS(Training!E$6:E$506,J62,Training!O$6:O$506,"Pass")+COUNTIFS(Training!E$6:E$506,J62,Training!O$6:O$506,"Fail")),0)</f>
        <v/>
      </c>
      <c r="N62" s="93" t="n"/>
      <c r="O62" s="93" t="n"/>
      <c r="P62" s="93" t="n"/>
      <c r="Q62" s="93" t="n"/>
      <c r="R62" s="93" t="n"/>
    </row>
    <row r="63" ht="25.5" customHeight="1" s="15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0" t="inlineStr">
        <is>
          <t>LOTO</t>
        </is>
      </c>
      <c r="K63" s="91">
        <f>COUNTIF(Training!E$6:E$506,J63)</f>
        <v/>
      </c>
      <c r="L63" s="91">
        <f>SUMIF(Training!E$6:E$506,J63,Training!M$6:M$506)</f>
        <v/>
      </c>
      <c r="M63" s="92">
        <f>IFERROR(COUNTIFS(Training!E$6:E$506,J63,Training!O$6:O$506,"Pass")/(COUNTIFS(Training!E$6:E$506,J63,Training!O$6:O$506,"Pass")+COUNTIFS(Training!E$6:E$506,J63,Training!O$6:O$506,"Fail")),0)</f>
        <v/>
      </c>
      <c r="N63" s="93" t="n"/>
      <c r="O63" s="93" t="n"/>
      <c r="P63" s="93" t="n"/>
      <c r="Q63" s="93" t="n"/>
      <c r="R63" s="93" t="n"/>
    </row>
    <row r="64" ht="17.25" customHeight="1" s="15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87" t="inlineStr">
        <is>
          <t>Scaffold Safety</t>
        </is>
      </c>
      <c r="K64" s="88">
        <f>COUNTIF(Training!E$6:E$506,J64)</f>
        <v/>
      </c>
      <c r="L64" s="88">
        <f>SUMIF(Training!E$6:E$506,J64,Training!M$6:M$506)</f>
        <v/>
      </c>
      <c r="M64" s="89">
        <f>IFERROR(COUNTIFS(Training!E$6:E$506,J64,Training!O$6:O$506,"Pass")/(COUNTIFS(Training!E$6:E$506,J64,Training!O$6:O$506,"Pass")+COUNTIFS(Training!E$6:E$506,J64,Training!O$6:O$506,"Fail")),0)</f>
        <v/>
      </c>
      <c r="N64" s="93" t="n"/>
      <c r="O64" s="93" t="n"/>
      <c r="P64" s="93" t="n"/>
      <c r="Q64" s="93" t="n"/>
      <c r="R64" s="93" t="n"/>
    </row>
    <row r="65" ht="17.25" customHeight="1" s="1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0" t="inlineStr">
        <is>
          <t>Crane Safety</t>
        </is>
      </c>
      <c r="K65" s="91">
        <f>COUNTIF(Training!E$6:E$506,J65)</f>
        <v/>
      </c>
      <c r="L65" s="91">
        <f>SUMIF(Training!E$6:E$506,J65,Training!M$6:M$506)</f>
        <v/>
      </c>
      <c r="M65" s="92">
        <f>IFERROR(COUNTIFS(Training!E$6:E$506,J65,Training!O$6:O$506,"Pass")/(COUNTIFS(Training!E$6:E$506,J65,Training!O$6:O$506,"Pass")+COUNTIFS(Training!E$6:E$506,J65,Training!O$6:O$506,"Fail")),0)</f>
        <v/>
      </c>
      <c r="N65" s="93" t="n"/>
      <c r="O65" s="93" t="n"/>
      <c r="P65" s="93" t="n"/>
      <c r="Q65" s="93" t="n"/>
      <c r="R65" s="93" t="n"/>
    </row>
    <row r="66" ht="17.25" customHeight="1" s="15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87" t="inlineStr">
        <is>
          <t>Environmental</t>
        </is>
      </c>
      <c r="K66" s="88">
        <f>COUNTIF(Training!E$6:E$506,J66)</f>
        <v/>
      </c>
      <c r="L66" s="88">
        <f>SUMIF(Training!E$6:E$506,J66,Training!M$6:M$506)</f>
        <v/>
      </c>
      <c r="M66" s="89">
        <f>IFERROR(COUNTIFS(Training!E$6:E$506,J66,Training!O$6:O$506,"Pass")/(COUNTIFS(Training!E$6:E$506,J66,Training!O$6:O$506,"Pass")+COUNTIFS(Training!E$6:E$506,J66,Training!O$6:O$506,"Fail")),0)</f>
        <v/>
      </c>
      <c r="N66" s="93" t="n"/>
      <c r="O66" s="93" t="n"/>
      <c r="P66" s="93" t="n"/>
      <c r="Q66" s="93" t="n"/>
      <c r="R66" s="93" t="n"/>
    </row>
    <row r="67" ht="17.25" customHeight="1" s="15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0" t="inlineStr">
        <is>
          <t>Incident Investigation</t>
        </is>
      </c>
      <c r="K67" s="91">
        <f>COUNTIF(Training!E$6:E$506,J67)</f>
        <v/>
      </c>
      <c r="L67" s="91">
        <f>SUMIF(Training!E$6:E$506,J67,Training!M$6:M$506)</f>
        <v/>
      </c>
      <c r="M67" s="92">
        <f>IFERROR(COUNTIFS(Training!E$6:E$506,J67,Training!O$6:O$506,"Pass")/(COUNTIFS(Training!E$6:E$506,J67,Training!O$6:O$506,"Pass")+COUNTIFS(Training!E$6:E$506,J67,Training!O$6:O$506,"Fail")),0)</f>
        <v/>
      </c>
      <c r="N67" s="93" t="n"/>
      <c r="O67" s="93" t="n"/>
      <c r="P67" s="93" t="n"/>
      <c r="Q67" s="93" t="n"/>
      <c r="R67" s="93" t="n"/>
    </row>
    <row r="68" ht="17.25" customHeight="1" s="15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87" t="inlineStr">
        <is>
          <t>Emergency Response</t>
        </is>
      </c>
      <c r="K68" s="88">
        <f>COUNTIF(Training!E$6:E$506,J68)</f>
        <v/>
      </c>
      <c r="L68" s="88">
        <f>SUMIF(Training!E$6:E$506,J68,Training!M$6:M$506)</f>
        <v/>
      </c>
      <c r="M68" s="89">
        <f>IFERROR(COUNTIFS(Training!E$6:E$506,J68,Training!O$6:O$506,"Pass")/(COUNTIFS(Training!E$6:E$506,J68,Training!O$6:O$506,"Pass")+COUNTIFS(Training!E$6:E$506,J68,Training!O$6:O$506,"Fail")),0)</f>
        <v/>
      </c>
      <c r="N68" s="93" t="n"/>
      <c r="O68" s="93" t="n"/>
      <c r="P68" s="93" t="n"/>
      <c r="Q68" s="93" t="n"/>
      <c r="R68" s="93" t="n"/>
    </row>
    <row r="69" ht="25.5" customHeight="1" s="15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0" t="inlineStr">
        <is>
          <t>Confined Space</t>
        </is>
      </c>
      <c r="K69" s="91">
        <f>COUNTIF(Training!E$6:E$506,J69)</f>
        <v/>
      </c>
      <c r="L69" s="91">
        <f>SUMIF(Training!E$6:E$506,J69,Training!M$6:M$506)</f>
        <v/>
      </c>
      <c r="M69" s="92">
        <f>IFERROR(COUNTIFS(Training!E$6:E$506,J69,Training!O$6:O$506,"Pass")/(COUNTIFS(Training!E$6:E$506,J69,Training!O$6:O$506,"Pass")+COUNTIFS(Training!E$6:E$506,J69,Training!O$6:O$506,"Fail")),0)</f>
        <v/>
      </c>
      <c r="N69" s="93" t="n"/>
      <c r="O69" s="93" t="n"/>
      <c r="P69" s="93" t="n"/>
      <c r="Q69" s="93" t="n"/>
      <c r="R69" s="93" t="n"/>
    </row>
    <row r="70" ht="15" customHeight="1" s="15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  <c r="R70" s="93" t="n"/>
    </row>
    <row r="71" ht="15" customHeight="1" s="15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  <c r="R71" s="93" t="n"/>
    </row>
    <row r="72" ht="15" customHeight="1" s="15">
      <c r="A72" s="93" t="n"/>
      <c r="B72" s="254" t="inlineStr">
        <is>
          <t>🎓 Training Performance Dashboard  •  Data Source: Training Sheet  •  All values auto-calculated</t>
        </is>
      </c>
      <c r="Q72" s="93" t="n"/>
      <c r="R72" s="93" t="n"/>
    </row>
    <row r="73" ht="15" customHeight="1" s="15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  <c r="R73" s="93" t="n"/>
    </row>
    <row r="74" ht="15" customHeight="1" s="15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  <c r="R74" s="93" t="n"/>
    </row>
    <row r="75" ht="15" customHeight="1" s="1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  <c r="R75" s="93" t="n"/>
    </row>
    <row r="76" ht="15" customHeight="1" s="15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  <c r="R76" s="93" t="n"/>
    </row>
    <row r="77" ht="15" customHeight="1" s="15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  <c r="R77" s="93" t="n"/>
    </row>
    <row r="78" ht="15" customHeight="1" s="15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</row>
    <row r="79" ht="15" customHeight="1" s="15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</row>
    <row r="80" ht="15" customHeight="1" s="15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</row>
    <row r="81" ht="15" customHeight="1" s="15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</row>
    <row r="82" ht="15" customHeight="1" s="15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</row>
    <row r="83" ht="15" customHeight="1" s="15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</row>
    <row r="84" ht="15" customHeight="1" s="15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</row>
    <row r="85" ht="15" customHeight="1" s="1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</row>
    <row r="86" ht="15" customHeight="1" s="15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</row>
    <row r="87" ht="15" customHeight="1" s="15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</row>
    <row r="88" ht="15" customHeight="1" s="15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</row>
    <row r="89" ht="15" customHeight="1" s="15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</row>
    <row r="90" ht="15" customHeight="1" s="15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</row>
    <row r="91" ht="15" customHeight="1" s="15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3" t="n"/>
    </row>
    <row r="92" ht="15" customHeight="1" s="15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</row>
    <row r="93" ht="15" customHeight="1" s="15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3" t="n"/>
    </row>
    <row r="94" ht="15" customHeight="1" s="15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  <c r="R94" s="93" t="n"/>
    </row>
  </sheetData>
  <mergeCells count="35">
    <mergeCell ref="J41:P41"/>
    <mergeCell ref="J6:L6"/>
    <mergeCell ref="J31:P31"/>
    <mergeCell ref="F5:H5"/>
    <mergeCell ref="B8:D8"/>
    <mergeCell ref="J56:P56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56:H56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B72:P72"/>
    <mergeCell ref="J9:L9"/>
  </mergeCells>
  <conditionalFormatting sqref="C33:C42">
    <cfRule type="dataBar" priority="2">
      <dataBar>
        <cfvo type="min"/>
        <cfvo type="max"/>
        <color rgb="FF43A047"/>
      </dataBar>
    </cfRule>
  </conditionalFormatting>
  <conditionalFormatting sqref="E33:E42">
    <cfRule type="cellIs" priority="3" operator="greaterThanOrEqual" dxfId="1">
      <formula>0.8</formula>
    </cfRule>
    <cfRule type="cellIs" priority="4" operator="between" dxfId="77">
      <formula>0.5</formula>
      <formula>0.799</formula>
    </cfRule>
    <cfRule type="cellIs" priority="5" operator="lessThan" dxfId="0">
      <formula>0.5</formula>
    </cfRule>
  </conditionalFormatting>
  <conditionalFormatting sqref="H33:H42">
    <cfRule type="cellIs" priority="6" operator="greaterThanOrEqual" dxfId="1">
      <formula>0.8</formula>
    </cfRule>
    <cfRule type="cellIs" priority="7" operator="lessThan" dxfId="0">
      <formula>0.5</formula>
    </cfRule>
  </conditionalFormatting>
  <conditionalFormatting sqref="C47:N47">
    <cfRule type="dataBar" priority="8">
      <dataBar>
        <cfvo type="min"/>
        <cfvo type="max"/>
        <color rgb="FF43A047"/>
      </dataBar>
    </cfRule>
  </conditionalFormatting>
  <conditionalFormatting sqref="C54:O54">
    <cfRule type="cellIs" priority="9" operator="greaterThanOrEqual" dxfId="1">
      <formula>0.8</formula>
    </cfRule>
    <cfRule type="cellIs" priority="10" operator="between" dxfId="77">
      <formula>0.5</formula>
      <formula>0.799</formula>
    </cfRule>
    <cfRule type="cellIs" priority="11" operator="lessThan" dxfId="0">
      <formula>0.5</formula>
    </cfRule>
  </conditionalFormatting>
  <conditionalFormatting sqref="K58:K69">
    <cfRule type="dataBar" priority="12">
      <dataBar>
        <cfvo type="min"/>
        <cfvo type="max"/>
        <color rgb="FF388E3C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tabColor rgb="FF4A148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55" t="inlineStr">
        <is>
          <t>🗣️  DASHBOARD – TOOLBOX TALKS</t>
        </is>
      </c>
    </row>
    <row r="2" ht="24" customHeight="1" s="15">
      <c r="A2" s="256" t="inlineStr">
        <is>
          <t>Live data from 'Toolbox Talks'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57" t="inlineStr">
        <is>
          <t>📋 TOTAL</t>
        </is>
      </c>
      <c r="E4" s="93" t="n"/>
      <c r="F4" s="230" t="inlineStr">
        <is>
          <t>✅ ACTION: YES</t>
        </is>
      </c>
      <c r="I4" s="93" t="n"/>
      <c r="J4" s="231" t="inlineStr">
        <is>
          <t>❌ ACTION: NO</t>
        </is>
      </c>
      <c r="M4" s="93" t="n"/>
      <c r="N4" s="258" t="inlineStr">
        <is>
          <t>👥 AVG ATTENDANCE</t>
        </is>
      </c>
      <c r="Q4" s="93" t="n"/>
    </row>
    <row r="5" ht="43.5" customHeight="1" s="15">
      <c r="A5" s="93" t="n"/>
      <c r="B5" s="259">
        <f>COUNTA('Toolbox Talks'!B$6:B$506)</f>
        <v/>
      </c>
      <c r="E5" s="93" t="n"/>
      <c r="F5" s="234">
        <f>COUNTIF('Toolbox Talks'!N$6:N$506,"Yes")</f>
        <v/>
      </c>
      <c r="I5" s="93" t="n"/>
      <c r="J5" s="235">
        <f>COUNTIF('Toolbox Talks'!N$6:N$506,"No")</f>
        <v/>
      </c>
      <c r="M5" s="93" t="n"/>
      <c r="N5" s="260">
        <f>IFERROR(AVERAGE('Toolbox Talks'!K$6:K$506),0)</f>
        <v/>
      </c>
      <c r="Q5" s="93" t="n"/>
    </row>
    <row r="6" ht="13.5" customHeight="1" s="15">
      <c r="A6" s="93" t="n"/>
      <c r="B6" s="261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🎯 TOTAL TARGET</t>
        </is>
      </c>
      <c r="E8" s="93" t="n"/>
      <c r="F8" s="242" t="inlineStr">
        <is>
          <t>👥 TOTAL ACTUAL</t>
        </is>
      </c>
      <c r="I8" s="93" t="n"/>
      <c r="J8" s="243" t="inlineStr">
        <is>
          <t>⏱️ AVG DURATION</t>
        </is>
      </c>
      <c r="M8" s="93" t="n"/>
      <c r="N8" s="244" t="inlineStr">
        <is>
          <t>📊 TOPICS COVERED</t>
        </is>
      </c>
      <c r="Q8" s="93" t="n"/>
    </row>
    <row r="9" ht="43.5" customHeight="1" s="15">
      <c r="A9" s="93" t="n"/>
      <c r="B9" s="265">
        <f>SUM('Toolbox Talks'!I$6:I$506)</f>
        <v/>
      </c>
      <c r="E9" s="93" t="n"/>
      <c r="F9" s="266">
        <f>SUM('Toolbox Talks'!J$6:J$506)</f>
        <v/>
      </c>
      <c r="I9" s="93" t="n"/>
      <c r="J9" s="267">
        <f>IFERROR(AVERAGE('Toolbox Talks'!L$6:L$506),0)</f>
        <v/>
      </c>
      <c r="M9" s="93" t="n"/>
      <c r="N9" s="248">
        <f>COUNTA('Toolbox Talks'!E$6:E$506)</f>
        <v/>
      </c>
      <c r="Q9" s="93" t="n"/>
    </row>
    <row r="10" ht="13.5" customHeight="1" s="15">
      <c r="A10" s="93" t="n"/>
      <c r="B10" s="268" t="n"/>
      <c r="E10" s="93" t="n"/>
      <c r="F10" s="269" t="n"/>
      <c r="I10" s="93" t="n"/>
      <c r="J10" s="270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72" t="inlineStr">
        <is>
          <t>📅  Monthly Trend</t>
        </is>
      </c>
      <c r="I12" s="93" t="n"/>
      <c r="J12" s="27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Yes</t>
        </is>
      </c>
      <c r="P13" s="59">
        <f>COUNTIF('Toolbox Talks'!N$6:N$506,"Yes")</f>
        <v/>
      </c>
      <c r="Q13" s="93" t="n"/>
    </row>
    <row r="14">
      <c r="A14" s="93" t="n"/>
      <c r="B14" s="59">
        <f>COUNTIF('Toolbox Talks'!D$6:D$506,"Jan")</f>
        <v/>
      </c>
      <c r="C14" s="59">
        <f>COUNTIF('Toolbox Talks'!D$6:D$506,"Feb")</f>
        <v/>
      </c>
      <c r="D14" s="59">
        <f>COUNTIF('Toolbox Talks'!D$6:D$506,"Mar")</f>
        <v/>
      </c>
      <c r="E14" s="59">
        <f>COUNTIF('Toolbox Talks'!D$6:D$506,"Apr")</f>
        <v/>
      </c>
      <c r="F14" s="59">
        <f>COUNTIF('Toolbox Talks'!D$6:D$506,"May")</f>
        <v/>
      </c>
      <c r="G14" s="59">
        <f>COUNTIF('Toolbox Talks'!D$6:D$506,"Jun")</f>
        <v/>
      </c>
      <c r="H14" s="59">
        <f>COUNTIF('Toolbox Talks'!D$6:D$506,"Jul")</f>
        <v/>
      </c>
      <c r="I14" s="59">
        <f>COUNTIF('Toolbox Talks'!D$6:D$506,"Aug")</f>
        <v/>
      </c>
      <c r="J14" s="59">
        <f>COUNTIF('Toolbox Talks'!D$6:D$506,"Sep")</f>
        <v/>
      </c>
      <c r="K14" s="59">
        <f>COUNTIF('Toolbox Talks'!D$6:D$506,"Oct")</f>
        <v/>
      </c>
      <c r="L14" s="59">
        <f>COUNTIF('Toolbox Talks'!D$6:D$506,"Nov")</f>
        <v/>
      </c>
      <c r="M14" s="59">
        <f>COUNTIF('Toolbox Talks'!D$6:D$506,"Dec")</f>
        <v/>
      </c>
      <c r="N14" s="94" t="n"/>
      <c r="O14" s="95" t="inlineStr">
        <is>
          <t>No</t>
        </is>
      </c>
      <c r="P14" s="59">
        <f>COUNTIF('Toolbox Talks'!N$6:N$506,"No")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72" t="inlineStr">
        <is>
          <t>🏢  Department Breakdown</t>
        </is>
      </c>
      <c r="I31" s="93" t="n"/>
      <c r="J31" s="272" t="inlineStr">
        <is>
          <t>🏷️  Topic Breakdown</t>
        </is>
      </c>
      <c r="Q31" s="93" t="n"/>
    </row>
    <row r="32" ht="56.25" customHeight="1" s="15">
      <c r="A32" s="93" t="n"/>
      <c r="B32" s="96" t="inlineStr">
        <is>
          <t>Department</t>
        </is>
      </c>
      <c r="C32" s="96" t="inlineStr">
        <is>
          <t>Count</t>
        </is>
      </c>
      <c r="D32" s="96" t="inlineStr">
        <is>
          <t>Done</t>
        </is>
      </c>
      <c r="E32" s="96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PPE Usage</t>
        </is>
      </c>
      <c r="P32" s="59">
        <f>COUNTIF('Toolbox Talks'!E$6:E$506,O32)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COUNTIF('Toolbox Talks'!F$6:F$506,B33)</f>
        <v/>
      </c>
      <c r="D33" s="63">
        <f>COUNTIF('Toolbox Talks'!F$6:F$506,B33)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Fire Safety</t>
        </is>
      </c>
      <c r="P33" s="59">
        <f>COUNTIF('Toolbox Talks'!E$6:E$506,O33)</f>
        <v/>
      </c>
      <c r="Q33" s="93" t="n"/>
    </row>
    <row r="34">
      <c r="A34" s="93" t="n"/>
      <c r="B34" s="98" t="inlineStr">
        <is>
          <t>Maintenance</t>
        </is>
      </c>
      <c r="C34" s="99">
        <f>COUNTIF('Toolbox Talks'!F$6:F$506,B34)</f>
        <v/>
      </c>
      <c r="D34" s="99">
        <f>COUNTIF('Toolbox Talks'!F$6:F$506,B34)</f>
        <v/>
      </c>
      <c r="E34" s="100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Working at Heights</t>
        </is>
      </c>
      <c r="P34" s="59">
        <f>COUNTIF('Toolbox Talks'!E$6:E$506,O34)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COUNTIF('Toolbox Talks'!F$6:F$506,B35)</f>
        <v/>
      </c>
      <c r="D35" s="63">
        <f>COUNTIF('Toolbox Talks'!F$6:F$506,B35)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Manual Handling</t>
        </is>
      </c>
      <c r="P35" s="59">
        <f>COUNTIF('Toolbox Talks'!E$6:E$506,O35)</f>
        <v/>
      </c>
      <c r="Q35" s="93" t="n"/>
    </row>
    <row r="36">
      <c r="A36" s="93" t="n"/>
      <c r="B36" s="98" t="inlineStr">
        <is>
          <t>Construction</t>
        </is>
      </c>
      <c r="C36" s="99">
        <f>COUNTIF('Toolbox Talks'!F$6:F$506,B36)</f>
        <v/>
      </c>
      <c r="D36" s="99">
        <f>COUNTIF('Toolbox Talks'!F$6:F$506,B36)</f>
        <v/>
      </c>
      <c r="E36" s="100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Electrical Safety</t>
        </is>
      </c>
      <c r="P36" s="59">
        <f>COUNTIF('Toolbox Talks'!E$6:E$506,O36)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COUNTIF('Toolbox Talks'!F$6:F$506,B37)</f>
        <v/>
      </c>
      <c r="D37" s="63">
        <f>COUNTIF('Toolbox Talks'!F$6:F$506,B37)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Chemical Safety</t>
        </is>
      </c>
      <c r="P37" s="59">
        <f>COUNTIF('Toolbox Talks'!E$6:E$506,O37)</f>
        <v/>
      </c>
      <c r="Q37" s="93" t="n"/>
    </row>
    <row r="38">
      <c r="A38" s="93" t="n"/>
      <c r="B38" s="98" t="inlineStr">
        <is>
          <t>Logistics</t>
        </is>
      </c>
      <c r="C38" s="99">
        <f>COUNTIF('Toolbox Talks'!F$6:F$506,B38)</f>
        <v/>
      </c>
      <c r="D38" s="99">
        <f>COUNTIF('Toolbox Talks'!F$6:F$506,B38)</f>
        <v/>
      </c>
      <c r="E38" s="100">
        <f>IF(C38=0,0,D38/C38)</f>
        <v/>
      </c>
      <c r="F38" s="93" t="n"/>
      <c r="G38" s="93" t="n"/>
      <c r="H38" s="93" t="n"/>
      <c r="I38" s="93" t="n"/>
      <c r="J38" s="94" t="n"/>
      <c r="K38" s="94" t="n"/>
      <c r="L38" s="94" t="n"/>
      <c r="M38" s="94" t="n"/>
      <c r="N38" s="94" t="n"/>
      <c r="O38" s="95" t="inlineStr">
        <is>
          <t>Housekeeping</t>
        </is>
      </c>
      <c r="P38" s="59">
        <f>COUNTIF('Toolbox Talks'!E$6:E$506,O38)</f>
        <v/>
      </c>
      <c r="Q38" s="93" t="n"/>
    </row>
    <row r="39">
      <c r="A39" s="93" t="n"/>
      <c r="B39" s="97" t="inlineStr">
        <is>
          <t>Quality</t>
        </is>
      </c>
      <c r="C39" s="63">
        <f>COUNTIF('Toolbox Talks'!F$6:F$506,B39)</f>
        <v/>
      </c>
      <c r="D39" s="63">
        <f>COUNTIF('Toolbox Talks'!F$6:F$506,B39)</f>
        <v/>
      </c>
      <c r="E39" s="64">
        <f>IF(C39=0,0,D39/C39)</f>
        <v/>
      </c>
      <c r="F39" s="93" t="n"/>
      <c r="G39" s="93" t="n"/>
      <c r="H39" s="93" t="n"/>
      <c r="I39" s="93" t="n"/>
      <c r="J39" s="94" t="n"/>
      <c r="K39" s="94" t="n"/>
      <c r="L39" s="94" t="n"/>
      <c r="M39" s="94" t="n"/>
      <c r="N39" s="94" t="n"/>
      <c r="O39" s="95" t="inlineStr">
        <is>
          <t>Heat Stress</t>
        </is>
      </c>
      <c r="P39" s="59">
        <f>COUNTIF('Toolbox Talks'!E$6:E$506,O39)</f>
        <v/>
      </c>
      <c r="Q39" s="93" t="n"/>
    </row>
    <row r="40">
      <c r="A40" s="93" t="n"/>
      <c r="B40" s="98" t="inlineStr">
        <is>
          <t>Admin</t>
        </is>
      </c>
      <c r="C40" s="99">
        <f>COUNTIF('Toolbox Talks'!F$6:F$506,B40)</f>
        <v/>
      </c>
      <c r="D40" s="99">
        <f>COUNTIF('Toolbox Talks'!F$6:F$506,B40)</f>
        <v/>
      </c>
      <c r="E40" s="100">
        <f>IF(C40=0,0,D40/C40)</f>
        <v/>
      </c>
      <c r="F40" s="93" t="n"/>
      <c r="G40" s="93" t="n"/>
      <c r="H40" s="93" t="n"/>
      <c r="I40" s="93" t="n"/>
      <c r="J40" s="94" t="n"/>
      <c r="K40" s="94" t="n"/>
      <c r="L40" s="94" t="n"/>
      <c r="M40" s="94" t="n"/>
      <c r="N40" s="94" t="n"/>
      <c r="O40" s="95" t="inlineStr">
        <is>
          <t>Slip Trip Fall</t>
        </is>
      </c>
      <c r="P40" s="59">
        <f>COUNTIF('Toolbox Talks'!E$6:E$506,O40)</f>
        <v/>
      </c>
      <c r="Q40" s="93" t="n"/>
    </row>
    <row r="41">
      <c r="A41" s="93" t="n"/>
      <c r="B41" s="97" t="inlineStr">
        <is>
          <t>Projects</t>
        </is>
      </c>
      <c r="C41" s="63">
        <f>COUNTIF('Toolbox Talks'!F$6:F$506,B41)</f>
        <v/>
      </c>
      <c r="D41" s="63">
        <f>COUNTIF('Toolbox Talks'!F$6:F$506,B41)</f>
        <v/>
      </c>
      <c r="E41" s="64">
        <f>IF(C41=0,0,D41/C41)</f>
        <v/>
      </c>
      <c r="F41" s="93" t="n"/>
      <c r="G41" s="93" t="n"/>
      <c r="H41" s="93" t="n"/>
      <c r="I41" s="93" t="n"/>
      <c r="J41" s="94" t="n"/>
      <c r="K41" s="94" t="n"/>
      <c r="L41" s="94" t="n"/>
      <c r="M41" s="94" t="n"/>
      <c r="N41" s="94" t="n"/>
      <c r="O41" s="95" t="inlineStr">
        <is>
          <t>Confined Space</t>
        </is>
      </c>
      <c r="P41" s="59">
        <f>COUNTIF('Toolbox Talks'!E$6:E$506,O41)</f>
        <v/>
      </c>
      <c r="Q41" s="93" t="n"/>
    </row>
    <row r="42">
      <c r="A42" s="93" t="n"/>
      <c r="B42" s="98" t="inlineStr">
        <is>
          <t>Contractor</t>
        </is>
      </c>
      <c r="C42" s="99">
        <f>COUNTIF('Toolbox Talks'!F$6:F$506,B42)</f>
        <v/>
      </c>
      <c r="D42" s="99">
        <f>COUNTIF('Toolbox Talks'!F$6:F$506,B42)</f>
        <v/>
      </c>
      <c r="E42" s="100">
        <f>IF(C42=0,0,D42/C42)</f>
        <v/>
      </c>
      <c r="F42" s="93" t="n"/>
      <c r="G42" s="93" t="n"/>
      <c r="H42" s="93" t="n"/>
      <c r="I42" s="93" t="n"/>
      <c r="J42" s="94" t="n"/>
      <c r="K42" s="94" t="n"/>
      <c r="L42" s="94" t="n"/>
      <c r="M42" s="94" t="n"/>
      <c r="N42" s="94" t="n"/>
      <c r="O42" s="95" t="inlineStr">
        <is>
          <t>LOTO</t>
        </is>
      </c>
      <c r="P42" s="59">
        <f>COUNTIF('Toolbox Talks'!E$6:E$506,O42)</f>
        <v/>
      </c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4" t="n"/>
      <c r="K43" s="94" t="n"/>
      <c r="L43" s="94" t="n"/>
      <c r="M43" s="94" t="n"/>
      <c r="N43" s="94" t="n"/>
      <c r="O43" s="95" t="inlineStr">
        <is>
          <t>Emergency Procedures</t>
        </is>
      </c>
      <c r="P43" s="59">
        <f>COUNTIF('Toolbox Talks'!E$6:E$506,O43)</f>
        <v/>
      </c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72" t="inlineStr">
        <is>
          <t>📈  Monthly Performance Matrix</t>
        </is>
      </c>
      <c r="Q45" s="93" t="n"/>
    </row>
    <row r="46" ht="33.75" customHeight="1" s="15">
      <c r="A46" s="93" t="n"/>
      <c r="B46" s="96" t="inlineStr">
        <is>
          <t>Metric</t>
        </is>
      </c>
      <c r="C46" s="96" t="inlineStr">
        <is>
          <t>Jan</t>
        </is>
      </c>
      <c r="D46" s="96" t="inlineStr">
        <is>
          <t>Feb</t>
        </is>
      </c>
      <c r="E46" s="96" t="inlineStr">
        <is>
          <t>Mar</t>
        </is>
      </c>
      <c r="F46" s="96" t="inlineStr">
        <is>
          <t>Apr</t>
        </is>
      </c>
      <c r="G46" s="96" t="inlineStr">
        <is>
          <t>May</t>
        </is>
      </c>
      <c r="H46" s="96" t="inlineStr">
        <is>
          <t>Jun</t>
        </is>
      </c>
      <c r="I46" s="96" t="inlineStr">
        <is>
          <t>Jul</t>
        </is>
      </c>
      <c r="J46" s="96" t="inlineStr">
        <is>
          <t>Aug</t>
        </is>
      </c>
      <c r="K46" s="96" t="inlineStr">
        <is>
          <t>Sep</t>
        </is>
      </c>
      <c r="L46" s="96" t="inlineStr">
        <is>
          <t>Oct</t>
        </is>
      </c>
      <c r="M46" s="96" t="inlineStr">
        <is>
          <t>Nov</t>
        </is>
      </c>
      <c r="N46" s="96" t="inlineStr">
        <is>
          <t>Dec</t>
        </is>
      </c>
      <c r="O46" s="96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COUNTIF('Toolbox Talks'!D$6:D$506,"Jan")</f>
        <v/>
      </c>
      <c r="D47" s="63">
        <f>COUNTIF('Toolbox Talks'!D$6:D$506,"Feb")</f>
        <v/>
      </c>
      <c r="E47" s="63">
        <f>COUNTIF('Toolbox Talks'!D$6:D$506,"Mar")</f>
        <v/>
      </c>
      <c r="F47" s="63">
        <f>COUNTIF('Toolbox Talks'!D$6:D$506,"Apr")</f>
        <v/>
      </c>
      <c r="G47" s="63">
        <f>COUNTIF('Toolbox Talks'!D$6:D$506,"May")</f>
        <v/>
      </c>
      <c r="H47" s="63">
        <f>COUNTIF('Toolbox Talks'!D$6:D$506,"Jun")</f>
        <v/>
      </c>
      <c r="I47" s="63">
        <f>COUNTIF('Toolbox Talks'!D$6:D$506,"Jul")</f>
        <v/>
      </c>
      <c r="J47" s="63">
        <f>COUNTIF('Toolbox Talks'!D$6:D$506,"Aug")</f>
        <v/>
      </c>
      <c r="K47" s="63">
        <f>COUNTIF('Toolbox Talks'!D$6:D$506,"Sep")</f>
        <v/>
      </c>
      <c r="L47" s="63">
        <f>COUNTIF('Toolbox Talks'!D$6:D$506,"Oct")</f>
        <v/>
      </c>
      <c r="M47" s="63">
        <f>COUNTIF('Toolbox Talks'!D$6:D$506,"Nov")</f>
        <v/>
      </c>
      <c r="N47" s="63">
        <f>COUNTIF('Toolbox Talks'!D$6:D$506,"Dec")</f>
        <v/>
      </c>
      <c r="O47" s="101">
        <f>SUM(C47:N47)</f>
        <v/>
      </c>
      <c r="P47" s="93" t="n"/>
      <c r="Q47" s="93" t="n"/>
    </row>
    <row r="48">
      <c r="A48" s="93" t="n"/>
      <c r="B48" s="102" t="inlineStr">
        <is>
          <t>Yes</t>
        </is>
      </c>
      <c r="C48" s="103">
        <f>COUNTIFS('Toolbox Talks'!D$6:D$506,"Jan",'Toolbox Talks'!N$6:N$506,"Yes")</f>
        <v/>
      </c>
      <c r="D48" s="103">
        <f>COUNTIFS('Toolbox Talks'!D$6:D$506,"Feb",'Toolbox Talks'!N$6:N$506,"Yes")</f>
        <v/>
      </c>
      <c r="E48" s="103">
        <f>COUNTIFS('Toolbox Talks'!D$6:D$506,"Mar",'Toolbox Talks'!N$6:N$506,"Yes")</f>
        <v/>
      </c>
      <c r="F48" s="103">
        <f>COUNTIFS('Toolbox Talks'!D$6:D$506,"Apr",'Toolbox Talks'!N$6:N$506,"Yes")</f>
        <v/>
      </c>
      <c r="G48" s="103">
        <f>COUNTIFS('Toolbox Talks'!D$6:D$506,"May",'Toolbox Talks'!N$6:N$506,"Yes")</f>
        <v/>
      </c>
      <c r="H48" s="103">
        <f>COUNTIFS('Toolbox Talks'!D$6:D$506,"Jun",'Toolbox Talks'!N$6:N$506,"Yes")</f>
        <v/>
      </c>
      <c r="I48" s="103">
        <f>COUNTIFS('Toolbox Talks'!D$6:D$506,"Jul",'Toolbox Talks'!N$6:N$506,"Yes")</f>
        <v/>
      </c>
      <c r="J48" s="103">
        <f>COUNTIFS('Toolbox Talks'!D$6:D$506,"Aug",'Toolbox Talks'!N$6:N$506,"Yes")</f>
        <v/>
      </c>
      <c r="K48" s="103">
        <f>COUNTIFS('Toolbox Talks'!D$6:D$506,"Sep",'Toolbox Talks'!N$6:N$506,"Yes")</f>
        <v/>
      </c>
      <c r="L48" s="103">
        <f>COUNTIFS('Toolbox Talks'!D$6:D$506,"Oct",'Toolbox Talks'!N$6:N$506,"Yes")</f>
        <v/>
      </c>
      <c r="M48" s="103">
        <f>COUNTIFS('Toolbox Talks'!D$6:D$506,"Nov",'Toolbox Talks'!N$6:N$506,"Yes")</f>
        <v/>
      </c>
      <c r="N48" s="103">
        <f>COUNTIFS('Toolbox Talks'!D$6:D$506,"Dec",'Toolbox Talks'!N$6:N$506,"Yes")</f>
        <v/>
      </c>
      <c r="O48" s="104">
        <f>SUM(C48:N48)</f>
        <v/>
      </c>
      <c r="P48" s="93" t="n"/>
      <c r="Q48" s="93" t="n"/>
    </row>
    <row r="49">
      <c r="A49" s="93" t="n"/>
      <c r="B49" s="105" t="inlineStr">
        <is>
          <t>No</t>
        </is>
      </c>
      <c r="C49" s="106">
        <f>COUNTIFS('Toolbox Talks'!D$6:D$506,"Jan",'Toolbox Talks'!N$6:N$506,"No")</f>
        <v/>
      </c>
      <c r="D49" s="106">
        <f>COUNTIFS('Toolbox Talks'!D$6:D$506,"Feb",'Toolbox Talks'!N$6:N$506,"No")</f>
        <v/>
      </c>
      <c r="E49" s="106">
        <f>COUNTIFS('Toolbox Talks'!D$6:D$506,"Mar",'Toolbox Talks'!N$6:N$506,"No")</f>
        <v/>
      </c>
      <c r="F49" s="106">
        <f>COUNTIFS('Toolbox Talks'!D$6:D$506,"Apr",'Toolbox Talks'!N$6:N$506,"No")</f>
        <v/>
      </c>
      <c r="G49" s="106">
        <f>COUNTIFS('Toolbox Talks'!D$6:D$506,"May",'Toolbox Talks'!N$6:N$506,"No")</f>
        <v/>
      </c>
      <c r="H49" s="106">
        <f>COUNTIFS('Toolbox Talks'!D$6:D$506,"Jun",'Toolbox Talks'!N$6:N$506,"No")</f>
        <v/>
      </c>
      <c r="I49" s="106">
        <f>COUNTIFS('Toolbox Talks'!D$6:D$506,"Jul",'Toolbox Talks'!N$6:N$506,"No")</f>
        <v/>
      </c>
      <c r="J49" s="106">
        <f>COUNTIFS('Toolbox Talks'!D$6:D$506,"Aug",'Toolbox Talks'!N$6:N$506,"No")</f>
        <v/>
      </c>
      <c r="K49" s="106">
        <f>COUNTIFS('Toolbox Talks'!D$6:D$506,"Sep",'Toolbox Talks'!N$6:N$506,"No")</f>
        <v/>
      </c>
      <c r="L49" s="106">
        <f>COUNTIFS('Toolbox Talks'!D$6:D$506,"Oct",'Toolbox Talks'!N$6:N$506,"No")</f>
        <v/>
      </c>
      <c r="M49" s="106">
        <f>COUNTIFS('Toolbox Talks'!D$6:D$506,"Nov",'Toolbox Talks'!N$6:N$506,"No")</f>
        <v/>
      </c>
      <c r="N49" s="106">
        <f>COUNTIFS('Toolbox Talks'!D$6:D$506,"Dec",'Toolbox Talks'!N$6:N$506,"No")</f>
        <v/>
      </c>
      <c r="O49" s="107">
        <f>SUM(C49:N49)</f>
        <v/>
      </c>
      <c r="P49" s="93" t="n"/>
      <c r="Q49" s="93" t="n"/>
    </row>
    <row r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AB47BC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AB47BC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tabColor rgb="FF004D40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73" t="inlineStr">
        <is>
          <t>📝  DASHBOARD – JSA RISK</t>
        </is>
      </c>
    </row>
    <row r="2" ht="24" customHeight="1" s="15">
      <c r="A2" s="274" t="inlineStr">
        <is>
          <t>Live data from 'JSA Risk Assessment'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75" t="inlineStr">
        <is>
          <t>📋 TOTAL JSAs</t>
        </is>
      </c>
      <c r="E4" s="93" t="n"/>
      <c r="F4" s="230" t="inlineStr">
        <is>
          <t>✅ APPROVED</t>
        </is>
      </c>
      <c r="I4" s="93" t="n"/>
      <c r="J4" s="231" t="inlineStr">
        <is>
          <t>⏳ PENDING</t>
        </is>
      </c>
      <c r="M4" s="93" t="n"/>
      <c r="N4" s="243" t="inlineStr">
        <is>
          <t>🔴 HIGH RISK</t>
        </is>
      </c>
      <c r="Q4" s="93" t="n"/>
    </row>
    <row r="5" ht="43.5" customHeight="1" s="15">
      <c r="A5" s="93" t="n"/>
      <c r="B5" s="276">
        <f>COUNTA('JSA Risk Assessment'!B$6:B$506)</f>
        <v/>
      </c>
      <c r="E5" s="93" t="n"/>
      <c r="F5" s="234">
        <f>COUNTIF('JSA Risk Assessment'!M$6:M$506,"Approved")</f>
        <v/>
      </c>
      <c r="I5" s="93" t="n"/>
      <c r="J5" s="235">
        <f>COUNTIF('JSA Risk Assessment'!M$6:M$506,"Pending Review")</f>
        <v/>
      </c>
      <c r="M5" s="93" t="n"/>
      <c r="N5" s="277">
        <f>COUNTIF('JSA Risk Assessment'!J$6:J$506,"High")</f>
        <v/>
      </c>
      <c r="Q5" s="93" t="n"/>
    </row>
    <row r="6" ht="13.5" customHeight="1" s="15">
      <c r="A6" s="93" t="n"/>
      <c r="B6" s="278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31" t="inlineStr">
        <is>
          <t>🟡 MEDIUM RISK</t>
        </is>
      </c>
      <c r="E8" s="93" t="n"/>
      <c r="F8" s="230" t="inlineStr">
        <is>
          <t>🟢 LOW RISK</t>
        </is>
      </c>
      <c r="I8" s="93" t="n"/>
      <c r="J8" s="241" t="inlineStr">
        <is>
          <t>⚠️ TOTAL HAZARDS</t>
        </is>
      </c>
      <c r="M8" s="93" t="n"/>
      <c r="N8" s="242" t="inlineStr">
        <is>
          <t>✅ CONTROLS DONE</t>
        </is>
      </c>
      <c r="Q8" s="93" t="n"/>
    </row>
    <row r="9" ht="43.5" customHeight="1" s="15">
      <c r="A9" s="93" t="n"/>
      <c r="B9" s="235">
        <f>COUNTIF('JSA Risk Assessment'!J$6:J$506,"Medium")</f>
        <v/>
      </c>
      <c r="E9" s="93" t="n"/>
      <c r="F9" s="234">
        <f>COUNTIF('JSA Risk Assessment'!J$6:J$506,"Low")</f>
        <v/>
      </c>
      <c r="I9" s="93" t="n"/>
      <c r="J9" s="265">
        <f>SUM('JSA Risk Assessment'!K$6:K$506)</f>
        <v/>
      </c>
      <c r="M9" s="93" t="n"/>
      <c r="N9" s="266">
        <f>COUNTIF('JSA Risk Assessment'!N$6:N$506,"Yes")</f>
        <v/>
      </c>
      <c r="Q9" s="93" t="n"/>
    </row>
    <row r="10" ht="13.5" customHeight="1" s="15">
      <c r="A10" s="93" t="n"/>
      <c r="B10" s="263" t="n"/>
      <c r="E10" s="93" t="n"/>
      <c r="F10" s="262" t="n"/>
      <c r="I10" s="93" t="n"/>
      <c r="J10" s="268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79" t="inlineStr">
        <is>
          <t>📅  Monthly Trend</t>
        </is>
      </c>
      <c r="I12" s="93" t="n"/>
      <c r="J12" s="279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Approved</t>
        </is>
      </c>
      <c r="P13" s="59">
        <f>COUNTIF('JSA Risk Assessment'!M$6:M$506,"Approved")</f>
        <v/>
      </c>
      <c r="Q13" s="93" t="n"/>
    </row>
    <row r="14">
      <c r="A14" s="93" t="n"/>
      <c r="B14" s="59">
        <f>COUNTIF('JSA Risk Assessment'!D$6:D$506,"Jan")</f>
        <v/>
      </c>
      <c r="C14" s="59">
        <f>COUNTIF('JSA Risk Assessment'!D$6:D$506,"Feb")</f>
        <v/>
      </c>
      <c r="D14" s="59">
        <f>COUNTIF('JSA Risk Assessment'!D$6:D$506,"Mar")</f>
        <v/>
      </c>
      <c r="E14" s="59">
        <f>COUNTIF('JSA Risk Assessment'!D$6:D$506,"Apr")</f>
        <v/>
      </c>
      <c r="F14" s="59">
        <f>COUNTIF('JSA Risk Assessment'!D$6:D$506,"May")</f>
        <v/>
      </c>
      <c r="G14" s="59">
        <f>COUNTIF('JSA Risk Assessment'!D$6:D$506,"Jun")</f>
        <v/>
      </c>
      <c r="H14" s="59">
        <f>COUNTIF('JSA Risk Assessment'!D$6:D$506,"Jul")</f>
        <v/>
      </c>
      <c r="I14" s="59">
        <f>COUNTIF('JSA Risk Assessment'!D$6:D$506,"Aug")</f>
        <v/>
      </c>
      <c r="J14" s="59">
        <f>COUNTIF('JSA Risk Assessment'!D$6:D$506,"Sep")</f>
        <v/>
      </c>
      <c r="K14" s="59">
        <f>COUNTIF('JSA Risk Assessment'!D$6:D$506,"Oct")</f>
        <v/>
      </c>
      <c r="L14" s="59">
        <f>COUNTIF('JSA Risk Assessment'!D$6:D$506,"Nov")</f>
        <v/>
      </c>
      <c r="M14" s="59">
        <f>COUNTIF('JSA Risk Assessment'!D$6:D$506,"Dec")</f>
        <v/>
      </c>
      <c r="N14" s="94" t="n"/>
      <c r="O14" s="95" t="inlineStr">
        <is>
          <t>Pending Review</t>
        </is>
      </c>
      <c r="P14" s="59">
        <f>COUNTIF('JSA Risk Assessment'!M$6:M$506,"Pending Review")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5" t="inlineStr">
        <is>
          <t>Revision Required</t>
        </is>
      </c>
      <c r="P15" s="59">
        <f>COUNTIF('JSA Risk Assessment'!M$6:M$506,"Revision Required")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Rejected</t>
        </is>
      </c>
      <c r="P16" s="59">
        <f>COUNTIF('JSA Risk Assessment'!M$6:M$506,"Rejected")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79" t="inlineStr">
        <is>
          <t>🏢  Department Breakdown</t>
        </is>
      </c>
      <c r="I31" s="93" t="n"/>
      <c r="J31" s="279" t="inlineStr">
        <is>
          <t>🏷️  Assessment Type Breakdown</t>
        </is>
      </c>
      <c r="Q31" s="93" t="n"/>
    </row>
    <row r="32" ht="56.25" customHeight="1" s="15">
      <c r="A32" s="93" t="n"/>
      <c r="B32" s="108" t="inlineStr">
        <is>
          <t>Department</t>
        </is>
      </c>
      <c r="C32" s="108" t="inlineStr">
        <is>
          <t>Count</t>
        </is>
      </c>
      <c r="D32" s="108" t="inlineStr">
        <is>
          <t>Done</t>
        </is>
      </c>
      <c r="E32" s="108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HIRA</t>
        </is>
      </c>
      <c r="P32" s="59">
        <f>COUNTIF('JSA Risk Assessment'!L$6:L$506,O32)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COUNTIF('JSA Risk Assessment'!F$6:F$506,B33)</f>
        <v/>
      </c>
      <c r="D33" s="63">
        <f>COUNTIF('JSA Risk Assessment'!F$6:F$506,B33)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Task RA</t>
        </is>
      </c>
      <c r="P33" s="59">
        <f>COUNTIF('JSA Risk Assessment'!L$6:L$506,O33)</f>
        <v/>
      </c>
      <c r="Q33" s="93" t="n"/>
    </row>
    <row r="34">
      <c r="A34" s="93" t="n"/>
      <c r="B34" s="109" t="inlineStr">
        <is>
          <t>Maintenance</t>
        </is>
      </c>
      <c r="C34" s="110">
        <f>COUNTIF('JSA Risk Assessment'!F$6:F$506,B34)</f>
        <v/>
      </c>
      <c r="D34" s="110">
        <f>COUNTIF('JSA Risk Assessment'!F$6:F$506,B34)</f>
        <v/>
      </c>
      <c r="E34" s="111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JSA</t>
        </is>
      </c>
      <c r="P34" s="59">
        <f>COUNTIF('JSA Risk Assessment'!L$6:L$506,O34)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COUNTIF('JSA Risk Assessment'!F$6:F$506,B35)</f>
        <v/>
      </c>
      <c r="D35" s="63">
        <f>COUNTIF('JSA Risk Assessment'!F$6:F$506,B35)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HAZOP</t>
        </is>
      </c>
      <c r="P35" s="59">
        <f>COUNTIF('JSA Risk Assessment'!L$6:L$506,O35)</f>
        <v/>
      </c>
      <c r="Q35" s="93" t="n"/>
    </row>
    <row r="36">
      <c r="A36" s="93" t="n"/>
      <c r="B36" s="109" t="inlineStr">
        <is>
          <t>Construction</t>
        </is>
      </c>
      <c r="C36" s="110">
        <f>COUNTIF('JSA Risk Assessment'!F$6:F$506,B36)</f>
        <v/>
      </c>
      <c r="D36" s="110">
        <f>COUNTIF('JSA Risk Assessment'!F$6:F$506,B36)</f>
        <v/>
      </c>
      <c r="E36" s="111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What-If</t>
        </is>
      </c>
      <c r="P36" s="59">
        <f>COUNTIF('JSA Risk Assessment'!L$6:L$506,O36)</f>
        <v/>
      </c>
      <c r="Q36" s="93" t="n"/>
    </row>
    <row r="37">
      <c r="A37" s="93" t="n"/>
      <c r="B37" s="97" t="inlineStr">
        <is>
          <t>Safety</t>
        </is>
      </c>
      <c r="C37" s="63">
        <f>COUNTIF('JSA Risk Assessment'!F$6:F$506,B37)</f>
        <v/>
      </c>
      <c r="D37" s="63">
        <f>COUNTIF('JSA Risk Assessment'!F$6:F$506,B37)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Bow Tie</t>
        </is>
      </c>
      <c r="P37" s="59">
        <f>COUNTIF('JSA Risk Assessment'!L$6:L$506,O37)</f>
        <v/>
      </c>
      <c r="Q37" s="93" t="n"/>
    </row>
    <row r="38">
      <c r="A38" s="93" t="n"/>
      <c r="B38" s="109" t="inlineStr">
        <is>
          <t>Logistics</t>
        </is>
      </c>
      <c r="C38" s="110">
        <f>COUNTIF('JSA Risk Assessment'!F$6:F$506,B38)</f>
        <v/>
      </c>
      <c r="D38" s="110">
        <f>COUNTIF('JSA Risk Assessment'!F$6:F$506,B38)</f>
        <v/>
      </c>
      <c r="E38" s="111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COUNTIF('JSA Risk Assessment'!F$6:F$506,B39)</f>
        <v/>
      </c>
      <c r="D39" s="63">
        <f>COUNTIF('JSA Risk Assessment'!F$6:F$506,B39)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09" t="inlineStr">
        <is>
          <t>Admin</t>
        </is>
      </c>
      <c r="C40" s="110">
        <f>COUNTIF('JSA Risk Assessment'!F$6:F$506,B40)</f>
        <v/>
      </c>
      <c r="D40" s="110">
        <f>COUNTIF('JSA Risk Assessment'!F$6:F$506,B40)</f>
        <v/>
      </c>
      <c r="E40" s="111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COUNTIF('JSA Risk Assessment'!F$6:F$506,B41)</f>
        <v/>
      </c>
      <c r="D41" s="63">
        <f>COUNTIF('JSA Risk Assessment'!F$6:F$506,B41)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09" t="inlineStr">
        <is>
          <t>Contractor</t>
        </is>
      </c>
      <c r="C42" s="110">
        <f>COUNTIF('JSA Risk Assessment'!F$6:F$506,B42)</f>
        <v/>
      </c>
      <c r="D42" s="110">
        <f>COUNTIF('JSA Risk Assessment'!F$6:F$506,B42)</f>
        <v/>
      </c>
      <c r="E42" s="111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79" t="inlineStr">
        <is>
          <t>📈  Monthly Performance Matrix</t>
        </is>
      </c>
      <c r="Q45" s="93" t="n"/>
    </row>
    <row r="46" ht="33.75" customHeight="1" s="15">
      <c r="A46" s="93" t="n"/>
      <c r="B46" s="108" t="inlineStr">
        <is>
          <t>Metric</t>
        </is>
      </c>
      <c r="C46" s="108" t="inlineStr">
        <is>
          <t>Jan</t>
        </is>
      </c>
      <c r="D46" s="108" t="inlineStr">
        <is>
          <t>Feb</t>
        </is>
      </c>
      <c r="E46" s="108" t="inlineStr">
        <is>
          <t>Mar</t>
        </is>
      </c>
      <c r="F46" s="108" t="inlineStr">
        <is>
          <t>Apr</t>
        </is>
      </c>
      <c r="G46" s="108" t="inlineStr">
        <is>
          <t>May</t>
        </is>
      </c>
      <c r="H46" s="108" t="inlineStr">
        <is>
          <t>Jun</t>
        </is>
      </c>
      <c r="I46" s="108" t="inlineStr">
        <is>
          <t>Jul</t>
        </is>
      </c>
      <c r="J46" s="108" t="inlineStr">
        <is>
          <t>Aug</t>
        </is>
      </c>
      <c r="K46" s="108" t="inlineStr">
        <is>
          <t>Sep</t>
        </is>
      </c>
      <c r="L46" s="108" t="inlineStr">
        <is>
          <t>Oct</t>
        </is>
      </c>
      <c r="M46" s="108" t="inlineStr">
        <is>
          <t>Nov</t>
        </is>
      </c>
      <c r="N46" s="108" t="inlineStr">
        <is>
          <t>Dec</t>
        </is>
      </c>
      <c r="O46" s="108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COUNTIF('JSA Risk Assessment'!D$6:D$506,"Jan")</f>
        <v/>
      </c>
      <c r="D47" s="63">
        <f>COUNTIF('JSA Risk Assessment'!D$6:D$506,"Feb")</f>
        <v/>
      </c>
      <c r="E47" s="63">
        <f>COUNTIF('JSA Risk Assessment'!D$6:D$506,"Mar")</f>
        <v/>
      </c>
      <c r="F47" s="63">
        <f>COUNTIF('JSA Risk Assessment'!D$6:D$506,"Apr")</f>
        <v/>
      </c>
      <c r="G47" s="63">
        <f>COUNTIF('JSA Risk Assessment'!D$6:D$506,"May")</f>
        <v/>
      </c>
      <c r="H47" s="63">
        <f>COUNTIF('JSA Risk Assessment'!D$6:D$506,"Jun")</f>
        <v/>
      </c>
      <c r="I47" s="63">
        <f>COUNTIF('JSA Risk Assessment'!D$6:D$506,"Jul")</f>
        <v/>
      </c>
      <c r="J47" s="63">
        <f>COUNTIF('JSA Risk Assessment'!D$6:D$506,"Aug")</f>
        <v/>
      </c>
      <c r="K47" s="63">
        <f>COUNTIF('JSA Risk Assessment'!D$6:D$506,"Sep")</f>
        <v/>
      </c>
      <c r="L47" s="63">
        <f>COUNTIF('JSA Risk Assessment'!D$6:D$506,"Oct")</f>
        <v/>
      </c>
      <c r="M47" s="63">
        <f>COUNTIF('JSA Risk Assessment'!D$6:D$506,"Nov")</f>
        <v/>
      </c>
      <c r="N47" s="63">
        <f>COUNTIF('JSA Risk Assessment'!D$6:D$506,"Dec")</f>
        <v/>
      </c>
      <c r="O47" s="112">
        <f>SUM(C47:N47)</f>
        <v/>
      </c>
      <c r="P47" s="93" t="n"/>
      <c r="Q47" s="93" t="n"/>
    </row>
    <row r="48">
      <c r="A48" s="93" t="n"/>
      <c r="B48" s="102" t="inlineStr">
        <is>
          <t>Approved</t>
        </is>
      </c>
      <c r="C48" s="103">
        <f>COUNTIFS('JSA Risk Assessment'!D$6:D$506,"Jan",'JSA Risk Assessment'!M$6:M$506,"Approved")</f>
        <v/>
      </c>
      <c r="D48" s="103">
        <f>COUNTIFS('JSA Risk Assessment'!D$6:D$506,"Feb",'JSA Risk Assessment'!M$6:M$506,"Approved")</f>
        <v/>
      </c>
      <c r="E48" s="103">
        <f>COUNTIFS('JSA Risk Assessment'!D$6:D$506,"Mar",'JSA Risk Assessment'!M$6:M$506,"Approved")</f>
        <v/>
      </c>
      <c r="F48" s="103">
        <f>COUNTIFS('JSA Risk Assessment'!D$6:D$506,"Apr",'JSA Risk Assessment'!M$6:M$506,"Approved")</f>
        <v/>
      </c>
      <c r="G48" s="103">
        <f>COUNTIFS('JSA Risk Assessment'!D$6:D$506,"May",'JSA Risk Assessment'!M$6:M$506,"Approved")</f>
        <v/>
      </c>
      <c r="H48" s="103">
        <f>COUNTIFS('JSA Risk Assessment'!D$6:D$506,"Jun",'JSA Risk Assessment'!M$6:M$506,"Approved")</f>
        <v/>
      </c>
      <c r="I48" s="103">
        <f>COUNTIFS('JSA Risk Assessment'!D$6:D$506,"Jul",'JSA Risk Assessment'!M$6:M$506,"Approved")</f>
        <v/>
      </c>
      <c r="J48" s="103">
        <f>COUNTIFS('JSA Risk Assessment'!D$6:D$506,"Aug",'JSA Risk Assessment'!M$6:M$506,"Approved")</f>
        <v/>
      </c>
      <c r="K48" s="103">
        <f>COUNTIFS('JSA Risk Assessment'!D$6:D$506,"Sep",'JSA Risk Assessment'!M$6:M$506,"Approved")</f>
        <v/>
      </c>
      <c r="L48" s="103">
        <f>COUNTIFS('JSA Risk Assessment'!D$6:D$506,"Oct",'JSA Risk Assessment'!M$6:M$506,"Approved")</f>
        <v/>
      </c>
      <c r="M48" s="103">
        <f>COUNTIFS('JSA Risk Assessment'!D$6:D$506,"Nov",'JSA Risk Assessment'!M$6:M$506,"Approved")</f>
        <v/>
      </c>
      <c r="N48" s="103">
        <f>COUNTIFS('JSA Risk Assessment'!D$6:D$506,"Dec",'JSA Risk Assessment'!M$6:M$506,"Approved")</f>
        <v/>
      </c>
      <c r="O48" s="104">
        <f>SUM(C48:N48)</f>
        <v/>
      </c>
      <c r="P48" s="93" t="n"/>
      <c r="Q48" s="93" t="n"/>
    </row>
    <row r="49">
      <c r="A49" s="93" t="n"/>
      <c r="B49" s="113" t="inlineStr">
        <is>
          <t>Pending Review</t>
        </is>
      </c>
      <c r="C49" s="114">
        <f>COUNTIFS('JSA Risk Assessment'!D$6:D$506,"Jan",'JSA Risk Assessment'!M$6:M$506,"Pending Review")</f>
        <v/>
      </c>
      <c r="D49" s="114">
        <f>COUNTIFS('JSA Risk Assessment'!D$6:D$506,"Feb",'JSA Risk Assessment'!M$6:M$506,"Pending Review")</f>
        <v/>
      </c>
      <c r="E49" s="114">
        <f>COUNTIFS('JSA Risk Assessment'!D$6:D$506,"Mar",'JSA Risk Assessment'!M$6:M$506,"Pending Review")</f>
        <v/>
      </c>
      <c r="F49" s="114">
        <f>COUNTIFS('JSA Risk Assessment'!D$6:D$506,"Apr",'JSA Risk Assessment'!M$6:M$506,"Pending Review")</f>
        <v/>
      </c>
      <c r="G49" s="114">
        <f>COUNTIFS('JSA Risk Assessment'!D$6:D$506,"May",'JSA Risk Assessment'!M$6:M$506,"Pending Review")</f>
        <v/>
      </c>
      <c r="H49" s="114">
        <f>COUNTIFS('JSA Risk Assessment'!D$6:D$506,"Jun",'JSA Risk Assessment'!M$6:M$506,"Pending Review")</f>
        <v/>
      </c>
      <c r="I49" s="114">
        <f>COUNTIFS('JSA Risk Assessment'!D$6:D$506,"Jul",'JSA Risk Assessment'!M$6:M$506,"Pending Review")</f>
        <v/>
      </c>
      <c r="J49" s="114">
        <f>COUNTIFS('JSA Risk Assessment'!D$6:D$506,"Aug",'JSA Risk Assessment'!M$6:M$506,"Pending Review")</f>
        <v/>
      </c>
      <c r="K49" s="114">
        <f>COUNTIFS('JSA Risk Assessment'!D$6:D$506,"Sep",'JSA Risk Assessment'!M$6:M$506,"Pending Review")</f>
        <v/>
      </c>
      <c r="L49" s="114">
        <f>COUNTIFS('JSA Risk Assessment'!D$6:D$506,"Oct",'JSA Risk Assessment'!M$6:M$506,"Pending Review")</f>
        <v/>
      </c>
      <c r="M49" s="114">
        <f>COUNTIFS('JSA Risk Assessment'!D$6:D$506,"Nov",'JSA Risk Assessment'!M$6:M$506,"Pending Review")</f>
        <v/>
      </c>
      <c r="N49" s="114">
        <f>COUNTIFS('JSA Risk Assessment'!D$6:D$506,"Dec",'JSA Risk Assessment'!M$6:M$506,"Pending Review")</f>
        <v/>
      </c>
      <c r="O49" s="115">
        <f>SUM(C49:N49)</f>
        <v/>
      </c>
      <c r="P49" s="93" t="n"/>
      <c r="Q49" s="93" t="n"/>
    </row>
    <row r="50">
      <c r="A50" s="93" t="n"/>
      <c r="B50" s="105" t="inlineStr">
        <is>
          <t>Revision Required</t>
        </is>
      </c>
      <c r="C50" s="106">
        <f>COUNTIFS('JSA Risk Assessment'!D$6:D$506,"Jan",'JSA Risk Assessment'!M$6:M$506,"Revision Required")</f>
        <v/>
      </c>
      <c r="D50" s="106">
        <f>COUNTIFS('JSA Risk Assessment'!D$6:D$506,"Feb",'JSA Risk Assessment'!M$6:M$506,"Revision Required")</f>
        <v/>
      </c>
      <c r="E50" s="106">
        <f>COUNTIFS('JSA Risk Assessment'!D$6:D$506,"Mar",'JSA Risk Assessment'!M$6:M$506,"Revision Required")</f>
        <v/>
      </c>
      <c r="F50" s="106">
        <f>COUNTIFS('JSA Risk Assessment'!D$6:D$506,"Apr",'JSA Risk Assessment'!M$6:M$506,"Revision Required")</f>
        <v/>
      </c>
      <c r="G50" s="106">
        <f>COUNTIFS('JSA Risk Assessment'!D$6:D$506,"May",'JSA Risk Assessment'!M$6:M$506,"Revision Required")</f>
        <v/>
      </c>
      <c r="H50" s="106">
        <f>COUNTIFS('JSA Risk Assessment'!D$6:D$506,"Jun",'JSA Risk Assessment'!M$6:M$506,"Revision Required")</f>
        <v/>
      </c>
      <c r="I50" s="106">
        <f>COUNTIFS('JSA Risk Assessment'!D$6:D$506,"Jul",'JSA Risk Assessment'!M$6:M$506,"Revision Required")</f>
        <v/>
      </c>
      <c r="J50" s="106">
        <f>COUNTIFS('JSA Risk Assessment'!D$6:D$506,"Aug",'JSA Risk Assessment'!M$6:M$506,"Revision Required")</f>
        <v/>
      </c>
      <c r="K50" s="106">
        <f>COUNTIFS('JSA Risk Assessment'!D$6:D$506,"Sep",'JSA Risk Assessment'!M$6:M$506,"Revision Required")</f>
        <v/>
      </c>
      <c r="L50" s="106">
        <f>COUNTIFS('JSA Risk Assessment'!D$6:D$506,"Oct",'JSA Risk Assessment'!M$6:M$506,"Revision Required")</f>
        <v/>
      </c>
      <c r="M50" s="106">
        <f>COUNTIFS('JSA Risk Assessment'!D$6:D$506,"Nov",'JSA Risk Assessment'!M$6:M$506,"Revision Required")</f>
        <v/>
      </c>
      <c r="N50" s="106">
        <f>COUNTIFS('JSA Risk Assessment'!D$6:D$506,"Dec",'JSA Risk Assessment'!M$6:M$506,"Revision Required")</f>
        <v/>
      </c>
      <c r="O50" s="107">
        <f>SUM(C50:N50)</f>
        <v/>
      </c>
      <c r="P50" s="93" t="n"/>
      <c r="Q50" s="93" t="n"/>
    </row>
    <row r="51">
      <c r="A51" s="93" t="n"/>
      <c r="B51" s="116" t="inlineStr">
        <is>
          <t>Rejected</t>
        </is>
      </c>
      <c r="C51" s="117">
        <f>COUNTIFS('JSA Risk Assessment'!D$6:D$506,"Jan",'JSA Risk Assessment'!M$6:M$506,"Rejected")</f>
        <v/>
      </c>
      <c r="D51" s="117">
        <f>COUNTIFS('JSA Risk Assessment'!D$6:D$506,"Feb",'JSA Risk Assessment'!M$6:M$506,"Rejected")</f>
        <v/>
      </c>
      <c r="E51" s="117">
        <f>COUNTIFS('JSA Risk Assessment'!D$6:D$506,"Mar",'JSA Risk Assessment'!M$6:M$506,"Rejected")</f>
        <v/>
      </c>
      <c r="F51" s="117">
        <f>COUNTIFS('JSA Risk Assessment'!D$6:D$506,"Apr",'JSA Risk Assessment'!M$6:M$506,"Rejected")</f>
        <v/>
      </c>
      <c r="G51" s="117">
        <f>COUNTIFS('JSA Risk Assessment'!D$6:D$506,"May",'JSA Risk Assessment'!M$6:M$506,"Rejected")</f>
        <v/>
      </c>
      <c r="H51" s="117">
        <f>COUNTIFS('JSA Risk Assessment'!D$6:D$506,"Jun",'JSA Risk Assessment'!M$6:M$506,"Rejected")</f>
        <v/>
      </c>
      <c r="I51" s="117">
        <f>COUNTIFS('JSA Risk Assessment'!D$6:D$506,"Jul",'JSA Risk Assessment'!M$6:M$506,"Rejected")</f>
        <v/>
      </c>
      <c r="J51" s="117">
        <f>COUNTIFS('JSA Risk Assessment'!D$6:D$506,"Aug",'JSA Risk Assessment'!M$6:M$506,"Rejected")</f>
        <v/>
      </c>
      <c r="K51" s="117">
        <f>COUNTIFS('JSA Risk Assessment'!D$6:D$506,"Sep",'JSA Risk Assessment'!M$6:M$506,"Rejected")</f>
        <v/>
      </c>
      <c r="L51" s="117">
        <f>COUNTIFS('JSA Risk Assessment'!D$6:D$506,"Oct",'JSA Risk Assessment'!M$6:M$506,"Rejected")</f>
        <v/>
      </c>
      <c r="M51" s="117">
        <f>COUNTIFS('JSA Risk Assessment'!D$6:D$506,"Nov",'JSA Risk Assessment'!M$6:M$506,"Rejected")</f>
        <v/>
      </c>
      <c r="N51" s="117">
        <f>COUNTIFS('JSA Risk Assessment'!D$6:D$506,"Dec",'JSA Risk Assessment'!M$6:M$506,"Rejected")</f>
        <v/>
      </c>
      <c r="O51" s="118">
        <f>SUM(C51:N51)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26A69A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26A69A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tabColor rgb="FFE65100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0" t="inlineStr">
        <is>
          <t>👁️  DASHBOARD – HSE OBSERVATIONS</t>
        </is>
      </c>
    </row>
    <row r="2" ht="24" customHeight="1" s="15">
      <c r="A2" s="281" t="inlineStr">
        <is>
          <t>Live data from 'HSE Observations'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2" t="inlineStr">
        <is>
          <t>📋 TOTAL OBS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43" t="inlineStr">
        <is>
          <t>❌ OVERDUE</t>
        </is>
      </c>
      <c r="Q4" s="93" t="n"/>
    </row>
    <row r="5" ht="43.5" customHeight="1" s="15">
      <c r="A5" s="93" t="n"/>
      <c r="B5" s="283">
        <f>COUNTA('HSE Observations'!B$6:B$506)</f>
        <v/>
      </c>
      <c r="E5" s="93" t="n"/>
      <c r="F5" s="234">
        <f>COUNTIF('HSE Observations'!M$6:M$506,"Completed")</f>
        <v/>
      </c>
      <c r="I5" s="93" t="n"/>
      <c r="J5" s="235">
        <f>COUNTIF('HSE Observations'!M$6:M$506,"In Progress")</f>
        <v/>
      </c>
      <c r="M5" s="93" t="n"/>
      <c r="N5" s="277">
        <f>COUNTIF('HSE Observations'!M$6:M$506,"Overdue")</f>
        <v/>
      </c>
      <c r="Q5" s="93" t="n"/>
    </row>
    <row r="6" ht="13.5" customHeight="1" s="15">
      <c r="A6" s="93" t="n"/>
      <c r="B6" s="284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30" t="inlineStr">
        <is>
          <t>👍 SAFE ACTS</t>
        </is>
      </c>
      <c r="E8" s="93" t="n"/>
      <c r="F8" s="243" t="inlineStr">
        <is>
          <t>👎 UNSAFE ACTS</t>
        </is>
      </c>
      <c r="I8" s="93" t="n"/>
      <c r="J8" s="243" t="inlineStr">
        <is>
          <t>🔴 HIGH RISK</t>
        </is>
      </c>
      <c r="M8" s="93" t="n"/>
      <c r="N8" s="242" t="inlineStr">
        <is>
          <t>📊 COMP %</t>
        </is>
      </c>
      <c r="Q8" s="93" t="n"/>
    </row>
    <row r="9" ht="43.5" customHeight="1" s="15">
      <c r="A9" s="93" t="n"/>
      <c r="B9" s="234">
        <f>COUNTIF('HSE Observations'!E$6:E$506,"Safe Act")</f>
        <v/>
      </c>
      <c r="E9" s="93" t="n"/>
      <c r="F9" s="277">
        <f>COUNTIF('HSE Observations'!E$6:E$506,"Unsafe Act")</f>
        <v/>
      </c>
      <c r="I9" s="93" t="n"/>
      <c r="J9" s="277">
        <f>COUNTIF('HSE Observations'!L$6:L$506,"High")</f>
        <v/>
      </c>
      <c r="M9" s="93" t="n"/>
      <c r="N9" s="285">
        <f>IF(COUNTA('HSE Observations'!B$6:B$506)=0,0,COUNTIF('HSE Observations'!M$6:M$506,"Completed")/COUNTA('HSE Observations'!B$6:B$506))</f>
        <v/>
      </c>
      <c r="Q9" s="93" t="n"/>
    </row>
    <row r="10" ht="13.5" customHeight="1" s="15">
      <c r="A10" s="93" t="n"/>
      <c r="B10" s="262" t="n"/>
      <c r="E10" s="93" t="n"/>
      <c r="F10" s="270" t="n"/>
      <c r="I10" s="93" t="n"/>
      <c r="J10" s="270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86" t="inlineStr">
        <is>
          <t>📅  Monthly Trend</t>
        </is>
      </c>
      <c r="I12" s="93" t="n"/>
      <c r="J12" s="286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COUNTIF('HSE Observations'!M$6:M$506,"Completed")</f>
        <v/>
      </c>
      <c r="Q13" s="93" t="n"/>
    </row>
    <row r="14">
      <c r="A14" s="93" t="n"/>
      <c r="B14" s="59">
        <f>COUNTIF('HSE Observations'!D$6:D$506,"Jan")</f>
        <v/>
      </c>
      <c r="C14" s="59">
        <f>COUNTIF('HSE Observations'!D$6:D$506,"Feb")</f>
        <v/>
      </c>
      <c r="D14" s="59">
        <f>COUNTIF('HSE Observations'!D$6:D$506,"Mar")</f>
        <v/>
      </c>
      <c r="E14" s="59">
        <f>COUNTIF('HSE Observations'!D$6:D$506,"Apr")</f>
        <v/>
      </c>
      <c r="F14" s="59">
        <f>COUNTIF('HSE Observations'!D$6:D$506,"May")</f>
        <v/>
      </c>
      <c r="G14" s="59">
        <f>COUNTIF('HSE Observations'!D$6:D$506,"Jun")</f>
        <v/>
      </c>
      <c r="H14" s="59">
        <f>COUNTIF('HSE Observations'!D$6:D$506,"Jul")</f>
        <v/>
      </c>
      <c r="I14" s="59">
        <f>COUNTIF('HSE Observations'!D$6:D$506,"Aug")</f>
        <v/>
      </c>
      <c r="J14" s="59">
        <f>COUNTIF('HSE Observations'!D$6:D$506,"Sep")</f>
        <v/>
      </c>
      <c r="K14" s="59">
        <f>COUNTIF('HSE Observations'!D$6:D$506,"Oct")</f>
        <v/>
      </c>
      <c r="L14" s="59">
        <f>COUNTIF('HSE Observations'!D$6:D$506,"Nov")</f>
        <v/>
      </c>
      <c r="M14" s="59">
        <f>COUNTIF('HSE Observations'!D$6:D$506,"Dec")</f>
        <v/>
      </c>
      <c r="N14" s="94" t="n"/>
      <c r="O14" s="95" t="inlineStr">
        <is>
          <t>In Progress</t>
        </is>
      </c>
      <c r="P14" s="59">
        <f>COUNTIF('HSE Observations'!M$6:M$506,"In Progress")</f>
        <v/>
      </c>
      <c r="Q14" s="93" t="n"/>
    </row>
    <row r="15">
      <c r="A15" s="93" t="n"/>
      <c r="B15" s="60">
        <f>COUNTIFS('HSE Observations'!D$6:D$506,"Jan",'HSE Observations'!M$6:M$506,"Completed")</f>
        <v/>
      </c>
      <c r="C15" s="60">
        <f>COUNTIFS('HSE Observations'!D$6:D$506,"Feb",'HSE Observations'!M$6:M$506,"Completed")</f>
        <v/>
      </c>
      <c r="D15" s="60">
        <f>COUNTIFS('HSE Observations'!D$6:D$506,"Mar",'HSE Observations'!M$6:M$506,"Completed")</f>
        <v/>
      </c>
      <c r="E15" s="60">
        <f>COUNTIFS('HSE Observations'!D$6:D$506,"Apr",'HSE Observations'!M$6:M$506,"Completed")</f>
        <v/>
      </c>
      <c r="F15" s="60">
        <f>COUNTIFS('HSE Observations'!D$6:D$506,"May",'HSE Observations'!M$6:M$506,"Completed")</f>
        <v/>
      </c>
      <c r="G15" s="60">
        <f>COUNTIFS('HSE Observations'!D$6:D$506,"Jun",'HSE Observations'!M$6:M$506,"Completed")</f>
        <v/>
      </c>
      <c r="H15" s="60">
        <f>COUNTIFS('HSE Observations'!D$6:D$506,"Jul",'HSE Observations'!M$6:M$506,"Completed")</f>
        <v/>
      </c>
      <c r="I15" s="60">
        <f>COUNTIFS('HSE Observations'!D$6:D$506,"Aug",'HSE Observations'!M$6:M$506,"Completed")</f>
        <v/>
      </c>
      <c r="J15" s="60">
        <f>COUNTIFS('HSE Observations'!D$6:D$506,"Sep",'HSE Observations'!M$6:M$506,"Completed")</f>
        <v/>
      </c>
      <c r="K15" s="60">
        <f>COUNTIFS('HSE Observations'!D$6:D$506,"Oct",'HSE Observations'!M$6:M$506,"Completed")</f>
        <v/>
      </c>
      <c r="L15" s="60">
        <f>COUNTIFS('HSE Observations'!D$6:D$506,"Nov",'HSE Observations'!M$6:M$506,"Completed")</f>
        <v/>
      </c>
      <c r="M15" s="60">
        <f>COUNTIFS('HSE Observations'!D$6:D$506,"Dec",'HSE Observations'!M$6:M$506,"Completed")</f>
        <v/>
      </c>
      <c r="N15" s="94" t="n"/>
      <c r="O15" s="95" t="inlineStr">
        <is>
          <t>Overdue</t>
        </is>
      </c>
      <c r="P15" s="59">
        <f>COUNTIF('HSE Observations'!M$6:M$506,"Overdue")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COUNTIF('HSE Observations'!M$6:M$506,"Pending")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86" t="inlineStr">
        <is>
          <t>🏢  Department Breakdown</t>
        </is>
      </c>
      <c r="I31" s="93" t="n"/>
      <c r="J31" s="286" t="inlineStr">
        <is>
          <t>🏷️  Observation Type Breakdown</t>
        </is>
      </c>
      <c r="Q31" s="93" t="n"/>
    </row>
    <row r="32" ht="56.25" customHeight="1" s="15">
      <c r="A32" s="93" t="n"/>
      <c r="B32" s="119" t="inlineStr">
        <is>
          <t>Department</t>
        </is>
      </c>
      <c r="C32" s="119" t="inlineStr">
        <is>
          <t>Count</t>
        </is>
      </c>
      <c r="D32" s="119" t="inlineStr">
        <is>
          <t>Completed</t>
        </is>
      </c>
      <c r="E32" s="119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Safe Act</t>
        </is>
      </c>
      <c r="P32" s="59">
        <f>COUNTIF('HSE Observations'!E$6:E$506,O32)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COUNTIF('HSE Observations'!G$6:G$506,B33)</f>
        <v/>
      </c>
      <c r="D33" s="63">
        <f>COUNTIFS('HSE Observations'!G$6:G$506,B33,'HSE Observations'!M$6:M$506,"Completed")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Unsafe Act</t>
        </is>
      </c>
      <c r="P33" s="59">
        <f>COUNTIF('HSE Observations'!E$6:E$506,O33)</f>
        <v/>
      </c>
      <c r="Q33" s="93" t="n"/>
    </row>
    <row r="34">
      <c r="A34" s="93" t="n"/>
      <c r="B34" s="120" t="inlineStr">
        <is>
          <t>Maintenance</t>
        </is>
      </c>
      <c r="C34" s="121">
        <f>COUNTIF('HSE Observations'!G$6:G$506,B34)</f>
        <v/>
      </c>
      <c r="D34" s="121">
        <f>COUNTIFS('HSE Observations'!G$6:G$506,B34,'HSE Observations'!M$6:M$506,"Completed")</f>
        <v/>
      </c>
      <c r="E34" s="122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Safe Condition</t>
        </is>
      </c>
      <c r="P34" s="59">
        <f>COUNTIF('HSE Observations'!E$6:E$506,O34)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COUNTIF('HSE Observations'!G$6:G$506,B35)</f>
        <v/>
      </c>
      <c r="D35" s="63">
        <f>COUNTIFS('HSE Observations'!G$6:G$506,B35,'HSE Observations'!M$6:M$506,"Completed")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Unsafe Condition</t>
        </is>
      </c>
      <c r="P35" s="59">
        <f>COUNTIF('HSE Observations'!E$6:E$506,O35)</f>
        <v/>
      </c>
      <c r="Q35" s="93" t="n"/>
    </row>
    <row r="36">
      <c r="A36" s="93" t="n"/>
      <c r="B36" s="120" t="inlineStr">
        <is>
          <t>Construction</t>
        </is>
      </c>
      <c r="C36" s="121">
        <f>COUNTIF('HSE Observations'!G$6:G$506,B36)</f>
        <v/>
      </c>
      <c r="D36" s="121">
        <f>COUNTIFS('HSE Observations'!G$6:G$506,B36,'HSE Observations'!M$6:M$506,"Completed")</f>
        <v/>
      </c>
      <c r="E36" s="122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Near Miss</t>
        </is>
      </c>
      <c r="P36" s="59">
        <f>COUNTIF('HSE Observations'!E$6:E$506,O36)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COUNTIF('HSE Observations'!G$6:G$506,B37)</f>
        <v/>
      </c>
      <c r="D37" s="63">
        <f>COUNTIFS('HSE Observations'!G$6:G$506,B37,'HSE Observations'!M$6:M$506,"Completed")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20" t="inlineStr">
        <is>
          <t>Logistics</t>
        </is>
      </c>
      <c r="C38" s="121">
        <f>COUNTIF('HSE Observations'!G$6:G$506,B38)</f>
        <v/>
      </c>
      <c r="D38" s="121">
        <f>COUNTIFS('HSE Observations'!G$6:G$506,B38,'HSE Observations'!M$6:M$506,"Completed")</f>
        <v/>
      </c>
      <c r="E38" s="122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COUNTIF('HSE Observations'!G$6:G$506,B39)</f>
        <v/>
      </c>
      <c r="D39" s="63">
        <f>COUNTIFS('HSE Observations'!G$6:G$506,B39,'HSE Observations'!M$6:M$506,"Completed")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20" t="inlineStr">
        <is>
          <t>Admin</t>
        </is>
      </c>
      <c r="C40" s="121">
        <f>COUNTIF('HSE Observations'!G$6:G$506,B40)</f>
        <v/>
      </c>
      <c r="D40" s="121">
        <f>COUNTIFS('HSE Observations'!G$6:G$506,B40,'HSE Observations'!M$6:M$506,"Completed")</f>
        <v/>
      </c>
      <c r="E40" s="122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COUNTIF('HSE Observations'!G$6:G$506,B41)</f>
        <v/>
      </c>
      <c r="D41" s="63">
        <f>COUNTIFS('HSE Observations'!G$6:G$506,B41,'HSE Observations'!M$6:M$506,"Completed")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20" t="inlineStr">
        <is>
          <t>Contractor</t>
        </is>
      </c>
      <c r="C42" s="121">
        <f>COUNTIF('HSE Observations'!G$6:G$506,B42)</f>
        <v/>
      </c>
      <c r="D42" s="121">
        <f>COUNTIFS('HSE Observations'!G$6:G$506,B42,'HSE Observations'!M$6:M$506,"Completed")</f>
        <v/>
      </c>
      <c r="E42" s="122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86" t="inlineStr">
        <is>
          <t>📈  Monthly Performance Matrix</t>
        </is>
      </c>
      <c r="Q45" s="93" t="n"/>
    </row>
    <row r="46" ht="33.75" customHeight="1" s="15">
      <c r="A46" s="93" t="n"/>
      <c r="B46" s="119" t="inlineStr">
        <is>
          <t>Metric</t>
        </is>
      </c>
      <c r="C46" s="119" t="inlineStr">
        <is>
          <t>Jan</t>
        </is>
      </c>
      <c r="D46" s="119" t="inlineStr">
        <is>
          <t>Feb</t>
        </is>
      </c>
      <c r="E46" s="119" t="inlineStr">
        <is>
          <t>Mar</t>
        </is>
      </c>
      <c r="F46" s="119" t="inlineStr">
        <is>
          <t>Apr</t>
        </is>
      </c>
      <c r="G46" s="119" t="inlineStr">
        <is>
          <t>May</t>
        </is>
      </c>
      <c r="H46" s="119" t="inlineStr">
        <is>
          <t>Jun</t>
        </is>
      </c>
      <c r="I46" s="119" t="inlineStr">
        <is>
          <t>Jul</t>
        </is>
      </c>
      <c r="J46" s="119" t="inlineStr">
        <is>
          <t>Aug</t>
        </is>
      </c>
      <c r="K46" s="119" t="inlineStr">
        <is>
          <t>Sep</t>
        </is>
      </c>
      <c r="L46" s="119" t="inlineStr">
        <is>
          <t>Oct</t>
        </is>
      </c>
      <c r="M46" s="119" t="inlineStr">
        <is>
          <t>Nov</t>
        </is>
      </c>
      <c r="N46" s="119" t="inlineStr">
        <is>
          <t>Dec</t>
        </is>
      </c>
      <c r="O46" s="119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COUNTIF('HSE Observations'!D$6:D$506,"Jan")</f>
        <v/>
      </c>
      <c r="D47" s="63">
        <f>COUNTIF('HSE Observations'!D$6:D$506,"Feb")</f>
        <v/>
      </c>
      <c r="E47" s="63">
        <f>COUNTIF('HSE Observations'!D$6:D$506,"Mar")</f>
        <v/>
      </c>
      <c r="F47" s="63">
        <f>COUNTIF('HSE Observations'!D$6:D$506,"Apr")</f>
        <v/>
      </c>
      <c r="G47" s="63">
        <f>COUNTIF('HSE Observations'!D$6:D$506,"May")</f>
        <v/>
      </c>
      <c r="H47" s="63">
        <f>COUNTIF('HSE Observations'!D$6:D$506,"Jun")</f>
        <v/>
      </c>
      <c r="I47" s="63">
        <f>COUNTIF('HSE Observations'!D$6:D$506,"Jul")</f>
        <v/>
      </c>
      <c r="J47" s="63">
        <f>COUNTIF('HSE Observations'!D$6:D$506,"Aug")</f>
        <v/>
      </c>
      <c r="K47" s="63">
        <f>COUNTIF('HSE Observations'!D$6:D$506,"Sep")</f>
        <v/>
      </c>
      <c r="L47" s="63">
        <f>COUNTIF('HSE Observations'!D$6:D$506,"Oct")</f>
        <v/>
      </c>
      <c r="M47" s="63">
        <f>COUNTIF('HSE Observations'!D$6:D$506,"Nov")</f>
        <v/>
      </c>
      <c r="N47" s="63">
        <f>COUNTIF('HSE Observations'!D$6:D$506,"Dec")</f>
        <v/>
      </c>
      <c r="O47" s="123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COUNTIFS('HSE Observations'!D$6:D$506,"Jan",'HSE Observations'!M$6:M$506,"Completed")</f>
        <v/>
      </c>
      <c r="D48" s="76">
        <f>COUNTIFS('HSE Observations'!D$6:D$506,"Feb",'HSE Observations'!M$6:M$506,"Completed")</f>
        <v/>
      </c>
      <c r="E48" s="76">
        <f>COUNTIFS('HSE Observations'!D$6:D$506,"Mar",'HSE Observations'!M$6:M$506,"Completed")</f>
        <v/>
      </c>
      <c r="F48" s="76">
        <f>COUNTIFS('HSE Observations'!D$6:D$506,"Apr",'HSE Observations'!M$6:M$506,"Completed")</f>
        <v/>
      </c>
      <c r="G48" s="76">
        <f>COUNTIFS('HSE Observations'!D$6:D$506,"May",'HSE Observations'!M$6:M$506,"Completed")</f>
        <v/>
      </c>
      <c r="H48" s="76">
        <f>COUNTIFS('HSE Observations'!D$6:D$506,"Jun",'HSE Observations'!M$6:M$506,"Completed")</f>
        <v/>
      </c>
      <c r="I48" s="76">
        <f>COUNTIFS('HSE Observations'!D$6:D$506,"Jul",'HSE Observations'!M$6:M$506,"Completed")</f>
        <v/>
      </c>
      <c r="J48" s="76">
        <f>COUNTIFS('HSE Observations'!D$6:D$506,"Aug",'HSE Observations'!M$6:M$506,"Completed")</f>
        <v/>
      </c>
      <c r="K48" s="76">
        <f>COUNTIFS('HSE Observations'!D$6:D$506,"Sep",'HSE Observations'!M$6:M$506,"Completed")</f>
        <v/>
      </c>
      <c r="L48" s="76">
        <f>COUNTIFS('HSE Observations'!D$6:D$506,"Oct",'HSE Observations'!M$6:M$506,"Completed")</f>
        <v/>
      </c>
      <c r="M48" s="76">
        <f>COUNTIFS('HSE Observations'!D$6:D$506,"Nov",'HSE Observations'!M$6:M$506,"Completed")</f>
        <v/>
      </c>
      <c r="N48" s="76">
        <f>COUNTIFS('HSE Observations'!D$6:D$506,"Dec",'HSE Observations'!M$6:M$506,"Completed")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COUNTIFS('HSE Observations'!D$6:D$506,"Jan",'HSE Observations'!M$6:M$506,"In Progress")</f>
        <v/>
      </c>
      <c r="D49" s="114">
        <f>COUNTIFS('HSE Observations'!D$6:D$506,"Feb",'HSE Observations'!M$6:M$506,"In Progress")</f>
        <v/>
      </c>
      <c r="E49" s="114">
        <f>COUNTIFS('HSE Observations'!D$6:D$506,"Mar",'HSE Observations'!M$6:M$506,"In Progress")</f>
        <v/>
      </c>
      <c r="F49" s="114">
        <f>COUNTIFS('HSE Observations'!D$6:D$506,"Apr",'HSE Observations'!M$6:M$506,"In Progress")</f>
        <v/>
      </c>
      <c r="G49" s="114">
        <f>COUNTIFS('HSE Observations'!D$6:D$506,"May",'HSE Observations'!M$6:M$506,"In Progress")</f>
        <v/>
      </c>
      <c r="H49" s="114">
        <f>COUNTIFS('HSE Observations'!D$6:D$506,"Jun",'HSE Observations'!M$6:M$506,"In Progress")</f>
        <v/>
      </c>
      <c r="I49" s="114">
        <f>COUNTIFS('HSE Observations'!D$6:D$506,"Jul",'HSE Observations'!M$6:M$506,"In Progress")</f>
        <v/>
      </c>
      <c r="J49" s="114">
        <f>COUNTIFS('HSE Observations'!D$6:D$506,"Aug",'HSE Observations'!M$6:M$506,"In Progress")</f>
        <v/>
      </c>
      <c r="K49" s="114">
        <f>COUNTIFS('HSE Observations'!D$6:D$506,"Sep",'HSE Observations'!M$6:M$506,"In Progress")</f>
        <v/>
      </c>
      <c r="L49" s="114">
        <f>COUNTIFS('HSE Observations'!D$6:D$506,"Oct",'HSE Observations'!M$6:M$506,"In Progress")</f>
        <v/>
      </c>
      <c r="M49" s="114">
        <f>COUNTIFS('HSE Observations'!D$6:D$506,"Nov",'HSE Observations'!M$6:M$506,"In Progress")</f>
        <v/>
      </c>
      <c r="N49" s="114">
        <f>COUNTIFS('HSE Observations'!D$6:D$506,"Dec",'HSE Observations'!M$6:M$506,"In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COUNTIFS('HSE Observations'!D$6:D$506,"Jan",'HSE Observations'!M$6:M$506,"Overdue")</f>
        <v/>
      </c>
      <c r="D50" s="126">
        <f>COUNTIFS('HSE Observations'!D$6:D$506,"Feb",'HSE Observations'!M$6:M$506,"Overdue")</f>
        <v/>
      </c>
      <c r="E50" s="126">
        <f>COUNTIFS('HSE Observations'!D$6:D$506,"Mar",'HSE Observations'!M$6:M$506,"Overdue")</f>
        <v/>
      </c>
      <c r="F50" s="126">
        <f>COUNTIFS('HSE Observations'!D$6:D$506,"Apr",'HSE Observations'!M$6:M$506,"Overdue")</f>
        <v/>
      </c>
      <c r="G50" s="126">
        <f>COUNTIFS('HSE Observations'!D$6:D$506,"May",'HSE Observations'!M$6:M$506,"Overdue")</f>
        <v/>
      </c>
      <c r="H50" s="126">
        <f>COUNTIFS('HSE Observations'!D$6:D$506,"Jun",'HSE Observations'!M$6:M$506,"Overdue")</f>
        <v/>
      </c>
      <c r="I50" s="126">
        <f>COUNTIFS('HSE Observations'!D$6:D$506,"Jul",'HSE Observations'!M$6:M$506,"Overdue")</f>
        <v/>
      </c>
      <c r="J50" s="126">
        <f>COUNTIFS('HSE Observations'!D$6:D$506,"Aug",'HSE Observations'!M$6:M$506,"Overdue")</f>
        <v/>
      </c>
      <c r="K50" s="126">
        <f>COUNTIFS('HSE Observations'!D$6:D$506,"Sep",'HSE Observations'!M$6:M$506,"Overdue")</f>
        <v/>
      </c>
      <c r="L50" s="126">
        <f>COUNTIFS('HSE Observations'!D$6:D$506,"Oct",'HSE Observations'!M$6:M$506,"Overdue")</f>
        <v/>
      </c>
      <c r="M50" s="126">
        <f>COUNTIFS('HSE Observations'!D$6:D$506,"Nov",'HSE Observations'!M$6:M$506,"Overdue")</f>
        <v/>
      </c>
      <c r="N50" s="126">
        <f>COUNTIFS('HSE Observations'!D$6:D$506,"Dec",'HSE Observations'!M$6:M$506,"Overdue")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COUNTIFS('HSE Observations'!D$6:D$506,"Jan",'HSE Observations'!M$6:M$506,"Pending")</f>
        <v/>
      </c>
      <c r="D51" s="129">
        <f>COUNTIFS('HSE Observations'!D$6:D$506,"Feb",'HSE Observations'!M$6:M$506,"Pending")</f>
        <v/>
      </c>
      <c r="E51" s="129">
        <f>COUNTIFS('HSE Observations'!D$6:D$506,"Mar",'HSE Observations'!M$6:M$506,"Pending")</f>
        <v/>
      </c>
      <c r="F51" s="129">
        <f>COUNTIFS('HSE Observations'!D$6:D$506,"Apr",'HSE Observations'!M$6:M$506,"Pending")</f>
        <v/>
      </c>
      <c r="G51" s="129">
        <f>COUNTIFS('HSE Observations'!D$6:D$506,"May",'HSE Observations'!M$6:M$506,"Pending")</f>
        <v/>
      </c>
      <c r="H51" s="129">
        <f>COUNTIFS('HSE Observations'!D$6:D$506,"Jun",'HSE Observations'!M$6:M$506,"Pending")</f>
        <v/>
      </c>
      <c r="I51" s="129">
        <f>COUNTIFS('HSE Observations'!D$6:D$506,"Jul",'HSE Observations'!M$6:M$506,"Pending")</f>
        <v/>
      </c>
      <c r="J51" s="129">
        <f>COUNTIFS('HSE Observations'!D$6:D$506,"Aug",'HSE Observations'!M$6:M$506,"Pending")</f>
        <v/>
      </c>
      <c r="K51" s="129">
        <f>COUNTIFS('HSE Observations'!D$6:D$506,"Sep",'HSE Observations'!M$6:M$506,"Pending")</f>
        <v/>
      </c>
      <c r="L51" s="129">
        <f>COUNTIFS('HSE Observations'!D$6:D$506,"Oct",'HSE Observations'!M$6:M$506,"Pending")</f>
        <v/>
      </c>
      <c r="M51" s="129">
        <f>COUNTIFS('HSE Observations'!D$6:D$506,"Nov",'HSE Observations'!M$6:M$506,"Pending")</f>
        <v/>
      </c>
      <c r="N51" s="129">
        <f>COUNTIFS('HSE Observations'!D$6:D$506,"Dec",'HSE Observations'!M$6:M$506,"Pending")</f>
        <v/>
      </c>
      <c r="O51" s="130">
        <f>SUM(C51:N51)</f>
        <v/>
      </c>
      <c r="P51" s="93" t="n"/>
      <c r="Q51" s="93" t="n"/>
    </row>
    <row r="52">
      <c r="A52" s="93" t="n"/>
      <c r="B52" s="131" t="inlineStr">
        <is>
          <t>Rate %</t>
        </is>
      </c>
      <c r="C52" s="132">
        <f>IF(C47=0,0,C48/C47)</f>
        <v/>
      </c>
      <c r="D52" s="132">
        <f>IF(D47=0,0,D48/D47)</f>
        <v/>
      </c>
      <c r="E52" s="132">
        <f>IF(E47=0,0,E48/E47)</f>
        <v/>
      </c>
      <c r="F52" s="132">
        <f>IF(F47=0,0,F48/F47)</f>
        <v/>
      </c>
      <c r="G52" s="132">
        <f>IF(G47=0,0,G48/G47)</f>
        <v/>
      </c>
      <c r="H52" s="132">
        <f>IF(H47=0,0,H48/H47)</f>
        <v/>
      </c>
      <c r="I52" s="132">
        <f>IF(I47=0,0,I48/I47)</f>
        <v/>
      </c>
      <c r="J52" s="132">
        <f>IF(J47=0,0,J48/J47)</f>
        <v/>
      </c>
      <c r="K52" s="132">
        <f>IF(K47=0,0,K48/K47)</f>
        <v/>
      </c>
      <c r="L52" s="132">
        <f>IF(L47=0,0,L48/L47)</f>
        <v/>
      </c>
      <c r="M52" s="132">
        <f>IF(M47=0,0,M48/M47)</f>
        <v/>
      </c>
      <c r="N52" s="132">
        <f>IF(N47=0,0,N48/N47)</f>
        <v/>
      </c>
      <c r="O52" s="132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FFA726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FFA726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🔍  DASHBOARD – WORKPLACE INSP</t>
        </is>
      </c>
    </row>
    <row r="2" ht="24" customHeight="1" s="15">
      <c r="A2" s="288" t="inlineStr">
        <is>
          <t>Live data from 'Workplace Inspections'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📋 TOTAL INSP</t>
        </is>
      </c>
      <c r="E4" s="93" t="n"/>
      <c r="F4" s="230" t="inlineStr">
        <is>
          <t>✅ COMPLETED</t>
        </is>
      </c>
      <c r="I4" s="93" t="n"/>
      <c r="J4" s="243" t="inlineStr">
        <is>
          <t>❌ OVERDUE</t>
        </is>
      </c>
      <c r="M4" s="93" t="n"/>
      <c r="N4" s="243" t="inlineStr">
        <is>
          <t>🔴 CRITICAL</t>
        </is>
      </c>
      <c r="Q4" s="93" t="n"/>
    </row>
    <row r="5" ht="43.5" customHeight="1" s="15">
      <c r="A5" s="93" t="n"/>
      <c r="B5" s="290">
        <f>COUNTA('Workplace Inspections'!B$6:B$506)</f>
        <v/>
      </c>
      <c r="E5" s="93" t="n"/>
      <c r="F5" s="234">
        <f>COUNTIF('Workplace Inspections'!M$6:M$506,"Completed")</f>
        <v/>
      </c>
      <c r="I5" s="93" t="n"/>
      <c r="J5" s="277">
        <f>COUNTIF('Workplace Inspections'!M$6:M$506,"Overdue")</f>
        <v/>
      </c>
      <c r="M5" s="93" t="n"/>
      <c r="N5" s="277">
        <f>SUM('Workplace Inspections'!K$6:K$506)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70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CHECKPOINTS</t>
        </is>
      </c>
      <c r="E8" s="93" t="n"/>
      <c r="F8" s="231" t="inlineStr">
        <is>
          <t>⚠️ NON-CONF</t>
        </is>
      </c>
      <c r="I8" s="93" t="n"/>
      <c r="J8" s="243" t="inlineStr">
        <is>
          <t>📊 NC RATE</t>
        </is>
      </c>
      <c r="M8" s="93" t="n"/>
      <c r="N8" s="242" t="inlineStr">
        <is>
          <t>📊 COMP %</t>
        </is>
      </c>
      <c r="Q8" s="93" t="n"/>
    </row>
    <row r="9" ht="43.5" customHeight="1" s="15">
      <c r="A9" s="93" t="n"/>
      <c r="B9" s="265">
        <f>SUM('Workplace Inspections'!I$6:I$506)</f>
        <v/>
      </c>
      <c r="E9" s="93" t="n"/>
      <c r="F9" s="235">
        <f>SUM('Workplace Inspections'!J$6:J$506)</f>
        <v/>
      </c>
      <c r="I9" s="93" t="n"/>
      <c r="J9" s="247">
        <f>IF(SUM('Workplace Inspections'!I$6:I$506)=0,0,SUM('Workplace Inspections'!J$6:J$506)/SUM('Workplace Inspections'!I$6:I$506))</f>
        <v/>
      </c>
      <c r="M9" s="93" t="n"/>
      <c r="N9" s="285">
        <f>IF(COUNTA('Workplace Inspections'!B$6:B$506)=0,0,COUNTIF('Workplace Inspections'!M$6:M$506,"Completed")/COUNTA('Workplace Inspections'!B$6:B$506))</f>
        <v/>
      </c>
      <c r="Q9" s="93" t="n"/>
    </row>
    <row r="10" ht="13.5" customHeight="1" s="15">
      <c r="A10" s="93" t="n"/>
      <c r="B10" s="268" t="n"/>
      <c r="E10" s="93" t="n"/>
      <c r="F10" s="263" t="n"/>
      <c r="I10" s="93" t="n"/>
      <c r="J10" s="270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COUNTIF('Workplace Inspections'!M$6:M$506,"Completed")</f>
        <v/>
      </c>
      <c r="Q13" s="93" t="n"/>
    </row>
    <row r="14">
      <c r="A14" s="93" t="n"/>
      <c r="B14" s="59">
        <f>COUNTIF('Workplace Inspections'!D$6:D$506,"Jan")</f>
        <v/>
      </c>
      <c r="C14" s="59">
        <f>COUNTIF('Workplace Inspections'!D$6:D$506,"Feb")</f>
        <v/>
      </c>
      <c r="D14" s="59">
        <f>COUNTIF('Workplace Inspections'!D$6:D$506,"Mar")</f>
        <v/>
      </c>
      <c r="E14" s="59">
        <f>COUNTIF('Workplace Inspections'!D$6:D$506,"Apr")</f>
        <v/>
      </c>
      <c r="F14" s="59">
        <f>COUNTIF('Workplace Inspections'!D$6:D$506,"May")</f>
        <v/>
      </c>
      <c r="G14" s="59">
        <f>COUNTIF('Workplace Inspections'!D$6:D$506,"Jun")</f>
        <v/>
      </c>
      <c r="H14" s="59">
        <f>COUNTIF('Workplace Inspections'!D$6:D$506,"Jul")</f>
        <v/>
      </c>
      <c r="I14" s="59">
        <f>COUNTIF('Workplace Inspections'!D$6:D$506,"Aug")</f>
        <v/>
      </c>
      <c r="J14" s="59">
        <f>COUNTIF('Workplace Inspections'!D$6:D$506,"Sep")</f>
        <v/>
      </c>
      <c r="K14" s="59">
        <f>COUNTIF('Workplace Inspections'!D$6:D$506,"Oct")</f>
        <v/>
      </c>
      <c r="L14" s="59">
        <f>COUNTIF('Workplace Inspections'!D$6:D$506,"Nov")</f>
        <v/>
      </c>
      <c r="M14" s="59">
        <f>COUNTIF('Workplace Inspections'!D$6:D$506,"Dec")</f>
        <v/>
      </c>
      <c r="N14" s="94" t="n"/>
      <c r="O14" s="95" t="inlineStr">
        <is>
          <t>In Progress</t>
        </is>
      </c>
      <c r="P14" s="59">
        <f>COUNTIF('Workplace Inspections'!M$6:M$506,"In Progress")</f>
        <v/>
      </c>
      <c r="Q14" s="93" t="n"/>
    </row>
    <row r="15">
      <c r="A15" s="93" t="n"/>
      <c r="B15" s="60">
        <f>COUNTIFS('Workplace Inspections'!D$6:D$506,"Jan",'Workplace Inspections'!M$6:M$506,"Completed")</f>
        <v/>
      </c>
      <c r="C15" s="60">
        <f>COUNTIFS('Workplace Inspections'!D$6:D$506,"Feb",'Workplace Inspections'!M$6:M$506,"Completed")</f>
        <v/>
      </c>
      <c r="D15" s="60">
        <f>COUNTIFS('Workplace Inspections'!D$6:D$506,"Mar",'Workplace Inspections'!M$6:M$506,"Completed")</f>
        <v/>
      </c>
      <c r="E15" s="60">
        <f>COUNTIFS('Workplace Inspections'!D$6:D$506,"Apr",'Workplace Inspections'!M$6:M$506,"Completed")</f>
        <v/>
      </c>
      <c r="F15" s="60">
        <f>COUNTIFS('Workplace Inspections'!D$6:D$506,"May",'Workplace Inspections'!M$6:M$506,"Completed")</f>
        <v/>
      </c>
      <c r="G15" s="60">
        <f>COUNTIFS('Workplace Inspections'!D$6:D$506,"Jun",'Workplace Inspections'!M$6:M$506,"Completed")</f>
        <v/>
      </c>
      <c r="H15" s="60">
        <f>COUNTIFS('Workplace Inspections'!D$6:D$506,"Jul",'Workplace Inspections'!M$6:M$506,"Completed")</f>
        <v/>
      </c>
      <c r="I15" s="60">
        <f>COUNTIFS('Workplace Inspections'!D$6:D$506,"Aug",'Workplace Inspections'!M$6:M$506,"Completed")</f>
        <v/>
      </c>
      <c r="J15" s="60">
        <f>COUNTIFS('Workplace Inspections'!D$6:D$506,"Sep",'Workplace Inspections'!M$6:M$506,"Completed")</f>
        <v/>
      </c>
      <c r="K15" s="60">
        <f>COUNTIFS('Workplace Inspections'!D$6:D$506,"Oct",'Workplace Inspections'!M$6:M$506,"Completed")</f>
        <v/>
      </c>
      <c r="L15" s="60">
        <f>COUNTIFS('Workplace Inspections'!D$6:D$506,"Nov",'Workplace Inspections'!M$6:M$506,"Completed")</f>
        <v/>
      </c>
      <c r="M15" s="60">
        <f>COUNTIFS('Workplace Inspections'!D$6:D$506,"Dec",'Workplace Inspections'!M$6:M$506,"Completed")</f>
        <v/>
      </c>
      <c r="N15" s="94" t="n"/>
      <c r="O15" s="95" t="inlineStr">
        <is>
          <t>Overdue</t>
        </is>
      </c>
      <c r="P15" s="59">
        <f>COUNTIF('Workplace Inspections'!M$6:M$506,"Overdue")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COUNTIF('Workplace Inspections'!M$6:M$506,"Pending")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Rating Breakdown</t>
        </is>
      </c>
      <c r="Q31" s="93" t="n"/>
    </row>
    <row r="32" ht="56.25" customHeight="1" s="15">
      <c r="A32" s="93" t="n"/>
      <c r="B32" s="133" t="inlineStr">
        <is>
          <t>Department</t>
        </is>
      </c>
      <c r="C32" s="133" t="inlineStr">
        <is>
          <t>Count</t>
        </is>
      </c>
      <c r="D32" s="133" t="inlineStr">
        <is>
          <t>Completed</t>
        </is>
      </c>
      <c r="E32" s="133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Satisfactory</t>
        </is>
      </c>
      <c r="P32" s="59">
        <f>COUNTIF('Workplace Inspections'!L$6:L$506,O32)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COUNTIF('Workplace Inspections'!F$6:F$506,B33)</f>
        <v/>
      </c>
      <c r="D33" s="63">
        <f>COUNTIFS('Workplace Inspections'!F$6:F$506,B33,'Workplace Inspections'!M$6:M$506,"Completed")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Good</t>
        </is>
      </c>
      <c r="P33" s="59">
        <f>COUNTIF('Workplace Inspections'!L$6:L$506,O33)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COUNTIF('Workplace Inspections'!F$6:F$506,B34)</f>
        <v/>
      </c>
      <c r="D34" s="135">
        <f>COUNTIFS('Workplace Inspections'!F$6:F$506,B34,'Workplace Inspections'!M$6:M$506,"Completed")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Excellent</t>
        </is>
      </c>
      <c r="P34" s="59">
        <f>COUNTIF('Workplace Inspections'!L$6:L$506,O34)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COUNTIF('Workplace Inspections'!F$6:F$506,B35)</f>
        <v/>
      </c>
      <c r="D35" s="63">
        <f>COUNTIFS('Workplace Inspections'!F$6:F$506,B35,'Workplace Inspections'!M$6:M$506,"Completed")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Needs Improvement</t>
        </is>
      </c>
      <c r="P35" s="59">
        <f>COUNTIF('Workplace Inspections'!L$6:L$506,O35)</f>
        <v/>
      </c>
      <c r="Q35" s="93" t="n"/>
    </row>
    <row r="36">
      <c r="A36" s="93" t="n"/>
      <c r="B36" s="134" t="inlineStr">
        <is>
          <t>Construction</t>
        </is>
      </c>
      <c r="C36" s="135">
        <f>COUNTIF('Workplace Inspections'!F$6:F$506,B36)</f>
        <v/>
      </c>
      <c r="D36" s="135">
        <f>COUNTIFS('Workplace Inspections'!F$6:F$506,B36,'Workplace Inspections'!M$6:M$506,"Completed")</f>
        <v/>
      </c>
      <c r="E36" s="136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Unsatisfactory</t>
        </is>
      </c>
      <c r="P36" s="59">
        <f>COUNTIF('Workplace Inspections'!L$6:L$506,O36)</f>
        <v/>
      </c>
      <c r="Q36" s="93" t="n"/>
    </row>
    <row r="37">
      <c r="A37" s="93" t="n"/>
      <c r="B37" s="97" t="inlineStr">
        <is>
          <t>Safety</t>
        </is>
      </c>
      <c r="C37" s="63">
        <f>COUNTIF('Workplace Inspections'!F$6:F$506,B37)</f>
        <v/>
      </c>
      <c r="D37" s="63">
        <f>COUNTIFS('Workplace Inspections'!F$6:F$506,B37,'Workplace Inspections'!M$6:M$506,"Completed")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34" t="inlineStr">
        <is>
          <t>Logistics</t>
        </is>
      </c>
      <c r="C38" s="135">
        <f>COUNTIF('Workplace Inspections'!F$6:F$506,B38)</f>
        <v/>
      </c>
      <c r="D38" s="135">
        <f>COUNTIFS('Workplace Inspections'!F$6:F$506,B38,'Workplace Inspections'!M$6:M$506,"Completed")</f>
        <v/>
      </c>
      <c r="E38" s="136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COUNTIF('Workplace Inspections'!F$6:F$506,B39)</f>
        <v/>
      </c>
      <c r="D39" s="63">
        <f>COUNTIFS('Workplace Inspections'!F$6:F$506,B39,'Workplace Inspections'!M$6:M$506,"Completed")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34" t="inlineStr">
        <is>
          <t>Admin</t>
        </is>
      </c>
      <c r="C40" s="135">
        <f>COUNTIF('Workplace Inspections'!F$6:F$506,B40)</f>
        <v/>
      </c>
      <c r="D40" s="135">
        <f>COUNTIFS('Workplace Inspections'!F$6:F$506,B40,'Workplace Inspections'!M$6:M$506,"Completed")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COUNTIF('Workplace Inspections'!F$6:F$506,B41)</f>
        <v/>
      </c>
      <c r="D41" s="63">
        <f>COUNTIFS('Workplace Inspections'!F$6:F$506,B41,'Workplace Inspections'!M$6:M$506,"Completed")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COUNTIF('Workplace Inspections'!F$6:F$506,B42)</f>
        <v/>
      </c>
      <c r="D42" s="135">
        <f>COUNTIFS('Workplace Inspections'!F$6:F$506,B42,'Workplace Inspections'!M$6:M$506,"Completed")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33" t="inlineStr">
        <is>
          <t>Metric</t>
        </is>
      </c>
      <c r="C46" s="133" t="inlineStr">
        <is>
          <t>Jan</t>
        </is>
      </c>
      <c r="D46" s="133" t="inlineStr">
        <is>
          <t>Feb</t>
        </is>
      </c>
      <c r="E46" s="133" t="inlineStr">
        <is>
          <t>Mar</t>
        </is>
      </c>
      <c r="F46" s="133" t="inlineStr">
        <is>
          <t>Apr</t>
        </is>
      </c>
      <c r="G46" s="133" t="inlineStr">
        <is>
          <t>May</t>
        </is>
      </c>
      <c r="H46" s="133" t="inlineStr">
        <is>
          <t>Jun</t>
        </is>
      </c>
      <c r="I46" s="133" t="inlineStr">
        <is>
          <t>Jul</t>
        </is>
      </c>
      <c r="J46" s="133" t="inlineStr">
        <is>
          <t>Aug</t>
        </is>
      </c>
      <c r="K46" s="133" t="inlineStr">
        <is>
          <t>Sep</t>
        </is>
      </c>
      <c r="L46" s="133" t="inlineStr">
        <is>
          <t>Oct</t>
        </is>
      </c>
      <c r="M46" s="133" t="inlineStr">
        <is>
          <t>Nov</t>
        </is>
      </c>
      <c r="N46" s="133" t="inlineStr">
        <is>
          <t>Dec</t>
        </is>
      </c>
      <c r="O46" s="133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COUNTIF('Workplace Inspections'!D$6:D$506,"Jan")</f>
        <v/>
      </c>
      <c r="D47" s="63">
        <f>COUNTIF('Workplace Inspections'!D$6:D$506,"Feb")</f>
        <v/>
      </c>
      <c r="E47" s="63">
        <f>COUNTIF('Workplace Inspections'!D$6:D$506,"Mar")</f>
        <v/>
      </c>
      <c r="F47" s="63">
        <f>COUNTIF('Workplace Inspections'!D$6:D$506,"Apr")</f>
        <v/>
      </c>
      <c r="G47" s="63">
        <f>COUNTIF('Workplace Inspections'!D$6:D$506,"May")</f>
        <v/>
      </c>
      <c r="H47" s="63">
        <f>COUNTIF('Workplace Inspections'!D$6:D$506,"Jun")</f>
        <v/>
      </c>
      <c r="I47" s="63">
        <f>COUNTIF('Workplace Inspections'!D$6:D$506,"Jul")</f>
        <v/>
      </c>
      <c r="J47" s="63">
        <f>COUNTIF('Workplace Inspections'!D$6:D$506,"Aug")</f>
        <v/>
      </c>
      <c r="K47" s="63">
        <f>COUNTIF('Workplace Inspections'!D$6:D$506,"Sep")</f>
        <v/>
      </c>
      <c r="L47" s="63">
        <f>COUNTIF('Workplace Inspections'!D$6:D$506,"Oct")</f>
        <v/>
      </c>
      <c r="M47" s="63">
        <f>COUNTIF('Workplace Inspections'!D$6:D$506,"Nov")</f>
        <v/>
      </c>
      <c r="N47" s="63">
        <f>COUNTIF('Workplace Inspections'!D$6:D$506,"Dec")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COUNTIFS('Workplace Inspections'!D$6:D$506,"Jan",'Workplace Inspections'!M$6:M$506,"Completed")</f>
        <v/>
      </c>
      <c r="D48" s="76">
        <f>COUNTIFS('Workplace Inspections'!D$6:D$506,"Feb",'Workplace Inspections'!M$6:M$506,"Completed")</f>
        <v/>
      </c>
      <c r="E48" s="76">
        <f>COUNTIFS('Workplace Inspections'!D$6:D$506,"Mar",'Workplace Inspections'!M$6:M$506,"Completed")</f>
        <v/>
      </c>
      <c r="F48" s="76">
        <f>COUNTIFS('Workplace Inspections'!D$6:D$506,"Apr",'Workplace Inspections'!M$6:M$506,"Completed")</f>
        <v/>
      </c>
      <c r="G48" s="76">
        <f>COUNTIFS('Workplace Inspections'!D$6:D$506,"May",'Workplace Inspections'!M$6:M$506,"Completed")</f>
        <v/>
      </c>
      <c r="H48" s="76">
        <f>COUNTIFS('Workplace Inspections'!D$6:D$506,"Jun",'Workplace Inspections'!M$6:M$506,"Completed")</f>
        <v/>
      </c>
      <c r="I48" s="76">
        <f>COUNTIFS('Workplace Inspections'!D$6:D$506,"Jul",'Workplace Inspections'!M$6:M$506,"Completed")</f>
        <v/>
      </c>
      <c r="J48" s="76">
        <f>COUNTIFS('Workplace Inspections'!D$6:D$506,"Aug",'Workplace Inspections'!M$6:M$506,"Completed")</f>
        <v/>
      </c>
      <c r="K48" s="76">
        <f>COUNTIFS('Workplace Inspections'!D$6:D$506,"Sep",'Workplace Inspections'!M$6:M$506,"Completed")</f>
        <v/>
      </c>
      <c r="L48" s="76">
        <f>COUNTIFS('Workplace Inspections'!D$6:D$506,"Oct",'Workplace Inspections'!M$6:M$506,"Completed")</f>
        <v/>
      </c>
      <c r="M48" s="76">
        <f>COUNTIFS('Workplace Inspections'!D$6:D$506,"Nov",'Workplace Inspections'!M$6:M$506,"Completed")</f>
        <v/>
      </c>
      <c r="N48" s="76">
        <f>COUNTIFS('Workplace Inspections'!D$6:D$506,"Dec",'Workplace Inspections'!M$6:M$506,"Completed")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COUNTIFS('Workplace Inspections'!D$6:D$506,"Jan",'Workplace Inspections'!M$6:M$506,"In Progress")</f>
        <v/>
      </c>
      <c r="D49" s="114">
        <f>COUNTIFS('Workplace Inspections'!D$6:D$506,"Feb",'Workplace Inspections'!M$6:M$506,"In Progress")</f>
        <v/>
      </c>
      <c r="E49" s="114">
        <f>COUNTIFS('Workplace Inspections'!D$6:D$506,"Mar",'Workplace Inspections'!M$6:M$506,"In Progress")</f>
        <v/>
      </c>
      <c r="F49" s="114">
        <f>COUNTIFS('Workplace Inspections'!D$6:D$506,"Apr",'Workplace Inspections'!M$6:M$506,"In Progress")</f>
        <v/>
      </c>
      <c r="G49" s="114">
        <f>COUNTIFS('Workplace Inspections'!D$6:D$506,"May",'Workplace Inspections'!M$6:M$506,"In Progress")</f>
        <v/>
      </c>
      <c r="H49" s="114">
        <f>COUNTIFS('Workplace Inspections'!D$6:D$506,"Jun",'Workplace Inspections'!M$6:M$506,"In Progress")</f>
        <v/>
      </c>
      <c r="I49" s="114">
        <f>COUNTIFS('Workplace Inspections'!D$6:D$506,"Jul",'Workplace Inspections'!M$6:M$506,"In Progress")</f>
        <v/>
      </c>
      <c r="J49" s="114">
        <f>COUNTIFS('Workplace Inspections'!D$6:D$506,"Aug",'Workplace Inspections'!M$6:M$506,"In Progress")</f>
        <v/>
      </c>
      <c r="K49" s="114">
        <f>COUNTIFS('Workplace Inspections'!D$6:D$506,"Sep",'Workplace Inspections'!M$6:M$506,"In Progress")</f>
        <v/>
      </c>
      <c r="L49" s="114">
        <f>COUNTIFS('Workplace Inspections'!D$6:D$506,"Oct",'Workplace Inspections'!M$6:M$506,"In Progress")</f>
        <v/>
      </c>
      <c r="M49" s="114">
        <f>COUNTIFS('Workplace Inspections'!D$6:D$506,"Nov",'Workplace Inspections'!M$6:M$506,"In Progress")</f>
        <v/>
      </c>
      <c r="N49" s="114">
        <f>COUNTIFS('Workplace Inspections'!D$6:D$506,"Dec",'Workplace Inspections'!M$6:M$506,"In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COUNTIFS('Workplace Inspections'!D$6:D$506,"Jan",'Workplace Inspections'!M$6:M$506,"Overdue")</f>
        <v/>
      </c>
      <c r="D50" s="126">
        <f>COUNTIFS('Workplace Inspections'!D$6:D$506,"Feb",'Workplace Inspections'!M$6:M$506,"Overdue")</f>
        <v/>
      </c>
      <c r="E50" s="126">
        <f>COUNTIFS('Workplace Inspections'!D$6:D$506,"Mar",'Workplace Inspections'!M$6:M$506,"Overdue")</f>
        <v/>
      </c>
      <c r="F50" s="126">
        <f>COUNTIFS('Workplace Inspections'!D$6:D$506,"Apr",'Workplace Inspections'!M$6:M$506,"Overdue")</f>
        <v/>
      </c>
      <c r="G50" s="126">
        <f>COUNTIFS('Workplace Inspections'!D$6:D$506,"May",'Workplace Inspections'!M$6:M$506,"Overdue")</f>
        <v/>
      </c>
      <c r="H50" s="126">
        <f>COUNTIFS('Workplace Inspections'!D$6:D$506,"Jun",'Workplace Inspections'!M$6:M$506,"Overdue")</f>
        <v/>
      </c>
      <c r="I50" s="126">
        <f>COUNTIFS('Workplace Inspections'!D$6:D$506,"Jul",'Workplace Inspections'!M$6:M$506,"Overdue")</f>
        <v/>
      </c>
      <c r="J50" s="126">
        <f>COUNTIFS('Workplace Inspections'!D$6:D$506,"Aug",'Workplace Inspections'!M$6:M$506,"Overdue")</f>
        <v/>
      </c>
      <c r="K50" s="126">
        <f>COUNTIFS('Workplace Inspections'!D$6:D$506,"Sep",'Workplace Inspections'!M$6:M$506,"Overdue")</f>
        <v/>
      </c>
      <c r="L50" s="126">
        <f>COUNTIFS('Workplace Inspections'!D$6:D$506,"Oct",'Workplace Inspections'!M$6:M$506,"Overdue")</f>
        <v/>
      </c>
      <c r="M50" s="126">
        <f>COUNTIFS('Workplace Inspections'!D$6:D$506,"Nov",'Workplace Inspections'!M$6:M$506,"Overdue")</f>
        <v/>
      </c>
      <c r="N50" s="126">
        <f>COUNTIFS('Workplace Inspections'!D$6:D$506,"Dec",'Workplace Inspections'!M$6:M$506,"Overdue")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COUNTIFS('Workplace Inspections'!D$6:D$506,"Jan",'Workplace Inspections'!M$6:M$506,"Pending")</f>
        <v/>
      </c>
      <c r="D51" s="129">
        <f>COUNTIFS('Workplace Inspections'!D$6:D$506,"Feb",'Workplace Inspections'!M$6:M$506,"Pending")</f>
        <v/>
      </c>
      <c r="E51" s="129">
        <f>COUNTIFS('Workplace Inspections'!D$6:D$506,"Mar",'Workplace Inspections'!M$6:M$506,"Pending")</f>
        <v/>
      </c>
      <c r="F51" s="129">
        <f>COUNTIFS('Workplace Inspections'!D$6:D$506,"Apr",'Workplace Inspections'!M$6:M$506,"Pending")</f>
        <v/>
      </c>
      <c r="G51" s="129">
        <f>COUNTIFS('Workplace Inspections'!D$6:D$506,"May",'Workplace Inspections'!M$6:M$506,"Pending")</f>
        <v/>
      </c>
      <c r="H51" s="129">
        <f>COUNTIFS('Workplace Inspections'!D$6:D$506,"Jun",'Workplace Inspections'!M$6:M$506,"Pending")</f>
        <v/>
      </c>
      <c r="I51" s="129">
        <f>COUNTIFS('Workplace Inspections'!D$6:D$506,"Jul",'Workplace Inspections'!M$6:M$506,"Pending")</f>
        <v/>
      </c>
      <c r="J51" s="129">
        <f>COUNTIFS('Workplace Inspections'!D$6:D$506,"Aug",'Workplace Inspections'!M$6:M$506,"Pending")</f>
        <v/>
      </c>
      <c r="K51" s="129">
        <f>COUNTIFS('Workplace Inspections'!D$6:D$506,"Sep",'Workplace Inspections'!M$6:M$506,"Pending")</f>
        <v/>
      </c>
      <c r="L51" s="129">
        <f>COUNTIFS('Workplace Inspections'!D$6:D$506,"Oct",'Workplace Inspections'!M$6:M$506,"Pending")</f>
        <v/>
      </c>
      <c r="M51" s="129">
        <f>COUNTIFS('Workplace Inspections'!D$6:D$506,"Nov",'Workplace Inspections'!M$6:M$506,"Pending")</f>
        <v/>
      </c>
      <c r="N51" s="129">
        <f>COUNTIFS('Workplace Inspections'!D$6:D$506,"Dec",'Workplace Inspections'!M$6:M$506,"Pending")</f>
        <v/>
      </c>
      <c r="O51" s="130">
        <f>SUM(C51:N51)</f>
        <v/>
      </c>
      <c r="P51" s="93" t="n"/>
      <c r="Q51" s="93" t="n"/>
    </row>
    <row r="52">
      <c r="A52" s="93" t="n"/>
      <c r="B52" s="116" t="inlineStr">
        <is>
          <t>Rate %</t>
        </is>
      </c>
      <c r="C52" s="138">
        <f>IF(C47=0,0,C48/C47)</f>
        <v/>
      </c>
      <c r="D52" s="138">
        <f>IF(D47=0,0,D48/D47)</f>
        <v/>
      </c>
      <c r="E52" s="138">
        <f>IF(E47=0,0,E48/E47)</f>
        <v/>
      </c>
      <c r="F52" s="138">
        <f>IF(F47=0,0,F48/F47)</f>
        <v/>
      </c>
      <c r="G52" s="138">
        <f>IF(G47=0,0,G48/G47)</f>
        <v/>
      </c>
      <c r="H52" s="138">
        <f>IF(H47=0,0,H48/H47)</f>
        <v/>
      </c>
      <c r="I52" s="138">
        <f>IF(I47=0,0,I48/I47)</f>
        <v/>
      </c>
      <c r="J52" s="138">
        <f>IF(J47=0,0,J48/J47)</f>
        <v/>
      </c>
      <c r="K52" s="138">
        <f>IF(K47=0,0,K48/K47)</f>
        <v/>
      </c>
      <c r="L52" s="138">
        <f>IF(L47=0,0,L48/L47)</f>
        <v/>
      </c>
      <c r="M52" s="138">
        <f>IF(M47=0,0,M48/M47)</f>
        <v/>
      </c>
      <c r="N52" s="138">
        <f>IF(N47=0,0,N48/N47)</f>
        <v/>
      </c>
      <c r="O52" s="138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tabColor rgb="FF263238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93" t="inlineStr">
        <is>
          <t>🔧  DASHBOARD – EQUIPMENT INSP</t>
        </is>
      </c>
    </row>
    <row r="2" ht="24" customHeight="1" s="15">
      <c r="A2" s="294" t="inlineStr">
        <is>
          <t>Live data from 'Equipment Inspections'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95" t="inlineStr">
        <is>
          <t>📋 TOTAL INSP</t>
        </is>
      </c>
      <c r="E4" s="93" t="n"/>
      <c r="F4" s="230" t="inlineStr">
        <is>
          <t>✅ COMPLETED</t>
        </is>
      </c>
      <c r="I4" s="93" t="n"/>
      <c r="J4" s="243" t="inlineStr">
        <is>
          <t>❌ OVERDUE</t>
        </is>
      </c>
      <c r="M4" s="93" t="n"/>
      <c r="N4" s="243" t="inlineStr">
        <is>
          <t>🔴 CRITICAL</t>
        </is>
      </c>
      <c r="Q4" s="93" t="n"/>
    </row>
    <row r="5" ht="43.5" customHeight="1" s="15">
      <c r="A5" s="93" t="n"/>
      <c r="B5" s="296">
        <f>COUNTA('Equipment Inspections'!B$6:B$506)</f>
        <v/>
      </c>
      <c r="E5" s="93" t="n"/>
      <c r="F5" s="234">
        <f>COUNTIF('Equipment Inspections'!M$6:M$506,"Completed")</f>
        <v/>
      </c>
      <c r="I5" s="93" t="n"/>
      <c r="J5" s="277">
        <f>COUNTIF('Equipment Inspections'!M$6:M$506,"Overdue")</f>
        <v/>
      </c>
      <c r="M5" s="93" t="n"/>
      <c r="N5" s="277">
        <f>SUM('Equipment Inspections'!K$6:K$506)</f>
        <v/>
      </c>
      <c r="Q5" s="93" t="n"/>
    </row>
    <row r="6" ht="13.5" customHeight="1" s="15">
      <c r="A6" s="93" t="n"/>
      <c r="B6" s="297" t="n"/>
      <c r="E6" s="93" t="n"/>
      <c r="F6" s="262" t="n"/>
      <c r="I6" s="93" t="n"/>
      <c r="J6" s="270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CHECKPOINTS</t>
        </is>
      </c>
      <c r="E8" s="93" t="n"/>
      <c r="F8" s="231" t="inlineStr">
        <is>
          <t>⚠️ NON-CONF</t>
        </is>
      </c>
      <c r="I8" s="93" t="n"/>
      <c r="J8" s="243" t="inlineStr">
        <is>
          <t>📊 NC RATE</t>
        </is>
      </c>
      <c r="M8" s="93" t="n"/>
      <c r="N8" s="242" t="inlineStr">
        <is>
          <t>📊 COMP %</t>
        </is>
      </c>
      <c r="Q8" s="93" t="n"/>
    </row>
    <row r="9" ht="43.5" customHeight="1" s="15">
      <c r="A9" s="93" t="n"/>
      <c r="B9" s="265">
        <f>SUM('Equipment Inspections'!I$6:I$506)</f>
        <v/>
      </c>
      <c r="E9" s="93" t="n"/>
      <c r="F9" s="235">
        <f>SUM('Equipment Inspections'!J$6:J$506)</f>
        <v/>
      </c>
      <c r="I9" s="93" t="n"/>
      <c r="J9" s="247">
        <f>IF(SUM('Equipment Inspections'!I$6:I$506)=0,0,SUM('Equipment Inspections'!J$6:J$506)/SUM('Equipment Inspections'!I$6:I$506))</f>
        <v/>
      </c>
      <c r="M9" s="93" t="n"/>
      <c r="N9" s="285">
        <f>IF(COUNTA('Equipment Inspections'!B$6:B$506)=0,0,COUNTIF('Equipment Inspections'!M$6:M$506,"Completed")/COUNTA('Equipment Inspections'!B$6:B$506))</f>
        <v/>
      </c>
      <c r="Q9" s="93" t="n"/>
    </row>
    <row r="10" ht="13.5" customHeight="1" s="15">
      <c r="A10" s="93" t="n"/>
      <c r="B10" s="268" t="n"/>
      <c r="E10" s="93" t="n"/>
      <c r="F10" s="263" t="n"/>
      <c r="I10" s="93" t="n"/>
      <c r="J10" s="270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8" t="inlineStr">
        <is>
          <t>📅  Monthly Trend</t>
        </is>
      </c>
      <c r="I12" s="93" t="n"/>
      <c r="J12" s="298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COUNTIF('Equipment Inspections'!M$6:M$506,"Completed")</f>
        <v/>
      </c>
      <c r="Q13" s="93" t="n"/>
    </row>
    <row r="14">
      <c r="A14" s="93" t="n"/>
      <c r="B14" s="59">
        <f>COUNTIF('Equipment Inspections'!D$6:D$506,"Jan")</f>
        <v/>
      </c>
      <c r="C14" s="59">
        <f>COUNTIF('Equipment Inspections'!D$6:D$506,"Feb")</f>
        <v/>
      </c>
      <c r="D14" s="59">
        <f>COUNTIF('Equipment Inspections'!D$6:D$506,"Mar")</f>
        <v/>
      </c>
      <c r="E14" s="59">
        <f>COUNTIF('Equipment Inspections'!D$6:D$506,"Apr")</f>
        <v/>
      </c>
      <c r="F14" s="59">
        <f>COUNTIF('Equipment Inspections'!D$6:D$506,"May")</f>
        <v/>
      </c>
      <c r="G14" s="59">
        <f>COUNTIF('Equipment Inspections'!D$6:D$506,"Jun")</f>
        <v/>
      </c>
      <c r="H14" s="59">
        <f>COUNTIF('Equipment Inspections'!D$6:D$506,"Jul")</f>
        <v/>
      </c>
      <c r="I14" s="59">
        <f>COUNTIF('Equipment Inspections'!D$6:D$506,"Aug")</f>
        <v/>
      </c>
      <c r="J14" s="59">
        <f>COUNTIF('Equipment Inspections'!D$6:D$506,"Sep")</f>
        <v/>
      </c>
      <c r="K14" s="59">
        <f>COUNTIF('Equipment Inspections'!D$6:D$506,"Oct")</f>
        <v/>
      </c>
      <c r="L14" s="59">
        <f>COUNTIF('Equipment Inspections'!D$6:D$506,"Nov")</f>
        <v/>
      </c>
      <c r="M14" s="59">
        <f>COUNTIF('Equipment Inspections'!D$6:D$506,"Dec")</f>
        <v/>
      </c>
      <c r="N14" s="94" t="n"/>
      <c r="O14" s="95" t="inlineStr">
        <is>
          <t>In Progress</t>
        </is>
      </c>
      <c r="P14" s="59">
        <f>COUNTIF('Equipment Inspections'!M$6:M$506,"In Progress")</f>
        <v/>
      </c>
      <c r="Q14" s="93" t="n"/>
    </row>
    <row r="15">
      <c r="A15" s="93" t="n"/>
      <c r="B15" s="60">
        <f>COUNTIFS('Equipment Inspections'!D$6:D$506,"Jan",'Equipment Inspections'!M$6:M$506,"Completed")</f>
        <v/>
      </c>
      <c r="C15" s="60">
        <f>COUNTIFS('Equipment Inspections'!D$6:D$506,"Feb",'Equipment Inspections'!M$6:M$506,"Completed")</f>
        <v/>
      </c>
      <c r="D15" s="60">
        <f>COUNTIFS('Equipment Inspections'!D$6:D$506,"Mar",'Equipment Inspections'!M$6:M$506,"Completed")</f>
        <v/>
      </c>
      <c r="E15" s="60">
        <f>COUNTIFS('Equipment Inspections'!D$6:D$506,"Apr",'Equipment Inspections'!M$6:M$506,"Completed")</f>
        <v/>
      </c>
      <c r="F15" s="60">
        <f>COUNTIFS('Equipment Inspections'!D$6:D$506,"May",'Equipment Inspections'!M$6:M$506,"Completed")</f>
        <v/>
      </c>
      <c r="G15" s="60">
        <f>COUNTIFS('Equipment Inspections'!D$6:D$506,"Jun",'Equipment Inspections'!M$6:M$506,"Completed")</f>
        <v/>
      </c>
      <c r="H15" s="60">
        <f>COUNTIFS('Equipment Inspections'!D$6:D$506,"Jul",'Equipment Inspections'!M$6:M$506,"Completed")</f>
        <v/>
      </c>
      <c r="I15" s="60">
        <f>COUNTIFS('Equipment Inspections'!D$6:D$506,"Aug",'Equipment Inspections'!M$6:M$506,"Completed")</f>
        <v/>
      </c>
      <c r="J15" s="60">
        <f>COUNTIFS('Equipment Inspections'!D$6:D$506,"Sep",'Equipment Inspections'!M$6:M$506,"Completed")</f>
        <v/>
      </c>
      <c r="K15" s="60">
        <f>COUNTIFS('Equipment Inspections'!D$6:D$506,"Oct",'Equipment Inspections'!M$6:M$506,"Completed")</f>
        <v/>
      </c>
      <c r="L15" s="60">
        <f>COUNTIFS('Equipment Inspections'!D$6:D$506,"Nov",'Equipment Inspections'!M$6:M$506,"Completed")</f>
        <v/>
      </c>
      <c r="M15" s="60">
        <f>COUNTIFS('Equipment Inspections'!D$6:D$506,"Dec",'Equipment Inspections'!M$6:M$506,"Completed")</f>
        <v/>
      </c>
      <c r="N15" s="94" t="n"/>
      <c r="O15" s="95" t="inlineStr">
        <is>
          <t>Overdue</t>
        </is>
      </c>
      <c r="P15" s="59">
        <f>COUNTIF('Equipment Inspections'!M$6:M$506,"Overdue")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COUNTIF('Equipment Inspections'!M$6:M$506,"Pending")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8" t="inlineStr">
        <is>
          <t>🏢  Department Breakdown</t>
        </is>
      </c>
      <c r="I31" s="93" t="n"/>
      <c r="J31" s="298" t="inlineStr">
        <is>
          <t>🏷️  Rating Breakdown</t>
        </is>
      </c>
      <c r="Q31" s="93" t="n"/>
    </row>
    <row r="32" ht="56.25" customHeight="1" s="15">
      <c r="A32" s="93" t="n"/>
      <c r="B32" s="139" t="inlineStr">
        <is>
          <t>Department</t>
        </is>
      </c>
      <c r="C32" s="139" t="inlineStr">
        <is>
          <t>Count</t>
        </is>
      </c>
      <c r="D32" s="139" t="inlineStr">
        <is>
          <t>Completed</t>
        </is>
      </c>
      <c r="E32" s="139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Satisfactory</t>
        </is>
      </c>
      <c r="P32" s="59">
        <f>COUNTIF('Equipment Inspections'!L$6:L$506,O32)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COUNTIF('Equipment Inspections'!F$6:F$506,B33)</f>
        <v/>
      </c>
      <c r="D33" s="63">
        <f>COUNTIFS('Equipment Inspections'!F$6:F$506,B33,'Equipment Inspections'!M$6:M$506,"Completed")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Good</t>
        </is>
      </c>
      <c r="P33" s="59">
        <f>COUNTIF('Equipment Inspections'!L$6:L$506,O33)</f>
        <v/>
      </c>
      <c r="Q33" s="93" t="n"/>
    </row>
    <row r="34">
      <c r="A34" s="93" t="n"/>
      <c r="B34" s="140" t="inlineStr">
        <is>
          <t>Maintenance</t>
        </is>
      </c>
      <c r="C34" s="141">
        <f>COUNTIF('Equipment Inspections'!F$6:F$506,B34)</f>
        <v/>
      </c>
      <c r="D34" s="141">
        <f>COUNTIFS('Equipment Inspections'!F$6:F$506,B34,'Equipment Inspections'!M$6:M$506,"Completed")</f>
        <v/>
      </c>
      <c r="E34" s="142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Excellent</t>
        </is>
      </c>
      <c r="P34" s="59">
        <f>COUNTIF('Equipment Inspections'!L$6:L$506,O34)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COUNTIF('Equipment Inspections'!F$6:F$506,B35)</f>
        <v/>
      </c>
      <c r="D35" s="63">
        <f>COUNTIFS('Equipment Inspections'!F$6:F$506,B35,'Equipment Inspections'!M$6:M$506,"Completed")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Needs Improvement</t>
        </is>
      </c>
      <c r="P35" s="59">
        <f>COUNTIF('Equipment Inspections'!L$6:L$506,O35)</f>
        <v/>
      </c>
      <c r="Q35" s="93" t="n"/>
    </row>
    <row r="36">
      <c r="A36" s="93" t="n"/>
      <c r="B36" s="140" t="inlineStr">
        <is>
          <t>Construction</t>
        </is>
      </c>
      <c r="C36" s="141">
        <f>COUNTIF('Equipment Inspections'!F$6:F$506,B36)</f>
        <v/>
      </c>
      <c r="D36" s="141">
        <f>COUNTIFS('Equipment Inspections'!F$6:F$506,B36,'Equipment Inspections'!M$6:M$506,"Completed")</f>
        <v/>
      </c>
      <c r="E36" s="142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Unsatisfactory</t>
        </is>
      </c>
      <c r="P36" s="59">
        <f>COUNTIF('Equipment Inspections'!L$6:L$506,O36)</f>
        <v/>
      </c>
      <c r="Q36" s="93" t="n"/>
    </row>
    <row r="37">
      <c r="A37" s="93" t="n"/>
      <c r="B37" s="97" t="inlineStr">
        <is>
          <t>Safety</t>
        </is>
      </c>
      <c r="C37" s="63">
        <f>COUNTIF('Equipment Inspections'!F$6:F$506,B37)</f>
        <v/>
      </c>
      <c r="D37" s="63">
        <f>COUNTIFS('Equipment Inspections'!F$6:F$506,B37,'Equipment Inspections'!M$6:M$506,"Completed")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40" t="inlineStr">
        <is>
          <t>Logistics</t>
        </is>
      </c>
      <c r="C38" s="141">
        <f>COUNTIF('Equipment Inspections'!F$6:F$506,B38)</f>
        <v/>
      </c>
      <c r="D38" s="141">
        <f>COUNTIFS('Equipment Inspections'!F$6:F$506,B38,'Equipment Inspections'!M$6:M$506,"Completed")</f>
        <v/>
      </c>
      <c r="E38" s="142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COUNTIF('Equipment Inspections'!F$6:F$506,B39)</f>
        <v/>
      </c>
      <c r="D39" s="63">
        <f>COUNTIFS('Equipment Inspections'!F$6:F$506,B39,'Equipment Inspections'!M$6:M$506,"Completed")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40" t="inlineStr">
        <is>
          <t>Admin</t>
        </is>
      </c>
      <c r="C40" s="141">
        <f>COUNTIF('Equipment Inspections'!F$6:F$506,B40)</f>
        <v/>
      </c>
      <c r="D40" s="141">
        <f>COUNTIFS('Equipment Inspections'!F$6:F$506,B40,'Equipment Inspections'!M$6:M$506,"Completed")</f>
        <v/>
      </c>
      <c r="E40" s="142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COUNTIF('Equipment Inspections'!F$6:F$506,B41)</f>
        <v/>
      </c>
      <c r="D41" s="63">
        <f>COUNTIFS('Equipment Inspections'!F$6:F$506,B41,'Equipment Inspections'!M$6:M$506,"Completed")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40" t="inlineStr">
        <is>
          <t>Contractor</t>
        </is>
      </c>
      <c r="C42" s="141">
        <f>COUNTIF('Equipment Inspections'!F$6:F$506,B42)</f>
        <v/>
      </c>
      <c r="D42" s="141">
        <f>COUNTIFS('Equipment Inspections'!F$6:F$506,B42,'Equipment Inspections'!M$6:M$506,"Completed")</f>
        <v/>
      </c>
      <c r="E42" s="142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8" t="inlineStr">
        <is>
          <t>📈  Monthly Performance Matrix</t>
        </is>
      </c>
      <c r="Q45" s="93" t="n"/>
    </row>
    <row r="46" ht="33.75" customHeight="1" s="15">
      <c r="A46" s="93" t="n"/>
      <c r="B46" s="139" t="inlineStr">
        <is>
          <t>Metric</t>
        </is>
      </c>
      <c r="C46" s="139" t="inlineStr">
        <is>
          <t>Jan</t>
        </is>
      </c>
      <c r="D46" s="139" t="inlineStr">
        <is>
          <t>Feb</t>
        </is>
      </c>
      <c r="E46" s="139" t="inlineStr">
        <is>
          <t>Mar</t>
        </is>
      </c>
      <c r="F46" s="139" t="inlineStr">
        <is>
          <t>Apr</t>
        </is>
      </c>
      <c r="G46" s="139" t="inlineStr">
        <is>
          <t>May</t>
        </is>
      </c>
      <c r="H46" s="139" t="inlineStr">
        <is>
          <t>Jun</t>
        </is>
      </c>
      <c r="I46" s="139" t="inlineStr">
        <is>
          <t>Jul</t>
        </is>
      </c>
      <c r="J46" s="139" t="inlineStr">
        <is>
          <t>Aug</t>
        </is>
      </c>
      <c r="K46" s="139" t="inlineStr">
        <is>
          <t>Sep</t>
        </is>
      </c>
      <c r="L46" s="139" t="inlineStr">
        <is>
          <t>Oct</t>
        </is>
      </c>
      <c r="M46" s="139" t="inlineStr">
        <is>
          <t>Nov</t>
        </is>
      </c>
      <c r="N46" s="139" t="inlineStr">
        <is>
          <t>Dec</t>
        </is>
      </c>
      <c r="O46" s="139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COUNTIF('Equipment Inspections'!D$6:D$506,"Jan")</f>
        <v/>
      </c>
      <c r="D47" s="63">
        <f>COUNTIF('Equipment Inspections'!D$6:D$506,"Feb")</f>
        <v/>
      </c>
      <c r="E47" s="63">
        <f>COUNTIF('Equipment Inspections'!D$6:D$506,"Mar")</f>
        <v/>
      </c>
      <c r="F47" s="63">
        <f>COUNTIF('Equipment Inspections'!D$6:D$506,"Apr")</f>
        <v/>
      </c>
      <c r="G47" s="63">
        <f>COUNTIF('Equipment Inspections'!D$6:D$506,"May")</f>
        <v/>
      </c>
      <c r="H47" s="63">
        <f>COUNTIF('Equipment Inspections'!D$6:D$506,"Jun")</f>
        <v/>
      </c>
      <c r="I47" s="63">
        <f>COUNTIF('Equipment Inspections'!D$6:D$506,"Jul")</f>
        <v/>
      </c>
      <c r="J47" s="63">
        <f>COUNTIF('Equipment Inspections'!D$6:D$506,"Aug")</f>
        <v/>
      </c>
      <c r="K47" s="63">
        <f>COUNTIF('Equipment Inspections'!D$6:D$506,"Sep")</f>
        <v/>
      </c>
      <c r="L47" s="63">
        <f>COUNTIF('Equipment Inspections'!D$6:D$506,"Oct")</f>
        <v/>
      </c>
      <c r="M47" s="63">
        <f>COUNTIF('Equipment Inspections'!D$6:D$506,"Nov")</f>
        <v/>
      </c>
      <c r="N47" s="63">
        <f>COUNTIF('Equipment Inspections'!D$6:D$506,"Dec")</f>
        <v/>
      </c>
      <c r="O47" s="143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COUNTIFS('Equipment Inspections'!D$6:D$506,"Jan",'Equipment Inspections'!M$6:M$506,"Completed")</f>
        <v/>
      </c>
      <c r="D48" s="76">
        <f>COUNTIFS('Equipment Inspections'!D$6:D$506,"Feb",'Equipment Inspections'!M$6:M$506,"Completed")</f>
        <v/>
      </c>
      <c r="E48" s="76">
        <f>COUNTIFS('Equipment Inspections'!D$6:D$506,"Mar",'Equipment Inspections'!M$6:M$506,"Completed")</f>
        <v/>
      </c>
      <c r="F48" s="76">
        <f>COUNTIFS('Equipment Inspections'!D$6:D$506,"Apr",'Equipment Inspections'!M$6:M$506,"Completed")</f>
        <v/>
      </c>
      <c r="G48" s="76">
        <f>COUNTIFS('Equipment Inspections'!D$6:D$506,"May",'Equipment Inspections'!M$6:M$506,"Completed")</f>
        <v/>
      </c>
      <c r="H48" s="76">
        <f>COUNTIFS('Equipment Inspections'!D$6:D$506,"Jun",'Equipment Inspections'!M$6:M$506,"Completed")</f>
        <v/>
      </c>
      <c r="I48" s="76">
        <f>COUNTIFS('Equipment Inspections'!D$6:D$506,"Jul",'Equipment Inspections'!M$6:M$506,"Completed")</f>
        <v/>
      </c>
      <c r="J48" s="76">
        <f>COUNTIFS('Equipment Inspections'!D$6:D$506,"Aug",'Equipment Inspections'!M$6:M$506,"Completed")</f>
        <v/>
      </c>
      <c r="K48" s="76">
        <f>COUNTIFS('Equipment Inspections'!D$6:D$506,"Sep",'Equipment Inspections'!M$6:M$506,"Completed")</f>
        <v/>
      </c>
      <c r="L48" s="76">
        <f>COUNTIFS('Equipment Inspections'!D$6:D$506,"Oct",'Equipment Inspections'!M$6:M$506,"Completed")</f>
        <v/>
      </c>
      <c r="M48" s="76">
        <f>COUNTIFS('Equipment Inspections'!D$6:D$506,"Nov",'Equipment Inspections'!M$6:M$506,"Completed")</f>
        <v/>
      </c>
      <c r="N48" s="76">
        <f>COUNTIFS('Equipment Inspections'!D$6:D$506,"Dec",'Equipment Inspections'!M$6:M$506,"Completed")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COUNTIFS('Equipment Inspections'!D$6:D$506,"Jan",'Equipment Inspections'!M$6:M$506,"In Progress")</f>
        <v/>
      </c>
      <c r="D49" s="114">
        <f>COUNTIFS('Equipment Inspections'!D$6:D$506,"Feb",'Equipment Inspections'!M$6:M$506,"In Progress")</f>
        <v/>
      </c>
      <c r="E49" s="114">
        <f>COUNTIFS('Equipment Inspections'!D$6:D$506,"Mar",'Equipment Inspections'!M$6:M$506,"In Progress")</f>
        <v/>
      </c>
      <c r="F49" s="114">
        <f>COUNTIFS('Equipment Inspections'!D$6:D$506,"Apr",'Equipment Inspections'!M$6:M$506,"In Progress")</f>
        <v/>
      </c>
      <c r="G49" s="114">
        <f>COUNTIFS('Equipment Inspections'!D$6:D$506,"May",'Equipment Inspections'!M$6:M$506,"In Progress")</f>
        <v/>
      </c>
      <c r="H49" s="114">
        <f>COUNTIFS('Equipment Inspections'!D$6:D$506,"Jun",'Equipment Inspections'!M$6:M$506,"In Progress")</f>
        <v/>
      </c>
      <c r="I49" s="114">
        <f>COUNTIFS('Equipment Inspections'!D$6:D$506,"Jul",'Equipment Inspections'!M$6:M$506,"In Progress")</f>
        <v/>
      </c>
      <c r="J49" s="114">
        <f>COUNTIFS('Equipment Inspections'!D$6:D$506,"Aug",'Equipment Inspections'!M$6:M$506,"In Progress")</f>
        <v/>
      </c>
      <c r="K49" s="114">
        <f>COUNTIFS('Equipment Inspections'!D$6:D$506,"Sep",'Equipment Inspections'!M$6:M$506,"In Progress")</f>
        <v/>
      </c>
      <c r="L49" s="114">
        <f>COUNTIFS('Equipment Inspections'!D$6:D$506,"Oct",'Equipment Inspections'!M$6:M$506,"In Progress")</f>
        <v/>
      </c>
      <c r="M49" s="114">
        <f>COUNTIFS('Equipment Inspections'!D$6:D$506,"Nov",'Equipment Inspections'!M$6:M$506,"In Progress")</f>
        <v/>
      </c>
      <c r="N49" s="114">
        <f>COUNTIFS('Equipment Inspections'!D$6:D$506,"Dec",'Equipment Inspections'!M$6:M$506,"In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COUNTIFS('Equipment Inspections'!D$6:D$506,"Jan",'Equipment Inspections'!M$6:M$506,"Overdue")</f>
        <v/>
      </c>
      <c r="D50" s="126">
        <f>COUNTIFS('Equipment Inspections'!D$6:D$506,"Feb",'Equipment Inspections'!M$6:M$506,"Overdue")</f>
        <v/>
      </c>
      <c r="E50" s="126">
        <f>COUNTIFS('Equipment Inspections'!D$6:D$506,"Mar",'Equipment Inspections'!M$6:M$506,"Overdue")</f>
        <v/>
      </c>
      <c r="F50" s="126">
        <f>COUNTIFS('Equipment Inspections'!D$6:D$506,"Apr",'Equipment Inspections'!M$6:M$506,"Overdue")</f>
        <v/>
      </c>
      <c r="G50" s="126">
        <f>COUNTIFS('Equipment Inspections'!D$6:D$506,"May",'Equipment Inspections'!M$6:M$506,"Overdue")</f>
        <v/>
      </c>
      <c r="H50" s="126">
        <f>COUNTIFS('Equipment Inspections'!D$6:D$506,"Jun",'Equipment Inspections'!M$6:M$506,"Overdue")</f>
        <v/>
      </c>
      <c r="I50" s="126">
        <f>COUNTIFS('Equipment Inspections'!D$6:D$506,"Jul",'Equipment Inspections'!M$6:M$506,"Overdue")</f>
        <v/>
      </c>
      <c r="J50" s="126">
        <f>COUNTIFS('Equipment Inspections'!D$6:D$506,"Aug",'Equipment Inspections'!M$6:M$506,"Overdue")</f>
        <v/>
      </c>
      <c r="K50" s="126">
        <f>COUNTIFS('Equipment Inspections'!D$6:D$506,"Sep",'Equipment Inspections'!M$6:M$506,"Overdue")</f>
        <v/>
      </c>
      <c r="L50" s="126">
        <f>COUNTIFS('Equipment Inspections'!D$6:D$506,"Oct",'Equipment Inspections'!M$6:M$506,"Overdue")</f>
        <v/>
      </c>
      <c r="M50" s="126">
        <f>COUNTIFS('Equipment Inspections'!D$6:D$506,"Nov",'Equipment Inspections'!M$6:M$506,"Overdue")</f>
        <v/>
      </c>
      <c r="N50" s="126">
        <f>COUNTIFS('Equipment Inspections'!D$6:D$506,"Dec",'Equipment Inspections'!M$6:M$506,"Overdue")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COUNTIFS('Equipment Inspections'!D$6:D$506,"Jan",'Equipment Inspections'!M$6:M$506,"Pending")</f>
        <v/>
      </c>
      <c r="D51" s="129">
        <f>COUNTIFS('Equipment Inspections'!D$6:D$506,"Feb",'Equipment Inspections'!M$6:M$506,"Pending")</f>
        <v/>
      </c>
      <c r="E51" s="129">
        <f>COUNTIFS('Equipment Inspections'!D$6:D$506,"Mar",'Equipment Inspections'!M$6:M$506,"Pending")</f>
        <v/>
      </c>
      <c r="F51" s="129">
        <f>COUNTIFS('Equipment Inspections'!D$6:D$506,"Apr",'Equipment Inspections'!M$6:M$506,"Pending")</f>
        <v/>
      </c>
      <c r="G51" s="129">
        <f>COUNTIFS('Equipment Inspections'!D$6:D$506,"May",'Equipment Inspections'!M$6:M$506,"Pending")</f>
        <v/>
      </c>
      <c r="H51" s="129">
        <f>COUNTIFS('Equipment Inspections'!D$6:D$506,"Jun",'Equipment Inspections'!M$6:M$506,"Pending")</f>
        <v/>
      </c>
      <c r="I51" s="129">
        <f>COUNTIFS('Equipment Inspections'!D$6:D$506,"Jul",'Equipment Inspections'!M$6:M$506,"Pending")</f>
        <v/>
      </c>
      <c r="J51" s="129">
        <f>COUNTIFS('Equipment Inspections'!D$6:D$506,"Aug",'Equipment Inspections'!M$6:M$506,"Pending")</f>
        <v/>
      </c>
      <c r="K51" s="129">
        <f>COUNTIFS('Equipment Inspections'!D$6:D$506,"Sep",'Equipment Inspections'!M$6:M$506,"Pending")</f>
        <v/>
      </c>
      <c r="L51" s="129">
        <f>COUNTIFS('Equipment Inspections'!D$6:D$506,"Oct",'Equipment Inspections'!M$6:M$506,"Pending")</f>
        <v/>
      </c>
      <c r="M51" s="129">
        <f>COUNTIFS('Equipment Inspections'!D$6:D$506,"Nov",'Equipment Inspections'!M$6:M$506,"Pending")</f>
        <v/>
      </c>
      <c r="N51" s="129">
        <f>COUNTIFS('Equipment Inspections'!D$6:D$506,"Dec",'Equipment Inspections'!M$6:M$506,"Pending")</f>
        <v/>
      </c>
      <c r="O51" s="130">
        <f>SUM(C51:N51)</f>
        <v/>
      </c>
      <c r="P51" s="93" t="n"/>
      <c r="Q51" s="93" t="n"/>
    </row>
    <row r="52">
      <c r="A52" s="93" t="n"/>
      <c r="B52" s="144" t="inlineStr">
        <is>
          <t>Rate %</t>
        </is>
      </c>
      <c r="C52" s="145">
        <f>IF(C47=0,0,C48/C47)</f>
        <v/>
      </c>
      <c r="D52" s="145">
        <f>IF(D47=0,0,D48/D47)</f>
        <v/>
      </c>
      <c r="E52" s="145">
        <f>IF(E47=0,0,E48/E47)</f>
        <v/>
      </c>
      <c r="F52" s="145">
        <f>IF(F47=0,0,F48/F47)</f>
        <v/>
      </c>
      <c r="G52" s="145">
        <f>IF(G47=0,0,G48/G47)</f>
        <v/>
      </c>
      <c r="H52" s="145">
        <f>IF(H47=0,0,H48/H47)</f>
        <v/>
      </c>
      <c r="I52" s="145">
        <f>IF(I47=0,0,I48/I47)</f>
        <v/>
      </c>
      <c r="J52" s="145">
        <f>IF(J47=0,0,J48/J47)</f>
        <v/>
      </c>
      <c r="K52" s="145">
        <f>IF(K47=0,0,K48/K47)</f>
        <v/>
      </c>
      <c r="L52" s="145">
        <f>IF(L47=0,0,L48/L47)</f>
        <v/>
      </c>
      <c r="M52" s="145">
        <f>IF(M47=0,0,M48/M47)</f>
        <v/>
      </c>
      <c r="N52" s="145">
        <f>IF(N47=0,0,N48/N47)</f>
        <v/>
      </c>
      <c r="O52" s="145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78909C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78909C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tabColor rgb="FF1A237E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99" t="inlineStr">
        <is>
          <t>🚶  DASHBOARD – WALKTHROUGHS</t>
        </is>
      </c>
    </row>
    <row r="2" ht="24" customHeight="1" s="15">
      <c r="A2" s="300" t="inlineStr">
        <is>
          <t>Live data from 'Safety Walkthroughs'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01" t="inlineStr">
        <is>
          <t>📋 TOTAL</t>
        </is>
      </c>
      <c r="E4" s="93" t="n"/>
      <c r="F4" s="230" t="inlineStr">
        <is>
          <t>✅ COMPLETED</t>
        </is>
      </c>
      <c r="I4" s="93" t="n"/>
      <c r="J4" s="243" t="inlineStr">
        <is>
          <t>❌ OVERDUE</t>
        </is>
      </c>
      <c r="M4" s="93" t="n"/>
      <c r="N4" s="243" t="inlineStr">
        <is>
          <t>🔴 CRITICAL</t>
        </is>
      </c>
      <c r="Q4" s="93" t="n"/>
    </row>
    <row r="5" ht="43.5" customHeight="1" s="15">
      <c r="A5" s="93" t="n"/>
      <c r="B5" s="302">
        <f>COUNTA('Safety Walkthroughs'!B$6:B$506)</f>
        <v/>
      </c>
      <c r="E5" s="93" t="n"/>
      <c r="F5" s="234">
        <f>COUNTIF('Safety Walkthroughs'!M$6:M$506,"Completed")</f>
        <v/>
      </c>
      <c r="I5" s="93" t="n"/>
      <c r="J5" s="277">
        <f>COUNTIF('Safety Walkthroughs'!M$6:M$506,"Overdue")</f>
        <v/>
      </c>
      <c r="M5" s="93" t="n"/>
      <c r="N5" s="277">
        <f>SUM('Safety Walkthroughs'!K$6:K$506)</f>
        <v/>
      </c>
      <c r="Q5" s="93" t="n"/>
    </row>
    <row r="6" ht="13.5" customHeight="1" s="15">
      <c r="A6" s="93" t="n"/>
      <c r="B6" s="303" t="n"/>
      <c r="E6" s="93" t="n"/>
      <c r="F6" s="262" t="n"/>
      <c r="I6" s="93" t="n"/>
      <c r="J6" s="270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CHECKPOINTS</t>
        </is>
      </c>
      <c r="E8" s="93" t="n"/>
      <c r="F8" s="231" t="inlineStr">
        <is>
          <t>⚠️ NON-CONF</t>
        </is>
      </c>
      <c r="I8" s="93" t="n"/>
      <c r="J8" s="243" t="inlineStr">
        <is>
          <t>📊 NC RATE</t>
        </is>
      </c>
      <c r="M8" s="93" t="n"/>
      <c r="N8" s="242" t="inlineStr">
        <is>
          <t>📊 COMP %</t>
        </is>
      </c>
      <c r="Q8" s="93" t="n"/>
    </row>
    <row r="9" ht="43.5" customHeight="1" s="15">
      <c r="A9" s="93" t="n"/>
      <c r="B9" s="265">
        <f>SUM('Safety Walkthroughs'!I$6:I$506)</f>
        <v/>
      </c>
      <c r="E9" s="93" t="n"/>
      <c r="F9" s="235">
        <f>SUM('Safety Walkthroughs'!J$6:J$506)</f>
        <v/>
      </c>
      <c r="I9" s="93" t="n"/>
      <c r="J9" s="247">
        <f>IF(SUM('Safety Walkthroughs'!I$6:I$506)=0,0,SUM('Safety Walkthroughs'!J$6:J$506)/SUM('Safety Walkthroughs'!I$6:I$506))</f>
        <v/>
      </c>
      <c r="M9" s="93" t="n"/>
      <c r="N9" s="285">
        <f>IF(COUNTA('Safety Walkthroughs'!B$6:B$506)=0,0,COUNTIF('Safety Walkthroughs'!M$6:M$506,"Completed")/COUNTA('Safety Walkthroughs'!B$6:B$506))</f>
        <v/>
      </c>
      <c r="Q9" s="93" t="n"/>
    </row>
    <row r="10" ht="13.5" customHeight="1" s="15">
      <c r="A10" s="93" t="n"/>
      <c r="B10" s="268" t="n"/>
      <c r="E10" s="93" t="n"/>
      <c r="F10" s="263" t="n"/>
      <c r="I10" s="93" t="n"/>
      <c r="J10" s="270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04" t="inlineStr">
        <is>
          <t>📅  Monthly Trend</t>
        </is>
      </c>
      <c r="I12" s="93" t="n"/>
      <c r="J12" s="304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COUNTIF('Safety Walkthroughs'!M$6:M$506,"Completed")</f>
        <v/>
      </c>
      <c r="Q13" s="93" t="n"/>
    </row>
    <row r="14">
      <c r="A14" s="93" t="n"/>
      <c r="B14" s="59">
        <f>COUNTIF('Safety Walkthroughs'!D$6:D$506,"Jan")</f>
        <v/>
      </c>
      <c r="C14" s="59">
        <f>COUNTIF('Safety Walkthroughs'!D$6:D$506,"Feb")</f>
        <v/>
      </c>
      <c r="D14" s="59">
        <f>COUNTIF('Safety Walkthroughs'!D$6:D$506,"Mar")</f>
        <v/>
      </c>
      <c r="E14" s="59">
        <f>COUNTIF('Safety Walkthroughs'!D$6:D$506,"Apr")</f>
        <v/>
      </c>
      <c r="F14" s="59">
        <f>COUNTIF('Safety Walkthroughs'!D$6:D$506,"May")</f>
        <v/>
      </c>
      <c r="G14" s="59">
        <f>COUNTIF('Safety Walkthroughs'!D$6:D$506,"Jun")</f>
        <v/>
      </c>
      <c r="H14" s="59">
        <f>COUNTIF('Safety Walkthroughs'!D$6:D$506,"Jul")</f>
        <v/>
      </c>
      <c r="I14" s="59">
        <f>COUNTIF('Safety Walkthroughs'!D$6:D$506,"Aug")</f>
        <v/>
      </c>
      <c r="J14" s="59">
        <f>COUNTIF('Safety Walkthroughs'!D$6:D$506,"Sep")</f>
        <v/>
      </c>
      <c r="K14" s="59">
        <f>COUNTIF('Safety Walkthroughs'!D$6:D$506,"Oct")</f>
        <v/>
      </c>
      <c r="L14" s="59">
        <f>COUNTIF('Safety Walkthroughs'!D$6:D$506,"Nov")</f>
        <v/>
      </c>
      <c r="M14" s="59">
        <f>COUNTIF('Safety Walkthroughs'!D$6:D$506,"Dec")</f>
        <v/>
      </c>
      <c r="N14" s="94" t="n"/>
      <c r="O14" s="95" t="inlineStr">
        <is>
          <t>In Progress</t>
        </is>
      </c>
      <c r="P14" s="59">
        <f>COUNTIF('Safety Walkthroughs'!M$6:M$506,"In Progress")</f>
        <v/>
      </c>
      <c r="Q14" s="93" t="n"/>
    </row>
    <row r="15">
      <c r="A15" s="93" t="n"/>
      <c r="B15" s="60">
        <f>COUNTIFS('Safety Walkthroughs'!D$6:D$506,"Jan",'Safety Walkthroughs'!M$6:M$506,"Completed")</f>
        <v/>
      </c>
      <c r="C15" s="60">
        <f>COUNTIFS('Safety Walkthroughs'!D$6:D$506,"Feb",'Safety Walkthroughs'!M$6:M$506,"Completed")</f>
        <v/>
      </c>
      <c r="D15" s="60">
        <f>COUNTIFS('Safety Walkthroughs'!D$6:D$506,"Mar",'Safety Walkthroughs'!M$6:M$506,"Completed")</f>
        <v/>
      </c>
      <c r="E15" s="60">
        <f>COUNTIFS('Safety Walkthroughs'!D$6:D$506,"Apr",'Safety Walkthroughs'!M$6:M$506,"Completed")</f>
        <v/>
      </c>
      <c r="F15" s="60">
        <f>COUNTIFS('Safety Walkthroughs'!D$6:D$506,"May",'Safety Walkthroughs'!M$6:M$506,"Completed")</f>
        <v/>
      </c>
      <c r="G15" s="60">
        <f>COUNTIFS('Safety Walkthroughs'!D$6:D$506,"Jun",'Safety Walkthroughs'!M$6:M$506,"Completed")</f>
        <v/>
      </c>
      <c r="H15" s="60">
        <f>COUNTIFS('Safety Walkthroughs'!D$6:D$506,"Jul",'Safety Walkthroughs'!M$6:M$506,"Completed")</f>
        <v/>
      </c>
      <c r="I15" s="60">
        <f>COUNTIFS('Safety Walkthroughs'!D$6:D$506,"Aug",'Safety Walkthroughs'!M$6:M$506,"Completed")</f>
        <v/>
      </c>
      <c r="J15" s="60">
        <f>COUNTIFS('Safety Walkthroughs'!D$6:D$506,"Sep",'Safety Walkthroughs'!M$6:M$506,"Completed")</f>
        <v/>
      </c>
      <c r="K15" s="60">
        <f>COUNTIFS('Safety Walkthroughs'!D$6:D$506,"Oct",'Safety Walkthroughs'!M$6:M$506,"Completed")</f>
        <v/>
      </c>
      <c r="L15" s="60">
        <f>COUNTIFS('Safety Walkthroughs'!D$6:D$506,"Nov",'Safety Walkthroughs'!M$6:M$506,"Completed")</f>
        <v/>
      </c>
      <c r="M15" s="60">
        <f>COUNTIFS('Safety Walkthroughs'!D$6:D$506,"Dec",'Safety Walkthroughs'!M$6:M$506,"Completed")</f>
        <v/>
      </c>
      <c r="N15" s="94" t="n"/>
      <c r="O15" s="95" t="inlineStr">
        <is>
          <t>Overdue</t>
        </is>
      </c>
      <c r="P15" s="59">
        <f>COUNTIF('Safety Walkthroughs'!M$6:M$506,"Overdue")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COUNTIF('Safety Walkthroughs'!M$6:M$506,"Pending")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04" t="inlineStr">
        <is>
          <t>🏢  Department Breakdown</t>
        </is>
      </c>
      <c r="I31" s="93" t="n"/>
      <c r="J31" s="304" t="inlineStr">
        <is>
          <t>🏷️  Rating Breakdown</t>
        </is>
      </c>
      <c r="Q31" s="93" t="n"/>
    </row>
    <row r="32" ht="56.25" customHeight="1" s="15">
      <c r="A32" s="93" t="n"/>
      <c r="B32" s="146" t="inlineStr">
        <is>
          <t>Department</t>
        </is>
      </c>
      <c r="C32" s="146" t="inlineStr">
        <is>
          <t>Count</t>
        </is>
      </c>
      <c r="D32" s="146" t="inlineStr">
        <is>
          <t>Completed</t>
        </is>
      </c>
      <c r="E32" s="146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Satisfactory</t>
        </is>
      </c>
      <c r="P32" s="59">
        <f>COUNTIF('Safety Walkthroughs'!L$6:L$506,O32)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COUNTIF('Safety Walkthroughs'!F$6:F$506,B33)</f>
        <v/>
      </c>
      <c r="D33" s="63">
        <f>COUNTIFS('Safety Walkthroughs'!F$6:F$506,B33,'Safety Walkthroughs'!M$6:M$506,"Completed")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Good</t>
        </is>
      </c>
      <c r="P33" s="59">
        <f>COUNTIF('Safety Walkthroughs'!L$6:L$506,O33)</f>
        <v/>
      </c>
      <c r="Q33" s="93" t="n"/>
    </row>
    <row r="34">
      <c r="A34" s="93" t="n"/>
      <c r="B34" s="147" t="inlineStr">
        <is>
          <t>Maintenance</t>
        </is>
      </c>
      <c r="C34" s="148">
        <f>COUNTIF('Safety Walkthroughs'!F$6:F$506,B34)</f>
        <v/>
      </c>
      <c r="D34" s="148">
        <f>COUNTIFS('Safety Walkthroughs'!F$6:F$506,B34,'Safety Walkthroughs'!M$6:M$506,"Completed")</f>
        <v/>
      </c>
      <c r="E34" s="149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Excellent</t>
        </is>
      </c>
      <c r="P34" s="59">
        <f>COUNTIF('Safety Walkthroughs'!L$6:L$506,O34)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COUNTIF('Safety Walkthroughs'!F$6:F$506,B35)</f>
        <v/>
      </c>
      <c r="D35" s="63">
        <f>COUNTIFS('Safety Walkthroughs'!F$6:F$506,B35,'Safety Walkthroughs'!M$6:M$506,"Completed")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Needs Improvement</t>
        </is>
      </c>
      <c r="P35" s="59">
        <f>COUNTIF('Safety Walkthroughs'!L$6:L$506,O35)</f>
        <v/>
      </c>
      <c r="Q35" s="93" t="n"/>
    </row>
    <row r="36">
      <c r="A36" s="93" t="n"/>
      <c r="B36" s="147" t="inlineStr">
        <is>
          <t>Construction</t>
        </is>
      </c>
      <c r="C36" s="148">
        <f>COUNTIF('Safety Walkthroughs'!F$6:F$506,B36)</f>
        <v/>
      </c>
      <c r="D36" s="148">
        <f>COUNTIFS('Safety Walkthroughs'!F$6:F$506,B36,'Safety Walkthroughs'!M$6:M$506,"Completed")</f>
        <v/>
      </c>
      <c r="E36" s="149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Unsatisfactory</t>
        </is>
      </c>
      <c r="P36" s="59">
        <f>COUNTIF('Safety Walkthroughs'!L$6:L$506,O36)</f>
        <v/>
      </c>
      <c r="Q36" s="93" t="n"/>
    </row>
    <row r="37">
      <c r="A37" s="93" t="n"/>
      <c r="B37" s="97" t="inlineStr">
        <is>
          <t>Safety</t>
        </is>
      </c>
      <c r="C37" s="63">
        <f>COUNTIF('Safety Walkthroughs'!F$6:F$506,B37)</f>
        <v/>
      </c>
      <c r="D37" s="63">
        <f>COUNTIFS('Safety Walkthroughs'!F$6:F$506,B37,'Safety Walkthroughs'!M$6:M$506,"Completed")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47" t="inlineStr">
        <is>
          <t>Logistics</t>
        </is>
      </c>
      <c r="C38" s="148">
        <f>COUNTIF('Safety Walkthroughs'!F$6:F$506,B38)</f>
        <v/>
      </c>
      <c r="D38" s="148">
        <f>COUNTIFS('Safety Walkthroughs'!F$6:F$506,B38,'Safety Walkthroughs'!M$6:M$506,"Completed")</f>
        <v/>
      </c>
      <c r="E38" s="149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COUNTIF('Safety Walkthroughs'!F$6:F$506,B39)</f>
        <v/>
      </c>
      <c r="D39" s="63">
        <f>COUNTIFS('Safety Walkthroughs'!F$6:F$506,B39,'Safety Walkthroughs'!M$6:M$506,"Completed")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47" t="inlineStr">
        <is>
          <t>Admin</t>
        </is>
      </c>
      <c r="C40" s="148">
        <f>COUNTIF('Safety Walkthroughs'!F$6:F$506,B40)</f>
        <v/>
      </c>
      <c r="D40" s="148">
        <f>COUNTIFS('Safety Walkthroughs'!F$6:F$506,B40,'Safety Walkthroughs'!M$6:M$506,"Completed")</f>
        <v/>
      </c>
      <c r="E40" s="149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COUNTIF('Safety Walkthroughs'!F$6:F$506,B41)</f>
        <v/>
      </c>
      <c r="D41" s="63">
        <f>COUNTIFS('Safety Walkthroughs'!F$6:F$506,B41,'Safety Walkthroughs'!M$6:M$506,"Completed")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47" t="inlineStr">
        <is>
          <t>Contractor</t>
        </is>
      </c>
      <c r="C42" s="148">
        <f>COUNTIF('Safety Walkthroughs'!F$6:F$506,B42)</f>
        <v/>
      </c>
      <c r="D42" s="148">
        <f>COUNTIFS('Safety Walkthroughs'!F$6:F$506,B42,'Safety Walkthroughs'!M$6:M$506,"Completed")</f>
        <v/>
      </c>
      <c r="E42" s="149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04" t="inlineStr">
        <is>
          <t>📈  Monthly Performance Matrix</t>
        </is>
      </c>
      <c r="Q45" s="93" t="n"/>
    </row>
    <row r="46" ht="33.75" customHeight="1" s="15">
      <c r="A46" s="93" t="n"/>
      <c r="B46" s="146" t="inlineStr">
        <is>
          <t>Metric</t>
        </is>
      </c>
      <c r="C46" s="146" t="inlineStr">
        <is>
          <t>Jan</t>
        </is>
      </c>
      <c r="D46" s="146" t="inlineStr">
        <is>
          <t>Feb</t>
        </is>
      </c>
      <c r="E46" s="146" t="inlineStr">
        <is>
          <t>Mar</t>
        </is>
      </c>
      <c r="F46" s="146" t="inlineStr">
        <is>
          <t>Apr</t>
        </is>
      </c>
      <c r="G46" s="146" t="inlineStr">
        <is>
          <t>May</t>
        </is>
      </c>
      <c r="H46" s="146" t="inlineStr">
        <is>
          <t>Jun</t>
        </is>
      </c>
      <c r="I46" s="146" t="inlineStr">
        <is>
          <t>Jul</t>
        </is>
      </c>
      <c r="J46" s="146" t="inlineStr">
        <is>
          <t>Aug</t>
        </is>
      </c>
      <c r="K46" s="146" t="inlineStr">
        <is>
          <t>Sep</t>
        </is>
      </c>
      <c r="L46" s="146" t="inlineStr">
        <is>
          <t>Oct</t>
        </is>
      </c>
      <c r="M46" s="146" t="inlineStr">
        <is>
          <t>Nov</t>
        </is>
      </c>
      <c r="N46" s="146" t="inlineStr">
        <is>
          <t>Dec</t>
        </is>
      </c>
      <c r="O46" s="146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COUNTIF('Safety Walkthroughs'!D$6:D$506,"Jan")</f>
        <v/>
      </c>
      <c r="D47" s="63">
        <f>COUNTIF('Safety Walkthroughs'!D$6:D$506,"Feb")</f>
        <v/>
      </c>
      <c r="E47" s="63">
        <f>COUNTIF('Safety Walkthroughs'!D$6:D$506,"Mar")</f>
        <v/>
      </c>
      <c r="F47" s="63">
        <f>COUNTIF('Safety Walkthroughs'!D$6:D$506,"Apr")</f>
        <v/>
      </c>
      <c r="G47" s="63">
        <f>COUNTIF('Safety Walkthroughs'!D$6:D$506,"May")</f>
        <v/>
      </c>
      <c r="H47" s="63">
        <f>COUNTIF('Safety Walkthroughs'!D$6:D$506,"Jun")</f>
        <v/>
      </c>
      <c r="I47" s="63">
        <f>COUNTIF('Safety Walkthroughs'!D$6:D$506,"Jul")</f>
        <v/>
      </c>
      <c r="J47" s="63">
        <f>COUNTIF('Safety Walkthroughs'!D$6:D$506,"Aug")</f>
        <v/>
      </c>
      <c r="K47" s="63">
        <f>COUNTIF('Safety Walkthroughs'!D$6:D$506,"Sep")</f>
        <v/>
      </c>
      <c r="L47" s="63">
        <f>COUNTIF('Safety Walkthroughs'!D$6:D$506,"Oct")</f>
        <v/>
      </c>
      <c r="M47" s="63">
        <f>COUNTIF('Safety Walkthroughs'!D$6:D$506,"Nov")</f>
        <v/>
      </c>
      <c r="N47" s="63">
        <f>COUNTIF('Safety Walkthroughs'!D$6:D$506,"Dec")</f>
        <v/>
      </c>
      <c r="O47" s="150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COUNTIFS('Safety Walkthroughs'!D$6:D$506,"Jan",'Safety Walkthroughs'!M$6:M$506,"Completed")</f>
        <v/>
      </c>
      <c r="D48" s="76">
        <f>COUNTIFS('Safety Walkthroughs'!D$6:D$506,"Feb",'Safety Walkthroughs'!M$6:M$506,"Completed")</f>
        <v/>
      </c>
      <c r="E48" s="76">
        <f>COUNTIFS('Safety Walkthroughs'!D$6:D$506,"Mar",'Safety Walkthroughs'!M$6:M$506,"Completed")</f>
        <v/>
      </c>
      <c r="F48" s="76">
        <f>COUNTIFS('Safety Walkthroughs'!D$6:D$506,"Apr",'Safety Walkthroughs'!M$6:M$506,"Completed")</f>
        <v/>
      </c>
      <c r="G48" s="76">
        <f>COUNTIFS('Safety Walkthroughs'!D$6:D$506,"May",'Safety Walkthroughs'!M$6:M$506,"Completed")</f>
        <v/>
      </c>
      <c r="H48" s="76">
        <f>COUNTIFS('Safety Walkthroughs'!D$6:D$506,"Jun",'Safety Walkthroughs'!M$6:M$506,"Completed")</f>
        <v/>
      </c>
      <c r="I48" s="76">
        <f>COUNTIFS('Safety Walkthroughs'!D$6:D$506,"Jul",'Safety Walkthroughs'!M$6:M$506,"Completed")</f>
        <v/>
      </c>
      <c r="J48" s="76">
        <f>COUNTIFS('Safety Walkthroughs'!D$6:D$506,"Aug",'Safety Walkthroughs'!M$6:M$506,"Completed")</f>
        <v/>
      </c>
      <c r="K48" s="76">
        <f>COUNTIFS('Safety Walkthroughs'!D$6:D$506,"Sep",'Safety Walkthroughs'!M$6:M$506,"Completed")</f>
        <v/>
      </c>
      <c r="L48" s="76">
        <f>COUNTIFS('Safety Walkthroughs'!D$6:D$506,"Oct",'Safety Walkthroughs'!M$6:M$506,"Completed")</f>
        <v/>
      </c>
      <c r="M48" s="76">
        <f>COUNTIFS('Safety Walkthroughs'!D$6:D$506,"Nov",'Safety Walkthroughs'!M$6:M$506,"Completed")</f>
        <v/>
      </c>
      <c r="N48" s="76">
        <f>COUNTIFS('Safety Walkthroughs'!D$6:D$506,"Dec",'Safety Walkthroughs'!M$6:M$506,"Completed")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COUNTIFS('Safety Walkthroughs'!D$6:D$506,"Jan",'Safety Walkthroughs'!M$6:M$506,"In Progress")</f>
        <v/>
      </c>
      <c r="D49" s="114">
        <f>COUNTIFS('Safety Walkthroughs'!D$6:D$506,"Feb",'Safety Walkthroughs'!M$6:M$506,"In Progress")</f>
        <v/>
      </c>
      <c r="E49" s="114">
        <f>COUNTIFS('Safety Walkthroughs'!D$6:D$506,"Mar",'Safety Walkthroughs'!M$6:M$506,"In Progress")</f>
        <v/>
      </c>
      <c r="F49" s="114">
        <f>COUNTIFS('Safety Walkthroughs'!D$6:D$506,"Apr",'Safety Walkthroughs'!M$6:M$506,"In Progress")</f>
        <v/>
      </c>
      <c r="G49" s="114">
        <f>COUNTIFS('Safety Walkthroughs'!D$6:D$506,"May",'Safety Walkthroughs'!M$6:M$506,"In Progress")</f>
        <v/>
      </c>
      <c r="H49" s="114">
        <f>COUNTIFS('Safety Walkthroughs'!D$6:D$506,"Jun",'Safety Walkthroughs'!M$6:M$506,"In Progress")</f>
        <v/>
      </c>
      <c r="I49" s="114">
        <f>COUNTIFS('Safety Walkthroughs'!D$6:D$506,"Jul",'Safety Walkthroughs'!M$6:M$506,"In Progress")</f>
        <v/>
      </c>
      <c r="J49" s="114">
        <f>COUNTIFS('Safety Walkthroughs'!D$6:D$506,"Aug",'Safety Walkthroughs'!M$6:M$506,"In Progress")</f>
        <v/>
      </c>
      <c r="K49" s="114">
        <f>COUNTIFS('Safety Walkthroughs'!D$6:D$506,"Sep",'Safety Walkthroughs'!M$6:M$506,"In Progress")</f>
        <v/>
      </c>
      <c r="L49" s="114">
        <f>COUNTIFS('Safety Walkthroughs'!D$6:D$506,"Oct",'Safety Walkthroughs'!M$6:M$506,"In Progress")</f>
        <v/>
      </c>
      <c r="M49" s="114">
        <f>COUNTIFS('Safety Walkthroughs'!D$6:D$506,"Nov",'Safety Walkthroughs'!M$6:M$506,"In Progress")</f>
        <v/>
      </c>
      <c r="N49" s="114">
        <f>COUNTIFS('Safety Walkthroughs'!D$6:D$506,"Dec",'Safety Walkthroughs'!M$6:M$506,"In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COUNTIFS('Safety Walkthroughs'!D$6:D$506,"Jan",'Safety Walkthroughs'!M$6:M$506,"Overdue")</f>
        <v/>
      </c>
      <c r="D50" s="126">
        <f>COUNTIFS('Safety Walkthroughs'!D$6:D$506,"Feb",'Safety Walkthroughs'!M$6:M$506,"Overdue")</f>
        <v/>
      </c>
      <c r="E50" s="126">
        <f>COUNTIFS('Safety Walkthroughs'!D$6:D$506,"Mar",'Safety Walkthroughs'!M$6:M$506,"Overdue")</f>
        <v/>
      </c>
      <c r="F50" s="126">
        <f>COUNTIFS('Safety Walkthroughs'!D$6:D$506,"Apr",'Safety Walkthroughs'!M$6:M$506,"Overdue")</f>
        <v/>
      </c>
      <c r="G50" s="126">
        <f>COUNTIFS('Safety Walkthroughs'!D$6:D$506,"May",'Safety Walkthroughs'!M$6:M$506,"Overdue")</f>
        <v/>
      </c>
      <c r="H50" s="126">
        <f>COUNTIFS('Safety Walkthroughs'!D$6:D$506,"Jun",'Safety Walkthroughs'!M$6:M$506,"Overdue")</f>
        <v/>
      </c>
      <c r="I50" s="126">
        <f>COUNTIFS('Safety Walkthroughs'!D$6:D$506,"Jul",'Safety Walkthroughs'!M$6:M$506,"Overdue")</f>
        <v/>
      </c>
      <c r="J50" s="126">
        <f>COUNTIFS('Safety Walkthroughs'!D$6:D$506,"Aug",'Safety Walkthroughs'!M$6:M$506,"Overdue")</f>
        <v/>
      </c>
      <c r="K50" s="126">
        <f>COUNTIFS('Safety Walkthroughs'!D$6:D$506,"Sep",'Safety Walkthroughs'!M$6:M$506,"Overdue")</f>
        <v/>
      </c>
      <c r="L50" s="126">
        <f>COUNTIFS('Safety Walkthroughs'!D$6:D$506,"Oct",'Safety Walkthroughs'!M$6:M$506,"Overdue")</f>
        <v/>
      </c>
      <c r="M50" s="126">
        <f>COUNTIFS('Safety Walkthroughs'!D$6:D$506,"Nov",'Safety Walkthroughs'!M$6:M$506,"Overdue")</f>
        <v/>
      </c>
      <c r="N50" s="126">
        <f>COUNTIFS('Safety Walkthroughs'!D$6:D$506,"Dec",'Safety Walkthroughs'!M$6:M$506,"Overdue")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COUNTIFS('Safety Walkthroughs'!D$6:D$506,"Jan",'Safety Walkthroughs'!M$6:M$506,"Pending")</f>
        <v/>
      </c>
      <c r="D51" s="129">
        <f>COUNTIFS('Safety Walkthroughs'!D$6:D$506,"Feb",'Safety Walkthroughs'!M$6:M$506,"Pending")</f>
        <v/>
      </c>
      <c r="E51" s="129">
        <f>COUNTIFS('Safety Walkthroughs'!D$6:D$506,"Mar",'Safety Walkthroughs'!M$6:M$506,"Pending")</f>
        <v/>
      </c>
      <c r="F51" s="129">
        <f>COUNTIFS('Safety Walkthroughs'!D$6:D$506,"Apr",'Safety Walkthroughs'!M$6:M$506,"Pending")</f>
        <v/>
      </c>
      <c r="G51" s="129">
        <f>COUNTIFS('Safety Walkthroughs'!D$6:D$506,"May",'Safety Walkthroughs'!M$6:M$506,"Pending")</f>
        <v/>
      </c>
      <c r="H51" s="129">
        <f>COUNTIFS('Safety Walkthroughs'!D$6:D$506,"Jun",'Safety Walkthroughs'!M$6:M$506,"Pending")</f>
        <v/>
      </c>
      <c r="I51" s="129">
        <f>COUNTIFS('Safety Walkthroughs'!D$6:D$506,"Jul",'Safety Walkthroughs'!M$6:M$506,"Pending")</f>
        <v/>
      </c>
      <c r="J51" s="129">
        <f>COUNTIFS('Safety Walkthroughs'!D$6:D$506,"Aug",'Safety Walkthroughs'!M$6:M$506,"Pending")</f>
        <v/>
      </c>
      <c r="K51" s="129">
        <f>COUNTIFS('Safety Walkthroughs'!D$6:D$506,"Sep",'Safety Walkthroughs'!M$6:M$506,"Pending")</f>
        <v/>
      </c>
      <c r="L51" s="129">
        <f>COUNTIFS('Safety Walkthroughs'!D$6:D$506,"Oct",'Safety Walkthroughs'!M$6:M$506,"Pending")</f>
        <v/>
      </c>
      <c r="M51" s="129">
        <f>COUNTIFS('Safety Walkthroughs'!D$6:D$506,"Nov",'Safety Walkthroughs'!M$6:M$506,"Pending")</f>
        <v/>
      </c>
      <c r="N51" s="129">
        <f>COUNTIFS('Safety Walkthroughs'!D$6:D$506,"Dec",'Safety Walkthroughs'!M$6:M$506,"Pending")</f>
        <v/>
      </c>
      <c r="O51" s="130">
        <f>SUM(C51:N51)</f>
        <v/>
      </c>
      <c r="P51" s="93" t="n"/>
      <c r="Q51" s="93" t="n"/>
    </row>
    <row r="52">
      <c r="A52" s="93" t="n"/>
      <c r="B52" s="151" t="inlineStr">
        <is>
          <t>Rate %</t>
        </is>
      </c>
      <c r="C52" s="152">
        <f>IF(C47=0,0,C48/C47)</f>
        <v/>
      </c>
      <c r="D52" s="152">
        <f>IF(D47=0,0,D48/D47)</f>
        <v/>
      </c>
      <c r="E52" s="152">
        <f>IF(E47=0,0,E48/E47)</f>
        <v/>
      </c>
      <c r="F52" s="152">
        <f>IF(F47=0,0,F48/F47)</f>
        <v/>
      </c>
      <c r="G52" s="152">
        <f>IF(G47=0,0,G48/G47)</f>
        <v/>
      </c>
      <c r="H52" s="152">
        <f>IF(H47=0,0,H48/H47)</f>
        <v/>
      </c>
      <c r="I52" s="152">
        <f>IF(I47=0,0,I48/I47)</f>
        <v/>
      </c>
      <c r="J52" s="152">
        <f>IF(J47=0,0,J48/J47)</f>
        <v/>
      </c>
      <c r="K52" s="152">
        <f>IF(K47=0,0,K48/K47)</f>
        <v/>
      </c>
      <c r="L52" s="152">
        <f>IF(L47=0,0,L48/L47)</f>
        <v/>
      </c>
      <c r="M52" s="152">
        <f>IF(M47=0,0,M48/M47)</f>
        <v/>
      </c>
      <c r="N52" s="152">
        <f>IF(N47=0,0,N48/N47)</f>
        <v/>
      </c>
      <c r="O52" s="152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5C6BC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5C6BC0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tabColor rgb="FF880E4F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05" t="inlineStr">
        <is>
          <t>🤝  DASHBOARD – SAFETY MEETINGS</t>
        </is>
      </c>
    </row>
    <row r="2" ht="24" customHeight="1" s="15">
      <c r="A2" s="306" t="inlineStr">
        <is>
          <t>Live data from 'Safety Meetings'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07" t="inlineStr">
        <is>
          <t>📋 TOTAL MEETINGS</t>
        </is>
      </c>
      <c r="E4" s="93" t="n"/>
      <c r="F4" s="258" t="inlineStr">
        <is>
          <t>👥 AVG ATTENDANCE</t>
        </is>
      </c>
      <c r="I4" s="93" t="n"/>
      <c r="J4" s="231" t="inlineStr">
        <is>
          <t>📝 ACTIONS RAISED</t>
        </is>
      </c>
      <c r="M4" s="93" t="n"/>
      <c r="N4" s="230" t="inlineStr">
        <is>
          <t>✅ ACTIONS CLOSED</t>
        </is>
      </c>
      <c r="Q4" s="93" t="n"/>
    </row>
    <row r="5" ht="43.5" customHeight="1" s="15">
      <c r="A5" s="93" t="n"/>
      <c r="B5" s="308">
        <f>COUNTA('Safety Meetings'!B$6:B$506)</f>
        <v/>
      </c>
      <c r="E5" s="93" t="n"/>
      <c r="F5" s="260">
        <f>IFERROR(AVERAGE('Safety Meetings'!K$6:K$506),0)</f>
        <v/>
      </c>
      <c r="I5" s="93" t="n"/>
      <c r="J5" s="235">
        <f>SUM('Safety Meetings'!M$6:M$506)</f>
        <v/>
      </c>
      <c r="M5" s="93" t="n"/>
      <c r="N5" s="234">
        <f>SUM('Safety Meetings'!N$6:N$506)</f>
        <v/>
      </c>
      <c r="Q5" s="93" t="n"/>
    </row>
    <row r="6" ht="13.5" customHeight="1" s="15">
      <c r="A6" s="93" t="n"/>
      <c r="B6" s="309" t="n"/>
      <c r="E6" s="93" t="n"/>
      <c r="F6" s="264" t="n"/>
      <c r="I6" s="93" t="n"/>
      <c r="J6" s="263" t="n"/>
      <c r="M6" s="93" t="n"/>
      <c r="N6" s="262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2" t="inlineStr">
        <is>
          <t>📊 CLOSE-OUT %</t>
        </is>
      </c>
      <c r="E8" s="93" t="n"/>
      <c r="F8" s="241" t="inlineStr">
        <is>
          <t>⏱️ TOTAL HOURS</t>
        </is>
      </c>
      <c r="I8" s="93" t="n"/>
      <c r="J8" s="230" t="inlineStr">
        <is>
          <t>📄 MoM DONE</t>
        </is>
      </c>
      <c r="M8" s="93" t="n"/>
      <c r="N8" s="243" t="inlineStr">
        <is>
          <t>📄 MoM PENDING</t>
        </is>
      </c>
      <c r="Q8" s="93" t="n"/>
    </row>
    <row r="9" ht="43.5" customHeight="1" s="15">
      <c r="A9" s="93" t="n"/>
      <c r="B9" s="285">
        <f>IF(SUM('Safety Meetings'!M$6:M$506)=0,0,SUM('Safety Meetings'!N$6:N$506)/SUM('Safety Meetings'!M$6:M$506))</f>
        <v/>
      </c>
      <c r="E9" s="93" t="n"/>
      <c r="F9" s="310">
        <f>SUM('Safety Meetings'!L$6:L$506)/60</f>
        <v/>
      </c>
      <c r="I9" s="93" t="n"/>
      <c r="J9" s="234">
        <f>COUNTIF('Safety Meetings'!P$6:P$506,"Yes")</f>
        <v/>
      </c>
      <c r="M9" s="93" t="n"/>
      <c r="N9" s="277">
        <f>COUNTIF('Safety Meetings'!P$6:P$506,"No")</f>
        <v/>
      </c>
      <c r="Q9" s="93" t="n"/>
    </row>
    <row r="10" ht="13.5" customHeight="1" s="15">
      <c r="A10" s="93" t="n"/>
      <c r="B10" s="269" t="n"/>
      <c r="E10" s="93" t="n"/>
      <c r="F10" s="268" t="n"/>
      <c r="I10" s="93" t="n"/>
      <c r="J10" s="262" t="n"/>
      <c r="M10" s="93" t="n"/>
      <c r="N10" s="270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11" t="inlineStr">
        <is>
          <t>📅  Monthly Trend</t>
        </is>
      </c>
      <c r="I12" s="93" t="n"/>
      <c r="J12" s="311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Yes</t>
        </is>
      </c>
      <c r="P13" s="59">
        <f>COUNTIF('Safety Meetings'!P$6:P$506,"Yes")</f>
        <v/>
      </c>
      <c r="Q13" s="93" t="n"/>
    </row>
    <row r="14">
      <c r="A14" s="93" t="n"/>
      <c r="B14" s="59">
        <f>COUNTIF('Safety Meetings'!D$6:D$506,"Jan")</f>
        <v/>
      </c>
      <c r="C14" s="59">
        <f>COUNTIF('Safety Meetings'!D$6:D$506,"Feb")</f>
        <v/>
      </c>
      <c r="D14" s="59">
        <f>COUNTIF('Safety Meetings'!D$6:D$506,"Mar")</f>
        <v/>
      </c>
      <c r="E14" s="59">
        <f>COUNTIF('Safety Meetings'!D$6:D$506,"Apr")</f>
        <v/>
      </c>
      <c r="F14" s="59">
        <f>COUNTIF('Safety Meetings'!D$6:D$506,"May")</f>
        <v/>
      </c>
      <c r="G14" s="59">
        <f>COUNTIF('Safety Meetings'!D$6:D$506,"Jun")</f>
        <v/>
      </c>
      <c r="H14" s="59">
        <f>COUNTIF('Safety Meetings'!D$6:D$506,"Jul")</f>
        <v/>
      </c>
      <c r="I14" s="59">
        <f>COUNTIF('Safety Meetings'!D$6:D$506,"Aug")</f>
        <v/>
      </c>
      <c r="J14" s="59">
        <f>COUNTIF('Safety Meetings'!D$6:D$506,"Sep")</f>
        <v/>
      </c>
      <c r="K14" s="59">
        <f>COUNTIF('Safety Meetings'!D$6:D$506,"Oct")</f>
        <v/>
      </c>
      <c r="L14" s="59">
        <f>COUNTIF('Safety Meetings'!D$6:D$506,"Nov")</f>
        <v/>
      </c>
      <c r="M14" s="59">
        <f>COUNTIF('Safety Meetings'!D$6:D$506,"Dec")</f>
        <v/>
      </c>
      <c r="N14" s="94" t="n"/>
      <c r="O14" s="95" t="inlineStr">
        <is>
          <t>No</t>
        </is>
      </c>
      <c r="P14" s="59">
        <f>COUNTIF('Safety Meetings'!P$6:P$506,"No")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11" t="inlineStr">
        <is>
          <t>🏢  Department Breakdown</t>
        </is>
      </c>
      <c r="I31" s="93" t="n"/>
      <c r="J31" s="311" t="inlineStr">
        <is>
          <t>🏷️  Frequency Breakdown</t>
        </is>
      </c>
      <c r="Q31" s="93" t="n"/>
    </row>
    <row r="32" ht="56.25" customHeight="1" s="15">
      <c r="A32" s="93" t="n"/>
      <c r="B32" s="153" t="inlineStr">
        <is>
          <t>Department</t>
        </is>
      </c>
      <c r="C32" s="153" t="inlineStr">
        <is>
          <t>Count</t>
        </is>
      </c>
      <c r="D32" s="153" t="inlineStr">
        <is>
          <t>Done</t>
        </is>
      </c>
      <c r="E32" s="153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Weekly</t>
        </is>
      </c>
      <c r="P32" s="59">
        <f>COUNTIF('Safety Meetings'!E$6:E$506,O32)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COUNTIF('Safety Meetings'!G$6:G$506,B33)</f>
        <v/>
      </c>
      <c r="D33" s="63">
        <f>COUNTIF('Safety Meetings'!G$6:G$506,B33)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Monthly</t>
        </is>
      </c>
      <c r="P33" s="59">
        <f>COUNTIF('Safety Meetings'!E$6:E$506,O33)</f>
        <v/>
      </c>
      <c r="Q33" s="93" t="n"/>
    </row>
    <row r="34">
      <c r="A34" s="93" t="n"/>
      <c r="B34" s="154" t="inlineStr">
        <is>
          <t>Maintenance</t>
        </is>
      </c>
      <c r="C34" s="155">
        <f>COUNTIF('Safety Meetings'!G$6:G$506,B34)</f>
        <v/>
      </c>
      <c r="D34" s="155">
        <f>COUNTIF('Safety Meetings'!G$6:G$506,B34)</f>
        <v/>
      </c>
      <c r="E34" s="15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Quarterly</t>
        </is>
      </c>
      <c r="P34" s="59">
        <f>COUNTIF('Safety Meetings'!E$6:E$506,O34)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COUNTIF('Safety Meetings'!G$6:G$506,B35)</f>
        <v/>
      </c>
      <c r="D35" s="63">
        <f>COUNTIF('Safety Meetings'!G$6:G$506,B35)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Ad-hoc</t>
        </is>
      </c>
      <c r="P35" s="59">
        <f>COUNTIF('Safety Meetings'!E$6:E$506,O35)</f>
        <v/>
      </c>
      <c r="Q35" s="93" t="n"/>
    </row>
    <row r="36">
      <c r="A36" s="93" t="n"/>
      <c r="B36" s="154" t="inlineStr">
        <is>
          <t>Construction</t>
        </is>
      </c>
      <c r="C36" s="155">
        <f>COUNTIF('Safety Meetings'!G$6:G$506,B36)</f>
        <v/>
      </c>
      <c r="D36" s="155">
        <f>COUNTIF('Safety Meetings'!G$6:G$506,B36)</f>
        <v/>
      </c>
      <c r="E36" s="156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Annual</t>
        </is>
      </c>
      <c r="P36" s="59">
        <f>COUNTIF('Safety Meetings'!E$6:E$506,O36)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COUNTIF('Safety Meetings'!G$6:G$506,B37)</f>
        <v/>
      </c>
      <c r="D37" s="63">
        <f>COUNTIF('Safety Meetings'!G$6:G$506,B37)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54" t="inlineStr">
        <is>
          <t>Logistics</t>
        </is>
      </c>
      <c r="C38" s="155">
        <f>COUNTIF('Safety Meetings'!G$6:G$506,B38)</f>
        <v/>
      </c>
      <c r="D38" s="155">
        <f>COUNTIF('Safety Meetings'!G$6:G$506,B38)</f>
        <v/>
      </c>
      <c r="E38" s="156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COUNTIF('Safety Meetings'!G$6:G$506,B39)</f>
        <v/>
      </c>
      <c r="D39" s="63">
        <f>COUNTIF('Safety Meetings'!G$6:G$506,B39)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54" t="inlineStr">
        <is>
          <t>Admin</t>
        </is>
      </c>
      <c r="C40" s="155">
        <f>COUNTIF('Safety Meetings'!G$6:G$506,B40)</f>
        <v/>
      </c>
      <c r="D40" s="155">
        <f>COUNTIF('Safety Meetings'!G$6:G$506,B40)</f>
        <v/>
      </c>
      <c r="E40" s="15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COUNTIF('Safety Meetings'!G$6:G$506,B41)</f>
        <v/>
      </c>
      <c r="D41" s="63">
        <f>COUNTIF('Safety Meetings'!G$6:G$506,B41)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54" t="inlineStr">
        <is>
          <t>Contractor</t>
        </is>
      </c>
      <c r="C42" s="155">
        <f>COUNTIF('Safety Meetings'!G$6:G$506,B42)</f>
        <v/>
      </c>
      <c r="D42" s="155">
        <f>COUNTIF('Safety Meetings'!G$6:G$506,B42)</f>
        <v/>
      </c>
      <c r="E42" s="15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11" t="inlineStr">
        <is>
          <t>📈  Monthly Performance Matrix</t>
        </is>
      </c>
      <c r="Q45" s="93" t="n"/>
    </row>
    <row r="46" ht="33.75" customHeight="1" s="15">
      <c r="A46" s="93" t="n"/>
      <c r="B46" s="153" t="inlineStr">
        <is>
          <t>Metric</t>
        </is>
      </c>
      <c r="C46" s="153" t="inlineStr">
        <is>
          <t>Jan</t>
        </is>
      </c>
      <c r="D46" s="153" t="inlineStr">
        <is>
          <t>Feb</t>
        </is>
      </c>
      <c r="E46" s="153" t="inlineStr">
        <is>
          <t>Mar</t>
        </is>
      </c>
      <c r="F46" s="153" t="inlineStr">
        <is>
          <t>Apr</t>
        </is>
      </c>
      <c r="G46" s="153" t="inlineStr">
        <is>
          <t>May</t>
        </is>
      </c>
      <c r="H46" s="153" t="inlineStr">
        <is>
          <t>Jun</t>
        </is>
      </c>
      <c r="I46" s="153" t="inlineStr">
        <is>
          <t>Jul</t>
        </is>
      </c>
      <c r="J46" s="153" t="inlineStr">
        <is>
          <t>Aug</t>
        </is>
      </c>
      <c r="K46" s="153" t="inlineStr">
        <is>
          <t>Sep</t>
        </is>
      </c>
      <c r="L46" s="153" t="inlineStr">
        <is>
          <t>Oct</t>
        </is>
      </c>
      <c r="M46" s="153" t="inlineStr">
        <is>
          <t>Nov</t>
        </is>
      </c>
      <c r="N46" s="153" t="inlineStr">
        <is>
          <t>Dec</t>
        </is>
      </c>
      <c r="O46" s="153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COUNTIF('Safety Meetings'!D$6:D$506,"Jan")</f>
        <v/>
      </c>
      <c r="D47" s="63">
        <f>COUNTIF('Safety Meetings'!D$6:D$506,"Feb")</f>
        <v/>
      </c>
      <c r="E47" s="63">
        <f>COUNTIF('Safety Meetings'!D$6:D$506,"Mar")</f>
        <v/>
      </c>
      <c r="F47" s="63">
        <f>COUNTIF('Safety Meetings'!D$6:D$506,"Apr")</f>
        <v/>
      </c>
      <c r="G47" s="63">
        <f>COUNTIF('Safety Meetings'!D$6:D$506,"May")</f>
        <v/>
      </c>
      <c r="H47" s="63">
        <f>COUNTIF('Safety Meetings'!D$6:D$506,"Jun")</f>
        <v/>
      </c>
      <c r="I47" s="63">
        <f>COUNTIF('Safety Meetings'!D$6:D$506,"Jul")</f>
        <v/>
      </c>
      <c r="J47" s="63">
        <f>COUNTIF('Safety Meetings'!D$6:D$506,"Aug")</f>
        <v/>
      </c>
      <c r="K47" s="63">
        <f>COUNTIF('Safety Meetings'!D$6:D$506,"Sep")</f>
        <v/>
      </c>
      <c r="L47" s="63">
        <f>COUNTIF('Safety Meetings'!D$6:D$506,"Oct")</f>
        <v/>
      </c>
      <c r="M47" s="63">
        <f>COUNTIF('Safety Meetings'!D$6:D$506,"Nov")</f>
        <v/>
      </c>
      <c r="N47" s="63">
        <f>COUNTIF('Safety Meetings'!D$6:D$506,"Dec")</f>
        <v/>
      </c>
      <c r="O47" s="157">
        <f>SUM(C47:N47)</f>
        <v/>
      </c>
      <c r="P47" s="93" t="n"/>
      <c r="Q47" s="93" t="n"/>
    </row>
    <row r="48">
      <c r="A48" s="93" t="n"/>
      <c r="B48" s="102" t="inlineStr">
        <is>
          <t>Yes</t>
        </is>
      </c>
      <c r="C48" s="103">
        <f>COUNTIFS('Safety Meetings'!D$6:D$506,"Jan",'Safety Meetings'!P$6:P$506,"Yes")</f>
        <v/>
      </c>
      <c r="D48" s="103">
        <f>COUNTIFS('Safety Meetings'!D$6:D$506,"Feb",'Safety Meetings'!P$6:P$506,"Yes")</f>
        <v/>
      </c>
      <c r="E48" s="103">
        <f>COUNTIFS('Safety Meetings'!D$6:D$506,"Mar",'Safety Meetings'!P$6:P$506,"Yes")</f>
        <v/>
      </c>
      <c r="F48" s="103">
        <f>COUNTIFS('Safety Meetings'!D$6:D$506,"Apr",'Safety Meetings'!P$6:P$506,"Yes")</f>
        <v/>
      </c>
      <c r="G48" s="103">
        <f>COUNTIFS('Safety Meetings'!D$6:D$506,"May",'Safety Meetings'!P$6:P$506,"Yes")</f>
        <v/>
      </c>
      <c r="H48" s="103">
        <f>COUNTIFS('Safety Meetings'!D$6:D$506,"Jun",'Safety Meetings'!P$6:P$506,"Yes")</f>
        <v/>
      </c>
      <c r="I48" s="103">
        <f>COUNTIFS('Safety Meetings'!D$6:D$506,"Jul",'Safety Meetings'!P$6:P$506,"Yes")</f>
        <v/>
      </c>
      <c r="J48" s="103">
        <f>COUNTIFS('Safety Meetings'!D$6:D$506,"Aug",'Safety Meetings'!P$6:P$506,"Yes")</f>
        <v/>
      </c>
      <c r="K48" s="103">
        <f>COUNTIFS('Safety Meetings'!D$6:D$506,"Sep",'Safety Meetings'!P$6:P$506,"Yes")</f>
        <v/>
      </c>
      <c r="L48" s="103">
        <f>COUNTIFS('Safety Meetings'!D$6:D$506,"Oct",'Safety Meetings'!P$6:P$506,"Yes")</f>
        <v/>
      </c>
      <c r="M48" s="103">
        <f>COUNTIFS('Safety Meetings'!D$6:D$506,"Nov",'Safety Meetings'!P$6:P$506,"Yes")</f>
        <v/>
      </c>
      <c r="N48" s="103">
        <f>COUNTIFS('Safety Meetings'!D$6:D$506,"Dec",'Safety Meetings'!P$6:P$506,"Yes")</f>
        <v/>
      </c>
      <c r="O48" s="104">
        <f>SUM(C48:N48)</f>
        <v/>
      </c>
      <c r="P48" s="93" t="n"/>
      <c r="Q48" s="93" t="n"/>
    </row>
    <row r="49">
      <c r="A49" s="93" t="n"/>
      <c r="B49" s="105" t="inlineStr">
        <is>
          <t>No</t>
        </is>
      </c>
      <c r="C49" s="106">
        <f>COUNTIFS('Safety Meetings'!D$6:D$506,"Jan",'Safety Meetings'!P$6:P$506,"No")</f>
        <v/>
      </c>
      <c r="D49" s="106">
        <f>COUNTIFS('Safety Meetings'!D$6:D$506,"Feb",'Safety Meetings'!P$6:P$506,"No")</f>
        <v/>
      </c>
      <c r="E49" s="106">
        <f>COUNTIFS('Safety Meetings'!D$6:D$506,"Mar",'Safety Meetings'!P$6:P$506,"No")</f>
        <v/>
      </c>
      <c r="F49" s="106">
        <f>COUNTIFS('Safety Meetings'!D$6:D$506,"Apr",'Safety Meetings'!P$6:P$506,"No")</f>
        <v/>
      </c>
      <c r="G49" s="106">
        <f>COUNTIFS('Safety Meetings'!D$6:D$506,"May",'Safety Meetings'!P$6:P$506,"No")</f>
        <v/>
      </c>
      <c r="H49" s="106">
        <f>COUNTIFS('Safety Meetings'!D$6:D$506,"Jun",'Safety Meetings'!P$6:P$506,"No")</f>
        <v/>
      </c>
      <c r="I49" s="106">
        <f>COUNTIFS('Safety Meetings'!D$6:D$506,"Jul",'Safety Meetings'!P$6:P$506,"No")</f>
        <v/>
      </c>
      <c r="J49" s="106">
        <f>COUNTIFS('Safety Meetings'!D$6:D$506,"Aug",'Safety Meetings'!P$6:P$506,"No")</f>
        <v/>
      </c>
      <c r="K49" s="106">
        <f>COUNTIFS('Safety Meetings'!D$6:D$506,"Sep",'Safety Meetings'!P$6:P$506,"No")</f>
        <v/>
      </c>
      <c r="L49" s="106">
        <f>COUNTIFS('Safety Meetings'!D$6:D$506,"Oct",'Safety Meetings'!P$6:P$506,"No")</f>
        <v/>
      </c>
      <c r="M49" s="106">
        <f>COUNTIFS('Safety Meetings'!D$6:D$506,"Nov",'Safety Meetings'!P$6:P$506,"No")</f>
        <v/>
      </c>
      <c r="N49" s="106">
        <f>COUNTIFS('Safety Meetings'!D$6:D$506,"Dec",'Safety Meetings'!P$6:P$506,"No")</f>
        <v/>
      </c>
      <c r="O49" s="107">
        <f>SUM(C49:N49)</f>
        <v/>
      </c>
      <c r="P49" s="93" t="n"/>
      <c r="Q49" s="93" t="n"/>
    </row>
    <row r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C407A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C407A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tabColor rgb="FFFF6F00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12" t="inlineStr">
        <is>
          <t>📢  DASHBOARD – BULLETINS</t>
        </is>
      </c>
    </row>
    <row r="2" ht="24" customHeight="1" s="15">
      <c r="A2" s="313" t="inlineStr">
        <is>
          <t>Live data from 'Safety Bulletins'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14" t="inlineStr">
        <is>
          <t>📋 TOTAL</t>
        </is>
      </c>
      <c r="E4" s="93" t="n"/>
      <c r="F4" s="258" t="inlineStr">
        <is>
          <t>📤 ISSUED</t>
        </is>
      </c>
      <c r="I4" s="93" t="n"/>
      <c r="J4" s="231" t="inlineStr">
        <is>
          <t>✅ ACKNOWLEDGED</t>
        </is>
      </c>
      <c r="M4" s="93" t="n"/>
      <c r="N4" s="230" t="inlineStr">
        <is>
          <t>🔒 CLOSED</t>
        </is>
      </c>
      <c r="Q4" s="93" t="n"/>
    </row>
    <row r="5" ht="43.5" customHeight="1" s="15">
      <c r="A5" s="93" t="n"/>
      <c r="B5" s="315">
        <f>COUNTA('Safety Bulletins'!B$6:B$506)</f>
        <v/>
      </c>
      <c r="E5" s="93" t="n"/>
      <c r="F5" s="316">
        <f>COUNTIF('Safety Bulletins'!K$6:K$506,"Issued")</f>
        <v/>
      </c>
      <c r="I5" s="93" t="n"/>
      <c r="J5" s="235">
        <f>COUNTIF('Safety Bulletins'!K$6:K$506,"Acknowledged")</f>
        <v/>
      </c>
      <c r="M5" s="93" t="n"/>
      <c r="N5" s="234">
        <f>COUNTIF('Safety Bulletins'!K$6:K$506,"Closed")</f>
        <v/>
      </c>
      <c r="Q5" s="93" t="n"/>
    </row>
    <row r="6" ht="13.5" customHeight="1" s="15">
      <c r="A6" s="93" t="n"/>
      <c r="B6" s="317" t="n"/>
      <c r="E6" s="93" t="n"/>
      <c r="F6" s="264" t="n"/>
      <c r="I6" s="93" t="n"/>
      <c r="J6" s="263" t="n"/>
      <c r="M6" s="93" t="n"/>
      <c r="N6" s="262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🎯 TARGET REACH</t>
        </is>
      </c>
      <c r="E8" s="93" t="n"/>
      <c r="F8" s="242" t="inlineStr">
        <is>
          <t>👥 ACTUAL REACH</t>
        </is>
      </c>
      <c r="I8" s="93" t="n"/>
      <c r="J8" s="230" t="inlineStr">
        <is>
          <t>📊 REACH %</t>
        </is>
      </c>
      <c r="M8" s="93" t="n"/>
      <c r="N8" s="243" t="inlineStr">
        <is>
          <t>🔴 HIGH PRIORITY</t>
        </is>
      </c>
      <c r="Q8" s="93" t="n"/>
    </row>
    <row r="9" ht="43.5" customHeight="1" s="15">
      <c r="A9" s="93" t="n"/>
      <c r="B9" s="265">
        <f>SUM('Safety Bulletins'!L$6:L$506)</f>
        <v/>
      </c>
      <c r="E9" s="93" t="n"/>
      <c r="F9" s="266">
        <f>SUM('Safety Bulletins'!M$6:M$506)</f>
        <v/>
      </c>
      <c r="I9" s="93" t="n"/>
      <c r="J9" s="318">
        <f>IF(SUM('Safety Bulletins'!L$6:L$506)=0,0,SUM('Safety Bulletins'!M$6:M$506)/SUM('Safety Bulletins'!L$6:L$506))</f>
        <v/>
      </c>
      <c r="M9" s="93" t="n"/>
      <c r="N9" s="277">
        <f>COUNTIF('Safety Bulletins'!J$6:J$506,"High")</f>
        <v/>
      </c>
      <c r="Q9" s="93" t="n"/>
    </row>
    <row r="10" ht="13.5" customHeight="1" s="15">
      <c r="A10" s="93" t="n"/>
      <c r="B10" s="268" t="n"/>
      <c r="E10" s="93" t="n"/>
      <c r="F10" s="269" t="n"/>
      <c r="I10" s="93" t="n"/>
      <c r="J10" s="262" t="n"/>
      <c r="M10" s="93" t="n"/>
      <c r="N10" s="270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19" t="inlineStr">
        <is>
          <t>📅  Monthly Trend</t>
        </is>
      </c>
      <c r="I12" s="93" t="n"/>
      <c r="J12" s="319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Issued</t>
        </is>
      </c>
      <c r="P13" s="59">
        <f>COUNTIF('Safety Bulletins'!K$6:K$506,"Issued")</f>
        <v/>
      </c>
      <c r="Q13" s="93" t="n"/>
    </row>
    <row r="14">
      <c r="A14" s="93" t="n"/>
      <c r="B14" s="59">
        <f>COUNTIF('Safety Bulletins'!D$6:D$506,"Jan")</f>
        <v/>
      </c>
      <c r="C14" s="59">
        <f>COUNTIF('Safety Bulletins'!D$6:D$506,"Feb")</f>
        <v/>
      </c>
      <c r="D14" s="59">
        <f>COUNTIF('Safety Bulletins'!D$6:D$506,"Mar")</f>
        <v/>
      </c>
      <c r="E14" s="59">
        <f>COUNTIF('Safety Bulletins'!D$6:D$506,"Apr")</f>
        <v/>
      </c>
      <c r="F14" s="59">
        <f>COUNTIF('Safety Bulletins'!D$6:D$506,"May")</f>
        <v/>
      </c>
      <c r="G14" s="59">
        <f>COUNTIF('Safety Bulletins'!D$6:D$506,"Jun")</f>
        <v/>
      </c>
      <c r="H14" s="59">
        <f>COUNTIF('Safety Bulletins'!D$6:D$506,"Jul")</f>
        <v/>
      </c>
      <c r="I14" s="59">
        <f>COUNTIF('Safety Bulletins'!D$6:D$506,"Aug")</f>
        <v/>
      </c>
      <c r="J14" s="59">
        <f>COUNTIF('Safety Bulletins'!D$6:D$506,"Sep")</f>
        <v/>
      </c>
      <c r="K14" s="59">
        <f>COUNTIF('Safety Bulletins'!D$6:D$506,"Oct")</f>
        <v/>
      </c>
      <c r="L14" s="59">
        <f>COUNTIF('Safety Bulletins'!D$6:D$506,"Nov")</f>
        <v/>
      </c>
      <c r="M14" s="59">
        <f>COUNTIF('Safety Bulletins'!D$6:D$506,"Dec")</f>
        <v/>
      </c>
      <c r="N14" s="94" t="n"/>
      <c r="O14" s="95" t="inlineStr">
        <is>
          <t>Acknowledged</t>
        </is>
      </c>
      <c r="P14" s="59">
        <f>COUNTIF('Safety Bulletins'!K$6:K$506,"Acknowledged")</f>
        <v/>
      </c>
      <c r="Q14" s="93" t="n"/>
    </row>
    <row r="15">
      <c r="A15" s="93" t="n"/>
      <c r="B15" s="60">
        <f>COUNTIFS('Safety Bulletins'!D$6:D$506,"Jan",'Safety Bulletins'!K$6:K$506,"Closed")</f>
        <v/>
      </c>
      <c r="C15" s="60">
        <f>COUNTIFS('Safety Bulletins'!D$6:D$506,"Feb",'Safety Bulletins'!K$6:K$506,"Closed")</f>
        <v/>
      </c>
      <c r="D15" s="60">
        <f>COUNTIFS('Safety Bulletins'!D$6:D$506,"Mar",'Safety Bulletins'!K$6:K$506,"Closed")</f>
        <v/>
      </c>
      <c r="E15" s="60">
        <f>COUNTIFS('Safety Bulletins'!D$6:D$506,"Apr",'Safety Bulletins'!K$6:K$506,"Closed")</f>
        <v/>
      </c>
      <c r="F15" s="60">
        <f>COUNTIFS('Safety Bulletins'!D$6:D$506,"May",'Safety Bulletins'!K$6:K$506,"Closed")</f>
        <v/>
      </c>
      <c r="G15" s="60">
        <f>COUNTIFS('Safety Bulletins'!D$6:D$506,"Jun",'Safety Bulletins'!K$6:K$506,"Closed")</f>
        <v/>
      </c>
      <c r="H15" s="60">
        <f>COUNTIFS('Safety Bulletins'!D$6:D$506,"Jul",'Safety Bulletins'!K$6:K$506,"Closed")</f>
        <v/>
      </c>
      <c r="I15" s="60">
        <f>COUNTIFS('Safety Bulletins'!D$6:D$506,"Aug",'Safety Bulletins'!K$6:K$506,"Closed")</f>
        <v/>
      </c>
      <c r="J15" s="60">
        <f>COUNTIFS('Safety Bulletins'!D$6:D$506,"Sep",'Safety Bulletins'!K$6:K$506,"Closed")</f>
        <v/>
      </c>
      <c r="K15" s="60">
        <f>COUNTIFS('Safety Bulletins'!D$6:D$506,"Oct",'Safety Bulletins'!K$6:K$506,"Closed")</f>
        <v/>
      </c>
      <c r="L15" s="60">
        <f>COUNTIFS('Safety Bulletins'!D$6:D$506,"Nov",'Safety Bulletins'!K$6:K$506,"Closed")</f>
        <v/>
      </c>
      <c r="M15" s="60">
        <f>COUNTIFS('Safety Bulletins'!D$6:D$506,"Dec",'Safety Bulletins'!K$6:K$506,"Closed")</f>
        <v/>
      </c>
      <c r="N15" s="94" t="n"/>
      <c r="O15" s="95" t="inlineStr">
        <is>
          <t>Closed</t>
        </is>
      </c>
      <c r="P15" s="59">
        <f>COUNTIF('Safety Bulletins'!K$6:K$506,"Closed")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19" t="inlineStr">
        <is>
          <t>🏢  Department Breakdown</t>
        </is>
      </c>
      <c r="I31" s="93" t="n"/>
      <c r="J31" s="319" t="inlineStr">
        <is>
          <t>🏷️  Bulletin Type Breakdown</t>
        </is>
      </c>
      <c r="Q31" s="93" t="n"/>
    </row>
    <row r="32" ht="56.25" customHeight="1" s="15">
      <c r="A32" s="93" t="n"/>
      <c r="B32" s="158" t="inlineStr">
        <is>
          <t>Department</t>
        </is>
      </c>
      <c r="C32" s="158" t="inlineStr">
        <is>
          <t>Count</t>
        </is>
      </c>
      <c r="D32" s="158" t="inlineStr">
        <is>
          <t>Closed</t>
        </is>
      </c>
      <c r="E32" s="158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Safety Alert</t>
        </is>
      </c>
      <c r="P32" s="59">
        <f>COUNTIF('Safety Bulletins'!E$6:E$506,O32)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COUNTIF('Safety Bulletins'!G$6:G$506,B33)</f>
        <v/>
      </c>
      <c r="D33" s="63">
        <f>COUNTIFS('Safety Bulletins'!G$6:G$506,B33,'Safety Bulletins'!K$6:K$506,"Closed")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Bulletin</t>
        </is>
      </c>
      <c r="P33" s="59">
        <f>COUNTIF('Safety Bulletins'!E$6:E$506,O33)</f>
        <v/>
      </c>
      <c r="Q33" s="93" t="n"/>
    </row>
    <row r="34">
      <c r="A34" s="93" t="n"/>
      <c r="B34" s="159" t="inlineStr">
        <is>
          <t>Maintenance</t>
        </is>
      </c>
      <c r="C34" s="160">
        <f>COUNTIF('Safety Bulletins'!G$6:G$506,B34)</f>
        <v/>
      </c>
      <c r="D34" s="160">
        <f>COUNTIFS('Safety Bulletins'!G$6:G$506,B34,'Safety Bulletins'!K$6:K$506,"Closed")</f>
        <v/>
      </c>
      <c r="E34" s="161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Toolbox Topic</t>
        </is>
      </c>
      <c r="P34" s="59">
        <f>COUNTIF('Safety Bulletins'!E$6:E$506,O34)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COUNTIF('Safety Bulletins'!G$6:G$506,B35)</f>
        <v/>
      </c>
      <c r="D35" s="63">
        <f>COUNTIFS('Safety Bulletins'!G$6:G$506,B35,'Safety Bulletins'!K$6:K$506,"Closed")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Lesson Learned</t>
        </is>
      </c>
      <c r="P35" s="59">
        <f>COUNTIF('Safety Bulletins'!E$6:E$506,O35)</f>
        <v/>
      </c>
      <c r="Q35" s="93" t="n"/>
    </row>
    <row r="36">
      <c r="A36" s="93" t="n"/>
      <c r="B36" s="159" t="inlineStr">
        <is>
          <t>Construction</t>
        </is>
      </c>
      <c r="C36" s="160">
        <f>COUNTIF('Safety Bulletins'!G$6:G$506,B36)</f>
        <v/>
      </c>
      <c r="D36" s="160">
        <f>COUNTIFS('Safety Bulletins'!G$6:G$506,B36,'Safety Bulletins'!K$6:K$506,"Closed")</f>
        <v/>
      </c>
      <c r="E36" s="161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Best Practice</t>
        </is>
      </c>
      <c r="P36" s="59">
        <f>COUNTIF('Safety Bulletins'!E$6:E$506,O36)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COUNTIF('Safety Bulletins'!G$6:G$506,B37)</f>
        <v/>
      </c>
      <c r="D37" s="63">
        <f>COUNTIFS('Safety Bulletins'!G$6:G$506,B37,'Safety Bulletins'!K$6:K$506,"Closed")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Advisory</t>
        </is>
      </c>
      <c r="P37" s="59">
        <f>COUNTIF('Safety Bulletins'!E$6:E$506,O37)</f>
        <v/>
      </c>
      <c r="Q37" s="93" t="n"/>
    </row>
    <row r="38">
      <c r="A38" s="93" t="n"/>
      <c r="B38" s="159" t="inlineStr">
        <is>
          <t>Logistics</t>
        </is>
      </c>
      <c r="C38" s="160">
        <f>COUNTIF('Safety Bulletins'!G$6:G$506,B38)</f>
        <v/>
      </c>
      <c r="D38" s="160">
        <f>COUNTIFS('Safety Bulletins'!G$6:G$506,B38,'Safety Bulletins'!K$6:K$506,"Closed")</f>
        <v/>
      </c>
      <c r="E38" s="161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COUNTIF('Safety Bulletins'!G$6:G$506,B39)</f>
        <v/>
      </c>
      <c r="D39" s="63">
        <f>COUNTIFS('Safety Bulletins'!G$6:G$506,B39,'Safety Bulletins'!K$6:K$506,"Closed")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59" t="inlineStr">
        <is>
          <t>Admin</t>
        </is>
      </c>
      <c r="C40" s="160">
        <f>COUNTIF('Safety Bulletins'!G$6:G$506,B40)</f>
        <v/>
      </c>
      <c r="D40" s="160">
        <f>COUNTIFS('Safety Bulletins'!G$6:G$506,B40,'Safety Bulletins'!K$6:K$506,"Closed")</f>
        <v/>
      </c>
      <c r="E40" s="161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COUNTIF('Safety Bulletins'!G$6:G$506,B41)</f>
        <v/>
      </c>
      <c r="D41" s="63">
        <f>COUNTIFS('Safety Bulletins'!G$6:G$506,B41,'Safety Bulletins'!K$6:K$506,"Closed")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59" t="inlineStr">
        <is>
          <t>Contractor</t>
        </is>
      </c>
      <c r="C42" s="160">
        <f>COUNTIF('Safety Bulletins'!G$6:G$506,B42)</f>
        <v/>
      </c>
      <c r="D42" s="160">
        <f>COUNTIFS('Safety Bulletins'!G$6:G$506,B42,'Safety Bulletins'!K$6:K$506,"Closed")</f>
        <v/>
      </c>
      <c r="E42" s="161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19" t="inlineStr">
        <is>
          <t>📈  Monthly Performance Matrix</t>
        </is>
      </c>
      <c r="Q45" s="93" t="n"/>
    </row>
    <row r="46" ht="33.75" customHeight="1" s="15">
      <c r="A46" s="93" t="n"/>
      <c r="B46" s="158" t="inlineStr">
        <is>
          <t>Metric</t>
        </is>
      </c>
      <c r="C46" s="158" t="inlineStr">
        <is>
          <t>Jan</t>
        </is>
      </c>
      <c r="D46" s="158" t="inlineStr">
        <is>
          <t>Feb</t>
        </is>
      </c>
      <c r="E46" s="158" t="inlineStr">
        <is>
          <t>Mar</t>
        </is>
      </c>
      <c r="F46" s="158" t="inlineStr">
        <is>
          <t>Apr</t>
        </is>
      </c>
      <c r="G46" s="158" t="inlineStr">
        <is>
          <t>May</t>
        </is>
      </c>
      <c r="H46" s="158" t="inlineStr">
        <is>
          <t>Jun</t>
        </is>
      </c>
      <c r="I46" s="158" t="inlineStr">
        <is>
          <t>Jul</t>
        </is>
      </c>
      <c r="J46" s="158" t="inlineStr">
        <is>
          <t>Aug</t>
        </is>
      </c>
      <c r="K46" s="158" t="inlineStr">
        <is>
          <t>Sep</t>
        </is>
      </c>
      <c r="L46" s="158" t="inlineStr">
        <is>
          <t>Oct</t>
        </is>
      </c>
      <c r="M46" s="158" t="inlineStr">
        <is>
          <t>Nov</t>
        </is>
      </c>
      <c r="N46" s="158" t="inlineStr">
        <is>
          <t>Dec</t>
        </is>
      </c>
      <c r="O46" s="158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COUNTIF('Safety Bulletins'!D$6:D$506,"Jan")</f>
        <v/>
      </c>
      <c r="D47" s="63">
        <f>COUNTIF('Safety Bulletins'!D$6:D$506,"Feb")</f>
        <v/>
      </c>
      <c r="E47" s="63">
        <f>COUNTIF('Safety Bulletins'!D$6:D$506,"Mar")</f>
        <v/>
      </c>
      <c r="F47" s="63">
        <f>COUNTIF('Safety Bulletins'!D$6:D$506,"Apr")</f>
        <v/>
      </c>
      <c r="G47" s="63">
        <f>COUNTIF('Safety Bulletins'!D$6:D$506,"May")</f>
        <v/>
      </c>
      <c r="H47" s="63">
        <f>COUNTIF('Safety Bulletins'!D$6:D$506,"Jun")</f>
        <v/>
      </c>
      <c r="I47" s="63">
        <f>COUNTIF('Safety Bulletins'!D$6:D$506,"Jul")</f>
        <v/>
      </c>
      <c r="J47" s="63">
        <f>COUNTIF('Safety Bulletins'!D$6:D$506,"Aug")</f>
        <v/>
      </c>
      <c r="K47" s="63">
        <f>COUNTIF('Safety Bulletins'!D$6:D$506,"Sep")</f>
        <v/>
      </c>
      <c r="L47" s="63">
        <f>COUNTIF('Safety Bulletins'!D$6:D$506,"Oct")</f>
        <v/>
      </c>
      <c r="M47" s="63">
        <f>COUNTIF('Safety Bulletins'!D$6:D$506,"Nov")</f>
        <v/>
      </c>
      <c r="N47" s="63">
        <f>COUNTIF('Safety Bulletins'!D$6:D$506,"Dec")</f>
        <v/>
      </c>
      <c r="O47" s="162">
        <f>SUM(C47:N47)</f>
        <v/>
      </c>
      <c r="P47" s="93" t="n"/>
      <c r="Q47" s="93" t="n"/>
    </row>
    <row r="48">
      <c r="A48" s="93" t="n"/>
      <c r="B48" s="163" t="inlineStr">
        <is>
          <t>Issued</t>
        </is>
      </c>
      <c r="C48" s="82">
        <f>COUNTIFS('Safety Bulletins'!D$6:D$506,"Jan",'Safety Bulletins'!K$6:K$506,"Issued")</f>
        <v/>
      </c>
      <c r="D48" s="82">
        <f>COUNTIFS('Safety Bulletins'!D$6:D$506,"Feb",'Safety Bulletins'!K$6:K$506,"Issued")</f>
        <v/>
      </c>
      <c r="E48" s="82">
        <f>COUNTIFS('Safety Bulletins'!D$6:D$506,"Mar",'Safety Bulletins'!K$6:K$506,"Issued")</f>
        <v/>
      </c>
      <c r="F48" s="82">
        <f>COUNTIFS('Safety Bulletins'!D$6:D$506,"Apr",'Safety Bulletins'!K$6:K$506,"Issued")</f>
        <v/>
      </c>
      <c r="G48" s="82">
        <f>COUNTIFS('Safety Bulletins'!D$6:D$506,"May",'Safety Bulletins'!K$6:K$506,"Issued")</f>
        <v/>
      </c>
      <c r="H48" s="82">
        <f>COUNTIFS('Safety Bulletins'!D$6:D$506,"Jun",'Safety Bulletins'!K$6:K$506,"Issued")</f>
        <v/>
      </c>
      <c r="I48" s="82">
        <f>COUNTIFS('Safety Bulletins'!D$6:D$506,"Jul",'Safety Bulletins'!K$6:K$506,"Issued")</f>
        <v/>
      </c>
      <c r="J48" s="82">
        <f>COUNTIFS('Safety Bulletins'!D$6:D$506,"Aug",'Safety Bulletins'!K$6:K$506,"Issued")</f>
        <v/>
      </c>
      <c r="K48" s="82">
        <f>COUNTIFS('Safety Bulletins'!D$6:D$506,"Sep",'Safety Bulletins'!K$6:K$506,"Issued")</f>
        <v/>
      </c>
      <c r="L48" s="82">
        <f>COUNTIFS('Safety Bulletins'!D$6:D$506,"Oct",'Safety Bulletins'!K$6:K$506,"Issued")</f>
        <v/>
      </c>
      <c r="M48" s="82">
        <f>COUNTIFS('Safety Bulletins'!D$6:D$506,"Nov",'Safety Bulletins'!K$6:K$506,"Issued")</f>
        <v/>
      </c>
      <c r="N48" s="82">
        <f>COUNTIFS('Safety Bulletins'!D$6:D$506,"Dec",'Safety Bulletins'!K$6:K$506,"Issued")</f>
        <v/>
      </c>
      <c r="O48" s="83">
        <f>SUM(C48:N48)</f>
        <v/>
      </c>
      <c r="P48" s="93" t="n"/>
      <c r="Q48" s="93" t="n"/>
    </row>
    <row r="49">
      <c r="A49" s="93" t="n"/>
      <c r="B49" s="113" t="inlineStr">
        <is>
          <t>Acknowledged</t>
        </is>
      </c>
      <c r="C49" s="114">
        <f>COUNTIFS('Safety Bulletins'!D$6:D$506,"Jan",'Safety Bulletins'!K$6:K$506,"Acknowledged")</f>
        <v/>
      </c>
      <c r="D49" s="114">
        <f>COUNTIFS('Safety Bulletins'!D$6:D$506,"Feb",'Safety Bulletins'!K$6:K$506,"Acknowledged")</f>
        <v/>
      </c>
      <c r="E49" s="114">
        <f>COUNTIFS('Safety Bulletins'!D$6:D$506,"Mar",'Safety Bulletins'!K$6:K$506,"Acknowledged")</f>
        <v/>
      </c>
      <c r="F49" s="114">
        <f>COUNTIFS('Safety Bulletins'!D$6:D$506,"Apr",'Safety Bulletins'!K$6:K$506,"Acknowledged")</f>
        <v/>
      </c>
      <c r="G49" s="114">
        <f>COUNTIFS('Safety Bulletins'!D$6:D$506,"May",'Safety Bulletins'!K$6:K$506,"Acknowledged")</f>
        <v/>
      </c>
      <c r="H49" s="114">
        <f>COUNTIFS('Safety Bulletins'!D$6:D$506,"Jun",'Safety Bulletins'!K$6:K$506,"Acknowledged")</f>
        <v/>
      </c>
      <c r="I49" s="114">
        <f>COUNTIFS('Safety Bulletins'!D$6:D$506,"Jul",'Safety Bulletins'!K$6:K$506,"Acknowledged")</f>
        <v/>
      </c>
      <c r="J49" s="114">
        <f>COUNTIFS('Safety Bulletins'!D$6:D$506,"Aug",'Safety Bulletins'!K$6:K$506,"Acknowledged")</f>
        <v/>
      </c>
      <c r="K49" s="114">
        <f>COUNTIFS('Safety Bulletins'!D$6:D$506,"Sep",'Safety Bulletins'!K$6:K$506,"Acknowledged")</f>
        <v/>
      </c>
      <c r="L49" s="114">
        <f>COUNTIFS('Safety Bulletins'!D$6:D$506,"Oct",'Safety Bulletins'!K$6:K$506,"Acknowledged")</f>
        <v/>
      </c>
      <c r="M49" s="114">
        <f>COUNTIFS('Safety Bulletins'!D$6:D$506,"Nov",'Safety Bulletins'!K$6:K$506,"Acknowledged")</f>
        <v/>
      </c>
      <c r="N49" s="114">
        <f>COUNTIFS('Safety Bulletins'!D$6:D$506,"Dec",'Safety Bulletins'!K$6:K$506,"Acknowledged")</f>
        <v/>
      </c>
      <c r="O49" s="115">
        <f>SUM(C49:N49)</f>
        <v/>
      </c>
      <c r="P49" s="93" t="n"/>
      <c r="Q49" s="93" t="n"/>
    </row>
    <row r="50">
      <c r="A50" s="93" t="n"/>
      <c r="B50" s="124" t="inlineStr">
        <is>
          <t>Closed</t>
        </is>
      </c>
      <c r="C50" s="76">
        <f>COUNTIFS('Safety Bulletins'!D$6:D$506,"Jan",'Safety Bulletins'!K$6:K$506,"Closed")</f>
        <v/>
      </c>
      <c r="D50" s="76">
        <f>COUNTIFS('Safety Bulletins'!D$6:D$506,"Feb",'Safety Bulletins'!K$6:K$506,"Closed")</f>
        <v/>
      </c>
      <c r="E50" s="76">
        <f>COUNTIFS('Safety Bulletins'!D$6:D$506,"Mar",'Safety Bulletins'!K$6:K$506,"Closed")</f>
        <v/>
      </c>
      <c r="F50" s="76">
        <f>COUNTIFS('Safety Bulletins'!D$6:D$506,"Apr",'Safety Bulletins'!K$6:K$506,"Closed")</f>
        <v/>
      </c>
      <c r="G50" s="76">
        <f>COUNTIFS('Safety Bulletins'!D$6:D$506,"May",'Safety Bulletins'!K$6:K$506,"Closed")</f>
        <v/>
      </c>
      <c r="H50" s="76">
        <f>COUNTIFS('Safety Bulletins'!D$6:D$506,"Jun",'Safety Bulletins'!K$6:K$506,"Closed")</f>
        <v/>
      </c>
      <c r="I50" s="76">
        <f>COUNTIFS('Safety Bulletins'!D$6:D$506,"Jul",'Safety Bulletins'!K$6:K$506,"Closed")</f>
        <v/>
      </c>
      <c r="J50" s="76">
        <f>COUNTIFS('Safety Bulletins'!D$6:D$506,"Aug",'Safety Bulletins'!K$6:K$506,"Closed")</f>
        <v/>
      </c>
      <c r="K50" s="76">
        <f>COUNTIFS('Safety Bulletins'!D$6:D$506,"Sep",'Safety Bulletins'!K$6:K$506,"Closed")</f>
        <v/>
      </c>
      <c r="L50" s="76">
        <f>COUNTIFS('Safety Bulletins'!D$6:D$506,"Oct",'Safety Bulletins'!K$6:K$506,"Closed")</f>
        <v/>
      </c>
      <c r="M50" s="76">
        <f>COUNTIFS('Safety Bulletins'!D$6:D$506,"Nov",'Safety Bulletins'!K$6:K$506,"Closed")</f>
        <v/>
      </c>
      <c r="N50" s="76">
        <f>COUNTIFS('Safety Bulletins'!D$6:D$506,"Dec",'Safety Bulletins'!K$6:K$506,"Closed")</f>
        <v/>
      </c>
      <c r="O50" s="77">
        <f>SUM(C50:N50)</f>
        <v/>
      </c>
      <c r="P50" s="93" t="n"/>
      <c r="Q50" s="93" t="n"/>
    </row>
    <row r="51">
      <c r="A51" s="93" t="n"/>
      <c r="B51" s="164" t="inlineStr">
        <is>
          <t>Rate %</t>
        </is>
      </c>
      <c r="C51" s="165">
        <f>IF(C47=0,0,C48/C47)</f>
        <v/>
      </c>
      <c r="D51" s="165">
        <f>IF(D47=0,0,D48/D47)</f>
        <v/>
      </c>
      <c r="E51" s="165">
        <f>IF(E47=0,0,E48/E47)</f>
        <v/>
      </c>
      <c r="F51" s="165">
        <f>IF(F47=0,0,F48/F47)</f>
        <v/>
      </c>
      <c r="G51" s="165">
        <f>IF(G47=0,0,G48/G47)</f>
        <v/>
      </c>
      <c r="H51" s="165">
        <f>IF(H47=0,0,H48/H47)</f>
        <v/>
      </c>
      <c r="I51" s="165">
        <f>IF(I47=0,0,I48/I47)</f>
        <v/>
      </c>
      <c r="J51" s="165">
        <f>IF(J47=0,0,J48/J47)</f>
        <v/>
      </c>
      <c r="K51" s="165">
        <f>IF(K47=0,0,K48/K47)</f>
        <v/>
      </c>
      <c r="L51" s="165">
        <f>IF(L47=0,0,L48/L47)</f>
        <v/>
      </c>
      <c r="M51" s="165">
        <f>IF(M47=0,0,M48/M47)</f>
        <v/>
      </c>
      <c r="N51" s="165">
        <f>IF(N47=0,0,N48/N47)</f>
        <v/>
      </c>
      <c r="O51" s="165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FFCA28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FFCA28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🚨  DASHBOARD – EMERGENCY DRILLS</t>
        </is>
      </c>
    </row>
    <row r="2" ht="24" customHeight="1" s="15">
      <c r="A2" s="320" t="inlineStr">
        <is>
          <t>Live data from 'Emergency Drills'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📋 TOTAL DRILLS</t>
        </is>
      </c>
      <c r="E4" s="93" t="n"/>
      <c r="F4" s="230" t="inlineStr">
        <is>
          <t>✅ COMPLETED</t>
        </is>
      </c>
      <c r="I4" s="93" t="n"/>
      <c r="J4" s="231" t="inlineStr">
        <is>
          <t>⏳ PENDING</t>
        </is>
      </c>
      <c r="M4" s="93" t="n"/>
      <c r="N4" s="258" t="inlineStr">
        <is>
          <t>👥 AVG PARTICIPATION</t>
        </is>
      </c>
      <c r="Q4" s="93" t="n"/>
    </row>
    <row r="5" ht="43.5" customHeight="1" s="15">
      <c r="A5" s="93" t="n"/>
      <c r="B5" s="290">
        <f>COUNTA('Emergency Drills'!B$6:B$506)</f>
        <v/>
      </c>
      <c r="E5" s="93" t="n"/>
      <c r="F5" s="234">
        <f>COUNTIF('Emergency Drills'!O$6:O$506,"Completed")</f>
        <v/>
      </c>
      <c r="I5" s="93" t="n"/>
      <c r="J5" s="235">
        <f>COUNTIF('Emergency Drills'!O$6:O$506,"Action Pending")</f>
        <v/>
      </c>
      <c r="M5" s="93" t="n"/>
      <c r="N5" s="260">
        <f>IFERROR(AVERAGE('Emergency Drills'!J$6:J$506),0)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🎯 TARGET RESP</t>
        </is>
      </c>
      <c r="E8" s="93" t="n"/>
      <c r="F8" s="243" t="inlineStr">
        <is>
          <t>⏱️ ACTUAL RESP</t>
        </is>
      </c>
      <c r="I8" s="93" t="n"/>
      <c r="J8" s="242" t="inlineStr">
        <is>
          <t>📊 TOTAL PARTICIPANTS</t>
        </is>
      </c>
      <c r="M8" s="93" t="n"/>
      <c r="N8" s="231" t="inlineStr">
        <is>
          <t>⚠️ IMPROVEMENTS</t>
        </is>
      </c>
      <c r="Q8" s="93" t="n"/>
    </row>
    <row r="9" ht="43.5" customHeight="1" s="15">
      <c r="A9" s="93" t="n"/>
      <c r="B9" s="321">
        <f>IFERROR(AVERAGE('Emergency Drills'!K$6:K$506),0)</f>
        <v/>
      </c>
      <c r="E9" s="93" t="n"/>
      <c r="F9" s="267">
        <f>IFERROR(AVERAGE('Emergency Drills'!L$6:L$506),0)</f>
        <v/>
      </c>
      <c r="I9" s="93" t="n"/>
      <c r="J9" s="266">
        <f>SUM('Emergency Drills'!I$6:I$506)</f>
        <v/>
      </c>
      <c r="M9" s="93" t="n"/>
      <c r="N9" s="235">
        <f>SUM('Emergency Drills'!N$6:N$506)</f>
        <v/>
      </c>
      <c r="Q9" s="93" t="n"/>
    </row>
    <row r="10" ht="13.5" customHeight="1" s="15">
      <c r="A10" s="93" t="n"/>
      <c r="B10" s="268" t="n"/>
      <c r="E10" s="93" t="n"/>
      <c r="F10" s="270" t="n"/>
      <c r="I10" s="93" t="n"/>
      <c r="J10" s="269" t="n"/>
      <c r="M10" s="93" t="n"/>
      <c r="N10" s="263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COUNTIF('Emergency Drills'!O$6:O$506,"Completed")</f>
        <v/>
      </c>
      <c r="Q13" s="93" t="n"/>
    </row>
    <row r="14">
      <c r="A14" s="93" t="n"/>
      <c r="B14" s="59">
        <f>COUNTIF('Emergency Drills'!D$6:D$506,"Jan")</f>
        <v/>
      </c>
      <c r="C14" s="59">
        <f>COUNTIF('Emergency Drills'!D$6:D$506,"Feb")</f>
        <v/>
      </c>
      <c r="D14" s="59">
        <f>COUNTIF('Emergency Drills'!D$6:D$506,"Mar")</f>
        <v/>
      </c>
      <c r="E14" s="59">
        <f>COUNTIF('Emergency Drills'!D$6:D$506,"Apr")</f>
        <v/>
      </c>
      <c r="F14" s="59">
        <f>COUNTIF('Emergency Drills'!D$6:D$506,"May")</f>
        <v/>
      </c>
      <c r="G14" s="59">
        <f>COUNTIF('Emergency Drills'!D$6:D$506,"Jun")</f>
        <v/>
      </c>
      <c r="H14" s="59">
        <f>COUNTIF('Emergency Drills'!D$6:D$506,"Jul")</f>
        <v/>
      </c>
      <c r="I14" s="59">
        <f>COUNTIF('Emergency Drills'!D$6:D$506,"Aug")</f>
        <v/>
      </c>
      <c r="J14" s="59">
        <f>COUNTIF('Emergency Drills'!D$6:D$506,"Sep")</f>
        <v/>
      </c>
      <c r="K14" s="59">
        <f>COUNTIF('Emergency Drills'!D$6:D$506,"Oct")</f>
        <v/>
      </c>
      <c r="L14" s="59">
        <f>COUNTIF('Emergency Drills'!D$6:D$506,"Nov")</f>
        <v/>
      </c>
      <c r="M14" s="59">
        <f>COUNTIF('Emergency Drills'!D$6:D$506,"Dec")</f>
        <v/>
      </c>
      <c r="N14" s="94" t="n"/>
      <c r="O14" s="95" t="inlineStr">
        <is>
          <t>Action Pending</t>
        </is>
      </c>
      <c r="P14" s="59">
        <f>COUNTIF('Emergency Drills'!O$6:O$506,"Action Pending")</f>
        <v/>
      </c>
      <c r="Q14" s="93" t="n"/>
    </row>
    <row r="15">
      <c r="A15" s="93" t="n"/>
      <c r="B15" s="60">
        <f>COUNTIFS('Emergency Drills'!D$6:D$506,"Jan",'Emergency Drills'!O$6:O$506,"Completed")</f>
        <v/>
      </c>
      <c r="C15" s="60">
        <f>COUNTIFS('Emergency Drills'!D$6:D$506,"Feb",'Emergency Drills'!O$6:O$506,"Completed")</f>
        <v/>
      </c>
      <c r="D15" s="60">
        <f>COUNTIFS('Emergency Drills'!D$6:D$506,"Mar",'Emergency Drills'!O$6:O$506,"Completed")</f>
        <v/>
      </c>
      <c r="E15" s="60">
        <f>COUNTIFS('Emergency Drills'!D$6:D$506,"Apr",'Emergency Drills'!O$6:O$506,"Completed")</f>
        <v/>
      </c>
      <c r="F15" s="60">
        <f>COUNTIFS('Emergency Drills'!D$6:D$506,"May",'Emergency Drills'!O$6:O$506,"Completed")</f>
        <v/>
      </c>
      <c r="G15" s="60">
        <f>COUNTIFS('Emergency Drills'!D$6:D$506,"Jun",'Emergency Drills'!O$6:O$506,"Completed")</f>
        <v/>
      </c>
      <c r="H15" s="60">
        <f>COUNTIFS('Emergency Drills'!D$6:D$506,"Jul",'Emergency Drills'!O$6:O$506,"Completed")</f>
        <v/>
      </c>
      <c r="I15" s="60">
        <f>COUNTIFS('Emergency Drills'!D$6:D$506,"Aug",'Emergency Drills'!O$6:O$506,"Completed")</f>
        <v/>
      </c>
      <c r="J15" s="60">
        <f>COUNTIFS('Emergency Drills'!D$6:D$506,"Sep",'Emergency Drills'!O$6:O$506,"Completed")</f>
        <v/>
      </c>
      <c r="K15" s="60">
        <f>COUNTIFS('Emergency Drills'!D$6:D$506,"Oct",'Emergency Drills'!O$6:O$506,"Completed")</f>
        <v/>
      </c>
      <c r="L15" s="60">
        <f>COUNTIFS('Emergency Drills'!D$6:D$506,"Nov",'Emergency Drills'!O$6:O$506,"Completed")</f>
        <v/>
      </c>
      <c r="M15" s="60">
        <f>COUNTIFS('Emergency Drills'!D$6:D$506,"Dec",'Emergency Drills'!O$6:O$506,"Completed")</f>
        <v/>
      </c>
      <c r="N15" s="94" t="n"/>
      <c r="O15" s="95" t="inlineStr">
        <is>
          <t>Rescheduled</t>
        </is>
      </c>
      <c r="P15" s="59">
        <f>COUNTIF('Emergency Drills'!O$6:O$506,"Rescheduled")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Drill Type Breakdown</t>
        </is>
      </c>
      <c r="Q31" s="93" t="n"/>
    </row>
    <row r="32" ht="56.25" customHeight="1" s="15">
      <c r="A32" s="93" t="n"/>
      <c r="B32" s="166" t="inlineStr">
        <is>
          <t>Department</t>
        </is>
      </c>
      <c r="C32" s="166" t="inlineStr">
        <is>
          <t>Count</t>
        </is>
      </c>
      <c r="D32" s="166" t="inlineStr">
        <is>
          <t>Completed</t>
        </is>
      </c>
      <c r="E32" s="166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Fire Evacuation</t>
        </is>
      </c>
      <c r="P32" s="59">
        <f>COUNTIF('Emergency Drills'!E$6:E$506,O32)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COUNTIF('Emergency Drills'!F$6:F$506,B33)</f>
        <v/>
      </c>
      <c r="D33" s="63">
        <f>COUNTIFS('Emergency Drills'!F$6:F$506,B33,'Emergency Drills'!O$6:O$506,"Completed")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Chemical Spill</t>
        </is>
      </c>
      <c r="P33" s="59">
        <f>COUNTIF('Emergency Drills'!E$6:E$506,O33)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COUNTIF('Emergency Drills'!F$6:F$506,B34)</f>
        <v/>
      </c>
      <c r="D34" s="135">
        <f>COUNTIFS('Emergency Drills'!F$6:F$506,B34,'Emergency Drills'!O$6:O$506,"Completed")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Medical Emergency</t>
        </is>
      </c>
      <c r="P34" s="59">
        <f>COUNTIF('Emergency Drills'!E$6:E$506,O34)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COUNTIF('Emergency Drills'!F$6:F$506,B35)</f>
        <v/>
      </c>
      <c r="D35" s="63">
        <f>COUNTIFS('Emergency Drills'!F$6:F$506,B35,'Emergency Drills'!O$6:O$506,"Completed")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Earthquake</t>
        </is>
      </c>
      <c r="P35" s="59">
        <f>COUNTIF('Emergency Drills'!E$6:E$506,O35)</f>
        <v/>
      </c>
      <c r="Q35" s="93" t="n"/>
    </row>
    <row r="36">
      <c r="A36" s="93" t="n"/>
      <c r="B36" s="134" t="inlineStr">
        <is>
          <t>Construction</t>
        </is>
      </c>
      <c r="C36" s="135">
        <f>COUNTIF('Emergency Drills'!F$6:F$506,B36)</f>
        <v/>
      </c>
      <c r="D36" s="135">
        <f>COUNTIFS('Emergency Drills'!F$6:F$506,B36,'Emergency Drills'!O$6:O$506,"Completed")</f>
        <v/>
      </c>
      <c r="E36" s="136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Gas Leak</t>
        </is>
      </c>
      <c r="P36" s="59">
        <f>COUNTIF('Emergency Drills'!E$6:E$506,O36)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COUNTIF('Emergency Drills'!F$6:F$506,B37)</f>
        <v/>
      </c>
      <c r="D37" s="63">
        <f>COUNTIFS('Emergency Drills'!F$6:F$506,B37,'Emergency Drills'!O$6:O$506,"Completed")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Confined Space Rescue</t>
        </is>
      </c>
      <c r="P37" s="59">
        <f>COUNTIF('Emergency Drills'!E$6:E$506,O37)</f>
        <v/>
      </c>
      <c r="Q37" s="93" t="n"/>
    </row>
    <row r="38">
      <c r="A38" s="93" t="n"/>
      <c r="B38" s="134" t="inlineStr">
        <is>
          <t>Logistics</t>
        </is>
      </c>
      <c r="C38" s="135">
        <f>COUNTIF('Emergency Drills'!F$6:F$506,B38)</f>
        <v/>
      </c>
      <c r="D38" s="135">
        <f>COUNTIFS('Emergency Drills'!F$6:F$506,B38,'Emergency Drills'!O$6:O$506,"Completed")</f>
        <v/>
      </c>
      <c r="E38" s="136">
        <f>IF(C38=0,0,D38/C38)</f>
        <v/>
      </c>
      <c r="F38" s="93" t="n"/>
      <c r="G38" s="93" t="n"/>
      <c r="H38" s="93" t="n"/>
      <c r="I38" s="93" t="n"/>
      <c r="J38" s="94" t="n"/>
      <c r="K38" s="94" t="n"/>
      <c r="L38" s="94" t="n"/>
      <c r="M38" s="94" t="n"/>
      <c r="N38" s="94" t="n"/>
      <c r="O38" s="95" t="inlineStr">
        <is>
          <t>Bomb Threat</t>
        </is>
      </c>
      <c r="P38" s="59">
        <f>COUNTIF('Emergency Drills'!E$6:E$506,O38)</f>
        <v/>
      </c>
      <c r="Q38" s="93" t="n"/>
    </row>
    <row r="39">
      <c r="A39" s="93" t="n"/>
      <c r="B39" s="97" t="inlineStr">
        <is>
          <t>Quality</t>
        </is>
      </c>
      <c r="C39" s="63">
        <f>COUNTIF('Emergency Drills'!F$6:F$506,B39)</f>
        <v/>
      </c>
      <c r="D39" s="63">
        <f>COUNTIFS('Emergency Drills'!F$6:F$506,B39,'Emergency Drills'!O$6:O$506,"Completed")</f>
        <v/>
      </c>
      <c r="E39" s="64">
        <f>IF(C39=0,0,D39/C39)</f>
        <v/>
      </c>
      <c r="F39" s="93" t="n"/>
      <c r="G39" s="93" t="n"/>
      <c r="H39" s="93" t="n"/>
      <c r="I39" s="93" t="n"/>
      <c r="J39" s="94" t="n"/>
      <c r="K39" s="94" t="n"/>
      <c r="L39" s="94" t="n"/>
      <c r="M39" s="94" t="n"/>
      <c r="N39" s="94" t="n"/>
      <c r="O39" s="95" t="inlineStr">
        <is>
          <t>Natural Disaster</t>
        </is>
      </c>
      <c r="P39" s="59">
        <f>COUNTIF('Emergency Drills'!E$6:E$506,O39)</f>
        <v/>
      </c>
      <c r="Q39" s="93" t="n"/>
    </row>
    <row r="40">
      <c r="A40" s="93" t="n"/>
      <c r="B40" s="134" t="inlineStr">
        <is>
          <t>Admin</t>
        </is>
      </c>
      <c r="C40" s="135">
        <f>COUNTIF('Emergency Drills'!F$6:F$506,B40)</f>
        <v/>
      </c>
      <c r="D40" s="135">
        <f>COUNTIFS('Emergency Drills'!F$6:F$506,B40,'Emergency Drills'!O$6:O$506,"Completed")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COUNTIF('Emergency Drills'!F$6:F$506,B41)</f>
        <v/>
      </c>
      <c r="D41" s="63">
        <f>COUNTIFS('Emergency Drills'!F$6:F$506,B41,'Emergency Drills'!O$6:O$506,"Completed")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COUNTIF('Emergency Drills'!F$6:F$506,B42)</f>
        <v/>
      </c>
      <c r="D42" s="135">
        <f>COUNTIFS('Emergency Drills'!F$6:F$506,B42,'Emergency Drills'!O$6:O$506,"Completed")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66" t="inlineStr">
        <is>
          <t>Metric</t>
        </is>
      </c>
      <c r="C46" s="166" t="inlineStr">
        <is>
          <t>Jan</t>
        </is>
      </c>
      <c r="D46" s="166" t="inlineStr">
        <is>
          <t>Feb</t>
        </is>
      </c>
      <c r="E46" s="166" t="inlineStr">
        <is>
          <t>Mar</t>
        </is>
      </c>
      <c r="F46" s="166" t="inlineStr">
        <is>
          <t>Apr</t>
        </is>
      </c>
      <c r="G46" s="166" t="inlineStr">
        <is>
          <t>May</t>
        </is>
      </c>
      <c r="H46" s="166" t="inlineStr">
        <is>
          <t>Jun</t>
        </is>
      </c>
      <c r="I46" s="166" t="inlineStr">
        <is>
          <t>Jul</t>
        </is>
      </c>
      <c r="J46" s="166" t="inlineStr">
        <is>
          <t>Aug</t>
        </is>
      </c>
      <c r="K46" s="166" t="inlineStr">
        <is>
          <t>Sep</t>
        </is>
      </c>
      <c r="L46" s="166" t="inlineStr">
        <is>
          <t>Oct</t>
        </is>
      </c>
      <c r="M46" s="166" t="inlineStr">
        <is>
          <t>Nov</t>
        </is>
      </c>
      <c r="N46" s="166" t="inlineStr">
        <is>
          <t>Dec</t>
        </is>
      </c>
      <c r="O46" s="166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COUNTIF('Emergency Drills'!D$6:D$506,"Jan")</f>
        <v/>
      </c>
      <c r="D47" s="63">
        <f>COUNTIF('Emergency Drills'!D$6:D$506,"Feb")</f>
        <v/>
      </c>
      <c r="E47" s="63">
        <f>COUNTIF('Emergency Drills'!D$6:D$506,"Mar")</f>
        <v/>
      </c>
      <c r="F47" s="63">
        <f>COUNTIF('Emergency Drills'!D$6:D$506,"Apr")</f>
        <v/>
      </c>
      <c r="G47" s="63">
        <f>COUNTIF('Emergency Drills'!D$6:D$506,"May")</f>
        <v/>
      </c>
      <c r="H47" s="63">
        <f>COUNTIF('Emergency Drills'!D$6:D$506,"Jun")</f>
        <v/>
      </c>
      <c r="I47" s="63">
        <f>COUNTIF('Emergency Drills'!D$6:D$506,"Jul")</f>
        <v/>
      </c>
      <c r="J47" s="63">
        <f>COUNTIF('Emergency Drills'!D$6:D$506,"Aug")</f>
        <v/>
      </c>
      <c r="K47" s="63">
        <f>COUNTIF('Emergency Drills'!D$6:D$506,"Sep")</f>
        <v/>
      </c>
      <c r="L47" s="63">
        <f>COUNTIF('Emergency Drills'!D$6:D$506,"Oct")</f>
        <v/>
      </c>
      <c r="M47" s="63">
        <f>COUNTIF('Emergency Drills'!D$6:D$506,"Nov")</f>
        <v/>
      </c>
      <c r="N47" s="63">
        <f>COUNTIF('Emergency Drills'!D$6:D$506,"Dec")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COUNTIFS('Emergency Drills'!D$6:D$506,"Jan",'Emergency Drills'!O$6:O$506,"Completed")</f>
        <v/>
      </c>
      <c r="D48" s="76">
        <f>COUNTIFS('Emergency Drills'!D$6:D$506,"Feb",'Emergency Drills'!O$6:O$506,"Completed")</f>
        <v/>
      </c>
      <c r="E48" s="76">
        <f>COUNTIFS('Emergency Drills'!D$6:D$506,"Mar",'Emergency Drills'!O$6:O$506,"Completed")</f>
        <v/>
      </c>
      <c r="F48" s="76">
        <f>COUNTIFS('Emergency Drills'!D$6:D$506,"Apr",'Emergency Drills'!O$6:O$506,"Completed")</f>
        <v/>
      </c>
      <c r="G48" s="76">
        <f>COUNTIFS('Emergency Drills'!D$6:D$506,"May",'Emergency Drills'!O$6:O$506,"Completed")</f>
        <v/>
      </c>
      <c r="H48" s="76">
        <f>COUNTIFS('Emergency Drills'!D$6:D$506,"Jun",'Emergency Drills'!O$6:O$506,"Completed")</f>
        <v/>
      </c>
      <c r="I48" s="76">
        <f>COUNTIFS('Emergency Drills'!D$6:D$506,"Jul",'Emergency Drills'!O$6:O$506,"Completed")</f>
        <v/>
      </c>
      <c r="J48" s="76">
        <f>COUNTIFS('Emergency Drills'!D$6:D$506,"Aug",'Emergency Drills'!O$6:O$506,"Completed")</f>
        <v/>
      </c>
      <c r="K48" s="76">
        <f>COUNTIFS('Emergency Drills'!D$6:D$506,"Sep",'Emergency Drills'!O$6:O$506,"Completed")</f>
        <v/>
      </c>
      <c r="L48" s="76">
        <f>COUNTIFS('Emergency Drills'!D$6:D$506,"Oct",'Emergency Drills'!O$6:O$506,"Completed")</f>
        <v/>
      </c>
      <c r="M48" s="76">
        <f>COUNTIFS('Emergency Drills'!D$6:D$506,"Nov",'Emergency Drills'!O$6:O$506,"Completed")</f>
        <v/>
      </c>
      <c r="N48" s="76">
        <f>COUNTIFS('Emergency Drills'!D$6:D$506,"Dec",'Emergency Drills'!O$6:O$506,"Completed")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Action Pending</t>
        </is>
      </c>
      <c r="C49" s="114">
        <f>COUNTIFS('Emergency Drills'!D$6:D$506,"Jan",'Emergency Drills'!O$6:O$506,"Action Pending")</f>
        <v/>
      </c>
      <c r="D49" s="114">
        <f>COUNTIFS('Emergency Drills'!D$6:D$506,"Feb",'Emergency Drills'!O$6:O$506,"Action Pending")</f>
        <v/>
      </c>
      <c r="E49" s="114">
        <f>COUNTIFS('Emergency Drills'!D$6:D$506,"Mar",'Emergency Drills'!O$6:O$506,"Action Pending")</f>
        <v/>
      </c>
      <c r="F49" s="114">
        <f>COUNTIFS('Emergency Drills'!D$6:D$506,"Apr",'Emergency Drills'!O$6:O$506,"Action Pending")</f>
        <v/>
      </c>
      <c r="G49" s="114">
        <f>COUNTIFS('Emergency Drills'!D$6:D$506,"May",'Emergency Drills'!O$6:O$506,"Action Pending")</f>
        <v/>
      </c>
      <c r="H49" s="114">
        <f>COUNTIFS('Emergency Drills'!D$6:D$506,"Jun",'Emergency Drills'!O$6:O$506,"Action Pending")</f>
        <v/>
      </c>
      <c r="I49" s="114">
        <f>COUNTIFS('Emergency Drills'!D$6:D$506,"Jul",'Emergency Drills'!O$6:O$506,"Action Pending")</f>
        <v/>
      </c>
      <c r="J49" s="114">
        <f>COUNTIFS('Emergency Drills'!D$6:D$506,"Aug",'Emergency Drills'!O$6:O$506,"Action Pending")</f>
        <v/>
      </c>
      <c r="K49" s="114">
        <f>COUNTIFS('Emergency Drills'!D$6:D$506,"Sep",'Emergency Drills'!O$6:O$506,"Action Pending")</f>
        <v/>
      </c>
      <c r="L49" s="114">
        <f>COUNTIFS('Emergency Drills'!D$6:D$506,"Oct",'Emergency Drills'!O$6:O$506,"Action Pending")</f>
        <v/>
      </c>
      <c r="M49" s="114">
        <f>COUNTIFS('Emergency Drills'!D$6:D$506,"Nov",'Emergency Drills'!O$6:O$506,"Action Pending")</f>
        <v/>
      </c>
      <c r="N49" s="114">
        <f>COUNTIFS('Emergency Drills'!D$6:D$506,"Dec",'Emergency Drills'!O$6:O$506,"Action Pending")</f>
        <v/>
      </c>
      <c r="O49" s="115">
        <f>SUM(C49:N49)</f>
        <v/>
      </c>
      <c r="P49" s="93" t="n"/>
      <c r="Q49" s="93" t="n"/>
    </row>
    <row r="50">
      <c r="A50" s="93" t="n"/>
      <c r="B50" s="167" t="inlineStr">
        <is>
          <t>Rescheduled</t>
        </is>
      </c>
      <c r="C50" s="168">
        <f>COUNTIFS('Emergency Drills'!D$6:D$506,"Jan",'Emergency Drills'!O$6:O$506,"Rescheduled")</f>
        <v/>
      </c>
      <c r="D50" s="168">
        <f>COUNTIFS('Emergency Drills'!D$6:D$506,"Feb",'Emergency Drills'!O$6:O$506,"Rescheduled")</f>
        <v/>
      </c>
      <c r="E50" s="168">
        <f>COUNTIFS('Emergency Drills'!D$6:D$506,"Mar",'Emergency Drills'!O$6:O$506,"Rescheduled")</f>
        <v/>
      </c>
      <c r="F50" s="168">
        <f>COUNTIFS('Emergency Drills'!D$6:D$506,"Apr",'Emergency Drills'!O$6:O$506,"Rescheduled")</f>
        <v/>
      </c>
      <c r="G50" s="168">
        <f>COUNTIFS('Emergency Drills'!D$6:D$506,"May",'Emergency Drills'!O$6:O$506,"Rescheduled")</f>
        <v/>
      </c>
      <c r="H50" s="168">
        <f>COUNTIFS('Emergency Drills'!D$6:D$506,"Jun",'Emergency Drills'!O$6:O$506,"Rescheduled")</f>
        <v/>
      </c>
      <c r="I50" s="168">
        <f>COUNTIFS('Emergency Drills'!D$6:D$506,"Jul",'Emergency Drills'!O$6:O$506,"Rescheduled")</f>
        <v/>
      </c>
      <c r="J50" s="168">
        <f>COUNTIFS('Emergency Drills'!D$6:D$506,"Aug",'Emergency Drills'!O$6:O$506,"Rescheduled")</f>
        <v/>
      </c>
      <c r="K50" s="168">
        <f>COUNTIFS('Emergency Drills'!D$6:D$506,"Sep",'Emergency Drills'!O$6:O$506,"Rescheduled")</f>
        <v/>
      </c>
      <c r="L50" s="168">
        <f>COUNTIFS('Emergency Drills'!D$6:D$506,"Oct",'Emergency Drills'!O$6:O$506,"Rescheduled")</f>
        <v/>
      </c>
      <c r="M50" s="168">
        <f>COUNTIFS('Emergency Drills'!D$6:D$506,"Nov",'Emergency Drills'!O$6:O$506,"Rescheduled")</f>
        <v/>
      </c>
      <c r="N50" s="168">
        <f>COUNTIFS('Emergency Drills'!D$6:D$506,"Dec",'Emergency Drills'!O$6:O$506,"Rescheduled")</f>
        <v/>
      </c>
      <c r="O50" s="169">
        <f>SUM(C50:N50)</f>
        <v/>
      </c>
      <c r="P50" s="93" t="n"/>
      <c r="Q50" s="93" t="n"/>
    </row>
    <row r="51">
      <c r="A51" s="93" t="n"/>
      <c r="B51" s="116" t="inlineStr">
        <is>
          <t>Rate %</t>
        </is>
      </c>
      <c r="C51" s="138">
        <f>IF(C47=0,0,C48/C47)</f>
        <v/>
      </c>
      <c r="D51" s="138">
        <f>IF(D47=0,0,D48/D47)</f>
        <v/>
      </c>
      <c r="E51" s="138">
        <f>IF(E47=0,0,E48/E47)</f>
        <v/>
      </c>
      <c r="F51" s="138">
        <f>IF(F47=0,0,F48/F47)</f>
        <v/>
      </c>
      <c r="G51" s="138">
        <f>IF(G47=0,0,G48/G47)</f>
        <v/>
      </c>
      <c r="H51" s="138">
        <f>IF(H47=0,0,H48/H47)</f>
        <v/>
      </c>
      <c r="I51" s="138">
        <f>IF(I47=0,0,I48/I47)</f>
        <v/>
      </c>
      <c r="J51" s="138">
        <f>IF(J47=0,0,J48/J47)</f>
        <v/>
      </c>
      <c r="K51" s="138">
        <f>IF(K47=0,0,K48/K47)</f>
        <v/>
      </c>
      <c r="L51" s="138">
        <f>IF(L47=0,0,L48/L47)</f>
        <v/>
      </c>
      <c r="M51" s="138">
        <f>IF(M47=0,0,M48/M47)</f>
        <v/>
      </c>
      <c r="N51" s="138">
        <f>IF(N47=0,0,N48/N47)</f>
        <v/>
      </c>
      <c r="O51" s="138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tabColor rgb="FF1A237E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99" t="inlineStr">
        <is>
          <t>📑  DASHBOARD – INTERNAL AUDITS</t>
        </is>
      </c>
    </row>
    <row r="2" ht="24" customHeight="1" s="15">
      <c r="A2" s="300" t="inlineStr">
        <is>
          <t>Live data from 'Internal Audits'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01" t="inlineStr">
        <is>
          <t>📋 TOTAL AUDITS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58" t="inlineStr">
        <is>
          <t>📅 SCHEDULED</t>
        </is>
      </c>
      <c r="Q4" s="93" t="n"/>
    </row>
    <row r="5" ht="43.5" customHeight="1" s="15">
      <c r="A5" s="93" t="n"/>
      <c r="B5" s="302">
        <f>COUNTA('Internal Audits'!B$6:B$506)</f>
        <v/>
      </c>
      <c r="E5" s="93" t="n"/>
      <c r="F5" s="234">
        <f>COUNTIF('Internal Audits'!P$6:P$506,"Completed")</f>
        <v/>
      </c>
      <c r="I5" s="93" t="n"/>
      <c r="J5" s="235">
        <f>COUNTIF('Internal Audits'!P$6:P$506,"In Progress")</f>
        <v/>
      </c>
      <c r="M5" s="93" t="n"/>
      <c r="N5" s="316">
        <f>COUNTIF('Internal Audits'!P$6:P$506,"Scheduled")</f>
        <v/>
      </c>
      <c r="Q5" s="93" t="n"/>
    </row>
    <row r="6" ht="13.5" customHeight="1" s="15">
      <c r="A6" s="93" t="n"/>
      <c r="B6" s="303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CHECKLIST ITEMS</t>
        </is>
      </c>
      <c r="E8" s="93" t="n"/>
      <c r="F8" s="231" t="inlineStr">
        <is>
          <t>⚠️ MINOR NC</t>
        </is>
      </c>
      <c r="I8" s="93" t="n"/>
      <c r="J8" s="243" t="inlineStr">
        <is>
          <t>🔴 MAJOR NC</t>
        </is>
      </c>
      <c r="M8" s="93" t="n"/>
      <c r="N8" s="244" t="inlineStr">
        <is>
          <t>📝 OBSERVATIONS</t>
        </is>
      </c>
      <c r="Q8" s="93" t="n"/>
    </row>
    <row r="9" ht="43.5" customHeight="1" s="15">
      <c r="A9" s="93" t="n"/>
      <c r="B9" s="265">
        <f>SUM('Internal Audits'!K$6:K$506)</f>
        <v/>
      </c>
      <c r="E9" s="93" t="n"/>
      <c r="F9" s="235">
        <f>SUM('Internal Audits'!L$6:L$506)</f>
        <v/>
      </c>
      <c r="I9" s="93" t="n"/>
      <c r="J9" s="277">
        <f>SUM('Internal Audits'!M$6:M$506)</f>
        <v/>
      </c>
      <c r="M9" s="93" t="n"/>
      <c r="N9" s="248">
        <f>SUM('Internal Audits'!N$6:N$506)</f>
        <v/>
      </c>
      <c r="Q9" s="93" t="n"/>
    </row>
    <row r="10" ht="13.5" customHeight="1" s="15">
      <c r="A10" s="93" t="n"/>
      <c r="B10" s="268" t="n"/>
      <c r="E10" s="93" t="n"/>
      <c r="F10" s="263" t="n"/>
      <c r="I10" s="93" t="n"/>
      <c r="J10" s="270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04" t="inlineStr">
        <is>
          <t>📅  Monthly Trend</t>
        </is>
      </c>
      <c r="I12" s="93" t="n"/>
      <c r="J12" s="304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COUNTIF('Internal Audits'!P$6:P$506,"Completed")</f>
        <v/>
      </c>
      <c r="Q13" s="93" t="n"/>
    </row>
    <row r="14">
      <c r="A14" s="93" t="n"/>
      <c r="B14" s="59">
        <f>COUNTIF('Internal Audits'!D$6:D$506,"Jan")</f>
        <v/>
      </c>
      <c r="C14" s="59">
        <f>COUNTIF('Internal Audits'!D$6:D$506,"Feb")</f>
        <v/>
      </c>
      <c r="D14" s="59">
        <f>COUNTIF('Internal Audits'!D$6:D$506,"Mar")</f>
        <v/>
      </c>
      <c r="E14" s="59">
        <f>COUNTIF('Internal Audits'!D$6:D$506,"Apr")</f>
        <v/>
      </c>
      <c r="F14" s="59">
        <f>COUNTIF('Internal Audits'!D$6:D$506,"May")</f>
        <v/>
      </c>
      <c r="G14" s="59">
        <f>COUNTIF('Internal Audits'!D$6:D$506,"Jun")</f>
        <v/>
      </c>
      <c r="H14" s="59">
        <f>COUNTIF('Internal Audits'!D$6:D$506,"Jul")</f>
        <v/>
      </c>
      <c r="I14" s="59">
        <f>COUNTIF('Internal Audits'!D$6:D$506,"Aug")</f>
        <v/>
      </c>
      <c r="J14" s="59">
        <f>COUNTIF('Internal Audits'!D$6:D$506,"Sep")</f>
        <v/>
      </c>
      <c r="K14" s="59">
        <f>COUNTIF('Internal Audits'!D$6:D$506,"Oct")</f>
        <v/>
      </c>
      <c r="L14" s="59">
        <f>COUNTIF('Internal Audits'!D$6:D$506,"Nov")</f>
        <v/>
      </c>
      <c r="M14" s="59">
        <f>COUNTIF('Internal Audits'!D$6:D$506,"Dec")</f>
        <v/>
      </c>
      <c r="N14" s="94" t="n"/>
      <c r="O14" s="95" t="inlineStr">
        <is>
          <t>In Progress</t>
        </is>
      </c>
      <c r="P14" s="59">
        <f>COUNTIF('Internal Audits'!P$6:P$506,"In Progress")</f>
        <v/>
      </c>
      <c r="Q14" s="93" t="n"/>
    </row>
    <row r="15">
      <c r="A15" s="93" t="n"/>
      <c r="B15" s="60">
        <f>COUNTIFS('Internal Audits'!D$6:D$506,"Jan",'Internal Audits'!P$6:P$506,"Completed")</f>
        <v/>
      </c>
      <c r="C15" s="60">
        <f>COUNTIFS('Internal Audits'!D$6:D$506,"Feb",'Internal Audits'!P$6:P$506,"Completed")</f>
        <v/>
      </c>
      <c r="D15" s="60">
        <f>COUNTIFS('Internal Audits'!D$6:D$506,"Mar",'Internal Audits'!P$6:P$506,"Completed")</f>
        <v/>
      </c>
      <c r="E15" s="60">
        <f>COUNTIFS('Internal Audits'!D$6:D$506,"Apr",'Internal Audits'!P$6:P$506,"Completed")</f>
        <v/>
      </c>
      <c r="F15" s="60">
        <f>COUNTIFS('Internal Audits'!D$6:D$506,"May",'Internal Audits'!P$6:P$506,"Completed")</f>
        <v/>
      </c>
      <c r="G15" s="60">
        <f>COUNTIFS('Internal Audits'!D$6:D$506,"Jun",'Internal Audits'!P$6:P$506,"Completed")</f>
        <v/>
      </c>
      <c r="H15" s="60">
        <f>COUNTIFS('Internal Audits'!D$6:D$506,"Jul",'Internal Audits'!P$6:P$506,"Completed")</f>
        <v/>
      </c>
      <c r="I15" s="60">
        <f>COUNTIFS('Internal Audits'!D$6:D$506,"Aug",'Internal Audits'!P$6:P$506,"Completed")</f>
        <v/>
      </c>
      <c r="J15" s="60">
        <f>COUNTIFS('Internal Audits'!D$6:D$506,"Sep",'Internal Audits'!P$6:P$506,"Completed")</f>
        <v/>
      </c>
      <c r="K15" s="60">
        <f>COUNTIFS('Internal Audits'!D$6:D$506,"Oct",'Internal Audits'!P$6:P$506,"Completed")</f>
        <v/>
      </c>
      <c r="L15" s="60">
        <f>COUNTIFS('Internal Audits'!D$6:D$506,"Nov",'Internal Audits'!P$6:P$506,"Completed")</f>
        <v/>
      </c>
      <c r="M15" s="60">
        <f>COUNTIFS('Internal Audits'!D$6:D$506,"Dec",'Internal Audits'!P$6:P$506,"Completed")</f>
        <v/>
      </c>
      <c r="N15" s="94" t="n"/>
      <c r="O15" s="95" t="inlineStr">
        <is>
          <t>Scheduled</t>
        </is>
      </c>
      <c r="P15" s="59">
        <f>COUNTIF('Internal Audits'!P$6:P$506,"Scheduled")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04" t="inlineStr">
        <is>
          <t>🏢  Department Breakdown</t>
        </is>
      </c>
      <c r="I31" s="93" t="n"/>
      <c r="J31" s="304" t="inlineStr">
        <is>
          <t>🏷️  Audit Type Breakdown</t>
        </is>
      </c>
      <c r="Q31" s="93" t="n"/>
    </row>
    <row r="32" ht="56.25" customHeight="1" s="15">
      <c r="A32" s="93" t="n"/>
      <c r="B32" s="146" t="inlineStr">
        <is>
          <t>Department</t>
        </is>
      </c>
      <c r="C32" s="146" t="inlineStr">
        <is>
          <t>Count</t>
        </is>
      </c>
      <c r="D32" s="146" t="inlineStr">
        <is>
          <t>Completed</t>
        </is>
      </c>
      <c r="E32" s="146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System Audit</t>
        </is>
      </c>
      <c r="P32" s="59">
        <f>COUNTIF('Internal Audits'!F$6:F$506,O32)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COUNTIF('Internal Audits'!G$6:G$506,B33)</f>
        <v/>
      </c>
      <c r="D33" s="63">
        <f>COUNTIFS('Internal Audits'!G$6:G$506,B33,'Internal Audits'!P$6:P$506,"Completed")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Compliance Audit</t>
        </is>
      </c>
      <c r="P33" s="59">
        <f>COUNTIF('Internal Audits'!F$6:F$506,O33)</f>
        <v/>
      </c>
      <c r="Q33" s="93" t="n"/>
    </row>
    <row r="34">
      <c r="A34" s="93" t="n"/>
      <c r="B34" s="147" t="inlineStr">
        <is>
          <t>Maintenance</t>
        </is>
      </c>
      <c r="C34" s="148">
        <f>COUNTIF('Internal Audits'!G$6:G$506,B34)</f>
        <v/>
      </c>
      <c r="D34" s="148">
        <f>COUNTIFS('Internal Audits'!G$6:G$506,B34,'Internal Audits'!P$6:P$506,"Completed")</f>
        <v/>
      </c>
      <c r="E34" s="149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Process Audit</t>
        </is>
      </c>
      <c r="P34" s="59">
        <f>COUNTIF('Internal Audits'!F$6:F$506,O34)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COUNTIF('Internal Audits'!G$6:G$506,B35)</f>
        <v/>
      </c>
      <c r="D35" s="63">
        <f>COUNTIFS('Internal Audits'!G$6:G$506,B35,'Internal Audits'!P$6:P$506,"Completed")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Theme Audit</t>
        </is>
      </c>
      <c r="P35" s="59">
        <f>COUNTIF('Internal Audits'!F$6:F$506,O35)</f>
        <v/>
      </c>
      <c r="Q35" s="93" t="n"/>
    </row>
    <row r="36">
      <c r="A36" s="93" t="n"/>
      <c r="B36" s="147" t="inlineStr">
        <is>
          <t>Construction</t>
        </is>
      </c>
      <c r="C36" s="148">
        <f>COUNTIF('Internal Audits'!G$6:G$506,B36)</f>
        <v/>
      </c>
      <c r="D36" s="148">
        <f>COUNTIFS('Internal Audits'!G$6:G$506,B36,'Internal Audits'!P$6:P$506,"Completed")</f>
        <v/>
      </c>
      <c r="E36" s="149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Surveillance</t>
        </is>
      </c>
      <c r="P36" s="59">
        <f>COUNTIF('Internal Audits'!F$6:F$506,O36)</f>
        <v/>
      </c>
      <c r="Q36" s="93" t="n"/>
    </row>
    <row r="37">
      <c r="A37" s="93" t="n"/>
      <c r="B37" s="97" t="inlineStr">
        <is>
          <t>Safety</t>
        </is>
      </c>
      <c r="C37" s="63">
        <f>COUNTIF('Internal Audits'!G$6:G$506,B37)</f>
        <v/>
      </c>
      <c r="D37" s="63">
        <f>COUNTIFS('Internal Audits'!G$6:G$506,B37,'Internal Audits'!P$6:P$506,"Completed")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47" t="inlineStr">
        <is>
          <t>Logistics</t>
        </is>
      </c>
      <c r="C38" s="148">
        <f>COUNTIF('Internal Audits'!G$6:G$506,B38)</f>
        <v/>
      </c>
      <c r="D38" s="148">
        <f>COUNTIFS('Internal Audits'!G$6:G$506,B38,'Internal Audits'!P$6:P$506,"Completed")</f>
        <v/>
      </c>
      <c r="E38" s="149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COUNTIF('Internal Audits'!G$6:G$506,B39)</f>
        <v/>
      </c>
      <c r="D39" s="63">
        <f>COUNTIFS('Internal Audits'!G$6:G$506,B39,'Internal Audits'!P$6:P$506,"Completed")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47" t="inlineStr">
        <is>
          <t>Admin</t>
        </is>
      </c>
      <c r="C40" s="148">
        <f>COUNTIF('Internal Audits'!G$6:G$506,B40)</f>
        <v/>
      </c>
      <c r="D40" s="148">
        <f>COUNTIFS('Internal Audits'!G$6:G$506,B40,'Internal Audits'!P$6:P$506,"Completed")</f>
        <v/>
      </c>
      <c r="E40" s="149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COUNTIF('Internal Audits'!G$6:G$506,B41)</f>
        <v/>
      </c>
      <c r="D41" s="63">
        <f>COUNTIFS('Internal Audits'!G$6:G$506,B41,'Internal Audits'!P$6:P$506,"Completed")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47" t="inlineStr">
        <is>
          <t>Contractor</t>
        </is>
      </c>
      <c r="C42" s="148">
        <f>COUNTIF('Internal Audits'!G$6:G$506,B42)</f>
        <v/>
      </c>
      <c r="D42" s="148">
        <f>COUNTIFS('Internal Audits'!G$6:G$506,B42,'Internal Audits'!P$6:P$506,"Completed")</f>
        <v/>
      </c>
      <c r="E42" s="149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04" t="inlineStr">
        <is>
          <t>📈  Monthly Performance Matrix</t>
        </is>
      </c>
      <c r="Q45" s="93" t="n"/>
    </row>
    <row r="46" ht="33.75" customHeight="1" s="15">
      <c r="A46" s="93" t="n"/>
      <c r="B46" s="146" t="inlineStr">
        <is>
          <t>Metric</t>
        </is>
      </c>
      <c r="C46" s="146" t="inlineStr">
        <is>
          <t>Jan</t>
        </is>
      </c>
      <c r="D46" s="146" t="inlineStr">
        <is>
          <t>Feb</t>
        </is>
      </c>
      <c r="E46" s="146" t="inlineStr">
        <is>
          <t>Mar</t>
        </is>
      </c>
      <c r="F46" s="146" t="inlineStr">
        <is>
          <t>Apr</t>
        </is>
      </c>
      <c r="G46" s="146" t="inlineStr">
        <is>
          <t>May</t>
        </is>
      </c>
      <c r="H46" s="146" t="inlineStr">
        <is>
          <t>Jun</t>
        </is>
      </c>
      <c r="I46" s="146" t="inlineStr">
        <is>
          <t>Jul</t>
        </is>
      </c>
      <c r="J46" s="146" t="inlineStr">
        <is>
          <t>Aug</t>
        </is>
      </c>
      <c r="K46" s="146" t="inlineStr">
        <is>
          <t>Sep</t>
        </is>
      </c>
      <c r="L46" s="146" t="inlineStr">
        <is>
          <t>Oct</t>
        </is>
      </c>
      <c r="M46" s="146" t="inlineStr">
        <is>
          <t>Nov</t>
        </is>
      </c>
      <c r="N46" s="146" t="inlineStr">
        <is>
          <t>Dec</t>
        </is>
      </c>
      <c r="O46" s="146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COUNTIF('Internal Audits'!D$6:D$506,"Jan")</f>
        <v/>
      </c>
      <c r="D47" s="63">
        <f>COUNTIF('Internal Audits'!D$6:D$506,"Feb")</f>
        <v/>
      </c>
      <c r="E47" s="63">
        <f>COUNTIF('Internal Audits'!D$6:D$506,"Mar")</f>
        <v/>
      </c>
      <c r="F47" s="63">
        <f>COUNTIF('Internal Audits'!D$6:D$506,"Apr")</f>
        <v/>
      </c>
      <c r="G47" s="63">
        <f>COUNTIF('Internal Audits'!D$6:D$506,"May")</f>
        <v/>
      </c>
      <c r="H47" s="63">
        <f>COUNTIF('Internal Audits'!D$6:D$506,"Jun")</f>
        <v/>
      </c>
      <c r="I47" s="63">
        <f>COUNTIF('Internal Audits'!D$6:D$506,"Jul")</f>
        <v/>
      </c>
      <c r="J47" s="63">
        <f>COUNTIF('Internal Audits'!D$6:D$506,"Aug")</f>
        <v/>
      </c>
      <c r="K47" s="63">
        <f>COUNTIF('Internal Audits'!D$6:D$506,"Sep")</f>
        <v/>
      </c>
      <c r="L47" s="63">
        <f>COUNTIF('Internal Audits'!D$6:D$506,"Oct")</f>
        <v/>
      </c>
      <c r="M47" s="63">
        <f>COUNTIF('Internal Audits'!D$6:D$506,"Nov")</f>
        <v/>
      </c>
      <c r="N47" s="63">
        <f>COUNTIF('Internal Audits'!D$6:D$506,"Dec")</f>
        <v/>
      </c>
      <c r="O47" s="150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COUNTIFS('Internal Audits'!D$6:D$506,"Jan",'Internal Audits'!P$6:P$506,"Completed")</f>
        <v/>
      </c>
      <c r="D48" s="76">
        <f>COUNTIFS('Internal Audits'!D$6:D$506,"Feb",'Internal Audits'!P$6:P$506,"Completed")</f>
        <v/>
      </c>
      <c r="E48" s="76">
        <f>COUNTIFS('Internal Audits'!D$6:D$506,"Mar",'Internal Audits'!P$6:P$506,"Completed")</f>
        <v/>
      </c>
      <c r="F48" s="76">
        <f>COUNTIFS('Internal Audits'!D$6:D$506,"Apr",'Internal Audits'!P$6:P$506,"Completed")</f>
        <v/>
      </c>
      <c r="G48" s="76">
        <f>COUNTIFS('Internal Audits'!D$6:D$506,"May",'Internal Audits'!P$6:P$506,"Completed")</f>
        <v/>
      </c>
      <c r="H48" s="76">
        <f>COUNTIFS('Internal Audits'!D$6:D$506,"Jun",'Internal Audits'!P$6:P$506,"Completed")</f>
        <v/>
      </c>
      <c r="I48" s="76">
        <f>COUNTIFS('Internal Audits'!D$6:D$506,"Jul",'Internal Audits'!P$6:P$506,"Completed")</f>
        <v/>
      </c>
      <c r="J48" s="76">
        <f>COUNTIFS('Internal Audits'!D$6:D$506,"Aug",'Internal Audits'!P$6:P$506,"Completed")</f>
        <v/>
      </c>
      <c r="K48" s="76">
        <f>COUNTIFS('Internal Audits'!D$6:D$506,"Sep",'Internal Audits'!P$6:P$506,"Completed")</f>
        <v/>
      </c>
      <c r="L48" s="76">
        <f>COUNTIFS('Internal Audits'!D$6:D$506,"Oct",'Internal Audits'!P$6:P$506,"Completed")</f>
        <v/>
      </c>
      <c r="M48" s="76">
        <f>COUNTIFS('Internal Audits'!D$6:D$506,"Nov",'Internal Audits'!P$6:P$506,"Completed")</f>
        <v/>
      </c>
      <c r="N48" s="76">
        <f>COUNTIFS('Internal Audits'!D$6:D$506,"Dec",'Internal Audits'!P$6:P$506,"Completed")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COUNTIFS('Internal Audits'!D$6:D$506,"Jan",'Internal Audits'!P$6:P$506,"In Progress")</f>
        <v/>
      </c>
      <c r="D49" s="114">
        <f>COUNTIFS('Internal Audits'!D$6:D$506,"Feb",'Internal Audits'!P$6:P$506,"In Progress")</f>
        <v/>
      </c>
      <c r="E49" s="114">
        <f>COUNTIFS('Internal Audits'!D$6:D$506,"Mar",'Internal Audits'!P$6:P$506,"In Progress")</f>
        <v/>
      </c>
      <c r="F49" s="114">
        <f>COUNTIFS('Internal Audits'!D$6:D$506,"Apr",'Internal Audits'!P$6:P$506,"In Progress")</f>
        <v/>
      </c>
      <c r="G49" s="114">
        <f>COUNTIFS('Internal Audits'!D$6:D$506,"May",'Internal Audits'!P$6:P$506,"In Progress")</f>
        <v/>
      </c>
      <c r="H49" s="114">
        <f>COUNTIFS('Internal Audits'!D$6:D$506,"Jun",'Internal Audits'!P$6:P$506,"In Progress")</f>
        <v/>
      </c>
      <c r="I49" s="114">
        <f>COUNTIFS('Internal Audits'!D$6:D$506,"Jul",'Internal Audits'!P$6:P$506,"In Progress")</f>
        <v/>
      </c>
      <c r="J49" s="114">
        <f>COUNTIFS('Internal Audits'!D$6:D$506,"Aug",'Internal Audits'!P$6:P$506,"In Progress")</f>
        <v/>
      </c>
      <c r="K49" s="114">
        <f>COUNTIFS('Internal Audits'!D$6:D$506,"Sep",'Internal Audits'!P$6:P$506,"In Progress")</f>
        <v/>
      </c>
      <c r="L49" s="114">
        <f>COUNTIFS('Internal Audits'!D$6:D$506,"Oct",'Internal Audits'!P$6:P$506,"In Progress")</f>
        <v/>
      </c>
      <c r="M49" s="114">
        <f>COUNTIFS('Internal Audits'!D$6:D$506,"Nov",'Internal Audits'!P$6:P$506,"In Progress")</f>
        <v/>
      </c>
      <c r="N49" s="114">
        <f>COUNTIFS('Internal Audits'!D$6:D$506,"Dec",'Internal Audits'!P$6:P$506,"In Progress")</f>
        <v/>
      </c>
      <c r="O49" s="115">
        <f>SUM(C49:N49)</f>
        <v/>
      </c>
      <c r="P49" s="93" t="n"/>
      <c r="Q49" s="93" t="n"/>
    </row>
    <row r="50">
      <c r="A50" s="93" t="n"/>
      <c r="B50" s="163" t="inlineStr">
        <is>
          <t>Scheduled</t>
        </is>
      </c>
      <c r="C50" s="82">
        <f>COUNTIFS('Internal Audits'!D$6:D$506,"Jan",'Internal Audits'!P$6:P$506,"Scheduled")</f>
        <v/>
      </c>
      <c r="D50" s="82">
        <f>COUNTIFS('Internal Audits'!D$6:D$506,"Feb",'Internal Audits'!P$6:P$506,"Scheduled")</f>
        <v/>
      </c>
      <c r="E50" s="82">
        <f>COUNTIFS('Internal Audits'!D$6:D$506,"Mar",'Internal Audits'!P$6:P$506,"Scheduled")</f>
        <v/>
      </c>
      <c r="F50" s="82">
        <f>COUNTIFS('Internal Audits'!D$6:D$506,"Apr",'Internal Audits'!P$6:P$506,"Scheduled")</f>
        <v/>
      </c>
      <c r="G50" s="82">
        <f>COUNTIFS('Internal Audits'!D$6:D$506,"May",'Internal Audits'!P$6:P$506,"Scheduled")</f>
        <v/>
      </c>
      <c r="H50" s="82">
        <f>COUNTIFS('Internal Audits'!D$6:D$506,"Jun",'Internal Audits'!P$6:P$506,"Scheduled")</f>
        <v/>
      </c>
      <c r="I50" s="82">
        <f>COUNTIFS('Internal Audits'!D$6:D$506,"Jul",'Internal Audits'!P$6:P$506,"Scheduled")</f>
        <v/>
      </c>
      <c r="J50" s="82">
        <f>COUNTIFS('Internal Audits'!D$6:D$506,"Aug",'Internal Audits'!P$6:P$506,"Scheduled")</f>
        <v/>
      </c>
      <c r="K50" s="82">
        <f>COUNTIFS('Internal Audits'!D$6:D$506,"Sep",'Internal Audits'!P$6:P$506,"Scheduled")</f>
        <v/>
      </c>
      <c r="L50" s="82">
        <f>COUNTIFS('Internal Audits'!D$6:D$506,"Oct",'Internal Audits'!P$6:P$506,"Scheduled")</f>
        <v/>
      </c>
      <c r="M50" s="82">
        <f>COUNTIFS('Internal Audits'!D$6:D$506,"Nov",'Internal Audits'!P$6:P$506,"Scheduled")</f>
        <v/>
      </c>
      <c r="N50" s="82">
        <f>COUNTIFS('Internal Audits'!D$6:D$506,"Dec",'Internal Audits'!P$6:P$506,"Scheduled")</f>
        <v/>
      </c>
      <c r="O50" s="83">
        <f>SUM(C50:N50)</f>
        <v/>
      </c>
      <c r="P50" s="93" t="n"/>
      <c r="Q50" s="93" t="n"/>
    </row>
    <row r="51">
      <c r="A51" s="93" t="n"/>
      <c r="B51" s="151" t="inlineStr">
        <is>
          <t>Rate %</t>
        </is>
      </c>
      <c r="C51" s="152">
        <f>IF(C47=0,0,C48/C47)</f>
        <v/>
      </c>
      <c r="D51" s="152">
        <f>IF(D47=0,0,D48/D47)</f>
        <v/>
      </c>
      <c r="E51" s="152">
        <f>IF(E47=0,0,E48/E47)</f>
        <v/>
      </c>
      <c r="F51" s="152">
        <f>IF(F47=0,0,F48/F47)</f>
        <v/>
      </c>
      <c r="G51" s="152">
        <f>IF(G47=0,0,G48/G47)</f>
        <v/>
      </c>
      <c r="H51" s="152">
        <f>IF(H47=0,0,H48/H47)</f>
        <v/>
      </c>
      <c r="I51" s="152">
        <f>IF(I47=0,0,I48/I47)</f>
        <v/>
      </c>
      <c r="J51" s="152">
        <f>IF(J47=0,0,J48/J47)</f>
        <v/>
      </c>
      <c r="K51" s="152">
        <f>IF(K47=0,0,K48/K47)</f>
        <v/>
      </c>
      <c r="L51" s="152">
        <f>IF(L47=0,0,L48/L47)</f>
        <v/>
      </c>
      <c r="M51" s="152">
        <f>IF(M47=0,0,M48/M47)</f>
        <v/>
      </c>
      <c r="N51" s="152">
        <f>IF(N47=0,0,N48/N47)</f>
        <v/>
      </c>
      <c r="O51" s="152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5C6BC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5C6BC0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tabColor rgb="FF3E2723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22" t="inlineStr">
        <is>
          <t>📋  DASHBOARD – EXTERNAL AUDITS</t>
        </is>
      </c>
    </row>
    <row r="2" ht="24" customHeight="1" s="15">
      <c r="A2" s="323" t="inlineStr">
        <is>
          <t>Live data from 'External Audits'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24" t="inlineStr">
        <is>
          <t>📋 TOTAL AUDITS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58" t="inlineStr">
        <is>
          <t>📅 SCHEDULED</t>
        </is>
      </c>
      <c r="Q4" s="93" t="n"/>
    </row>
    <row r="5" ht="43.5" customHeight="1" s="15">
      <c r="A5" s="93" t="n"/>
      <c r="B5" s="325">
        <f>COUNTA('External Audits'!B$6:B$506)</f>
        <v/>
      </c>
      <c r="E5" s="93" t="n"/>
      <c r="F5" s="234">
        <f>COUNTIF('External Audits'!P$6:P$506,"Completed")</f>
        <v/>
      </c>
      <c r="I5" s="93" t="n"/>
      <c r="J5" s="235">
        <f>COUNTIF('External Audits'!P$6:P$506,"In Progress")</f>
        <v/>
      </c>
      <c r="M5" s="93" t="n"/>
      <c r="N5" s="316">
        <f>COUNTIF('External Audits'!P$6:P$506,"Scheduled")</f>
        <v/>
      </c>
      <c r="Q5" s="93" t="n"/>
    </row>
    <row r="6" ht="13.5" customHeight="1" s="15">
      <c r="A6" s="93" t="n"/>
      <c r="B6" s="326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CHECKLIST ITEMS</t>
        </is>
      </c>
      <c r="E8" s="93" t="n"/>
      <c r="F8" s="231" t="inlineStr">
        <is>
          <t>⚠️ MINOR NC</t>
        </is>
      </c>
      <c r="I8" s="93" t="n"/>
      <c r="J8" s="243" t="inlineStr">
        <is>
          <t>🔴 MAJOR NC</t>
        </is>
      </c>
      <c r="M8" s="93" t="n"/>
      <c r="N8" s="244" t="inlineStr">
        <is>
          <t>📝 OBSERVATIONS</t>
        </is>
      </c>
      <c r="Q8" s="93" t="n"/>
    </row>
    <row r="9" ht="43.5" customHeight="1" s="15">
      <c r="A9" s="93" t="n"/>
      <c r="B9" s="265">
        <f>SUM('External Audits'!K$6:K$506)</f>
        <v/>
      </c>
      <c r="E9" s="93" t="n"/>
      <c r="F9" s="235">
        <f>SUM('External Audits'!L$6:L$506)</f>
        <v/>
      </c>
      <c r="I9" s="93" t="n"/>
      <c r="J9" s="277">
        <f>SUM('External Audits'!M$6:M$506)</f>
        <v/>
      </c>
      <c r="M9" s="93" t="n"/>
      <c r="N9" s="248">
        <f>SUM('External Audits'!N$6:N$506)</f>
        <v/>
      </c>
      <c r="Q9" s="93" t="n"/>
    </row>
    <row r="10" ht="13.5" customHeight="1" s="15">
      <c r="A10" s="93" t="n"/>
      <c r="B10" s="268" t="n"/>
      <c r="E10" s="93" t="n"/>
      <c r="F10" s="263" t="n"/>
      <c r="I10" s="93" t="n"/>
      <c r="J10" s="270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27" t="inlineStr">
        <is>
          <t>📅  Monthly Trend</t>
        </is>
      </c>
      <c r="I12" s="93" t="n"/>
      <c r="J12" s="327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COUNTIF('External Audits'!P$6:P$506,"Completed")</f>
        <v/>
      </c>
      <c r="Q13" s="93" t="n"/>
    </row>
    <row r="14">
      <c r="A14" s="93" t="n"/>
      <c r="B14" s="59">
        <f>COUNTIF('External Audits'!D$6:D$506,"Jan")</f>
        <v/>
      </c>
      <c r="C14" s="59">
        <f>COUNTIF('External Audits'!D$6:D$506,"Feb")</f>
        <v/>
      </c>
      <c r="D14" s="59">
        <f>COUNTIF('External Audits'!D$6:D$506,"Mar")</f>
        <v/>
      </c>
      <c r="E14" s="59">
        <f>COUNTIF('External Audits'!D$6:D$506,"Apr")</f>
        <v/>
      </c>
      <c r="F14" s="59">
        <f>COUNTIF('External Audits'!D$6:D$506,"May")</f>
        <v/>
      </c>
      <c r="G14" s="59">
        <f>COUNTIF('External Audits'!D$6:D$506,"Jun")</f>
        <v/>
      </c>
      <c r="H14" s="59">
        <f>COUNTIF('External Audits'!D$6:D$506,"Jul")</f>
        <v/>
      </c>
      <c r="I14" s="59">
        <f>COUNTIF('External Audits'!D$6:D$506,"Aug")</f>
        <v/>
      </c>
      <c r="J14" s="59">
        <f>COUNTIF('External Audits'!D$6:D$506,"Sep")</f>
        <v/>
      </c>
      <c r="K14" s="59">
        <f>COUNTIF('External Audits'!D$6:D$506,"Oct")</f>
        <v/>
      </c>
      <c r="L14" s="59">
        <f>COUNTIF('External Audits'!D$6:D$506,"Nov")</f>
        <v/>
      </c>
      <c r="M14" s="59">
        <f>COUNTIF('External Audits'!D$6:D$506,"Dec")</f>
        <v/>
      </c>
      <c r="N14" s="94" t="n"/>
      <c r="O14" s="95" t="inlineStr">
        <is>
          <t>In Progress</t>
        </is>
      </c>
      <c r="P14" s="59">
        <f>COUNTIF('External Audits'!P$6:P$506,"In Progress")</f>
        <v/>
      </c>
      <c r="Q14" s="93" t="n"/>
    </row>
    <row r="15">
      <c r="A15" s="93" t="n"/>
      <c r="B15" s="60">
        <f>COUNTIFS('External Audits'!D$6:D$506,"Jan",'External Audits'!P$6:P$506,"Completed")</f>
        <v/>
      </c>
      <c r="C15" s="60">
        <f>COUNTIFS('External Audits'!D$6:D$506,"Feb",'External Audits'!P$6:P$506,"Completed")</f>
        <v/>
      </c>
      <c r="D15" s="60">
        <f>COUNTIFS('External Audits'!D$6:D$506,"Mar",'External Audits'!P$6:P$506,"Completed")</f>
        <v/>
      </c>
      <c r="E15" s="60">
        <f>COUNTIFS('External Audits'!D$6:D$506,"Apr",'External Audits'!P$6:P$506,"Completed")</f>
        <v/>
      </c>
      <c r="F15" s="60">
        <f>COUNTIFS('External Audits'!D$6:D$506,"May",'External Audits'!P$6:P$506,"Completed")</f>
        <v/>
      </c>
      <c r="G15" s="60">
        <f>COUNTIFS('External Audits'!D$6:D$506,"Jun",'External Audits'!P$6:P$506,"Completed")</f>
        <v/>
      </c>
      <c r="H15" s="60">
        <f>COUNTIFS('External Audits'!D$6:D$506,"Jul",'External Audits'!P$6:P$506,"Completed")</f>
        <v/>
      </c>
      <c r="I15" s="60">
        <f>COUNTIFS('External Audits'!D$6:D$506,"Aug",'External Audits'!P$6:P$506,"Completed")</f>
        <v/>
      </c>
      <c r="J15" s="60">
        <f>COUNTIFS('External Audits'!D$6:D$506,"Sep",'External Audits'!P$6:P$506,"Completed")</f>
        <v/>
      </c>
      <c r="K15" s="60">
        <f>COUNTIFS('External Audits'!D$6:D$506,"Oct",'External Audits'!P$6:P$506,"Completed")</f>
        <v/>
      </c>
      <c r="L15" s="60">
        <f>COUNTIFS('External Audits'!D$6:D$506,"Nov",'External Audits'!P$6:P$506,"Completed")</f>
        <v/>
      </c>
      <c r="M15" s="60">
        <f>COUNTIFS('External Audits'!D$6:D$506,"Dec",'External Audits'!P$6:P$506,"Completed")</f>
        <v/>
      </c>
      <c r="N15" s="94" t="n"/>
      <c r="O15" s="95" t="inlineStr">
        <is>
          <t>Scheduled</t>
        </is>
      </c>
      <c r="P15" s="59">
        <f>COUNTIF('External Audits'!P$6:P$506,"Scheduled")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27" t="inlineStr">
        <is>
          <t>🏢  Department Breakdown</t>
        </is>
      </c>
      <c r="I31" s="93" t="n"/>
      <c r="J31" s="327" t="inlineStr">
        <is>
          <t>🏷️  Audit Type Breakdown</t>
        </is>
      </c>
      <c r="Q31" s="93" t="n"/>
    </row>
    <row r="32" ht="56.25" customHeight="1" s="15">
      <c r="A32" s="93" t="n"/>
      <c r="B32" s="170" t="inlineStr">
        <is>
          <t>Department</t>
        </is>
      </c>
      <c r="C32" s="170" t="inlineStr">
        <is>
          <t>Count</t>
        </is>
      </c>
      <c r="D32" s="170" t="inlineStr">
        <is>
          <t>Completed</t>
        </is>
      </c>
      <c r="E32" s="170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System Audit</t>
        </is>
      </c>
      <c r="P32" s="59">
        <f>COUNTIF('External Audits'!F$6:F$506,O32)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COUNTIF('External Audits'!G$6:G$506,B33)</f>
        <v/>
      </c>
      <c r="D33" s="63">
        <f>COUNTIFS('External Audits'!G$6:G$506,B33,'External Audits'!P$6:P$506,"Completed")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Compliance Audit</t>
        </is>
      </c>
      <c r="P33" s="59">
        <f>COUNTIF('External Audits'!F$6:F$506,O33)</f>
        <v/>
      </c>
      <c r="Q33" s="93" t="n"/>
    </row>
    <row r="34">
      <c r="A34" s="93" t="n"/>
      <c r="B34" s="171" t="inlineStr">
        <is>
          <t>Maintenance</t>
        </is>
      </c>
      <c r="C34" s="172">
        <f>COUNTIF('External Audits'!G$6:G$506,B34)</f>
        <v/>
      </c>
      <c r="D34" s="172">
        <f>COUNTIFS('External Audits'!G$6:G$506,B34,'External Audits'!P$6:P$506,"Completed")</f>
        <v/>
      </c>
      <c r="E34" s="173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Process Audit</t>
        </is>
      </c>
      <c r="P34" s="59">
        <f>COUNTIF('External Audits'!F$6:F$506,O34)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COUNTIF('External Audits'!G$6:G$506,B35)</f>
        <v/>
      </c>
      <c r="D35" s="63">
        <f>COUNTIFS('External Audits'!G$6:G$506,B35,'External Audits'!P$6:P$506,"Completed")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Theme Audit</t>
        </is>
      </c>
      <c r="P35" s="59">
        <f>COUNTIF('External Audits'!F$6:F$506,O35)</f>
        <v/>
      </c>
      <c r="Q35" s="93" t="n"/>
    </row>
    <row r="36">
      <c r="A36" s="93" t="n"/>
      <c r="B36" s="171" t="inlineStr">
        <is>
          <t>Construction</t>
        </is>
      </c>
      <c r="C36" s="172">
        <f>COUNTIF('External Audits'!G$6:G$506,B36)</f>
        <v/>
      </c>
      <c r="D36" s="172">
        <f>COUNTIFS('External Audits'!G$6:G$506,B36,'External Audits'!P$6:P$506,"Completed")</f>
        <v/>
      </c>
      <c r="E36" s="173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Surveillance</t>
        </is>
      </c>
      <c r="P36" s="59">
        <f>COUNTIF('External Audits'!F$6:F$506,O36)</f>
        <v/>
      </c>
      <c r="Q36" s="93" t="n"/>
    </row>
    <row r="37">
      <c r="A37" s="93" t="n"/>
      <c r="B37" s="97" t="inlineStr">
        <is>
          <t>Safety</t>
        </is>
      </c>
      <c r="C37" s="63">
        <f>COUNTIF('External Audits'!G$6:G$506,B37)</f>
        <v/>
      </c>
      <c r="D37" s="63">
        <f>COUNTIFS('External Audits'!G$6:G$506,B37,'External Audits'!P$6:P$506,"Completed")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71" t="inlineStr">
        <is>
          <t>Logistics</t>
        </is>
      </c>
      <c r="C38" s="172">
        <f>COUNTIF('External Audits'!G$6:G$506,B38)</f>
        <v/>
      </c>
      <c r="D38" s="172">
        <f>COUNTIFS('External Audits'!G$6:G$506,B38,'External Audits'!P$6:P$506,"Completed")</f>
        <v/>
      </c>
      <c r="E38" s="173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COUNTIF('External Audits'!G$6:G$506,B39)</f>
        <v/>
      </c>
      <c r="D39" s="63">
        <f>COUNTIFS('External Audits'!G$6:G$506,B39,'External Audits'!P$6:P$506,"Completed")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71" t="inlineStr">
        <is>
          <t>Admin</t>
        </is>
      </c>
      <c r="C40" s="172">
        <f>COUNTIF('External Audits'!G$6:G$506,B40)</f>
        <v/>
      </c>
      <c r="D40" s="172">
        <f>COUNTIFS('External Audits'!G$6:G$506,B40,'External Audits'!P$6:P$506,"Completed")</f>
        <v/>
      </c>
      <c r="E40" s="173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COUNTIF('External Audits'!G$6:G$506,B41)</f>
        <v/>
      </c>
      <c r="D41" s="63">
        <f>COUNTIFS('External Audits'!G$6:G$506,B41,'External Audits'!P$6:P$506,"Completed")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71" t="inlineStr">
        <is>
          <t>Contractor</t>
        </is>
      </c>
      <c r="C42" s="172">
        <f>COUNTIF('External Audits'!G$6:G$506,B42)</f>
        <v/>
      </c>
      <c r="D42" s="172">
        <f>COUNTIFS('External Audits'!G$6:G$506,B42,'External Audits'!P$6:P$506,"Completed")</f>
        <v/>
      </c>
      <c r="E42" s="173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27" t="inlineStr">
        <is>
          <t>📈  Monthly Performance Matrix</t>
        </is>
      </c>
      <c r="Q45" s="93" t="n"/>
    </row>
    <row r="46" ht="33.75" customHeight="1" s="15">
      <c r="A46" s="93" t="n"/>
      <c r="B46" s="170" t="inlineStr">
        <is>
          <t>Metric</t>
        </is>
      </c>
      <c r="C46" s="170" t="inlineStr">
        <is>
          <t>Jan</t>
        </is>
      </c>
      <c r="D46" s="170" t="inlineStr">
        <is>
          <t>Feb</t>
        </is>
      </c>
      <c r="E46" s="170" t="inlineStr">
        <is>
          <t>Mar</t>
        </is>
      </c>
      <c r="F46" s="170" t="inlineStr">
        <is>
          <t>Apr</t>
        </is>
      </c>
      <c r="G46" s="170" t="inlineStr">
        <is>
          <t>May</t>
        </is>
      </c>
      <c r="H46" s="170" t="inlineStr">
        <is>
          <t>Jun</t>
        </is>
      </c>
      <c r="I46" s="170" t="inlineStr">
        <is>
          <t>Jul</t>
        </is>
      </c>
      <c r="J46" s="170" t="inlineStr">
        <is>
          <t>Aug</t>
        </is>
      </c>
      <c r="K46" s="170" t="inlineStr">
        <is>
          <t>Sep</t>
        </is>
      </c>
      <c r="L46" s="170" t="inlineStr">
        <is>
          <t>Oct</t>
        </is>
      </c>
      <c r="M46" s="170" t="inlineStr">
        <is>
          <t>Nov</t>
        </is>
      </c>
      <c r="N46" s="170" t="inlineStr">
        <is>
          <t>Dec</t>
        </is>
      </c>
      <c r="O46" s="170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COUNTIF('External Audits'!D$6:D$506,"Jan")</f>
        <v/>
      </c>
      <c r="D47" s="63">
        <f>COUNTIF('External Audits'!D$6:D$506,"Feb")</f>
        <v/>
      </c>
      <c r="E47" s="63">
        <f>COUNTIF('External Audits'!D$6:D$506,"Mar")</f>
        <v/>
      </c>
      <c r="F47" s="63">
        <f>COUNTIF('External Audits'!D$6:D$506,"Apr")</f>
        <v/>
      </c>
      <c r="G47" s="63">
        <f>COUNTIF('External Audits'!D$6:D$506,"May")</f>
        <v/>
      </c>
      <c r="H47" s="63">
        <f>COUNTIF('External Audits'!D$6:D$506,"Jun")</f>
        <v/>
      </c>
      <c r="I47" s="63">
        <f>COUNTIF('External Audits'!D$6:D$506,"Jul")</f>
        <v/>
      </c>
      <c r="J47" s="63">
        <f>COUNTIF('External Audits'!D$6:D$506,"Aug")</f>
        <v/>
      </c>
      <c r="K47" s="63">
        <f>COUNTIF('External Audits'!D$6:D$506,"Sep")</f>
        <v/>
      </c>
      <c r="L47" s="63">
        <f>COUNTIF('External Audits'!D$6:D$506,"Oct")</f>
        <v/>
      </c>
      <c r="M47" s="63">
        <f>COUNTIF('External Audits'!D$6:D$506,"Nov")</f>
        <v/>
      </c>
      <c r="N47" s="63">
        <f>COUNTIF('External Audits'!D$6:D$506,"Dec")</f>
        <v/>
      </c>
      <c r="O47" s="174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COUNTIFS('External Audits'!D$6:D$506,"Jan",'External Audits'!P$6:P$506,"Completed")</f>
        <v/>
      </c>
      <c r="D48" s="76">
        <f>COUNTIFS('External Audits'!D$6:D$506,"Feb",'External Audits'!P$6:P$506,"Completed")</f>
        <v/>
      </c>
      <c r="E48" s="76">
        <f>COUNTIFS('External Audits'!D$6:D$506,"Mar",'External Audits'!P$6:P$506,"Completed")</f>
        <v/>
      </c>
      <c r="F48" s="76">
        <f>COUNTIFS('External Audits'!D$6:D$506,"Apr",'External Audits'!P$6:P$506,"Completed")</f>
        <v/>
      </c>
      <c r="G48" s="76">
        <f>COUNTIFS('External Audits'!D$6:D$506,"May",'External Audits'!P$6:P$506,"Completed")</f>
        <v/>
      </c>
      <c r="H48" s="76">
        <f>COUNTIFS('External Audits'!D$6:D$506,"Jun",'External Audits'!P$6:P$506,"Completed")</f>
        <v/>
      </c>
      <c r="I48" s="76">
        <f>COUNTIFS('External Audits'!D$6:D$506,"Jul",'External Audits'!P$6:P$506,"Completed")</f>
        <v/>
      </c>
      <c r="J48" s="76">
        <f>COUNTIFS('External Audits'!D$6:D$506,"Aug",'External Audits'!P$6:P$506,"Completed")</f>
        <v/>
      </c>
      <c r="K48" s="76">
        <f>COUNTIFS('External Audits'!D$6:D$506,"Sep",'External Audits'!P$6:P$506,"Completed")</f>
        <v/>
      </c>
      <c r="L48" s="76">
        <f>COUNTIFS('External Audits'!D$6:D$506,"Oct",'External Audits'!P$6:P$506,"Completed")</f>
        <v/>
      </c>
      <c r="M48" s="76">
        <f>COUNTIFS('External Audits'!D$6:D$506,"Nov",'External Audits'!P$6:P$506,"Completed")</f>
        <v/>
      </c>
      <c r="N48" s="76">
        <f>COUNTIFS('External Audits'!D$6:D$506,"Dec",'External Audits'!P$6:P$506,"Completed")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COUNTIFS('External Audits'!D$6:D$506,"Jan",'External Audits'!P$6:P$506,"In Progress")</f>
        <v/>
      </c>
      <c r="D49" s="114">
        <f>COUNTIFS('External Audits'!D$6:D$506,"Feb",'External Audits'!P$6:P$506,"In Progress")</f>
        <v/>
      </c>
      <c r="E49" s="114">
        <f>COUNTIFS('External Audits'!D$6:D$506,"Mar",'External Audits'!P$6:P$506,"In Progress")</f>
        <v/>
      </c>
      <c r="F49" s="114">
        <f>COUNTIFS('External Audits'!D$6:D$506,"Apr",'External Audits'!P$6:P$506,"In Progress")</f>
        <v/>
      </c>
      <c r="G49" s="114">
        <f>COUNTIFS('External Audits'!D$6:D$506,"May",'External Audits'!P$6:P$506,"In Progress")</f>
        <v/>
      </c>
      <c r="H49" s="114">
        <f>COUNTIFS('External Audits'!D$6:D$506,"Jun",'External Audits'!P$6:P$506,"In Progress")</f>
        <v/>
      </c>
      <c r="I49" s="114">
        <f>COUNTIFS('External Audits'!D$6:D$506,"Jul",'External Audits'!P$6:P$506,"In Progress")</f>
        <v/>
      </c>
      <c r="J49" s="114">
        <f>COUNTIFS('External Audits'!D$6:D$506,"Aug",'External Audits'!P$6:P$506,"In Progress")</f>
        <v/>
      </c>
      <c r="K49" s="114">
        <f>COUNTIFS('External Audits'!D$6:D$506,"Sep",'External Audits'!P$6:P$506,"In Progress")</f>
        <v/>
      </c>
      <c r="L49" s="114">
        <f>COUNTIFS('External Audits'!D$6:D$506,"Oct",'External Audits'!P$6:P$506,"In Progress")</f>
        <v/>
      </c>
      <c r="M49" s="114">
        <f>COUNTIFS('External Audits'!D$6:D$506,"Nov",'External Audits'!P$6:P$506,"In Progress")</f>
        <v/>
      </c>
      <c r="N49" s="114">
        <f>COUNTIFS('External Audits'!D$6:D$506,"Dec",'External Audits'!P$6:P$506,"In Progress")</f>
        <v/>
      </c>
      <c r="O49" s="115">
        <f>SUM(C49:N49)</f>
        <v/>
      </c>
      <c r="P49" s="93" t="n"/>
      <c r="Q49" s="93" t="n"/>
    </row>
    <row r="50">
      <c r="A50" s="93" t="n"/>
      <c r="B50" s="163" t="inlineStr">
        <is>
          <t>Scheduled</t>
        </is>
      </c>
      <c r="C50" s="82">
        <f>COUNTIFS('External Audits'!D$6:D$506,"Jan",'External Audits'!P$6:P$506,"Scheduled")</f>
        <v/>
      </c>
      <c r="D50" s="82">
        <f>COUNTIFS('External Audits'!D$6:D$506,"Feb",'External Audits'!P$6:P$506,"Scheduled")</f>
        <v/>
      </c>
      <c r="E50" s="82">
        <f>COUNTIFS('External Audits'!D$6:D$506,"Mar",'External Audits'!P$6:P$506,"Scheduled")</f>
        <v/>
      </c>
      <c r="F50" s="82">
        <f>COUNTIFS('External Audits'!D$6:D$506,"Apr",'External Audits'!P$6:P$506,"Scheduled")</f>
        <v/>
      </c>
      <c r="G50" s="82">
        <f>COUNTIFS('External Audits'!D$6:D$506,"May",'External Audits'!P$6:P$506,"Scheduled")</f>
        <v/>
      </c>
      <c r="H50" s="82">
        <f>COUNTIFS('External Audits'!D$6:D$506,"Jun",'External Audits'!P$6:P$506,"Scheduled")</f>
        <v/>
      </c>
      <c r="I50" s="82">
        <f>COUNTIFS('External Audits'!D$6:D$506,"Jul",'External Audits'!P$6:P$506,"Scheduled")</f>
        <v/>
      </c>
      <c r="J50" s="82">
        <f>COUNTIFS('External Audits'!D$6:D$506,"Aug",'External Audits'!P$6:P$506,"Scheduled")</f>
        <v/>
      </c>
      <c r="K50" s="82">
        <f>COUNTIFS('External Audits'!D$6:D$506,"Sep",'External Audits'!P$6:P$506,"Scheduled")</f>
        <v/>
      </c>
      <c r="L50" s="82">
        <f>COUNTIFS('External Audits'!D$6:D$506,"Oct",'External Audits'!P$6:P$506,"Scheduled")</f>
        <v/>
      </c>
      <c r="M50" s="82">
        <f>COUNTIFS('External Audits'!D$6:D$506,"Nov",'External Audits'!P$6:P$506,"Scheduled")</f>
        <v/>
      </c>
      <c r="N50" s="82">
        <f>COUNTIFS('External Audits'!D$6:D$506,"Dec",'External Audits'!P$6:P$506,"Scheduled")</f>
        <v/>
      </c>
      <c r="O50" s="83">
        <f>SUM(C50:N50)</f>
        <v/>
      </c>
      <c r="P50" s="93" t="n"/>
      <c r="Q50" s="93" t="n"/>
    </row>
    <row r="51">
      <c r="A51" s="93" t="n"/>
      <c r="B51" s="175" t="inlineStr">
        <is>
          <t>Rate %</t>
        </is>
      </c>
      <c r="C51" s="176">
        <f>IF(C47=0,0,C48/C47)</f>
        <v/>
      </c>
      <c r="D51" s="176">
        <f>IF(D47=0,0,D48/D47)</f>
        <v/>
      </c>
      <c r="E51" s="176">
        <f>IF(E47=0,0,E48/E47)</f>
        <v/>
      </c>
      <c r="F51" s="176">
        <f>IF(F47=0,0,F48/F47)</f>
        <v/>
      </c>
      <c r="G51" s="176">
        <f>IF(G47=0,0,G48/G47)</f>
        <v/>
      </c>
      <c r="H51" s="176">
        <f>IF(H47=0,0,H48/H47)</f>
        <v/>
      </c>
      <c r="I51" s="176">
        <f>IF(I47=0,0,I48/I47)</f>
        <v/>
      </c>
      <c r="J51" s="176">
        <f>IF(J47=0,0,J48/J47)</f>
        <v/>
      </c>
      <c r="K51" s="176">
        <f>IF(K47=0,0,K48/K47)</f>
        <v/>
      </c>
      <c r="L51" s="176">
        <f>IF(L47=0,0,L48/L47)</f>
        <v/>
      </c>
      <c r="M51" s="176">
        <f>IF(M47=0,0,M48/M47)</f>
        <v/>
      </c>
      <c r="N51" s="176">
        <f>IF(N47=0,0,N48/N47)</f>
        <v/>
      </c>
      <c r="O51" s="176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8D6E63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8D6E63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tabColor rgb="FF006064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28" t="inlineStr">
        <is>
          <t>👔  DASHBOARD – MGMT VISITS</t>
        </is>
      </c>
    </row>
    <row r="2" ht="24" customHeight="1" s="15">
      <c r="A2" s="329" t="inlineStr">
        <is>
          <t>Live data from 'Management Visits'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30" t="inlineStr">
        <is>
          <t>📋 TOTAL VISITS</t>
        </is>
      </c>
      <c r="E4" s="93" t="n"/>
      <c r="F4" s="230" t="inlineStr">
        <is>
          <t>✅ COMPLETED</t>
        </is>
      </c>
      <c r="I4" s="93" t="n"/>
      <c r="J4" s="231" t="inlineStr">
        <is>
          <t>⏳ ACTION PENDING</t>
        </is>
      </c>
      <c r="M4" s="93" t="n"/>
      <c r="N4" s="241" t="inlineStr">
        <is>
          <t>👁️ OBSERVATIONS</t>
        </is>
      </c>
      <c r="Q4" s="93" t="n"/>
    </row>
    <row r="5" ht="43.5" customHeight="1" s="15">
      <c r="A5" s="93" t="n"/>
      <c r="B5" s="331">
        <f>COUNTA('Management Visits'!B$6:B$506)</f>
        <v/>
      </c>
      <c r="E5" s="93" t="n"/>
      <c r="F5" s="234">
        <f>COUNTIF('Management Visits'!N$6:N$506,"Completed")</f>
        <v/>
      </c>
      <c r="I5" s="93" t="n"/>
      <c r="J5" s="235">
        <f>COUNTIF('Management Visits'!N$6:N$506,"Action Pending")</f>
        <v/>
      </c>
      <c r="M5" s="93" t="n"/>
      <c r="N5" s="265">
        <f>SUM('Management Visits'!J$6:J$506)</f>
        <v/>
      </c>
      <c r="Q5" s="93" t="n"/>
    </row>
    <row r="6" ht="13.5" customHeight="1" s="15">
      <c r="A6" s="93" t="n"/>
      <c r="B6" s="332" t="n"/>
      <c r="E6" s="93" t="n"/>
      <c r="F6" s="262" t="n"/>
      <c r="I6" s="93" t="n"/>
      <c r="J6" s="263" t="n"/>
      <c r="M6" s="93" t="n"/>
      <c r="N6" s="268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31" t="inlineStr">
        <is>
          <t>📝 ACTIONS RAISED</t>
        </is>
      </c>
      <c r="E8" s="93" t="n"/>
      <c r="F8" s="230" t="inlineStr">
        <is>
          <t>✅ ACTIONS CLOSED</t>
        </is>
      </c>
      <c r="I8" s="93" t="n"/>
      <c r="J8" s="242" t="inlineStr">
        <is>
          <t>📊 CLOSE-OUT %</t>
        </is>
      </c>
      <c r="M8" s="93" t="n"/>
      <c r="N8" s="244" t="inlineStr">
        <is>
          <t>⏱️ AVG DURATION</t>
        </is>
      </c>
      <c r="Q8" s="93" t="n"/>
    </row>
    <row r="9" ht="43.5" customHeight="1" s="15">
      <c r="A9" s="93" t="n"/>
      <c r="B9" s="235">
        <f>SUM('Management Visits'!K$6:K$506)</f>
        <v/>
      </c>
      <c r="E9" s="93" t="n"/>
      <c r="F9" s="234">
        <f>SUM('Management Visits'!L$6:L$506)</f>
        <v/>
      </c>
      <c r="I9" s="93" t="n"/>
      <c r="J9" s="285">
        <f>IF(SUM('Management Visits'!K$6:K$506)=0,0,SUM('Management Visits'!L$6:L$506)/SUM('Management Visits'!K$6:K$506))</f>
        <v/>
      </c>
      <c r="M9" s="93" t="n"/>
      <c r="N9" s="333">
        <f>IFERROR(AVERAGE('Management Visits'!I$6:I$506),0)</f>
        <v/>
      </c>
      <c r="Q9" s="93" t="n"/>
    </row>
    <row r="10" ht="13.5" customHeight="1" s="15">
      <c r="A10" s="93" t="n"/>
      <c r="B10" s="263" t="n"/>
      <c r="E10" s="93" t="n"/>
      <c r="F10" s="262" t="n"/>
      <c r="I10" s="93" t="n"/>
      <c r="J10" s="269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34" t="inlineStr">
        <is>
          <t>📅  Monthly Trend</t>
        </is>
      </c>
      <c r="I12" s="93" t="n"/>
      <c r="J12" s="334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COUNTIF('Management Visits'!N$6:N$506,"Completed")</f>
        <v/>
      </c>
      <c r="Q13" s="93" t="n"/>
    </row>
    <row r="14">
      <c r="A14" s="93" t="n"/>
      <c r="B14" s="59">
        <f>COUNTIF('Management Visits'!D$6:D$506,"Jan")</f>
        <v/>
      </c>
      <c r="C14" s="59">
        <f>COUNTIF('Management Visits'!D$6:D$506,"Feb")</f>
        <v/>
      </c>
      <c r="D14" s="59">
        <f>COUNTIF('Management Visits'!D$6:D$506,"Mar")</f>
        <v/>
      </c>
      <c r="E14" s="59">
        <f>COUNTIF('Management Visits'!D$6:D$506,"Apr")</f>
        <v/>
      </c>
      <c r="F14" s="59">
        <f>COUNTIF('Management Visits'!D$6:D$506,"May")</f>
        <v/>
      </c>
      <c r="G14" s="59">
        <f>COUNTIF('Management Visits'!D$6:D$506,"Jun")</f>
        <v/>
      </c>
      <c r="H14" s="59">
        <f>COUNTIF('Management Visits'!D$6:D$506,"Jul")</f>
        <v/>
      </c>
      <c r="I14" s="59">
        <f>COUNTIF('Management Visits'!D$6:D$506,"Aug")</f>
        <v/>
      </c>
      <c r="J14" s="59">
        <f>COUNTIF('Management Visits'!D$6:D$506,"Sep")</f>
        <v/>
      </c>
      <c r="K14" s="59">
        <f>COUNTIF('Management Visits'!D$6:D$506,"Oct")</f>
        <v/>
      </c>
      <c r="L14" s="59">
        <f>COUNTIF('Management Visits'!D$6:D$506,"Nov")</f>
        <v/>
      </c>
      <c r="M14" s="59">
        <f>COUNTIF('Management Visits'!D$6:D$506,"Dec")</f>
        <v/>
      </c>
      <c r="N14" s="94" t="n"/>
      <c r="O14" s="95" t="inlineStr">
        <is>
          <t>Action Pending</t>
        </is>
      </c>
      <c r="P14" s="59">
        <f>COUNTIF('Management Visits'!N$6:N$506,"Action Pending")</f>
        <v/>
      </c>
      <c r="Q14" s="93" t="n"/>
    </row>
    <row r="15">
      <c r="A15" s="93" t="n"/>
      <c r="B15" s="60">
        <f>COUNTIFS('Management Visits'!D$6:D$506,"Jan",'Management Visits'!N$6:N$506,"Completed")</f>
        <v/>
      </c>
      <c r="C15" s="60">
        <f>COUNTIFS('Management Visits'!D$6:D$506,"Feb",'Management Visits'!N$6:N$506,"Completed")</f>
        <v/>
      </c>
      <c r="D15" s="60">
        <f>COUNTIFS('Management Visits'!D$6:D$506,"Mar",'Management Visits'!N$6:N$506,"Completed")</f>
        <v/>
      </c>
      <c r="E15" s="60">
        <f>COUNTIFS('Management Visits'!D$6:D$506,"Apr",'Management Visits'!N$6:N$506,"Completed")</f>
        <v/>
      </c>
      <c r="F15" s="60">
        <f>COUNTIFS('Management Visits'!D$6:D$506,"May",'Management Visits'!N$6:N$506,"Completed")</f>
        <v/>
      </c>
      <c r="G15" s="60">
        <f>COUNTIFS('Management Visits'!D$6:D$506,"Jun",'Management Visits'!N$6:N$506,"Completed")</f>
        <v/>
      </c>
      <c r="H15" s="60">
        <f>COUNTIFS('Management Visits'!D$6:D$506,"Jul",'Management Visits'!N$6:N$506,"Completed")</f>
        <v/>
      </c>
      <c r="I15" s="60">
        <f>COUNTIFS('Management Visits'!D$6:D$506,"Aug",'Management Visits'!N$6:N$506,"Completed")</f>
        <v/>
      </c>
      <c r="J15" s="60">
        <f>COUNTIFS('Management Visits'!D$6:D$506,"Sep",'Management Visits'!N$6:N$506,"Completed")</f>
        <v/>
      </c>
      <c r="K15" s="60">
        <f>COUNTIFS('Management Visits'!D$6:D$506,"Oct",'Management Visits'!N$6:N$506,"Completed")</f>
        <v/>
      </c>
      <c r="L15" s="60">
        <f>COUNTIFS('Management Visits'!D$6:D$506,"Nov",'Management Visits'!N$6:N$506,"Completed")</f>
        <v/>
      </c>
      <c r="M15" s="60">
        <f>COUNTIFS('Management Visits'!D$6:D$506,"Dec",'Management Visits'!N$6:N$506,"Completed")</f>
        <v/>
      </c>
      <c r="N15" s="94" t="n"/>
      <c r="O15" s="94" t="n"/>
      <c r="P15" s="94" t="n"/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34" t="inlineStr">
        <is>
          <t>🏢  Department Breakdown</t>
        </is>
      </c>
      <c r="I31" s="93" t="n"/>
      <c r="J31" s="334" t="inlineStr">
        <is>
          <t>🏷️  Visit Type Breakdown</t>
        </is>
      </c>
      <c r="Q31" s="93" t="n"/>
    </row>
    <row r="32" ht="56.25" customHeight="1" s="15">
      <c r="A32" s="93" t="n"/>
      <c r="B32" s="177" t="inlineStr">
        <is>
          <t>Department</t>
        </is>
      </c>
      <c r="C32" s="177" t="inlineStr">
        <is>
          <t>Count</t>
        </is>
      </c>
      <c r="D32" s="177" t="inlineStr">
        <is>
          <t>Completed</t>
        </is>
      </c>
      <c r="E32" s="177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Site Walk</t>
        </is>
      </c>
      <c r="P32" s="59">
        <f>COUNTIF('Management Visits'!E$6:E$506,O32)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COUNTIF('Management Visits'!F$6:F$506,B33)</f>
        <v/>
      </c>
      <c r="D33" s="63">
        <f>COUNTIFS('Management Visits'!F$6:F$506,B33,'Management Visits'!N$6:N$506,"Completed")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Plant Visit</t>
        </is>
      </c>
      <c r="P33" s="59">
        <f>COUNTIF('Management Visits'!E$6:E$506,O33)</f>
        <v/>
      </c>
      <c r="Q33" s="93" t="n"/>
    </row>
    <row r="34">
      <c r="A34" s="93" t="n"/>
      <c r="B34" s="178" t="inlineStr">
        <is>
          <t>Maintenance</t>
        </is>
      </c>
      <c r="C34" s="179">
        <f>COUNTIF('Management Visits'!F$6:F$506,B34)</f>
        <v/>
      </c>
      <c r="D34" s="179">
        <f>COUNTIFS('Management Visits'!F$6:F$506,B34,'Management Visits'!N$6:N$506,"Completed")</f>
        <v/>
      </c>
      <c r="E34" s="180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Safety Observation</t>
        </is>
      </c>
      <c r="P34" s="59">
        <f>COUNTIF('Management Visits'!E$6:E$506,O34)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COUNTIF('Management Visits'!F$6:F$506,B35)</f>
        <v/>
      </c>
      <c r="D35" s="63">
        <f>COUNTIFS('Management Visits'!F$6:F$506,B35,'Management Visits'!N$6:N$506,"Completed")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Contractor Review</t>
        </is>
      </c>
      <c r="P35" s="59">
        <f>COUNTIF('Management Visits'!E$6:E$506,O35)</f>
        <v/>
      </c>
      <c r="Q35" s="93" t="n"/>
    </row>
    <row r="36">
      <c r="A36" s="93" t="n"/>
      <c r="B36" s="178" t="inlineStr">
        <is>
          <t>Construction</t>
        </is>
      </c>
      <c r="C36" s="179">
        <f>COUNTIF('Management Visits'!F$6:F$506,B36)</f>
        <v/>
      </c>
      <c r="D36" s="179">
        <f>COUNTIFS('Management Visits'!F$6:F$506,B36,'Management Visits'!N$6:N$506,"Completed")</f>
        <v/>
      </c>
      <c r="E36" s="180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Project Visit</t>
        </is>
      </c>
      <c r="P36" s="59">
        <f>COUNTIF('Management Visits'!E$6:E$506,O36)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COUNTIF('Management Visits'!F$6:F$506,B37)</f>
        <v/>
      </c>
      <c r="D37" s="63">
        <f>COUNTIFS('Management Visits'!F$6:F$506,B37,'Management Visits'!N$6:N$506,"Completed")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Emergency Review</t>
        </is>
      </c>
      <c r="P37" s="59">
        <f>COUNTIF('Management Visits'!E$6:E$506,O37)</f>
        <v/>
      </c>
      <c r="Q37" s="93" t="n"/>
    </row>
    <row r="38">
      <c r="A38" s="93" t="n"/>
      <c r="B38" s="178" t="inlineStr">
        <is>
          <t>Logistics</t>
        </is>
      </c>
      <c r="C38" s="179">
        <f>COUNTIF('Management Visits'!F$6:F$506,B38)</f>
        <v/>
      </c>
      <c r="D38" s="179">
        <f>COUNTIFS('Management Visits'!F$6:F$506,B38,'Management Visits'!N$6:N$506,"Completed")</f>
        <v/>
      </c>
      <c r="E38" s="180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COUNTIF('Management Visits'!F$6:F$506,B39)</f>
        <v/>
      </c>
      <c r="D39" s="63">
        <f>COUNTIFS('Management Visits'!F$6:F$506,B39,'Management Visits'!N$6:N$506,"Completed")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78" t="inlineStr">
        <is>
          <t>Admin</t>
        </is>
      </c>
      <c r="C40" s="179">
        <f>COUNTIF('Management Visits'!F$6:F$506,B40)</f>
        <v/>
      </c>
      <c r="D40" s="179">
        <f>COUNTIFS('Management Visits'!F$6:F$506,B40,'Management Visits'!N$6:N$506,"Completed")</f>
        <v/>
      </c>
      <c r="E40" s="180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COUNTIF('Management Visits'!F$6:F$506,B41)</f>
        <v/>
      </c>
      <c r="D41" s="63">
        <f>COUNTIFS('Management Visits'!F$6:F$506,B41,'Management Visits'!N$6:N$506,"Completed")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78" t="inlineStr">
        <is>
          <t>Contractor</t>
        </is>
      </c>
      <c r="C42" s="179">
        <f>COUNTIF('Management Visits'!F$6:F$506,B42)</f>
        <v/>
      </c>
      <c r="D42" s="179">
        <f>COUNTIFS('Management Visits'!F$6:F$506,B42,'Management Visits'!N$6:N$506,"Completed")</f>
        <v/>
      </c>
      <c r="E42" s="180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34" t="inlineStr">
        <is>
          <t>📈  Monthly Performance Matrix</t>
        </is>
      </c>
      <c r="Q45" s="93" t="n"/>
    </row>
    <row r="46" ht="33.75" customHeight="1" s="15">
      <c r="A46" s="93" t="n"/>
      <c r="B46" s="177" t="inlineStr">
        <is>
          <t>Metric</t>
        </is>
      </c>
      <c r="C46" s="177" t="inlineStr">
        <is>
          <t>Jan</t>
        </is>
      </c>
      <c r="D46" s="177" t="inlineStr">
        <is>
          <t>Feb</t>
        </is>
      </c>
      <c r="E46" s="177" t="inlineStr">
        <is>
          <t>Mar</t>
        </is>
      </c>
      <c r="F46" s="177" t="inlineStr">
        <is>
          <t>Apr</t>
        </is>
      </c>
      <c r="G46" s="177" t="inlineStr">
        <is>
          <t>May</t>
        </is>
      </c>
      <c r="H46" s="177" t="inlineStr">
        <is>
          <t>Jun</t>
        </is>
      </c>
      <c r="I46" s="177" t="inlineStr">
        <is>
          <t>Jul</t>
        </is>
      </c>
      <c r="J46" s="177" t="inlineStr">
        <is>
          <t>Aug</t>
        </is>
      </c>
      <c r="K46" s="177" t="inlineStr">
        <is>
          <t>Sep</t>
        </is>
      </c>
      <c r="L46" s="177" t="inlineStr">
        <is>
          <t>Oct</t>
        </is>
      </c>
      <c r="M46" s="177" t="inlineStr">
        <is>
          <t>Nov</t>
        </is>
      </c>
      <c r="N46" s="177" t="inlineStr">
        <is>
          <t>Dec</t>
        </is>
      </c>
      <c r="O46" s="177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COUNTIF('Management Visits'!D$6:D$506,"Jan")</f>
        <v/>
      </c>
      <c r="D47" s="63">
        <f>COUNTIF('Management Visits'!D$6:D$506,"Feb")</f>
        <v/>
      </c>
      <c r="E47" s="63">
        <f>COUNTIF('Management Visits'!D$6:D$506,"Mar")</f>
        <v/>
      </c>
      <c r="F47" s="63">
        <f>COUNTIF('Management Visits'!D$6:D$506,"Apr")</f>
        <v/>
      </c>
      <c r="G47" s="63">
        <f>COUNTIF('Management Visits'!D$6:D$506,"May")</f>
        <v/>
      </c>
      <c r="H47" s="63">
        <f>COUNTIF('Management Visits'!D$6:D$506,"Jun")</f>
        <v/>
      </c>
      <c r="I47" s="63">
        <f>COUNTIF('Management Visits'!D$6:D$506,"Jul")</f>
        <v/>
      </c>
      <c r="J47" s="63">
        <f>COUNTIF('Management Visits'!D$6:D$506,"Aug")</f>
        <v/>
      </c>
      <c r="K47" s="63">
        <f>COUNTIF('Management Visits'!D$6:D$506,"Sep")</f>
        <v/>
      </c>
      <c r="L47" s="63">
        <f>COUNTIF('Management Visits'!D$6:D$506,"Oct")</f>
        <v/>
      </c>
      <c r="M47" s="63">
        <f>COUNTIF('Management Visits'!D$6:D$506,"Nov")</f>
        <v/>
      </c>
      <c r="N47" s="63">
        <f>COUNTIF('Management Visits'!D$6:D$506,"Dec")</f>
        <v/>
      </c>
      <c r="O47" s="181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COUNTIFS('Management Visits'!D$6:D$506,"Jan",'Management Visits'!N$6:N$506,"Completed")</f>
        <v/>
      </c>
      <c r="D48" s="76">
        <f>COUNTIFS('Management Visits'!D$6:D$506,"Feb",'Management Visits'!N$6:N$506,"Completed")</f>
        <v/>
      </c>
      <c r="E48" s="76">
        <f>COUNTIFS('Management Visits'!D$6:D$506,"Mar",'Management Visits'!N$6:N$506,"Completed")</f>
        <v/>
      </c>
      <c r="F48" s="76">
        <f>COUNTIFS('Management Visits'!D$6:D$506,"Apr",'Management Visits'!N$6:N$506,"Completed")</f>
        <v/>
      </c>
      <c r="G48" s="76">
        <f>COUNTIFS('Management Visits'!D$6:D$506,"May",'Management Visits'!N$6:N$506,"Completed")</f>
        <v/>
      </c>
      <c r="H48" s="76">
        <f>COUNTIFS('Management Visits'!D$6:D$506,"Jun",'Management Visits'!N$6:N$506,"Completed")</f>
        <v/>
      </c>
      <c r="I48" s="76">
        <f>COUNTIFS('Management Visits'!D$6:D$506,"Jul",'Management Visits'!N$6:N$506,"Completed")</f>
        <v/>
      </c>
      <c r="J48" s="76">
        <f>COUNTIFS('Management Visits'!D$6:D$506,"Aug",'Management Visits'!N$6:N$506,"Completed")</f>
        <v/>
      </c>
      <c r="K48" s="76">
        <f>COUNTIFS('Management Visits'!D$6:D$506,"Sep",'Management Visits'!N$6:N$506,"Completed")</f>
        <v/>
      </c>
      <c r="L48" s="76">
        <f>COUNTIFS('Management Visits'!D$6:D$506,"Oct",'Management Visits'!N$6:N$506,"Completed")</f>
        <v/>
      </c>
      <c r="M48" s="76">
        <f>COUNTIFS('Management Visits'!D$6:D$506,"Nov",'Management Visits'!N$6:N$506,"Completed")</f>
        <v/>
      </c>
      <c r="N48" s="76">
        <f>COUNTIFS('Management Visits'!D$6:D$506,"Dec",'Management Visits'!N$6:N$506,"Completed")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Action Pending</t>
        </is>
      </c>
      <c r="C49" s="114">
        <f>COUNTIFS('Management Visits'!D$6:D$506,"Jan",'Management Visits'!N$6:N$506,"Action Pending")</f>
        <v/>
      </c>
      <c r="D49" s="114">
        <f>COUNTIFS('Management Visits'!D$6:D$506,"Feb",'Management Visits'!N$6:N$506,"Action Pending")</f>
        <v/>
      </c>
      <c r="E49" s="114">
        <f>COUNTIFS('Management Visits'!D$6:D$506,"Mar",'Management Visits'!N$6:N$506,"Action Pending")</f>
        <v/>
      </c>
      <c r="F49" s="114">
        <f>COUNTIFS('Management Visits'!D$6:D$506,"Apr",'Management Visits'!N$6:N$506,"Action Pending")</f>
        <v/>
      </c>
      <c r="G49" s="114">
        <f>COUNTIFS('Management Visits'!D$6:D$506,"May",'Management Visits'!N$6:N$506,"Action Pending")</f>
        <v/>
      </c>
      <c r="H49" s="114">
        <f>COUNTIFS('Management Visits'!D$6:D$506,"Jun",'Management Visits'!N$6:N$506,"Action Pending")</f>
        <v/>
      </c>
      <c r="I49" s="114">
        <f>COUNTIFS('Management Visits'!D$6:D$506,"Jul",'Management Visits'!N$6:N$506,"Action Pending")</f>
        <v/>
      </c>
      <c r="J49" s="114">
        <f>COUNTIFS('Management Visits'!D$6:D$506,"Aug",'Management Visits'!N$6:N$506,"Action Pending")</f>
        <v/>
      </c>
      <c r="K49" s="114">
        <f>COUNTIFS('Management Visits'!D$6:D$506,"Sep",'Management Visits'!N$6:N$506,"Action Pending")</f>
        <v/>
      </c>
      <c r="L49" s="114">
        <f>COUNTIFS('Management Visits'!D$6:D$506,"Oct",'Management Visits'!N$6:N$506,"Action Pending")</f>
        <v/>
      </c>
      <c r="M49" s="114">
        <f>COUNTIFS('Management Visits'!D$6:D$506,"Nov",'Management Visits'!N$6:N$506,"Action Pending")</f>
        <v/>
      </c>
      <c r="N49" s="114">
        <f>COUNTIFS('Management Visits'!D$6:D$506,"Dec",'Management Visits'!N$6:N$506,"Action Pending")</f>
        <v/>
      </c>
      <c r="O49" s="115">
        <f>SUM(C49:N49)</f>
        <v/>
      </c>
      <c r="P49" s="93" t="n"/>
      <c r="Q49" s="93" t="n"/>
    </row>
    <row r="50">
      <c r="A50" s="93" t="n"/>
      <c r="B50" s="182" t="inlineStr">
        <is>
          <t>Rate %</t>
        </is>
      </c>
      <c r="C50" s="183">
        <f>IF(C47=0,0,C48/C47)</f>
        <v/>
      </c>
      <c r="D50" s="183">
        <f>IF(D47=0,0,D48/D47)</f>
        <v/>
      </c>
      <c r="E50" s="183">
        <f>IF(E47=0,0,E48/E47)</f>
        <v/>
      </c>
      <c r="F50" s="183">
        <f>IF(F47=0,0,F48/F47)</f>
        <v/>
      </c>
      <c r="G50" s="183">
        <f>IF(G47=0,0,G48/G47)</f>
        <v/>
      </c>
      <c r="H50" s="183">
        <f>IF(H47=0,0,H48/H47)</f>
        <v/>
      </c>
      <c r="I50" s="183">
        <f>IF(I47=0,0,I48/I47)</f>
        <v/>
      </c>
      <c r="J50" s="183">
        <f>IF(J47=0,0,J48/J47)</f>
        <v/>
      </c>
      <c r="K50" s="183">
        <f>IF(K47=0,0,K48/K47)</f>
        <v/>
      </c>
      <c r="L50" s="183">
        <f>IF(L47=0,0,L48/L47)</f>
        <v/>
      </c>
      <c r="M50" s="183">
        <f>IF(M47=0,0,M48/M47)</f>
        <v/>
      </c>
      <c r="N50" s="183">
        <f>IF(N47=0,0,N48/N47)</f>
        <v/>
      </c>
      <c r="O50" s="183">
        <f>IF(O47=0,0,O48/O47)</f>
        <v/>
      </c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26C6DA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26C6DA"/>
      </dataBar>
    </cfRule>
  </conditionalFormatting>
  <conditionalFormatting sqref="C50:O50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tabColor rgb="FF263238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93" t="inlineStr">
        <is>
          <t>📊  DASHBOARD – MGMT REVIEWS</t>
        </is>
      </c>
    </row>
    <row r="2" ht="24" customHeight="1" s="15">
      <c r="A2" s="294" t="inlineStr">
        <is>
          <t>Live data from 'Management Reviews'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95" t="inlineStr">
        <is>
          <t>📋 TOTAL REVIEWS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58" t="inlineStr">
        <is>
          <t>👥 AVG ATTENDANCE</t>
        </is>
      </c>
      <c r="Q4" s="93" t="n"/>
    </row>
    <row r="5" ht="43.5" customHeight="1" s="15">
      <c r="A5" s="93" t="n"/>
      <c r="B5" s="296">
        <f>COUNTA('Management Reviews'!B$6:B$506)</f>
        <v/>
      </c>
      <c r="E5" s="93" t="n"/>
      <c r="F5" s="234">
        <f>COUNTIF('Management Reviews'!O$6:O$506,"Completed")</f>
        <v/>
      </c>
      <c r="I5" s="93" t="n"/>
      <c r="J5" s="235">
        <f>COUNTIF('Management Reviews'!O$6:O$506,"In Progress")</f>
        <v/>
      </c>
      <c r="M5" s="93" t="n"/>
      <c r="N5" s="260">
        <f>IFERROR(AVERAGE('Management Reviews'!I$6:I$506),0)</f>
        <v/>
      </c>
      <c r="Q5" s="93" t="n"/>
    </row>
    <row r="6" ht="13.5" customHeight="1" s="15">
      <c r="A6" s="93" t="n"/>
      <c r="B6" s="297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📝 DECISIONS</t>
        </is>
      </c>
      <c r="E8" s="93" t="n"/>
      <c r="F8" s="242" t="inlineStr">
        <is>
          <t>📋 ACTIONS</t>
        </is>
      </c>
      <c r="I8" s="93" t="n"/>
      <c r="J8" s="230" t="inlineStr">
        <is>
          <t>📊 CLOSE-OUT</t>
        </is>
      </c>
      <c r="M8" s="93" t="n"/>
      <c r="N8" s="230" t="inlineStr">
        <is>
          <t>📄 MoM DONE</t>
        </is>
      </c>
      <c r="Q8" s="93" t="n"/>
    </row>
    <row r="9" ht="43.5" customHeight="1" s="15">
      <c r="A9" s="93" t="n"/>
      <c r="B9" s="265">
        <f>SUM('Management Reviews'!K$6:K$506)</f>
        <v/>
      </c>
      <c r="E9" s="93" t="n"/>
      <c r="F9" s="266">
        <f>SUM('Management Reviews'!L$6:L$506)</f>
        <v/>
      </c>
      <c r="I9" s="93" t="n"/>
      <c r="J9" s="318">
        <f>IFERROR(AVERAGE('Management Reviews'!M$6:M$506),0)</f>
        <v/>
      </c>
      <c r="M9" s="93" t="n"/>
      <c r="N9" s="234">
        <f>COUNTIF('Management Reviews'!N$6:N$506,"Yes")</f>
        <v/>
      </c>
      <c r="Q9" s="93" t="n"/>
    </row>
    <row r="10" ht="13.5" customHeight="1" s="15">
      <c r="A10" s="93" t="n"/>
      <c r="B10" s="268" t="n"/>
      <c r="E10" s="93" t="n"/>
      <c r="F10" s="269" t="n"/>
      <c r="I10" s="93" t="n"/>
      <c r="J10" s="262" t="n"/>
      <c r="M10" s="93" t="n"/>
      <c r="N10" s="262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8" t="inlineStr">
        <is>
          <t>📅  Monthly Trend</t>
        </is>
      </c>
      <c r="I12" s="93" t="n"/>
      <c r="J12" s="298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COUNTIF('Management Reviews'!O$6:O$506,"Completed")</f>
        <v/>
      </c>
      <c r="Q13" s="93" t="n"/>
    </row>
    <row r="14">
      <c r="A14" s="93" t="n"/>
      <c r="B14" s="59">
        <f>COUNTIF('Management Reviews'!D$6:D$506,"Jan")</f>
        <v/>
      </c>
      <c r="C14" s="59">
        <f>COUNTIF('Management Reviews'!D$6:D$506,"Feb")</f>
        <v/>
      </c>
      <c r="D14" s="59">
        <f>COUNTIF('Management Reviews'!D$6:D$506,"Mar")</f>
        <v/>
      </c>
      <c r="E14" s="59">
        <f>COUNTIF('Management Reviews'!D$6:D$506,"Apr")</f>
        <v/>
      </c>
      <c r="F14" s="59">
        <f>COUNTIF('Management Reviews'!D$6:D$506,"May")</f>
        <v/>
      </c>
      <c r="G14" s="59">
        <f>COUNTIF('Management Reviews'!D$6:D$506,"Jun")</f>
        <v/>
      </c>
      <c r="H14" s="59">
        <f>COUNTIF('Management Reviews'!D$6:D$506,"Jul")</f>
        <v/>
      </c>
      <c r="I14" s="59">
        <f>COUNTIF('Management Reviews'!D$6:D$506,"Aug")</f>
        <v/>
      </c>
      <c r="J14" s="59">
        <f>COUNTIF('Management Reviews'!D$6:D$506,"Sep")</f>
        <v/>
      </c>
      <c r="K14" s="59">
        <f>COUNTIF('Management Reviews'!D$6:D$506,"Oct")</f>
        <v/>
      </c>
      <c r="L14" s="59">
        <f>COUNTIF('Management Reviews'!D$6:D$506,"Nov")</f>
        <v/>
      </c>
      <c r="M14" s="59">
        <f>COUNTIF('Management Reviews'!D$6:D$506,"Dec")</f>
        <v/>
      </c>
      <c r="N14" s="94" t="n"/>
      <c r="O14" s="95" t="inlineStr">
        <is>
          <t>In Progress</t>
        </is>
      </c>
      <c r="P14" s="59">
        <f>COUNTIF('Management Reviews'!O$6:O$506,"In Progress")</f>
        <v/>
      </c>
      <c r="Q14" s="93" t="n"/>
    </row>
    <row r="15">
      <c r="A15" s="93" t="n"/>
      <c r="B15" s="60">
        <f>COUNTIFS('Management Reviews'!D$6:D$506,"Jan",'Management Reviews'!O$6:O$506,"Completed")</f>
        <v/>
      </c>
      <c r="C15" s="60">
        <f>COUNTIFS('Management Reviews'!D$6:D$506,"Feb",'Management Reviews'!O$6:O$506,"Completed")</f>
        <v/>
      </c>
      <c r="D15" s="60">
        <f>COUNTIFS('Management Reviews'!D$6:D$506,"Mar",'Management Reviews'!O$6:O$506,"Completed")</f>
        <v/>
      </c>
      <c r="E15" s="60">
        <f>COUNTIFS('Management Reviews'!D$6:D$506,"Apr",'Management Reviews'!O$6:O$506,"Completed")</f>
        <v/>
      </c>
      <c r="F15" s="60">
        <f>COUNTIFS('Management Reviews'!D$6:D$506,"May",'Management Reviews'!O$6:O$506,"Completed")</f>
        <v/>
      </c>
      <c r="G15" s="60">
        <f>COUNTIFS('Management Reviews'!D$6:D$506,"Jun",'Management Reviews'!O$6:O$506,"Completed")</f>
        <v/>
      </c>
      <c r="H15" s="60">
        <f>COUNTIFS('Management Reviews'!D$6:D$506,"Jul",'Management Reviews'!O$6:O$506,"Completed")</f>
        <v/>
      </c>
      <c r="I15" s="60">
        <f>COUNTIFS('Management Reviews'!D$6:D$506,"Aug",'Management Reviews'!O$6:O$506,"Completed")</f>
        <v/>
      </c>
      <c r="J15" s="60">
        <f>COUNTIFS('Management Reviews'!D$6:D$506,"Sep",'Management Reviews'!O$6:O$506,"Completed")</f>
        <v/>
      </c>
      <c r="K15" s="60">
        <f>COUNTIFS('Management Reviews'!D$6:D$506,"Oct",'Management Reviews'!O$6:O$506,"Completed")</f>
        <v/>
      </c>
      <c r="L15" s="60">
        <f>COUNTIFS('Management Reviews'!D$6:D$506,"Nov",'Management Reviews'!O$6:O$506,"Completed")</f>
        <v/>
      </c>
      <c r="M15" s="60">
        <f>COUNTIFS('Management Reviews'!D$6:D$506,"Dec",'Management Reviews'!O$6:O$506,"Completed")</f>
        <v/>
      </c>
      <c r="N15" s="94" t="n"/>
      <c r="O15" s="95" t="inlineStr">
        <is>
          <t>Scheduled</t>
        </is>
      </c>
      <c r="P15" s="59">
        <f>COUNTIF('Management Reviews'!O$6:O$506,"Scheduled")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8" t="inlineStr">
        <is>
          <t>🏢  Department Breakdown</t>
        </is>
      </c>
      <c r="I31" s="93" t="n"/>
      <c r="J31" s="298" t="inlineStr">
        <is>
          <t>🏷️  Review Topic Breakdown</t>
        </is>
      </c>
      <c r="Q31" s="93" t="n"/>
    </row>
    <row r="32" ht="56.25" customHeight="1" s="15">
      <c r="A32" s="93" t="n"/>
      <c r="B32" s="139" t="inlineStr">
        <is>
          <t>Department</t>
        </is>
      </c>
      <c r="C32" s="139" t="inlineStr">
        <is>
          <t>Count</t>
        </is>
      </c>
      <c r="D32" s="139" t="inlineStr">
        <is>
          <t>Completed</t>
        </is>
      </c>
      <c r="E32" s="139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Quarterly HSE Review</t>
        </is>
      </c>
      <c r="P32" s="59">
        <f>COUNTIF('Management Reviews'!E$6:E$506,O32)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COUNTIF('Management Reviews'!F$6:F$506,B33)</f>
        <v/>
      </c>
      <c r="D33" s="63">
        <f>COUNTIFS('Management Reviews'!F$6:F$506,B33,'Management Reviews'!O$6:O$506,"Completed")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Annual Management Review</t>
        </is>
      </c>
      <c r="P33" s="59">
        <f>COUNTIF('Management Reviews'!E$6:E$506,O33)</f>
        <v/>
      </c>
      <c r="Q33" s="93" t="n"/>
    </row>
    <row r="34">
      <c r="A34" s="93" t="n"/>
      <c r="B34" s="140" t="inlineStr">
        <is>
          <t>Maintenance</t>
        </is>
      </c>
      <c r="C34" s="141">
        <f>COUNTIF('Management Reviews'!F$6:F$506,B34)</f>
        <v/>
      </c>
      <c r="D34" s="141">
        <f>COUNTIFS('Management Reviews'!F$6:F$506,B34,'Management Reviews'!O$6:O$506,"Completed")</f>
        <v/>
      </c>
      <c r="E34" s="142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KPI Performance Review</t>
        </is>
      </c>
      <c r="P34" s="59">
        <f>COUNTIF('Management Reviews'!E$6:E$506,O34)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COUNTIF('Management Reviews'!F$6:F$506,B35)</f>
        <v/>
      </c>
      <c r="D35" s="63">
        <f>COUNTIFS('Management Reviews'!F$6:F$506,B35,'Management Reviews'!O$6:O$506,"Completed")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Incident Trend Review</t>
        </is>
      </c>
      <c r="P35" s="59">
        <f>COUNTIF('Management Reviews'!E$6:E$506,O35)</f>
        <v/>
      </c>
      <c r="Q35" s="93" t="n"/>
    </row>
    <row r="36">
      <c r="A36" s="93" t="n"/>
      <c r="B36" s="140" t="inlineStr">
        <is>
          <t>Construction</t>
        </is>
      </c>
      <c r="C36" s="141">
        <f>COUNTIF('Management Reviews'!F$6:F$506,B36)</f>
        <v/>
      </c>
      <c r="D36" s="141">
        <f>COUNTIFS('Management Reviews'!F$6:F$506,B36,'Management Reviews'!O$6:O$506,"Completed")</f>
        <v/>
      </c>
      <c r="E36" s="142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Compliance Review</t>
        </is>
      </c>
      <c r="P36" s="59">
        <f>COUNTIF('Management Reviews'!E$6:E$506,O36)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COUNTIF('Management Reviews'!F$6:F$506,B37)</f>
        <v/>
      </c>
      <c r="D37" s="63">
        <f>COUNTIFS('Management Reviews'!F$6:F$506,B37,'Management Reviews'!O$6:O$506,"Completed")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Budget Review</t>
        </is>
      </c>
      <c r="P37" s="59">
        <f>COUNTIF('Management Reviews'!E$6:E$506,O37)</f>
        <v/>
      </c>
      <c r="Q37" s="93" t="n"/>
    </row>
    <row r="38">
      <c r="A38" s="93" t="n"/>
      <c r="B38" s="140" t="inlineStr">
        <is>
          <t>Logistics</t>
        </is>
      </c>
      <c r="C38" s="141">
        <f>COUNTIF('Management Reviews'!F$6:F$506,B38)</f>
        <v/>
      </c>
      <c r="D38" s="141">
        <f>COUNTIFS('Management Reviews'!F$6:F$506,B38,'Management Reviews'!O$6:O$506,"Completed")</f>
        <v/>
      </c>
      <c r="E38" s="142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COUNTIF('Management Reviews'!F$6:F$506,B39)</f>
        <v/>
      </c>
      <c r="D39" s="63">
        <f>COUNTIFS('Management Reviews'!F$6:F$506,B39,'Management Reviews'!O$6:O$506,"Completed")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40" t="inlineStr">
        <is>
          <t>Admin</t>
        </is>
      </c>
      <c r="C40" s="141">
        <f>COUNTIF('Management Reviews'!F$6:F$506,B40)</f>
        <v/>
      </c>
      <c r="D40" s="141">
        <f>COUNTIFS('Management Reviews'!F$6:F$506,B40,'Management Reviews'!O$6:O$506,"Completed")</f>
        <v/>
      </c>
      <c r="E40" s="142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COUNTIF('Management Reviews'!F$6:F$506,B41)</f>
        <v/>
      </c>
      <c r="D41" s="63">
        <f>COUNTIFS('Management Reviews'!F$6:F$506,B41,'Management Reviews'!O$6:O$506,"Completed")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40" t="inlineStr">
        <is>
          <t>Contractor</t>
        </is>
      </c>
      <c r="C42" s="141">
        <f>COUNTIF('Management Reviews'!F$6:F$506,B42)</f>
        <v/>
      </c>
      <c r="D42" s="141">
        <f>COUNTIFS('Management Reviews'!F$6:F$506,B42,'Management Reviews'!O$6:O$506,"Completed")</f>
        <v/>
      </c>
      <c r="E42" s="142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8" t="inlineStr">
        <is>
          <t>📈  Monthly Performance Matrix</t>
        </is>
      </c>
      <c r="Q45" s="93" t="n"/>
    </row>
    <row r="46" ht="33.75" customHeight="1" s="15">
      <c r="A46" s="93" t="n"/>
      <c r="B46" s="139" t="inlineStr">
        <is>
          <t>Metric</t>
        </is>
      </c>
      <c r="C46" s="139" t="inlineStr">
        <is>
          <t>Jan</t>
        </is>
      </c>
      <c r="D46" s="139" t="inlineStr">
        <is>
          <t>Feb</t>
        </is>
      </c>
      <c r="E46" s="139" t="inlineStr">
        <is>
          <t>Mar</t>
        </is>
      </c>
      <c r="F46" s="139" t="inlineStr">
        <is>
          <t>Apr</t>
        </is>
      </c>
      <c r="G46" s="139" t="inlineStr">
        <is>
          <t>May</t>
        </is>
      </c>
      <c r="H46" s="139" t="inlineStr">
        <is>
          <t>Jun</t>
        </is>
      </c>
      <c r="I46" s="139" t="inlineStr">
        <is>
          <t>Jul</t>
        </is>
      </c>
      <c r="J46" s="139" t="inlineStr">
        <is>
          <t>Aug</t>
        </is>
      </c>
      <c r="K46" s="139" t="inlineStr">
        <is>
          <t>Sep</t>
        </is>
      </c>
      <c r="L46" s="139" t="inlineStr">
        <is>
          <t>Oct</t>
        </is>
      </c>
      <c r="M46" s="139" t="inlineStr">
        <is>
          <t>Nov</t>
        </is>
      </c>
      <c r="N46" s="139" t="inlineStr">
        <is>
          <t>Dec</t>
        </is>
      </c>
      <c r="O46" s="139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COUNTIF('Management Reviews'!D$6:D$506,"Jan")</f>
        <v/>
      </c>
      <c r="D47" s="63">
        <f>COUNTIF('Management Reviews'!D$6:D$506,"Feb")</f>
        <v/>
      </c>
      <c r="E47" s="63">
        <f>COUNTIF('Management Reviews'!D$6:D$506,"Mar")</f>
        <v/>
      </c>
      <c r="F47" s="63">
        <f>COUNTIF('Management Reviews'!D$6:D$506,"Apr")</f>
        <v/>
      </c>
      <c r="G47" s="63">
        <f>COUNTIF('Management Reviews'!D$6:D$506,"May")</f>
        <v/>
      </c>
      <c r="H47" s="63">
        <f>COUNTIF('Management Reviews'!D$6:D$506,"Jun")</f>
        <v/>
      </c>
      <c r="I47" s="63">
        <f>COUNTIF('Management Reviews'!D$6:D$506,"Jul")</f>
        <v/>
      </c>
      <c r="J47" s="63">
        <f>COUNTIF('Management Reviews'!D$6:D$506,"Aug")</f>
        <v/>
      </c>
      <c r="K47" s="63">
        <f>COUNTIF('Management Reviews'!D$6:D$506,"Sep")</f>
        <v/>
      </c>
      <c r="L47" s="63">
        <f>COUNTIF('Management Reviews'!D$6:D$506,"Oct")</f>
        <v/>
      </c>
      <c r="M47" s="63">
        <f>COUNTIF('Management Reviews'!D$6:D$506,"Nov")</f>
        <v/>
      </c>
      <c r="N47" s="63">
        <f>COUNTIF('Management Reviews'!D$6:D$506,"Dec")</f>
        <v/>
      </c>
      <c r="O47" s="143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COUNTIFS('Management Reviews'!D$6:D$506,"Jan",'Management Reviews'!O$6:O$506,"Completed")</f>
        <v/>
      </c>
      <c r="D48" s="76">
        <f>COUNTIFS('Management Reviews'!D$6:D$506,"Feb",'Management Reviews'!O$6:O$506,"Completed")</f>
        <v/>
      </c>
      <c r="E48" s="76">
        <f>COUNTIFS('Management Reviews'!D$6:D$506,"Mar",'Management Reviews'!O$6:O$506,"Completed")</f>
        <v/>
      </c>
      <c r="F48" s="76">
        <f>COUNTIFS('Management Reviews'!D$6:D$506,"Apr",'Management Reviews'!O$6:O$506,"Completed")</f>
        <v/>
      </c>
      <c r="G48" s="76">
        <f>COUNTIFS('Management Reviews'!D$6:D$506,"May",'Management Reviews'!O$6:O$506,"Completed")</f>
        <v/>
      </c>
      <c r="H48" s="76">
        <f>COUNTIFS('Management Reviews'!D$6:D$506,"Jun",'Management Reviews'!O$6:O$506,"Completed")</f>
        <v/>
      </c>
      <c r="I48" s="76">
        <f>COUNTIFS('Management Reviews'!D$6:D$506,"Jul",'Management Reviews'!O$6:O$506,"Completed")</f>
        <v/>
      </c>
      <c r="J48" s="76">
        <f>COUNTIFS('Management Reviews'!D$6:D$506,"Aug",'Management Reviews'!O$6:O$506,"Completed")</f>
        <v/>
      </c>
      <c r="K48" s="76">
        <f>COUNTIFS('Management Reviews'!D$6:D$506,"Sep",'Management Reviews'!O$6:O$506,"Completed")</f>
        <v/>
      </c>
      <c r="L48" s="76">
        <f>COUNTIFS('Management Reviews'!D$6:D$506,"Oct",'Management Reviews'!O$6:O$506,"Completed")</f>
        <v/>
      </c>
      <c r="M48" s="76">
        <f>COUNTIFS('Management Reviews'!D$6:D$506,"Nov",'Management Reviews'!O$6:O$506,"Completed")</f>
        <v/>
      </c>
      <c r="N48" s="76">
        <f>COUNTIFS('Management Reviews'!D$6:D$506,"Dec",'Management Reviews'!O$6:O$506,"Completed")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COUNTIFS('Management Reviews'!D$6:D$506,"Jan",'Management Reviews'!O$6:O$506,"In Progress")</f>
        <v/>
      </c>
      <c r="D49" s="114">
        <f>COUNTIFS('Management Reviews'!D$6:D$506,"Feb",'Management Reviews'!O$6:O$506,"In Progress")</f>
        <v/>
      </c>
      <c r="E49" s="114">
        <f>COUNTIFS('Management Reviews'!D$6:D$506,"Mar",'Management Reviews'!O$6:O$506,"In Progress")</f>
        <v/>
      </c>
      <c r="F49" s="114">
        <f>COUNTIFS('Management Reviews'!D$6:D$506,"Apr",'Management Reviews'!O$6:O$506,"In Progress")</f>
        <v/>
      </c>
      <c r="G49" s="114">
        <f>COUNTIFS('Management Reviews'!D$6:D$506,"May",'Management Reviews'!O$6:O$506,"In Progress")</f>
        <v/>
      </c>
      <c r="H49" s="114">
        <f>COUNTIFS('Management Reviews'!D$6:D$506,"Jun",'Management Reviews'!O$6:O$506,"In Progress")</f>
        <v/>
      </c>
      <c r="I49" s="114">
        <f>COUNTIFS('Management Reviews'!D$6:D$506,"Jul",'Management Reviews'!O$6:O$506,"In Progress")</f>
        <v/>
      </c>
      <c r="J49" s="114">
        <f>COUNTIFS('Management Reviews'!D$6:D$506,"Aug",'Management Reviews'!O$6:O$506,"In Progress")</f>
        <v/>
      </c>
      <c r="K49" s="114">
        <f>COUNTIFS('Management Reviews'!D$6:D$506,"Sep",'Management Reviews'!O$6:O$506,"In Progress")</f>
        <v/>
      </c>
      <c r="L49" s="114">
        <f>COUNTIFS('Management Reviews'!D$6:D$506,"Oct",'Management Reviews'!O$6:O$506,"In Progress")</f>
        <v/>
      </c>
      <c r="M49" s="114">
        <f>COUNTIFS('Management Reviews'!D$6:D$506,"Nov",'Management Reviews'!O$6:O$506,"In Progress")</f>
        <v/>
      </c>
      <c r="N49" s="114">
        <f>COUNTIFS('Management Reviews'!D$6:D$506,"Dec",'Management Reviews'!O$6:O$506,"In Progress")</f>
        <v/>
      </c>
      <c r="O49" s="115">
        <f>SUM(C49:N49)</f>
        <v/>
      </c>
      <c r="P49" s="93" t="n"/>
      <c r="Q49" s="93" t="n"/>
    </row>
    <row r="50">
      <c r="A50" s="93" t="n"/>
      <c r="B50" s="163" t="inlineStr">
        <is>
          <t>Scheduled</t>
        </is>
      </c>
      <c r="C50" s="82">
        <f>COUNTIFS('Management Reviews'!D$6:D$506,"Jan",'Management Reviews'!O$6:O$506,"Scheduled")</f>
        <v/>
      </c>
      <c r="D50" s="82">
        <f>COUNTIFS('Management Reviews'!D$6:D$506,"Feb",'Management Reviews'!O$6:O$506,"Scheduled")</f>
        <v/>
      </c>
      <c r="E50" s="82">
        <f>COUNTIFS('Management Reviews'!D$6:D$506,"Mar",'Management Reviews'!O$6:O$506,"Scheduled")</f>
        <v/>
      </c>
      <c r="F50" s="82">
        <f>COUNTIFS('Management Reviews'!D$6:D$506,"Apr",'Management Reviews'!O$6:O$506,"Scheduled")</f>
        <v/>
      </c>
      <c r="G50" s="82">
        <f>COUNTIFS('Management Reviews'!D$6:D$506,"May",'Management Reviews'!O$6:O$506,"Scheduled")</f>
        <v/>
      </c>
      <c r="H50" s="82">
        <f>COUNTIFS('Management Reviews'!D$6:D$506,"Jun",'Management Reviews'!O$6:O$506,"Scheduled")</f>
        <v/>
      </c>
      <c r="I50" s="82">
        <f>COUNTIFS('Management Reviews'!D$6:D$506,"Jul",'Management Reviews'!O$6:O$506,"Scheduled")</f>
        <v/>
      </c>
      <c r="J50" s="82">
        <f>COUNTIFS('Management Reviews'!D$6:D$506,"Aug",'Management Reviews'!O$6:O$506,"Scheduled")</f>
        <v/>
      </c>
      <c r="K50" s="82">
        <f>COUNTIFS('Management Reviews'!D$6:D$506,"Sep",'Management Reviews'!O$6:O$506,"Scheduled")</f>
        <v/>
      </c>
      <c r="L50" s="82">
        <f>COUNTIFS('Management Reviews'!D$6:D$506,"Oct",'Management Reviews'!O$6:O$506,"Scheduled")</f>
        <v/>
      </c>
      <c r="M50" s="82">
        <f>COUNTIFS('Management Reviews'!D$6:D$506,"Nov",'Management Reviews'!O$6:O$506,"Scheduled")</f>
        <v/>
      </c>
      <c r="N50" s="82">
        <f>COUNTIFS('Management Reviews'!D$6:D$506,"Dec",'Management Reviews'!O$6:O$506,"Scheduled")</f>
        <v/>
      </c>
      <c r="O50" s="83">
        <f>SUM(C50:N50)</f>
        <v/>
      </c>
      <c r="P50" s="93" t="n"/>
      <c r="Q50" s="93" t="n"/>
    </row>
    <row r="51">
      <c r="A51" s="93" t="n"/>
      <c r="B51" s="144" t="inlineStr">
        <is>
          <t>Rate %</t>
        </is>
      </c>
      <c r="C51" s="145">
        <f>IF(C47=0,0,C48/C47)</f>
        <v/>
      </c>
      <c r="D51" s="145">
        <f>IF(D47=0,0,D48/D47)</f>
        <v/>
      </c>
      <c r="E51" s="145">
        <f>IF(E47=0,0,E48/E47)</f>
        <v/>
      </c>
      <c r="F51" s="145">
        <f>IF(F47=0,0,F48/F47)</f>
        <v/>
      </c>
      <c r="G51" s="145">
        <f>IF(G47=0,0,G48/G47)</f>
        <v/>
      </c>
      <c r="H51" s="145">
        <f>IF(H47=0,0,H48/H47)</f>
        <v/>
      </c>
      <c r="I51" s="145">
        <f>IF(I47=0,0,I48/I47)</f>
        <v/>
      </c>
      <c r="J51" s="145">
        <f>IF(J47=0,0,J48/J47)</f>
        <v/>
      </c>
      <c r="K51" s="145">
        <f>IF(K47=0,0,K48/K47)</f>
        <v/>
      </c>
      <c r="L51" s="145">
        <f>IF(L47=0,0,L48/L47)</f>
        <v/>
      </c>
      <c r="M51" s="145">
        <f>IF(M47=0,0,M48/M47)</f>
        <v/>
      </c>
      <c r="N51" s="145">
        <f>IF(N47=0,0,N48/N47)</f>
        <v/>
      </c>
      <c r="O51" s="145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78909C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78909C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⚖️  DASHBOARD – DISCIPLINARY</t>
        </is>
      </c>
    </row>
    <row r="2" ht="24" customHeight="1" s="15">
      <c r="A2" s="288" t="inlineStr">
        <is>
          <t>Live data from 'Disciplinary Actions'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📋 TOTAL CASES</t>
        </is>
      </c>
      <c r="E4" s="93" t="n"/>
      <c r="F4" s="230" t="inlineStr">
        <is>
          <t>✅ COMPLETED</t>
        </is>
      </c>
      <c r="I4" s="93" t="n"/>
      <c r="J4" s="231" t="inlineStr">
        <is>
          <t>🔄 UNDER REVIEW</t>
        </is>
      </c>
      <c r="M4" s="93" t="n"/>
      <c r="N4" s="258" t="inlineStr">
        <is>
          <t>⚖️ APPEALED</t>
        </is>
      </c>
      <c r="Q4" s="93" t="n"/>
    </row>
    <row r="5" ht="43.5" customHeight="1" s="15">
      <c r="A5" s="93" t="n"/>
      <c r="B5" s="290">
        <f>COUNTA('Disciplinary Actions'!B$6:B$506)</f>
        <v/>
      </c>
      <c r="E5" s="93" t="n"/>
      <c r="F5" s="234">
        <f>COUNTIF('Disciplinary Actions'!K$6:K$506,"Completed")</f>
        <v/>
      </c>
      <c r="I5" s="93" t="n"/>
      <c r="J5" s="235">
        <f>COUNTIF('Disciplinary Actions'!K$6:K$506,"Under Review")</f>
        <v/>
      </c>
      <c r="M5" s="93" t="n"/>
      <c r="N5" s="316">
        <f>COUNTIF('Disciplinary Actions'!K$6:K$506,"Appealed")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63" t="n"/>
      <c r="M6" s="93" t="n"/>
      <c r="N6" s="264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🔴 1ST OFFENSE</t>
        </is>
      </c>
      <c r="E8" s="93" t="n"/>
      <c r="F8" s="243" t="inlineStr">
        <is>
          <t>🔴 REPEAT</t>
        </is>
      </c>
      <c r="I8" s="93" t="n"/>
      <c r="J8" s="243" t="inlineStr">
        <is>
          <t>⚠️ SUSPENSIONS</t>
        </is>
      </c>
      <c r="M8" s="93" t="n"/>
      <c r="N8" s="243" t="inlineStr">
        <is>
          <t>❌ TERMINATIONS</t>
        </is>
      </c>
      <c r="Q8" s="93" t="n"/>
    </row>
    <row r="9" ht="43.5" customHeight="1" s="15">
      <c r="A9" s="93" t="n"/>
      <c r="B9" s="265">
        <f>COUNTIF('Disciplinary Actions'!I$6:I$506,"1st Offense")</f>
        <v/>
      </c>
      <c r="E9" s="93" t="n"/>
      <c r="F9" s="277">
        <f>COUNTIF('Disciplinary Actions'!I$6:I$506,"Repeat")</f>
        <v/>
      </c>
      <c r="I9" s="93" t="n"/>
      <c r="J9" s="277">
        <f>COUNTIF('Disciplinary Actions'!H$6:H$506,"Suspension")</f>
        <v/>
      </c>
      <c r="M9" s="93" t="n"/>
      <c r="N9" s="277">
        <f>COUNTIF('Disciplinary Actions'!H$6:H$506,"Termination")</f>
        <v/>
      </c>
      <c r="Q9" s="93" t="n"/>
    </row>
    <row r="10" ht="13.5" customHeight="1" s="15">
      <c r="A10" s="93" t="n"/>
      <c r="B10" s="268" t="n"/>
      <c r="E10" s="93" t="n"/>
      <c r="F10" s="270" t="n"/>
      <c r="I10" s="93" t="n"/>
      <c r="J10" s="270" t="n"/>
      <c r="M10" s="93" t="n"/>
      <c r="N10" s="270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COUNTIF('Disciplinary Actions'!K$6:K$506,"Completed")</f>
        <v/>
      </c>
      <c r="Q13" s="93" t="n"/>
    </row>
    <row r="14">
      <c r="A14" s="93" t="n"/>
      <c r="B14" s="59">
        <f>COUNTIF('Disciplinary Actions'!D$6:D$506,"Jan")</f>
        <v/>
      </c>
      <c r="C14" s="59">
        <f>COUNTIF('Disciplinary Actions'!D$6:D$506,"Feb")</f>
        <v/>
      </c>
      <c r="D14" s="59">
        <f>COUNTIF('Disciplinary Actions'!D$6:D$506,"Mar")</f>
        <v/>
      </c>
      <c r="E14" s="59">
        <f>COUNTIF('Disciplinary Actions'!D$6:D$506,"Apr")</f>
        <v/>
      </c>
      <c r="F14" s="59">
        <f>COUNTIF('Disciplinary Actions'!D$6:D$506,"May")</f>
        <v/>
      </c>
      <c r="G14" s="59">
        <f>COUNTIF('Disciplinary Actions'!D$6:D$506,"Jun")</f>
        <v/>
      </c>
      <c r="H14" s="59">
        <f>COUNTIF('Disciplinary Actions'!D$6:D$506,"Jul")</f>
        <v/>
      </c>
      <c r="I14" s="59">
        <f>COUNTIF('Disciplinary Actions'!D$6:D$506,"Aug")</f>
        <v/>
      </c>
      <c r="J14" s="59">
        <f>COUNTIF('Disciplinary Actions'!D$6:D$506,"Sep")</f>
        <v/>
      </c>
      <c r="K14" s="59">
        <f>COUNTIF('Disciplinary Actions'!D$6:D$506,"Oct")</f>
        <v/>
      </c>
      <c r="L14" s="59">
        <f>COUNTIF('Disciplinary Actions'!D$6:D$506,"Nov")</f>
        <v/>
      </c>
      <c r="M14" s="59">
        <f>COUNTIF('Disciplinary Actions'!D$6:D$506,"Dec")</f>
        <v/>
      </c>
      <c r="N14" s="94" t="n"/>
      <c r="O14" s="95" t="inlineStr">
        <is>
          <t>Under Review</t>
        </is>
      </c>
      <c r="P14" s="59">
        <f>COUNTIF('Disciplinary Actions'!K$6:K$506,"Under Review")</f>
        <v/>
      </c>
      <c r="Q14" s="93" t="n"/>
    </row>
    <row r="15">
      <c r="A15" s="93" t="n"/>
      <c r="B15" s="60">
        <f>COUNTIFS('Disciplinary Actions'!D$6:D$506,"Jan",'Disciplinary Actions'!K$6:K$506,"Completed")</f>
        <v/>
      </c>
      <c r="C15" s="60">
        <f>COUNTIFS('Disciplinary Actions'!D$6:D$506,"Feb",'Disciplinary Actions'!K$6:K$506,"Completed")</f>
        <v/>
      </c>
      <c r="D15" s="60">
        <f>COUNTIFS('Disciplinary Actions'!D$6:D$506,"Mar",'Disciplinary Actions'!K$6:K$506,"Completed")</f>
        <v/>
      </c>
      <c r="E15" s="60">
        <f>COUNTIFS('Disciplinary Actions'!D$6:D$506,"Apr",'Disciplinary Actions'!K$6:K$506,"Completed")</f>
        <v/>
      </c>
      <c r="F15" s="60">
        <f>COUNTIFS('Disciplinary Actions'!D$6:D$506,"May",'Disciplinary Actions'!K$6:K$506,"Completed")</f>
        <v/>
      </c>
      <c r="G15" s="60">
        <f>COUNTIFS('Disciplinary Actions'!D$6:D$506,"Jun",'Disciplinary Actions'!K$6:K$506,"Completed")</f>
        <v/>
      </c>
      <c r="H15" s="60">
        <f>COUNTIFS('Disciplinary Actions'!D$6:D$506,"Jul",'Disciplinary Actions'!K$6:K$506,"Completed")</f>
        <v/>
      </c>
      <c r="I15" s="60">
        <f>COUNTIFS('Disciplinary Actions'!D$6:D$506,"Aug",'Disciplinary Actions'!K$6:K$506,"Completed")</f>
        <v/>
      </c>
      <c r="J15" s="60">
        <f>COUNTIFS('Disciplinary Actions'!D$6:D$506,"Sep",'Disciplinary Actions'!K$6:K$506,"Completed")</f>
        <v/>
      </c>
      <c r="K15" s="60">
        <f>COUNTIFS('Disciplinary Actions'!D$6:D$506,"Oct",'Disciplinary Actions'!K$6:K$506,"Completed")</f>
        <v/>
      </c>
      <c r="L15" s="60">
        <f>COUNTIFS('Disciplinary Actions'!D$6:D$506,"Nov",'Disciplinary Actions'!K$6:K$506,"Completed")</f>
        <v/>
      </c>
      <c r="M15" s="60">
        <f>COUNTIFS('Disciplinary Actions'!D$6:D$506,"Dec",'Disciplinary Actions'!K$6:K$506,"Completed")</f>
        <v/>
      </c>
      <c r="N15" s="94" t="n"/>
      <c r="O15" s="95" t="inlineStr">
        <is>
          <t>Appealed</t>
        </is>
      </c>
      <c r="P15" s="59">
        <f>COUNTIF('Disciplinary Actions'!K$6:K$506,"Appealed")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Violation Type Breakdown</t>
        </is>
      </c>
      <c r="Q31" s="93" t="n"/>
    </row>
    <row r="32" ht="56.25" customHeight="1" s="15">
      <c r="A32" s="93" t="n"/>
      <c r="B32" s="133" t="inlineStr">
        <is>
          <t>Department</t>
        </is>
      </c>
      <c r="C32" s="133" t="inlineStr">
        <is>
          <t>Count</t>
        </is>
      </c>
      <c r="D32" s="133" t="inlineStr">
        <is>
          <t>Completed</t>
        </is>
      </c>
      <c r="E32" s="133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PPE Violation</t>
        </is>
      </c>
      <c r="P32" s="59">
        <f>COUNTIF('Disciplinary Actions'!E$6:E$506,O32)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COUNTIF('Disciplinary Actions'!F$6:F$506,B33)</f>
        <v/>
      </c>
      <c r="D33" s="63">
        <f>COUNTIFS('Disciplinary Actions'!F$6:F$506,B33,'Disciplinary Actions'!K$6:K$506,"Completed")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Safety Rule Breach</t>
        </is>
      </c>
      <c r="P33" s="59">
        <f>COUNTIF('Disciplinary Actions'!E$6:E$506,O33)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COUNTIF('Disciplinary Actions'!F$6:F$506,B34)</f>
        <v/>
      </c>
      <c r="D34" s="135">
        <f>COUNTIFS('Disciplinary Actions'!F$6:F$506,B34,'Disciplinary Actions'!K$6:K$506,"Completed")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Permit Violation</t>
        </is>
      </c>
      <c r="P34" s="59">
        <f>COUNTIF('Disciplinary Actions'!E$6:E$506,O34)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COUNTIF('Disciplinary Actions'!F$6:F$506,B35)</f>
        <v/>
      </c>
      <c r="D35" s="63">
        <f>COUNTIFS('Disciplinary Actions'!F$6:F$506,B35,'Disciplinary Actions'!K$6:K$506,"Completed")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Substance Abuse</t>
        </is>
      </c>
      <c r="P35" s="59">
        <f>COUNTIF('Disciplinary Actions'!E$6:E$506,O35)</f>
        <v/>
      </c>
      <c r="Q35" s="93" t="n"/>
    </row>
    <row r="36">
      <c r="A36" s="93" t="n"/>
      <c r="B36" s="134" t="inlineStr">
        <is>
          <t>Construction</t>
        </is>
      </c>
      <c r="C36" s="135">
        <f>COUNTIF('Disciplinary Actions'!F$6:F$506,B36)</f>
        <v/>
      </c>
      <c r="D36" s="135">
        <f>COUNTIFS('Disciplinary Actions'!F$6:F$506,B36,'Disciplinary Actions'!K$6:K$506,"Completed")</f>
        <v/>
      </c>
      <c r="E36" s="136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Reckless Behavior</t>
        </is>
      </c>
      <c r="P36" s="59">
        <f>COUNTIF('Disciplinary Actions'!E$6:E$506,O36)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COUNTIF('Disciplinary Actions'!F$6:F$506,B37)</f>
        <v/>
      </c>
      <c r="D37" s="63">
        <f>COUNTIFS('Disciplinary Actions'!F$6:F$506,B37,'Disciplinary Actions'!K$6:K$506,"Completed")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Unauthorized Work</t>
        </is>
      </c>
      <c r="P37" s="59">
        <f>COUNTIF('Disciplinary Actions'!E$6:E$506,O37)</f>
        <v/>
      </c>
      <c r="Q37" s="93" t="n"/>
    </row>
    <row r="38">
      <c r="A38" s="93" t="n"/>
      <c r="B38" s="134" t="inlineStr">
        <is>
          <t>Logistics</t>
        </is>
      </c>
      <c r="C38" s="135">
        <f>COUNTIF('Disciplinary Actions'!F$6:F$506,B38)</f>
        <v/>
      </c>
      <c r="D38" s="135">
        <f>COUNTIFS('Disciplinary Actions'!F$6:F$506,B38,'Disciplinary Actions'!K$6:K$506,"Completed")</f>
        <v/>
      </c>
      <c r="E38" s="136">
        <f>IF(C38=0,0,D38/C38)</f>
        <v/>
      </c>
      <c r="F38" s="93" t="n"/>
      <c r="G38" s="93" t="n"/>
      <c r="H38" s="93" t="n"/>
      <c r="I38" s="93" t="n"/>
      <c r="J38" s="94" t="n"/>
      <c r="K38" s="94" t="n"/>
      <c r="L38" s="94" t="n"/>
      <c r="M38" s="94" t="n"/>
      <c r="N38" s="94" t="n"/>
      <c r="O38" s="95" t="inlineStr">
        <is>
          <t>Tampering</t>
        </is>
      </c>
      <c r="P38" s="59">
        <f>COUNTIF('Disciplinary Actions'!E$6:E$506,O38)</f>
        <v/>
      </c>
      <c r="Q38" s="93" t="n"/>
    </row>
    <row r="39">
      <c r="A39" s="93" t="n"/>
      <c r="B39" s="97" t="inlineStr">
        <is>
          <t>Quality</t>
        </is>
      </c>
      <c r="C39" s="63">
        <f>COUNTIF('Disciplinary Actions'!F$6:F$506,B39)</f>
        <v/>
      </c>
      <c r="D39" s="63">
        <f>COUNTIFS('Disciplinary Actions'!F$6:F$506,B39,'Disciplinary Actions'!K$6:K$506,"Completed")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34" t="inlineStr">
        <is>
          <t>Admin</t>
        </is>
      </c>
      <c r="C40" s="135">
        <f>COUNTIF('Disciplinary Actions'!F$6:F$506,B40)</f>
        <v/>
      </c>
      <c r="D40" s="135">
        <f>COUNTIFS('Disciplinary Actions'!F$6:F$506,B40,'Disciplinary Actions'!K$6:K$506,"Completed")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COUNTIF('Disciplinary Actions'!F$6:F$506,B41)</f>
        <v/>
      </c>
      <c r="D41" s="63">
        <f>COUNTIFS('Disciplinary Actions'!F$6:F$506,B41,'Disciplinary Actions'!K$6:K$506,"Completed")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COUNTIF('Disciplinary Actions'!F$6:F$506,B42)</f>
        <v/>
      </c>
      <c r="D42" s="135">
        <f>COUNTIFS('Disciplinary Actions'!F$6:F$506,B42,'Disciplinary Actions'!K$6:K$506,"Completed")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33" t="inlineStr">
        <is>
          <t>Metric</t>
        </is>
      </c>
      <c r="C46" s="133" t="inlineStr">
        <is>
          <t>Jan</t>
        </is>
      </c>
      <c r="D46" s="133" t="inlineStr">
        <is>
          <t>Feb</t>
        </is>
      </c>
      <c r="E46" s="133" t="inlineStr">
        <is>
          <t>Mar</t>
        </is>
      </c>
      <c r="F46" s="133" t="inlineStr">
        <is>
          <t>Apr</t>
        </is>
      </c>
      <c r="G46" s="133" t="inlineStr">
        <is>
          <t>May</t>
        </is>
      </c>
      <c r="H46" s="133" t="inlineStr">
        <is>
          <t>Jun</t>
        </is>
      </c>
      <c r="I46" s="133" t="inlineStr">
        <is>
          <t>Jul</t>
        </is>
      </c>
      <c r="J46" s="133" t="inlineStr">
        <is>
          <t>Aug</t>
        </is>
      </c>
      <c r="K46" s="133" t="inlineStr">
        <is>
          <t>Sep</t>
        </is>
      </c>
      <c r="L46" s="133" t="inlineStr">
        <is>
          <t>Oct</t>
        </is>
      </c>
      <c r="M46" s="133" t="inlineStr">
        <is>
          <t>Nov</t>
        </is>
      </c>
      <c r="N46" s="133" t="inlineStr">
        <is>
          <t>Dec</t>
        </is>
      </c>
      <c r="O46" s="133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COUNTIF('Disciplinary Actions'!D$6:D$506,"Jan")</f>
        <v/>
      </c>
      <c r="D47" s="63">
        <f>COUNTIF('Disciplinary Actions'!D$6:D$506,"Feb")</f>
        <v/>
      </c>
      <c r="E47" s="63">
        <f>COUNTIF('Disciplinary Actions'!D$6:D$506,"Mar")</f>
        <v/>
      </c>
      <c r="F47" s="63">
        <f>COUNTIF('Disciplinary Actions'!D$6:D$506,"Apr")</f>
        <v/>
      </c>
      <c r="G47" s="63">
        <f>COUNTIF('Disciplinary Actions'!D$6:D$506,"May")</f>
        <v/>
      </c>
      <c r="H47" s="63">
        <f>COUNTIF('Disciplinary Actions'!D$6:D$506,"Jun")</f>
        <v/>
      </c>
      <c r="I47" s="63">
        <f>COUNTIF('Disciplinary Actions'!D$6:D$506,"Jul")</f>
        <v/>
      </c>
      <c r="J47" s="63">
        <f>COUNTIF('Disciplinary Actions'!D$6:D$506,"Aug")</f>
        <v/>
      </c>
      <c r="K47" s="63">
        <f>COUNTIF('Disciplinary Actions'!D$6:D$506,"Sep")</f>
        <v/>
      </c>
      <c r="L47" s="63">
        <f>COUNTIF('Disciplinary Actions'!D$6:D$506,"Oct")</f>
        <v/>
      </c>
      <c r="M47" s="63">
        <f>COUNTIF('Disciplinary Actions'!D$6:D$506,"Nov")</f>
        <v/>
      </c>
      <c r="N47" s="63">
        <f>COUNTIF('Disciplinary Actions'!D$6:D$506,"Dec")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COUNTIFS('Disciplinary Actions'!D$6:D$506,"Jan",'Disciplinary Actions'!K$6:K$506,"Completed")</f>
        <v/>
      </c>
      <c r="D48" s="76">
        <f>COUNTIFS('Disciplinary Actions'!D$6:D$506,"Feb",'Disciplinary Actions'!K$6:K$506,"Completed")</f>
        <v/>
      </c>
      <c r="E48" s="76">
        <f>COUNTIFS('Disciplinary Actions'!D$6:D$506,"Mar",'Disciplinary Actions'!K$6:K$506,"Completed")</f>
        <v/>
      </c>
      <c r="F48" s="76">
        <f>COUNTIFS('Disciplinary Actions'!D$6:D$506,"Apr",'Disciplinary Actions'!K$6:K$506,"Completed")</f>
        <v/>
      </c>
      <c r="G48" s="76">
        <f>COUNTIFS('Disciplinary Actions'!D$6:D$506,"May",'Disciplinary Actions'!K$6:K$506,"Completed")</f>
        <v/>
      </c>
      <c r="H48" s="76">
        <f>COUNTIFS('Disciplinary Actions'!D$6:D$506,"Jun",'Disciplinary Actions'!K$6:K$506,"Completed")</f>
        <v/>
      </c>
      <c r="I48" s="76">
        <f>COUNTIFS('Disciplinary Actions'!D$6:D$506,"Jul",'Disciplinary Actions'!K$6:K$506,"Completed")</f>
        <v/>
      </c>
      <c r="J48" s="76">
        <f>COUNTIFS('Disciplinary Actions'!D$6:D$506,"Aug",'Disciplinary Actions'!K$6:K$506,"Completed")</f>
        <v/>
      </c>
      <c r="K48" s="76">
        <f>COUNTIFS('Disciplinary Actions'!D$6:D$506,"Sep",'Disciplinary Actions'!K$6:K$506,"Completed")</f>
        <v/>
      </c>
      <c r="L48" s="76">
        <f>COUNTIFS('Disciplinary Actions'!D$6:D$506,"Oct",'Disciplinary Actions'!K$6:K$506,"Completed")</f>
        <v/>
      </c>
      <c r="M48" s="76">
        <f>COUNTIFS('Disciplinary Actions'!D$6:D$506,"Nov",'Disciplinary Actions'!K$6:K$506,"Completed")</f>
        <v/>
      </c>
      <c r="N48" s="76">
        <f>COUNTIFS('Disciplinary Actions'!D$6:D$506,"Dec",'Disciplinary Actions'!K$6:K$506,"Completed")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Under Review</t>
        </is>
      </c>
      <c r="C49" s="114">
        <f>COUNTIFS('Disciplinary Actions'!D$6:D$506,"Jan",'Disciplinary Actions'!K$6:K$506,"Under Review")</f>
        <v/>
      </c>
      <c r="D49" s="114">
        <f>COUNTIFS('Disciplinary Actions'!D$6:D$506,"Feb",'Disciplinary Actions'!K$6:K$506,"Under Review")</f>
        <v/>
      </c>
      <c r="E49" s="114">
        <f>COUNTIFS('Disciplinary Actions'!D$6:D$506,"Mar",'Disciplinary Actions'!K$6:K$506,"Under Review")</f>
        <v/>
      </c>
      <c r="F49" s="114">
        <f>COUNTIFS('Disciplinary Actions'!D$6:D$506,"Apr",'Disciplinary Actions'!K$6:K$506,"Under Review")</f>
        <v/>
      </c>
      <c r="G49" s="114">
        <f>COUNTIFS('Disciplinary Actions'!D$6:D$506,"May",'Disciplinary Actions'!K$6:K$506,"Under Review")</f>
        <v/>
      </c>
      <c r="H49" s="114">
        <f>COUNTIFS('Disciplinary Actions'!D$6:D$506,"Jun",'Disciplinary Actions'!K$6:K$506,"Under Review")</f>
        <v/>
      </c>
      <c r="I49" s="114">
        <f>COUNTIFS('Disciplinary Actions'!D$6:D$506,"Jul",'Disciplinary Actions'!K$6:K$506,"Under Review")</f>
        <v/>
      </c>
      <c r="J49" s="114">
        <f>COUNTIFS('Disciplinary Actions'!D$6:D$506,"Aug",'Disciplinary Actions'!K$6:K$506,"Under Review")</f>
        <v/>
      </c>
      <c r="K49" s="114">
        <f>COUNTIFS('Disciplinary Actions'!D$6:D$506,"Sep",'Disciplinary Actions'!K$6:K$506,"Under Review")</f>
        <v/>
      </c>
      <c r="L49" s="114">
        <f>COUNTIFS('Disciplinary Actions'!D$6:D$506,"Oct",'Disciplinary Actions'!K$6:K$506,"Under Review")</f>
        <v/>
      </c>
      <c r="M49" s="114">
        <f>COUNTIFS('Disciplinary Actions'!D$6:D$506,"Nov",'Disciplinary Actions'!K$6:K$506,"Under Review")</f>
        <v/>
      </c>
      <c r="N49" s="114">
        <f>COUNTIFS('Disciplinary Actions'!D$6:D$506,"Dec",'Disciplinary Actions'!K$6:K$506,"Under Review")</f>
        <v/>
      </c>
      <c r="O49" s="115">
        <f>SUM(C49:N49)</f>
        <v/>
      </c>
      <c r="P49" s="93" t="n"/>
      <c r="Q49" s="93" t="n"/>
    </row>
    <row r="50">
      <c r="A50" s="93" t="n"/>
      <c r="B50" s="163" t="inlineStr">
        <is>
          <t>Appealed</t>
        </is>
      </c>
      <c r="C50" s="82">
        <f>COUNTIFS('Disciplinary Actions'!D$6:D$506,"Jan",'Disciplinary Actions'!K$6:K$506,"Appealed")</f>
        <v/>
      </c>
      <c r="D50" s="82">
        <f>COUNTIFS('Disciplinary Actions'!D$6:D$506,"Feb",'Disciplinary Actions'!K$6:K$506,"Appealed")</f>
        <v/>
      </c>
      <c r="E50" s="82">
        <f>COUNTIFS('Disciplinary Actions'!D$6:D$506,"Mar",'Disciplinary Actions'!K$6:K$506,"Appealed")</f>
        <v/>
      </c>
      <c r="F50" s="82">
        <f>COUNTIFS('Disciplinary Actions'!D$6:D$506,"Apr",'Disciplinary Actions'!K$6:K$506,"Appealed")</f>
        <v/>
      </c>
      <c r="G50" s="82">
        <f>COUNTIFS('Disciplinary Actions'!D$6:D$506,"May",'Disciplinary Actions'!K$6:K$506,"Appealed")</f>
        <v/>
      </c>
      <c r="H50" s="82">
        <f>COUNTIFS('Disciplinary Actions'!D$6:D$506,"Jun",'Disciplinary Actions'!K$6:K$506,"Appealed")</f>
        <v/>
      </c>
      <c r="I50" s="82">
        <f>COUNTIFS('Disciplinary Actions'!D$6:D$506,"Jul",'Disciplinary Actions'!K$6:K$506,"Appealed")</f>
        <v/>
      </c>
      <c r="J50" s="82">
        <f>COUNTIFS('Disciplinary Actions'!D$6:D$506,"Aug",'Disciplinary Actions'!K$6:K$506,"Appealed")</f>
        <v/>
      </c>
      <c r="K50" s="82">
        <f>COUNTIFS('Disciplinary Actions'!D$6:D$506,"Sep",'Disciplinary Actions'!K$6:K$506,"Appealed")</f>
        <v/>
      </c>
      <c r="L50" s="82">
        <f>COUNTIFS('Disciplinary Actions'!D$6:D$506,"Oct",'Disciplinary Actions'!K$6:K$506,"Appealed")</f>
        <v/>
      </c>
      <c r="M50" s="82">
        <f>COUNTIFS('Disciplinary Actions'!D$6:D$506,"Nov",'Disciplinary Actions'!K$6:K$506,"Appealed")</f>
        <v/>
      </c>
      <c r="N50" s="82">
        <f>COUNTIFS('Disciplinary Actions'!D$6:D$506,"Dec",'Disciplinary Actions'!K$6:K$506,"Appealed")</f>
        <v/>
      </c>
      <c r="O50" s="83">
        <f>SUM(C50:N50)</f>
        <v/>
      </c>
      <c r="P50" s="93" t="n"/>
      <c r="Q50" s="93" t="n"/>
    </row>
    <row r="51">
      <c r="A51" s="93" t="n"/>
      <c r="B51" s="116" t="inlineStr">
        <is>
          <t>Rate %</t>
        </is>
      </c>
      <c r="C51" s="138">
        <f>IF(C47=0,0,C48/C47)</f>
        <v/>
      </c>
      <c r="D51" s="138">
        <f>IF(D47=0,0,D48/D47)</f>
        <v/>
      </c>
      <c r="E51" s="138">
        <f>IF(E47=0,0,E48/E47)</f>
        <v/>
      </c>
      <c r="F51" s="138">
        <f>IF(F47=0,0,F48/F47)</f>
        <v/>
      </c>
      <c r="G51" s="138">
        <f>IF(G47=0,0,G48/G47)</f>
        <v/>
      </c>
      <c r="H51" s="138">
        <f>IF(H47=0,0,H48/H47)</f>
        <v/>
      </c>
      <c r="I51" s="138">
        <f>IF(I47=0,0,I48/I47)</f>
        <v/>
      </c>
      <c r="J51" s="138">
        <f>IF(J47=0,0,J48/J47)</f>
        <v/>
      </c>
      <c r="K51" s="138">
        <f>IF(K47=0,0,K48/K47)</f>
        <v/>
      </c>
      <c r="L51" s="138">
        <f>IF(L47=0,0,L48/L47)</f>
        <v/>
      </c>
      <c r="M51" s="138">
        <f>IF(M47=0,0,M48/M47)</f>
        <v/>
      </c>
      <c r="N51" s="138">
        <f>IF(N47=0,0,N48/N47)</f>
        <v/>
      </c>
      <c r="O51" s="138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tabColor rgb="FF33691E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35" t="inlineStr">
        <is>
          <t>🏆  DASHBOARD – SAFETY AWARDS</t>
        </is>
      </c>
    </row>
    <row r="2" ht="24" customHeight="1" s="15">
      <c r="A2" s="336" t="inlineStr">
        <is>
          <t>Live data from 'Safety Awards'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37" t="inlineStr">
        <is>
          <t>🏆 TOTAL AWARDS</t>
        </is>
      </c>
      <c r="E4" s="93" t="n"/>
      <c r="F4" s="230" t="inlineStr">
        <is>
          <t>🎉 PRESENTED</t>
        </is>
      </c>
      <c r="I4" s="93" t="n"/>
      <c r="J4" s="258" t="inlineStr">
        <is>
          <t>📅 SCHEDULED</t>
        </is>
      </c>
      <c r="M4" s="93" t="n"/>
      <c r="N4" s="231" t="inlineStr">
        <is>
          <t>🏅 NOMINATED</t>
        </is>
      </c>
      <c r="Q4" s="93" t="n"/>
    </row>
    <row r="5" ht="43.5" customHeight="1" s="15">
      <c r="A5" s="93" t="n"/>
      <c r="B5" s="338">
        <f>COUNTA('Safety Awards'!B$6:B$506)</f>
        <v/>
      </c>
      <c r="E5" s="93" t="n"/>
      <c r="F5" s="234">
        <f>COUNTIF('Safety Awards'!J$6:J$506,"Presented")</f>
        <v/>
      </c>
      <c r="I5" s="93" t="n"/>
      <c r="J5" s="316">
        <f>COUNTIF('Safety Awards'!J$6:J$506,"Scheduled")</f>
        <v/>
      </c>
      <c r="M5" s="93" t="n"/>
      <c r="N5" s="235">
        <f>COUNTIF('Safety Awards'!J$6:J$506,"Nominated")</f>
        <v/>
      </c>
      <c r="Q5" s="93" t="n"/>
    </row>
    <row r="6" ht="13.5" customHeight="1" s="15">
      <c r="A6" s="93" t="n"/>
      <c r="B6" s="339" t="n"/>
      <c r="E6" s="93" t="n"/>
      <c r="F6" s="262" t="n"/>
      <c r="I6" s="93" t="n"/>
      <c r="J6" s="264" t="n"/>
      <c r="M6" s="93" t="n"/>
      <c r="N6" s="263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🎁 CERTIFICATES</t>
        </is>
      </c>
      <c r="E8" s="93" t="n"/>
      <c r="F8" s="242" t="inlineStr">
        <is>
          <t>💰 CASH BONUS</t>
        </is>
      </c>
      <c r="I8" s="93" t="n"/>
      <c r="J8" s="241" t="inlineStr">
        <is>
          <t>🏆 TROPHIES</t>
        </is>
      </c>
      <c r="M8" s="93" t="n"/>
      <c r="N8" s="244" t="inlineStr">
        <is>
          <t>🎫 VOUCHERS</t>
        </is>
      </c>
      <c r="Q8" s="93" t="n"/>
    </row>
    <row r="9" ht="43.5" customHeight="1" s="15">
      <c r="A9" s="93" t="n"/>
      <c r="B9" s="265">
        <f>COUNTIF('Safety Awards'!H$6:H$506,"Certificate")</f>
        <v/>
      </c>
      <c r="E9" s="93" t="n"/>
      <c r="F9" s="266">
        <f>COUNTIF('Safety Awards'!H$6:H$506,"Cash Bonus")</f>
        <v/>
      </c>
      <c r="I9" s="93" t="n"/>
      <c r="J9" s="265">
        <f>COUNTIF('Safety Awards'!H$6:H$506,"Trophy")</f>
        <v/>
      </c>
      <c r="M9" s="93" t="n"/>
      <c r="N9" s="248">
        <f>COUNTIF('Safety Awards'!H$6:H$506,"Gift Voucher")</f>
        <v/>
      </c>
      <c r="Q9" s="93" t="n"/>
    </row>
    <row r="10" ht="13.5" customHeight="1" s="15">
      <c r="A10" s="93" t="n"/>
      <c r="B10" s="268" t="n"/>
      <c r="E10" s="93" t="n"/>
      <c r="F10" s="269" t="n"/>
      <c r="I10" s="93" t="n"/>
      <c r="J10" s="268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40" t="inlineStr">
        <is>
          <t>📅  Monthly Trend</t>
        </is>
      </c>
      <c r="I12" s="93" t="n"/>
      <c r="J12" s="340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Presented</t>
        </is>
      </c>
      <c r="P13" s="59">
        <f>COUNTIF('Safety Awards'!J$6:J$506,"Presented")</f>
        <v/>
      </c>
      <c r="Q13" s="93" t="n"/>
    </row>
    <row r="14">
      <c r="A14" s="93" t="n"/>
      <c r="B14" s="59">
        <f>COUNTIF('Safety Awards'!D$6:D$506,"Jan")</f>
        <v/>
      </c>
      <c r="C14" s="59">
        <f>COUNTIF('Safety Awards'!D$6:D$506,"Feb")</f>
        <v/>
      </c>
      <c r="D14" s="59">
        <f>COUNTIF('Safety Awards'!D$6:D$506,"Mar")</f>
        <v/>
      </c>
      <c r="E14" s="59">
        <f>COUNTIF('Safety Awards'!D$6:D$506,"Apr")</f>
        <v/>
      </c>
      <c r="F14" s="59">
        <f>COUNTIF('Safety Awards'!D$6:D$506,"May")</f>
        <v/>
      </c>
      <c r="G14" s="59">
        <f>COUNTIF('Safety Awards'!D$6:D$506,"Jun")</f>
        <v/>
      </c>
      <c r="H14" s="59">
        <f>COUNTIF('Safety Awards'!D$6:D$506,"Jul")</f>
        <v/>
      </c>
      <c r="I14" s="59">
        <f>COUNTIF('Safety Awards'!D$6:D$506,"Aug")</f>
        <v/>
      </c>
      <c r="J14" s="59">
        <f>COUNTIF('Safety Awards'!D$6:D$506,"Sep")</f>
        <v/>
      </c>
      <c r="K14" s="59">
        <f>COUNTIF('Safety Awards'!D$6:D$506,"Oct")</f>
        <v/>
      </c>
      <c r="L14" s="59">
        <f>COUNTIF('Safety Awards'!D$6:D$506,"Nov")</f>
        <v/>
      </c>
      <c r="M14" s="59">
        <f>COUNTIF('Safety Awards'!D$6:D$506,"Dec")</f>
        <v/>
      </c>
      <c r="N14" s="94" t="n"/>
      <c r="O14" s="95" t="inlineStr">
        <is>
          <t>Scheduled</t>
        </is>
      </c>
      <c r="P14" s="59">
        <f>COUNTIF('Safety Awards'!J$6:J$506,"Scheduled")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5" t="inlineStr">
        <is>
          <t>Nominated</t>
        </is>
      </c>
      <c r="P15" s="59">
        <f>COUNTIF('Safety Awards'!J$6:J$506,"Nominated")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40" t="inlineStr">
        <is>
          <t>🏢  Department Breakdown</t>
        </is>
      </c>
      <c r="I31" s="93" t="n"/>
      <c r="J31" s="340" t="inlineStr">
        <is>
          <t>🏷️  Award Category Breakdown</t>
        </is>
      </c>
      <c r="Q31" s="93" t="n"/>
    </row>
    <row r="32" ht="56.25" customHeight="1" s="15">
      <c r="A32" s="93" t="n"/>
      <c r="B32" s="184" t="inlineStr">
        <is>
          <t>Department</t>
        </is>
      </c>
      <c r="C32" s="184" t="inlineStr">
        <is>
          <t>Count</t>
        </is>
      </c>
      <c r="D32" s="184" t="inlineStr">
        <is>
          <t>Done</t>
        </is>
      </c>
      <c r="E32" s="184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Safe Worker of Month</t>
        </is>
      </c>
      <c r="P32" s="59">
        <f>COUNTIF('Safety Awards'!E$6:E$506,O32)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COUNTIF('Safety Awards'!F$6:F$506,B33)</f>
        <v/>
      </c>
      <c r="D33" s="63">
        <f>COUNTIF('Safety Awards'!F$6:F$506,B33)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Best Safety Suggestion</t>
        </is>
      </c>
      <c r="P33" s="59">
        <f>COUNTIF('Safety Awards'!E$6:E$506,O33)</f>
        <v/>
      </c>
      <c r="Q33" s="93" t="n"/>
    </row>
    <row r="34">
      <c r="A34" s="93" t="n"/>
      <c r="B34" s="185" t="inlineStr">
        <is>
          <t>Maintenance</t>
        </is>
      </c>
      <c r="C34" s="186">
        <f>COUNTIF('Safety Awards'!F$6:F$506,B34)</f>
        <v/>
      </c>
      <c r="D34" s="186">
        <f>COUNTIF('Safety Awards'!F$6:F$506,B34)</f>
        <v/>
      </c>
      <c r="E34" s="187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Zero Incident Award</t>
        </is>
      </c>
      <c r="P34" s="59">
        <f>COUNTIF('Safety Awards'!E$6:E$506,O34)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COUNTIF('Safety Awards'!F$6:F$506,B35)</f>
        <v/>
      </c>
      <c r="D35" s="63">
        <f>COUNTIF('Safety Awards'!F$6:F$506,B35)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HSE Champion</t>
        </is>
      </c>
      <c r="P35" s="59">
        <f>COUNTIF('Safety Awards'!E$6:E$506,O35)</f>
        <v/>
      </c>
      <c r="Q35" s="93" t="n"/>
    </row>
    <row r="36">
      <c r="A36" s="93" t="n"/>
      <c r="B36" s="185" t="inlineStr">
        <is>
          <t>Construction</t>
        </is>
      </c>
      <c r="C36" s="186">
        <f>COUNTIF('Safety Awards'!F$6:F$506,B36)</f>
        <v/>
      </c>
      <c r="D36" s="186">
        <f>COUNTIF('Safety Awards'!F$6:F$506,B36)</f>
        <v/>
      </c>
      <c r="E36" s="187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Best Department</t>
        </is>
      </c>
      <c r="P36" s="59">
        <f>COUNTIF('Safety Awards'!E$6:E$506,O36)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COUNTIF('Safety Awards'!F$6:F$506,B37)</f>
        <v/>
      </c>
      <c r="D37" s="63">
        <f>COUNTIF('Safety Awards'!F$6:F$506,B37)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Safety Innovation</t>
        </is>
      </c>
      <c r="P37" s="59">
        <f>COUNTIF('Safety Awards'!E$6:E$506,O37)</f>
        <v/>
      </c>
      <c r="Q37" s="93" t="n"/>
    </row>
    <row r="38">
      <c r="A38" s="93" t="n"/>
      <c r="B38" s="185" t="inlineStr">
        <is>
          <t>Logistics</t>
        </is>
      </c>
      <c r="C38" s="186">
        <f>COUNTIF('Safety Awards'!F$6:F$506,B38)</f>
        <v/>
      </c>
      <c r="D38" s="186">
        <f>COUNTIF('Safety Awards'!F$6:F$506,B38)</f>
        <v/>
      </c>
      <c r="E38" s="187">
        <f>IF(C38=0,0,D38/C38)</f>
        <v/>
      </c>
      <c r="F38" s="93" t="n"/>
      <c r="G38" s="93" t="n"/>
      <c r="H38" s="93" t="n"/>
      <c r="I38" s="93" t="n"/>
      <c r="J38" s="94" t="n"/>
      <c r="K38" s="94" t="n"/>
      <c r="L38" s="94" t="n"/>
      <c r="M38" s="94" t="n"/>
      <c r="N38" s="94" t="n"/>
      <c r="O38" s="95" t="inlineStr">
        <is>
          <t>Observation Champion</t>
        </is>
      </c>
      <c r="P38" s="59">
        <f>COUNTIF('Safety Awards'!E$6:E$506,O38)</f>
        <v/>
      </c>
      <c r="Q38" s="93" t="n"/>
    </row>
    <row r="39">
      <c r="A39" s="93" t="n"/>
      <c r="B39" s="97" t="inlineStr">
        <is>
          <t>Quality</t>
        </is>
      </c>
      <c r="C39" s="63">
        <f>COUNTIF('Safety Awards'!F$6:F$506,B39)</f>
        <v/>
      </c>
      <c r="D39" s="63">
        <f>COUNTIF('Safety Awards'!F$6:F$506,B39)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85" t="inlineStr">
        <is>
          <t>Admin</t>
        </is>
      </c>
      <c r="C40" s="186">
        <f>COUNTIF('Safety Awards'!F$6:F$506,B40)</f>
        <v/>
      </c>
      <c r="D40" s="186">
        <f>COUNTIF('Safety Awards'!F$6:F$506,B40)</f>
        <v/>
      </c>
      <c r="E40" s="187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COUNTIF('Safety Awards'!F$6:F$506,B41)</f>
        <v/>
      </c>
      <c r="D41" s="63">
        <f>COUNTIF('Safety Awards'!F$6:F$506,B41)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85" t="inlineStr">
        <is>
          <t>Contractor</t>
        </is>
      </c>
      <c r="C42" s="186">
        <f>COUNTIF('Safety Awards'!F$6:F$506,B42)</f>
        <v/>
      </c>
      <c r="D42" s="186">
        <f>COUNTIF('Safety Awards'!F$6:F$506,B42)</f>
        <v/>
      </c>
      <c r="E42" s="187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40" t="inlineStr">
        <is>
          <t>📈  Monthly Performance Matrix</t>
        </is>
      </c>
      <c r="Q45" s="93" t="n"/>
    </row>
    <row r="46" ht="33.75" customHeight="1" s="15">
      <c r="A46" s="93" t="n"/>
      <c r="B46" s="184" t="inlineStr">
        <is>
          <t>Metric</t>
        </is>
      </c>
      <c r="C46" s="184" t="inlineStr">
        <is>
          <t>Jan</t>
        </is>
      </c>
      <c r="D46" s="184" t="inlineStr">
        <is>
          <t>Feb</t>
        </is>
      </c>
      <c r="E46" s="184" t="inlineStr">
        <is>
          <t>Mar</t>
        </is>
      </c>
      <c r="F46" s="184" t="inlineStr">
        <is>
          <t>Apr</t>
        </is>
      </c>
      <c r="G46" s="184" t="inlineStr">
        <is>
          <t>May</t>
        </is>
      </c>
      <c r="H46" s="184" t="inlineStr">
        <is>
          <t>Jun</t>
        </is>
      </c>
      <c r="I46" s="184" t="inlineStr">
        <is>
          <t>Jul</t>
        </is>
      </c>
      <c r="J46" s="184" t="inlineStr">
        <is>
          <t>Aug</t>
        </is>
      </c>
      <c r="K46" s="184" t="inlineStr">
        <is>
          <t>Sep</t>
        </is>
      </c>
      <c r="L46" s="184" t="inlineStr">
        <is>
          <t>Oct</t>
        </is>
      </c>
      <c r="M46" s="184" t="inlineStr">
        <is>
          <t>Nov</t>
        </is>
      </c>
      <c r="N46" s="184" t="inlineStr">
        <is>
          <t>Dec</t>
        </is>
      </c>
      <c r="O46" s="184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COUNTIF('Safety Awards'!D$6:D$506,"Jan")</f>
        <v/>
      </c>
      <c r="D47" s="63">
        <f>COUNTIF('Safety Awards'!D$6:D$506,"Feb")</f>
        <v/>
      </c>
      <c r="E47" s="63">
        <f>COUNTIF('Safety Awards'!D$6:D$506,"Mar")</f>
        <v/>
      </c>
      <c r="F47" s="63">
        <f>COUNTIF('Safety Awards'!D$6:D$506,"Apr")</f>
        <v/>
      </c>
      <c r="G47" s="63">
        <f>COUNTIF('Safety Awards'!D$6:D$506,"May")</f>
        <v/>
      </c>
      <c r="H47" s="63">
        <f>COUNTIF('Safety Awards'!D$6:D$506,"Jun")</f>
        <v/>
      </c>
      <c r="I47" s="63">
        <f>COUNTIF('Safety Awards'!D$6:D$506,"Jul")</f>
        <v/>
      </c>
      <c r="J47" s="63">
        <f>COUNTIF('Safety Awards'!D$6:D$506,"Aug")</f>
        <v/>
      </c>
      <c r="K47" s="63">
        <f>COUNTIF('Safety Awards'!D$6:D$506,"Sep")</f>
        <v/>
      </c>
      <c r="L47" s="63">
        <f>COUNTIF('Safety Awards'!D$6:D$506,"Oct")</f>
        <v/>
      </c>
      <c r="M47" s="63">
        <f>COUNTIF('Safety Awards'!D$6:D$506,"Nov")</f>
        <v/>
      </c>
      <c r="N47" s="63">
        <f>COUNTIF('Safety Awards'!D$6:D$506,"Dec")</f>
        <v/>
      </c>
      <c r="O47" s="188">
        <f>SUM(C47:N47)</f>
        <v/>
      </c>
      <c r="P47" s="93" t="n"/>
      <c r="Q47" s="93" t="n"/>
    </row>
    <row r="48">
      <c r="A48" s="93" t="n"/>
      <c r="B48" s="124" t="inlineStr">
        <is>
          <t>Presented</t>
        </is>
      </c>
      <c r="C48" s="76">
        <f>COUNTIFS('Safety Awards'!D$6:D$506,"Jan",'Safety Awards'!J$6:J$506,"Presented")</f>
        <v/>
      </c>
      <c r="D48" s="76">
        <f>COUNTIFS('Safety Awards'!D$6:D$506,"Feb",'Safety Awards'!J$6:J$506,"Presented")</f>
        <v/>
      </c>
      <c r="E48" s="76">
        <f>COUNTIFS('Safety Awards'!D$6:D$506,"Mar",'Safety Awards'!J$6:J$506,"Presented")</f>
        <v/>
      </c>
      <c r="F48" s="76">
        <f>COUNTIFS('Safety Awards'!D$6:D$506,"Apr",'Safety Awards'!J$6:J$506,"Presented")</f>
        <v/>
      </c>
      <c r="G48" s="76">
        <f>COUNTIFS('Safety Awards'!D$6:D$506,"May",'Safety Awards'!J$6:J$506,"Presented")</f>
        <v/>
      </c>
      <c r="H48" s="76">
        <f>COUNTIFS('Safety Awards'!D$6:D$506,"Jun",'Safety Awards'!J$6:J$506,"Presented")</f>
        <v/>
      </c>
      <c r="I48" s="76">
        <f>COUNTIFS('Safety Awards'!D$6:D$506,"Jul",'Safety Awards'!J$6:J$506,"Presented")</f>
        <v/>
      </c>
      <c r="J48" s="76">
        <f>COUNTIFS('Safety Awards'!D$6:D$506,"Aug",'Safety Awards'!J$6:J$506,"Presented")</f>
        <v/>
      </c>
      <c r="K48" s="76">
        <f>COUNTIFS('Safety Awards'!D$6:D$506,"Sep",'Safety Awards'!J$6:J$506,"Presented")</f>
        <v/>
      </c>
      <c r="L48" s="76">
        <f>COUNTIFS('Safety Awards'!D$6:D$506,"Oct",'Safety Awards'!J$6:J$506,"Presented")</f>
        <v/>
      </c>
      <c r="M48" s="76">
        <f>COUNTIFS('Safety Awards'!D$6:D$506,"Nov",'Safety Awards'!J$6:J$506,"Presented")</f>
        <v/>
      </c>
      <c r="N48" s="76">
        <f>COUNTIFS('Safety Awards'!D$6:D$506,"Dec",'Safety Awards'!J$6:J$506,"Presented")</f>
        <v/>
      </c>
      <c r="O48" s="77">
        <f>SUM(C48:N48)</f>
        <v/>
      </c>
      <c r="P48" s="93" t="n"/>
      <c r="Q48" s="93" t="n"/>
    </row>
    <row r="49">
      <c r="A49" s="93" t="n"/>
      <c r="B49" s="163" t="inlineStr">
        <is>
          <t>Scheduled</t>
        </is>
      </c>
      <c r="C49" s="82">
        <f>COUNTIFS('Safety Awards'!D$6:D$506,"Jan",'Safety Awards'!J$6:J$506,"Scheduled")</f>
        <v/>
      </c>
      <c r="D49" s="82">
        <f>COUNTIFS('Safety Awards'!D$6:D$506,"Feb",'Safety Awards'!J$6:J$506,"Scheduled")</f>
        <v/>
      </c>
      <c r="E49" s="82">
        <f>COUNTIFS('Safety Awards'!D$6:D$506,"Mar",'Safety Awards'!J$6:J$506,"Scheduled")</f>
        <v/>
      </c>
      <c r="F49" s="82">
        <f>COUNTIFS('Safety Awards'!D$6:D$506,"Apr",'Safety Awards'!J$6:J$506,"Scheduled")</f>
        <v/>
      </c>
      <c r="G49" s="82">
        <f>COUNTIFS('Safety Awards'!D$6:D$506,"May",'Safety Awards'!J$6:J$506,"Scheduled")</f>
        <v/>
      </c>
      <c r="H49" s="82">
        <f>COUNTIFS('Safety Awards'!D$6:D$506,"Jun",'Safety Awards'!J$6:J$506,"Scheduled")</f>
        <v/>
      </c>
      <c r="I49" s="82">
        <f>COUNTIFS('Safety Awards'!D$6:D$506,"Jul",'Safety Awards'!J$6:J$506,"Scheduled")</f>
        <v/>
      </c>
      <c r="J49" s="82">
        <f>COUNTIFS('Safety Awards'!D$6:D$506,"Aug",'Safety Awards'!J$6:J$506,"Scheduled")</f>
        <v/>
      </c>
      <c r="K49" s="82">
        <f>COUNTIFS('Safety Awards'!D$6:D$506,"Sep",'Safety Awards'!J$6:J$506,"Scheduled")</f>
        <v/>
      </c>
      <c r="L49" s="82">
        <f>COUNTIFS('Safety Awards'!D$6:D$506,"Oct",'Safety Awards'!J$6:J$506,"Scheduled")</f>
        <v/>
      </c>
      <c r="M49" s="82">
        <f>COUNTIFS('Safety Awards'!D$6:D$506,"Nov",'Safety Awards'!J$6:J$506,"Scheduled")</f>
        <v/>
      </c>
      <c r="N49" s="82">
        <f>COUNTIFS('Safety Awards'!D$6:D$506,"Dec",'Safety Awards'!J$6:J$506,"Scheduled")</f>
        <v/>
      </c>
      <c r="O49" s="83">
        <f>SUM(C49:N49)</f>
        <v/>
      </c>
      <c r="P49" s="93" t="n"/>
      <c r="Q49" s="93" t="n"/>
    </row>
    <row r="50">
      <c r="A50" s="93" t="n"/>
      <c r="B50" s="113" t="inlineStr">
        <is>
          <t>Nominated</t>
        </is>
      </c>
      <c r="C50" s="114">
        <f>COUNTIFS('Safety Awards'!D$6:D$506,"Jan",'Safety Awards'!J$6:J$506,"Nominated")</f>
        <v/>
      </c>
      <c r="D50" s="114">
        <f>COUNTIFS('Safety Awards'!D$6:D$506,"Feb",'Safety Awards'!J$6:J$506,"Nominated")</f>
        <v/>
      </c>
      <c r="E50" s="114">
        <f>COUNTIFS('Safety Awards'!D$6:D$506,"Mar",'Safety Awards'!J$6:J$506,"Nominated")</f>
        <v/>
      </c>
      <c r="F50" s="114">
        <f>COUNTIFS('Safety Awards'!D$6:D$506,"Apr",'Safety Awards'!J$6:J$506,"Nominated")</f>
        <v/>
      </c>
      <c r="G50" s="114">
        <f>COUNTIFS('Safety Awards'!D$6:D$506,"May",'Safety Awards'!J$6:J$506,"Nominated")</f>
        <v/>
      </c>
      <c r="H50" s="114">
        <f>COUNTIFS('Safety Awards'!D$6:D$506,"Jun",'Safety Awards'!J$6:J$506,"Nominated")</f>
        <v/>
      </c>
      <c r="I50" s="114">
        <f>COUNTIFS('Safety Awards'!D$6:D$506,"Jul",'Safety Awards'!J$6:J$506,"Nominated")</f>
        <v/>
      </c>
      <c r="J50" s="114">
        <f>COUNTIFS('Safety Awards'!D$6:D$506,"Aug",'Safety Awards'!J$6:J$506,"Nominated")</f>
        <v/>
      </c>
      <c r="K50" s="114">
        <f>COUNTIFS('Safety Awards'!D$6:D$506,"Sep",'Safety Awards'!J$6:J$506,"Nominated")</f>
        <v/>
      </c>
      <c r="L50" s="114">
        <f>COUNTIFS('Safety Awards'!D$6:D$506,"Oct",'Safety Awards'!J$6:J$506,"Nominated")</f>
        <v/>
      </c>
      <c r="M50" s="114">
        <f>COUNTIFS('Safety Awards'!D$6:D$506,"Nov",'Safety Awards'!J$6:J$506,"Nominated")</f>
        <v/>
      </c>
      <c r="N50" s="114">
        <f>COUNTIFS('Safety Awards'!D$6:D$506,"Dec",'Safety Awards'!J$6:J$506,"Nominated")</f>
        <v/>
      </c>
      <c r="O50" s="115">
        <f>SUM(C50:N50)</f>
        <v/>
      </c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9CCC65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9CCC65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🛑  DASHBOARD – STOP WORK</t>
        </is>
      </c>
    </row>
    <row r="2" ht="24" customHeight="1" s="15">
      <c r="A2" s="320" t="inlineStr">
        <is>
          <t>Live data from 'Stop Work Authority'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🛑 TOTAL SWA</t>
        </is>
      </c>
      <c r="E4" s="93" t="n"/>
      <c r="F4" s="230" t="inlineStr">
        <is>
          <t>✅ RESOLVED</t>
        </is>
      </c>
      <c r="I4" s="93" t="n"/>
      <c r="J4" s="231" t="inlineStr">
        <is>
          <t>🔍 INVESTIGATING</t>
        </is>
      </c>
      <c r="M4" s="93" t="n"/>
      <c r="N4" s="242" t="inlineStr">
        <is>
          <t>🔒 FIXED</t>
        </is>
      </c>
      <c r="Q4" s="93" t="n"/>
    </row>
    <row r="5" ht="43.5" customHeight="1" s="15">
      <c r="A5" s="93" t="n"/>
      <c r="B5" s="290">
        <f>COUNTA('Stop Work Authority'!B$6:B$506)</f>
        <v/>
      </c>
      <c r="E5" s="93" t="n"/>
      <c r="F5" s="234">
        <f>COUNTIF('Stop Work Authority'!L$6:L$506,"Resolved")</f>
        <v/>
      </c>
      <c r="I5" s="93" t="n"/>
      <c r="J5" s="235">
        <f>COUNTIF('Stop Work Authority'!L$6:L$506,"Under Investigation")</f>
        <v/>
      </c>
      <c r="M5" s="93" t="n"/>
      <c r="N5" s="266">
        <f>COUNTIF('Stop Work Authority'!L$6:L$506,"Permanent Fix Applied")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63" t="n"/>
      <c r="M6" s="93" t="n"/>
      <c r="N6" s="269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3" t="inlineStr">
        <is>
          <t>🚨 CRITICAL</t>
        </is>
      </c>
      <c r="E8" s="93" t="n"/>
      <c r="F8" s="243" t="inlineStr">
        <is>
          <t>🔴 HIGH</t>
        </is>
      </c>
      <c r="I8" s="93" t="n"/>
      <c r="J8" s="241" t="inlineStr">
        <is>
          <t>⏱️ TOTAL DOWNTIME</t>
        </is>
      </c>
      <c r="M8" s="93" t="n"/>
      <c r="N8" s="230" t="inlineStr">
        <is>
          <t>🔍 INVESTIGATED</t>
        </is>
      </c>
      <c r="Q8" s="93" t="n"/>
    </row>
    <row r="9" ht="43.5" customHeight="1" s="15">
      <c r="A9" s="93" t="n"/>
      <c r="B9" s="277">
        <f>COUNTIF('Stop Work Authority'!K$6:K$506,"Critical")</f>
        <v/>
      </c>
      <c r="E9" s="93" t="n"/>
      <c r="F9" s="277">
        <f>COUNTIF('Stop Work Authority'!K$6:K$506,"High")</f>
        <v/>
      </c>
      <c r="I9" s="93" t="n"/>
      <c r="J9" s="341">
        <f>SUM('Stop Work Authority'!J$6:J$506)</f>
        <v/>
      </c>
      <c r="M9" s="93" t="n"/>
      <c r="N9" s="234">
        <f>COUNTIF('Stop Work Authority'!M$6:M$506,"Yes")</f>
        <v/>
      </c>
      <c r="Q9" s="93" t="n"/>
    </row>
    <row r="10" ht="13.5" customHeight="1" s="15">
      <c r="A10" s="93" t="n"/>
      <c r="B10" s="270" t="n"/>
      <c r="E10" s="93" t="n"/>
      <c r="F10" s="270" t="n"/>
      <c r="I10" s="93" t="n"/>
      <c r="J10" s="268" t="n"/>
      <c r="M10" s="93" t="n"/>
      <c r="N10" s="262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Resolved</t>
        </is>
      </c>
      <c r="P13" s="59">
        <f>COUNTIF('Stop Work Authority'!L$6:L$506,"Resolved")</f>
        <v/>
      </c>
      <c r="Q13" s="93" t="n"/>
    </row>
    <row r="14">
      <c r="A14" s="93" t="n"/>
      <c r="B14" s="59">
        <f>COUNTIF('Stop Work Authority'!D$6:D$506,"Jan")</f>
        <v/>
      </c>
      <c r="C14" s="59">
        <f>COUNTIF('Stop Work Authority'!D$6:D$506,"Feb")</f>
        <v/>
      </c>
      <c r="D14" s="59">
        <f>COUNTIF('Stop Work Authority'!D$6:D$506,"Mar")</f>
        <v/>
      </c>
      <c r="E14" s="59">
        <f>COUNTIF('Stop Work Authority'!D$6:D$506,"Apr")</f>
        <v/>
      </c>
      <c r="F14" s="59">
        <f>COUNTIF('Stop Work Authority'!D$6:D$506,"May")</f>
        <v/>
      </c>
      <c r="G14" s="59">
        <f>COUNTIF('Stop Work Authority'!D$6:D$506,"Jun")</f>
        <v/>
      </c>
      <c r="H14" s="59">
        <f>COUNTIF('Stop Work Authority'!D$6:D$506,"Jul")</f>
        <v/>
      </c>
      <c r="I14" s="59">
        <f>COUNTIF('Stop Work Authority'!D$6:D$506,"Aug")</f>
        <v/>
      </c>
      <c r="J14" s="59">
        <f>COUNTIF('Stop Work Authority'!D$6:D$506,"Sep")</f>
        <v/>
      </c>
      <c r="K14" s="59">
        <f>COUNTIF('Stop Work Authority'!D$6:D$506,"Oct")</f>
        <v/>
      </c>
      <c r="L14" s="59">
        <f>COUNTIF('Stop Work Authority'!D$6:D$506,"Nov")</f>
        <v/>
      </c>
      <c r="M14" s="59">
        <f>COUNTIF('Stop Work Authority'!D$6:D$506,"Dec")</f>
        <v/>
      </c>
      <c r="N14" s="94" t="n"/>
      <c r="O14" s="95" t="inlineStr">
        <is>
          <t>Under Investigation</t>
        </is>
      </c>
      <c r="P14" s="59">
        <f>COUNTIF('Stop Work Authority'!L$6:L$506,"Under Investigation")</f>
        <v/>
      </c>
      <c r="Q14" s="93" t="n"/>
    </row>
    <row r="15">
      <c r="A15" s="93" t="n"/>
      <c r="B15" s="60">
        <f>COUNTIFS('Stop Work Authority'!D$6:D$506,"Jan",'Stop Work Authority'!L$6:L$506,"Resolved")</f>
        <v/>
      </c>
      <c r="C15" s="60">
        <f>COUNTIFS('Stop Work Authority'!D$6:D$506,"Feb",'Stop Work Authority'!L$6:L$506,"Resolved")</f>
        <v/>
      </c>
      <c r="D15" s="60">
        <f>COUNTIFS('Stop Work Authority'!D$6:D$506,"Mar",'Stop Work Authority'!L$6:L$506,"Resolved")</f>
        <v/>
      </c>
      <c r="E15" s="60">
        <f>COUNTIFS('Stop Work Authority'!D$6:D$506,"Apr",'Stop Work Authority'!L$6:L$506,"Resolved")</f>
        <v/>
      </c>
      <c r="F15" s="60">
        <f>COUNTIFS('Stop Work Authority'!D$6:D$506,"May",'Stop Work Authority'!L$6:L$506,"Resolved")</f>
        <v/>
      </c>
      <c r="G15" s="60">
        <f>COUNTIFS('Stop Work Authority'!D$6:D$506,"Jun",'Stop Work Authority'!L$6:L$506,"Resolved")</f>
        <v/>
      </c>
      <c r="H15" s="60">
        <f>COUNTIFS('Stop Work Authority'!D$6:D$506,"Jul",'Stop Work Authority'!L$6:L$506,"Resolved")</f>
        <v/>
      </c>
      <c r="I15" s="60">
        <f>COUNTIFS('Stop Work Authority'!D$6:D$506,"Aug",'Stop Work Authority'!L$6:L$506,"Resolved")</f>
        <v/>
      </c>
      <c r="J15" s="60">
        <f>COUNTIFS('Stop Work Authority'!D$6:D$506,"Sep",'Stop Work Authority'!L$6:L$506,"Resolved")</f>
        <v/>
      </c>
      <c r="K15" s="60">
        <f>COUNTIFS('Stop Work Authority'!D$6:D$506,"Oct",'Stop Work Authority'!L$6:L$506,"Resolved")</f>
        <v/>
      </c>
      <c r="L15" s="60">
        <f>COUNTIFS('Stop Work Authority'!D$6:D$506,"Nov",'Stop Work Authority'!L$6:L$506,"Resolved")</f>
        <v/>
      </c>
      <c r="M15" s="60">
        <f>COUNTIFS('Stop Work Authority'!D$6:D$506,"Dec",'Stop Work Authority'!L$6:L$506,"Resolved")</f>
        <v/>
      </c>
      <c r="N15" s="94" t="n"/>
      <c r="O15" s="95" t="inlineStr">
        <is>
          <t>Permanent Fix Applied</t>
        </is>
      </c>
      <c r="P15" s="59">
        <f>COUNTIF('Stop Work Authority'!L$6:L$506,"Permanent Fix Applied")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Severity Breakdown</t>
        </is>
      </c>
      <c r="Q31" s="93" t="n"/>
    </row>
    <row r="32" ht="56.25" customHeight="1" s="15">
      <c r="A32" s="93" t="n"/>
      <c r="B32" s="166" t="inlineStr">
        <is>
          <t>Department</t>
        </is>
      </c>
      <c r="C32" s="166" t="inlineStr">
        <is>
          <t>Count</t>
        </is>
      </c>
      <c r="D32" s="166" t="inlineStr">
        <is>
          <t>Resolved</t>
        </is>
      </c>
      <c r="E32" s="166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Critical</t>
        </is>
      </c>
      <c r="P32" s="59">
        <f>COUNTIF('Stop Work Authority'!K$6:K$506,O32)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COUNTIF('Stop Work Authority'!F$6:F$506,B33)</f>
        <v/>
      </c>
      <c r="D33" s="63">
        <f>COUNTIFS('Stop Work Authority'!F$6:F$506,B33,'Stop Work Authority'!L$6:L$506,"Resolved")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High</t>
        </is>
      </c>
      <c r="P33" s="59">
        <f>COUNTIF('Stop Work Authority'!K$6:K$506,O33)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COUNTIF('Stop Work Authority'!F$6:F$506,B34)</f>
        <v/>
      </c>
      <c r="D34" s="135">
        <f>COUNTIFS('Stop Work Authority'!F$6:F$506,B34,'Stop Work Authority'!L$6:L$506,"Resolved")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Medium</t>
        </is>
      </c>
      <c r="P34" s="59">
        <f>COUNTIF('Stop Work Authority'!K$6:K$506,O34)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COUNTIF('Stop Work Authority'!F$6:F$506,B35)</f>
        <v/>
      </c>
      <c r="D35" s="63">
        <f>COUNTIFS('Stop Work Authority'!F$6:F$506,B35,'Stop Work Authority'!L$6:L$506,"Resolved")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Low</t>
        </is>
      </c>
      <c r="P35" s="59">
        <f>COUNTIF('Stop Work Authority'!K$6:K$506,O35)</f>
        <v/>
      </c>
      <c r="Q35" s="93" t="n"/>
    </row>
    <row r="36">
      <c r="A36" s="93" t="n"/>
      <c r="B36" s="134" t="inlineStr">
        <is>
          <t>Construction</t>
        </is>
      </c>
      <c r="C36" s="135">
        <f>COUNTIF('Stop Work Authority'!F$6:F$506,B36)</f>
        <v/>
      </c>
      <c r="D36" s="135">
        <f>COUNTIFS('Stop Work Authority'!F$6:F$506,B36,'Stop Work Authority'!L$6:L$506,"Resolved")</f>
        <v/>
      </c>
      <c r="E36" s="136">
        <f>IF(C36=0,0,D36/C36)</f>
        <v/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</row>
    <row r="37">
      <c r="A37" s="93" t="n"/>
      <c r="B37" s="97" t="inlineStr">
        <is>
          <t>Safety</t>
        </is>
      </c>
      <c r="C37" s="63">
        <f>COUNTIF('Stop Work Authority'!F$6:F$506,B37)</f>
        <v/>
      </c>
      <c r="D37" s="63">
        <f>COUNTIFS('Stop Work Authority'!F$6:F$506,B37,'Stop Work Authority'!L$6:L$506,"Resolved")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34" t="inlineStr">
        <is>
          <t>Logistics</t>
        </is>
      </c>
      <c r="C38" s="135">
        <f>COUNTIF('Stop Work Authority'!F$6:F$506,B38)</f>
        <v/>
      </c>
      <c r="D38" s="135">
        <f>COUNTIFS('Stop Work Authority'!F$6:F$506,B38,'Stop Work Authority'!L$6:L$506,"Resolved")</f>
        <v/>
      </c>
      <c r="E38" s="136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COUNTIF('Stop Work Authority'!F$6:F$506,B39)</f>
        <v/>
      </c>
      <c r="D39" s="63">
        <f>COUNTIFS('Stop Work Authority'!F$6:F$506,B39,'Stop Work Authority'!L$6:L$506,"Resolved")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34" t="inlineStr">
        <is>
          <t>Admin</t>
        </is>
      </c>
      <c r="C40" s="135">
        <f>COUNTIF('Stop Work Authority'!F$6:F$506,B40)</f>
        <v/>
      </c>
      <c r="D40" s="135">
        <f>COUNTIFS('Stop Work Authority'!F$6:F$506,B40,'Stop Work Authority'!L$6:L$506,"Resolved")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COUNTIF('Stop Work Authority'!F$6:F$506,B41)</f>
        <v/>
      </c>
      <c r="D41" s="63">
        <f>COUNTIFS('Stop Work Authority'!F$6:F$506,B41,'Stop Work Authority'!L$6:L$506,"Resolved")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COUNTIF('Stop Work Authority'!F$6:F$506,B42)</f>
        <v/>
      </c>
      <c r="D42" s="135">
        <f>COUNTIFS('Stop Work Authority'!F$6:F$506,B42,'Stop Work Authority'!L$6:L$506,"Resolved")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66" t="inlineStr">
        <is>
          <t>Metric</t>
        </is>
      </c>
      <c r="C46" s="166" t="inlineStr">
        <is>
          <t>Jan</t>
        </is>
      </c>
      <c r="D46" s="166" t="inlineStr">
        <is>
          <t>Feb</t>
        </is>
      </c>
      <c r="E46" s="166" t="inlineStr">
        <is>
          <t>Mar</t>
        </is>
      </c>
      <c r="F46" s="166" t="inlineStr">
        <is>
          <t>Apr</t>
        </is>
      </c>
      <c r="G46" s="166" t="inlineStr">
        <is>
          <t>May</t>
        </is>
      </c>
      <c r="H46" s="166" t="inlineStr">
        <is>
          <t>Jun</t>
        </is>
      </c>
      <c r="I46" s="166" t="inlineStr">
        <is>
          <t>Jul</t>
        </is>
      </c>
      <c r="J46" s="166" t="inlineStr">
        <is>
          <t>Aug</t>
        </is>
      </c>
      <c r="K46" s="166" t="inlineStr">
        <is>
          <t>Sep</t>
        </is>
      </c>
      <c r="L46" s="166" t="inlineStr">
        <is>
          <t>Oct</t>
        </is>
      </c>
      <c r="M46" s="166" t="inlineStr">
        <is>
          <t>Nov</t>
        </is>
      </c>
      <c r="N46" s="166" t="inlineStr">
        <is>
          <t>Dec</t>
        </is>
      </c>
      <c r="O46" s="166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COUNTIF('Stop Work Authority'!D$6:D$506,"Jan")</f>
        <v/>
      </c>
      <c r="D47" s="63">
        <f>COUNTIF('Stop Work Authority'!D$6:D$506,"Feb")</f>
        <v/>
      </c>
      <c r="E47" s="63">
        <f>COUNTIF('Stop Work Authority'!D$6:D$506,"Mar")</f>
        <v/>
      </c>
      <c r="F47" s="63">
        <f>COUNTIF('Stop Work Authority'!D$6:D$506,"Apr")</f>
        <v/>
      </c>
      <c r="G47" s="63">
        <f>COUNTIF('Stop Work Authority'!D$6:D$506,"May")</f>
        <v/>
      </c>
      <c r="H47" s="63">
        <f>COUNTIF('Stop Work Authority'!D$6:D$506,"Jun")</f>
        <v/>
      </c>
      <c r="I47" s="63">
        <f>COUNTIF('Stop Work Authority'!D$6:D$506,"Jul")</f>
        <v/>
      </c>
      <c r="J47" s="63">
        <f>COUNTIF('Stop Work Authority'!D$6:D$506,"Aug")</f>
        <v/>
      </c>
      <c r="K47" s="63">
        <f>COUNTIF('Stop Work Authority'!D$6:D$506,"Sep")</f>
        <v/>
      </c>
      <c r="L47" s="63">
        <f>COUNTIF('Stop Work Authority'!D$6:D$506,"Oct")</f>
        <v/>
      </c>
      <c r="M47" s="63">
        <f>COUNTIF('Stop Work Authority'!D$6:D$506,"Nov")</f>
        <v/>
      </c>
      <c r="N47" s="63">
        <f>COUNTIF('Stop Work Authority'!D$6:D$506,"Dec")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Resolved</t>
        </is>
      </c>
      <c r="C48" s="76">
        <f>COUNTIFS('Stop Work Authority'!D$6:D$506,"Jan",'Stop Work Authority'!L$6:L$506,"Resolved")</f>
        <v/>
      </c>
      <c r="D48" s="76">
        <f>COUNTIFS('Stop Work Authority'!D$6:D$506,"Feb",'Stop Work Authority'!L$6:L$506,"Resolved")</f>
        <v/>
      </c>
      <c r="E48" s="76">
        <f>COUNTIFS('Stop Work Authority'!D$6:D$506,"Mar",'Stop Work Authority'!L$6:L$506,"Resolved")</f>
        <v/>
      </c>
      <c r="F48" s="76">
        <f>COUNTIFS('Stop Work Authority'!D$6:D$506,"Apr",'Stop Work Authority'!L$6:L$506,"Resolved")</f>
        <v/>
      </c>
      <c r="G48" s="76">
        <f>COUNTIFS('Stop Work Authority'!D$6:D$506,"May",'Stop Work Authority'!L$6:L$506,"Resolved")</f>
        <v/>
      </c>
      <c r="H48" s="76">
        <f>COUNTIFS('Stop Work Authority'!D$6:D$506,"Jun",'Stop Work Authority'!L$6:L$506,"Resolved")</f>
        <v/>
      </c>
      <c r="I48" s="76">
        <f>COUNTIFS('Stop Work Authority'!D$6:D$506,"Jul",'Stop Work Authority'!L$6:L$506,"Resolved")</f>
        <v/>
      </c>
      <c r="J48" s="76">
        <f>COUNTIFS('Stop Work Authority'!D$6:D$506,"Aug",'Stop Work Authority'!L$6:L$506,"Resolved")</f>
        <v/>
      </c>
      <c r="K48" s="76">
        <f>COUNTIFS('Stop Work Authority'!D$6:D$506,"Sep",'Stop Work Authority'!L$6:L$506,"Resolved")</f>
        <v/>
      </c>
      <c r="L48" s="76">
        <f>COUNTIFS('Stop Work Authority'!D$6:D$506,"Oct",'Stop Work Authority'!L$6:L$506,"Resolved")</f>
        <v/>
      </c>
      <c r="M48" s="76">
        <f>COUNTIFS('Stop Work Authority'!D$6:D$506,"Nov",'Stop Work Authority'!L$6:L$506,"Resolved")</f>
        <v/>
      </c>
      <c r="N48" s="76">
        <f>COUNTIFS('Stop Work Authority'!D$6:D$506,"Dec",'Stop Work Authority'!L$6:L$506,"Resolved")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Under Investigation</t>
        </is>
      </c>
      <c r="C49" s="114">
        <f>COUNTIFS('Stop Work Authority'!D$6:D$506,"Jan",'Stop Work Authority'!L$6:L$506,"Under Investigation")</f>
        <v/>
      </c>
      <c r="D49" s="114">
        <f>COUNTIFS('Stop Work Authority'!D$6:D$506,"Feb",'Stop Work Authority'!L$6:L$506,"Under Investigation")</f>
        <v/>
      </c>
      <c r="E49" s="114">
        <f>COUNTIFS('Stop Work Authority'!D$6:D$506,"Mar",'Stop Work Authority'!L$6:L$506,"Under Investigation")</f>
        <v/>
      </c>
      <c r="F49" s="114">
        <f>COUNTIFS('Stop Work Authority'!D$6:D$506,"Apr",'Stop Work Authority'!L$6:L$506,"Under Investigation")</f>
        <v/>
      </c>
      <c r="G49" s="114">
        <f>COUNTIFS('Stop Work Authority'!D$6:D$506,"May",'Stop Work Authority'!L$6:L$506,"Under Investigation")</f>
        <v/>
      </c>
      <c r="H49" s="114">
        <f>COUNTIFS('Stop Work Authority'!D$6:D$506,"Jun",'Stop Work Authority'!L$6:L$506,"Under Investigation")</f>
        <v/>
      </c>
      <c r="I49" s="114">
        <f>COUNTIFS('Stop Work Authority'!D$6:D$506,"Jul",'Stop Work Authority'!L$6:L$506,"Under Investigation")</f>
        <v/>
      </c>
      <c r="J49" s="114">
        <f>COUNTIFS('Stop Work Authority'!D$6:D$506,"Aug",'Stop Work Authority'!L$6:L$506,"Under Investigation")</f>
        <v/>
      </c>
      <c r="K49" s="114">
        <f>COUNTIFS('Stop Work Authority'!D$6:D$506,"Sep",'Stop Work Authority'!L$6:L$506,"Under Investigation")</f>
        <v/>
      </c>
      <c r="L49" s="114">
        <f>COUNTIFS('Stop Work Authority'!D$6:D$506,"Oct",'Stop Work Authority'!L$6:L$506,"Under Investigation")</f>
        <v/>
      </c>
      <c r="M49" s="114">
        <f>COUNTIFS('Stop Work Authority'!D$6:D$506,"Nov",'Stop Work Authority'!L$6:L$506,"Under Investigation")</f>
        <v/>
      </c>
      <c r="N49" s="114">
        <f>COUNTIFS('Stop Work Authority'!D$6:D$506,"Dec",'Stop Work Authority'!L$6:L$506,"Under Investigation")</f>
        <v/>
      </c>
      <c r="O49" s="115">
        <f>SUM(C49:N49)</f>
        <v/>
      </c>
      <c r="P49" s="93" t="n"/>
      <c r="Q49" s="93" t="n"/>
    </row>
    <row r="50">
      <c r="A50" s="93" t="n"/>
      <c r="B50" s="189" t="inlineStr">
        <is>
          <t>Permanent Fix Applied</t>
        </is>
      </c>
      <c r="C50" s="190">
        <f>COUNTIFS('Stop Work Authority'!D$6:D$506,"Jan",'Stop Work Authority'!L$6:L$506,"Permanent Fix Applied")</f>
        <v/>
      </c>
      <c r="D50" s="190">
        <f>COUNTIFS('Stop Work Authority'!D$6:D$506,"Feb",'Stop Work Authority'!L$6:L$506,"Permanent Fix Applied")</f>
        <v/>
      </c>
      <c r="E50" s="190">
        <f>COUNTIFS('Stop Work Authority'!D$6:D$506,"Mar",'Stop Work Authority'!L$6:L$506,"Permanent Fix Applied")</f>
        <v/>
      </c>
      <c r="F50" s="190">
        <f>COUNTIFS('Stop Work Authority'!D$6:D$506,"Apr",'Stop Work Authority'!L$6:L$506,"Permanent Fix Applied")</f>
        <v/>
      </c>
      <c r="G50" s="190">
        <f>COUNTIFS('Stop Work Authority'!D$6:D$506,"May",'Stop Work Authority'!L$6:L$506,"Permanent Fix Applied")</f>
        <v/>
      </c>
      <c r="H50" s="190">
        <f>COUNTIFS('Stop Work Authority'!D$6:D$506,"Jun",'Stop Work Authority'!L$6:L$506,"Permanent Fix Applied")</f>
        <v/>
      </c>
      <c r="I50" s="190">
        <f>COUNTIFS('Stop Work Authority'!D$6:D$506,"Jul",'Stop Work Authority'!L$6:L$506,"Permanent Fix Applied")</f>
        <v/>
      </c>
      <c r="J50" s="190">
        <f>COUNTIFS('Stop Work Authority'!D$6:D$506,"Aug",'Stop Work Authority'!L$6:L$506,"Permanent Fix Applied")</f>
        <v/>
      </c>
      <c r="K50" s="190">
        <f>COUNTIFS('Stop Work Authority'!D$6:D$506,"Sep",'Stop Work Authority'!L$6:L$506,"Permanent Fix Applied")</f>
        <v/>
      </c>
      <c r="L50" s="190">
        <f>COUNTIFS('Stop Work Authority'!D$6:D$506,"Oct",'Stop Work Authority'!L$6:L$506,"Permanent Fix Applied")</f>
        <v/>
      </c>
      <c r="M50" s="190">
        <f>COUNTIFS('Stop Work Authority'!D$6:D$506,"Nov",'Stop Work Authority'!L$6:L$506,"Permanent Fix Applied")</f>
        <v/>
      </c>
      <c r="N50" s="190">
        <f>COUNTIFS('Stop Work Authority'!D$6:D$506,"Dec",'Stop Work Authority'!L$6:L$506,"Permanent Fix Applied")</f>
        <v/>
      </c>
      <c r="O50" s="191">
        <f>SUM(C50:N50)</f>
        <v/>
      </c>
      <c r="P50" s="93" t="n"/>
      <c r="Q50" s="93" t="n"/>
    </row>
    <row r="51">
      <c r="A51" s="93" t="n"/>
      <c r="B51" s="116" t="inlineStr">
        <is>
          <t>Rate %</t>
        </is>
      </c>
      <c r="C51" s="138">
        <f>IF(C47=0,0,C48/C47)</f>
        <v/>
      </c>
      <c r="D51" s="138">
        <f>IF(D47=0,0,D48/D47)</f>
        <v/>
      </c>
      <c r="E51" s="138">
        <f>IF(E47=0,0,E48/E47)</f>
        <v/>
      </c>
      <c r="F51" s="138">
        <f>IF(F47=0,0,F48/F47)</f>
        <v/>
      </c>
      <c r="G51" s="138">
        <f>IF(G47=0,0,G48/G47)</f>
        <v/>
      </c>
      <c r="H51" s="138">
        <f>IF(H47=0,0,H48/H47)</f>
        <v/>
      </c>
      <c r="I51" s="138">
        <f>IF(I47=0,0,I48/I47)</f>
        <v/>
      </c>
      <c r="J51" s="138">
        <f>IF(J47=0,0,J48/J47)</f>
        <v/>
      </c>
      <c r="K51" s="138">
        <f>IF(K47=0,0,K48/K47)</f>
        <v/>
      </c>
      <c r="L51" s="138">
        <f>IF(L47=0,0,L48/L47)</f>
        <v/>
      </c>
      <c r="M51" s="138">
        <f>IF(M47=0,0,M48/M47)</f>
        <v/>
      </c>
      <c r="N51" s="138">
        <f>IF(N47=0,0,N48/N47)</f>
        <v/>
      </c>
      <c r="O51" s="138">
        <f>IF(O47=0,0,O48/O47)</f>
        <v/>
      </c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1:O51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tabColor rgb="FF3E2723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322" t="inlineStr">
        <is>
          <t>🧪  DASHBOARD – ALCOHOL TESTS</t>
        </is>
      </c>
    </row>
    <row r="2" ht="24" customHeight="1" s="15">
      <c r="A2" s="323" t="inlineStr">
        <is>
          <t>Live data from 'Alcohol Tests'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24" t="inlineStr">
        <is>
          <t>🧪 TOTAL TESTS</t>
        </is>
      </c>
      <c r="E4" s="93" t="n"/>
      <c r="F4" s="230" t="inlineStr">
        <is>
          <t>✅ NEGATIVE</t>
        </is>
      </c>
      <c r="I4" s="93" t="n"/>
      <c r="J4" s="243" t="inlineStr">
        <is>
          <t>🚨 POSITIVE</t>
        </is>
      </c>
      <c r="M4" s="93" t="n"/>
      <c r="N4" s="230" t="inlineStr">
        <is>
          <t>📊 PASS RATE</t>
        </is>
      </c>
      <c r="Q4" s="93" t="n"/>
    </row>
    <row r="5" ht="43.5" customHeight="1" s="15">
      <c r="A5" s="93" t="n"/>
      <c r="B5" s="325">
        <f>COUNTA('Alcohol Tests'!B$6:B$506)</f>
        <v/>
      </c>
      <c r="E5" s="93" t="n"/>
      <c r="F5" s="234">
        <f>COUNTIF('Alcohol Tests'!H$6:H$506,"Negative")</f>
        <v/>
      </c>
      <c r="I5" s="93" t="n"/>
      <c r="J5" s="277">
        <f>COUNTIF('Alcohol Tests'!H$6:H$506,"Positive")</f>
        <v/>
      </c>
      <c r="M5" s="93" t="n"/>
      <c r="N5" s="318">
        <f>IF(COUNTA('Alcohol Tests'!B$6:B$506)=0,0,COUNTIF('Alcohol Tests'!H$6:H$506,"Negative")/COUNTA('Alcohol Tests'!B$6:B$506))</f>
        <v/>
      </c>
      <c r="Q5" s="93" t="n"/>
    </row>
    <row r="6" ht="13.5" customHeight="1" s="15">
      <c r="A6" s="93" t="n"/>
      <c r="B6" s="326" t="n"/>
      <c r="E6" s="93" t="n"/>
      <c r="F6" s="262" t="n"/>
      <c r="I6" s="93" t="n"/>
      <c r="J6" s="270" t="n"/>
      <c r="M6" s="93" t="n"/>
      <c r="N6" s="262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🔀 RANDOM TESTS</t>
        </is>
      </c>
      <c r="E8" s="93" t="n"/>
      <c r="F8" s="242" t="inlineStr">
        <is>
          <t>🏭 PRE-SHIFT</t>
        </is>
      </c>
      <c r="I8" s="93" t="n"/>
      <c r="J8" s="231" t="inlineStr">
        <is>
          <t>⚠️ POST-INCIDENT</t>
        </is>
      </c>
      <c r="M8" s="93" t="n"/>
      <c r="N8" s="244" t="inlineStr">
        <is>
          <t>🔍 SUSPICION</t>
        </is>
      </c>
      <c r="Q8" s="93" t="n"/>
    </row>
    <row r="9" ht="43.5" customHeight="1" s="15">
      <c r="A9" s="93" t="n"/>
      <c r="B9" s="265">
        <f>COUNTIF('Alcohol Tests'!G$6:G$506,"Random")</f>
        <v/>
      </c>
      <c r="E9" s="93" t="n"/>
      <c r="F9" s="266">
        <f>COUNTIF('Alcohol Tests'!G$6:G$506,"Pre-Shift")</f>
        <v/>
      </c>
      <c r="I9" s="93" t="n"/>
      <c r="J9" s="235">
        <f>COUNTIF('Alcohol Tests'!G$6:G$506,"Post-Incident")</f>
        <v/>
      </c>
      <c r="M9" s="93" t="n"/>
      <c r="N9" s="248">
        <f>COUNTIF('Alcohol Tests'!G$6:G$506,"Reasonable Suspicion")</f>
        <v/>
      </c>
      <c r="Q9" s="93" t="n"/>
    </row>
    <row r="10" ht="13.5" customHeight="1" s="15">
      <c r="A10" s="93" t="n"/>
      <c r="B10" s="268" t="n"/>
      <c r="E10" s="93" t="n"/>
      <c r="F10" s="269" t="n"/>
      <c r="I10" s="93" t="n"/>
      <c r="J10" s="263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27" t="inlineStr">
        <is>
          <t>📅  Monthly Trend</t>
        </is>
      </c>
      <c r="I12" s="93" t="n"/>
      <c r="J12" s="327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Negative</t>
        </is>
      </c>
      <c r="P13" s="59">
        <f>COUNTIF('Alcohol Tests'!H$6:H$506,"Negative")</f>
        <v/>
      </c>
      <c r="Q13" s="93" t="n"/>
    </row>
    <row r="14">
      <c r="A14" s="93" t="n"/>
      <c r="B14" s="59">
        <f>COUNTIF('Alcohol Tests'!D$6:D$506,"Jan")</f>
        <v/>
      </c>
      <c r="C14" s="59">
        <f>COUNTIF('Alcohol Tests'!D$6:D$506,"Feb")</f>
        <v/>
      </c>
      <c r="D14" s="59">
        <f>COUNTIF('Alcohol Tests'!D$6:D$506,"Mar")</f>
        <v/>
      </c>
      <c r="E14" s="59">
        <f>COUNTIF('Alcohol Tests'!D$6:D$506,"Apr")</f>
        <v/>
      </c>
      <c r="F14" s="59">
        <f>COUNTIF('Alcohol Tests'!D$6:D$506,"May")</f>
        <v/>
      </c>
      <c r="G14" s="59">
        <f>COUNTIF('Alcohol Tests'!D$6:D$506,"Jun")</f>
        <v/>
      </c>
      <c r="H14" s="59">
        <f>COUNTIF('Alcohol Tests'!D$6:D$506,"Jul")</f>
        <v/>
      </c>
      <c r="I14" s="59">
        <f>COUNTIF('Alcohol Tests'!D$6:D$506,"Aug")</f>
        <v/>
      </c>
      <c r="J14" s="59">
        <f>COUNTIF('Alcohol Tests'!D$6:D$506,"Sep")</f>
        <v/>
      </c>
      <c r="K14" s="59">
        <f>COUNTIF('Alcohol Tests'!D$6:D$506,"Oct")</f>
        <v/>
      </c>
      <c r="L14" s="59">
        <f>COUNTIF('Alcohol Tests'!D$6:D$506,"Nov")</f>
        <v/>
      </c>
      <c r="M14" s="59">
        <f>COUNTIF('Alcohol Tests'!D$6:D$506,"Dec")</f>
        <v/>
      </c>
      <c r="N14" s="94" t="n"/>
      <c r="O14" s="95" t="inlineStr">
        <is>
          <t>Positive</t>
        </is>
      </c>
      <c r="P14" s="59">
        <f>COUNTIF('Alcohol Tests'!H$6:H$506,"Positive")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27" t="inlineStr">
        <is>
          <t>🏢  Department Breakdown</t>
        </is>
      </c>
      <c r="I31" s="93" t="n"/>
      <c r="J31" s="327" t="inlineStr">
        <is>
          <t>🏷️  Test Type Breakdown</t>
        </is>
      </c>
      <c r="Q31" s="93" t="n"/>
    </row>
    <row r="32" ht="56.25" customHeight="1" s="15">
      <c r="A32" s="93" t="n"/>
      <c r="B32" s="170" t="inlineStr">
        <is>
          <t>Department</t>
        </is>
      </c>
      <c r="C32" s="170" t="inlineStr">
        <is>
          <t>Count</t>
        </is>
      </c>
      <c r="D32" s="170" t="inlineStr">
        <is>
          <t>Done</t>
        </is>
      </c>
      <c r="E32" s="170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Pre-Shift</t>
        </is>
      </c>
      <c r="P32" s="59">
        <f>COUNTIF('Alcohol Tests'!G$6:G$506,O32)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COUNTIF('Alcohol Tests'!E$6:E$506,B33)</f>
        <v/>
      </c>
      <c r="D33" s="63">
        <f>COUNTIF('Alcohol Tests'!E$6:E$506,B33)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Random</t>
        </is>
      </c>
      <c r="P33" s="59">
        <f>COUNTIF('Alcohol Tests'!G$6:G$506,O33)</f>
        <v/>
      </c>
      <c r="Q33" s="93" t="n"/>
    </row>
    <row r="34">
      <c r="A34" s="93" t="n"/>
      <c r="B34" s="171" t="inlineStr">
        <is>
          <t>Maintenance</t>
        </is>
      </c>
      <c r="C34" s="172">
        <f>COUNTIF('Alcohol Tests'!E$6:E$506,B34)</f>
        <v/>
      </c>
      <c r="D34" s="172">
        <f>COUNTIF('Alcohol Tests'!E$6:E$506,B34)</f>
        <v/>
      </c>
      <c r="E34" s="173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Post-Incident</t>
        </is>
      </c>
      <c r="P34" s="59">
        <f>COUNTIF('Alcohol Tests'!G$6:G$506,O34)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COUNTIF('Alcohol Tests'!E$6:E$506,B35)</f>
        <v/>
      </c>
      <c r="D35" s="63">
        <f>COUNTIF('Alcohol Tests'!E$6:E$506,B35)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Reasonable Suspicion</t>
        </is>
      </c>
      <c r="P35" s="59">
        <f>COUNTIF('Alcohol Tests'!G$6:G$506,O35)</f>
        <v/>
      </c>
      <c r="Q35" s="93" t="n"/>
    </row>
    <row r="36">
      <c r="A36" s="93" t="n"/>
      <c r="B36" s="171" t="inlineStr">
        <is>
          <t>Construction</t>
        </is>
      </c>
      <c r="C36" s="172">
        <f>COUNTIF('Alcohol Tests'!E$6:E$506,B36)</f>
        <v/>
      </c>
      <c r="D36" s="172">
        <f>COUNTIF('Alcohol Tests'!E$6:E$506,B36)</f>
        <v/>
      </c>
      <c r="E36" s="173">
        <f>IF(C36=0,0,D36/C36)</f>
        <v/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</row>
    <row r="37">
      <c r="A37" s="93" t="n"/>
      <c r="B37" s="97" t="inlineStr">
        <is>
          <t>Safety</t>
        </is>
      </c>
      <c r="C37" s="63">
        <f>COUNTIF('Alcohol Tests'!E$6:E$506,B37)</f>
        <v/>
      </c>
      <c r="D37" s="63">
        <f>COUNTIF('Alcohol Tests'!E$6:E$506,B37)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71" t="inlineStr">
        <is>
          <t>Logistics</t>
        </is>
      </c>
      <c r="C38" s="172">
        <f>COUNTIF('Alcohol Tests'!E$6:E$506,B38)</f>
        <v/>
      </c>
      <c r="D38" s="172">
        <f>COUNTIF('Alcohol Tests'!E$6:E$506,B38)</f>
        <v/>
      </c>
      <c r="E38" s="173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COUNTIF('Alcohol Tests'!E$6:E$506,B39)</f>
        <v/>
      </c>
      <c r="D39" s="63">
        <f>COUNTIF('Alcohol Tests'!E$6:E$506,B39)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71" t="inlineStr">
        <is>
          <t>Admin</t>
        </is>
      </c>
      <c r="C40" s="172">
        <f>COUNTIF('Alcohol Tests'!E$6:E$506,B40)</f>
        <v/>
      </c>
      <c r="D40" s="172">
        <f>COUNTIF('Alcohol Tests'!E$6:E$506,B40)</f>
        <v/>
      </c>
      <c r="E40" s="173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COUNTIF('Alcohol Tests'!E$6:E$506,B41)</f>
        <v/>
      </c>
      <c r="D41" s="63">
        <f>COUNTIF('Alcohol Tests'!E$6:E$506,B41)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71" t="inlineStr">
        <is>
          <t>Contractor</t>
        </is>
      </c>
      <c r="C42" s="172">
        <f>COUNTIF('Alcohol Tests'!E$6:E$506,B42)</f>
        <v/>
      </c>
      <c r="D42" s="172">
        <f>COUNTIF('Alcohol Tests'!E$6:E$506,B42)</f>
        <v/>
      </c>
      <c r="E42" s="173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27" t="inlineStr">
        <is>
          <t>📈  Monthly Performance Matrix</t>
        </is>
      </c>
      <c r="Q45" s="93" t="n"/>
    </row>
    <row r="46" ht="33.75" customHeight="1" s="15">
      <c r="A46" s="93" t="n"/>
      <c r="B46" s="170" t="inlineStr">
        <is>
          <t>Metric</t>
        </is>
      </c>
      <c r="C46" s="170" t="inlineStr">
        <is>
          <t>Jan</t>
        </is>
      </c>
      <c r="D46" s="170" t="inlineStr">
        <is>
          <t>Feb</t>
        </is>
      </c>
      <c r="E46" s="170" t="inlineStr">
        <is>
          <t>Mar</t>
        </is>
      </c>
      <c r="F46" s="170" t="inlineStr">
        <is>
          <t>Apr</t>
        </is>
      </c>
      <c r="G46" s="170" t="inlineStr">
        <is>
          <t>May</t>
        </is>
      </c>
      <c r="H46" s="170" t="inlineStr">
        <is>
          <t>Jun</t>
        </is>
      </c>
      <c r="I46" s="170" t="inlineStr">
        <is>
          <t>Jul</t>
        </is>
      </c>
      <c r="J46" s="170" t="inlineStr">
        <is>
          <t>Aug</t>
        </is>
      </c>
      <c r="K46" s="170" t="inlineStr">
        <is>
          <t>Sep</t>
        </is>
      </c>
      <c r="L46" s="170" t="inlineStr">
        <is>
          <t>Oct</t>
        </is>
      </c>
      <c r="M46" s="170" t="inlineStr">
        <is>
          <t>Nov</t>
        </is>
      </c>
      <c r="N46" s="170" t="inlineStr">
        <is>
          <t>Dec</t>
        </is>
      </c>
      <c r="O46" s="170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COUNTIF('Alcohol Tests'!D$6:D$506,"Jan")</f>
        <v/>
      </c>
      <c r="D47" s="63">
        <f>COUNTIF('Alcohol Tests'!D$6:D$506,"Feb")</f>
        <v/>
      </c>
      <c r="E47" s="63">
        <f>COUNTIF('Alcohol Tests'!D$6:D$506,"Mar")</f>
        <v/>
      </c>
      <c r="F47" s="63">
        <f>COUNTIF('Alcohol Tests'!D$6:D$506,"Apr")</f>
        <v/>
      </c>
      <c r="G47" s="63">
        <f>COUNTIF('Alcohol Tests'!D$6:D$506,"May")</f>
        <v/>
      </c>
      <c r="H47" s="63">
        <f>COUNTIF('Alcohol Tests'!D$6:D$506,"Jun")</f>
        <v/>
      </c>
      <c r="I47" s="63">
        <f>COUNTIF('Alcohol Tests'!D$6:D$506,"Jul")</f>
        <v/>
      </c>
      <c r="J47" s="63">
        <f>COUNTIF('Alcohol Tests'!D$6:D$506,"Aug")</f>
        <v/>
      </c>
      <c r="K47" s="63">
        <f>COUNTIF('Alcohol Tests'!D$6:D$506,"Sep")</f>
        <v/>
      </c>
      <c r="L47" s="63">
        <f>COUNTIF('Alcohol Tests'!D$6:D$506,"Oct")</f>
        <v/>
      </c>
      <c r="M47" s="63">
        <f>COUNTIF('Alcohol Tests'!D$6:D$506,"Nov")</f>
        <v/>
      </c>
      <c r="N47" s="63">
        <f>COUNTIF('Alcohol Tests'!D$6:D$506,"Dec")</f>
        <v/>
      </c>
      <c r="O47" s="174">
        <f>SUM(C47:N47)</f>
        <v/>
      </c>
      <c r="P47" s="93" t="n"/>
      <c r="Q47" s="93" t="n"/>
    </row>
    <row r="48">
      <c r="A48" s="93" t="n"/>
      <c r="B48" s="124" t="inlineStr">
        <is>
          <t>Negative</t>
        </is>
      </c>
      <c r="C48" s="76">
        <f>COUNTIFS('Alcohol Tests'!D$6:D$506,"Jan",'Alcohol Tests'!H$6:H$506,"Negative")</f>
        <v/>
      </c>
      <c r="D48" s="76">
        <f>COUNTIFS('Alcohol Tests'!D$6:D$506,"Feb",'Alcohol Tests'!H$6:H$506,"Negative")</f>
        <v/>
      </c>
      <c r="E48" s="76">
        <f>COUNTIFS('Alcohol Tests'!D$6:D$506,"Mar",'Alcohol Tests'!H$6:H$506,"Negative")</f>
        <v/>
      </c>
      <c r="F48" s="76">
        <f>COUNTIFS('Alcohol Tests'!D$6:D$506,"Apr",'Alcohol Tests'!H$6:H$506,"Negative")</f>
        <v/>
      </c>
      <c r="G48" s="76">
        <f>COUNTIFS('Alcohol Tests'!D$6:D$506,"May",'Alcohol Tests'!H$6:H$506,"Negative")</f>
        <v/>
      </c>
      <c r="H48" s="76">
        <f>COUNTIFS('Alcohol Tests'!D$6:D$506,"Jun",'Alcohol Tests'!H$6:H$506,"Negative")</f>
        <v/>
      </c>
      <c r="I48" s="76">
        <f>COUNTIFS('Alcohol Tests'!D$6:D$506,"Jul",'Alcohol Tests'!H$6:H$506,"Negative")</f>
        <v/>
      </c>
      <c r="J48" s="76">
        <f>COUNTIFS('Alcohol Tests'!D$6:D$506,"Aug",'Alcohol Tests'!H$6:H$506,"Negative")</f>
        <v/>
      </c>
      <c r="K48" s="76">
        <f>COUNTIFS('Alcohol Tests'!D$6:D$506,"Sep",'Alcohol Tests'!H$6:H$506,"Negative")</f>
        <v/>
      </c>
      <c r="L48" s="76">
        <f>COUNTIFS('Alcohol Tests'!D$6:D$506,"Oct",'Alcohol Tests'!H$6:H$506,"Negative")</f>
        <v/>
      </c>
      <c r="M48" s="76">
        <f>COUNTIFS('Alcohol Tests'!D$6:D$506,"Nov",'Alcohol Tests'!H$6:H$506,"Negative")</f>
        <v/>
      </c>
      <c r="N48" s="76">
        <f>COUNTIFS('Alcohol Tests'!D$6:D$506,"Dec",'Alcohol Tests'!H$6:H$506,"Negative")</f>
        <v/>
      </c>
      <c r="O48" s="77">
        <f>SUM(C48:N48)</f>
        <v/>
      </c>
      <c r="P48" s="93" t="n"/>
      <c r="Q48" s="93" t="n"/>
    </row>
    <row r="49">
      <c r="A49" s="93" t="n"/>
      <c r="B49" s="125" t="inlineStr">
        <is>
          <t>Positive</t>
        </is>
      </c>
      <c r="C49" s="126">
        <f>COUNTIFS('Alcohol Tests'!D$6:D$506,"Jan",'Alcohol Tests'!H$6:H$506,"Positive")</f>
        <v/>
      </c>
      <c r="D49" s="126">
        <f>COUNTIFS('Alcohol Tests'!D$6:D$506,"Feb",'Alcohol Tests'!H$6:H$506,"Positive")</f>
        <v/>
      </c>
      <c r="E49" s="126">
        <f>COUNTIFS('Alcohol Tests'!D$6:D$506,"Mar",'Alcohol Tests'!H$6:H$506,"Positive")</f>
        <v/>
      </c>
      <c r="F49" s="126">
        <f>COUNTIFS('Alcohol Tests'!D$6:D$506,"Apr",'Alcohol Tests'!H$6:H$506,"Positive")</f>
        <v/>
      </c>
      <c r="G49" s="126">
        <f>COUNTIFS('Alcohol Tests'!D$6:D$506,"May",'Alcohol Tests'!H$6:H$506,"Positive")</f>
        <v/>
      </c>
      <c r="H49" s="126">
        <f>COUNTIFS('Alcohol Tests'!D$6:D$506,"Jun",'Alcohol Tests'!H$6:H$506,"Positive")</f>
        <v/>
      </c>
      <c r="I49" s="126">
        <f>COUNTIFS('Alcohol Tests'!D$6:D$506,"Jul",'Alcohol Tests'!H$6:H$506,"Positive")</f>
        <v/>
      </c>
      <c r="J49" s="126">
        <f>COUNTIFS('Alcohol Tests'!D$6:D$506,"Aug",'Alcohol Tests'!H$6:H$506,"Positive")</f>
        <v/>
      </c>
      <c r="K49" s="126">
        <f>COUNTIFS('Alcohol Tests'!D$6:D$506,"Sep",'Alcohol Tests'!H$6:H$506,"Positive")</f>
        <v/>
      </c>
      <c r="L49" s="126">
        <f>COUNTIFS('Alcohol Tests'!D$6:D$506,"Oct",'Alcohol Tests'!H$6:H$506,"Positive")</f>
        <v/>
      </c>
      <c r="M49" s="126">
        <f>COUNTIFS('Alcohol Tests'!D$6:D$506,"Nov",'Alcohol Tests'!H$6:H$506,"Positive")</f>
        <v/>
      </c>
      <c r="N49" s="126">
        <f>COUNTIFS('Alcohol Tests'!D$6:D$506,"Dec",'Alcohol Tests'!H$6:H$506,"Positive")</f>
        <v/>
      </c>
      <c r="O49" s="127">
        <f>SUM(C49:N49)</f>
        <v/>
      </c>
      <c r="P49" s="93" t="n"/>
      <c r="Q49" s="93" t="n"/>
    </row>
    <row r="50">
      <c r="A50" s="93" t="n"/>
      <c r="B50" s="93" t="n"/>
      <c r="C50" s="93" t="n"/>
      <c r="D50" s="93" t="n"/>
      <c r="E50" s="93" t="n"/>
      <c r="F50" s="93" t="n"/>
      <c r="G50" s="93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8D6E63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8D6E63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tabColor rgb="FF0D47A1"/>
    <outlinePr summaryBelow="1" summaryRight="1"/>
    <pageSetUpPr/>
  </sheetPr>
  <dimension ref="A1:Q94"/>
  <sheetViews>
    <sheetView showGridLines="0" tabSelected="1" zoomScaleNormal="100" workbookViewId="0">
      <selection activeCell="K42" sqref="K42"/>
    </sheetView>
  </sheetViews>
  <sheetFormatPr baseColWidth="8" defaultColWidth="8.7109375" defaultRowHeight="15"/>
  <cols>
    <col width="2" customWidth="1" style="15" min="1" max="1"/>
    <col width="15.42578125" customWidth="1" style="15" min="2" max="2"/>
    <col width="11" customWidth="1" style="15" min="3" max="4"/>
    <col width="6.28515625" customWidth="1" style="15" min="5" max="5"/>
    <col width="11" customWidth="1" style="15" min="6" max="8"/>
    <col width="4.140625" customWidth="1" style="15" min="9" max="9"/>
    <col width="11" customWidth="1" style="15" min="10" max="12"/>
    <col width="4.28515625" customWidth="1" style="15" min="13" max="13"/>
    <col width="11" customWidth="1" style="15" min="14" max="16"/>
    <col width="2" customWidth="1" style="15" min="17" max="17"/>
  </cols>
  <sheetData>
    <row r="1" ht="51.75" customHeight="1" s="15">
      <c r="A1" s="342" t="inlineStr">
        <is>
          <t>🔎  DASHBOARD – PTW AUDITS</t>
        </is>
      </c>
    </row>
    <row r="2" ht="24" customHeight="1" s="15">
      <c r="A2" s="343" t="inlineStr">
        <is>
          <t>Live data from 'PTW Audits'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344" t="inlineStr">
        <is>
          <t>📋 TOTAL AUDITS</t>
        </is>
      </c>
      <c r="E4" s="93" t="n"/>
      <c r="F4" s="230" t="inlineStr">
        <is>
          <t>✅ COMPLIANT</t>
        </is>
      </c>
      <c r="I4" s="93" t="n"/>
      <c r="J4" s="243" t="inlineStr">
        <is>
          <t>❌ NON-COMPLIANT</t>
        </is>
      </c>
      <c r="M4" s="93" t="n"/>
      <c r="N4" s="231" t="inlineStr">
        <is>
          <t>⚠️ PARTIAL</t>
        </is>
      </c>
      <c r="Q4" s="93" t="n"/>
    </row>
    <row r="5" ht="43.5" customHeight="1" s="15">
      <c r="A5" s="93" t="n"/>
      <c r="B5" s="345">
        <f>COUNTA('PTW Audits'!B$6:B$506)</f>
        <v/>
      </c>
      <c r="E5" s="93" t="n"/>
      <c r="F5" s="234">
        <f>COUNTIF('PTW Audits'!M$6:M$506,"Compliant")</f>
        <v/>
      </c>
      <c r="I5" s="93" t="n"/>
      <c r="J5" s="277">
        <f>COUNTIF('PTW Audits'!M$6:M$506,"Non-Compliant")</f>
        <v/>
      </c>
      <c r="M5" s="93" t="n"/>
      <c r="N5" s="235">
        <f>COUNTIF('PTW Audits'!M$6:M$506,"Partially Compliant")</f>
        <v/>
      </c>
      <c r="Q5" s="93" t="n"/>
    </row>
    <row r="6" ht="13.5" customHeight="1" s="15">
      <c r="A6" s="93" t="n"/>
      <c r="B6" s="346" t="n"/>
      <c r="E6" s="93" t="n"/>
      <c r="F6" s="262" t="n"/>
      <c r="I6" s="93" t="n"/>
      <c r="J6" s="270" t="n"/>
      <c r="M6" s="93" t="n"/>
      <c r="N6" s="263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1" t="inlineStr">
        <is>
          <t>📊 PERMITS REVIEWED</t>
        </is>
      </c>
      <c r="E8" s="93" t="n"/>
      <c r="F8" s="243" t="inlineStr">
        <is>
          <t>⚠️ DEVIATIONS</t>
        </is>
      </c>
      <c r="I8" s="93" t="n"/>
      <c r="J8" s="230" t="inlineStr">
        <is>
          <t>📊 AVG COMPLIANCE</t>
        </is>
      </c>
      <c r="M8" s="93" t="n"/>
      <c r="N8" s="242" t="inlineStr">
        <is>
          <t>📊 COMPLIANCE RATE</t>
        </is>
      </c>
      <c r="Q8" s="93" t="n"/>
    </row>
    <row r="9" ht="43.5" customHeight="1" s="15">
      <c r="A9" s="93" t="n"/>
      <c r="B9" s="265">
        <f>SUM('PTW Audits'!I$6:I$506)</f>
        <v/>
      </c>
      <c r="E9" s="93" t="n"/>
      <c r="F9" s="277">
        <f>SUM('PTW Audits'!J$6:J$506)</f>
        <v/>
      </c>
      <c r="I9" s="93" t="n"/>
      <c r="J9" s="318">
        <f>IFERROR(AVERAGE('PTW Audits'!L$6:L$506),0)</f>
        <v/>
      </c>
      <c r="M9" s="93" t="n"/>
      <c r="N9" s="285">
        <f>IF(COUNTA('PTW Audits'!B$6:B$506)=0,0,COUNTIF('PTW Audits'!M$6:M$506,"Compliant")/COUNTA('PTW Audits'!B$6:B$506))</f>
        <v/>
      </c>
      <c r="Q9" s="93" t="n"/>
    </row>
    <row r="10" ht="13.5" customHeight="1" s="15">
      <c r="A10" s="93" t="n"/>
      <c r="B10" s="268" t="n"/>
      <c r="E10" s="93" t="n"/>
      <c r="F10" s="270" t="n"/>
      <c r="I10" s="93" t="n"/>
      <c r="J10" s="262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347" t="inlineStr">
        <is>
          <t>📅  Monthly Trend</t>
        </is>
      </c>
      <c r="I12" s="93" t="n"/>
      <c r="J12" s="347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Compliant</t>
        </is>
      </c>
      <c r="P13" s="59">
        <f>COUNTIF('PTW Audits'!M$6:M$506,"Compliant")</f>
        <v/>
      </c>
      <c r="Q13" s="93" t="n"/>
    </row>
    <row r="14">
      <c r="A14" s="93" t="n"/>
      <c r="B14" s="59">
        <f>COUNTIF('PTW Audits'!D$6:D$506,"Jan")</f>
        <v/>
      </c>
      <c r="C14" s="59">
        <f>COUNTIF('PTW Audits'!D$6:D$506,"Feb")</f>
        <v/>
      </c>
      <c r="D14" s="59">
        <f>COUNTIF('PTW Audits'!D$6:D$506,"Mar")</f>
        <v/>
      </c>
      <c r="E14" s="59">
        <f>COUNTIF('PTW Audits'!D$6:D$506,"Apr")</f>
        <v/>
      </c>
      <c r="F14" s="59">
        <f>COUNTIF('PTW Audits'!D$6:D$506,"May")</f>
        <v/>
      </c>
      <c r="G14" s="59">
        <f>COUNTIF('PTW Audits'!D$6:D$506,"Jun")</f>
        <v/>
      </c>
      <c r="H14" s="59">
        <f>COUNTIF('PTW Audits'!D$6:D$506,"Jul")</f>
        <v/>
      </c>
      <c r="I14" s="59">
        <f>COUNTIF('PTW Audits'!D$6:D$506,"Aug")</f>
        <v/>
      </c>
      <c r="J14" s="59">
        <f>COUNTIF('PTW Audits'!D$6:D$506,"Sep")</f>
        <v/>
      </c>
      <c r="K14" s="59">
        <f>COUNTIF('PTW Audits'!D$6:D$506,"Oct")</f>
        <v/>
      </c>
      <c r="L14" s="59">
        <f>COUNTIF('PTW Audits'!D$6:D$506,"Nov")</f>
        <v/>
      </c>
      <c r="M14" s="59">
        <f>COUNTIF('PTW Audits'!D$6:D$506,"Dec")</f>
        <v/>
      </c>
      <c r="N14" s="94" t="n"/>
      <c r="O14" s="95" t="inlineStr">
        <is>
          <t>Non-Compliant</t>
        </is>
      </c>
      <c r="P14" s="59">
        <f>COUNTIF('PTW Audits'!M$6:M$506,"Non-Compliant")</f>
        <v/>
      </c>
      <c r="Q14" s="93" t="n"/>
    </row>
    <row r="15">
      <c r="A15" s="93" t="n"/>
      <c r="B15" s="94" t="n"/>
      <c r="C15" s="94" t="n"/>
      <c r="D15" s="94" t="n"/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5" t="inlineStr">
        <is>
          <t>Partially Compliant</t>
        </is>
      </c>
      <c r="P15" s="59">
        <f>COUNTIF('PTW Audits'!M$6:M$506,"Partially Compliant")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347" t="inlineStr">
        <is>
          <t>🏢  Department Breakdown</t>
        </is>
      </c>
      <c r="I31" s="93" t="n"/>
      <c r="J31" s="347" t="inlineStr">
        <is>
          <t>🏷️  Permit Type Audited Breakdown</t>
        </is>
      </c>
      <c r="Q31" s="93" t="n"/>
    </row>
    <row r="32" ht="56.25" customHeight="1" s="15">
      <c r="A32" s="93" t="n"/>
      <c r="B32" s="192" t="inlineStr">
        <is>
          <t>Department</t>
        </is>
      </c>
      <c r="C32" s="192" t="inlineStr">
        <is>
          <t>Count</t>
        </is>
      </c>
      <c r="D32" s="192" t="inlineStr">
        <is>
          <t>Done</t>
        </is>
      </c>
      <c r="E32" s="192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Hot Work</t>
        </is>
      </c>
      <c r="P32" s="59">
        <f>COUNTIF('PTW Audits'!E$6:E$506,O32)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COUNTIF('PTW Audits'!F$6:F$506,B33)</f>
        <v/>
      </c>
      <c r="D33" s="63">
        <f>COUNTIF('PTW Audits'!F$6:F$506,B33)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Confined Space</t>
        </is>
      </c>
      <c r="P33" s="59">
        <f>COUNTIF('PTW Audits'!E$6:E$506,O33)</f>
        <v/>
      </c>
      <c r="Q33" s="93" t="n"/>
    </row>
    <row r="34">
      <c r="A34" s="93" t="n"/>
      <c r="B34" s="193" t="inlineStr">
        <is>
          <t>Maintenance</t>
        </is>
      </c>
      <c r="C34" s="194">
        <f>COUNTIF('PTW Audits'!F$6:F$506,B34)</f>
        <v/>
      </c>
      <c r="D34" s="194">
        <f>COUNTIF('PTW Audits'!F$6:F$506,B34)</f>
        <v/>
      </c>
      <c r="E34" s="195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Working at Height</t>
        </is>
      </c>
      <c r="P34" s="59">
        <f>COUNTIF('PTW Audits'!E$6:E$506,O34)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COUNTIF('PTW Audits'!F$6:F$506,B35)</f>
        <v/>
      </c>
      <c r="D35" s="63">
        <f>COUNTIF('PTW Audits'!F$6:F$506,B35)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Excavation</t>
        </is>
      </c>
      <c r="P35" s="59">
        <f>COUNTIF('PTW Audits'!E$6:E$506,O35)</f>
        <v/>
      </c>
      <c r="Q35" s="93" t="n"/>
    </row>
    <row r="36">
      <c r="A36" s="93" t="n"/>
      <c r="B36" s="193" t="inlineStr">
        <is>
          <t>Construction</t>
        </is>
      </c>
      <c r="C36" s="194">
        <f>COUNTIF('PTW Audits'!F$6:F$506,B36)</f>
        <v/>
      </c>
      <c r="D36" s="194">
        <f>COUNTIF('PTW Audits'!F$6:F$506,B36)</f>
        <v/>
      </c>
      <c r="E36" s="195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Electrical</t>
        </is>
      </c>
      <c r="P36" s="59">
        <f>COUNTIF('PTW Audits'!E$6:E$506,O36)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COUNTIF('PTW Audits'!F$6:F$506,B37)</f>
        <v/>
      </c>
      <c r="D37" s="63">
        <f>COUNTIF('PTW Audits'!F$6:F$506,B37)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Cold Work</t>
        </is>
      </c>
      <c r="P37" s="59">
        <f>COUNTIF('PTW Audits'!E$6:E$506,O37)</f>
        <v/>
      </c>
      <c r="Q37" s="93" t="n"/>
    </row>
    <row r="38">
      <c r="A38" s="93" t="n"/>
      <c r="B38" s="193" t="inlineStr">
        <is>
          <t>Logistics</t>
        </is>
      </c>
      <c r="C38" s="194">
        <f>COUNTIF('PTW Audits'!F$6:F$506,B38)</f>
        <v/>
      </c>
      <c r="D38" s="194">
        <f>COUNTIF('PTW Audits'!F$6:F$506,B38)</f>
        <v/>
      </c>
      <c r="E38" s="195">
        <f>IF(C38=0,0,D38/C38)</f>
        <v/>
      </c>
      <c r="F38" s="93" t="n"/>
      <c r="G38" s="93" t="n"/>
      <c r="H38" s="93" t="n"/>
      <c r="I38" s="93" t="n"/>
      <c r="J38" s="94" t="n"/>
      <c r="K38" s="94" t="n"/>
      <c r="L38" s="94" t="n"/>
      <c r="M38" s="94" t="n"/>
      <c r="N38" s="94" t="n"/>
      <c r="O38" s="95" t="inlineStr">
        <is>
          <t>Lifting</t>
        </is>
      </c>
      <c r="P38" s="59">
        <f>COUNTIF('PTW Audits'!E$6:E$506,O38)</f>
        <v/>
      </c>
      <c r="Q38" s="93" t="n"/>
    </row>
    <row r="39">
      <c r="A39" s="93" t="n"/>
      <c r="B39" s="97" t="inlineStr">
        <is>
          <t>Quality</t>
        </is>
      </c>
      <c r="C39" s="63">
        <f>COUNTIF('PTW Audits'!F$6:F$506,B39)</f>
        <v/>
      </c>
      <c r="D39" s="63">
        <f>COUNTIF('PTW Audits'!F$6:F$506,B39)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93" t="inlineStr">
        <is>
          <t>Admin</t>
        </is>
      </c>
      <c r="C40" s="194">
        <f>COUNTIF('PTW Audits'!F$6:F$506,B40)</f>
        <v/>
      </c>
      <c r="D40" s="194">
        <f>COUNTIF('PTW Audits'!F$6:F$506,B40)</f>
        <v/>
      </c>
      <c r="E40" s="195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COUNTIF('PTW Audits'!F$6:F$506,B41)</f>
        <v/>
      </c>
      <c r="D41" s="63">
        <f>COUNTIF('PTW Audits'!F$6:F$506,B41)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93" t="inlineStr">
        <is>
          <t>Contractor</t>
        </is>
      </c>
      <c r="C42" s="194">
        <f>COUNTIF('PTW Audits'!F$6:F$506,B42)</f>
        <v/>
      </c>
      <c r="D42" s="194">
        <f>COUNTIF('PTW Audits'!F$6:F$506,B42)</f>
        <v/>
      </c>
      <c r="E42" s="195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347" t="inlineStr">
        <is>
          <t>📈  Monthly Performance Matrix</t>
        </is>
      </c>
      <c r="Q45" s="93" t="n"/>
    </row>
    <row r="46" ht="33.75" customHeight="1" s="15">
      <c r="A46" s="93" t="n"/>
      <c r="B46" s="192" t="inlineStr">
        <is>
          <t>Metric</t>
        </is>
      </c>
      <c r="C46" s="192" t="inlineStr">
        <is>
          <t>Jan</t>
        </is>
      </c>
      <c r="D46" s="192" t="inlineStr">
        <is>
          <t>Feb</t>
        </is>
      </c>
      <c r="E46" s="192" t="inlineStr">
        <is>
          <t>Mar</t>
        </is>
      </c>
      <c r="F46" s="192" t="inlineStr">
        <is>
          <t>Apr</t>
        </is>
      </c>
      <c r="G46" s="192" t="inlineStr">
        <is>
          <t>May</t>
        </is>
      </c>
      <c r="H46" s="192" t="inlineStr">
        <is>
          <t>Jun</t>
        </is>
      </c>
      <c r="I46" s="192" t="inlineStr">
        <is>
          <t>Jul</t>
        </is>
      </c>
      <c r="J46" s="192" t="inlineStr">
        <is>
          <t>Aug</t>
        </is>
      </c>
      <c r="K46" s="192" t="inlineStr">
        <is>
          <t>Sep</t>
        </is>
      </c>
      <c r="L46" s="192" t="inlineStr">
        <is>
          <t>Oct</t>
        </is>
      </c>
      <c r="M46" s="192" t="inlineStr">
        <is>
          <t>Nov</t>
        </is>
      </c>
      <c r="N46" s="192" t="inlineStr">
        <is>
          <t>Dec</t>
        </is>
      </c>
      <c r="O46" s="192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COUNTIF('PTW Audits'!D$6:D$506,"Jan")</f>
        <v/>
      </c>
      <c r="D47" s="63">
        <f>COUNTIF('PTW Audits'!D$6:D$506,"Feb")</f>
        <v/>
      </c>
      <c r="E47" s="63">
        <f>COUNTIF('PTW Audits'!D$6:D$506,"Mar")</f>
        <v/>
      </c>
      <c r="F47" s="63">
        <f>COUNTIF('PTW Audits'!D$6:D$506,"Apr")</f>
        <v/>
      </c>
      <c r="G47" s="63">
        <f>COUNTIF('PTW Audits'!D$6:D$506,"May")</f>
        <v/>
      </c>
      <c r="H47" s="63">
        <f>COUNTIF('PTW Audits'!D$6:D$506,"Jun")</f>
        <v/>
      </c>
      <c r="I47" s="63">
        <f>COUNTIF('PTW Audits'!D$6:D$506,"Jul")</f>
        <v/>
      </c>
      <c r="J47" s="63">
        <f>COUNTIF('PTW Audits'!D$6:D$506,"Aug")</f>
        <v/>
      </c>
      <c r="K47" s="63">
        <f>COUNTIF('PTW Audits'!D$6:D$506,"Sep")</f>
        <v/>
      </c>
      <c r="L47" s="63">
        <f>COUNTIF('PTW Audits'!D$6:D$506,"Oct")</f>
        <v/>
      </c>
      <c r="M47" s="63">
        <f>COUNTIF('PTW Audits'!D$6:D$506,"Nov")</f>
        <v/>
      </c>
      <c r="N47" s="63">
        <f>COUNTIF('PTW Audits'!D$6:D$506,"Dec")</f>
        <v/>
      </c>
      <c r="O47" s="196">
        <f>SUM(C47:N47)</f>
        <v/>
      </c>
      <c r="P47" s="93" t="n"/>
      <c r="Q47" s="93" t="n"/>
    </row>
    <row r="48">
      <c r="A48" s="93" t="n"/>
      <c r="B48" s="124" t="inlineStr">
        <is>
          <t>Compliant</t>
        </is>
      </c>
      <c r="C48" s="76">
        <f>COUNTIFS('PTW Audits'!D$6:D$506,"Jan",'PTW Audits'!M$6:M$506,"Compliant")</f>
        <v/>
      </c>
      <c r="D48" s="76">
        <f>COUNTIFS('PTW Audits'!D$6:D$506,"Feb",'PTW Audits'!M$6:M$506,"Compliant")</f>
        <v/>
      </c>
      <c r="E48" s="76">
        <f>COUNTIFS('PTW Audits'!D$6:D$506,"Mar",'PTW Audits'!M$6:M$506,"Compliant")</f>
        <v/>
      </c>
      <c r="F48" s="76">
        <f>COUNTIFS('PTW Audits'!D$6:D$506,"Apr",'PTW Audits'!M$6:M$506,"Compliant")</f>
        <v/>
      </c>
      <c r="G48" s="76">
        <f>COUNTIFS('PTW Audits'!D$6:D$506,"May",'PTW Audits'!M$6:M$506,"Compliant")</f>
        <v/>
      </c>
      <c r="H48" s="76">
        <f>COUNTIFS('PTW Audits'!D$6:D$506,"Jun",'PTW Audits'!M$6:M$506,"Compliant")</f>
        <v/>
      </c>
      <c r="I48" s="76">
        <f>COUNTIFS('PTW Audits'!D$6:D$506,"Jul",'PTW Audits'!M$6:M$506,"Compliant")</f>
        <v/>
      </c>
      <c r="J48" s="76">
        <f>COUNTIFS('PTW Audits'!D$6:D$506,"Aug",'PTW Audits'!M$6:M$506,"Compliant")</f>
        <v/>
      </c>
      <c r="K48" s="76">
        <f>COUNTIFS('PTW Audits'!D$6:D$506,"Sep",'PTW Audits'!M$6:M$506,"Compliant")</f>
        <v/>
      </c>
      <c r="L48" s="76">
        <f>COUNTIFS('PTW Audits'!D$6:D$506,"Oct",'PTW Audits'!M$6:M$506,"Compliant")</f>
        <v/>
      </c>
      <c r="M48" s="76">
        <f>COUNTIFS('PTW Audits'!D$6:D$506,"Nov",'PTW Audits'!M$6:M$506,"Compliant")</f>
        <v/>
      </c>
      <c r="N48" s="76">
        <f>COUNTIFS('PTW Audits'!D$6:D$506,"Dec",'PTW Audits'!M$6:M$506,"Compliant")</f>
        <v/>
      </c>
      <c r="O48" s="77">
        <f>SUM(C48:N48)</f>
        <v/>
      </c>
      <c r="P48" s="93" t="n"/>
      <c r="Q48" s="93" t="n"/>
    </row>
    <row r="49">
      <c r="A49" s="93" t="n"/>
      <c r="B49" s="125" t="inlineStr">
        <is>
          <t>Non-Compliant</t>
        </is>
      </c>
      <c r="C49" s="126">
        <f>COUNTIFS('PTW Audits'!D$6:D$506,"Jan",'PTW Audits'!M$6:M$506,"Non-Compliant")</f>
        <v/>
      </c>
      <c r="D49" s="126">
        <f>COUNTIFS('PTW Audits'!D$6:D$506,"Feb",'PTW Audits'!M$6:M$506,"Non-Compliant")</f>
        <v/>
      </c>
      <c r="E49" s="126">
        <f>COUNTIFS('PTW Audits'!D$6:D$506,"Mar",'PTW Audits'!M$6:M$506,"Non-Compliant")</f>
        <v/>
      </c>
      <c r="F49" s="126">
        <f>COUNTIFS('PTW Audits'!D$6:D$506,"Apr",'PTW Audits'!M$6:M$506,"Non-Compliant")</f>
        <v/>
      </c>
      <c r="G49" s="126">
        <f>COUNTIFS('PTW Audits'!D$6:D$506,"May",'PTW Audits'!M$6:M$506,"Non-Compliant")</f>
        <v/>
      </c>
      <c r="H49" s="126">
        <f>COUNTIFS('PTW Audits'!D$6:D$506,"Jun",'PTW Audits'!M$6:M$506,"Non-Compliant")</f>
        <v/>
      </c>
      <c r="I49" s="126">
        <f>COUNTIFS('PTW Audits'!D$6:D$506,"Jul",'PTW Audits'!M$6:M$506,"Non-Compliant")</f>
        <v/>
      </c>
      <c r="J49" s="126">
        <f>COUNTIFS('PTW Audits'!D$6:D$506,"Aug",'PTW Audits'!M$6:M$506,"Non-Compliant")</f>
        <v/>
      </c>
      <c r="K49" s="126">
        <f>COUNTIFS('PTW Audits'!D$6:D$506,"Sep",'PTW Audits'!M$6:M$506,"Non-Compliant")</f>
        <v/>
      </c>
      <c r="L49" s="126">
        <f>COUNTIFS('PTW Audits'!D$6:D$506,"Oct",'PTW Audits'!M$6:M$506,"Non-Compliant")</f>
        <v/>
      </c>
      <c r="M49" s="126">
        <f>COUNTIFS('PTW Audits'!D$6:D$506,"Nov",'PTW Audits'!M$6:M$506,"Non-Compliant")</f>
        <v/>
      </c>
      <c r="N49" s="126">
        <f>COUNTIFS('PTW Audits'!D$6:D$506,"Dec",'PTW Audits'!M$6:M$506,"Non-Compliant")</f>
        <v/>
      </c>
      <c r="O49" s="127">
        <f>SUM(C49:N49)</f>
        <v/>
      </c>
      <c r="P49" s="93" t="n"/>
      <c r="Q49" s="93" t="n"/>
    </row>
    <row r="50">
      <c r="A50" s="93" t="n"/>
      <c r="B50" s="113" t="inlineStr">
        <is>
          <t>Partially Compliant</t>
        </is>
      </c>
      <c r="C50" s="114">
        <f>COUNTIFS('PTW Audits'!D$6:D$506,"Jan",'PTW Audits'!M$6:M$506,"Partially Compliant")</f>
        <v/>
      </c>
      <c r="D50" s="114">
        <f>COUNTIFS('PTW Audits'!D$6:D$506,"Feb",'PTW Audits'!M$6:M$506,"Partially Compliant")</f>
        <v/>
      </c>
      <c r="E50" s="114">
        <f>COUNTIFS('PTW Audits'!D$6:D$506,"Mar",'PTW Audits'!M$6:M$506,"Partially Compliant")</f>
        <v/>
      </c>
      <c r="F50" s="114">
        <f>COUNTIFS('PTW Audits'!D$6:D$506,"Apr",'PTW Audits'!M$6:M$506,"Partially Compliant")</f>
        <v/>
      </c>
      <c r="G50" s="114">
        <f>COUNTIFS('PTW Audits'!D$6:D$506,"May",'PTW Audits'!M$6:M$506,"Partially Compliant")</f>
        <v/>
      </c>
      <c r="H50" s="114">
        <f>COUNTIFS('PTW Audits'!D$6:D$506,"Jun",'PTW Audits'!M$6:M$506,"Partially Compliant")</f>
        <v/>
      </c>
      <c r="I50" s="114">
        <f>COUNTIFS('PTW Audits'!D$6:D$506,"Jul",'PTW Audits'!M$6:M$506,"Partially Compliant")</f>
        <v/>
      </c>
      <c r="J50" s="114">
        <f>COUNTIFS('PTW Audits'!D$6:D$506,"Aug",'PTW Audits'!M$6:M$506,"Partially Compliant")</f>
        <v/>
      </c>
      <c r="K50" s="114">
        <f>COUNTIFS('PTW Audits'!D$6:D$506,"Sep",'PTW Audits'!M$6:M$506,"Partially Compliant")</f>
        <v/>
      </c>
      <c r="L50" s="114">
        <f>COUNTIFS('PTW Audits'!D$6:D$506,"Oct",'PTW Audits'!M$6:M$506,"Partially Compliant")</f>
        <v/>
      </c>
      <c r="M50" s="114">
        <f>COUNTIFS('PTW Audits'!D$6:D$506,"Nov",'PTW Audits'!M$6:M$506,"Partially Compliant")</f>
        <v/>
      </c>
      <c r="N50" s="114">
        <f>COUNTIFS('PTW Audits'!D$6:D$506,"Dec",'PTW Audits'!M$6:M$506,"Partially Compliant")</f>
        <v/>
      </c>
      <c r="O50" s="115">
        <f>SUM(C50:N50)</f>
        <v/>
      </c>
      <c r="P50" s="93" t="n"/>
      <c r="Q50" s="93" t="n"/>
    </row>
    <row r="51">
      <c r="A51" s="93" t="n"/>
      <c r="B51" s="93" t="n"/>
      <c r="C51" s="93" t="n"/>
      <c r="D51" s="93" t="n"/>
      <c r="E51" s="93" t="n"/>
      <c r="F51" s="93" t="n"/>
      <c r="G51" s="93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</row>
    <row r="52">
      <c r="A52" s="93" t="n"/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42A5F5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42A5F5"/>
      </dataBar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tabColor rgb="FFE65100"/>
    <outlinePr summaryBelow="1" summaryRight="1"/>
    <pageSetUpPr/>
  </sheetPr>
  <dimension ref="A1:Q94"/>
  <sheetViews>
    <sheetView showGridLines="0" topLeftCell="A15" zoomScaleNormal="100" workbookViewId="0">
      <selection activeCell="A1" sqref="A1:Q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0" t="inlineStr">
        <is>
          <t>🔧  DASHBOARD – CORRECTIVE ACTIONS</t>
        </is>
      </c>
    </row>
    <row r="2" ht="24" customHeight="1" s="15">
      <c r="A2" s="281" t="inlineStr">
        <is>
          <t>Live data from 'Corrective Actions'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2" t="inlineStr">
        <is>
          <t>📋 TOTAL CAs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43" t="inlineStr">
        <is>
          <t>❌ OVERDUE</t>
        </is>
      </c>
      <c r="Q4" s="93" t="n"/>
    </row>
    <row r="5" ht="43.5" customHeight="1" s="15">
      <c r="A5" s="93" t="n"/>
      <c r="B5" s="283">
        <f>COUNTA('Corrective Actions'!B$6:B$506)</f>
        <v/>
      </c>
      <c r="E5" s="93" t="n"/>
      <c r="F5" s="234">
        <f>COUNTIF('Corrective Actions'!N$6:N$506,"Completed")</f>
        <v/>
      </c>
      <c r="I5" s="93" t="n"/>
      <c r="J5" s="235">
        <f>COUNTIF('Corrective Actions'!N$6:N$506,"In Progress")</f>
        <v/>
      </c>
      <c r="M5" s="93" t="n"/>
      <c r="N5" s="277">
        <f>COUNTIF('Corrective Actions'!N$6:N$506,"Overdue")</f>
        <v/>
      </c>
      <c r="Q5" s="93" t="n"/>
    </row>
    <row r="6" ht="13.5" customHeight="1" s="15">
      <c r="A6" s="93" t="n"/>
      <c r="B6" s="284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2" t="inlineStr">
        <is>
          <t>📊 COMP %</t>
        </is>
      </c>
      <c r="E8" s="93" t="n"/>
      <c r="F8" s="243" t="inlineStr">
        <is>
          <t>🔴 HIGH PRIORITY</t>
        </is>
      </c>
      <c r="I8" s="93" t="n"/>
      <c r="J8" s="231" t="inlineStr">
        <is>
          <t>🟡 MEDIUM</t>
        </is>
      </c>
      <c r="M8" s="93" t="n"/>
      <c r="N8" s="230" t="inlineStr">
        <is>
          <t>🟢 LOW</t>
        </is>
      </c>
      <c r="Q8" s="93" t="n"/>
    </row>
    <row r="9" ht="43.5" customHeight="1" s="15">
      <c r="A9" s="93" t="n"/>
      <c r="B9" s="285">
        <f>IF(COUNTA('Corrective Actions'!B$6:B$506)=0,0,COUNTIF('Corrective Actions'!N$6:N$506,"Completed")/COUNTA('Corrective Actions'!B$6:B$506))</f>
        <v/>
      </c>
      <c r="E9" s="93" t="n"/>
      <c r="F9" s="277">
        <f>COUNTIF('Corrective Actions'!I$6:I$506,"High")</f>
        <v/>
      </c>
      <c r="I9" s="93" t="n"/>
      <c r="J9" s="235">
        <f>COUNTIF('Corrective Actions'!I$6:I$506,"Medium")</f>
        <v/>
      </c>
      <c r="M9" s="93" t="n"/>
      <c r="N9" s="234">
        <f>COUNTIF('Corrective Actions'!I$6:I$506,"Low")</f>
        <v/>
      </c>
      <c r="Q9" s="93" t="n"/>
    </row>
    <row r="10" ht="13.5" customHeight="1" s="15">
      <c r="A10" s="93" t="n"/>
      <c r="B10" s="269" t="n"/>
      <c r="E10" s="93" t="n"/>
      <c r="F10" s="270" t="n"/>
      <c r="I10" s="93" t="n"/>
      <c r="J10" s="263" t="n"/>
      <c r="M10" s="93" t="n"/>
      <c r="N10" s="262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86" t="inlineStr">
        <is>
          <t>📅  Monthly Trend</t>
        </is>
      </c>
      <c r="I12" s="93" t="n"/>
      <c r="J12" s="286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COUNTIF('Corrective Actions'!N$6:N$506,"Completed")</f>
        <v/>
      </c>
      <c r="Q13" s="93" t="n"/>
    </row>
    <row r="14">
      <c r="A14" s="93" t="n"/>
      <c r="B14" s="59">
        <f>COUNTIF('Corrective Actions'!D$6:D$506,"Jan")</f>
        <v/>
      </c>
      <c r="C14" s="59">
        <f>COUNTIF('Corrective Actions'!D$6:D$506,"Feb")</f>
        <v/>
      </c>
      <c r="D14" s="59">
        <f>COUNTIF('Corrective Actions'!D$6:D$506,"Mar")</f>
        <v/>
      </c>
      <c r="E14" s="59">
        <f>COUNTIF('Corrective Actions'!D$6:D$506,"Apr")</f>
        <v/>
      </c>
      <c r="F14" s="59">
        <f>COUNTIF('Corrective Actions'!D$6:D$506,"May")</f>
        <v/>
      </c>
      <c r="G14" s="59">
        <f>COUNTIF('Corrective Actions'!D$6:D$506,"Jun")</f>
        <v/>
      </c>
      <c r="H14" s="59">
        <f>COUNTIF('Corrective Actions'!D$6:D$506,"Jul")</f>
        <v/>
      </c>
      <c r="I14" s="59">
        <f>COUNTIF('Corrective Actions'!D$6:D$506,"Aug")</f>
        <v/>
      </c>
      <c r="J14" s="59">
        <f>COUNTIF('Corrective Actions'!D$6:D$506,"Sep")</f>
        <v/>
      </c>
      <c r="K14" s="59">
        <f>COUNTIF('Corrective Actions'!D$6:D$506,"Oct")</f>
        <v/>
      </c>
      <c r="L14" s="59">
        <f>COUNTIF('Corrective Actions'!D$6:D$506,"Nov")</f>
        <v/>
      </c>
      <c r="M14" s="59">
        <f>COUNTIF('Corrective Actions'!D$6:D$506,"Dec")</f>
        <v/>
      </c>
      <c r="N14" s="94" t="n"/>
      <c r="O14" s="95" t="inlineStr">
        <is>
          <t>In Progress</t>
        </is>
      </c>
      <c r="P14" s="59">
        <f>COUNTIF('Corrective Actions'!N$6:N$506,"In Progress")</f>
        <v/>
      </c>
      <c r="Q14" s="93" t="n"/>
    </row>
    <row r="15">
      <c r="A15" s="93" t="n"/>
      <c r="B15" s="60">
        <f>COUNTIFS('Corrective Actions'!D$6:D$506,"Jan",'Corrective Actions'!N$6:N$506,"Completed")</f>
        <v/>
      </c>
      <c r="C15" s="60">
        <f>COUNTIFS('Corrective Actions'!D$6:D$506,"Feb",'Corrective Actions'!N$6:N$506,"Completed")</f>
        <v/>
      </c>
      <c r="D15" s="60">
        <f>COUNTIFS('Corrective Actions'!D$6:D$506,"Mar",'Corrective Actions'!N$6:N$506,"Completed")</f>
        <v/>
      </c>
      <c r="E15" s="60">
        <f>COUNTIFS('Corrective Actions'!D$6:D$506,"Apr",'Corrective Actions'!N$6:N$506,"Completed")</f>
        <v/>
      </c>
      <c r="F15" s="60">
        <f>COUNTIFS('Corrective Actions'!D$6:D$506,"May",'Corrective Actions'!N$6:N$506,"Completed")</f>
        <v/>
      </c>
      <c r="G15" s="60">
        <f>COUNTIFS('Corrective Actions'!D$6:D$506,"Jun",'Corrective Actions'!N$6:N$506,"Completed")</f>
        <v/>
      </c>
      <c r="H15" s="60">
        <f>COUNTIFS('Corrective Actions'!D$6:D$506,"Jul",'Corrective Actions'!N$6:N$506,"Completed")</f>
        <v/>
      </c>
      <c r="I15" s="60">
        <f>COUNTIFS('Corrective Actions'!D$6:D$506,"Aug",'Corrective Actions'!N$6:N$506,"Completed")</f>
        <v/>
      </c>
      <c r="J15" s="60">
        <f>COUNTIFS('Corrective Actions'!D$6:D$506,"Sep",'Corrective Actions'!N$6:N$506,"Completed")</f>
        <v/>
      </c>
      <c r="K15" s="60">
        <f>COUNTIFS('Corrective Actions'!D$6:D$506,"Oct",'Corrective Actions'!N$6:N$506,"Completed")</f>
        <v/>
      </c>
      <c r="L15" s="60">
        <f>COUNTIFS('Corrective Actions'!D$6:D$506,"Nov",'Corrective Actions'!N$6:N$506,"Completed")</f>
        <v/>
      </c>
      <c r="M15" s="60">
        <f>COUNTIFS('Corrective Actions'!D$6:D$506,"Dec",'Corrective Actions'!N$6:N$506,"Completed")</f>
        <v/>
      </c>
      <c r="N15" s="94" t="n"/>
      <c r="O15" s="95" t="inlineStr">
        <is>
          <t>Overdue</t>
        </is>
      </c>
      <c r="P15" s="59">
        <f>COUNTIF('Corrective Actions'!N$6:N$506,"Overdue")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COUNTIF('Corrective Actions'!N$6:N$506,"Pending")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5" t="inlineStr">
        <is>
          <t>Cancelled</t>
        </is>
      </c>
      <c r="P17" s="59">
        <f>COUNTIF('Corrective Actions'!N$6:N$506,"Cancelled")</f>
        <v/>
      </c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86" t="inlineStr">
        <is>
          <t>🏢  Department Breakdown</t>
        </is>
      </c>
      <c r="I31" s="93" t="n"/>
      <c r="J31" s="286" t="inlineStr">
        <is>
          <t>🏷️  Source Breakdown</t>
        </is>
      </c>
      <c r="Q31" s="93" t="n"/>
    </row>
    <row r="32" ht="56.25" customHeight="1" s="15">
      <c r="A32" s="93" t="n"/>
      <c r="B32" s="119" t="inlineStr">
        <is>
          <t>Department</t>
        </is>
      </c>
      <c r="C32" s="119" t="inlineStr">
        <is>
          <t>Count</t>
        </is>
      </c>
      <c r="D32" s="119" t="inlineStr">
        <is>
          <t>Completed</t>
        </is>
      </c>
      <c r="E32" s="119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Audit Finding</t>
        </is>
      </c>
      <c r="P32" s="59">
        <f>COUNTIF('Corrective Actions'!E$6:E$506,O32)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COUNTIF('Corrective Actions'!F$6:F$506,B33)</f>
        <v/>
      </c>
      <c r="D33" s="63">
        <f>COUNTIFS('Corrective Actions'!F$6:F$506,B33,'Corrective Actions'!N$6:N$506,"Completed")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Inspection Finding</t>
        </is>
      </c>
      <c r="P33" s="59">
        <f>COUNTIF('Corrective Actions'!E$6:E$506,O33)</f>
        <v/>
      </c>
      <c r="Q33" s="93" t="n"/>
    </row>
    <row r="34">
      <c r="A34" s="93" t="n"/>
      <c r="B34" s="120" t="inlineStr">
        <is>
          <t>Maintenance</t>
        </is>
      </c>
      <c r="C34" s="121">
        <f>COUNTIF('Corrective Actions'!F$6:F$506,B34)</f>
        <v/>
      </c>
      <c r="D34" s="121">
        <f>COUNTIFS('Corrective Actions'!F$6:F$506,B34,'Corrective Actions'!N$6:N$506,"Completed")</f>
        <v/>
      </c>
      <c r="E34" s="122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Incident Follow-up</t>
        </is>
      </c>
      <c r="P34" s="59">
        <f>COUNTIF('Corrective Actions'!E$6:E$506,O34)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COUNTIF('Corrective Actions'!F$6:F$506,B35)</f>
        <v/>
      </c>
      <c r="D35" s="63">
        <f>COUNTIFS('Corrective Actions'!F$6:F$506,B35,'Corrective Actions'!N$6:N$506,"Completed")</f>
        <v/>
      </c>
      <c r="E35" s="64">
        <f>IF(C35=0,0,D35/C35)</f>
        <v/>
      </c>
      <c r="F35" s="93" t="n"/>
      <c r="G35" s="93" t="n"/>
      <c r="H35" s="93" t="n"/>
      <c r="I35" s="93" t="n"/>
      <c r="J35" s="94" t="n"/>
      <c r="K35" s="94" t="n"/>
      <c r="L35" s="94" t="n"/>
      <c r="M35" s="94" t="n"/>
      <c r="N35" s="94" t="n"/>
      <c r="O35" s="95" t="inlineStr">
        <is>
          <t>Observation Follow-up</t>
        </is>
      </c>
      <c r="P35" s="59">
        <f>COUNTIF('Corrective Actions'!E$6:E$506,O35)</f>
        <v/>
      </c>
      <c r="Q35" s="93" t="n"/>
    </row>
    <row r="36">
      <c r="A36" s="93" t="n"/>
      <c r="B36" s="120" t="inlineStr">
        <is>
          <t>Construction</t>
        </is>
      </c>
      <c r="C36" s="121">
        <f>COUNTIF('Corrective Actions'!F$6:F$506,B36)</f>
        <v/>
      </c>
      <c r="D36" s="121">
        <f>COUNTIFS('Corrective Actions'!F$6:F$506,B36,'Corrective Actions'!N$6:N$506,"Completed")</f>
        <v/>
      </c>
      <c r="E36" s="122">
        <f>IF(C36=0,0,D36/C36)</f>
        <v/>
      </c>
      <c r="F36" s="93" t="n"/>
      <c r="G36" s="93" t="n"/>
      <c r="H36" s="93" t="n"/>
      <c r="I36" s="93" t="n"/>
      <c r="J36" s="94" t="n"/>
      <c r="K36" s="94" t="n"/>
      <c r="L36" s="94" t="n"/>
      <c r="M36" s="94" t="n"/>
      <c r="N36" s="94" t="n"/>
      <c r="O36" s="95" t="inlineStr">
        <is>
          <t>Management Review</t>
        </is>
      </c>
      <c r="P36" s="59">
        <f>COUNTIF('Corrective Actions'!E$6:E$506,O36)</f>
        <v/>
      </c>
      <c r="Q36" s="93" t="n"/>
    </row>
    <row r="37">
      <c r="A37" s="93" t="n"/>
      <c r="B37" s="97" t="inlineStr">
        <is>
          <t>Safety</t>
        </is>
      </c>
      <c r="C37" s="63">
        <f>COUNTIF('Corrective Actions'!F$6:F$506,B37)</f>
        <v/>
      </c>
      <c r="D37" s="63">
        <f>COUNTIFS('Corrective Actions'!F$6:F$506,B37,'Corrective Actions'!N$6:N$506,"Completed")</f>
        <v/>
      </c>
      <c r="E37" s="64">
        <f>IF(C37=0,0,D37/C37)</f>
        <v/>
      </c>
      <c r="F37" s="93" t="n"/>
      <c r="G37" s="93" t="n"/>
      <c r="H37" s="93" t="n"/>
      <c r="I37" s="93" t="n"/>
      <c r="J37" s="94" t="n"/>
      <c r="K37" s="94" t="n"/>
      <c r="L37" s="94" t="n"/>
      <c r="M37" s="94" t="n"/>
      <c r="N37" s="94" t="n"/>
      <c r="O37" s="95" t="inlineStr">
        <is>
          <t>Drill Finding</t>
        </is>
      </c>
      <c r="P37" s="59">
        <f>COUNTIF('Corrective Actions'!E$6:E$506,O37)</f>
        <v/>
      </c>
      <c r="Q37" s="93" t="n"/>
    </row>
    <row r="38">
      <c r="A38" s="93" t="n"/>
      <c r="B38" s="120" t="inlineStr">
        <is>
          <t>Logistics</t>
        </is>
      </c>
      <c r="C38" s="121">
        <f>COUNTIF('Corrective Actions'!F$6:F$506,B38)</f>
        <v/>
      </c>
      <c r="D38" s="121">
        <f>COUNTIFS('Corrective Actions'!F$6:F$506,B38,'Corrective Actions'!N$6:N$506,"Completed")</f>
        <v/>
      </c>
      <c r="E38" s="122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COUNTIF('Corrective Actions'!F$6:F$506,B39)</f>
        <v/>
      </c>
      <c r="D39" s="63">
        <f>COUNTIFS('Corrective Actions'!F$6:F$506,B39,'Corrective Actions'!N$6:N$506,"Completed")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20" t="inlineStr">
        <is>
          <t>Admin</t>
        </is>
      </c>
      <c r="C40" s="121">
        <f>COUNTIF('Corrective Actions'!F$6:F$506,B40)</f>
        <v/>
      </c>
      <c r="D40" s="121">
        <f>COUNTIFS('Corrective Actions'!F$6:F$506,B40,'Corrective Actions'!N$6:N$506,"Completed")</f>
        <v/>
      </c>
      <c r="E40" s="122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COUNTIF('Corrective Actions'!F$6:F$506,B41)</f>
        <v/>
      </c>
      <c r="D41" s="63">
        <f>COUNTIFS('Corrective Actions'!F$6:F$506,B41,'Corrective Actions'!N$6:N$506,"Completed")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20" t="inlineStr">
        <is>
          <t>Contractor</t>
        </is>
      </c>
      <c r="C42" s="121">
        <f>COUNTIF('Corrective Actions'!F$6:F$506,B42)</f>
        <v/>
      </c>
      <c r="D42" s="121">
        <f>COUNTIFS('Corrective Actions'!F$6:F$506,B42,'Corrective Actions'!N$6:N$506,"Completed")</f>
        <v/>
      </c>
      <c r="E42" s="122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86" t="inlineStr">
        <is>
          <t>📈  Monthly Performance Matrix</t>
        </is>
      </c>
      <c r="Q45" s="93" t="n"/>
    </row>
    <row r="46" ht="33.75" customHeight="1" s="15">
      <c r="A46" s="93" t="n"/>
      <c r="B46" s="119" t="inlineStr">
        <is>
          <t>Metric</t>
        </is>
      </c>
      <c r="C46" s="119" t="inlineStr">
        <is>
          <t>Jan</t>
        </is>
      </c>
      <c r="D46" s="119" t="inlineStr">
        <is>
          <t>Feb</t>
        </is>
      </c>
      <c r="E46" s="119" t="inlineStr">
        <is>
          <t>Mar</t>
        </is>
      </c>
      <c r="F46" s="119" t="inlineStr">
        <is>
          <t>Apr</t>
        </is>
      </c>
      <c r="G46" s="119" t="inlineStr">
        <is>
          <t>May</t>
        </is>
      </c>
      <c r="H46" s="119" t="inlineStr">
        <is>
          <t>Jun</t>
        </is>
      </c>
      <c r="I46" s="119" t="inlineStr">
        <is>
          <t>Jul</t>
        </is>
      </c>
      <c r="J46" s="119" t="inlineStr">
        <is>
          <t>Aug</t>
        </is>
      </c>
      <c r="K46" s="119" t="inlineStr">
        <is>
          <t>Sep</t>
        </is>
      </c>
      <c r="L46" s="119" t="inlineStr">
        <is>
          <t>Oct</t>
        </is>
      </c>
      <c r="M46" s="119" t="inlineStr">
        <is>
          <t>Nov</t>
        </is>
      </c>
      <c r="N46" s="119" t="inlineStr">
        <is>
          <t>Dec</t>
        </is>
      </c>
      <c r="O46" s="119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COUNTIF('Corrective Actions'!D$6:D$506,"Jan")</f>
        <v/>
      </c>
      <c r="D47" s="63">
        <f>COUNTIF('Corrective Actions'!D$6:D$506,"Feb")</f>
        <v/>
      </c>
      <c r="E47" s="63">
        <f>COUNTIF('Corrective Actions'!D$6:D$506,"Mar")</f>
        <v/>
      </c>
      <c r="F47" s="63">
        <f>COUNTIF('Corrective Actions'!D$6:D$506,"Apr")</f>
        <v/>
      </c>
      <c r="G47" s="63">
        <f>COUNTIF('Corrective Actions'!D$6:D$506,"May")</f>
        <v/>
      </c>
      <c r="H47" s="63">
        <f>COUNTIF('Corrective Actions'!D$6:D$506,"Jun")</f>
        <v/>
      </c>
      <c r="I47" s="63">
        <f>COUNTIF('Corrective Actions'!D$6:D$506,"Jul")</f>
        <v/>
      </c>
      <c r="J47" s="63">
        <f>COUNTIF('Corrective Actions'!D$6:D$506,"Aug")</f>
        <v/>
      </c>
      <c r="K47" s="63">
        <f>COUNTIF('Corrective Actions'!D$6:D$506,"Sep")</f>
        <v/>
      </c>
      <c r="L47" s="63">
        <f>COUNTIF('Corrective Actions'!D$6:D$506,"Oct")</f>
        <v/>
      </c>
      <c r="M47" s="63">
        <f>COUNTIF('Corrective Actions'!D$6:D$506,"Nov")</f>
        <v/>
      </c>
      <c r="N47" s="63">
        <f>COUNTIF('Corrective Actions'!D$6:D$506,"Dec")</f>
        <v/>
      </c>
      <c r="O47" s="123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COUNTIFS('Corrective Actions'!D$6:D$506,"Jan",'Corrective Actions'!N$6:N$506,"Completed")</f>
        <v/>
      </c>
      <c r="D48" s="76">
        <f>COUNTIFS('Corrective Actions'!D$6:D$506,"Feb",'Corrective Actions'!N$6:N$506,"Completed")</f>
        <v/>
      </c>
      <c r="E48" s="76">
        <f>COUNTIFS('Corrective Actions'!D$6:D$506,"Mar",'Corrective Actions'!N$6:N$506,"Completed")</f>
        <v/>
      </c>
      <c r="F48" s="76">
        <f>COUNTIFS('Corrective Actions'!D$6:D$506,"Apr",'Corrective Actions'!N$6:N$506,"Completed")</f>
        <v/>
      </c>
      <c r="G48" s="76">
        <f>COUNTIFS('Corrective Actions'!D$6:D$506,"May",'Corrective Actions'!N$6:N$506,"Completed")</f>
        <v/>
      </c>
      <c r="H48" s="76">
        <f>COUNTIFS('Corrective Actions'!D$6:D$506,"Jun",'Corrective Actions'!N$6:N$506,"Completed")</f>
        <v/>
      </c>
      <c r="I48" s="76">
        <f>COUNTIFS('Corrective Actions'!D$6:D$506,"Jul",'Corrective Actions'!N$6:N$506,"Completed")</f>
        <v/>
      </c>
      <c r="J48" s="76">
        <f>COUNTIFS('Corrective Actions'!D$6:D$506,"Aug",'Corrective Actions'!N$6:N$506,"Completed")</f>
        <v/>
      </c>
      <c r="K48" s="76">
        <f>COUNTIFS('Corrective Actions'!D$6:D$506,"Sep",'Corrective Actions'!N$6:N$506,"Completed")</f>
        <v/>
      </c>
      <c r="L48" s="76">
        <f>COUNTIFS('Corrective Actions'!D$6:D$506,"Oct",'Corrective Actions'!N$6:N$506,"Completed")</f>
        <v/>
      </c>
      <c r="M48" s="76">
        <f>COUNTIFS('Corrective Actions'!D$6:D$506,"Nov",'Corrective Actions'!N$6:N$506,"Completed")</f>
        <v/>
      </c>
      <c r="N48" s="76">
        <f>COUNTIFS('Corrective Actions'!D$6:D$506,"Dec",'Corrective Actions'!N$6:N$506,"Completed")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COUNTIFS('Corrective Actions'!D$6:D$506,"Jan",'Corrective Actions'!N$6:N$506,"In Progress")</f>
        <v/>
      </c>
      <c r="D49" s="114">
        <f>COUNTIFS('Corrective Actions'!D$6:D$506,"Feb",'Corrective Actions'!N$6:N$506,"In Progress")</f>
        <v/>
      </c>
      <c r="E49" s="114">
        <f>COUNTIFS('Corrective Actions'!D$6:D$506,"Mar",'Corrective Actions'!N$6:N$506,"In Progress")</f>
        <v/>
      </c>
      <c r="F49" s="114">
        <f>COUNTIFS('Corrective Actions'!D$6:D$506,"Apr",'Corrective Actions'!N$6:N$506,"In Progress")</f>
        <v/>
      </c>
      <c r="G49" s="114">
        <f>COUNTIFS('Corrective Actions'!D$6:D$506,"May",'Corrective Actions'!N$6:N$506,"In Progress")</f>
        <v/>
      </c>
      <c r="H49" s="114">
        <f>COUNTIFS('Corrective Actions'!D$6:D$506,"Jun",'Corrective Actions'!N$6:N$506,"In Progress")</f>
        <v/>
      </c>
      <c r="I49" s="114">
        <f>COUNTIFS('Corrective Actions'!D$6:D$506,"Jul",'Corrective Actions'!N$6:N$506,"In Progress")</f>
        <v/>
      </c>
      <c r="J49" s="114">
        <f>COUNTIFS('Corrective Actions'!D$6:D$506,"Aug",'Corrective Actions'!N$6:N$506,"In Progress")</f>
        <v/>
      </c>
      <c r="K49" s="114">
        <f>COUNTIFS('Corrective Actions'!D$6:D$506,"Sep",'Corrective Actions'!N$6:N$506,"In Progress")</f>
        <v/>
      </c>
      <c r="L49" s="114">
        <f>COUNTIFS('Corrective Actions'!D$6:D$506,"Oct",'Corrective Actions'!N$6:N$506,"In Progress")</f>
        <v/>
      </c>
      <c r="M49" s="114">
        <f>COUNTIFS('Corrective Actions'!D$6:D$506,"Nov",'Corrective Actions'!N$6:N$506,"In Progress")</f>
        <v/>
      </c>
      <c r="N49" s="114">
        <f>COUNTIFS('Corrective Actions'!D$6:D$506,"Dec",'Corrective Actions'!N$6:N$506,"In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COUNTIFS('Corrective Actions'!D$6:D$506,"Jan",'Corrective Actions'!N$6:N$506,"Overdue")</f>
        <v/>
      </c>
      <c r="D50" s="126">
        <f>COUNTIFS('Corrective Actions'!D$6:D$506,"Feb",'Corrective Actions'!N$6:N$506,"Overdue")</f>
        <v/>
      </c>
      <c r="E50" s="126">
        <f>COUNTIFS('Corrective Actions'!D$6:D$506,"Mar",'Corrective Actions'!N$6:N$506,"Overdue")</f>
        <v/>
      </c>
      <c r="F50" s="126">
        <f>COUNTIFS('Corrective Actions'!D$6:D$506,"Apr",'Corrective Actions'!N$6:N$506,"Overdue")</f>
        <v/>
      </c>
      <c r="G50" s="126">
        <f>COUNTIFS('Corrective Actions'!D$6:D$506,"May",'Corrective Actions'!N$6:N$506,"Overdue")</f>
        <v/>
      </c>
      <c r="H50" s="126">
        <f>COUNTIFS('Corrective Actions'!D$6:D$506,"Jun",'Corrective Actions'!N$6:N$506,"Overdue")</f>
        <v/>
      </c>
      <c r="I50" s="126">
        <f>COUNTIFS('Corrective Actions'!D$6:D$506,"Jul",'Corrective Actions'!N$6:N$506,"Overdue")</f>
        <v/>
      </c>
      <c r="J50" s="126">
        <f>COUNTIFS('Corrective Actions'!D$6:D$506,"Aug",'Corrective Actions'!N$6:N$506,"Overdue")</f>
        <v/>
      </c>
      <c r="K50" s="126">
        <f>COUNTIFS('Corrective Actions'!D$6:D$506,"Sep",'Corrective Actions'!N$6:N$506,"Overdue")</f>
        <v/>
      </c>
      <c r="L50" s="126">
        <f>COUNTIFS('Corrective Actions'!D$6:D$506,"Oct",'Corrective Actions'!N$6:N$506,"Overdue")</f>
        <v/>
      </c>
      <c r="M50" s="126">
        <f>COUNTIFS('Corrective Actions'!D$6:D$506,"Nov",'Corrective Actions'!N$6:N$506,"Overdue")</f>
        <v/>
      </c>
      <c r="N50" s="126">
        <f>COUNTIFS('Corrective Actions'!D$6:D$506,"Dec",'Corrective Actions'!N$6:N$506,"Overdue")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COUNTIFS('Corrective Actions'!D$6:D$506,"Jan",'Corrective Actions'!N$6:N$506,"Pending")</f>
        <v/>
      </c>
      <c r="D51" s="129">
        <f>COUNTIFS('Corrective Actions'!D$6:D$506,"Feb",'Corrective Actions'!N$6:N$506,"Pending")</f>
        <v/>
      </c>
      <c r="E51" s="129">
        <f>COUNTIFS('Corrective Actions'!D$6:D$506,"Mar",'Corrective Actions'!N$6:N$506,"Pending")</f>
        <v/>
      </c>
      <c r="F51" s="129">
        <f>COUNTIFS('Corrective Actions'!D$6:D$506,"Apr",'Corrective Actions'!N$6:N$506,"Pending")</f>
        <v/>
      </c>
      <c r="G51" s="129">
        <f>COUNTIFS('Corrective Actions'!D$6:D$506,"May",'Corrective Actions'!N$6:N$506,"Pending")</f>
        <v/>
      </c>
      <c r="H51" s="129">
        <f>COUNTIFS('Corrective Actions'!D$6:D$506,"Jun",'Corrective Actions'!N$6:N$506,"Pending")</f>
        <v/>
      </c>
      <c r="I51" s="129">
        <f>COUNTIFS('Corrective Actions'!D$6:D$506,"Jul",'Corrective Actions'!N$6:N$506,"Pending")</f>
        <v/>
      </c>
      <c r="J51" s="129">
        <f>COUNTIFS('Corrective Actions'!D$6:D$506,"Aug",'Corrective Actions'!N$6:N$506,"Pending")</f>
        <v/>
      </c>
      <c r="K51" s="129">
        <f>COUNTIFS('Corrective Actions'!D$6:D$506,"Sep",'Corrective Actions'!N$6:N$506,"Pending")</f>
        <v/>
      </c>
      <c r="L51" s="129">
        <f>COUNTIFS('Corrective Actions'!D$6:D$506,"Oct",'Corrective Actions'!N$6:N$506,"Pending")</f>
        <v/>
      </c>
      <c r="M51" s="129">
        <f>COUNTIFS('Corrective Actions'!D$6:D$506,"Nov",'Corrective Actions'!N$6:N$506,"Pending")</f>
        <v/>
      </c>
      <c r="N51" s="129">
        <f>COUNTIFS('Corrective Actions'!D$6:D$506,"Dec",'Corrective Actions'!N$6:N$506,"Pending")</f>
        <v/>
      </c>
      <c r="O51" s="130">
        <f>SUM(C51:N51)</f>
        <v/>
      </c>
      <c r="P51" s="93" t="n"/>
      <c r="Q51" s="93" t="n"/>
    </row>
    <row r="52">
      <c r="A52" s="93" t="n"/>
      <c r="B52" s="197" t="inlineStr">
        <is>
          <t>Cancelled</t>
        </is>
      </c>
      <c r="C52" s="198">
        <f>COUNTIFS('Corrective Actions'!D$6:D$506,"Jan",'Corrective Actions'!N$6:N$506,"Cancelled")</f>
        <v/>
      </c>
      <c r="D52" s="198">
        <f>COUNTIFS('Corrective Actions'!D$6:D$506,"Feb",'Corrective Actions'!N$6:N$506,"Cancelled")</f>
        <v/>
      </c>
      <c r="E52" s="198">
        <f>COUNTIFS('Corrective Actions'!D$6:D$506,"Mar",'Corrective Actions'!N$6:N$506,"Cancelled")</f>
        <v/>
      </c>
      <c r="F52" s="198">
        <f>COUNTIFS('Corrective Actions'!D$6:D$506,"Apr",'Corrective Actions'!N$6:N$506,"Cancelled")</f>
        <v/>
      </c>
      <c r="G52" s="198">
        <f>COUNTIFS('Corrective Actions'!D$6:D$506,"May",'Corrective Actions'!N$6:N$506,"Cancelled")</f>
        <v/>
      </c>
      <c r="H52" s="198">
        <f>COUNTIFS('Corrective Actions'!D$6:D$506,"Jun",'Corrective Actions'!N$6:N$506,"Cancelled")</f>
        <v/>
      </c>
      <c r="I52" s="198">
        <f>COUNTIFS('Corrective Actions'!D$6:D$506,"Jul",'Corrective Actions'!N$6:N$506,"Cancelled")</f>
        <v/>
      </c>
      <c r="J52" s="198">
        <f>COUNTIFS('Corrective Actions'!D$6:D$506,"Aug",'Corrective Actions'!N$6:N$506,"Cancelled")</f>
        <v/>
      </c>
      <c r="K52" s="198">
        <f>COUNTIFS('Corrective Actions'!D$6:D$506,"Sep",'Corrective Actions'!N$6:N$506,"Cancelled")</f>
        <v/>
      </c>
      <c r="L52" s="198">
        <f>COUNTIFS('Corrective Actions'!D$6:D$506,"Oct",'Corrective Actions'!N$6:N$506,"Cancelled")</f>
        <v/>
      </c>
      <c r="M52" s="198">
        <f>COUNTIFS('Corrective Actions'!D$6:D$506,"Nov",'Corrective Actions'!N$6:N$506,"Cancelled")</f>
        <v/>
      </c>
      <c r="N52" s="198">
        <f>COUNTIFS('Corrective Actions'!D$6:D$506,"Dec",'Corrective Actions'!N$6:N$506,"Cancelled")</f>
        <v/>
      </c>
      <c r="O52" s="199">
        <f>SUM(C52:N52)</f>
        <v/>
      </c>
      <c r="P52" s="93" t="n"/>
      <c r="Q52" s="93" t="n"/>
    </row>
    <row r="53">
      <c r="A53" s="93" t="n"/>
      <c r="B53" s="131" t="inlineStr">
        <is>
          <t>Rate %</t>
        </is>
      </c>
      <c r="C53" s="132">
        <f>IF(C47=0,0,C48/C47)</f>
        <v/>
      </c>
      <c r="D53" s="132">
        <f>IF(D47=0,0,D48/D47)</f>
        <v/>
      </c>
      <c r="E53" s="132">
        <f>IF(E47=0,0,E48/E47)</f>
        <v/>
      </c>
      <c r="F53" s="132">
        <f>IF(F47=0,0,F48/F47)</f>
        <v/>
      </c>
      <c r="G53" s="132">
        <f>IF(G47=0,0,G48/G47)</f>
        <v/>
      </c>
      <c r="H53" s="132">
        <f>IF(H47=0,0,H48/H47)</f>
        <v/>
      </c>
      <c r="I53" s="132">
        <f>IF(I47=0,0,I48/I47)</f>
        <v/>
      </c>
      <c r="J53" s="132">
        <f>IF(J47=0,0,J48/J47)</f>
        <v/>
      </c>
      <c r="K53" s="132">
        <f>IF(K47=0,0,K48/K47)</f>
        <v/>
      </c>
      <c r="L53" s="132">
        <f>IF(L47=0,0,L48/L47)</f>
        <v/>
      </c>
      <c r="M53" s="132">
        <f>IF(M47=0,0,M48/M47)</f>
        <v/>
      </c>
      <c r="N53" s="132">
        <f>IF(N47=0,0,N48/N47)</f>
        <v/>
      </c>
      <c r="O53" s="132">
        <f>IF(O47=0,0,O48/O47)</f>
        <v/>
      </c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FFA726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FFA726"/>
      </dataBar>
    </cfRule>
  </conditionalFormatting>
  <conditionalFormatting sqref="C53:O53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📌  DASHBOARD – NC MANAGEMENT</t>
        </is>
      </c>
    </row>
    <row r="2" ht="24" customHeight="1" s="15">
      <c r="A2" s="288" t="inlineStr">
        <is>
          <t>Live data from 'NC Management'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📋 TOTAL NCs</t>
        </is>
      </c>
      <c r="E4" s="93" t="n"/>
      <c r="F4" s="230" t="inlineStr">
        <is>
          <t>✅ CLOSED</t>
        </is>
      </c>
      <c r="I4" s="93" t="n"/>
      <c r="J4" s="231" t="inlineStr">
        <is>
          <t>🔓 OPEN</t>
        </is>
      </c>
      <c r="M4" s="93" t="n"/>
      <c r="N4" s="243" t="inlineStr">
        <is>
          <t>❌ OVERDUE</t>
        </is>
      </c>
      <c r="Q4" s="93" t="n"/>
    </row>
    <row r="5" ht="43.5" customHeight="1" s="15">
      <c r="A5" s="93" t="n"/>
      <c r="B5" s="290">
        <f>COUNTA('NC Management'!B$6:B$506)</f>
        <v/>
      </c>
      <c r="E5" s="93" t="n"/>
      <c r="F5" s="234">
        <f>COUNTIF('NC Management'!M$6:M$506,"Closed")</f>
        <v/>
      </c>
      <c r="I5" s="93" t="n"/>
      <c r="J5" s="235">
        <f>COUNTIF('NC Management'!M$6:M$506,"Open")</f>
        <v/>
      </c>
      <c r="M5" s="93" t="n"/>
      <c r="N5" s="277">
        <f>COUNTIF('NC Management'!M$6:M$506,"Overdue")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2" t="inlineStr">
        <is>
          <t>📊 CLOSURE %</t>
        </is>
      </c>
      <c r="E8" s="93" t="n"/>
      <c r="F8" s="243" t="inlineStr">
        <is>
          <t>🔴 MAJOR</t>
        </is>
      </c>
      <c r="I8" s="93" t="n"/>
      <c r="J8" s="231" t="inlineStr">
        <is>
          <t>🟡 MINOR</t>
        </is>
      </c>
      <c r="M8" s="93" t="n"/>
      <c r="N8" s="244" t="inlineStr">
        <is>
          <t>📝 OBSERVATIONS</t>
        </is>
      </c>
      <c r="Q8" s="93" t="n"/>
    </row>
    <row r="9" ht="43.5" customHeight="1" s="15">
      <c r="A9" s="93" t="n"/>
      <c r="B9" s="285">
        <f>IF(COUNTA('NC Management'!B$6:B$506)=0,0,COUNTIF('NC Management'!M$6:M$506,"Closed")/COUNTA('NC Management'!B$6:B$506))</f>
        <v/>
      </c>
      <c r="E9" s="93" t="n"/>
      <c r="F9" s="277">
        <f>COUNTIF('NC Management'!F$6:F$506,"Major")</f>
        <v/>
      </c>
      <c r="I9" s="93" t="n"/>
      <c r="J9" s="235">
        <f>COUNTIF('NC Management'!F$6:F$506,"Minor")</f>
        <v/>
      </c>
      <c r="M9" s="93" t="n"/>
      <c r="N9" s="248">
        <f>COUNTIF('NC Management'!F$6:F$506,"Observation")</f>
        <v/>
      </c>
      <c r="Q9" s="93" t="n"/>
    </row>
    <row r="10" ht="13.5" customHeight="1" s="15">
      <c r="A10" s="93" t="n"/>
      <c r="B10" s="269" t="n"/>
      <c r="E10" s="93" t="n"/>
      <c r="F10" s="270" t="n"/>
      <c r="I10" s="93" t="n"/>
      <c r="J10" s="263" t="n"/>
      <c r="M10" s="93" t="n"/>
      <c r="N10" s="271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Closed</t>
        </is>
      </c>
      <c r="P13" s="59">
        <f>COUNTIF('NC Management'!M$6:M$506,"Closed")</f>
        <v/>
      </c>
      <c r="Q13" s="93" t="n"/>
    </row>
    <row r="14">
      <c r="A14" s="93" t="n"/>
      <c r="B14" s="59">
        <f>COUNTIF('NC Management'!D$6:D$506,"Jan")</f>
        <v/>
      </c>
      <c r="C14" s="59">
        <f>COUNTIF('NC Management'!D$6:D$506,"Feb")</f>
        <v/>
      </c>
      <c r="D14" s="59">
        <f>COUNTIF('NC Management'!D$6:D$506,"Mar")</f>
        <v/>
      </c>
      <c r="E14" s="59">
        <f>COUNTIF('NC Management'!D$6:D$506,"Apr")</f>
        <v/>
      </c>
      <c r="F14" s="59">
        <f>COUNTIF('NC Management'!D$6:D$506,"May")</f>
        <v/>
      </c>
      <c r="G14" s="59">
        <f>COUNTIF('NC Management'!D$6:D$506,"Jun")</f>
        <v/>
      </c>
      <c r="H14" s="59">
        <f>COUNTIF('NC Management'!D$6:D$506,"Jul")</f>
        <v/>
      </c>
      <c r="I14" s="59">
        <f>COUNTIF('NC Management'!D$6:D$506,"Aug")</f>
        <v/>
      </c>
      <c r="J14" s="59">
        <f>COUNTIF('NC Management'!D$6:D$506,"Sep")</f>
        <v/>
      </c>
      <c r="K14" s="59">
        <f>COUNTIF('NC Management'!D$6:D$506,"Oct")</f>
        <v/>
      </c>
      <c r="L14" s="59">
        <f>COUNTIF('NC Management'!D$6:D$506,"Nov")</f>
        <v/>
      </c>
      <c r="M14" s="59">
        <f>COUNTIF('NC Management'!D$6:D$506,"Dec")</f>
        <v/>
      </c>
      <c r="N14" s="94" t="n"/>
      <c r="O14" s="95" t="inlineStr">
        <is>
          <t>Open</t>
        </is>
      </c>
      <c r="P14" s="59">
        <f>COUNTIF('NC Management'!M$6:M$506,"Open")</f>
        <v/>
      </c>
      <c r="Q14" s="93" t="n"/>
    </row>
    <row r="15">
      <c r="A15" s="93" t="n"/>
      <c r="B15" s="60">
        <f>COUNTIFS('NC Management'!D$6:D$506,"Jan",'NC Management'!M$6:M$506,"Closed")</f>
        <v/>
      </c>
      <c r="C15" s="60">
        <f>COUNTIFS('NC Management'!D$6:D$506,"Feb",'NC Management'!M$6:M$506,"Closed")</f>
        <v/>
      </c>
      <c r="D15" s="60">
        <f>COUNTIFS('NC Management'!D$6:D$506,"Mar",'NC Management'!M$6:M$506,"Closed")</f>
        <v/>
      </c>
      <c r="E15" s="60">
        <f>COUNTIFS('NC Management'!D$6:D$506,"Apr",'NC Management'!M$6:M$506,"Closed")</f>
        <v/>
      </c>
      <c r="F15" s="60">
        <f>COUNTIFS('NC Management'!D$6:D$506,"May",'NC Management'!M$6:M$506,"Closed")</f>
        <v/>
      </c>
      <c r="G15" s="60">
        <f>COUNTIFS('NC Management'!D$6:D$506,"Jun",'NC Management'!M$6:M$506,"Closed")</f>
        <v/>
      </c>
      <c r="H15" s="60">
        <f>COUNTIFS('NC Management'!D$6:D$506,"Jul",'NC Management'!M$6:M$506,"Closed")</f>
        <v/>
      </c>
      <c r="I15" s="60">
        <f>COUNTIFS('NC Management'!D$6:D$506,"Aug",'NC Management'!M$6:M$506,"Closed")</f>
        <v/>
      </c>
      <c r="J15" s="60">
        <f>COUNTIFS('NC Management'!D$6:D$506,"Sep",'NC Management'!M$6:M$506,"Closed")</f>
        <v/>
      </c>
      <c r="K15" s="60">
        <f>COUNTIFS('NC Management'!D$6:D$506,"Oct",'NC Management'!M$6:M$506,"Closed")</f>
        <v/>
      </c>
      <c r="L15" s="60">
        <f>COUNTIFS('NC Management'!D$6:D$506,"Nov",'NC Management'!M$6:M$506,"Closed")</f>
        <v/>
      </c>
      <c r="M15" s="60">
        <f>COUNTIFS('NC Management'!D$6:D$506,"Dec",'NC Management'!M$6:M$506,"Closed")</f>
        <v/>
      </c>
      <c r="N15" s="94" t="n"/>
      <c r="O15" s="95" t="inlineStr">
        <is>
          <t>Under Review</t>
        </is>
      </c>
      <c r="P15" s="59">
        <f>COUNTIF('NC Management'!M$6:M$506,"Under Review")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Overdue</t>
        </is>
      </c>
      <c r="P16" s="59">
        <f>COUNTIF('NC Management'!M$6:M$506,"Overdue")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Severity Breakdown</t>
        </is>
      </c>
      <c r="Q31" s="93" t="n"/>
    </row>
    <row r="32" ht="56.25" customHeight="1" s="15">
      <c r="A32" s="93" t="n"/>
      <c r="B32" s="133" t="inlineStr">
        <is>
          <t>Department</t>
        </is>
      </c>
      <c r="C32" s="133" t="inlineStr">
        <is>
          <t>Count</t>
        </is>
      </c>
      <c r="D32" s="133" t="inlineStr">
        <is>
          <t>Closed</t>
        </is>
      </c>
      <c r="E32" s="133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Major</t>
        </is>
      </c>
      <c r="P32" s="59">
        <f>COUNTIF('NC Management'!F$6:F$506,O32)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COUNTIF('NC Management'!G$6:G$506,B33)</f>
        <v/>
      </c>
      <c r="D33" s="63">
        <f>COUNTIFS('NC Management'!G$6:G$506,B33,'NC Management'!M$6:M$506,"Closed")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Minor</t>
        </is>
      </c>
      <c r="P33" s="59">
        <f>COUNTIF('NC Management'!F$6:F$506,O33)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COUNTIF('NC Management'!G$6:G$506,B34)</f>
        <v/>
      </c>
      <c r="D34" s="135">
        <f>COUNTIFS('NC Management'!G$6:G$506,B34,'NC Management'!M$6:M$506,"Closed")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Observation</t>
        </is>
      </c>
      <c r="P34" s="59">
        <f>COUNTIF('NC Management'!F$6:F$506,O34)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COUNTIF('NC Management'!G$6:G$506,B35)</f>
        <v/>
      </c>
      <c r="D35" s="63">
        <f>COUNTIFS('NC Management'!G$6:G$506,B35,'NC Management'!M$6:M$506,"Closed")</f>
        <v/>
      </c>
      <c r="E35" s="64">
        <f>IF(C35=0,0,D35/C35)</f>
        <v/>
      </c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</row>
    <row r="36">
      <c r="A36" s="93" t="n"/>
      <c r="B36" s="134" t="inlineStr">
        <is>
          <t>Construction</t>
        </is>
      </c>
      <c r="C36" s="135">
        <f>COUNTIF('NC Management'!G$6:G$506,B36)</f>
        <v/>
      </c>
      <c r="D36" s="135">
        <f>COUNTIFS('NC Management'!G$6:G$506,B36,'NC Management'!M$6:M$506,"Closed")</f>
        <v/>
      </c>
      <c r="E36" s="136">
        <f>IF(C36=0,0,D36/C36)</f>
        <v/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</row>
    <row r="37">
      <c r="A37" s="93" t="n"/>
      <c r="B37" s="97" t="inlineStr">
        <is>
          <t>Safety</t>
        </is>
      </c>
      <c r="C37" s="63">
        <f>COUNTIF('NC Management'!G$6:G$506,B37)</f>
        <v/>
      </c>
      <c r="D37" s="63">
        <f>COUNTIFS('NC Management'!G$6:G$506,B37,'NC Management'!M$6:M$506,"Closed")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34" t="inlineStr">
        <is>
          <t>Logistics</t>
        </is>
      </c>
      <c r="C38" s="135">
        <f>COUNTIF('NC Management'!G$6:G$506,B38)</f>
        <v/>
      </c>
      <c r="D38" s="135">
        <f>COUNTIFS('NC Management'!G$6:G$506,B38,'NC Management'!M$6:M$506,"Closed")</f>
        <v/>
      </c>
      <c r="E38" s="136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COUNTIF('NC Management'!G$6:G$506,B39)</f>
        <v/>
      </c>
      <c r="D39" s="63">
        <f>COUNTIFS('NC Management'!G$6:G$506,B39,'NC Management'!M$6:M$506,"Closed")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34" t="inlineStr">
        <is>
          <t>Admin</t>
        </is>
      </c>
      <c r="C40" s="135">
        <f>COUNTIF('NC Management'!G$6:G$506,B40)</f>
        <v/>
      </c>
      <c r="D40" s="135">
        <f>COUNTIFS('NC Management'!G$6:G$506,B40,'NC Management'!M$6:M$506,"Closed")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COUNTIF('NC Management'!G$6:G$506,B41)</f>
        <v/>
      </c>
      <c r="D41" s="63">
        <f>COUNTIFS('NC Management'!G$6:G$506,B41,'NC Management'!M$6:M$506,"Closed")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COUNTIF('NC Management'!G$6:G$506,B42)</f>
        <v/>
      </c>
      <c r="D42" s="135">
        <f>COUNTIFS('NC Management'!G$6:G$506,B42,'NC Management'!M$6:M$506,"Closed")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33" t="inlineStr">
        <is>
          <t>Metric</t>
        </is>
      </c>
      <c r="C46" s="133" t="inlineStr">
        <is>
          <t>Jan</t>
        </is>
      </c>
      <c r="D46" s="133" t="inlineStr">
        <is>
          <t>Feb</t>
        </is>
      </c>
      <c r="E46" s="133" t="inlineStr">
        <is>
          <t>Mar</t>
        </is>
      </c>
      <c r="F46" s="133" t="inlineStr">
        <is>
          <t>Apr</t>
        </is>
      </c>
      <c r="G46" s="133" t="inlineStr">
        <is>
          <t>May</t>
        </is>
      </c>
      <c r="H46" s="133" t="inlineStr">
        <is>
          <t>Jun</t>
        </is>
      </c>
      <c r="I46" s="133" t="inlineStr">
        <is>
          <t>Jul</t>
        </is>
      </c>
      <c r="J46" s="133" t="inlineStr">
        <is>
          <t>Aug</t>
        </is>
      </c>
      <c r="K46" s="133" t="inlineStr">
        <is>
          <t>Sep</t>
        </is>
      </c>
      <c r="L46" s="133" t="inlineStr">
        <is>
          <t>Oct</t>
        </is>
      </c>
      <c r="M46" s="133" t="inlineStr">
        <is>
          <t>Nov</t>
        </is>
      </c>
      <c r="N46" s="133" t="inlineStr">
        <is>
          <t>Dec</t>
        </is>
      </c>
      <c r="O46" s="133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COUNTIF('NC Management'!D$6:D$506,"Jan")</f>
        <v/>
      </c>
      <c r="D47" s="63">
        <f>COUNTIF('NC Management'!D$6:D$506,"Feb")</f>
        <v/>
      </c>
      <c r="E47" s="63">
        <f>COUNTIF('NC Management'!D$6:D$506,"Mar")</f>
        <v/>
      </c>
      <c r="F47" s="63">
        <f>COUNTIF('NC Management'!D$6:D$506,"Apr")</f>
        <v/>
      </c>
      <c r="G47" s="63">
        <f>COUNTIF('NC Management'!D$6:D$506,"May")</f>
        <v/>
      </c>
      <c r="H47" s="63">
        <f>COUNTIF('NC Management'!D$6:D$506,"Jun")</f>
        <v/>
      </c>
      <c r="I47" s="63">
        <f>COUNTIF('NC Management'!D$6:D$506,"Jul")</f>
        <v/>
      </c>
      <c r="J47" s="63">
        <f>COUNTIF('NC Management'!D$6:D$506,"Aug")</f>
        <v/>
      </c>
      <c r="K47" s="63">
        <f>COUNTIF('NC Management'!D$6:D$506,"Sep")</f>
        <v/>
      </c>
      <c r="L47" s="63">
        <f>COUNTIF('NC Management'!D$6:D$506,"Oct")</f>
        <v/>
      </c>
      <c r="M47" s="63">
        <f>COUNTIF('NC Management'!D$6:D$506,"Nov")</f>
        <v/>
      </c>
      <c r="N47" s="63">
        <f>COUNTIF('NC Management'!D$6:D$506,"Dec")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Closed</t>
        </is>
      </c>
      <c r="C48" s="76">
        <f>COUNTIFS('NC Management'!D$6:D$506,"Jan",'NC Management'!M$6:M$506,"Closed")</f>
        <v/>
      </c>
      <c r="D48" s="76">
        <f>COUNTIFS('NC Management'!D$6:D$506,"Feb",'NC Management'!M$6:M$506,"Closed")</f>
        <v/>
      </c>
      <c r="E48" s="76">
        <f>COUNTIFS('NC Management'!D$6:D$506,"Mar",'NC Management'!M$6:M$506,"Closed")</f>
        <v/>
      </c>
      <c r="F48" s="76">
        <f>COUNTIFS('NC Management'!D$6:D$506,"Apr",'NC Management'!M$6:M$506,"Closed")</f>
        <v/>
      </c>
      <c r="G48" s="76">
        <f>COUNTIFS('NC Management'!D$6:D$506,"May",'NC Management'!M$6:M$506,"Closed")</f>
        <v/>
      </c>
      <c r="H48" s="76">
        <f>COUNTIFS('NC Management'!D$6:D$506,"Jun",'NC Management'!M$6:M$506,"Closed")</f>
        <v/>
      </c>
      <c r="I48" s="76">
        <f>COUNTIFS('NC Management'!D$6:D$506,"Jul",'NC Management'!M$6:M$506,"Closed")</f>
        <v/>
      </c>
      <c r="J48" s="76">
        <f>COUNTIFS('NC Management'!D$6:D$506,"Aug",'NC Management'!M$6:M$506,"Closed")</f>
        <v/>
      </c>
      <c r="K48" s="76">
        <f>COUNTIFS('NC Management'!D$6:D$506,"Sep",'NC Management'!M$6:M$506,"Closed")</f>
        <v/>
      </c>
      <c r="L48" s="76">
        <f>COUNTIFS('NC Management'!D$6:D$506,"Oct",'NC Management'!M$6:M$506,"Closed")</f>
        <v/>
      </c>
      <c r="M48" s="76">
        <f>COUNTIFS('NC Management'!D$6:D$506,"Nov",'NC Management'!M$6:M$506,"Closed")</f>
        <v/>
      </c>
      <c r="N48" s="76">
        <f>COUNTIFS('NC Management'!D$6:D$506,"Dec",'NC Management'!M$6:M$506,"Closed")</f>
        <v/>
      </c>
      <c r="O48" s="77">
        <f>SUM(C48:N48)</f>
        <v/>
      </c>
      <c r="P48" s="93" t="n"/>
      <c r="Q48" s="93" t="n"/>
    </row>
    <row r="49">
      <c r="A49" s="93" t="n"/>
      <c r="B49" s="200" t="inlineStr">
        <is>
          <t>Open</t>
        </is>
      </c>
      <c r="C49" s="79">
        <f>COUNTIFS('NC Management'!D$6:D$506,"Jan",'NC Management'!M$6:M$506,"Open")</f>
        <v/>
      </c>
      <c r="D49" s="79">
        <f>COUNTIFS('NC Management'!D$6:D$506,"Feb",'NC Management'!M$6:M$506,"Open")</f>
        <v/>
      </c>
      <c r="E49" s="79">
        <f>COUNTIFS('NC Management'!D$6:D$506,"Mar",'NC Management'!M$6:M$506,"Open")</f>
        <v/>
      </c>
      <c r="F49" s="79">
        <f>COUNTIFS('NC Management'!D$6:D$506,"Apr",'NC Management'!M$6:M$506,"Open")</f>
        <v/>
      </c>
      <c r="G49" s="79">
        <f>COUNTIFS('NC Management'!D$6:D$506,"May",'NC Management'!M$6:M$506,"Open")</f>
        <v/>
      </c>
      <c r="H49" s="79">
        <f>COUNTIFS('NC Management'!D$6:D$506,"Jun",'NC Management'!M$6:M$506,"Open")</f>
        <v/>
      </c>
      <c r="I49" s="79">
        <f>COUNTIFS('NC Management'!D$6:D$506,"Jul",'NC Management'!M$6:M$506,"Open")</f>
        <v/>
      </c>
      <c r="J49" s="79">
        <f>COUNTIFS('NC Management'!D$6:D$506,"Aug",'NC Management'!M$6:M$506,"Open")</f>
        <v/>
      </c>
      <c r="K49" s="79">
        <f>COUNTIFS('NC Management'!D$6:D$506,"Sep",'NC Management'!M$6:M$506,"Open")</f>
        <v/>
      </c>
      <c r="L49" s="79">
        <f>COUNTIFS('NC Management'!D$6:D$506,"Oct",'NC Management'!M$6:M$506,"Open")</f>
        <v/>
      </c>
      <c r="M49" s="79">
        <f>COUNTIFS('NC Management'!D$6:D$506,"Nov",'NC Management'!M$6:M$506,"Open")</f>
        <v/>
      </c>
      <c r="N49" s="79">
        <f>COUNTIFS('NC Management'!D$6:D$506,"Dec",'NC Management'!M$6:M$506,"Open")</f>
        <v/>
      </c>
      <c r="O49" s="80">
        <f>SUM(C49:N49)</f>
        <v/>
      </c>
      <c r="P49" s="93" t="n"/>
      <c r="Q49" s="93" t="n"/>
    </row>
    <row r="50">
      <c r="A50" s="93" t="n"/>
      <c r="B50" s="113" t="inlineStr">
        <is>
          <t>Under Review</t>
        </is>
      </c>
      <c r="C50" s="114">
        <f>COUNTIFS('NC Management'!D$6:D$506,"Jan",'NC Management'!M$6:M$506,"Under Review")</f>
        <v/>
      </c>
      <c r="D50" s="114">
        <f>COUNTIFS('NC Management'!D$6:D$506,"Feb",'NC Management'!M$6:M$506,"Under Review")</f>
        <v/>
      </c>
      <c r="E50" s="114">
        <f>COUNTIFS('NC Management'!D$6:D$506,"Mar",'NC Management'!M$6:M$506,"Under Review")</f>
        <v/>
      </c>
      <c r="F50" s="114">
        <f>COUNTIFS('NC Management'!D$6:D$506,"Apr",'NC Management'!M$6:M$506,"Under Review")</f>
        <v/>
      </c>
      <c r="G50" s="114">
        <f>COUNTIFS('NC Management'!D$6:D$506,"May",'NC Management'!M$6:M$506,"Under Review")</f>
        <v/>
      </c>
      <c r="H50" s="114">
        <f>COUNTIFS('NC Management'!D$6:D$506,"Jun",'NC Management'!M$6:M$506,"Under Review")</f>
        <v/>
      </c>
      <c r="I50" s="114">
        <f>COUNTIFS('NC Management'!D$6:D$506,"Jul",'NC Management'!M$6:M$506,"Under Review")</f>
        <v/>
      </c>
      <c r="J50" s="114">
        <f>COUNTIFS('NC Management'!D$6:D$506,"Aug",'NC Management'!M$6:M$506,"Under Review")</f>
        <v/>
      </c>
      <c r="K50" s="114">
        <f>COUNTIFS('NC Management'!D$6:D$506,"Sep",'NC Management'!M$6:M$506,"Under Review")</f>
        <v/>
      </c>
      <c r="L50" s="114">
        <f>COUNTIFS('NC Management'!D$6:D$506,"Oct",'NC Management'!M$6:M$506,"Under Review")</f>
        <v/>
      </c>
      <c r="M50" s="114">
        <f>COUNTIFS('NC Management'!D$6:D$506,"Nov",'NC Management'!M$6:M$506,"Under Review")</f>
        <v/>
      </c>
      <c r="N50" s="114">
        <f>COUNTIFS('NC Management'!D$6:D$506,"Dec",'NC Management'!M$6:M$506,"Under Review")</f>
        <v/>
      </c>
      <c r="O50" s="115">
        <f>SUM(C50:N50)</f>
        <v/>
      </c>
      <c r="P50" s="93" t="n"/>
      <c r="Q50" s="93" t="n"/>
    </row>
    <row r="51">
      <c r="A51" s="93" t="n"/>
      <c r="B51" s="125" t="inlineStr">
        <is>
          <t>Overdue</t>
        </is>
      </c>
      <c r="C51" s="126">
        <f>COUNTIFS('NC Management'!D$6:D$506,"Jan",'NC Management'!M$6:M$506,"Overdue")</f>
        <v/>
      </c>
      <c r="D51" s="126">
        <f>COUNTIFS('NC Management'!D$6:D$506,"Feb",'NC Management'!M$6:M$506,"Overdue")</f>
        <v/>
      </c>
      <c r="E51" s="126">
        <f>COUNTIFS('NC Management'!D$6:D$506,"Mar",'NC Management'!M$6:M$506,"Overdue")</f>
        <v/>
      </c>
      <c r="F51" s="126">
        <f>COUNTIFS('NC Management'!D$6:D$506,"Apr",'NC Management'!M$6:M$506,"Overdue")</f>
        <v/>
      </c>
      <c r="G51" s="126">
        <f>COUNTIFS('NC Management'!D$6:D$506,"May",'NC Management'!M$6:M$506,"Overdue")</f>
        <v/>
      </c>
      <c r="H51" s="126">
        <f>COUNTIFS('NC Management'!D$6:D$506,"Jun",'NC Management'!M$6:M$506,"Overdue")</f>
        <v/>
      </c>
      <c r="I51" s="126">
        <f>COUNTIFS('NC Management'!D$6:D$506,"Jul",'NC Management'!M$6:M$506,"Overdue")</f>
        <v/>
      </c>
      <c r="J51" s="126">
        <f>COUNTIFS('NC Management'!D$6:D$506,"Aug",'NC Management'!M$6:M$506,"Overdue")</f>
        <v/>
      </c>
      <c r="K51" s="126">
        <f>COUNTIFS('NC Management'!D$6:D$506,"Sep",'NC Management'!M$6:M$506,"Overdue")</f>
        <v/>
      </c>
      <c r="L51" s="126">
        <f>COUNTIFS('NC Management'!D$6:D$506,"Oct",'NC Management'!M$6:M$506,"Overdue")</f>
        <v/>
      </c>
      <c r="M51" s="126">
        <f>COUNTIFS('NC Management'!D$6:D$506,"Nov",'NC Management'!M$6:M$506,"Overdue")</f>
        <v/>
      </c>
      <c r="N51" s="126">
        <f>COUNTIFS('NC Management'!D$6:D$506,"Dec",'NC Management'!M$6:M$506,"Overdue")</f>
        <v/>
      </c>
      <c r="O51" s="127">
        <f>SUM(C51:N51)</f>
        <v/>
      </c>
      <c r="P51" s="93" t="n"/>
      <c r="Q51" s="93" t="n"/>
    </row>
    <row r="52">
      <c r="A52" s="93" t="n"/>
      <c r="B52" s="116" t="inlineStr">
        <is>
          <t>Rate %</t>
        </is>
      </c>
      <c r="C52" s="138">
        <f>IF(C47=0,0,C48/C47)</f>
        <v/>
      </c>
      <c r="D52" s="138">
        <f>IF(D47=0,0,D48/D47)</f>
        <v/>
      </c>
      <c r="E52" s="138">
        <f>IF(E47=0,0,E48/E47)</f>
        <v/>
      </c>
      <c r="F52" s="138">
        <f>IF(F47=0,0,F48/F47)</f>
        <v/>
      </c>
      <c r="G52" s="138">
        <f>IF(G47=0,0,G48/G47)</f>
        <v/>
      </c>
      <c r="H52" s="138">
        <f>IF(H47=0,0,H48/H47)</f>
        <v/>
      </c>
      <c r="I52" s="138">
        <f>IF(I47=0,0,I48/I47)</f>
        <v/>
      </c>
      <c r="J52" s="138">
        <f>IF(J47=0,0,J48/J47)</f>
        <v/>
      </c>
      <c r="K52" s="138">
        <f>IF(K47=0,0,K48/K47)</f>
        <v/>
      </c>
      <c r="L52" s="138">
        <f>IF(L47=0,0,L48/L47)</f>
        <v/>
      </c>
      <c r="M52" s="138">
        <f>IF(M47=0,0,M48/M47)</f>
        <v/>
      </c>
      <c r="N52" s="138">
        <f>IF(N47=0,0,N48/N47)</f>
        <v/>
      </c>
      <c r="O52" s="138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tabColor rgb="FFB71C1C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7" t="inlineStr">
        <is>
          <t>⚠️  DASHBOARD – UNSAFE ACTS</t>
        </is>
      </c>
    </row>
    <row r="2" ht="24" customHeight="1" s="15">
      <c r="A2" s="288" t="inlineStr">
        <is>
          <t>Live data from 'Unsafe Acts'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9" t="inlineStr">
        <is>
          <t>⚠️ TOTAL REPORTS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43" t="inlineStr">
        <is>
          <t>❌ OVERDUE</t>
        </is>
      </c>
      <c r="Q4" s="93" t="n"/>
    </row>
    <row r="5" ht="43.5" customHeight="1" s="15">
      <c r="A5" s="93" t="n"/>
      <c r="B5" s="290">
        <f>COUNTA('Unsafe Acts'!B$6:B$506)</f>
        <v/>
      </c>
      <c r="E5" s="93" t="n"/>
      <c r="F5" s="234">
        <f>COUNTIF('Unsafe Acts'!M$6:M$506,"Completed")</f>
        <v/>
      </c>
      <c r="I5" s="93" t="n"/>
      <c r="J5" s="235">
        <f>COUNTIF('Unsafe Acts'!M$6:M$506,"In Progress")</f>
        <v/>
      </c>
      <c r="M5" s="93" t="n"/>
      <c r="N5" s="277">
        <f>COUNTIF('Unsafe Acts'!M$6:M$506,"Overdue")</f>
        <v/>
      </c>
      <c r="Q5" s="93" t="n"/>
    </row>
    <row r="6" ht="13.5" customHeight="1" s="15">
      <c r="A6" s="93" t="n"/>
      <c r="B6" s="291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3" t="inlineStr">
        <is>
          <t>🔴 HIGH RISK</t>
        </is>
      </c>
      <c r="E8" s="93" t="n"/>
      <c r="F8" s="231" t="inlineStr">
        <is>
          <t>🟡 MEDIUM RISK</t>
        </is>
      </c>
      <c r="I8" s="93" t="n"/>
      <c r="J8" s="230" t="inlineStr">
        <is>
          <t>🟢 LOW RISK</t>
        </is>
      </c>
      <c r="M8" s="93" t="n"/>
      <c r="N8" s="242" t="inlineStr">
        <is>
          <t>📊 CLOSURE %</t>
        </is>
      </c>
      <c r="Q8" s="93" t="n"/>
    </row>
    <row r="9" ht="43.5" customHeight="1" s="15">
      <c r="A9" s="93" t="n"/>
      <c r="B9" s="277">
        <f>COUNTIF('Unsafe Acts'!I$6:I$506,"High")</f>
        <v/>
      </c>
      <c r="E9" s="93" t="n"/>
      <c r="F9" s="235">
        <f>COUNTIF('Unsafe Acts'!I$6:I$506,"Medium")</f>
        <v/>
      </c>
      <c r="I9" s="93" t="n"/>
      <c r="J9" s="234">
        <f>COUNTIF('Unsafe Acts'!I$6:I$506,"Low")</f>
        <v/>
      </c>
      <c r="M9" s="93" t="n"/>
      <c r="N9" s="285">
        <f>IF(COUNTA('Unsafe Acts'!B$6:B$506)=0,0,COUNTIF('Unsafe Acts'!M$6:M$506,"Completed")/COUNTA('Unsafe Acts'!B$6:B$506))</f>
        <v/>
      </c>
      <c r="Q9" s="93" t="n"/>
    </row>
    <row r="10" ht="13.5" customHeight="1" s="15">
      <c r="A10" s="93" t="n"/>
      <c r="B10" s="270" t="n"/>
      <c r="E10" s="93" t="n"/>
      <c r="F10" s="263" t="n"/>
      <c r="I10" s="93" t="n"/>
      <c r="J10" s="262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92" t="inlineStr">
        <is>
          <t>📅  Monthly Trend</t>
        </is>
      </c>
      <c r="I12" s="93" t="n"/>
      <c r="J12" s="292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COUNTIF('Unsafe Acts'!M$6:M$506,"Completed")</f>
        <v/>
      </c>
      <c r="Q13" s="93" t="n"/>
    </row>
    <row r="14">
      <c r="A14" s="93" t="n"/>
      <c r="B14" s="59">
        <f>COUNTIF('Unsafe Acts'!D$6:D$506,"Jan")</f>
        <v/>
      </c>
      <c r="C14" s="59">
        <f>COUNTIF('Unsafe Acts'!D$6:D$506,"Feb")</f>
        <v/>
      </c>
      <c r="D14" s="59">
        <f>COUNTIF('Unsafe Acts'!D$6:D$506,"Mar")</f>
        <v/>
      </c>
      <c r="E14" s="59">
        <f>COUNTIF('Unsafe Acts'!D$6:D$506,"Apr")</f>
        <v/>
      </c>
      <c r="F14" s="59">
        <f>COUNTIF('Unsafe Acts'!D$6:D$506,"May")</f>
        <v/>
      </c>
      <c r="G14" s="59">
        <f>COUNTIF('Unsafe Acts'!D$6:D$506,"Jun")</f>
        <v/>
      </c>
      <c r="H14" s="59">
        <f>COUNTIF('Unsafe Acts'!D$6:D$506,"Jul")</f>
        <v/>
      </c>
      <c r="I14" s="59">
        <f>COUNTIF('Unsafe Acts'!D$6:D$506,"Aug")</f>
        <v/>
      </c>
      <c r="J14" s="59">
        <f>COUNTIF('Unsafe Acts'!D$6:D$506,"Sep")</f>
        <v/>
      </c>
      <c r="K14" s="59">
        <f>COUNTIF('Unsafe Acts'!D$6:D$506,"Oct")</f>
        <v/>
      </c>
      <c r="L14" s="59">
        <f>COUNTIF('Unsafe Acts'!D$6:D$506,"Nov")</f>
        <v/>
      </c>
      <c r="M14" s="59">
        <f>COUNTIF('Unsafe Acts'!D$6:D$506,"Dec")</f>
        <v/>
      </c>
      <c r="N14" s="94" t="n"/>
      <c r="O14" s="95" t="inlineStr">
        <is>
          <t>In Progress</t>
        </is>
      </c>
      <c r="P14" s="59">
        <f>COUNTIF('Unsafe Acts'!M$6:M$506,"In Progress")</f>
        <v/>
      </c>
      <c r="Q14" s="93" t="n"/>
    </row>
    <row r="15">
      <c r="A15" s="93" t="n"/>
      <c r="B15" s="60">
        <f>COUNTIFS('Unsafe Acts'!D$6:D$506,"Jan",'Unsafe Acts'!M$6:M$506,"Completed")</f>
        <v/>
      </c>
      <c r="C15" s="60">
        <f>COUNTIFS('Unsafe Acts'!D$6:D$506,"Feb",'Unsafe Acts'!M$6:M$506,"Completed")</f>
        <v/>
      </c>
      <c r="D15" s="60">
        <f>COUNTIFS('Unsafe Acts'!D$6:D$506,"Mar",'Unsafe Acts'!M$6:M$506,"Completed")</f>
        <v/>
      </c>
      <c r="E15" s="60">
        <f>COUNTIFS('Unsafe Acts'!D$6:D$506,"Apr",'Unsafe Acts'!M$6:M$506,"Completed")</f>
        <v/>
      </c>
      <c r="F15" s="60">
        <f>COUNTIFS('Unsafe Acts'!D$6:D$506,"May",'Unsafe Acts'!M$6:M$506,"Completed")</f>
        <v/>
      </c>
      <c r="G15" s="60">
        <f>COUNTIFS('Unsafe Acts'!D$6:D$506,"Jun",'Unsafe Acts'!M$6:M$506,"Completed")</f>
        <v/>
      </c>
      <c r="H15" s="60">
        <f>COUNTIFS('Unsafe Acts'!D$6:D$506,"Jul",'Unsafe Acts'!M$6:M$506,"Completed")</f>
        <v/>
      </c>
      <c r="I15" s="60">
        <f>COUNTIFS('Unsafe Acts'!D$6:D$506,"Aug",'Unsafe Acts'!M$6:M$506,"Completed")</f>
        <v/>
      </c>
      <c r="J15" s="60">
        <f>COUNTIFS('Unsafe Acts'!D$6:D$506,"Sep",'Unsafe Acts'!M$6:M$506,"Completed")</f>
        <v/>
      </c>
      <c r="K15" s="60">
        <f>COUNTIFS('Unsafe Acts'!D$6:D$506,"Oct",'Unsafe Acts'!M$6:M$506,"Completed")</f>
        <v/>
      </c>
      <c r="L15" s="60">
        <f>COUNTIFS('Unsafe Acts'!D$6:D$506,"Nov",'Unsafe Acts'!M$6:M$506,"Completed")</f>
        <v/>
      </c>
      <c r="M15" s="60">
        <f>COUNTIFS('Unsafe Acts'!D$6:D$506,"Dec",'Unsafe Acts'!M$6:M$506,"Completed")</f>
        <v/>
      </c>
      <c r="N15" s="94" t="n"/>
      <c r="O15" s="95" t="inlineStr">
        <is>
          <t>Overdue</t>
        </is>
      </c>
      <c r="P15" s="59">
        <f>COUNTIF('Unsafe Acts'!M$6:M$506,"Overdue")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COUNTIF('Unsafe Acts'!M$6:M$506,"Pending")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92" t="inlineStr">
        <is>
          <t>🏢  Department Breakdown</t>
        </is>
      </c>
      <c r="I31" s="93" t="n"/>
      <c r="J31" s="292" t="inlineStr">
        <is>
          <t>🏷️  Risk Level Breakdown</t>
        </is>
      </c>
      <c r="Q31" s="93" t="n"/>
    </row>
    <row r="32" ht="56.25" customHeight="1" s="15">
      <c r="A32" s="93" t="n"/>
      <c r="B32" s="133" t="inlineStr">
        <is>
          <t>Department</t>
        </is>
      </c>
      <c r="C32" s="133" t="inlineStr">
        <is>
          <t>Count</t>
        </is>
      </c>
      <c r="D32" s="133" t="inlineStr">
        <is>
          <t>Completed</t>
        </is>
      </c>
      <c r="E32" s="133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High</t>
        </is>
      </c>
      <c r="P32" s="59">
        <f>COUNTIF('Unsafe Acts'!I$6:I$506,O32)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COUNTIF('Unsafe Acts'!F$6:F$506,B33)</f>
        <v/>
      </c>
      <c r="D33" s="63">
        <f>COUNTIFS('Unsafe Acts'!F$6:F$506,B33,'Unsafe Acts'!M$6:M$506,"Completed")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Medium</t>
        </is>
      </c>
      <c r="P33" s="59">
        <f>COUNTIF('Unsafe Acts'!I$6:I$506,O33)</f>
        <v/>
      </c>
      <c r="Q33" s="93" t="n"/>
    </row>
    <row r="34">
      <c r="A34" s="93" t="n"/>
      <c r="B34" s="134" t="inlineStr">
        <is>
          <t>Maintenance</t>
        </is>
      </c>
      <c r="C34" s="135">
        <f>COUNTIF('Unsafe Acts'!F$6:F$506,B34)</f>
        <v/>
      </c>
      <c r="D34" s="135">
        <f>COUNTIFS('Unsafe Acts'!F$6:F$506,B34,'Unsafe Acts'!M$6:M$506,"Completed")</f>
        <v/>
      </c>
      <c r="E34" s="136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Low</t>
        </is>
      </c>
      <c r="P34" s="59">
        <f>COUNTIF('Unsafe Acts'!I$6:I$506,O34)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COUNTIF('Unsafe Acts'!F$6:F$506,B35)</f>
        <v/>
      </c>
      <c r="D35" s="63">
        <f>COUNTIFS('Unsafe Acts'!F$6:F$506,B35,'Unsafe Acts'!M$6:M$506,"Completed")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</row>
    <row r="36">
      <c r="A36" s="93" t="n"/>
      <c r="B36" s="134" t="inlineStr">
        <is>
          <t>Construction</t>
        </is>
      </c>
      <c r="C36" s="135">
        <f>COUNTIF('Unsafe Acts'!F$6:F$506,B36)</f>
        <v/>
      </c>
      <c r="D36" s="135">
        <f>COUNTIFS('Unsafe Acts'!F$6:F$506,B36,'Unsafe Acts'!M$6:M$506,"Completed")</f>
        <v/>
      </c>
      <c r="E36" s="136">
        <f>IF(C36=0,0,D36/C36)</f>
        <v/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</row>
    <row r="37">
      <c r="A37" s="93" t="n"/>
      <c r="B37" s="97" t="inlineStr">
        <is>
          <t>Safety</t>
        </is>
      </c>
      <c r="C37" s="63">
        <f>COUNTIF('Unsafe Acts'!F$6:F$506,B37)</f>
        <v/>
      </c>
      <c r="D37" s="63">
        <f>COUNTIFS('Unsafe Acts'!F$6:F$506,B37,'Unsafe Acts'!M$6:M$506,"Completed")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34" t="inlineStr">
        <is>
          <t>Logistics</t>
        </is>
      </c>
      <c r="C38" s="135">
        <f>COUNTIF('Unsafe Acts'!F$6:F$506,B38)</f>
        <v/>
      </c>
      <c r="D38" s="135">
        <f>COUNTIFS('Unsafe Acts'!F$6:F$506,B38,'Unsafe Acts'!M$6:M$506,"Completed")</f>
        <v/>
      </c>
      <c r="E38" s="136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COUNTIF('Unsafe Acts'!F$6:F$506,B39)</f>
        <v/>
      </c>
      <c r="D39" s="63">
        <f>COUNTIFS('Unsafe Acts'!F$6:F$506,B39,'Unsafe Acts'!M$6:M$506,"Completed")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34" t="inlineStr">
        <is>
          <t>Admin</t>
        </is>
      </c>
      <c r="C40" s="135">
        <f>COUNTIF('Unsafe Acts'!F$6:F$506,B40)</f>
        <v/>
      </c>
      <c r="D40" s="135">
        <f>COUNTIFS('Unsafe Acts'!F$6:F$506,B40,'Unsafe Acts'!M$6:M$506,"Completed")</f>
        <v/>
      </c>
      <c r="E40" s="136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COUNTIF('Unsafe Acts'!F$6:F$506,B41)</f>
        <v/>
      </c>
      <c r="D41" s="63">
        <f>COUNTIFS('Unsafe Acts'!F$6:F$506,B41,'Unsafe Acts'!M$6:M$506,"Completed")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34" t="inlineStr">
        <is>
          <t>Contractor</t>
        </is>
      </c>
      <c r="C42" s="135">
        <f>COUNTIF('Unsafe Acts'!F$6:F$506,B42)</f>
        <v/>
      </c>
      <c r="D42" s="135">
        <f>COUNTIFS('Unsafe Acts'!F$6:F$506,B42,'Unsafe Acts'!M$6:M$506,"Completed")</f>
        <v/>
      </c>
      <c r="E42" s="136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92" t="inlineStr">
        <is>
          <t>📈  Monthly Performance Matrix</t>
        </is>
      </c>
      <c r="Q45" s="93" t="n"/>
    </row>
    <row r="46" ht="33.75" customHeight="1" s="15">
      <c r="A46" s="93" t="n"/>
      <c r="B46" s="133" t="inlineStr">
        <is>
          <t>Metric</t>
        </is>
      </c>
      <c r="C46" s="133" t="inlineStr">
        <is>
          <t>Jan</t>
        </is>
      </c>
      <c r="D46" s="133" t="inlineStr">
        <is>
          <t>Feb</t>
        </is>
      </c>
      <c r="E46" s="133" t="inlineStr">
        <is>
          <t>Mar</t>
        </is>
      </c>
      <c r="F46" s="133" t="inlineStr">
        <is>
          <t>Apr</t>
        </is>
      </c>
      <c r="G46" s="133" t="inlineStr">
        <is>
          <t>May</t>
        </is>
      </c>
      <c r="H46" s="133" t="inlineStr">
        <is>
          <t>Jun</t>
        </is>
      </c>
      <c r="I46" s="133" t="inlineStr">
        <is>
          <t>Jul</t>
        </is>
      </c>
      <c r="J46" s="133" t="inlineStr">
        <is>
          <t>Aug</t>
        </is>
      </c>
      <c r="K46" s="133" t="inlineStr">
        <is>
          <t>Sep</t>
        </is>
      </c>
      <c r="L46" s="133" t="inlineStr">
        <is>
          <t>Oct</t>
        </is>
      </c>
      <c r="M46" s="133" t="inlineStr">
        <is>
          <t>Nov</t>
        </is>
      </c>
      <c r="N46" s="133" t="inlineStr">
        <is>
          <t>Dec</t>
        </is>
      </c>
      <c r="O46" s="133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COUNTIF('Unsafe Acts'!D$6:D$506,"Jan")</f>
        <v/>
      </c>
      <c r="D47" s="63">
        <f>COUNTIF('Unsafe Acts'!D$6:D$506,"Feb")</f>
        <v/>
      </c>
      <c r="E47" s="63">
        <f>COUNTIF('Unsafe Acts'!D$6:D$506,"Mar")</f>
        <v/>
      </c>
      <c r="F47" s="63">
        <f>COUNTIF('Unsafe Acts'!D$6:D$506,"Apr")</f>
        <v/>
      </c>
      <c r="G47" s="63">
        <f>COUNTIF('Unsafe Acts'!D$6:D$506,"May")</f>
        <v/>
      </c>
      <c r="H47" s="63">
        <f>COUNTIF('Unsafe Acts'!D$6:D$506,"Jun")</f>
        <v/>
      </c>
      <c r="I47" s="63">
        <f>COUNTIF('Unsafe Acts'!D$6:D$506,"Jul")</f>
        <v/>
      </c>
      <c r="J47" s="63">
        <f>COUNTIF('Unsafe Acts'!D$6:D$506,"Aug")</f>
        <v/>
      </c>
      <c r="K47" s="63">
        <f>COUNTIF('Unsafe Acts'!D$6:D$506,"Sep")</f>
        <v/>
      </c>
      <c r="L47" s="63">
        <f>COUNTIF('Unsafe Acts'!D$6:D$506,"Oct")</f>
        <v/>
      </c>
      <c r="M47" s="63">
        <f>COUNTIF('Unsafe Acts'!D$6:D$506,"Nov")</f>
        <v/>
      </c>
      <c r="N47" s="63">
        <f>COUNTIF('Unsafe Acts'!D$6:D$506,"Dec")</f>
        <v/>
      </c>
      <c r="O47" s="137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COUNTIFS('Unsafe Acts'!D$6:D$506,"Jan",'Unsafe Acts'!M$6:M$506,"Completed")</f>
        <v/>
      </c>
      <c r="D48" s="76">
        <f>COUNTIFS('Unsafe Acts'!D$6:D$506,"Feb",'Unsafe Acts'!M$6:M$506,"Completed")</f>
        <v/>
      </c>
      <c r="E48" s="76">
        <f>COUNTIFS('Unsafe Acts'!D$6:D$506,"Mar",'Unsafe Acts'!M$6:M$506,"Completed")</f>
        <v/>
      </c>
      <c r="F48" s="76">
        <f>COUNTIFS('Unsafe Acts'!D$6:D$506,"Apr",'Unsafe Acts'!M$6:M$506,"Completed")</f>
        <v/>
      </c>
      <c r="G48" s="76">
        <f>COUNTIFS('Unsafe Acts'!D$6:D$506,"May",'Unsafe Acts'!M$6:M$506,"Completed")</f>
        <v/>
      </c>
      <c r="H48" s="76">
        <f>COUNTIFS('Unsafe Acts'!D$6:D$506,"Jun",'Unsafe Acts'!M$6:M$506,"Completed")</f>
        <v/>
      </c>
      <c r="I48" s="76">
        <f>COUNTIFS('Unsafe Acts'!D$6:D$506,"Jul",'Unsafe Acts'!M$6:M$506,"Completed")</f>
        <v/>
      </c>
      <c r="J48" s="76">
        <f>COUNTIFS('Unsafe Acts'!D$6:D$506,"Aug",'Unsafe Acts'!M$6:M$506,"Completed")</f>
        <v/>
      </c>
      <c r="K48" s="76">
        <f>COUNTIFS('Unsafe Acts'!D$6:D$506,"Sep",'Unsafe Acts'!M$6:M$506,"Completed")</f>
        <v/>
      </c>
      <c r="L48" s="76">
        <f>COUNTIFS('Unsafe Acts'!D$6:D$506,"Oct",'Unsafe Acts'!M$6:M$506,"Completed")</f>
        <v/>
      </c>
      <c r="M48" s="76">
        <f>COUNTIFS('Unsafe Acts'!D$6:D$506,"Nov",'Unsafe Acts'!M$6:M$506,"Completed")</f>
        <v/>
      </c>
      <c r="N48" s="76">
        <f>COUNTIFS('Unsafe Acts'!D$6:D$506,"Dec",'Unsafe Acts'!M$6:M$506,"Completed")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COUNTIFS('Unsafe Acts'!D$6:D$506,"Jan",'Unsafe Acts'!M$6:M$506,"In Progress")</f>
        <v/>
      </c>
      <c r="D49" s="114">
        <f>COUNTIFS('Unsafe Acts'!D$6:D$506,"Feb",'Unsafe Acts'!M$6:M$506,"In Progress")</f>
        <v/>
      </c>
      <c r="E49" s="114">
        <f>COUNTIFS('Unsafe Acts'!D$6:D$506,"Mar",'Unsafe Acts'!M$6:M$506,"In Progress")</f>
        <v/>
      </c>
      <c r="F49" s="114">
        <f>COUNTIFS('Unsafe Acts'!D$6:D$506,"Apr",'Unsafe Acts'!M$6:M$506,"In Progress")</f>
        <v/>
      </c>
      <c r="G49" s="114">
        <f>COUNTIFS('Unsafe Acts'!D$6:D$506,"May",'Unsafe Acts'!M$6:M$506,"In Progress")</f>
        <v/>
      </c>
      <c r="H49" s="114">
        <f>COUNTIFS('Unsafe Acts'!D$6:D$506,"Jun",'Unsafe Acts'!M$6:M$506,"In Progress")</f>
        <v/>
      </c>
      <c r="I49" s="114">
        <f>COUNTIFS('Unsafe Acts'!D$6:D$506,"Jul",'Unsafe Acts'!M$6:M$506,"In Progress")</f>
        <v/>
      </c>
      <c r="J49" s="114">
        <f>COUNTIFS('Unsafe Acts'!D$6:D$506,"Aug",'Unsafe Acts'!M$6:M$506,"In Progress")</f>
        <v/>
      </c>
      <c r="K49" s="114">
        <f>COUNTIFS('Unsafe Acts'!D$6:D$506,"Sep",'Unsafe Acts'!M$6:M$506,"In Progress")</f>
        <v/>
      </c>
      <c r="L49" s="114">
        <f>COUNTIFS('Unsafe Acts'!D$6:D$506,"Oct",'Unsafe Acts'!M$6:M$506,"In Progress")</f>
        <v/>
      </c>
      <c r="M49" s="114">
        <f>COUNTIFS('Unsafe Acts'!D$6:D$506,"Nov",'Unsafe Acts'!M$6:M$506,"In Progress")</f>
        <v/>
      </c>
      <c r="N49" s="114">
        <f>COUNTIFS('Unsafe Acts'!D$6:D$506,"Dec",'Unsafe Acts'!M$6:M$506,"In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COUNTIFS('Unsafe Acts'!D$6:D$506,"Jan",'Unsafe Acts'!M$6:M$506,"Overdue")</f>
        <v/>
      </c>
      <c r="D50" s="126">
        <f>COUNTIFS('Unsafe Acts'!D$6:D$506,"Feb",'Unsafe Acts'!M$6:M$506,"Overdue")</f>
        <v/>
      </c>
      <c r="E50" s="126">
        <f>COUNTIFS('Unsafe Acts'!D$6:D$506,"Mar",'Unsafe Acts'!M$6:M$506,"Overdue")</f>
        <v/>
      </c>
      <c r="F50" s="126">
        <f>COUNTIFS('Unsafe Acts'!D$6:D$506,"Apr",'Unsafe Acts'!M$6:M$506,"Overdue")</f>
        <v/>
      </c>
      <c r="G50" s="126">
        <f>COUNTIFS('Unsafe Acts'!D$6:D$506,"May",'Unsafe Acts'!M$6:M$506,"Overdue")</f>
        <v/>
      </c>
      <c r="H50" s="126">
        <f>COUNTIFS('Unsafe Acts'!D$6:D$506,"Jun",'Unsafe Acts'!M$6:M$506,"Overdue")</f>
        <v/>
      </c>
      <c r="I50" s="126">
        <f>COUNTIFS('Unsafe Acts'!D$6:D$506,"Jul",'Unsafe Acts'!M$6:M$506,"Overdue")</f>
        <v/>
      </c>
      <c r="J50" s="126">
        <f>COUNTIFS('Unsafe Acts'!D$6:D$506,"Aug",'Unsafe Acts'!M$6:M$506,"Overdue")</f>
        <v/>
      </c>
      <c r="K50" s="126">
        <f>COUNTIFS('Unsafe Acts'!D$6:D$506,"Sep",'Unsafe Acts'!M$6:M$506,"Overdue")</f>
        <v/>
      </c>
      <c r="L50" s="126">
        <f>COUNTIFS('Unsafe Acts'!D$6:D$506,"Oct",'Unsafe Acts'!M$6:M$506,"Overdue")</f>
        <v/>
      </c>
      <c r="M50" s="126">
        <f>COUNTIFS('Unsafe Acts'!D$6:D$506,"Nov",'Unsafe Acts'!M$6:M$506,"Overdue")</f>
        <v/>
      </c>
      <c r="N50" s="126">
        <f>COUNTIFS('Unsafe Acts'!D$6:D$506,"Dec",'Unsafe Acts'!M$6:M$506,"Overdue")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COUNTIFS('Unsafe Acts'!D$6:D$506,"Jan",'Unsafe Acts'!M$6:M$506,"Pending")</f>
        <v/>
      </c>
      <c r="D51" s="129">
        <f>COUNTIFS('Unsafe Acts'!D$6:D$506,"Feb",'Unsafe Acts'!M$6:M$506,"Pending")</f>
        <v/>
      </c>
      <c r="E51" s="129">
        <f>COUNTIFS('Unsafe Acts'!D$6:D$506,"Mar",'Unsafe Acts'!M$6:M$506,"Pending")</f>
        <v/>
      </c>
      <c r="F51" s="129">
        <f>COUNTIFS('Unsafe Acts'!D$6:D$506,"Apr",'Unsafe Acts'!M$6:M$506,"Pending")</f>
        <v/>
      </c>
      <c r="G51" s="129">
        <f>COUNTIFS('Unsafe Acts'!D$6:D$506,"May",'Unsafe Acts'!M$6:M$506,"Pending")</f>
        <v/>
      </c>
      <c r="H51" s="129">
        <f>COUNTIFS('Unsafe Acts'!D$6:D$506,"Jun",'Unsafe Acts'!M$6:M$506,"Pending")</f>
        <v/>
      </c>
      <c r="I51" s="129">
        <f>COUNTIFS('Unsafe Acts'!D$6:D$506,"Jul",'Unsafe Acts'!M$6:M$506,"Pending")</f>
        <v/>
      </c>
      <c r="J51" s="129">
        <f>COUNTIFS('Unsafe Acts'!D$6:D$506,"Aug",'Unsafe Acts'!M$6:M$506,"Pending")</f>
        <v/>
      </c>
      <c r="K51" s="129">
        <f>COUNTIFS('Unsafe Acts'!D$6:D$506,"Sep",'Unsafe Acts'!M$6:M$506,"Pending")</f>
        <v/>
      </c>
      <c r="L51" s="129">
        <f>COUNTIFS('Unsafe Acts'!D$6:D$506,"Oct",'Unsafe Acts'!M$6:M$506,"Pending")</f>
        <v/>
      </c>
      <c r="M51" s="129">
        <f>COUNTIFS('Unsafe Acts'!D$6:D$506,"Nov",'Unsafe Acts'!M$6:M$506,"Pending")</f>
        <v/>
      </c>
      <c r="N51" s="129">
        <f>COUNTIFS('Unsafe Acts'!D$6:D$506,"Dec",'Unsafe Acts'!M$6:M$506,"Pending")</f>
        <v/>
      </c>
      <c r="O51" s="130">
        <f>SUM(C51:N51)</f>
        <v/>
      </c>
      <c r="P51" s="93" t="n"/>
      <c r="Q51" s="93" t="n"/>
    </row>
    <row r="52">
      <c r="A52" s="93" t="n"/>
      <c r="B52" s="116" t="inlineStr">
        <is>
          <t>Rate %</t>
        </is>
      </c>
      <c r="C52" s="138">
        <f>IF(C47=0,0,C48/C47)</f>
        <v/>
      </c>
      <c r="D52" s="138">
        <f>IF(D47=0,0,D48/D47)</f>
        <v/>
      </c>
      <c r="E52" s="138">
        <f>IF(E47=0,0,E48/E47)</f>
        <v/>
      </c>
      <c r="F52" s="138">
        <f>IF(F47=0,0,F48/F47)</f>
        <v/>
      </c>
      <c r="G52" s="138">
        <f>IF(G47=0,0,G48/G47)</f>
        <v/>
      </c>
      <c r="H52" s="138">
        <f>IF(H47=0,0,H48/H47)</f>
        <v/>
      </c>
      <c r="I52" s="138">
        <f>IF(I47=0,0,I48/I47)</f>
        <v/>
      </c>
      <c r="J52" s="138">
        <f>IF(J47=0,0,J48/J47)</f>
        <v/>
      </c>
      <c r="K52" s="138">
        <f>IF(K47=0,0,K48/K47)</f>
        <v/>
      </c>
      <c r="L52" s="138">
        <f>IF(L47=0,0,L48/L47)</f>
        <v/>
      </c>
      <c r="M52" s="138">
        <f>IF(M47=0,0,M48/M47)</f>
        <v/>
      </c>
      <c r="N52" s="138">
        <f>IF(N47=0,0,N48/N47)</f>
        <v/>
      </c>
      <c r="O52" s="138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EF5350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EF5350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tabColor rgb="FFE65100"/>
    <outlinePr summaryBelow="1" summaryRight="1"/>
    <pageSetUpPr/>
  </sheetPr>
  <dimension ref="A1:Q94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style="15" min="1" max="1"/>
    <col width="11" customWidth="1" style="15" min="2" max="4"/>
    <col width="2" customWidth="1" style="15" min="5" max="5"/>
    <col width="11" customWidth="1" style="15" min="6" max="8"/>
    <col width="2" customWidth="1" style="15" min="9" max="9"/>
    <col width="11" customWidth="1" style="15" min="10" max="12"/>
    <col width="2" customWidth="1" style="15" min="13" max="13"/>
    <col width="11" customWidth="1" style="15" min="14" max="16"/>
    <col width="2" customWidth="1" style="15" min="17" max="17"/>
  </cols>
  <sheetData>
    <row r="1" ht="51.75" customHeight="1" s="15">
      <c r="A1" s="280" t="inlineStr">
        <is>
          <t>🚧  DASHBOARD – UNSAFE CONDITIONS</t>
        </is>
      </c>
    </row>
    <row r="2" ht="24" customHeight="1" s="15">
      <c r="A2" s="281" t="inlineStr">
        <is>
          <t>Live data from 'Unsafe Conditions' sheet  ·  All KPIs auto-update</t>
        </is>
      </c>
    </row>
    <row r="3" ht="7.5" customHeight="1" s="15">
      <c r="A3" s="93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</row>
    <row r="4" ht="15.75" customHeight="1" s="15">
      <c r="A4" s="93" t="n"/>
      <c r="B4" s="282" t="inlineStr">
        <is>
          <t>🚧 TOTAL REPORTS</t>
        </is>
      </c>
      <c r="E4" s="93" t="n"/>
      <c r="F4" s="230" t="inlineStr">
        <is>
          <t>✅ COMPLETED</t>
        </is>
      </c>
      <c r="I4" s="93" t="n"/>
      <c r="J4" s="231" t="inlineStr">
        <is>
          <t>🔄 IN PROGRESS</t>
        </is>
      </c>
      <c r="M4" s="93" t="n"/>
      <c r="N4" s="243" t="inlineStr">
        <is>
          <t>❌ OVERDUE</t>
        </is>
      </c>
      <c r="Q4" s="93" t="n"/>
    </row>
    <row r="5" ht="43.5" customHeight="1" s="15">
      <c r="A5" s="93" t="n"/>
      <c r="B5" s="283">
        <f>COUNTA('Unsafe Conditions'!B$6:B$506)</f>
        <v/>
      </c>
      <c r="E5" s="93" t="n"/>
      <c r="F5" s="234">
        <f>COUNTIF('Unsafe Conditions'!M$6:M$506,"Completed")</f>
        <v/>
      </c>
      <c r="I5" s="93" t="n"/>
      <c r="J5" s="235">
        <f>COUNTIF('Unsafe Conditions'!M$6:M$506,"In Progress")</f>
        <v/>
      </c>
      <c r="M5" s="93" t="n"/>
      <c r="N5" s="277">
        <f>COUNTIF('Unsafe Conditions'!M$6:M$506,"Overdue")</f>
        <v/>
      </c>
      <c r="Q5" s="93" t="n"/>
    </row>
    <row r="6" ht="13.5" customHeight="1" s="15">
      <c r="A6" s="93" t="n"/>
      <c r="B6" s="284" t="n"/>
      <c r="E6" s="93" t="n"/>
      <c r="F6" s="262" t="n"/>
      <c r="I6" s="93" t="n"/>
      <c r="J6" s="263" t="n"/>
      <c r="M6" s="93" t="n"/>
      <c r="N6" s="270" t="n"/>
      <c r="Q6" s="93" t="n"/>
    </row>
    <row r="7" ht="6" customHeight="1" s="15">
      <c r="A7" s="93" t="n"/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</row>
    <row r="8" ht="15.75" customHeight="1" s="15">
      <c r="A8" s="93" t="n"/>
      <c r="B8" s="243" t="inlineStr">
        <is>
          <t>🔴 HIGH RISK</t>
        </is>
      </c>
      <c r="E8" s="93" t="n"/>
      <c r="F8" s="231" t="inlineStr">
        <is>
          <t>🟡 MEDIUM RISK</t>
        </is>
      </c>
      <c r="I8" s="93" t="n"/>
      <c r="J8" s="230" t="inlineStr">
        <is>
          <t>🟢 LOW RISK</t>
        </is>
      </c>
      <c r="M8" s="93" t="n"/>
      <c r="N8" s="242" t="inlineStr">
        <is>
          <t>📊 CLOSURE %</t>
        </is>
      </c>
      <c r="Q8" s="93" t="n"/>
    </row>
    <row r="9" ht="43.5" customHeight="1" s="15">
      <c r="A9" s="93" t="n"/>
      <c r="B9" s="277">
        <f>COUNTIF('Unsafe Conditions'!I$6:I$506,"High")</f>
        <v/>
      </c>
      <c r="E9" s="93" t="n"/>
      <c r="F9" s="235">
        <f>COUNTIF('Unsafe Conditions'!I$6:I$506,"Medium")</f>
        <v/>
      </c>
      <c r="I9" s="93" t="n"/>
      <c r="J9" s="234">
        <f>COUNTIF('Unsafe Conditions'!I$6:I$506,"Low")</f>
        <v/>
      </c>
      <c r="M9" s="93" t="n"/>
      <c r="N9" s="285">
        <f>IF(COUNTA('Unsafe Conditions'!B$6:B$506)=0,0,COUNTIF('Unsafe Conditions'!M$6:M$506,"Completed")/COUNTA('Unsafe Conditions'!B$6:B$506))</f>
        <v/>
      </c>
      <c r="Q9" s="93" t="n"/>
    </row>
    <row r="10" ht="13.5" customHeight="1" s="15">
      <c r="A10" s="93" t="n"/>
      <c r="B10" s="270" t="n"/>
      <c r="E10" s="93" t="n"/>
      <c r="F10" s="263" t="n"/>
      <c r="I10" s="93" t="n"/>
      <c r="J10" s="262" t="n"/>
      <c r="M10" s="93" t="n"/>
      <c r="N10" s="269" t="n"/>
      <c r="Q10" s="93" t="n"/>
    </row>
    <row r="11" ht="7.5" customHeight="1" s="15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</row>
    <row r="12" ht="15" customHeight="1" s="15">
      <c r="A12" s="93" t="n"/>
      <c r="B12" s="286" t="inlineStr">
        <is>
          <t>📅  Monthly Trend</t>
        </is>
      </c>
      <c r="I12" s="93" t="n"/>
      <c r="J12" s="286" t="inlineStr">
        <is>
          <t>📊  Status Distribution</t>
        </is>
      </c>
      <c r="Q12" s="93" t="n"/>
    </row>
    <row r="13" ht="27" customHeight="1" s="15">
      <c r="A13" s="93" t="n"/>
      <c r="B13" s="56" t="inlineStr">
        <is>
          <t>Jan</t>
        </is>
      </c>
      <c r="C13" s="56" t="inlineStr">
        <is>
          <t>Feb</t>
        </is>
      </c>
      <c r="D13" s="56" t="inlineStr">
        <is>
          <t>Mar</t>
        </is>
      </c>
      <c r="E13" s="56" t="inlineStr">
        <is>
          <t>Apr</t>
        </is>
      </c>
      <c r="F13" s="56" t="inlineStr">
        <is>
          <t>May</t>
        </is>
      </c>
      <c r="G13" s="56" t="inlineStr">
        <is>
          <t>Jun</t>
        </is>
      </c>
      <c r="H13" s="56" t="inlineStr">
        <is>
          <t>Jul</t>
        </is>
      </c>
      <c r="I13" s="56" t="inlineStr">
        <is>
          <t>Aug</t>
        </is>
      </c>
      <c r="J13" s="56" t="inlineStr">
        <is>
          <t>Sep</t>
        </is>
      </c>
      <c r="K13" s="56" t="inlineStr">
        <is>
          <t>Oct</t>
        </is>
      </c>
      <c r="L13" s="56" t="inlineStr">
        <is>
          <t>Nov</t>
        </is>
      </c>
      <c r="M13" s="56" t="inlineStr">
        <is>
          <t>Dec</t>
        </is>
      </c>
      <c r="N13" s="94" t="n"/>
      <c r="O13" s="95" t="inlineStr">
        <is>
          <t>Completed</t>
        </is>
      </c>
      <c r="P13" s="59">
        <f>COUNTIF('Unsafe Conditions'!M$6:M$506,"Completed")</f>
        <v/>
      </c>
      <c r="Q13" s="93" t="n"/>
    </row>
    <row r="14">
      <c r="A14" s="93" t="n"/>
      <c r="B14" s="59">
        <f>COUNTIF('Unsafe Conditions'!D$6:D$506,"Jan")</f>
        <v/>
      </c>
      <c r="C14" s="59">
        <f>COUNTIF('Unsafe Conditions'!D$6:D$506,"Feb")</f>
        <v/>
      </c>
      <c r="D14" s="59">
        <f>COUNTIF('Unsafe Conditions'!D$6:D$506,"Mar")</f>
        <v/>
      </c>
      <c r="E14" s="59">
        <f>COUNTIF('Unsafe Conditions'!D$6:D$506,"Apr")</f>
        <v/>
      </c>
      <c r="F14" s="59">
        <f>COUNTIF('Unsafe Conditions'!D$6:D$506,"May")</f>
        <v/>
      </c>
      <c r="G14" s="59">
        <f>COUNTIF('Unsafe Conditions'!D$6:D$506,"Jun")</f>
        <v/>
      </c>
      <c r="H14" s="59">
        <f>COUNTIF('Unsafe Conditions'!D$6:D$506,"Jul")</f>
        <v/>
      </c>
      <c r="I14" s="59">
        <f>COUNTIF('Unsafe Conditions'!D$6:D$506,"Aug")</f>
        <v/>
      </c>
      <c r="J14" s="59">
        <f>COUNTIF('Unsafe Conditions'!D$6:D$506,"Sep")</f>
        <v/>
      </c>
      <c r="K14" s="59">
        <f>COUNTIF('Unsafe Conditions'!D$6:D$506,"Oct")</f>
        <v/>
      </c>
      <c r="L14" s="59">
        <f>COUNTIF('Unsafe Conditions'!D$6:D$506,"Nov")</f>
        <v/>
      </c>
      <c r="M14" s="59">
        <f>COUNTIF('Unsafe Conditions'!D$6:D$506,"Dec")</f>
        <v/>
      </c>
      <c r="N14" s="94" t="n"/>
      <c r="O14" s="95" t="inlineStr">
        <is>
          <t>In Progress</t>
        </is>
      </c>
      <c r="P14" s="59">
        <f>COUNTIF('Unsafe Conditions'!M$6:M$506,"In Progress")</f>
        <v/>
      </c>
      <c r="Q14" s="93" t="n"/>
    </row>
    <row r="15">
      <c r="A15" s="93" t="n"/>
      <c r="B15" s="60">
        <f>COUNTIFS('Unsafe Conditions'!D$6:D$506,"Jan",'Unsafe Conditions'!M$6:M$506,"Completed")</f>
        <v/>
      </c>
      <c r="C15" s="60">
        <f>COUNTIFS('Unsafe Conditions'!D$6:D$506,"Feb",'Unsafe Conditions'!M$6:M$506,"Completed")</f>
        <v/>
      </c>
      <c r="D15" s="60">
        <f>COUNTIFS('Unsafe Conditions'!D$6:D$506,"Mar",'Unsafe Conditions'!M$6:M$506,"Completed")</f>
        <v/>
      </c>
      <c r="E15" s="60">
        <f>COUNTIFS('Unsafe Conditions'!D$6:D$506,"Apr",'Unsafe Conditions'!M$6:M$506,"Completed")</f>
        <v/>
      </c>
      <c r="F15" s="60">
        <f>COUNTIFS('Unsafe Conditions'!D$6:D$506,"May",'Unsafe Conditions'!M$6:M$506,"Completed")</f>
        <v/>
      </c>
      <c r="G15" s="60">
        <f>COUNTIFS('Unsafe Conditions'!D$6:D$506,"Jun",'Unsafe Conditions'!M$6:M$506,"Completed")</f>
        <v/>
      </c>
      <c r="H15" s="60">
        <f>COUNTIFS('Unsafe Conditions'!D$6:D$506,"Jul",'Unsafe Conditions'!M$6:M$506,"Completed")</f>
        <v/>
      </c>
      <c r="I15" s="60">
        <f>COUNTIFS('Unsafe Conditions'!D$6:D$506,"Aug",'Unsafe Conditions'!M$6:M$506,"Completed")</f>
        <v/>
      </c>
      <c r="J15" s="60">
        <f>COUNTIFS('Unsafe Conditions'!D$6:D$506,"Sep",'Unsafe Conditions'!M$6:M$506,"Completed")</f>
        <v/>
      </c>
      <c r="K15" s="60">
        <f>COUNTIFS('Unsafe Conditions'!D$6:D$506,"Oct",'Unsafe Conditions'!M$6:M$506,"Completed")</f>
        <v/>
      </c>
      <c r="L15" s="60">
        <f>COUNTIFS('Unsafe Conditions'!D$6:D$506,"Nov",'Unsafe Conditions'!M$6:M$506,"Completed")</f>
        <v/>
      </c>
      <c r="M15" s="60">
        <f>COUNTIFS('Unsafe Conditions'!D$6:D$506,"Dec",'Unsafe Conditions'!M$6:M$506,"Completed")</f>
        <v/>
      </c>
      <c r="N15" s="94" t="n"/>
      <c r="O15" s="95" t="inlineStr">
        <is>
          <t>Overdue</t>
        </is>
      </c>
      <c r="P15" s="59">
        <f>COUNTIF('Unsafe Conditions'!M$6:M$506,"Overdue")</f>
        <v/>
      </c>
      <c r="Q15" s="93" t="n"/>
    </row>
    <row r="16">
      <c r="A16" s="93" t="n"/>
      <c r="B16" s="94" t="n"/>
      <c r="C16" s="94" t="n"/>
      <c r="D16" s="94" t="n"/>
      <c r="E16" s="94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5" t="inlineStr">
        <is>
          <t>Pending</t>
        </is>
      </c>
      <c r="P16" s="59">
        <f>COUNTIF('Unsafe Conditions'!M$6:M$506,"Pending")</f>
        <v/>
      </c>
      <c r="Q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4" t="n"/>
      <c r="K17" s="94" t="n"/>
      <c r="L17" s="94" t="n"/>
      <c r="M17" s="94" t="n"/>
      <c r="N17" s="94" t="n"/>
      <c r="O17" s="94" t="n"/>
      <c r="P17" s="94" t="n"/>
      <c r="Q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4" t="n"/>
      <c r="K18" s="94" t="n"/>
      <c r="L18" s="94" t="n"/>
      <c r="M18" s="94" t="n"/>
      <c r="N18" s="94" t="n"/>
      <c r="O18" s="94" t="n"/>
      <c r="P18" s="94" t="n"/>
      <c r="Q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4" t="n"/>
      <c r="K19" s="94" t="n"/>
      <c r="L19" s="94" t="n"/>
      <c r="M19" s="94" t="n"/>
      <c r="N19" s="94" t="n"/>
      <c r="O19" s="94" t="n"/>
      <c r="P19" s="94" t="n"/>
      <c r="Q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</row>
    <row r="30" ht="7.5" customHeight="1" s="15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</row>
    <row r="31" ht="15" customHeight="1" s="15">
      <c r="A31" s="93" t="n"/>
      <c r="B31" s="286" t="inlineStr">
        <is>
          <t>🏢  Department Breakdown</t>
        </is>
      </c>
      <c r="I31" s="93" t="n"/>
      <c r="J31" s="286" t="inlineStr">
        <is>
          <t>🏷️  Risk Level Breakdown</t>
        </is>
      </c>
      <c r="Q31" s="93" t="n"/>
    </row>
    <row r="32" ht="56.25" customHeight="1" s="15">
      <c r="A32" s="93" t="n"/>
      <c r="B32" s="119" t="inlineStr">
        <is>
          <t>Department</t>
        </is>
      </c>
      <c r="C32" s="119" t="inlineStr">
        <is>
          <t>Count</t>
        </is>
      </c>
      <c r="D32" s="119" t="inlineStr">
        <is>
          <t>Completed</t>
        </is>
      </c>
      <c r="E32" s="119" t="inlineStr">
        <is>
          <t>Rate %</t>
        </is>
      </c>
      <c r="F32" s="93" t="n"/>
      <c r="G32" s="93" t="n"/>
      <c r="H32" s="93" t="n"/>
      <c r="I32" s="93" t="n"/>
      <c r="J32" s="94" t="n"/>
      <c r="K32" s="94" t="n"/>
      <c r="L32" s="94" t="n"/>
      <c r="M32" s="94" t="n"/>
      <c r="N32" s="94" t="n"/>
      <c r="O32" s="95" t="inlineStr">
        <is>
          <t>High</t>
        </is>
      </c>
      <c r="P32" s="59">
        <f>COUNTIF('Unsafe Conditions'!I$6:I$506,O32)</f>
        <v/>
      </c>
      <c r="Q32" s="93" t="n"/>
    </row>
    <row r="33">
      <c r="A33" s="93" t="n"/>
      <c r="B33" s="97" t="inlineStr">
        <is>
          <t>Operations</t>
        </is>
      </c>
      <c r="C33" s="63">
        <f>COUNTIF('Unsafe Conditions'!F$6:F$506,B33)</f>
        <v/>
      </c>
      <c r="D33" s="63">
        <f>COUNTIFS('Unsafe Conditions'!F$6:F$506,B33,'Unsafe Conditions'!M$6:M$506,"Completed")</f>
        <v/>
      </c>
      <c r="E33" s="64">
        <f>IF(C33=0,0,D33/C33)</f>
        <v/>
      </c>
      <c r="F33" s="93" t="n"/>
      <c r="G33" s="93" t="n"/>
      <c r="H33" s="93" t="n"/>
      <c r="I33" s="93" t="n"/>
      <c r="J33" s="94" t="n"/>
      <c r="K33" s="94" t="n"/>
      <c r="L33" s="94" t="n"/>
      <c r="M33" s="94" t="n"/>
      <c r="N33" s="94" t="n"/>
      <c r="O33" s="95" t="inlineStr">
        <is>
          <t>Medium</t>
        </is>
      </c>
      <c r="P33" s="59">
        <f>COUNTIF('Unsafe Conditions'!I$6:I$506,O33)</f>
        <v/>
      </c>
      <c r="Q33" s="93" t="n"/>
    </row>
    <row r="34">
      <c r="A34" s="93" t="n"/>
      <c r="B34" s="120" t="inlineStr">
        <is>
          <t>Maintenance</t>
        </is>
      </c>
      <c r="C34" s="121">
        <f>COUNTIF('Unsafe Conditions'!F$6:F$506,B34)</f>
        <v/>
      </c>
      <c r="D34" s="121">
        <f>COUNTIFS('Unsafe Conditions'!F$6:F$506,B34,'Unsafe Conditions'!M$6:M$506,"Completed")</f>
        <v/>
      </c>
      <c r="E34" s="122">
        <f>IF(C34=0,0,D34/C34)</f>
        <v/>
      </c>
      <c r="F34" s="93" t="n"/>
      <c r="G34" s="93" t="n"/>
      <c r="H34" s="93" t="n"/>
      <c r="I34" s="93" t="n"/>
      <c r="J34" s="94" t="n"/>
      <c r="K34" s="94" t="n"/>
      <c r="L34" s="94" t="n"/>
      <c r="M34" s="94" t="n"/>
      <c r="N34" s="94" t="n"/>
      <c r="O34" s="95" t="inlineStr">
        <is>
          <t>Low</t>
        </is>
      </c>
      <c r="P34" s="59">
        <f>COUNTIF('Unsafe Conditions'!I$6:I$506,O34)</f>
        <v/>
      </c>
      <c r="Q34" s="93" t="n"/>
    </row>
    <row r="35">
      <c r="A35" s="93" t="n"/>
      <c r="B35" s="97" t="inlineStr">
        <is>
          <t>Engineering</t>
        </is>
      </c>
      <c r="C35" s="63">
        <f>COUNTIF('Unsafe Conditions'!F$6:F$506,B35)</f>
        <v/>
      </c>
      <c r="D35" s="63">
        <f>COUNTIFS('Unsafe Conditions'!F$6:F$506,B35,'Unsafe Conditions'!M$6:M$506,"Completed")</f>
        <v/>
      </c>
      <c r="E35" s="64">
        <f>IF(C35=0,0,D35/C35)</f>
        <v/>
      </c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</row>
    <row r="36">
      <c r="A36" s="93" t="n"/>
      <c r="B36" s="120" t="inlineStr">
        <is>
          <t>Construction</t>
        </is>
      </c>
      <c r="C36" s="121">
        <f>COUNTIF('Unsafe Conditions'!F$6:F$506,B36)</f>
        <v/>
      </c>
      <c r="D36" s="121">
        <f>COUNTIFS('Unsafe Conditions'!F$6:F$506,B36,'Unsafe Conditions'!M$6:M$506,"Completed")</f>
        <v/>
      </c>
      <c r="E36" s="122">
        <f>IF(C36=0,0,D36/C36)</f>
        <v/>
      </c>
      <c r="F36" s="93" t="n"/>
      <c r="G36" s="93" t="n"/>
      <c r="H36" s="93" t="n"/>
      <c r="I36" s="93" t="n"/>
      <c r="J36" s="93" t="n"/>
      <c r="K36" s="93" t="n"/>
      <c r="L36" s="93" t="n"/>
      <c r="M36" s="93" t="n"/>
      <c r="N36" s="93" t="n"/>
      <c r="O36" s="93" t="n"/>
      <c r="P36" s="93" t="n"/>
      <c r="Q36" s="93" t="n"/>
    </row>
    <row r="37">
      <c r="A37" s="93" t="n"/>
      <c r="B37" s="97" t="inlineStr">
        <is>
          <t>Safety</t>
        </is>
      </c>
      <c r="C37" s="63">
        <f>COUNTIF('Unsafe Conditions'!F$6:F$506,B37)</f>
        <v/>
      </c>
      <c r="D37" s="63">
        <f>COUNTIFS('Unsafe Conditions'!F$6:F$506,B37,'Unsafe Conditions'!M$6:M$506,"Completed")</f>
        <v/>
      </c>
      <c r="E37" s="64">
        <f>IF(C37=0,0,D37/C37)</f>
        <v/>
      </c>
      <c r="F37" s="93" t="n"/>
      <c r="G37" s="93" t="n"/>
      <c r="H37" s="93" t="n"/>
      <c r="I37" s="93" t="n"/>
      <c r="J37" s="93" t="n"/>
      <c r="K37" s="93" t="n"/>
      <c r="L37" s="93" t="n"/>
      <c r="M37" s="93" t="n"/>
      <c r="N37" s="93" t="n"/>
      <c r="O37" s="93" t="n"/>
      <c r="P37" s="93" t="n"/>
      <c r="Q37" s="93" t="n"/>
    </row>
    <row r="38">
      <c r="A38" s="93" t="n"/>
      <c r="B38" s="120" t="inlineStr">
        <is>
          <t>Logistics</t>
        </is>
      </c>
      <c r="C38" s="121">
        <f>COUNTIF('Unsafe Conditions'!F$6:F$506,B38)</f>
        <v/>
      </c>
      <c r="D38" s="121">
        <f>COUNTIFS('Unsafe Conditions'!F$6:F$506,B38,'Unsafe Conditions'!M$6:M$506,"Completed")</f>
        <v/>
      </c>
      <c r="E38" s="122">
        <f>IF(C38=0,0,D38/C38)</f>
        <v/>
      </c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</row>
    <row r="39">
      <c r="A39" s="93" t="n"/>
      <c r="B39" s="97" t="inlineStr">
        <is>
          <t>Quality</t>
        </is>
      </c>
      <c r="C39" s="63">
        <f>COUNTIF('Unsafe Conditions'!F$6:F$506,B39)</f>
        <v/>
      </c>
      <c r="D39" s="63">
        <f>COUNTIFS('Unsafe Conditions'!F$6:F$506,B39,'Unsafe Conditions'!M$6:M$506,"Completed")</f>
        <v/>
      </c>
      <c r="E39" s="64">
        <f>IF(C39=0,0,D39/C39)</f>
        <v/>
      </c>
      <c r="F39" s="93" t="n"/>
      <c r="G39" s="93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</row>
    <row r="40">
      <c r="A40" s="93" t="n"/>
      <c r="B40" s="120" t="inlineStr">
        <is>
          <t>Admin</t>
        </is>
      </c>
      <c r="C40" s="121">
        <f>COUNTIF('Unsafe Conditions'!F$6:F$506,B40)</f>
        <v/>
      </c>
      <c r="D40" s="121">
        <f>COUNTIFS('Unsafe Conditions'!F$6:F$506,B40,'Unsafe Conditions'!M$6:M$506,"Completed")</f>
        <v/>
      </c>
      <c r="E40" s="122">
        <f>IF(C40=0,0,D40/C40)</f>
        <v/>
      </c>
      <c r="F40" s="93" t="n"/>
      <c r="G40" s="93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</row>
    <row r="41">
      <c r="A41" s="93" t="n"/>
      <c r="B41" s="97" t="inlineStr">
        <is>
          <t>Projects</t>
        </is>
      </c>
      <c r="C41" s="63">
        <f>COUNTIF('Unsafe Conditions'!F$6:F$506,B41)</f>
        <v/>
      </c>
      <c r="D41" s="63">
        <f>COUNTIFS('Unsafe Conditions'!F$6:F$506,B41,'Unsafe Conditions'!M$6:M$506,"Completed")</f>
        <v/>
      </c>
      <c r="E41" s="64">
        <f>IF(C41=0,0,D41/C41)</f>
        <v/>
      </c>
      <c r="F41" s="93" t="n"/>
      <c r="G41" s="93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</row>
    <row r="42">
      <c r="A42" s="93" t="n"/>
      <c r="B42" s="120" t="inlineStr">
        <is>
          <t>Contractor</t>
        </is>
      </c>
      <c r="C42" s="121">
        <f>COUNTIF('Unsafe Conditions'!F$6:F$506,B42)</f>
        <v/>
      </c>
      <c r="D42" s="121">
        <f>COUNTIFS('Unsafe Conditions'!F$6:F$506,B42,'Unsafe Conditions'!M$6:M$506,"Completed")</f>
        <v/>
      </c>
      <c r="E42" s="122">
        <f>IF(C42=0,0,D42/C42)</f>
        <v/>
      </c>
      <c r="F42" s="93" t="n"/>
      <c r="G42" s="93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</row>
    <row r="43">
      <c r="A43" s="93" t="n"/>
      <c r="B43" s="93" t="n"/>
      <c r="C43" s="93" t="n"/>
      <c r="D43" s="93" t="n"/>
      <c r="E43" s="93" t="n"/>
      <c r="F43" s="93" t="n"/>
      <c r="G43" s="93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</row>
    <row r="44">
      <c r="A44" s="93" t="n"/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93" t="n"/>
      <c r="L44" s="93" t="n"/>
      <c r="M44" s="93" t="n"/>
      <c r="N44" s="93" t="n"/>
      <c r="O44" s="93" t="n"/>
      <c r="P44" s="93" t="n"/>
      <c r="Q44" s="93" t="n"/>
    </row>
    <row r="45" ht="15" customHeight="1" s="15">
      <c r="A45" s="93" t="n"/>
      <c r="B45" s="286" t="inlineStr">
        <is>
          <t>📈  Monthly Performance Matrix</t>
        </is>
      </c>
      <c r="Q45" s="93" t="n"/>
    </row>
    <row r="46" ht="33.75" customHeight="1" s="15">
      <c r="A46" s="93" t="n"/>
      <c r="B46" s="119" t="inlineStr">
        <is>
          <t>Metric</t>
        </is>
      </c>
      <c r="C46" s="119" t="inlineStr">
        <is>
          <t>Jan</t>
        </is>
      </c>
      <c r="D46" s="119" t="inlineStr">
        <is>
          <t>Feb</t>
        </is>
      </c>
      <c r="E46" s="119" t="inlineStr">
        <is>
          <t>Mar</t>
        </is>
      </c>
      <c r="F46" s="119" t="inlineStr">
        <is>
          <t>Apr</t>
        </is>
      </c>
      <c r="G46" s="119" t="inlineStr">
        <is>
          <t>May</t>
        </is>
      </c>
      <c r="H46" s="119" t="inlineStr">
        <is>
          <t>Jun</t>
        </is>
      </c>
      <c r="I46" s="119" t="inlineStr">
        <is>
          <t>Jul</t>
        </is>
      </c>
      <c r="J46" s="119" t="inlineStr">
        <is>
          <t>Aug</t>
        </is>
      </c>
      <c r="K46" s="119" t="inlineStr">
        <is>
          <t>Sep</t>
        </is>
      </c>
      <c r="L46" s="119" t="inlineStr">
        <is>
          <t>Oct</t>
        </is>
      </c>
      <c r="M46" s="119" t="inlineStr">
        <is>
          <t>Nov</t>
        </is>
      </c>
      <c r="N46" s="119" t="inlineStr">
        <is>
          <t>Dec</t>
        </is>
      </c>
      <c r="O46" s="119" t="inlineStr">
        <is>
          <t>YTD</t>
        </is>
      </c>
      <c r="P46" s="93" t="n"/>
      <c r="Q46" s="93" t="n"/>
    </row>
    <row r="47">
      <c r="A47" s="93" t="n"/>
      <c r="B47" s="97" t="inlineStr">
        <is>
          <t>Total</t>
        </is>
      </c>
      <c r="C47" s="63">
        <f>COUNTIF('Unsafe Conditions'!D$6:D$506,"Jan")</f>
        <v/>
      </c>
      <c r="D47" s="63">
        <f>COUNTIF('Unsafe Conditions'!D$6:D$506,"Feb")</f>
        <v/>
      </c>
      <c r="E47" s="63">
        <f>COUNTIF('Unsafe Conditions'!D$6:D$506,"Mar")</f>
        <v/>
      </c>
      <c r="F47" s="63">
        <f>COUNTIF('Unsafe Conditions'!D$6:D$506,"Apr")</f>
        <v/>
      </c>
      <c r="G47" s="63">
        <f>COUNTIF('Unsafe Conditions'!D$6:D$506,"May")</f>
        <v/>
      </c>
      <c r="H47" s="63">
        <f>COUNTIF('Unsafe Conditions'!D$6:D$506,"Jun")</f>
        <v/>
      </c>
      <c r="I47" s="63">
        <f>COUNTIF('Unsafe Conditions'!D$6:D$506,"Jul")</f>
        <v/>
      </c>
      <c r="J47" s="63">
        <f>COUNTIF('Unsafe Conditions'!D$6:D$506,"Aug")</f>
        <v/>
      </c>
      <c r="K47" s="63">
        <f>COUNTIF('Unsafe Conditions'!D$6:D$506,"Sep")</f>
        <v/>
      </c>
      <c r="L47" s="63">
        <f>COUNTIF('Unsafe Conditions'!D$6:D$506,"Oct")</f>
        <v/>
      </c>
      <c r="M47" s="63">
        <f>COUNTIF('Unsafe Conditions'!D$6:D$506,"Nov")</f>
        <v/>
      </c>
      <c r="N47" s="63">
        <f>COUNTIF('Unsafe Conditions'!D$6:D$506,"Dec")</f>
        <v/>
      </c>
      <c r="O47" s="123">
        <f>SUM(C47:N47)</f>
        <v/>
      </c>
      <c r="P47" s="93" t="n"/>
      <c r="Q47" s="93" t="n"/>
    </row>
    <row r="48">
      <c r="A48" s="93" t="n"/>
      <c r="B48" s="124" t="inlineStr">
        <is>
          <t>Completed</t>
        </is>
      </c>
      <c r="C48" s="76">
        <f>COUNTIFS('Unsafe Conditions'!D$6:D$506,"Jan",'Unsafe Conditions'!M$6:M$506,"Completed")</f>
        <v/>
      </c>
      <c r="D48" s="76">
        <f>COUNTIFS('Unsafe Conditions'!D$6:D$506,"Feb",'Unsafe Conditions'!M$6:M$506,"Completed")</f>
        <v/>
      </c>
      <c r="E48" s="76">
        <f>COUNTIFS('Unsafe Conditions'!D$6:D$506,"Mar",'Unsafe Conditions'!M$6:M$506,"Completed")</f>
        <v/>
      </c>
      <c r="F48" s="76">
        <f>COUNTIFS('Unsafe Conditions'!D$6:D$506,"Apr",'Unsafe Conditions'!M$6:M$506,"Completed")</f>
        <v/>
      </c>
      <c r="G48" s="76">
        <f>COUNTIFS('Unsafe Conditions'!D$6:D$506,"May",'Unsafe Conditions'!M$6:M$506,"Completed")</f>
        <v/>
      </c>
      <c r="H48" s="76">
        <f>COUNTIFS('Unsafe Conditions'!D$6:D$506,"Jun",'Unsafe Conditions'!M$6:M$506,"Completed")</f>
        <v/>
      </c>
      <c r="I48" s="76">
        <f>COUNTIFS('Unsafe Conditions'!D$6:D$506,"Jul",'Unsafe Conditions'!M$6:M$506,"Completed")</f>
        <v/>
      </c>
      <c r="J48" s="76">
        <f>COUNTIFS('Unsafe Conditions'!D$6:D$506,"Aug",'Unsafe Conditions'!M$6:M$506,"Completed")</f>
        <v/>
      </c>
      <c r="K48" s="76">
        <f>COUNTIFS('Unsafe Conditions'!D$6:D$506,"Sep",'Unsafe Conditions'!M$6:M$506,"Completed")</f>
        <v/>
      </c>
      <c r="L48" s="76">
        <f>COUNTIFS('Unsafe Conditions'!D$6:D$506,"Oct",'Unsafe Conditions'!M$6:M$506,"Completed")</f>
        <v/>
      </c>
      <c r="M48" s="76">
        <f>COUNTIFS('Unsafe Conditions'!D$6:D$506,"Nov",'Unsafe Conditions'!M$6:M$506,"Completed")</f>
        <v/>
      </c>
      <c r="N48" s="76">
        <f>COUNTIFS('Unsafe Conditions'!D$6:D$506,"Dec",'Unsafe Conditions'!M$6:M$506,"Completed")</f>
        <v/>
      </c>
      <c r="O48" s="77">
        <f>SUM(C48:N48)</f>
        <v/>
      </c>
      <c r="P48" s="93" t="n"/>
      <c r="Q48" s="93" t="n"/>
    </row>
    <row r="49">
      <c r="A49" s="93" t="n"/>
      <c r="B49" s="113" t="inlineStr">
        <is>
          <t>In Progress</t>
        </is>
      </c>
      <c r="C49" s="114">
        <f>COUNTIFS('Unsafe Conditions'!D$6:D$506,"Jan",'Unsafe Conditions'!M$6:M$506,"In Progress")</f>
        <v/>
      </c>
      <c r="D49" s="114">
        <f>COUNTIFS('Unsafe Conditions'!D$6:D$506,"Feb",'Unsafe Conditions'!M$6:M$506,"In Progress")</f>
        <v/>
      </c>
      <c r="E49" s="114">
        <f>COUNTIFS('Unsafe Conditions'!D$6:D$506,"Mar",'Unsafe Conditions'!M$6:M$506,"In Progress")</f>
        <v/>
      </c>
      <c r="F49" s="114">
        <f>COUNTIFS('Unsafe Conditions'!D$6:D$506,"Apr",'Unsafe Conditions'!M$6:M$506,"In Progress")</f>
        <v/>
      </c>
      <c r="G49" s="114">
        <f>COUNTIFS('Unsafe Conditions'!D$6:D$506,"May",'Unsafe Conditions'!M$6:M$506,"In Progress")</f>
        <v/>
      </c>
      <c r="H49" s="114">
        <f>COUNTIFS('Unsafe Conditions'!D$6:D$506,"Jun",'Unsafe Conditions'!M$6:M$506,"In Progress")</f>
        <v/>
      </c>
      <c r="I49" s="114">
        <f>COUNTIFS('Unsafe Conditions'!D$6:D$506,"Jul",'Unsafe Conditions'!M$6:M$506,"In Progress")</f>
        <v/>
      </c>
      <c r="J49" s="114">
        <f>COUNTIFS('Unsafe Conditions'!D$6:D$506,"Aug",'Unsafe Conditions'!M$6:M$506,"In Progress")</f>
        <v/>
      </c>
      <c r="K49" s="114">
        <f>COUNTIFS('Unsafe Conditions'!D$6:D$506,"Sep",'Unsafe Conditions'!M$6:M$506,"In Progress")</f>
        <v/>
      </c>
      <c r="L49" s="114">
        <f>COUNTIFS('Unsafe Conditions'!D$6:D$506,"Oct",'Unsafe Conditions'!M$6:M$506,"In Progress")</f>
        <v/>
      </c>
      <c r="M49" s="114">
        <f>COUNTIFS('Unsafe Conditions'!D$6:D$506,"Nov",'Unsafe Conditions'!M$6:M$506,"In Progress")</f>
        <v/>
      </c>
      <c r="N49" s="114">
        <f>COUNTIFS('Unsafe Conditions'!D$6:D$506,"Dec",'Unsafe Conditions'!M$6:M$506,"In Progress")</f>
        <v/>
      </c>
      <c r="O49" s="115">
        <f>SUM(C49:N49)</f>
        <v/>
      </c>
      <c r="P49" s="93" t="n"/>
      <c r="Q49" s="93" t="n"/>
    </row>
    <row r="50">
      <c r="A50" s="93" t="n"/>
      <c r="B50" s="125" t="inlineStr">
        <is>
          <t>Overdue</t>
        </is>
      </c>
      <c r="C50" s="126">
        <f>COUNTIFS('Unsafe Conditions'!D$6:D$506,"Jan",'Unsafe Conditions'!M$6:M$506,"Overdue")</f>
        <v/>
      </c>
      <c r="D50" s="126">
        <f>COUNTIFS('Unsafe Conditions'!D$6:D$506,"Feb",'Unsafe Conditions'!M$6:M$506,"Overdue")</f>
        <v/>
      </c>
      <c r="E50" s="126">
        <f>COUNTIFS('Unsafe Conditions'!D$6:D$506,"Mar",'Unsafe Conditions'!M$6:M$506,"Overdue")</f>
        <v/>
      </c>
      <c r="F50" s="126">
        <f>COUNTIFS('Unsafe Conditions'!D$6:D$506,"Apr",'Unsafe Conditions'!M$6:M$506,"Overdue")</f>
        <v/>
      </c>
      <c r="G50" s="126">
        <f>COUNTIFS('Unsafe Conditions'!D$6:D$506,"May",'Unsafe Conditions'!M$6:M$506,"Overdue")</f>
        <v/>
      </c>
      <c r="H50" s="126">
        <f>COUNTIFS('Unsafe Conditions'!D$6:D$506,"Jun",'Unsafe Conditions'!M$6:M$506,"Overdue")</f>
        <v/>
      </c>
      <c r="I50" s="126">
        <f>COUNTIFS('Unsafe Conditions'!D$6:D$506,"Jul",'Unsafe Conditions'!M$6:M$506,"Overdue")</f>
        <v/>
      </c>
      <c r="J50" s="126">
        <f>COUNTIFS('Unsafe Conditions'!D$6:D$506,"Aug",'Unsafe Conditions'!M$6:M$506,"Overdue")</f>
        <v/>
      </c>
      <c r="K50" s="126">
        <f>COUNTIFS('Unsafe Conditions'!D$6:D$506,"Sep",'Unsafe Conditions'!M$6:M$506,"Overdue")</f>
        <v/>
      </c>
      <c r="L50" s="126">
        <f>COUNTIFS('Unsafe Conditions'!D$6:D$506,"Oct",'Unsafe Conditions'!M$6:M$506,"Overdue")</f>
        <v/>
      </c>
      <c r="M50" s="126">
        <f>COUNTIFS('Unsafe Conditions'!D$6:D$506,"Nov",'Unsafe Conditions'!M$6:M$506,"Overdue")</f>
        <v/>
      </c>
      <c r="N50" s="126">
        <f>COUNTIFS('Unsafe Conditions'!D$6:D$506,"Dec",'Unsafe Conditions'!M$6:M$506,"Overdue")</f>
        <v/>
      </c>
      <c r="O50" s="127">
        <f>SUM(C50:N50)</f>
        <v/>
      </c>
      <c r="P50" s="93" t="n"/>
      <c r="Q50" s="93" t="n"/>
    </row>
    <row r="51">
      <c r="A51" s="93" t="n"/>
      <c r="B51" s="128" t="inlineStr">
        <is>
          <t>Pending</t>
        </is>
      </c>
      <c r="C51" s="129">
        <f>COUNTIFS('Unsafe Conditions'!D$6:D$506,"Jan",'Unsafe Conditions'!M$6:M$506,"Pending")</f>
        <v/>
      </c>
      <c r="D51" s="129">
        <f>COUNTIFS('Unsafe Conditions'!D$6:D$506,"Feb",'Unsafe Conditions'!M$6:M$506,"Pending")</f>
        <v/>
      </c>
      <c r="E51" s="129">
        <f>COUNTIFS('Unsafe Conditions'!D$6:D$506,"Mar",'Unsafe Conditions'!M$6:M$506,"Pending")</f>
        <v/>
      </c>
      <c r="F51" s="129">
        <f>COUNTIFS('Unsafe Conditions'!D$6:D$506,"Apr",'Unsafe Conditions'!M$6:M$506,"Pending")</f>
        <v/>
      </c>
      <c r="G51" s="129">
        <f>COUNTIFS('Unsafe Conditions'!D$6:D$506,"May",'Unsafe Conditions'!M$6:M$506,"Pending")</f>
        <v/>
      </c>
      <c r="H51" s="129">
        <f>COUNTIFS('Unsafe Conditions'!D$6:D$506,"Jun",'Unsafe Conditions'!M$6:M$506,"Pending")</f>
        <v/>
      </c>
      <c r="I51" s="129">
        <f>COUNTIFS('Unsafe Conditions'!D$6:D$506,"Jul",'Unsafe Conditions'!M$6:M$506,"Pending")</f>
        <v/>
      </c>
      <c r="J51" s="129">
        <f>COUNTIFS('Unsafe Conditions'!D$6:D$506,"Aug",'Unsafe Conditions'!M$6:M$506,"Pending")</f>
        <v/>
      </c>
      <c r="K51" s="129">
        <f>COUNTIFS('Unsafe Conditions'!D$6:D$506,"Sep",'Unsafe Conditions'!M$6:M$506,"Pending")</f>
        <v/>
      </c>
      <c r="L51" s="129">
        <f>COUNTIFS('Unsafe Conditions'!D$6:D$506,"Oct",'Unsafe Conditions'!M$6:M$506,"Pending")</f>
        <v/>
      </c>
      <c r="M51" s="129">
        <f>COUNTIFS('Unsafe Conditions'!D$6:D$506,"Nov",'Unsafe Conditions'!M$6:M$506,"Pending")</f>
        <v/>
      </c>
      <c r="N51" s="129">
        <f>COUNTIFS('Unsafe Conditions'!D$6:D$506,"Dec",'Unsafe Conditions'!M$6:M$506,"Pending")</f>
        <v/>
      </c>
      <c r="O51" s="130">
        <f>SUM(C51:N51)</f>
        <v/>
      </c>
      <c r="P51" s="93" t="n"/>
      <c r="Q51" s="93" t="n"/>
    </row>
    <row r="52">
      <c r="A52" s="93" t="n"/>
      <c r="B52" s="131" t="inlineStr">
        <is>
          <t>Rate %</t>
        </is>
      </c>
      <c r="C52" s="132">
        <f>IF(C47=0,0,C48/C47)</f>
        <v/>
      </c>
      <c r="D52" s="132">
        <f>IF(D47=0,0,D48/D47)</f>
        <v/>
      </c>
      <c r="E52" s="132">
        <f>IF(E47=0,0,E48/E47)</f>
        <v/>
      </c>
      <c r="F52" s="132">
        <f>IF(F47=0,0,F48/F47)</f>
        <v/>
      </c>
      <c r="G52" s="132">
        <f>IF(G47=0,0,G48/G47)</f>
        <v/>
      </c>
      <c r="H52" s="132">
        <f>IF(H47=0,0,H48/H47)</f>
        <v/>
      </c>
      <c r="I52" s="132">
        <f>IF(I47=0,0,I48/I47)</f>
        <v/>
      </c>
      <c r="J52" s="132">
        <f>IF(J47=0,0,J48/J47)</f>
        <v/>
      </c>
      <c r="K52" s="132">
        <f>IF(K47=0,0,K48/K47)</f>
        <v/>
      </c>
      <c r="L52" s="132">
        <f>IF(L47=0,0,L48/L47)</f>
        <v/>
      </c>
      <c r="M52" s="132">
        <f>IF(M47=0,0,M48/M47)</f>
        <v/>
      </c>
      <c r="N52" s="132">
        <f>IF(N47=0,0,N48/N47)</f>
        <v/>
      </c>
      <c r="O52" s="132">
        <f>IF(O47=0,0,O48/O47)</f>
        <v/>
      </c>
      <c r="P52" s="93" t="n"/>
      <c r="Q52" s="93" t="n"/>
    </row>
    <row r="53">
      <c r="A53" s="93" t="n"/>
      <c r="B53" s="93" t="n"/>
      <c r="C53" s="93" t="n"/>
      <c r="D53" s="93" t="n"/>
      <c r="E53" s="93" t="n"/>
      <c r="F53" s="93" t="n"/>
      <c r="G53" s="93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</row>
    <row r="54">
      <c r="A54" s="93" t="n"/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3" t="n"/>
      <c r="L54" s="93" t="n"/>
      <c r="M54" s="93" t="n"/>
      <c r="N54" s="93" t="n"/>
      <c r="O54" s="93" t="n"/>
      <c r="P54" s="93" t="n"/>
      <c r="Q54" s="93" t="n"/>
    </row>
    <row r="55">
      <c r="A55" s="93" t="n"/>
      <c r="B55" s="93" t="n"/>
      <c r="C55" s="93" t="n"/>
      <c r="D55" s="93" t="n"/>
      <c r="E55" s="93" t="n"/>
      <c r="F55" s="93" t="n"/>
      <c r="G55" s="93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</row>
    <row r="56">
      <c r="A56" s="93" t="n"/>
      <c r="B56" s="93" t="n"/>
      <c r="C56" s="93" t="n"/>
      <c r="D56" s="93" t="n"/>
      <c r="E56" s="93" t="n"/>
      <c r="F56" s="93" t="n"/>
      <c r="G56" s="93" t="n"/>
      <c r="H56" s="93" t="n"/>
      <c r="I56" s="93" t="n"/>
      <c r="J56" s="93" t="n"/>
      <c r="K56" s="93" t="n"/>
      <c r="L56" s="93" t="n"/>
      <c r="M56" s="93" t="n"/>
      <c r="N56" s="93" t="n"/>
      <c r="O56" s="93" t="n"/>
      <c r="P56" s="93" t="n"/>
      <c r="Q56" s="93" t="n"/>
    </row>
    <row r="57">
      <c r="A57" s="93" t="n"/>
      <c r="B57" s="93" t="n"/>
      <c r="C57" s="93" t="n"/>
      <c r="D57" s="93" t="n"/>
      <c r="E57" s="93" t="n"/>
      <c r="F57" s="93" t="n"/>
      <c r="G57" s="93" t="n"/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</row>
    <row r="58">
      <c r="A58" s="93" t="n"/>
      <c r="B58" s="93" t="n"/>
      <c r="C58" s="93" t="n"/>
      <c r="D58" s="93" t="n"/>
      <c r="E58" s="93" t="n"/>
      <c r="F58" s="93" t="n"/>
      <c r="G58" s="93" t="n"/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</row>
    <row r="59">
      <c r="A59" s="93" t="n"/>
      <c r="B59" s="93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</row>
    <row r="60">
      <c r="A60" s="93" t="n"/>
      <c r="B60" s="93" t="n"/>
      <c r="C60" s="93" t="n"/>
      <c r="D60" s="93" t="n"/>
      <c r="E60" s="93" t="n"/>
      <c r="F60" s="93" t="n"/>
      <c r="G60" s="93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</row>
    <row r="61">
      <c r="A61" s="93" t="n"/>
      <c r="B61" s="93" t="n"/>
      <c r="C61" s="93" t="n"/>
      <c r="D61" s="93" t="n"/>
      <c r="E61" s="93" t="n"/>
      <c r="F61" s="93" t="n"/>
      <c r="G61" s="93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</row>
    <row r="62">
      <c r="A62" s="93" t="n"/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</row>
    <row r="63">
      <c r="A63" s="93" t="n"/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</row>
    <row r="64">
      <c r="A64" s="93" t="n"/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93" t="n"/>
      <c r="L64" s="93" t="n"/>
      <c r="M64" s="93" t="n"/>
      <c r="N64" s="93" t="n"/>
      <c r="O64" s="93" t="n"/>
      <c r="P64" s="93" t="n"/>
      <c r="Q64" s="93" t="n"/>
    </row>
    <row r="65">
      <c r="A65" s="93" t="n"/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93" t="n"/>
      <c r="M65" s="93" t="n"/>
      <c r="N65" s="93" t="n"/>
      <c r="O65" s="93" t="n"/>
      <c r="P65" s="93" t="n"/>
      <c r="Q65" s="93" t="n"/>
    </row>
    <row r="66">
      <c r="A66" s="93" t="n"/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93" t="n"/>
      <c r="L66" s="93" t="n"/>
      <c r="M66" s="93" t="n"/>
      <c r="N66" s="93" t="n"/>
      <c r="O66" s="93" t="n"/>
      <c r="P66" s="93" t="n"/>
      <c r="Q66" s="93" t="n"/>
    </row>
    <row r="67">
      <c r="A67" s="93" t="n"/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93" t="n"/>
      <c r="M67" s="93" t="n"/>
      <c r="N67" s="93" t="n"/>
      <c r="O67" s="93" t="n"/>
      <c r="P67" s="93" t="n"/>
      <c r="Q67" s="93" t="n"/>
    </row>
    <row r="68">
      <c r="A68" s="93" t="n"/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93" t="n"/>
      <c r="L68" s="93" t="n"/>
      <c r="M68" s="93" t="n"/>
      <c r="N68" s="93" t="n"/>
      <c r="O68" s="93" t="n"/>
      <c r="P68" s="93" t="n"/>
      <c r="Q68" s="93" t="n"/>
    </row>
    <row r="69">
      <c r="A69" s="93" t="n"/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</row>
    <row r="70">
      <c r="A70" s="93" t="n"/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93" t="n"/>
      <c r="L70" s="93" t="n"/>
      <c r="M70" s="93" t="n"/>
      <c r="N70" s="93" t="n"/>
      <c r="O70" s="93" t="n"/>
      <c r="P70" s="93" t="n"/>
      <c r="Q70" s="93" t="n"/>
    </row>
    <row r="71">
      <c r="A71" s="93" t="n"/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93" t="n"/>
      <c r="L71" s="93" t="n"/>
      <c r="M71" s="93" t="n"/>
      <c r="N71" s="93" t="n"/>
      <c r="O71" s="93" t="n"/>
      <c r="P71" s="93" t="n"/>
      <c r="Q71" s="93" t="n"/>
    </row>
    <row r="72">
      <c r="A72" s="93" t="n"/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</row>
    <row r="73">
      <c r="A73" s="93" t="n"/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</row>
    <row r="74">
      <c r="A74" s="93" t="n"/>
      <c r="B74" s="93" t="n"/>
      <c r="C74" s="93" t="n"/>
      <c r="D74" s="93" t="n"/>
      <c r="E74" s="93" t="n"/>
      <c r="F74" s="93" t="n"/>
      <c r="G74" s="93" t="n"/>
      <c r="H74" s="93" t="n"/>
      <c r="I74" s="93" t="n"/>
      <c r="J74" s="93" t="n"/>
      <c r="K74" s="93" t="n"/>
      <c r="L74" s="93" t="n"/>
      <c r="M74" s="93" t="n"/>
      <c r="N74" s="93" t="n"/>
      <c r="O74" s="93" t="n"/>
      <c r="P74" s="93" t="n"/>
      <c r="Q74" s="93" t="n"/>
    </row>
    <row r="75">
      <c r="A75" s="93" t="n"/>
      <c r="B75" s="93" t="n"/>
      <c r="C75" s="93" t="n"/>
      <c r="D75" s="93" t="n"/>
      <c r="E75" s="93" t="n"/>
      <c r="F75" s="93" t="n"/>
      <c r="G75" s="93" t="n"/>
      <c r="H75" s="93" t="n"/>
      <c r="I75" s="93" t="n"/>
      <c r="J75" s="93" t="n"/>
      <c r="K75" s="93" t="n"/>
      <c r="L75" s="93" t="n"/>
      <c r="M75" s="93" t="n"/>
      <c r="N75" s="93" t="n"/>
      <c r="O75" s="93" t="n"/>
      <c r="P75" s="93" t="n"/>
      <c r="Q75" s="93" t="n"/>
    </row>
    <row r="76">
      <c r="A76" s="93" t="n"/>
      <c r="B76" s="93" t="n"/>
      <c r="C76" s="93" t="n"/>
      <c r="D76" s="93" t="n"/>
      <c r="E76" s="93" t="n"/>
      <c r="F76" s="93" t="n"/>
      <c r="G76" s="93" t="n"/>
      <c r="H76" s="93" t="n"/>
      <c r="I76" s="93" t="n"/>
      <c r="J76" s="93" t="n"/>
      <c r="K76" s="93" t="n"/>
      <c r="L76" s="93" t="n"/>
      <c r="M76" s="93" t="n"/>
      <c r="N76" s="93" t="n"/>
      <c r="O76" s="93" t="n"/>
      <c r="P76" s="93" t="n"/>
      <c r="Q76" s="93" t="n"/>
    </row>
    <row r="77">
      <c r="A77" s="93" t="n"/>
      <c r="B77" s="93" t="n"/>
      <c r="C77" s="93" t="n"/>
      <c r="D77" s="93" t="n"/>
      <c r="E77" s="93" t="n"/>
      <c r="F77" s="93" t="n"/>
      <c r="G77" s="93" t="n"/>
      <c r="H77" s="93" t="n"/>
      <c r="I77" s="93" t="n"/>
      <c r="J77" s="93" t="n"/>
      <c r="K77" s="93" t="n"/>
      <c r="L77" s="93" t="n"/>
      <c r="M77" s="93" t="n"/>
      <c r="N77" s="93" t="n"/>
      <c r="O77" s="93" t="n"/>
      <c r="P77" s="93" t="n"/>
      <c r="Q77" s="93" t="n"/>
    </row>
    <row r="78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</row>
    <row r="79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</row>
    <row r="80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</row>
    <row r="8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</row>
    <row r="82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</row>
    <row r="83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</row>
    <row r="84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</row>
    <row r="85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</row>
    <row r="86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</row>
    <row r="87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</row>
    <row r="88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</row>
    <row r="89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</row>
    <row r="90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</row>
    <row r="9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</row>
    <row r="92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</row>
    <row r="93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</row>
    <row r="94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</row>
  </sheetData>
  <mergeCells count="31">
    <mergeCell ref="J6:L6"/>
    <mergeCell ref="J31:P31"/>
    <mergeCell ref="F5:H5"/>
    <mergeCell ref="B8:D8"/>
    <mergeCell ref="F8:H8"/>
    <mergeCell ref="N5:P5"/>
    <mergeCell ref="J12:P12"/>
    <mergeCell ref="N8:P8"/>
    <mergeCell ref="J4:L4"/>
    <mergeCell ref="A1:Q1"/>
    <mergeCell ref="B10:D10"/>
    <mergeCell ref="N10:P10"/>
    <mergeCell ref="B9:D9"/>
    <mergeCell ref="N9:P9"/>
    <mergeCell ref="F9:H9"/>
    <mergeCell ref="B6:D6"/>
    <mergeCell ref="N6:P6"/>
    <mergeCell ref="B31:H31"/>
    <mergeCell ref="B5:D5"/>
    <mergeCell ref="B12:H12"/>
    <mergeCell ref="B4:D4"/>
    <mergeCell ref="B45:P45"/>
    <mergeCell ref="A2:Q2"/>
    <mergeCell ref="J8:L8"/>
    <mergeCell ref="F4:H4"/>
    <mergeCell ref="N4:P4"/>
    <mergeCell ref="J5:L5"/>
    <mergeCell ref="F10:H10"/>
    <mergeCell ref="F6:H6"/>
    <mergeCell ref="J10:L10"/>
    <mergeCell ref="J9:L9"/>
  </mergeCells>
  <conditionalFormatting sqref="C33:C42">
    <cfRule type="dataBar" priority="2">
      <dataBar>
        <cfvo type="min"/>
        <cfvo type="max"/>
        <color rgb="FFFFA726"/>
      </dataBar>
    </cfRule>
  </conditionalFormatting>
  <conditionalFormatting sqref="E33:E42">
    <cfRule type="cellIs" priority="3" operator="greaterThanOrEqual" dxfId="1">
      <formula>0.8</formula>
    </cfRule>
    <cfRule type="cellIs" priority="4" operator="lessThan" dxfId="0">
      <formula>0.5</formula>
    </cfRule>
  </conditionalFormatting>
  <conditionalFormatting sqref="C47:N47">
    <cfRule type="dataBar" priority="5">
      <dataBar>
        <cfvo type="min"/>
        <cfvo type="max"/>
        <color rgb="FFFFA726"/>
      </dataBar>
    </cfRule>
  </conditionalFormatting>
  <conditionalFormatting sqref="C52:O52">
    <cfRule type="cellIs" priority="6" operator="greaterThanOrEqual" dxfId="1">
      <formula>0.8</formula>
    </cfRule>
    <cfRule type="cellIs" priority="7" operator="lessThan" dxfId="0">
      <formula>0.5</formula>
    </cfRule>
  </conditionalFormatting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tabColor rgb="00B71C1C"/>
    <outlinePr summaryBelow="1" summaryRight="1"/>
    <pageSetUpPr/>
  </sheetPr>
  <dimension ref="A1:AD50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15" min="1" max="1"/>
    <col width="16" customWidth="1" style="15" min="2" max="2"/>
    <col width="12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  <col width="16" customWidth="1" style="15" min="8" max="8"/>
    <col width="16" customWidth="1" style="15" min="9" max="9"/>
    <col width="16" customWidth="1" style="15" min="10" max="10"/>
    <col width="16" customWidth="1" style="15" min="11" max="11"/>
    <col width="16" customWidth="1" style="15" min="12" max="12"/>
    <col width="16" customWidth="1" style="15" min="13" max="13"/>
    <col width="16" customWidth="1" style="15" min="14" max="14"/>
    <col width="16" customWidth="1" style="15" min="15" max="15"/>
    <col width="16" customWidth="1" style="15" min="16" max="16"/>
    <col width="16" customWidth="1" style="15" min="17" max="17"/>
    <col width="30" customWidth="1" style="15" min="18" max="18"/>
    <col width="16" customWidth="1" style="15" min="19" max="19"/>
    <col width="16" customWidth="1" style="15" min="20" max="20"/>
    <col width="16" customWidth="1" style="15" min="21" max="21"/>
    <col width="10" customWidth="1" style="15" min="22" max="22"/>
    <col width="16" customWidth="1" style="15" min="23" max="23"/>
    <col width="16" customWidth="1" style="15" min="24" max="24"/>
    <col width="16" customWidth="1" style="15" min="25" max="25"/>
    <col width="12" customWidth="1" style="15" min="26" max="26"/>
    <col width="12" customWidth="1" style="15" min="27" max="27"/>
    <col width="16" customWidth="1" style="15" min="28" max="28"/>
    <col width="11" customWidth="1" style="15" min="29" max="29"/>
    <col width="16" customWidth="1" style="15" min="30" max="30"/>
  </cols>
  <sheetData>
    <row r="1">
      <c r="A1" s="363" t="inlineStr">
        <is>
          <t>🚨  INCIDENT REGISTER — DATA ENTRY</t>
        </is>
      </c>
    </row>
    <row r="2">
      <c r="A2" s="349" t="inlineStr">
        <is>
          <t>🔵 Blue = User Input  |  ⚫ Gray = Auto-Calculated  |  Feeds TRIR / LTIFR / Incident Pyramid on the Executive Dashboard</t>
        </is>
      </c>
    </row>
    <row r="3">
      <c r="A3" s="364" t="inlineStr">
        <is>
          <t>IDENTIFICATION</t>
        </is>
      </c>
      <c r="C3" s="364" t="inlineStr">
        <is>
          <t>TIMING</t>
        </is>
      </c>
      <c r="H3" s="364" t="inlineStr">
        <is>
          <t>LOCATION</t>
        </is>
      </c>
      <c r="M3" s="364" t="inlineStr">
        <is>
          <t>CLASSIFICATION</t>
        </is>
      </c>
      <c r="O3" s="364" t="inlineStr">
        <is>
          <t>PEOPLE</t>
        </is>
      </c>
      <c r="R3" s="364" t="inlineStr">
        <is>
          <t>ANALYSIS</t>
        </is>
      </c>
      <c r="V3" s="364" t="inlineStr">
        <is>
          <t>IMPACT</t>
        </is>
      </c>
      <c r="W3" s="364" t="inlineStr">
        <is>
          <t>ACTIONS</t>
        </is>
      </c>
      <c r="Z3" s="364" t="inlineStr">
        <is>
          <t>STATUS</t>
        </is>
      </c>
      <c r="AC3" s="364" t="inlineStr">
        <is>
          <t>TRACKING</t>
        </is>
      </c>
    </row>
    <row r="4">
      <c r="A4" s="366" t="inlineStr">
        <is>
          <t>S.No</t>
        </is>
      </c>
      <c r="B4" s="366" t="inlineStr">
        <is>
          <t>Incident ID</t>
        </is>
      </c>
      <c r="C4" s="366" t="inlineStr">
        <is>
          <t>Date</t>
        </is>
      </c>
      <c r="D4" s="366" t="inlineStr">
        <is>
          <t>Month</t>
        </is>
      </c>
      <c r="E4" s="366" t="inlineStr">
        <is>
          <t>Week</t>
        </is>
      </c>
      <c r="F4" s="366" t="inlineStr">
        <is>
          <t>Quarter</t>
        </is>
      </c>
      <c r="G4" s="366" t="inlineStr">
        <is>
          <t>Financial Year</t>
        </is>
      </c>
      <c r="H4" s="366" t="inlineStr">
        <is>
          <t>Department</t>
        </is>
      </c>
      <c r="I4" s="366" t="inlineStr">
        <is>
          <t>Area</t>
        </is>
      </c>
      <c r="J4" s="366" t="inlineStr">
        <is>
          <t>Production Line</t>
        </is>
      </c>
      <c r="K4" s="366" t="inlineStr">
        <is>
          <t>Shift</t>
        </is>
      </c>
      <c r="L4" s="366" t="inlineStr">
        <is>
          <t>Location</t>
        </is>
      </c>
      <c r="M4" s="366" t="inlineStr">
        <is>
          <t>Incident Type</t>
        </is>
      </c>
      <c r="N4" s="366" t="inlineStr">
        <is>
          <t>Classification</t>
        </is>
      </c>
      <c r="O4" s="366" t="inlineStr">
        <is>
          <t>Person Involved</t>
        </is>
      </c>
      <c r="P4" s="366" t="inlineStr">
        <is>
          <t>Person Type</t>
        </is>
      </c>
      <c r="Q4" s="366" t="inlineStr">
        <is>
          <t>Body Part</t>
        </is>
      </c>
      <c r="R4" s="366" t="inlineStr">
        <is>
          <t>Description</t>
        </is>
      </c>
      <c r="S4" s="366" t="inlineStr">
        <is>
          <t>Immediate Cause</t>
        </is>
      </c>
      <c r="T4" s="366" t="inlineStr">
        <is>
          <t>Root Cause</t>
        </is>
      </c>
      <c r="U4" s="366" t="inlineStr">
        <is>
          <t>Risk Rating</t>
        </is>
      </c>
      <c r="V4" s="366" t="inlineStr">
        <is>
          <t>Lost Days</t>
        </is>
      </c>
      <c r="W4" s="366" t="inlineStr">
        <is>
          <t>Corrective Action</t>
        </is>
      </c>
      <c r="X4" s="366" t="inlineStr">
        <is>
          <t>Preventive Action</t>
        </is>
      </c>
      <c r="Y4" s="366" t="inlineStr">
        <is>
          <t>Responsible</t>
        </is>
      </c>
      <c r="Z4" s="366" t="inlineStr">
        <is>
          <t>Target Date</t>
        </is>
      </c>
      <c r="AA4" s="366" t="inlineStr">
        <is>
          <t>Closure Date</t>
        </is>
      </c>
      <c r="AB4" s="366" t="inlineStr">
        <is>
          <t>Status</t>
        </is>
      </c>
      <c r="AC4" s="366" t="inlineStr">
        <is>
          <t>Ageing (Days)</t>
        </is>
      </c>
      <c r="AD4" s="366" t="inlineStr">
        <is>
          <t>Evidence Link</t>
        </is>
      </c>
    </row>
    <row r="5">
      <c r="A5" s="367" t="inlineStr">
        <is>
          <t>⚙️ AUTO</t>
        </is>
      </c>
      <c r="B5" s="367" t="inlineStr">
        <is>
          <t>✏️ INPUT</t>
        </is>
      </c>
      <c r="C5" s="367" t="inlineStr">
        <is>
          <t>✏️ INPUT</t>
        </is>
      </c>
      <c r="D5" s="367" t="inlineStr">
        <is>
          <t>⚙️ AUTO</t>
        </is>
      </c>
      <c r="E5" s="367" t="inlineStr">
        <is>
          <t>⚙️ AUTO</t>
        </is>
      </c>
      <c r="F5" s="367" t="inlineStr">
        <is>
          <t>⚙️ AUTO</t>
        </is>
      </c>
      <c r="G5" s="367" t="inlineStr">
        <is>
          <t>⚙️ AUTO</t>
        </is>
      </c>
      <c r="H5" s="367" t="inlineStr">
        <is>
          <t>✏️ INPUT</t>
        </is>
      </c>
      <c r="I5" s="367" t="inlineStr">
        <is>
          <t>✏️ INPUT</t>
        </is>
      </c>
      <c r="J5" s="367" t="inlineStr">
        <is>
          <t>✏️ INPUT</t>
        </is>
      </c>
      <c r="K5" s="367" t="inlineStr">
        <is>
          <t>✏️ INPUT</t>
        </is>
      </c>
      <c r="L5" s="367" t="inlineStr">
        <is>
          <t>✏️ INPUT</t>
        </is>
      </c>
      <c r="M5" s="367" t="inlineStr">
        <is>
          <t>✏️ INPUT</t>
        </is>
      </c>
      <c r="N5" s="367" t="inlineStr">
        <is>
          <t>✏️ INPUT</t>
        </is>
      </c>
      <c r="O5" s="367" t="inlineStr">
        <is>
          <t>✏️ INPUT</t>
        </is>
      </c>
      <c r="P5" s="367" t="inlineStr">
        <is>
          <t>✏️ INPUT</t>
        </is>
      </c>
      <c r="Q5" s="367" t="inlineStr">
        <is>
          <t>✏️ INPUT</t>
        </is>
      </c>
      <c r="R5" s="367" t="inlineStr">
        <is>
          <t>✏️ INPUT</t>
        </is>
      </c>
      <c r="S5" s="367" t="inlineStr">
        <is>
          <t>✏️ INPUT</t>
        </is>
      </c>
      <c r="T5" s="367" t="inlineStr">
        <is>
          <t>✏️ INPUT</t>
        </is>
      </c>
      <c r="U5" s="367" t="inlineStr">
        <is>
          <t>✏️ INPUT</t>
        </is>
      </c>
      <c r="V5" s="367" t="inlineStr">
        <is>
          <t>✏️ INPUT</t>
        </is>
      </c>
      <c r="W5" s="367" t="inlineStr">
        <is>
          <t>✏️ INPUT</t>
        </is>
      </c>
      <c r="X5" s="367" t="inlineStr">
        <is>
          <t>✏️ INPUT</t>
        </is>
      </c>
      <c r="Y5" s="367" t="inlineStr">
        <is>
          <t>✏️ INPUT</t>
        </is>
      </c>
      <c r="Z5" s="367" t="inlineStr">
        <is>
          <t>✏️ INPUT</t>
        </is>
      </c>
      <c r="AA5" s="367" t="inlineStr">
        <is>
          <t>✏️ INPUT</t>
        </is>
      </c>
      <c r="AB5" s="367" t="inlineStr">
        <is>
          <t>✏️ INPUT</t>
        </is>
      </c>
      <c r="AC5" s="367" t="inlineStr">
        <is>
          <t>⚙️ AUTO</t>
        </is>
      </c>
      <c r="AD5" s="367" t="inlineStr">
        <is>
          <t>✏️ INPUT</t>
        </is>
      </c>
    </row>
    <row r="6" ht="15" customHeight="1" s="15">
      <c r="A6" s="368">
        <f>IF($B6="","",ROW()-5)</f>
        <v/>
      </c>
      <c r="B6" s="369" t="inlineStr">
        <is>
          <t>INC-001</t>
        </is>
      </c>
      <c r="C6" s="370" t="n">
        <v>46040</v>
      </c>
      <c r="D6" s="368">
        <f>IF($B6="","",TEXT(C6,"MMM"))</f>
        <v/>
      </c>
      <c r="E6" s="368">
        <f>IF($B6="","","W"&amp;TEXT(WEEKNUM(C6,2),"00"))</f>
        <v/>
      </c>
      <c r="F6" s="368">
        <f>IF($B6="","","Q"&amp;(INT(MOD(MONTH(C6)-FY_Start+12,12)/3)+1))</f>
        <v/>
      </c>
      <c r="G6" s="368">
        <f>IF($B6="","","FY "&amp;IF(MONTH(C6)&gt;=FY_Start,YEAR(C6),YEAR(C6)-1)&amp;"-"&amp;RIGHT(IF(MONTH(C6)&gt;=FY_Start,YEAR(C6)+1,YEAR(C6)),2))</f>
        <v/>
      </c>
      <c r="H6" s="369" t="inlineStr">
        <is>
          <t>Production</t>
        </is>
      </c>
      <c r="I6" s="369" t="inlineStr">
        <is>
          <t>Line 1</t>
        </is>
      </c>
      <c r="J6" s="369" t="inlineStr">
        <is>
          <t>Line 1</t>
        </is>
      </c>
      <c r="K6" s="369" t="inlineStr">
        <is>
          <t>Shift A</t>
        </is>
      </c>
      <c r="L6" s="369" t="inlineStr">
        <is>
          <t>Plant A</t>
        </is>
      </c>
      <c r="M6" s="369" t="inlineStr">
        <is>
          <t>Injury/Illness</t>
        </is>
      </c>
      <c r="N6" s="369" t="inlineStr">
        <is>
          <t>Near Miss</t>
        </is>
      </c>
      <c r="O6" s="369" t="inlineStr">
        <is>
          <t>R. Kumar</t>
        </is>
      </c>
      <c r="P6" s="369" t="inlineStr">
        <is>
          <t>Employee</t>
        </is>
      </c>
      <c r="Q6" s="369" t="inlineStr">
        <is>
          <t>None / NA</t>
        </is>
      </c>
      <c r="R6" s="369" t="inlineStr">
        <is>
          <t>Slipped near CIP drain, no fall</t>
        </is>
      </c>
      <c r="S6" s="369" t="inlineStr">
        <is>
          <t>Wet floor</t>
        </is>
      </c>
      <c r="T6" s="369" t="inlineStr">
        <is>
          <t>Poor Housekeeping</t>
        </is>
      </c>
      <c r="U6" s="369" t="inlineStr">
        <is>
          <t>Low</t>
        </is>
      </c>
      <c r="V6" s="369" t="n">
        <v>0</v>
      </c>
      <c r="W6" s="369" t="inlineStr">
        <is>
          <t>Barricade &amp; mop schedule</t>
        </is>
      </c>
      <c r="X6" s="369" t="inlineStr">
        <is>
          <t>Daily drain check</t>
        </is>
      </c>
      <c r="Y6" s="369" t="inlineStr">
        <is>
          <t>A. Singh</t>
        </is>
      </c>
      <c r="Z6" s="370" t="n">
        <v>46047</v>
      </c>
      <c r="AA6" s="370" t="n">
        <v>46046</v>
      </c>
      <c r="AB6" s="369" t="inlineStr">
        <is>
          <t>Closed</t>
        </is>
      </c>
      <c r="AC6" s="368">
        <f>IF($B6="","",IF(AB6="Closed",IF(AA6="","",AA6-C6),TODAY()-C6))</f>
        <v/>
      </c>
      <c r="AD6" s="369" t="n"/>
    </row>
    <row r="7" ht="15" customHeight="1" s="15">
      <c r="A7" s="368">
        <f>IF($B7="","",ROW()-5)</f>
        <v/>
      </c>
      <c r="B7" s="369" t="inlineStr">
        <is>
          <t>INC-002</t>
        </is>
      </c>
      <c r="C7" s="370" t="n">
        <v>46062</v>
      </c>
      <c r="D7" s="368">
        <f>IF($B7="","",TEXT(C7,"MMM"))</f>
        <v/>
      </c>
      <c r="E7" s="368">
        <f>IF($B7="","","W"&amp;TEXT(WEEKNUM(C7,2),"00"))</f>
        <v/>
      </c>
      <c r="F7" s="368">
        <f>IF($B7="","","Q"&amp;(INT(MOD(MONTH(C7)-FY_Start+12,12)/3)+1))</f>
        <v/>
      </c>
      <c r="G7" s="368">
        <f>IF($B7="","","FY "&amp;IF(MONTH(C7)&gt;=FY_Start,YEAR(C7),YEAR(C7)-1)&amp;"-"&amp;RIGHT(IF(MONTH(C7)&gt;=FY_Start,YEAR(C7)+1,YEAR(C7)),2))</f>
        <v/>
      </c>
      <c r="H7" s="369" t="inlineStr">
        <is>
          <t>Warehouse</t>
        </is>
      </c>
      <c r="I7" s="369" t="inlineStr">
        <is>
          <t>Packaging</t>
        </is>
      </c>
      <c r="J7" s="369" t="inlineStr">
        <is>
          <t>Packaging</t>
        </is>
      </c>
      <c r="K7" s="369" t="inlineStr">
        <is>
          <t>Shift B</t>
        </is>
      </c>
      <c r="L7" s="369" t="inlineStr">
        <is>
          <t>Warehouse</t>
        </is>
      </c>
      <c r="M7" s="369" t="inlineStr">
        <is>
          <t>Injury/Illness</t>
        </is>
      </c>
      <c r="N7" s="369" t="inlineStr">
        <is>
          <t>First Aid</t>
        </is>
      </c>
      <c r="O7" s="369" t="inlineStr">
        <is>
          <t>S. Patel</t>
        </is>
      </c>
      <c r="P7" s="369" t="inlineStr">
        <is>
          <t>Employee</t>
        </is>
      </c>
      <c r="Q7" s="369" t="inlineStr">
        <is>
          <t>Hand/Finger</t>
        </is>
      </c>
      <c r="R7" s="369" t="inlineStr">
        <is>
          <t>Minor cut handling carton</t>
        </is>
      </c>
      <c r="S7" s="369" t="inlineStr">
        <is>
          <t>Sharp edge</t>
        </is>
      </c>
      <c r="T7" s="369" t="inlineStr">
        <is>
          <t>Unsafe Act</t>
        </is>
      </c>
      <c r="U7" s="369" t="inlineStr">
        <is>
          <t>Low</t>
        </is>
      </c>
      <c r="V7" s="369" t="n">
        <v>0</v>
      </c>
      <c r="W7" s="369" t="inlineStr">
        <is>
          <t>Cut-resistant gloves</t>
        </is>
      </c>
      <c r="X7" s="369" t="inlineStr">
        <is>
          <t>Toolbox on handling</t>
        </is>
      </c>
      <c r="Y7" s="369" t="inlineStr">
        <is>
          <t>M. Rao</t>
        </is>
      </c>
      <c r="Z7" s="370" t="n">
        <v>46069</v>
      </c>
      <c r="AA7" s="370" t="n">
        <v>46068</v>
      </c>
      <c r="AB7" s="369" t="inlineStr">
        <is>
          <t>Closed</t>
        </is>
      </c>
      <c r="AC7" s="368">
        <f>IF($B7="","",IF(AB7="Closed",IF(AA7="","",AA7-C7),TODAY()-C7))</f>
        <v/>
      </c>
      <c r="AD7" s="369" t="n"/>
    </row>
    <row r="8" ht="15" customHeight="1" s="15">
      <c r="A8" s="368">
        <f>IF($B8="","",ROW()-5)</f>
        <v/>
      </c>
      <c r="B8" s="369" t="inlineStr">
        <is>
          <t>INC-003</t>
        </is>
      </c>
      <c r="C8" s="370" t="n">
        <v>46103</v>
      </c>
      <c r="D8" s="368">
        <f>IF($B8="","",TEXT(C8,"MMM"))</f>
        <v/>
      </c>
      <c r="E8" s="368">
        <f>IF($B8="","","W"&amp;TEXT(WEEKNUM(C8,2),"00"))</f>
        <v/>
      </c>
      <c r="F8" s="368">
        <f>IF($B8="","","Q"&amp;(INT(MOD(MONTH(C8)-FY_Start+12,12)/3)+1))</f>
        <v/>
      </c>
      <c r="G8" s="368">
        <f>IF($B8="","","FY "&amp;IF(MONTH(C8)&gt;=FY_Start,YEAR(C8),YEAR(C8)-1)&amp;"-"&amp;RIGHT(IF(MONTH(C8)&gt;=FY_Start,YEAR(C8)+1,YEAR(C8)),2))</f>
        <v/>
      </c>
      <c r="H8" s="369" t="inlineStr">
        <is>
          <t>Utilities</t>
        </is>
      </c>
      <c r="I8" s="369" t="inlineStr">
        <is>
          <t>CIP System</t>
        </is>
      </c>
      <c r="J8" s="369" t="inlineStr">
        <is>
          <t>CIP System</t>
        </is>
      </c>
      <c r="K8" s="369" t="inlineStr">
        <is>
          <t>Shift C</t>
        </is>
      </c>
      <c r="L8" s="369" t="inlineStr">
        <is>
          <t>Tank Farm</t>
        </is>
      </c>
      <c r="M8" s="369" t="inlineStr">
        <is>
          <t>Chemical Spill</t>
        </is>
      </c>
      <c r="N8" s="369" t="inlineStr">
        <is>
          <t>Medical Treatment</t>
        </is>
      </c>
      <c r="O8" s="369" t="inlineStr">
        <is>
          <t>J. Fernandes</t>
        </is>
      </c>
      <c r="P8" s="369" t="inlineStr">
        <is>
          <t>Contractor</t>
        </is>
      </c>
      <c r="Q8" s="369" t="inlineStr">
        <is>
          <t>Eye</t>
        </is>
      </c>
      <c r="R8" s="369" t="inlineStr">
        <is>
          <t>Caustic splash during CIP</t>
        </is>
      </c>
      <c r="S8" s="369" t="inlineStr">
        <is>
          <t>Valve under pressure</t>
        </is>
      </c>
      <c r="T8" s="369" t="inlineStr">
        <is>
          <t>Inadequate Procedure</t>
        </is>
      </c>
      <c r="U8" s="369" t="inlineStr">
        <is>
          <t>High</t>
        </is>
      </c>
      <c r="V8" s="369" t="n">
        <v>0</v>
      </c>
      <c r="W8" s="369" t="inlineStr">
        <is>
          <t>Revise CIP isolation SOP</t>
        </is>
      </c>
      <c r="X8" s="369" t="inlineStr">
        <is>
          <t>Install splash guards</t>
        </is>
      </c>
      <c r="Y8" s="369" t="inlineStr">
        <is>
          <t>K. Nair</t>
        </is>
      </c>
      <c r="Z8" s="370" t="n">
        <v>46117</v>
      </c>
      <c r="AA8" s="370" t="n">
        <v>46114</v>
      </c>
      <c r="AB8" s="369" t="inlineStr">
        <is>
          <t>Closed</t>
        </is>
      </c>
      <c r="AC8" s="368">
        <f>IF($B8="","",IF(AB8="Closed",IF(AA8="","",AA8-C8),TODAY()-C8))</f>
        <v/>
      </c>
      <c r="AD8" s="369" t="n"/>
    </row>
    <row r="9" ht="15" customHeight="1" s="15">
      <c r="A9" s="368">
        <f>IF($B9="","",ROW()-5)</f>
        <v/>
      </c>
      <c r="B9" s="369" t="inlineStr">
        <is>
          <t>INC-004</t>
        </is>
      </c>
      <c r="C9" s="370" t="n">
        <v>46126</v>
      </c>
      <c r="D9" s="368">
        <f>IF($B9="","",TEXT(C9,"MMM"))</f>
        <v/>
      </c>
      <c r="E9" s="368">
        <f>IF($B9="","","W"&amp;TEXT(WEEKNUM(C9,2),"00"))</f>
        <v/>
      </c>
      <c r="F9" s="368">
        <f>IF($B9="","","Q"&amp;(INT(MOD(MONTH(C9)-FY_Start+12,12)/3)+1))</f>
        <v/>
      </c>
      <c r="G9" s="368">
        <f>IF($B9="","","FY "&amp;IF(MONTH(C9)&gt;=FY_Start,YEAR(C9),YEAR(C9)-1)&amp;"-"&amp;RIGHT(IF(MONTH(C9)&gt;=FY_Start,YEAR(C9)+1,YEAR(C9)),2))</f>
        <v/>
      </c>
      <c r="H9" s="369" t="inlineStr">
        <is>
          <t>Production</t>
        </is>
      </c>
      <c r="I9" s="369" t="inlineStr">
        <is>
          <t>Line 3</t>
        </is>
      </c>
      <c r="J9" s="369" t="inlineStr">
        <is>
          <t>Line 3</t>
        </is>
      </c>
      <c r="K9" s="369" t="inlineStr">
        <is>
          <t>Shift A</t>
        </is>
      </c>
      <c r="L9" s="369" t="inlineStr">
        <is>
          <t>Plant B</t>
        </is>
      </c>
      <c r="M9" s="369" t="inlineStr">
        <is>
          <t>Injury/Illness</t>
        </is>
      </c>
      <c r="N9" s="369" t="inlineStr">
        <is>
          <t>Restricted Work</t>
        </is>
      </c>
      <c r="O9" s="369" t="inlineStr">
        <is>
          <t>P. Mehta</t>
        </is>
      </c>
      <c r="P9" s="369" t="inlineStr">
        <is>
          <t>Employee</t>
        </is>
      </c>
      <c r="Q9" s="369" t="inlineStr">
        <is>
          <t>Back</t>
        </is>
      </c>
      <c r="R9" s="369" t="inlineStr">
        <is>
          <t>Strain lifting jammed crate</t>
        </is>
      </c>
      <c r="S9" s="369" t="inlineStr">
        <is>
          <t>Manual handling</t>
        </is>
      </c>
      <c r="T9" s="369" t="inlineStr">
        <is>
          <t>Lack of Training</t>
        </is>
      </c>
      <c r="U9" s="369" t="inlineStr">
        <is>
          <t>Medium</t>
        </is>
      </c>
      <c r="V9" s="369" t="n">
        <v>6</v>
      </c>
      <c r="W9" s="369" t="inlineStr">
        <is>
          <t>Provide lifting aid</t>
        </is>
      </c>
      <c r="X9" s="369" t="inlineStr">
        <is>
          <t>Manual handling training</t>
        </is>
      </c>
      <c r="Y9" s="369" t="inlineStr">
        <is>
          <t>A. Singh</t>
        </is>
      </c>
      <c r="Z9" s="370" t="n">
        <v>46140</v>
      </c>
      <c r="AA9" s="370" t="n">
        <v>46142</v>
      </c>
      <c r="AB9" s="369" t="inlineStr">
        <is>
          <t>Closed</t>
        </is>
      </c>
      <c r="AC9" s="368">
        <f>IF($B9="","",IF(AB9="Closed",IF(AA9="","",AA9-C9),TODAY()-C9))</f>
        <v/>
      </c>
      <c r="AD9" s="369" t="n"/>
    </row>
    <row r="10" ht="15" customHeight="1" s="15">
      <c r="A10" s="368">
        <f>IF($B10="","",ROW()-5)</f>
        <v/>
      </c>
      <c r="B10" s="369" t="inlineStr">
        <is>
          <t>INC-005</t>
        </is>
      </c>
      <c r="C10" s="370" t="n">
        <v>46145</v>
      </c>
      <c r="D10" s="368">
        <f>IF($B10="","",TEXT(C10,"MMM"))</f>
        <v/>
      </c>
      <c r="E10" s="368">
        <f>IF($B10="","","W"&amp;TEXT(WEEKNUM(C10,2),"00"))</f>
        <v/>
      </c>
      <c r="F10" s="368">
        <f>IF($B10="","","Q"&amp;(INT(MOD(MONTH(C10)-FY_Start+12,12)/3)+1))</f>
        <v/>
      </c>
      <c r="G10" s="368">
        <f>IF($B10="","","FY "&amp;IF(MONTH(C10)&gt;=FY_Start,YEAR(C10),YEAR(C10)-1)&amp;"-"&amp;RIGHT(IF(MONTH(C10)&gt;=FY_Start,YEAR(C10)+1,YEAR(C10)),2))</f>
        <v/>
      </c>
      <c r="H10" s="369" t="inlineStr">
        <is>
          <t>Production</t>
        </is>
      </c>
      <c r="I10" s="369" t="inlineStr">
        <is>
          <t>Blow Molding</t>
        </is>
      </c>
      <c r="J10" s="369" t="inlineStr">
        <is>
          <t>Blow Molding</t>
        </is>
      </c>
      <c r="K10" s="369" t="inlineStr">
        <is>
          <t>Shift B</t>
        </is>
      </c>
      <c r="L10" s="369" t="inlineStr">
        <is>
          <t>Workshop</t>
        </is>
      </c>
      <c r="M10" s="369" t="inlineStr">
        <is>
          <t>Injury/Illness</t>
        </is>
      </c>
      <c r="N10" s="369" t="inlineStr">
        <is>
          <t>Lost Time Injury</t>
        </is>
      </c>
      <c r="O10" s="369" t="inlineStr">
        <is>
          <t>T. Iqbal</t>
        </is>
      </c>
      <c r="P10" s="369" t="inlineStr">
        <is>
          <t>Employee</t>
        </is>
      </c>
      <c r="Q10" s="369" t="inlineStr">
        <is>
          <t>Hand/Finger</t>
        </is>
      </c>
      <c r="R10" s="369" t="inlineStr">
        <is>
          <t>Finger caught in mold guard</t>
        </is>
      </c>
      <c r="S10" s="369" t="inlineStr">
        <is>
          <t>Guard interlock bypassed</t>
        </is>
      </c>
      <c r="T10" s="369" t="inlineStr">
        <is>
          <t>Equipment Failure</t>
        </is>
      </c>
      <c r="U10" s="369" t="inlineStr">
        <is>
          <t>Critical</t>
        </is>
      </c>
      <c r="V10" s="369" t="n">
        <v>14</v>
      </c>
      <c r="W10" s="369" t="inlineStr">
        <is>
          <t>Repair interlock, LOTO audit</t>
        </is>
      </c>
      <c r="X10" s="369" t="inlineStr">
        <is>
          <t>Monthly guard inspection</t>
        </is>
      </c>
      <c r="Y10" s="369" t="inlineStr">
        <is>
          <t>K. Nair</t>
        </is>
      </c>
      <c r="Z10" s="370" t="n">
        <v>46162</v>
      </c>
      <c r="AA10" s="370" t="n">
        <v>46168</v>
      </c>
      <c r="AB10" s="369" t="inlineStr">
        <is>
          <t>Closed</t>
        </is>
      </c>
      <c r="AC10" s="368">
        <f>IF($B10="","",IF(AB10="Closed",IF(AA10="","",AA10-C10),TODAY()-C10))</f>
        <v/>
      </c>
      <c r="AD10" s="369" t="n"/>
    </row>
    <row r="11" ht="15" customHeight="1" s="15">
      <c r="A11" s="368">
        <f>IF($B11="","",ROW()-5)</f>
        <v/>
      </c>
      <c r="B11" s="369" t="inlineStr">
        <is>
          <t>INC-006</t>
        </is>
      </c>
      <c r="C11" s="370" t="n">
        <v>46169</v>
      </c>
      <c r="D11" s="368">
        <f>IF($B11="","",TEXT(C11,"MMM"))</f>
        <v/>
      </c>
      <c r="E11" s="368">
        <f>IF($B11="","","W"&amp;TEXT(WEEKNUM(C11,2),"00"))</f>
        <v/>
      </c>
      <c r="F11" s="368">
        <f>IF($B11="","","Q"&amp;(INT(MOD(MONTH(C11)-FY_Start+12,12)/3)+1))</f>
        <v/>
      </c>
      <c r="G11" s="368">
        <f>IF($B11="","","FY "&amp;IF(MONTH(C11)&gt;=FY_Start,YEAR(C11),YEAR(C11)-1)&amp;"-"&amp;RIGHT(IF(MONTH(C11)&gt;=FY_Start,YEAR(C11)+1,YEAR(C11)),2))</f>
        <v/>
      </c>
      <c r="H11" s="369" t="inlineStr">
        <is>
          <t>Utilities</t>
        </is>
      </c>
      <c r="I11" s="369" t="inlineStr">
        <is>
          <t>Boiler House</t>
        </is>
      </c>
      <c r="J11" s="369" t="inlineStr">
        <is>
          <t>Boiler House</t>
        </is>
      </c>
      <c r="K11" s="369" t="inlineStr">
        <is>
          <t>General</t>
        </is>
      </c>
      <c r="L11" s="369" t="inlineStr">
        <is>
          <t>Control Room</t>
        </is>
      </c>
      <c r="M11" s="369" t="inlineStr">
        <is>
          <t>Fire</t>
        </is>
      </c>
      <c r="N11" s="369" t="inlineStr">
        <is>
          <t>Near Miss</t>
        </is>
      </c>
      <c r="O11" s="369" t="inlineStr">
        <is>
          <t>—</t>
        </is>
      </c>
      <c r="P11" s="369" t="inlineStr">
        <is>
          <t>Employee</t>
        </is>
      </c>
      <c r="Q11" s="369" t="inlineStr">
        <is>
          <t>None / NA</t>
        </is>
      </c>
      <c r="R11" s="369" t="inlineStr">
        <is>
          <t>Small spark in panel</t>
        </is>
      </c>
      <c r="S11" s="369" t="inlineStr">
        <is>
          <t>Loose termination</t>
        </is>
      </c>
      <c r="T11" s="369" t="inlineStr">
        <is>
          <t>Inadequate Supervision</t>
        </is>
      </c>
      <c r="U11" s="369" t="inlineStr">
        <is>
          <t>Medium</t>
        </is>
      </c>
      <c r="V11" s="369" t="n">
        <v>0</v>
      </c>
      <c r="W11" s="369" t="inlineStr">
        <is>
          <t>Thermography of panels</t>
        </is>
      </c>
      <c r="X11" s="369" t="inlineStr">
        <is>
          <t>Quarterly IR scan</t>
        </is>
      </c>
      <c r="Y11" s="369" t="inlineStr">
        <is>
          <t>R. Bose</t>
        </is>
      </c>
      <c r="Z11" s="370" t="n">
        <v>46183</v>
      </c>
      <c r="AA11" s="370" t="n"/>
      <c r="AB11" s="369" t="inlineStr">
        <is>
          <t>In Progress</t>
        </is>
      </c>
      <c r="AC11" s="368">
        <f>IF($B11="","",IF(AB11="Closed",IF(AA11="","",AA11-C11),TODAY()-C11))</f>
        <v/>
      </c>
      <c r="AD11" s="369" t="n"/>
    </row>
    <row r="12" ht="15" customHeight="1" s="15">
      <c r="A12" s="368">
        <f>IF($B12="","",ROW()-5)</f>
        <v/>
      </c>
      <c r="B12" s="369" t="inlineStr">
        <is>
          <t>INC-007</t>
        </is>
      </c>
      <c r="C12" s="370" t="n">
        <v>46188</v>
      </c>
      <c r="D12" s="368">
        <f>IF($B12="","",TEXT(C12,"MMM"))</f>
        <v/>
      </c>
      <c r="E12" s="368">
        <f>IF($B12="","","W"&amp;TEXT(WEEKNUM(C12,2),"00"))</f>
        <v/>
      </c>
      <c r="F12" s="368">
        <f>IF($B12="","","Q"&amp;(INT(MOD(MONTH(C12)-FY_Start+12,12)/3)+1))</f>
        <v/>
      </c>
      <c r="G12" s="368">
        <f>IF($B12="","","FY "&amp;IF(MONTH(C12)&gt;=FY_Start,YEAR(C12),YEAR(C12)-1)&amp;"-"&amp;RIGHT(IF(MONTH(C12)&gt;=FY_Start,YEAR(C12)+1,YEAR(C12)),2))</f>
        <v/>
      </c>
      <c r="H12" s="369" t="inlineStr">
        <is>
          <t>Warehouse</t>
        </is>
      </c>
      <c r="I12" s="369" t="inlineStr">
        <is>
          <t>Loading Bay</t>
        </is>
      </c>
      <c r="J12" s="369" t="inlineStr">
        <is>
          <t>Line 4</t>
        </is>
      </c>
      <c r="K12" s="369" t="inlineStr">
        <is>
          <t>Shift A</t>
        </is>
      </c>
      <c r="L12" s="369" t="inlineStr">
        <is>
          <t>Loading Bay</t>
        </is>
      </c>
      <c r="M12" s="369" t="inlineStr">
        <is>
          <t>Vehicle</t>
        </is>
      </c>
      <c r="N12" s="369" t="inlineStr">
        <is>
          <t>Property Damage</t>
        </is>
      </c>
      <c r="O12" s="369" t="inlineStr">
        <is>
          <t>—</t>
        </is>
      </c>
      <c r="P12" s="369" t="inlineStr">
        <is>
          <t>Contractor</t>
        </is>
      </c>
      <c r="Q12" s="369" t="inlineStr">
        <is>
          <t>None / NA</t>
        </is>
      </c>
      <c r="R12" s="369" t="inlineStr">
        <is>
          <t>Forklift hit racking</t>
        </is>
      </c>
      <c r="S12" s="369" t="inlineStr">
        <is>
          <t>Speeding indoors</t>
        </is>
      </c>
      <c r="T12" s="369" t="inlineStr">
        <is>
          <t>Unsafe Act</t>
        </is>
      </c>
      <c r="U12" s="369" t="inlineStr">
        <is>
          <t>High</t>
        </is>
      </c>
      <c r="V12" s="369" t="n">
        <v>0</v>
      </c>
      <c r="W12" s="369" t="inlineStr">
        <is>
          <t>Install speed limiters</t>
        </is>
      </c>
      <c r="X12" s="369" t="inlineStr">
        <is>
          <t>Forklift refresher</t>
        </is>
      </c>
      <c r="Y12" s="369" t="inlineStr">
        <is>
          <t>M. Rao</t>
        </is>
      </c>
      <c r="Z12" s="370" t="n">
        <v>46203</v>
      </c>
      <c r="AA12" s="370" t="n"/>
      <c r="AB12" s="369" t="inlineStr">
        <is>
          <t>Open</t>
        </is>
      </c>
      <c r="AC12" s="368">
        <f>IF($B12="","",IF(AB12="Closed",IF(AA12="","",AA12-C12),TODAY()-C12))</f>
        <v/>
      </c>
      <c r="AD12" s="369" t="n"/>
    </row>
    <row r="13" ht="15" customHeight="1" s="15">
      <c r="A13" s="368">
        <f>IF($B13="","",ROW()-5)</f>
        <v/>
      </c>
      <c r="B13" s="369" t="inlineStr">
        <is>
          <t>INC-008</t>
        </is>
      </c>
      <c r="C13" s="370" t="n">
        <v>46201</v>
      </c>
      <c r="D13" s="368">
        <f>IF($B13="","",TEXT(C13,"MMM"))</f>
        <v/>
      </c>
      <c r="E13" s="368">
        <f>IF($B13="","","W"&amp;TEXT(WEEKNUM(C13,2),"00"))</f>
        <v/>
      </c>
      <c r="F13" s="368">
        <f>IF($B13="","","Q"&amp;(INT(MOD(MONTH(C13)-FY_Start+12,12)/3)+1))</f>
        <v/>
      </c>
      <c r="G13" s="368">
        <f>IF($B13="","","FY "&amp;IF(MONTH(C13)&gt;=FY_Start,YEAR(C13),YEAR(C13)-1)&amp;"-"&amp;RIGHT(IF(MONTH(C13)&gt;=FY_Start,YEAR(C13)+1,YEAR(C13)),2))</f>
        <v/>
      </c>
      <c r="H13" s="369" t="inlineStr">
        <is>
          <t>Production</t>
        </is>
      </c>
      <c r="I13" s="369" t="inlineStr">
        <is>
          <t>Line 2</t>
        </is>
      </c>
      <c r="J13" s="369" t="inlineStr">
        <is>
          <t>Line 2</t>
        </is>
      </c>
      <c r="K13" s="369" t="inlineStr">
        <is>
          <t>Shift C</t>
        </is>
      </c>
      <c r="L13" s="369" t="inlineStr">
        <is>
          <t>Plant A</t>
        </is>
      </c>
      <c r="M13" s="369" t="inlineStr">
        <is>
          <t>Injury/Illness</t>
        </is>
      </c>
      <c r="N13" s="369" t="inlineStr">
        <is>
          <t>First Aid</t>
        </is>
      </c>
      <c r="O13" s="369" t="inlineStr">
        <is>
          <t>N. Verma</t>
        </is>
      </c>
      <c r="P13" s="369" t="inlineStr">
        <is>
          <t>Employee</t>
        </is>
      </c>
      <c r="Q13" s="369" t="inlineStr">
        <is>
          <t>Foot/Leg</t>
        </is>
      </c>
      <c r="R13" s="369" t="inlineStr">
        <is>
          <t>Bruise from dropped tool</t>
        </is>
      </c>
      <c r="S13" s="369" t="inlineStr">
        <is>
          <t>Tool not tethered</t>
        </is>
      </c>
      <c r="T13" s="369" t="inlineStr">
        <is>
          <t>PPE Not Used</t>
        </is>
      </c>
      <c r="U13" s="369" t="inlineStr">
        <is>
          <t>Low</t>
        </is>
      </c>
      <c r="V13" s="369" t="n">
        <v>0</v>
      </c>
      <c r="W13" s="369" t="inlineStr">
        <is>
          <t>Tool tethering program</t>
        </is>
      </c>
      <c r="X13" s="369" t="inlineStr">
        <is>
          <t>Toolbox on drops</t>
        </is>
      </c>
      <c r="Y13" s="369" t="inlineStr">
        <is>
          <t>A. Singh</t>
        </is>
      </c>
      <c r="Z13" s="370" t="n">
        <v>46215</v>
      </c>
      <c r="AA13" s="370" t="n"/>
      <c r="AB13" s="369" t="inlineStr">
        <is>
          <t>Open</t>
        </is>
      </c>
      <c r="AC13" s="368">
        <f>IF($B13="","",IF(AB13="Closed",IF(AA13="","",AA13-C13),TODAY()-C13))</f>
        <v/>
      </c>
      <c r="AD13" s="369" t="n"/>
    </row>
    <row r="14" ht="15" customHeight="1" s="15">
      <c r="A14" s="368">
        <f>IF($B14="","",ROW()-5)</f>
        <v/>
      </c>
      <c r="B14" s="369" t="n"/>
      <c r="C14" s="370" t="n"/>
      <c r="D14" s="368">
        <f>IF($B14="","",TEXT(C14,"MMM"))</f>
        <v/>
      </c>
      <c r="E14" s="368">
        <f>IF($B14="","","W"&amp;TEXT(WEEKNUM(C14,2),"00"))</f>
        <v/>
      </c>
      <c r="F14" s="368">
        <f>IF($B14="","","Q"&amp;(INT(MOD(MONTH(C14)-FY_Start+12,12)/3)+1))</f>
        <v/>
      </c>
      <c r="G14" s="368">
        <f>IF($B14="","","FY "&amp;IF(MONTH(C14)&gt;=FY_Start,YEAR(C14),YEAR(C14)-1)&amp;"-"&amp;RIGHT(IF(MONTH(C14)&gt;=FY_Start,YEAR(C14)+1,YEAR(C14)),2))</f>
        <v/>
      </c>
      <c r="H14" s="369" t="n"/>
      <c r="I14" s="369" t="n"/>
      <c r="J14" s="369" t="n"/>
      <c r="K14" s="369" t="n"/>
      <c r="L14" s="369" t="n"/>
      <c r="M14" s="369" t="n"/>
      <c r="N14" s="369" t="n"/>
      <c r="O14" s="369" t="n"/>
      <c r="P14" s="369" t="n"/>
      <c r="Q14" s="369" t="n"/>
      <c r="R14" s="369" t="n"/>
      <c r="S14" s="369" t="n"/>
      <c r="T14" s="369" t="n"/>
      <c r="U14" s="369" t="n"/>
      <c r="V14" s="369" t="n"/>
      <c r="W14" s="369" t="n"/>
      <c r="X14" s="369" t="n"/>
      <c r="Y14" s="369" t="n"/>
      <c r="Z14" s="370" t="n"/>
      <c r="AA14" s="370" t="n"/>
      <c r="AB14" s="369" t="n"/>
      <c r="AC14" s="368">
        <f>IF($B14="","",IF(AB14="Closed",IF(AA14="","",AA14-C14),TODAY()-C14))</f>
        <v/>
      </c>
      <c r="AD14" s="369" t="n"/>
    </row>
    <row r="15" ht="15" customHeight="1" s="15">
      <c r="A15" s="368">
        <f>IF($B15="","",ROW()-5)</f>
        <v/>
      </c>
      <c r="B15" s="369" t="n"/>
      <c r="C15" s="370" t="n"/>
      <c r="D15" s="368">
        <f>IF($B15="","",TEXT(C15,"MMM"))</f>
        <v/>
      </c>
      <c r="E15" s="368">
        <f>IF($B15="","","W"&amp;TEXT(WEEKNUM(C15,2),"00"))</f>
        <v/>
      </c>
      <c r="F15" s="368">
        <f>IF($B15="","","Q"&amp;(INT(MOD(MONTH(C15)-FY_Start+12,12)/3)+1))</f>
        <v/>
      </c>
      <c r="G15" s="368">
        <f>IF($B15="","","FY "&amp;IF(MONTH(C15)&gt;=FY_Start,YEAR(C15),YEAR(C15)-1)&amp;"-"&amp;RIGHT(IF(MONTH(C15)&gt;=FY_Start,YEAR(C15)+1,YEAR(C15)),2))</f>
        <v/>
      </c>
      <c r="H15" s="369" t="n"/>
      <c r="I15" s="369" t="n"/>
      <c r="J15" s="369" t="n"/>
      <c r="K15" s="369" t="n"/>
      <c r="L15" s="369" t="n"/>
      <c r="M15" s="369" t="n"/>
      <c r="N15" s="369" t="n"/>
      <c r="O15" s="369" t="n"/>
      <c r="P15" s="369" t="n"/>
      <c r="Q15" s="369" t="n"/>
      <c r="R15" s="369" t="n"/>
      <c r="S15" s="369" t="n"/>
      <c r="T15" s="369" t="n"/>
      <c r="U15" s="369" t="n"/>
      <c r="V15" s="369" t="n"/>
      <c r="W15" s="369" t="n"/>
      <c r="X15" s="369" t="n"/>
      <c r="Y15" s="369" t="n"/>
      <c r="Z15" s="370" t="n"/>
      <c r="AA15" s="370" t="n"/>
      <c r="AB15" s="369" t="n"/>
      <c r="AC15" s="368">
        <f>IF($B15="","",IF(AB15="Closed",IF(AA15="","",AA15-C15),TODAY()-C15))</f>
        <v/>
      </c>
      <c r="AD15" s="369" t="n"/>
    </row>
    <row r="16" ht="15" customHeight="1" s="15">
      <c r="A16" s="368">
        <f>IF($B16="","",ROW()-5)</f>
        <v/>
      </c>
      <c r="B16" s="369" t="n"/>
      <c r="C16" s="370" t="n"/>
      <c r="D16" s="368">
        <f>IF($B16="","",TEXT(C16,"MMM"))</f>
        <v/>
      </c>
      <c r="E16" s="368">
        <f>IF($B16="","","W"&amp;TEXT(WEEKNUM(C16,2),"00"))</f>
        <v/>
      </c>
      <c r="F16" s="368">
        <f>IF($B16="","","Q"&amp;(INT(MOD(MONTH(C16)-FY_Start+12,12)/3)+1))</f>
        <v/>
      </c>
      <c r="G16" s="368">
        <f>IF($B16="","","FY "&amp;IF(MONTH(C16)&gt;=FY_Start,YEAR(C16),YEAR(C16)-1)&amp;"-"&amp;RIGHT(IF(MONTH(C16)&gt;=FY_Start,YEAR(C16)+1,YEAR(C16)),2))</f>
        <v/>
      </c>
      <c r="H16" s="369" t="n"/>
      <c r="I16" s="369" t="n"/>
      <c r="J16" s="369" t="n"/>
      <c r="K16" s="369" t="n"/>
      <c r="L16" s="369" t="n"/>
      <c r="M16" s="369" t="n"/>
      <c r="N16" s="369" t="n"/>
      <c r="O16" s="369" t="n"/>
      <c r="P16" s="369" t="n"/>
      <c r="Q16" s="369" t="n"/>
      <c r="R16" s="369" t="n"/>
      <c r="S16" s="369" t="n"/>
      <c r="T16" s="369" t="n"/>
      <c r="U16" s="369" t="n"/>
      <c r="V16" s="369" t="n"/>
      <c r="W16" s="369" t="n"/>
      <c r="X16" s="369" t="n"/>
      <c r="Y16" s="369" t="n"/>
      <c r="Z16" s="370" t="n"/>
      <c r="AA16" s="370" t="n"/>
      <c r="AB16" s="369" t="n"/>
      <c r="AC16" s="368">
        <f>IF($B16="","",IF(AB16="Closed",IF(AA16="","",AA16-C16),TODAY()-C16))</f>
        <v/>
      </c>
      <c r="AD16" s="369" t="n"/>
    </row>
    <row r="17" ht="15" customHeight="1" s="15">
      <c r="A17" s="368">
        <f>IF($B17="","",ROW()-5)</f>
        <v/>
      </c>
      <c r="B17" s="369" t="n"/>
      <c r="C17" s="370" t="n"/>
      <c r="D17" s="368">
        <f>IF($B17="","",TEXT(C17,"MMM"))</f>
        <v/>
      </c>
      <c r="E17" s="368">
        <f>IF($B17="","","W"&amp;TEXT(WEEKNUM(C17,2),"00"))</f>
        <v/>
      </c>
      <c r="F17" s="368">
        <f>IF($B17="","","Q"&amp;(INT(MOD(MONTH(C17)-FY_Start+12,12)/3)+1))</f>
        <v/>
      </c>
      <c r="G17" s="368">
        <f>IF($B17="","","FY "&amp;IF(MONTH(C17)&gt;=FY_Start,YEAR(C17),YEAR(C17)-1)&amp;"-"&amp;RIGHT(IF(MONTH(C17)&gt;=FY_Start,YEAR(C17)+1,YEAR(C17)),2))</f>
        <v/>
      </c>
      <c r="H17" s="369" t="n"/>
      <c r="I17" s="369" t="n"/>
      <c r="J17" s="369" t="n"/>
      <c r="K17" s="369" t="n"/>
      <c r="L17" s="369" t="n"/>
      <c r="M17" s="369" t="n"/>
      <c r="N17" s="369" t="n"/>
      <c r="O17" s="369" t="n"/>
      <c r="P17" s="369" t="n"/>
      <c r="Q17" s="369" t="n"/>
      <c r="R17" s="369" t="n"/>
      <c r="S17" s="369" t="n"/>
      <c r="T17" s="369" t="n"/>
      <c r="U17" s="369" t="n"/>
      <c r="V17" s="369" t="n"/>
      <c r="W17" s="369" t="n"/>
      <c r="X17" s="369" t="n"/>
      <c r="Y17" s="369" t="n"/>
      <c r="Z17" s="370" t="n"/>
      <c r="AA17" s="370" t="n"/>
      <c r="AB17" s="369" t="n"/>
      <c r="AC17" s="368">
        <f>IF($B17="","",IF(AB17="Closed",IF(AA17="","",AA17-C17),TODAY()-C17))</f>
        <v/>
      </c>
      <c r="AD17" s="369" t="n"/>
    </row>
    <row r="18" ht="15" customHeight="1" s="15">
      <c r="A18" s="368">
        <f>IF($B18="","",ROW()-5)</f>
        <v/>
      </c>
      <c r="B18" s="369" t="n"/>
      <c r="C18" s="370" t="n"/>
      <c r="D18" s="368">
        <f>IF($B18="","",TEXT(C18,"MMM"))</f>
        <v/>
      </c>
      <c r="E18" s="368">
        <f>IF($B18="","","W"&amp;TEXT(WEEKNUM(C18,2),"00"))</f>
        <v/>
      </c>
      <c r="F18" s="368">
        <f>IF($B18="","","Q"&amp;(INT(MOD(MONTH(C18)-FY_Start+12,12)/3)+1))</f>
        <v/>
      </c>
      <c r="G18" s="368">
        <f>IF($B18="","","FY "&amp;IF(MONTH(C18)&gt;=FY_Start,YEAR(C18),YEAR(C18)-1)&amp;"-"&amp;RIGHT(IF(MONTH(C18)&gt;=FY_Start,YEAR(C18)+1,YEAR(C18)),2))</f>
        <v/>
      </c>
      <c r="H18" s="369" t="n"/>
      <c r="I18" s="369" t="n"/>
      <c r="J18" s="369" t="n"/>
      <c r="K18" s="369" t="n"/>
      <c r="L18" s="369" t="n"/>
      <c r="M18" s="369" t="n"/>
      <c r="N18" s="369" t="n"/>
      <c r="O18" s="369" t="n"/>
      <c r="P18" s="369" t="n"/>
      <c r="Q18" s="369" t="n"/>
      <c r="R18" s="369" t="n"/>
      <c r="S18" s="369" t="n"/>
      <c r="T18" s="369" t="n"/>
      <c r="U18" s="369" t="n"/>
      <c r="V18" s="369" t="n"/>
      <c r="W18" s="369" t="n"/>
      <c r="X18" s="369" t="n"/>
      <c r="Y18" s="369" t="n"/>
      <c r="Z18" s="370" t="n"/>
      <c r="AA18" s="370" t="n"/>
      <c r="AB18" s="369" t="n"/>
      <c r="AC18" s="368">
        <f>IF($B18="","",IF(AB18="Closed",IF(AA18="","",AA18-C18),TODAY()-C18))</f>
        <v/>
      </c>
      <c r="AD18" s="369" t="n"/>
    </row>
    <row r="19" ht="15" customHeight="1" s="15">
      <c r="A19" s="368">
        <f>IF($B19="","",ROW()-5)</f>
        <v/>
      </c>
      <c r="B19" s="369" t="n"/>
      <c r="C19" s="370" t="n"/>
      <c r="D19" s="368">
        <f>IF($B19="","",TEXT(C19,"MMM"))</f>
        <v/>
      </c>
      <c r="E19" s="368">
        <f>IF($B19="","","W"&amp;TEXT(WEEKNUM(C19,2),"00"))</f>
        <v/>
      </c>
      <c r="F19" s="368">
        <f>IF($B19="","","Q"&amp;(INT(MOD(MONTH(C19)-FY_Start+12,12)/3)+1))</f>
        <v/>
      </c>
      <c r="G19" s="368">
        <f>IF($B19="","","FY "&amp;IF(MONTH(C19)&gt;=FY_Start,YEAR(C19),YEAR(C19)-1)&amp;"-"&amp;RIGHT(IF(MONTH(C19)&gt;=FY_Start,YEAR(C19)+1,YEAR(C19)),2))</f>
        <v/>
      </c>
      <c r="H19" s="369" t="n"/>
      <c r="I19" s="369" t="n"/>
      <c r="J19" s="369" t="n"/>
      <c r="K19" s="369" t="n"/>
      <c r="L19" s="369" t="n"/>
      <c r="M19" s="369" t="n"/>
      <c r="N19" s="369" t="n"/>
      <c r="O19" s="369" t="n"/>
      <c r="P19" s="369" t="n"/>
      <c r="Q19" s="369" t="n"/>
      <c r="R19" s="369" t="n"/>
      <c r="S19" s="369" t="n"/>
      <c r="T19" s="369" t="n"/>
      <c r="U19" s="369" t="n"/>
      <c r="V19" s="369" t="n"/>
      <c r="W19" s="369" t="n"/>
      <c r="X19" s="369" t="n"/>
      <c r="Y19" s="369" t="n"/>
      <c r="Z19" s="370" t="n"/>
      <c r="AA19" s="370" t="n"/>
      <c r="AB19" s="369" t="n"/>
      <c r="AC19" s="368">
        <f>IF($B19="","",IF(AB19="Closed",IF(AA19="","",AA19-C19),TODAY()-C19))</f>
        <v/>
      </c>
      <c r="AD19" s="369" t="n"/>
    </row>
    <row r="20" ht="15" customHeight="1" s="15">
      <c r="A20" s="368">
        <f>IF($B20="","",ROW()-5)</f>
        <v/>
      </c>
      <c r="B20" s="369" t="n"/>
      <c r="C20" s="370" t="n"/>
      <c r="D20" s="368">
        <f>IF($B20="","",TEXT(C20,"MMM"))</f>
        <v/>
      </c>
      <c r="E20" s="368">
        <f>IF($B20="","","W"&amp;TEXT(WEEKNUM(C20,2),"00"))</f>
        <v/>
      </c>
      <c r="F20" s="368">
        <f>IF($B20="","","Q"&amp;(INT(MOD(MONTH(C20)-FY_Start+12,12)/3)+1))</f>
        <v/>
      </c>
      <c r="G20" s="368">
        <f>IF($B20="","","FY "&amp;IF(MONTH(C20)&gt;=FY_Start,YEAR(C20),YEAR(C20)-1)&amp;"-"&amp;RIGHT(IF(MONTH(C20)&gt;=FY_Start,YEAR(C20)+1,YEAR(C20)),2))</f>
        <v/>
      </c>
      <c r="H20" s="369" t="n"/>
      <c r="I20" s="369" t="n"/>
      <c r="J20" s="369" t="n"/>
      <c r="K20" s="369" t="n"/>
      <c r="L20" s="369" t="n"/>
      <c r="M20" s="369" t="n"/>
      <c r="N20" s="369" t="n"/>
      <c r="O20" s="369" t="n"/>
      <c r="P20" s="369" t="n"/>
      <c r="Q20" s="369" t="n"/>
      <c r="R20" s="369" t="n"/>
      <c r="S20" s="369" t="n"/>
      <c r="T20" s="369" t="n"/>
      <c r="U20" s="369" t="n"/>
      <c r="V20" s="369" t="n"/>
      <c r="W20" s="369" t="n"/>
      <c r="X20" s="369" t="n"/>
      <c r="Y20" s="369" t="n"/>
      <c r="Z20" s="370" t="n"/>
      <c r="AA20" s="370" t="n"/>
      <c r="AB20" s="369" t="n"/>
      <c r="AC20" s="368">
        <f>IF($B20="","",IF(AB20="Closed",IF(AA20="","",AA20-C20),TODAY()-C20))</f>
        <v/>
      </c>
      <c r="AD20" s="369" t="n"/>
    </row>
    <row r="21" ht="15" customHeight="1" s="15">
      <c r="A21" s="368">
        <f>IF($B21="","",ROW()-5)</f>
        <v/>
      </c>
      <c r="B21" s="369" t="n"/>
      <c r="C21" s="370" t="n"/>
      <c r="D21" s="368">
        <f>IF($B21="","",TEXT(C21,"MMM"))</f>
        <v/>
      </c>
      <c r="E21" s="368">
        <f>IF($B21="","","W"&amp;TEXT(WEEKNUM(C21,2),"00"))</f>
        <v/>
      </c>
      <c r="F21" s="368">
        <f>IF($B21="","","Q"&amp;(INT(MOD(MONTH(C21)-FY_Start+12,12)/3)+1))</f>
        <v/>
      </c>
      <c r="G21" s="368">
        <f>IF($B21="","","FY "&amp;IF(MONTH(C21)&gt;=FY_Start,YEAR(C21),YEAR(C21)-1)&amp;"-"&amp;RIGHT(IF(MONTH(C21)&gt;=FY_Start,YEAR(C21)+1,YEAR(C21)),2))</f>
        <v/>
      </c>
      <c r="H21" s="369" t="n"/>
      <c r="I21" s="369" t="n"/>
      <c r="J21" s="369" t="n"/>
      <c r="K21" s="369" t="n"/>
      <c r="L21" s="369" t="n"/>
      <c r="M21" s="369" t="n"/>
      <c r="N21" s="369" t="n"/>
      <c r="O21" s="369" t="n"/>
      <c r="P21" s="369" t="n"/>
      <c r="Q21" s="369" t="n"/>
      <c r="R21" s="369" t="n"/>
      <c r="S21" s="369" t="n"/>
      <c r="T21" s="369" t="n"/>
      <c r="U21" s="369" t="n"/>
      <c r="V21" s="369" t="n"/>
      <c r="W21" s="369" t="n"/>
      <c r="X21" s="369" t="n"/>
      <c r="Y21" s="369" t="n"/>
      <c r="Z21" s="370" t="n"/>
      <c r="AA21" s="370" t="n"/>
      <c r="AB21" s="369" t="n"/>
      <c r="AC21" s="368">
        <f>IF($B21="","",IF(AB21="Closed",IF(AA21="","",AA21-C21),TODAY()-C21))</f>
        <v/>
      </c>
      <c r="AD21" s="369" t="n"/>
    </row>
    <row r="22" ht="15" customHeight="1" s="15">
      <c r="A22" s="368">
        <f>IF($B22="","",ROW()-5)</f>
        <v/>
      </c>
      <c r="B22" s="369" t="n"/>
      <c r="C22" s="370" t="n"/>
      <c r="D22" s="368">
        <f>IF($B22="","",TEXT(C22,"MMM"))</f>
        <v/>
      </c>
      <c r="E22" s="368">
        <f>IF($B22="","","W"&amp;TEXT(WEEKNUM(C22,2),"00"))</f>
        <v/>
      </c>
      <c r="F22" s="368">
        <f>IF($B22="","","Q"&amp;(INT(MOD(MONTH(C22)-FY_Start+12,12)/3)+1))</f>
        <v/>
      </c>
      <c r="G22" s="368">
        <f>IF($B22="","","FY "&amp;IF(MONTH(C22)&gt;=FY_Start,YEAR(C22),YEAR(C22)-1)&amp;"-"&amp;RIGHT(IF(MONTH(C22)&gt;=FY_Start,YEAR(C22)+1,YEAR(C22)),2))</f>
        <v/>
      </c>
      <c r="H22" s="369" t="n"/>
      <c r="I22" s="369" t="n"/>
      <c r="J22" s="369" t="n"/>
      <c r="K22" s="369" t="n"/>
      <c r="L22" s="369" t="n"/>
      <c r="M22" s="369" t="n"/>
      <c r="N22" s="369" t="n"/>
      <c r="O22" s="369" t="n"/>
      <c r="P22" s="369" t="n"/>
      <c r="Q22" s="369" t="n"/>
      <c r="R22" s="369" t="n"/>
      <c r="S22" s="369" t="n"/>
      <c r="T22" s="369" t="n"/>
      <c r="U22" s="369" t="n"/>
      <c r="V22" s="369" t="n"/>
      <c r="W22" s="369" t="n"/>
      <c r="X22" s="369" t="n"/>
      <c r="Y22" s="369" t="n"/>
      <c r="Z22" s="370" t="n"/>
      <c r="AA22" s="370" t="n"/>
      <c r="AB22" s="369" t="n"/>
      <c r="AC22" s="368">
        <f>IF($B22="","",IF(AB22="Closed",IF(AA22="","",AA22-C22),TODAY()-C22))</f>
        <v/>
      </c>
      <c r="AD22" s="369" t="n"/>
    </row>
    <row r="23" ht="15" customHeight="1" s="15">
      <c r="A23" s="368">
        <f>IF($B23="","",ROW()-5)</f>
        <v/>
      </c>
      <c r="B23" s="369" t="n"/>
      <c r="C23" s="370" t="n"/>
      <c r="D23" s="368">
        <f>IF($B23="","",TEXT(C23,"MMM"))</f>
        <v/>
      </c>
      <c r="E23" s="368">
        <f>IF($B23="","","W"&amp;TEXT(WEEKNUM(C23,2),"00"))</f>
        <v/>
      </c>
      <c r="F23" s="368">
        <f>IF($B23="","","Q"&amp;(INT(MOD(MONTH(C23)-FY_Start+12,12)/3)+1))</f>
        <v/>
      </c>
      <c r="G23" s="368">
        <f>IF($B23="","","FY "&amp;IF(MONTH(C23)&gt;=FY_Start,YEAR(C23),YEAR(C23)-1)&amp;"-"&amp;RIGHT(IF(MONTH(C23)&gt;=FY_Start,YEAR(C23)+1,YEAR(C23)),2))</f>
        <v/>
      </c>
      <c r="H23" s="369" t="n"/>
      <c r="I23" s="369" t="n"/>
      <c r="J23" s="369" t="n"/>
      <c r="K23" s="369" t="n"/>
      <c r="L23" s="369" t="n"/>
      <c r="M23" s="369" t="n"/>
      <c r="N23" s="369" t="n"/>
      <c r="O23" s="369" t="n"/>
      <c r="P23" s="369" t="n"/>
      <c r="Q23" s="369" t="n"/>
      <c r="R23" s="369" t="n"/>
      <c r="S23" s="369" t="n"/>
      <c r="T23" s="369" t="n"/>
      <c r="U23" s="369" t="n"/>
      <c r="V23" s="369" t="n"/>
      <c r="W23" s="369" t="n"/>
      <c r="X23" s="369" t="n"/>
      <c r="Y23" s="369" t="n"/>
      <c r="Z23" s="370" t="n"/>
      <c r="AA23" s="370" t="n"/>
      <c r="AB23" s="369" t="n"/>
      <c r="AC23" s="368">
        <f>IF($B23="","",IF(AB23="Closed",IF(AA23="","",AA23-C23),TODAY()-C23))</f>
        <v/>
      </c>
      <c r="AD23" s="369" t="n"/>
    </row>
    <row r="24" ht="15" customHeight="1" s="15">
      <c r="A24" s="368">
        <f>IF($B24="","",ROW()-5)</f>
        <v/>
      </c>
      <c r="B24" s="369" t="n"/>
      <c r="C24" s="370" t="n"/>
      <c r="D24" s="368">
        <f>IF($B24="","",TEXT(C24,"MMM"))</f>
        <v/>
      </c>
      <c r="E24" s="368">
        <f>IF($B24="","","W"&amp;TEXT(WEEKNUM(C24,2),"00"))</f>
        <v/>
      </c>
      <c r="F24" s="368">
        <f>IF($B24="","","Q"&amp;(INT(MOD(MONTH(C24)-FY_Start+12,12)/3)+1))</f>
        <v/>
      </c>
      <c r="G24" s="368">
        <f>IF($B24="","","FY "&amp;IF(MONTH(C24)&gt;=FY_Start,YEAR(C24),YEAR(C24)-1)&amp;"-"&amp;RIGHT(IF(MONTH(C24)&gt;=FY_Start,YEAR(C24)+1,YEAR(C24)),2))</f>
        <v/>
      </c>
      <c r="H24" s="369" t="n"/>
      <c r="I24" s="369" t="n"/>
      <c r="J24" s="369" t="n"/>
      <c r="K24" s="369" t="n"/>
      <c r="L24" s="369" t="n"/>
      <c r="M24" s="369" t="n"/>
      <c r="N24" s="369" t="n"/>
      <c r="O24" s="369" t="n"/>
      <c r="P24" s="369" t="n"/>
      <c r="Q24" s="369" t="n"/>
      <c r="R24" s="369" t="n"/>
      <c r="S24" s="369" t="n"/>
      <c r="T24" s="369" t="n"/>
      <c r="U24" s="369" t="n"/>
      <c r="V24" s="369" t="n"/>
      <c r="W24" s="369" t="n"/>
      <c r="X24" s="369" t="n"/>
      <c r="Y24" s="369" t="n"/>
      <c r="Z24" s="370" t="n"/>
      <c r="AA24" s="370" t="n"/>
      <c r="AB24" s="369" t="n"/>
      <c r="AC24" s="368">
        <f>IF($B24="","",IF(AB24="Closed",IF(AA24="","",AA24-C24),TODAY()-C24))</f>
        <v/>
      </c>
      <c r="AD24" s="369" t="n"/>
    </row>
    <row r="25" ht="15" customHeight="1" s="15">
      <c r="A25" s="368">
        <f>IF($B25="","",ROW()-5)</f>
        <v/>
      </c>
      <c r="B25" s="369" t="n"/>
      <c r="C25" s="370" t="n"/>
      <c r="D25" s="368">
        <f>IF($B25="","",TEXT(C25,"MMM"))</f>
        <v/>
      </c>
      <c r="E25" s="368">
        <f>IF($B25="","","W"&amp;TEXT(WEEKNUM(C25,2),"00"))</f>
        <v/>
      </c>
      <c r="F25" s="368">
        <f>IF($B25="","","Q"&amp;(INT(MOD(MONTH(C25)-FY_Start+12,12)/3)+1))</f>
        <v/>
      </c>
      <c r="G25" s="368">
        <f>IF($B25="","","FY "&amp;IF(MONTH(C25)&gt;=FY_Start,YEAR(C25),YEAR(C25)-1)&amp;"-"&amp;RIGHT(IF(MONTH(C25)&gt;=FY_Start,YEAR(C25)+1,YEAR(C25)),2))</f>
        <v/>
      </c>
      <c r="H25" s="369" t="n"/>
      <c r="I25" s="369" t="n"/>
      <c r="J25" s="369" t="n"/>
      <c r="K25" s="369" t="n"/>
      <c r="L25" s="369" t="n"/>
      <c r="M25" s="369" t="n"/>
      <c r="N25" s="369" t="n"/>
      <c r="O25" s="369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70" t="n"/>
      <c r="AA25" s="370" t="n"/>
      <c r="AB25" s="369" t="n"/>
      <c r="AC25" s="368">
        <f>IF($B25="","",IF(AB25="Closed",IF(AA25="","",AA25-C25),TODAY()-C25))</f>
        <v/>
      </c>
      <c r="AD25" s="369" t="n"/>
    </row>
    <row r="26" ht="15" customHeight="1" s="15">
      <c r="A26" s="368">
        <f>IF($B26="","",ROW()-5)</f>
        <v/>
      </c>
      <c r="B26" s="369" t="n"/>
      <c r="C26" s="370" t="n"/>
      <c r="D26" s="368">
        <f>IF($B26="","",TEXT(C26,"MMM"))</f>
        <v/>
      </c>
      <c r="E26" s="368">
        <f>IF($B26="","","W"&amp;TEXT(WEEKNUM(C26,2),"00"))</f>
        <v/>
      </c>
      <c r="F26" s="368">
        <f>IF($B26="","","Q"&amp;(INT(MOD(MONTH(C26)-FY_Start+12,12)/3)+1))</f>
        <v/>
      </c>
      <c r="G26" s="368">
        <f>IF($B26="","","FY "&amp;IF(MONTH(C26)&gt;=FY_Start,YEAR(C26),YEAR(C26)-1)&amp;"-"&amp;RIGHT(IF(MONTH(C26)&gt;=FY_Start,YEAR(C26)+1,YEAR(C26)),2))</f>
        <v/>
      </c>
      <c r="H26" s="369" t="n"/>
      <c r="I26" s="369" t="n"/>
      <c r="J26" s="369" t="n"/>
      <c r="K26" s="369" t="n"/>
      <c r="L26" s="369" t="n"/>
      <c r="M26" s="369" t="n"/>
      <c r="N26" s="369" t="n"/>
      <c r="O26" s="369" t="n"/>
      <c r="P26" s="369" t="n"/>
      <c r="Q26" s="369" t="n"/>
      <c r="R26" s="369" t="n"/>
      <c r="S26" s="369" t="n"/>
      <c r="T26" s="369" t="n"/>
      <c r="U26" s="369" t="n"/>
      <c r="V26" s="369" t="n"/>
      <c r="W26" s="369" t="n"/>
      <c r="X26" s="369" t="n"/>
      <c r="Y26" s="369" t="n"/>
      <c r="Z26" s="370" t="n"/>
      <c r="AA26" s="370" t="n"/>
      <c r="AB26" s="369" t="n"/>
      <c r="AC26" s="368">
        <f>IF($B26="","",IF(AB26="Closed",IF(AA26="","",AA26-C26),TODAY()-C26))</f>
        <v/>
      </c>
      <c r="AD26" s="369" t="n"/>
    </row>
    <row r="27" ht="15" customHeight="1" s="15">
      <c r="A27" s="368">
        <f>IF($B27="","",ROW()-5)</f>
        <v/>
      </c>
      <c r="B27" s="369" t="n"/>
      <c r="C27" s="370" t="n"/>
      <c r="D27" s="368">
        <f>IF($B27="","",TEXT(C27,"MMM"))</f>
        <v/>
      </c>
      <c r="E27" s="368">
        <f>IF($B27="","","W"&amp;TEXT(WEEKNUM(C27,2),"00"))</f>
        <v/>
      </c>
      <c r="F27" s="368">
        <f>IF($B27="","","Q"&amp;(INT(MOD(MONTH(C27)-FY_Start+12,12)/3)+1))</f>
        <v/>
      </c>
      <c r="G27" s="368">
        <f>IF($B27="","","FY "&amp;IF(MONTH(C27)&gt;=FY_Start,YEAR(C27),YEAR(C27)-1)&amp;"-"&amp;RIGHT(IF(MONTH(C27)&gt;=FY_Start,YEAR(C27)+1,YEAR(C27)),2))</f>
        <v/>
      </c>
      <c r="H27" s="369" t="n"/>
      <c r="I27" s="369" t="n"/>
      <c r="J27" s="369" t="n"/>
      <c r="K27" s="369" t="n"/>
      <c r="L27" s="369" t="n"/>
      <c r="M27" s="369" t="n"/>
      <c r="N27" s="369" t="n"/>
      <c r="O27" s="369" t="n"/>
      <c r="P27" s="369" t="n"/>
      <c r="Q27" s="369" t="n"/>
      <c r="R27" s="369" t="n"/>
      <c r="S27" s="369" t="n"/>
      <c r="T27" s="369" t="n"/>
      <c r="U27" s="369" t="n"/>
      <c r="V27" s="369" t="n"/>
      <c r="W27" s="369" t="n"/>
      <c r="X27" s="369" t="n"/>
      <c r="Y27" s="369" t="n"/>
      <c r="Z27" s="370" t="n"/>
      <c r="AA27" s="370" t="n"/>
      <c r="AB27" s="369" t="n"/>
      <c r="AC27" s="368">
        <f>IF($B27="","",IF(AB27="Closed",IF(AA27="","",AA27-C27),TODAY()-C27))</f>
        <v/>
      </c>
      <c r="AD27" s="369" t="n"/>
    </row>
    <row r="28" ht="15" customHeight="1" s="15">
      <c r="A28" s="368">
        <f>IF($B28="","",ROW()-5)</f>
        <v/>
      </c>
      <c r="B28" s="369" t="n"/>
      <c r="C28" s="370" t="n"/>
      <c r="D28" s="368">
        <f>IF($B28="","",TEXT(C28,"MMM"))</f>
        <v/>
      </c>
      <c r="E28" s="368">
        <f>IF($B28="","","W"&amp;TEXT(WEEKNUM(C28,2),"00"))</f>
        <v/>
      </c>
      <c r="F28" s="368">
        <f>IF($B28="","","Q"&amp;(INT(MOD(MONTH(C28)-FY_Start+12,12)/3)+1))</f>
        <v/>
      </c>
      <c r="G28" s="368">
        <f>IF($B28="","","FY "&amp;IF(MONTH(C28)&gt;=FY_Start,YEAR(C28),YEAR(C28)-1)&amp;"-"&amp;RIGHT(IF(MONTH(C28)&gt;=FY_Start,YEAR(C28)+1,YEAR(C28)),2))</f>
        <v/>
      </c>
      <c r="H28" s="369" t="n"/>
      <c r="I28" s="369" t="n"/>
      <c r="J28" s="369" t="n"/>
      <c r="K28" s="369" t="n"/>
      <c r="L28" s="369" t="n"/>
      <c r="M28" s="369" t="n"/>
      <c r="N28" s="369" t="n"/>
      <c r="O28" s="369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70" t="n"/>
      <c r="AA28" s="370" t="n"/>
      <c r="AB28" s="369" t="n"/>
      <c r="AC28" s="368">
        <f>IF($B28="","",IF(AB28="Closed",IF(AA28="","",AA28-C28),TODAY()-C28))</f>
        <v/>
      </c>
      <c r="AD28" s="369" t="n"/>
    </row>
    <row r="29" ht="15" customHeight="1" s="15">
      <c r="A29" s="368">
        <f>IF($B29="","",ROW()-5)</f>
        <v/>
      </c>
      <c r="B29" s="369" t="n"/>
      <c r="C29" s="370" t="n"/>
      <c r="D29" s="368">
        <f>IF($B29="","",TEXT(C29,"MMM"))</f>
        <v/>
      </c>
      <c r="E29" s="368">
        <f>IF($B29="","","W"&amp;TEXT(WEEKNUM(C29,2),"00"))</f>
        <v/>
      </c>
      <c r="F29" s="368">
        <f>IF($B29="","","Q"&amp;(INT(MOD(MONTH(C29)-FY_Start+12,12)/3)+1))</f>
        <v/>
      </c>
      <c r="G29" s="368">
        <f>IF($B29="","","FY "&amp;IF(MONTH(C29)&gt;=FY_Start,YEAR(C29),YEAR(C29)-1)&amp;"-"&amp;RIGHT(IF(MONTH(C29)&gt;=FY_Start,YEAR(C29)+1,YEAR(C29)),2))</f>
        <v/>
      </c>
      <c r="H29" s="369" t="n"/>
      <c r="I29" s="369" t="n"/>
      <c r="J29" s="369" t="n"/>
      <c r="K29" s="369" t="n"/>
      <c r="L29" s="369" t="n"/>
      <c r="M29" s="369" t="n"/>
      <c r="N29" s="369" t="n"/>
      <c r="O29" s="369" t="n"/>
      <c r="P29" s="369" t="n"/>
      <c r="Q29" s="369" t="n"/>
      <c r="R29" s="369" t="n"/>
      <c r="S29" s="369" t="n"/>
      <c r="T29" s="369" t="n"/>
      <c r="U29" s="369" t="n"/>
      <c r="V29" s="369" t="n"/>
      <c r="W29" s="369" t="n"/>
      <c r="X29" s="369" t="n"/>
      <c r="Y29" s="369" t="n"/>
      <c r="Z29" s="370" t="n"/>
      <c r="AA29" s="370" t="n"/>
      <c r="AB29" s="369" t="n"/>
      <c r="AC29" s="368">
        <f>IF($B29="","",IF(AB29="Closed",IF(AA29="","",AA29-C29),TODAY()-C29))</f>
        <v/>
      </c>
      <c r="AD29" s="369" t="n"/>
    </row>
    <row r="30" ht="15" customHeight="1" s="15">
      <c r="A30" s="368">
        <f>IF($B30="","",ROW()-5)</f>
        <v/>
      </c>
      <c r="B30" s="369" t="n"/>
      <c r="C30" s="370" t="n"/>
      <c r="D30" s="368">
        <f>IF($B30="","",TEXT(C30,"MMM"))</f>
        <v/>
      </c>
      <c r="E30" s="368">
        <f>IF($B30="","","W"&amp;TEXT(WEEKNUM(C30,2),"00"))</f>
        <v/>
      </c>
      <c r="F30" s="368">
        <f>IF($B30="","","Q"&amp;(INT(MOD(MONTH(C30)-FY_Start+12,12)/3)+1))</f>
        <v/>
      </c>
      <c r="G30" s="368">
        <f>IF($B30="","","FY "&amp;IF(MONTH(C30)&gt;=FY_Start,YEAR(C30),YEAR(C30)-1)&amp;"-"&amp;RIGHT(IF(MONTH(C30)&gt;=FY_Start,YEAR(C30)+1,YEAR(C30)),2))</f>
        <v/>
      </c>
      <c r="H30" s="369" t="n"/>
      <c r="I30" s="369" t="n"/>
      <c r="J30" s="369" t="n"/>
      <c r="K30" s="369" t="n"/>
      <c r="L30" s="369" t="n"/>
      <c r="M30" s="369" t="n"/>
      <c r="N30" s="369" t="n"/>
      <c r="O30" s="369" t="n"/>
      <c r="P30" s="369" t="n"/>
      <c r="Q30" s="369" t="n"/>
      <c r="R30" s="369" t="n"/>
      <c r="S30" s="369" t="n"/>
      <c r="T30" s="369" t="n"/>
      <c r="U30" s="369" t="n"/>
      <c r="V30" s="369" t="n"/>
      <c r="W30" s="369" t="n"/>
      <c r="X30" s="369" t="n"/>
      <c r="Y30" s="369" t="n"/>
      <c r="Z30" s="370" t="n"/>
      <c r="AA30" s="370" t="n"/>
      <c r="AB30" s="369" t="n"/>
      <c r="AC30" s="368">
        <f>IF($B30="","",IF(AB30="Closed",IF(AA30="","",AA30-C30),TODAY()-C30))</f>
        <v/>
      </c>
      <c r="AD30" s="369" t="n"/>
    </row>
    <row r="31" ht="15" customHeight="1" s="15">
      <c r="A31" s="368">
        <f>IF($B31="","",ROW()-5)</f>
        <v/>
      </c>
      <c r="B31" s="369" t="n"/>
      <c r="C31" s="370" t="n"/>
      <c r="D31" s="368">
        <f>IF($B31="","",TEXT(C31,"MMM"))</f>
        <v/>
      </c>
      <c r="E31" s="368">
        <f>IF($B31="","","W"&amp;TEXT(WEEKNUM(C31,2),"00"))</f>
        <v/>
      </c>
      <c r="F31" s="368">
        <f>IF($B31="","","Q"&amp;(INT(MOD(MONTH(C31)-FY_Start+12,12)/3)+1))</f>
        <v/>
      </c>
      <c r="G31" s="368">
        <f>IF($B31="","","FY "&amp;IF(MONTH(C31)&gt;=FY_Start,YEAR(C31),YEAR(C31)-1)&amp;"-"&amp;RIGHT(IF(MONTH(C31)&gt;=FY_Start,YEAR(C31)+1,YEAR(C31)),2))</f>
        <v/>
      </c>
      <c r="H31" s="369" t="n"/>
      <c r="I31" s="369" t="n"/>
      <c r="J31" s="369" t="n"/>
      <c r="K31" s="369" t="n"/>
      <c r="L31" s="369" t="n"/>
      <c r="M31" s="369" t="n"/>
      <c r="N31" s="369" t="n"/>
      <c r="O31" s="369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70" t="n"/>
      <c r="AA31" s="370" t="n"/>
      <c r="AB31" s="369" t="n"/>
      <c r="AC31" s="368">
        <f>IF($B31="","",IF(AB31="Closed",IF(AA31="","",AA31-C31),TODAY()-C31))</f>
        <v/>
      </c>
      <c r="AD31" s="369" t="n"/>
    </row>
    <row r="32" ht="15" customHeight="1" s="15">
      <c r="A32" s="368">
        <f>IF($B32="","",ROW()-5)</f>
        <v/>
      </c>
      <c r="B32" s="369" t="n"/>
      <c r="C32" s="370" t="n"/>
      <c r="D32" s="368">
        <f>IF($B32="","",TEXT(C32,"MMM"))</f>
        <v/>
      </c>
      <c r="E32" s="368">
        <f>IF($B32="","","W"&amp;TEXT(WEEKNUM(C32,2),"00"))</f>
        <v/>
      </c>
      <c r="F32" s="368">
        <f>IF($B32="","","Q"&amp;(INT(MOD(MONTH(C32)-FY_Start+12,12)/3)+1))</f>
        <v/>
      </c>
      <c r="G32" s="368">
        <f>IF($B32="","","FY "&amp;IF(MONTH(C32)&gt;=FY_Start,YEAR(C32),YEAR(C32)-1)&amp;"-"&amp;RIGHT(IF(MONTH(C32)&gt;=FY_Start,YEAR(C32)+1,YEAR(C32)),2))</f>
        <v/>
      </c>
      <c r="H32" s="369" t="n"/>
      <c r="I32" s="369" t="n"/>
      <c r="J32" s="369" t="n"/>
      <c r="K32" s="369" t="n"/>
      <c r="L32" s="369" t="n"/>
      <c r="M32" s="369" t="n"/>
      <c r="N32" s="369" t="n"/>
      <c r="O32" s="369" t="n"/>
      <c r="P32" s="369" t="n"/>
      <c r="Q32" s="369" t="n"/>
      <c r="R32" s="369" t="n"/>
      <c r="S32" s="369" t="n"/>
      <c r="T32" s="369" t="n"/>
      <c r="U32" s="369" t="n"/>
      <c r="V32" s="369" t="n"/>
      <c r="W32" s="369" t="n"/>
      <c r="X32" s="369" t="n"/>
      <c r="Y32" s="369" t="n"/>
      <c r="Z32" s="370" t="n"/>
      <c r="AA32" s="370" t="n"/>
      <c r="AB32" s="369" t="n"/>
      <c r="AC32" s="368">
        <f>IF($B32="","",IF(AB32="Closed",IF(AA32="","",AA32-C32),TODAY()-C32))</f>
        <v/>
      </c>
      <c r="AD32" s="369" t="n"/>
    </row>
    <row r="33" ht="15" customHeight="1" s="15">
      <c r="A33" s="368">
        <f>IF($B33="","",ROW()-5)</f>
        <v/>
      </c>
      <c r="B33" s="369" t="n"/>
      <c r="C33" s="370" t="n"/>
      <c r="D33" s="368">
        <f>IF($B33="","",TEXT(C33,"MMM"))</f>
        <v/>
      </c>
      <c r="E33" s="368">
        <f>IF($B33="","","W"&amp;TEXT(WEEKNUM(C33,2),"00"))</f>
        <v/>
      </c>
      <c r="F33" s="368">
        <f>IF($B33="","","Q"&amp;(INT(MOD(MONTH(C33)-FY_Start+12,12)/3)+1))</f>
        <v/>
      </c>
      <c r="G33" s="368">
        <f>IF($B33="","","FY "&amp;IF(MONTH(C33)&gt;=FY_Start,YEAR(C33),YEAR(C33)-1)&amp;"-"&amp;RIGHT(IF(MONTH(C33)&gt;=FY_Start,YEAR(C33)+1,YEAR(C33)),2))</f>
        <v/>
      </c>
      <c r="H33" s="369" t="n"/>
      <c r="I33" s="369" t="n"/>
      <c r="J33" s="369" t="n"/>
      <c r="K33" s="369" t="n"/>
      <c r="L33" s="369" t="n"/>
      <c r="M33" s="369" t="n"/>
      <c r="N33" s="369" t="n"/>
      <c r="O33" s="369" t="n"/>
      <c r="P33" s="369" t="n"/>
      <c r="Q33" s="369" t="n"/>
      <c r="R33" s="369" t="n"/>
      <c r="S33" s="369" t="n"/>
      <c r="T33" s="369" t="n"/>
      <c r="U33" s="369" t="n"/>
      <c r="V33" s="369" t="n"/>
      <c r="W33" s="369" t="n"/>
      <c r="X33" s="369" t="n"/>
      <c r="Y33" s="369" t="n"/>
      <c r="Z33" s="370" t="n"/>
      <c r="AA33" s="370" t="n"/>
      <c r="AB33" s="369" t="n"/>
      <c r="AC33" s="368">
        <f>IF($B33="","",IF(AB33="Closed",IF(AA33="","",AA33-C33),TODAY()-C33))</f>
        <v/>
      </c>
      <c r="AD33" s="369" t="n"/>
    </row>
    <row r="34" ht="15" customHeight="1" s="15">
      <c r="A34" s="368">
        <f>IF($B34="","",ROW()-5)</f>
        <v/>
      </c>
      <c r="B34" s="369" t="n"/>
      <c r="C34" s="370" t="n"/>
      <c r="D34" s="368">
        <f>IF($B34="","",TEXT(C34,"MMM"))</f>
        <v/>
      </c>
      <c r="E34" s="368">
        <f>IF($B34="","","W"&amp;TEXT(WEEKNUM(C34,2),"00"))</f>
        <v/>
      </c>
      <c r="F34" s="368">
        <f>IF($B34="","","Q"&amp;(INT(MOD(MONTH(C34)-FY_Start+12,12)/3)+1))</f>
        <v/>
      </c>
      <c r="G34" s="368">
        <f>IF($B34="","","FY "&amp;IF(MONTH(C34)&gt;=FY_Start,YEAR(C34),YEAR(C34)-1)&amp;"-"&amp;RIGHT(IF(MONTH(C34)&gt;=FY_Start,YEAR(C34)+1,YEAR(C34)),2))</f>
        <v/>
      </c>
      <c r="H34" s="369" t="n"/>
      <c r="I34" s="369" t="n"/>
      <c r="J34" s="369" t="n"/>
      <c r="K34" s="369" t="n"/>
      <c r="L34" s="369" t="n"/>
      <c r="M34" s="369" t="n"/>
      <c r="N34" s="369" t="n"/>
      <c r="O34" s="369" t="n"/>
      <c r="P34" s="369" t="n"/>
      <c r="Q34" s="369" t="n"/>
      <c r="R34" s="369" t="n"/>
      <c r="S34" s="369" t="n"/>
      <c r="T34" s="369" t="n"/>
      <c r="U34" s="369" t="n"/>
      <c r="V34" s="369" t="n"/>
      <c r="W34" s="369" t="n"/>
      <c r="X34" s="369" t="n"/>
      <c r="Y34" s="369" t="n"/>
      <c r="Z34" s="370" t="n"/>
      <c r="AA34" s="370" t="n"/>
      <c r="AB34" s="369" t="n"/>
      <c r="AC34" s="368">
        <f>IF($B34="","",IF(AB34="Closed",IF(AA34="","",AA34-C34),TODAY()-C34))</f>
        <v/>
      </c>
      <c r="AD34" s="369" t="n"/>
    </row>
    <row r="35" ht="15" customHeight="1" s="15">
      <c r="A35" s="368">
        <f>IF($B35="","",ROW()-5)</f>
        <v/>
      </c>
      <c r="B35" s="369" t="n"/>
      <c r="C35" s="370" t="n"/>
      <c r="D35" s="368">
        <f>IF($B35="","",TEXT(C35,"MMM"))</f>
        <v/>
      </c>
      <c r="E35" s="368">
        <f>IF($B35="","","W"&amp;TEXT(WEEKNUM(C35,2),"00"))</f>
        <v/>
      </c>
      <c r="F35" s="368">
        <f>IF($B35="","","Q"&amp;(INT(MOD(MONTH(C35)-FY_Start+12,12)/3)+1))</f>
        <v/>
      </c>
      <c r="G35" s="368">
        <f>IF($B35="","","FY "&amp;IF(MONTH(C35)&gt;=FY_Start,YEAR(C35),YEAR(C35)-1)&amp;"-"&amp;RIGHT(IF(MONTH(C35)&gt;=FY_Start,YEAR(C35)+1,YEAR(C35)),2))</f>
        <v/>
      </c>
      <c r="H35" s="369" t="n"/>
      <c r="I35" s="369" t="n"/>
      <c r="J35" s="369" t="n"/>
      <c r="K35" s="369" t="n"/>
      <c r="L35" s="369" t="n"/>
      <c r="M35" s="369" t="n"/>
      <c r="N35" s="369" t="n"/>
      <c r="O35" s="369" t="n"/>
      <c r="P35" s="369" t="n"/>
      <c r="Q35" s="369" t="n"/>
      <c r="R35" s="369" t="n"/>
      <c r="S35" s="369" t="n"/>
      <c r="T35" s="369" t="n"/>
      <c r="U35" s="369" t="n"/>
      <c r="V35" s="369" t="n"/>
      <c r="W35" s="369" t="n"/>
      <c r="X35" s="369" t="n"/>
      <c r="Y35" s="369" t="n"/>
      <c r="Z35" s="370" t="n"/>
      <c r="AA35" s="370" t="n"/>
      <c r="AB35" s="369" t="n"/>
      <c r="AC35" s="368">
        <f>IF($B35="","",IF(AB35="Closed",IF(AA35="","",AA35-C35),TODAY()-C35))</f>
        <v/>
      </c>
      <c r="AD35" s="369" t="n"/>
    </row>
    <row r="36" ht="15" customHeight="1" s="15">
      <c r="A36" s="368">
        <f>IF($B36="","",ROW()-5)</f>
        <v/>
      </c>
      <c r="B36" s="369" t="n"/>
      <c r="C36" s="370" t="n"/>
      <c r="D36" s="368">
        <f>IF($B36="","",TEXT(C36,"MMM"))</f>
        <v/>
      </c>
      <c r="E36" s="368">
        <f>IF($B36="","","W"&amp;TEXT(WEEKNUM(C36,2),"00"))</f>
        <v/>
      </c>
      <c r="F36" s="368">
        <f>IF($B36="","","Q"&amp;(INT(MOD(MONTH(C36)-FY_Start+12,12)/3)+1))</f>
        <v/>
      </c>
      <c r="G36" s="368">
        <f>IF($B36="","","FY "&amp;IF(MONTH(C36)&gt;=FY_Start,YEAR(C36),YEAR(C36)-1)&amp;"-"&amp;RIGHT(IF(MONTH(C36)&gt;=FY_Start,YEAR(C36)+1,YEAR(C36)),2))</f>
        <v/>
      </c>
      <c r="H36" s="369" t="n"/>
      <c r="I36" s="369" t="n"/>
      <c r="J36" s="369" t="n"/>
      <c r="K36" s="369" t="n"/>
      <c r="L36" s="369" t="n"/>
      <c r="M36" s="369" t="n"/>
      <c r="N36" s="369" t="n"/>
      <c r="O36" s="369" t="n"/>
      <c r="P36" s="369" t="n"/>
      <c r="Q36" s="369" t="n"/>
      <c r="R36" s="369" t="n"/>
      <c r="S36" s="369" t="n"/>
      <c r="T36" s="369" t="n"/>
      <c r="U36" s="369" t="n"/>
      <c r="V36" s="369" t="n"/>
      <c r="W36" s="369" t="n"/>
      <c r="X36" s="369" t="n"/>
      <c r="Y36" s="369" t="n"/>
      <c r="Z36" s="370" t="n"/>
      <c r="AA36" s="370" t="n"/>
      <c r="AB36" s="369" t="n"/>
      <c r="AC36" s="368">
        <f>IF($B36="","",IF(AB36="Closed",IF(AA36="","",AA36-C36),TODAY()-C36))</f>
        <v/>
      </c>
      <c r="AD36" s="369" t="n"/>
    </row>
    <row r="37" ht="15" customHeight="1" s="15">
      <c r="A37" s="368">
        <f>IF($B37="","",ROW()-5)</f>
        <v/>
      </c>
      <c r="B37" s="369" t="n"/>
      <c r="C37" s="370" t="n"/>
      <c r="D37" s="368">
        <f>IF($B37="","",TEXT(C37,"MMM"))</f>
        <v/>
      </c>
      <c r="E37" s="368">
        <f>IF($B37="","","W"&amp;TEXT(WEEKNUM(C37,2),"00"))</f>
        <v/>
      </c>
      <c r="F37" s="368">
        <f>IF($B37="","","Q"&amp;(INT(MOD(MONTH(C37)-FY_Start+12,12)/3)+1))</f>
        <v/>
      </c>
      <c r="G37" s="368">
        <f>IF($B37="","","FY "&amp;IF(MONTH(C37)&gt;=FY_Start,YEAR(C37),YEAR(C37)-1)&amp;"-"&amp;RIGHT(IF(MONTH(C37)&gt;=FY_Start,YEAR(C37)+1,YEAR(C37)),2))</f>
        <v/>
      </c>
      <c r="H37" s="369" t="n"/>
      <c r="I37" s="369" t="n"/>
      <c r="J37" s="369" t="n"/>
      <c r="K37" s="369" t="n"/>
      <c r="L37" s="369" t="n"/>
      <c r="M37" s="369" t="n"/>
      <c r="N37" s="369" t="n"/>
      <c r="O37" s="369" t="n"/>
      <c r="P37" s="369" t="n"/>
      <c r="Q37" s="369" t="n"/>
      <c r="R37" s="369" t="n"/>
      <c r="S37" s="369" t="n"/>
      <c r="T37" s="369" t="n"/>
      <c r="U37" s="369" t="n"/>
      <c r="V37" s="369" t="n"/>
      <c r="W37" s="369" t="n"/>
      <c r="X37" s="369" t="n"/>
      <c r="Y37" s="369" t="n"/>
      <c r="Z37" s="370" t="n"/>
      <c r="AA37" s="370" t="n"/>
      <c r="AB37" s="369" t="n"/>
      <c r="AC37" s="368">
        <f>IF($B37="","",IF(AB37="Closed",IF(AA37="","",AA37-C37),TODAY()-C37))</f>
        <v/>
      </c>
      <c r="AD37" s="369" t="n"/>
    </row>
    <row r="38" ht="15" customHeight="1" s="15">
      <c r="A38" s="368">
        <f>IF($B38="","",ROW()-5)</f>
        <v/>
      </c>
      <c r="B38" s="369" t="n"/>
      <c r="C38" s="370" t="n"/>
      <c r="D38" s="368">
        <f>IF($B38="","",TEXT(C38,"MMM"))</f>
        <v/>
      </c>
      <c r="E38" s="368">
        <f>IF($B38="","","W"&amp;TEXT(WEEKNUM(C38,2),"00"))</f>
        <v/>
      </c>
      <c r="F38" s="368">
        <f>IF($B38="","","Q"&amp;(INT(MOD(MONTH(C38)-FY_Start+12,12)/3)+1))</f>
        <v/>
      </c>
      <c r="G38" s="368">
        <f>IF($B38="","","FY "&amp;IF(MONTH(C38)&gt;=FY_Start,YEAR(C38),YEAR(C38)-1)&amp;"-"&amp;RIGHT(IF(MONTH(C38)&gt;=FY_Start,YEAR(C38)+1,YEAR(C38)),2))</f>
        <v/>
      </c>
      <c r="H38" s="369" t="n"/>
      <c r="I38" s="369" t="n"/>
      <c r="J38" s="369" t="n"/>
      <c r="K38" s="369" t="n"/>
      <c r="L38" s="369" t="n"/>
      <c r="M38" s="369" t="n"/>
      <c r="N38" s="369" t="n"/>
      <c r="O38" s="369" t="n"/>
      <c r="P38" s="369" t="n"/>
      <c r="Q38" s="369" t="n"/>
      <c r="R38" s="369" t="n"/>
      <c r="S38" s="369" t="n"/>
      <c r="T38" s="369" t="n"/>
      <c r="U38" s="369" t="n"/>
      <c r="V38" s="369" t="n"/>
      <c r="W38" s="369" t="n"/>
      <c r="X38" s="369" t="n"/>
      <c r="Y38" s="369" t="n"/>
      <c r="Z38" s="370" t="n"/>
      <c r="AA38" s="370" t="n"/>
      <c r="AB38" s="369" t="n"/>
      <c r="AC38" s="368">
        <f>IF($B38="","",IF(AB38="Closed",IF(AA38="","",AA38-C38),TODAY()-C38))</f>
        <v/>
      </c>
      <c r="AD38" s="369" t="n"/>
    </row>
    <row r="39" ht="15" customHeight="1" s="15">
      <c r="A39" s="368">
        <f>IF($B39="","",ROW()-5)</f>
        <v/>
      </c>
      <c r="B39" s="369" t="n"/>
      <c r="C39" s="370" t="n"/>
      <c r="D39" s="368">
        <f>IF($B39="","",TEXT(C39,"MMM"))</f>
        <v/>
      </c>
      <c r="E39" s="368">
        <f>IF($B39="","","W"&amp;TEXT(WEEKNUM(C39,2),"00"))</f>
        <v/>
      </c>
      <c r="F39" s="368">
        <f>IF($B39="","","Q"&amp;(INT(MOD(MONTH(C39)-FY_Start+12,12)/3)+1))</f>
        <v/>
      </c>
      <c r="G39" s="368">
        <f>IF($B39="","","FY "&amp;IF(MONTH(C39)&gt;=FY_Start,YEAR(C39),YEAR(C39)-1)&amp;"-"&amp;RIGHT(IF(MONTH(C39)&gt;=FY_Start,YEAR(C39)+1,YEAR(C39)),2))</f>
        <v/>
      </c>
      <c r="H39" s="369" t="n"/>
      <c r="I39" s="369" t="n"/>
      <c r="J39" s="369" t="n"/>
      <c r="K39" s="369" t="n"/>
      <c r="L39" s="369" t="n"/>
      <c r="M39" s="369" t="n"/>
      <c r="N39" s="369" t="n"/>
      <c r="O39" s="369" t="n"/>
      <c r="P39" s="369" t="n"/>
      <c r="Q39" s="369" t="n"/>
      <c r="R39" s="369" t="n"/>
      <c r="S39" s="369" t="n"/>
      <c r="T39" s="369" t="n"/>
      <c r="U39" s="369" t="n"/>
      <c r="V39" s="369" t="n"/>
      <c r="W39" s="369" t="n"/>
      <c r="X39" s="369" t="n"/>
      <c r="Y39" s="369" t="n"/>
      <c r="Z39" s="370" t="n"/>
      <c r="AA39" s="370" t="n"/>
      <c r="AB39" s="369" t="n"/>
      <c r="AC39" s="368">
        <f>IF($B39="","",IF(AB39="Closed",IF(AA39="","",AA39-C39),TODAY()-C39))</f>
        <v/>
      </c>
      <c r="AD39" s="369" t="n"/>
    </row>
    <row r="40" ht="15" customHeight="1" s="15">
      <c r="A40" s="368">
        <f>IF($B40="","",ROW()-5)</f>
        <v/>
      </c>
      <c r="B40" s="369" t="n"/>
      <c r="C40" s="370" t="n"/>
      <c r="D40" s="368">
        <f>IF($B40="","",TEXT(C40,"MMM"))</f>
        <v/>
      </c>
      <c r="E40" s="368">
        <f>IF($B40="","","W"&amp;TEXT(WEEKNUM(C40,2),"00"))</f>
        <v/>
      </c>
      <c r="F40" s="368">
        <f>IF($B40="","","Q"&amp;(INT(MOD(MONTH(C40)-FY_Start+12,12)/3)+1))</f>
        <v/>
      </c>
      <c r="G40" s="368">
        <f>IF($B40="","","FY "&amp;IF(MONTH(C40)&gt;=FY_Start,YEAR(C40),YEAR(C40)-1)&amp;"-"&amp;RIGHT(IF(MONTH(C40)&gt;=FY_Start,YEAR(C40)+1,YEAR(C40)),2))</f>
        <v/>
      </c>
      <c r="H40" s="369" t="n"/>
      <c r="I40" s="369" t="n"/>
      <c r="J40" s="369" t="n"/>
      <c r="K40" s="369" t="n"/>
      <c r="L40" s="369" t="n"/>
      <c r="M40" s="369" t="n"/>
      <c r="N40" s="369" t="n"/>
      <c r="O40" s="369" t="n"/>
      <c r="P40" s="369" t="n"/>
      <c r="Q40" s="369" t="n"/>
      <c r="R40" s="369" t="n"/>
      <c r="S40" s="369" t="n"/>
      <c r="T40" s="369" t="n"/>
      <c r="U40" s="369" t="n"/>
      <c r="V40" s="369" t="n"/>
      <c r="W40" s="369" t="n"/>
      <c r="X40" s="369" t="n"/>
      <c r="Y40" s="369" t="n"/>
      <c r="Z40" s="370" t="n"/>
      <c r="AA40" s="370" t="n"/>
      <c r="AB40" s="369" t="n"/>
      <c r="AC40" s="368">
        <f>IF($B40="","",IF(AB40="Closed",IF(AA40="","",AA40-C40),TODAY()-C40))</f>
        <v/>
      </c>
      <c r="AD40" s="369" t="n"/>
    </row>
    <row r="41" ht="15" customHeight="1" s="15">
      <c r="A41" s="368">
        <f>IF($B41="","",ROW()-5)</f>
        <v/>
      </c>
      <c r="B41" s="369" t="n"/>
      <c r="C41" s="370" t="n"/>
      <c r="D41" s="368">
        <f>IF($B41="","",TEXT(C41,"MMM"))</f>
        <v/>
      </c>
      <c r="E41" s="368">
        <f>IF($B41="","","W"&amp;TEXT(WEEKNUM(C41,2),"00"))</f>
        <v/>
      </c>
      <c r="F41" s="368">
        <f>IF($B41="","","Q"&amp;(INT(MOD(MONTH(C41)-FY_Start+12,12)/3)+1))</f>
        <v/>
      </c>
      <c r="G41" s="368">
        <f>IF($B41="","","FY "&amp;IF(MONTH(C41)&gt;=FY_Start,YEAR(C41),YEAR(C41)-1)&amp;"-"&amp;RIGHT(IF(MONTH(C41)&gt;=FY_Start,YEAR(C41)+1,YEAR(C41)),2))</f>
        <v/>
      </c>
      <c r="H41" s="369" t="n"/>
      <c r="I41" s="369" t="n"/>
      <c r="J41" s="369" t="n"/>
      <c r="K41" s="369" t="n"/>
      <c r="L41" s="369" t="n"/>
      <c r="M41" s="369" t="n"/>
      <c r="N41" s="369" t="n"/>
      <c r="O41" s="369" t="n"/>
      <c r="P41" s="369" t="n"/>
      <c r="Q41" s="369" t="n"/>
      <c r="R41" s="369" t="n"/>
      <c r="S41" s="369" t="n"/>
      <c r="T41" s="369" t="n"/>
      <c r="U41" s="369" t="n"/>
      <c r="V41" s="369" t="n"/>
      <c r="W41" s="369" t="n"/>
      <c r="X41" s="369" t="n"/>
      <c r="Y41" s="369" t="n"/>
      <c r="Z41" s="370" t="n"/>
      <c r="AA41" s="370" t="n"/>
      <c r="AB41" s="369" t="n"/>
      <c r="AC41" s="368">
        <f>IF($B41="","",IF(AB41="Closed",IF(AA41="","",AA41-C41),TODAY()-C41))</f>
        <v/>
      </c>
      <c r="AD41" s="369" t="n"/>
    </row>
    <row r="42" ht="15" customHeight="1" s="15">
      <c r="A42" s="368">
        <f>IF($B42="","",ROW()-5)</f>
        <v/>
      </c>
      <c r="B42" s="369" t="n"/>
      <c r="C42" s="370" t="n"/>
      <c r="D42" s="368">
        <f>IF($B42="","",TEXT(C42,"MMM"))</f>
        <v/>
      </c>
      <c r="E42" s="368">
        <f>IF($B42="","","W"&amp;TEXT(WEEKNUM(C42,2),"00"))</f>
        <v/>
      </c>
      <c r="F42" s="368">
        <f>IF($B42="","","Q"&amp;(INT(MOD(MONTH(C42)-FY_Start+12,12)/3)+1))</f>
        <v/>
      </c>
      <c r="G42" s="368">
        <f>IF($B42="","","FY "&amp;IF(MONTH(C42)&gt;=FY_Start,YEAR(C42),YEAR(C42)-1)&amp;"-"&amp;RIGHT(IF(MONTH(C42)&gt;=FY_Start,YEAR(C42)+1,YEAR(C42)),2))</f>
        <v/>
      </c>
      <c r="H42" s="369" t="n"/>
      <c r="I42" s="369" t="n"/>
      <c r="J42" s="369" t="n"/>
      <c r="K42" s="369" t="n"/>
      <c r="L42" s="369" t="n"/>
      <c r="M42" s="369" t="n"/>
      <c r="N42" s="369" t="n"/>
      <c r="O42" s="369" t="n"/>
      <c r="P42" s="369" t="n"/>
      <c r="Q42" s="369" t="n"/>
      <c r="R42" s="369" t="n"/>
      <c r="S42" s="369" t="n"/>
      <c r="T42" s="369" t="n"/>
      <c r="U42" s="369" t="n"/>
      <c r="V42" s="369" t="n"/>
      <c r="W42" s="369" t="n"/>
      <c r="X42" s="369" t="n"/>
      <c r="Y42" s="369" t="n"/>
      <c r="Z42" s="370" t="n"/>
      <c r="AA42" s="370" t="n"/>
      <c r="AB42" s="369" t="n"/>
      <c r="AC42" s="368">
        <f>IF($B42="","",IF(AB42="Closed",IF(AA42="","",AA42-C42),TODAY()-C42))</f>
        <v/>
      </c>
      <c r="AD42" s="369" t="n"/>
    </row>
    <row r="43" ht="15" customHeight="1" s="15">
      <c r="A43" s="368">
        <f>IF($B43="","",ROW()-5)</f>
        <v/>
      </c>
      <c r="B43" s="369" t="n"/>
      <c r="C43" s="370" t="n"/>
      <c r="D43" s="368">
        <f>IF($B43="","",TEXT(C43,"MMM"))</f>
        <v/>
      </c>
      <c r="E43" s="368">
        <f>IF($B43="","","W"&amp;TEXT(WEEKNUM(C43,2),"00"))</f>
        <v/>
      </c>
      <c r="F43" s="368">
        <f>IF($B43="","","Q"&amp;(INT(MOD(MONTH(C43)-FY_Start+12,12)/3)+1))</f>
        <v/>
      </c>
      <c r="G43" s="368">
        <f>IF($B43="","","FY "&amp;IF(MONTH(C43)&gt;=FY_Start,YEAR(C43),YEAR(C43)-1)&amp;"-"&amp;RIGHT(IF(MONTH(C43)&gt;=FY_Start,YEAR(C43)+1,YEAR(C43)),2))</f>
        <v/>
      </c>
      <c r="H43" s="369" t="n"/>
      <c r="I43" s="369" t="n"/>
      <c r="J43" s="369" t="n"/>
      <c r="K43" s="369" t="n"/>
      <c r="L43" s="369" t="n"/>
      <c r="M43" s="369" t="n"/>
      <c r="N43" s="369" t="n"/>
      <c r="O43" s="369" t="n"/>
      <c r="P43" s="369" t="n"/>
      <c r="Q43" s="369" t="n"/>
      <c r="R43" s="369" t="n"/>
      <c r="S43" s="369" t="n"/>
      <c r="T43" s="369" t="n"/>
      <c r="U43" s="369" t="n"/>
      <c r="V43" s="369" t="n"/>
      <c r="W43" s="369" t="n"/>
      <c r="X43" s="369" t="n"/>
      <c r="Y43" s="369" t="n"/>
      <c r="Z43" s="370" t="n"/>
      <c r="AA43" s="370" t="n"/>
      <c r="AB43" s="369" t="n"/>
      <c r="AC43" s="368">
        <f>IF($B43="","",IF(AB43="Closed",IF(AA43="","",AA43-C43),TODAY()-C43))</f>
        <v/>
      </c>
      <c r="AD43" s="369" t="n"/>
    </row>
    <row r="44" ht="15" customHeight="1" s="15">
      <c r="A44" s="368">
        <f>IF($B44="","",ROW()-5)</f>
        <v/>
      </c>
      <c r="B44" s="369" t="n"/>
      <c r="C44" s="370" t="n"/>
      <c r="D44" s="368">
        <f>IF($B44="","",TEXT(C44,"MMM"))</f>
        <v/>
      </c>
      <c r="E44" s="368">
        <f>IF($B44="","","W"&amp;TEXT(WEEKNUM(C44,2),"00"))</f>
        <v/>
      </c>
      <c r="F44" s="368">
        <f>IF($B44="","","Q"&amp;(INT(MOD(MONTH(C44)-FY_Start+12,12)/3)+1))</f>
        <v/>
      </c>
      <c r="G44" s="368">
        <f>IF($B44="","","FY "&amp;IF(MONTH(C44)&gt;=FY_Start,YEAR(C44),YEAR(C44)-1)&amp;"-"&amp;RIGHT(IF(MONTH(C44)&gt;=FY_Start,YEAR(C44)+1,YEAR(C44)),2))</f>
        <v/>
      </c>
      <c r="H44" s="369" t="n"/>
      <c r="I44" s="369" t="n"/>
      <c r="J44" s="369" t="n"/>
      <c r="K44" s="369" t="n"/>
      <c r="L44" s="369" t="n"/>
      <c r="M44" s="369" t="n"/>
      <c r="N44" s="369" t="n"/>
      <c r="O44" s="369" t="n"/>
      <c r="P44" s="369" t="n"/>
      <c r="Q44" s="369" t="n"/>
      <c r="R44" s="369" t="n"/>
      <c r="S44" s="369" t="n"/>
      <c r="T44" s="369" t="n"/>
      <c r="U44" s="369" t="n"/>
      <c r="V44" s="369" t="n"/>
      <c r="W44" s="369" t="n"/>
      <c r="X44" s="369" t="n"/>
      <c r="Y44" s="369" t="n"/>
      <c r="Z44" s="370" t="n"/>
      <c r="AA44" s="370" t="n"/>
      <c r="AB44" s="369" t="n"/>
      <c r="AC44" s="368">
        <f>IF($B44="","",IF(AB44="Closed",IF(AA44="","",AA44-C44),TODAY()-C44))</f>
        <v/>
      </c>
      <c r="AD44" s="369" t="n"/>
    </row>
    <row r="45" ht="15" customHeight="1" s="15">
      <c r="A45" s="368">
        <f>IF($B45="","",ROW()-5)</f>
        <v/>
      </c>
      <c r="B45" s="369" t="n"/>
      <c r="C45" s="370" t="n"/>
      <c r="D45" s="368">
        <f>IF($B45="","",TEXT(C45,"MMM"))</f>
        <v/>
      </c>
      <c r="E45" s="368">
        <f>IF($B45="","","W"&amp;TEXT(WEEKNUM(C45,2),"00"))</f>
        <v/>
      </c>
      <c r="F45" s="368">
        <f>IF($B45="","","Q"&amp;(INT(MOD(MONTH(C45)-FY_Start+12,12)/3)+1))</f>
        <v/>
      </c>
      <c r="G45" s="368">
        <f>IF($B45="","","FY "&amp;IF(MONTH(C45)&gt;=FY_Start,YEAR(C45),YEAR(C45)-1)&amp;"-"&amp;RIGHT(IF(MONTH(C45)&gt;=FY_Start,YEAR(C45)+1,YEAR(C45)),2))</f>
        <v/>
      </c>
      <c r="H45" s="369" t="n"/>
      <c r="I45" s="369" t="n"/>
      <c r="J45" s="369" t="n"/>
      <c r="K45" s="369" t="n"/>
      <c r="L45" s="369" t="n"/>
      <c r="M45" s="369" t="n"/>
      <c r="N45" s="369" t="n"/>
      <c r="O45" s="369" t="n"/>
      <c r="P45" s="369" t="n"/>
      <c r="Q45" s="369" t="n"/>
      <c r="R45" s="369" t="n"/>
      <c r="S45" s="369" t="n"/>
      <c r="T45" s="369" t="n"/>
      <c r="U45" s="369" t="n"/>
      <c r="V45" s="369" t="n"/>
      <c r="W45" s="369" t="n"/>
      <c r="X45" s="369" t="n"/>
      <c r="Y45" s="369" t="n"/>
      <c r="Z45" s="370" t="n"/>
      <c r="AA45" s="370" t="n"/>
      <c r="AB45" s="369" t="n"/>
      <c r="AC45" s="368">
        <f>IF($B45="","",IF(AB45="Closed",IF(AA45="","",AA45-C45),TODAY()-C45))</f>
        <v/>
      </c>
      <c r="AD45" s="369" t="n"/>
    </row>
    <row r="46" ht="15" customHeight="1" s="15">
      <c r="A46" s="368">
        <f>IF($B46="","",ROW()-5)</f>
        <v/>
      </c>
      <c r="B46" s="369" t="n"/>
      <c r="C46" s="370" t="n"/>
      <c r="D46" s="368">
        <f>IF($B46="","",TEXT(C46,"MMM"))</f>
        <v/>
      </c>
      <c r="E46" s="368">
        <f>IF($B46="","","W"&amp;TEXT(WEEKNUM(C46,2),"00"))</f>
        <v/>
      </c>
      <c r="F46" s="368">
        <f>IF($B46="","","Q"&amp;(INT(MOD(MONTH(C46)-FY_Start+12,12)/3)+1))</f>
        <v/>
      </c>
      <c r="G46" s="368">
        <f>IF($B46="","","FY "&amp;IF(MONTH(C46)&gt;=FY_Start,YEAR(C46),YEAR(C46)-1)&amp;"-"&amp;RIGHT(IF(MONTH(C46)&gt;=FY_Start,YEAR(C46)+1,YEAR(C46)),2))</f>
        <v/>
      </c>
      <c r="H46" s="369" t="n"/>
      <c r="I46" s="369" t="n"/>
      <c r="J46" s="369" t="n"/>
      <c r="K46" s="369" t="n"/>
      <c r="L46" s="369" t="n"/>
      <c r="M46" s="369" t="n"/>
      <c r="N46" s="369" t="n"/>
      <c r="O46" s="369" t="n"/>
      <c r="P46" s="369" t="n"/>
      <c r="Q46" s="369" t="n"/>
      <c r="R46" s="369" t="n"/>
      <c r="S46" s="369" t="n"/>
      <c r="T46" s="369" t="n"/>
      <c r="U46" s="369" t="n"/>
      <c r="V46" s="369" t="n"/>
      <c r="W46" s="369" t="n"/>
      <c r="X46" s="369" t="n"/>
      <c r="Y46" s="369" t="n"/>
      <c r="Z46" s="370" t="n"/>
      <c r="AA46" s="370" t="n"/>
      <c r="AB46" s="369" t="n"/>
      <c r="AC46" s="368">
        <f>IF($B46="","",IF(AB46="Closed",IF(AA46="","",AA46-C46),TODAY()-C46))</f>
        <v/>
      </c>
      <c r="AD46" s="369" t="n"/>
    </row>
    <row r="47" ht="15" customHeight="1" s="15">
      <c r="A47" s="368">
        <f>IF($B47="","",ROW()-5)</f>
        <v/>
      </c>
      <c r="B47" s="369" t="n"/>
      <c r="C47" s="370" t="n"/>
      <c r="D47" s="368">
        <f>IF($B47="","",TEXT(C47,"MMM"))</f>
        <v/>
      </c>
      <c r="E47" s="368">
        <f>IF($B47="","","W"&amp;TEXT(WEEKNUM(C47,2),"00"))</f>
        <v/>
      </c>
      <c r="F47" s="368">
        <f>IF($B47="","","Q"&amp;(INT(MOD(MONTH(C47)-FY_Start+12,12)/3)+1))</f>
        <v/>
      </c>
      <c r="G47" s="368">
        <f>IF($B47="","","FY "&amp;IF(MONTH(C47)&gt;=FY_Start,YEAR(C47),YEAR(C47)-1)&amp;"-"&amp;RIGHT(IF(MONTH(C47)&gt;=FY_Start,YEAR(C47)+1,YEAR(C47)),2))</f>
        <v/>
      </c>
      <c r="H47" s="369" t="n"/>
      <c r="I47" s="369" t="n"/>
      <c r="J47" s="369" t="n"/>
      <c r="K47" s="369" t="n"/>
      <c r="L47" s="369" t="n"/>
      <c r="M47" s="369" t="n"/>
      <c r="N47" s="369" t="n"/>
      <c r="O47" s="369" t="n"/>
      <c r="P47" s="369" t="n"/>
      <c r="Q47" s="369" t="n"/>
      <c r="R47" s="369" t="n"/>
      <c r="S47" s="369" t="n"/>
      <c r="T47" s="369" t="n"/>
      <c r="U47" s="369" t="n"/>
      <c r="V47" s="369" t="n"/>
      <c r="W47" s="369" t="n"/>
      <c r="X47" s="369" t="n"/>
      <c r="Y47" s="369" t="n"/>
      <c r="Z47" s="370" t="n"/>
      <c r="AA47" s="370" t="n"/>
      <c r="AB47" s="369" t="n"/>
      <c r="AC47" s="368">
        <f>IF($B47="","",IF(AB47="Closed",IF(AA47="","",AA47-C47),TODAY()-C47))</f>
        <v/>
      </c>
      <c r="AD47" s="369" t="n"/>
    </row>
    <row r="48" ht="15" customHeight="1" s="15">
      <c r="A48" s="368">
        <f>IF($B48="","",ROW()-5)</f>
        <v/>
      </c>
      <c r="B48" s="369" t="n"/>
      <c r="C48" s="370" t="n"/>
      <c r="D48" s="368">
        <f>IF($B48="","",TEXT(C48,"MMM"))</f>
        <v/>
      </c>
      <c r="E48" s="368">
        <f>IF($B48="","","W"&amp;TEXT(WEEKNUM(C48,2),"00"))</f>
        <v/>
      </c>
      <c r="F48" s="368">
        <f>IF($B48="","","Q"&amp;(INT(MOD(MONTH(C48)-FY_Start+12,12)/3)+1))</f>
        <v/>
      </c>
      <c r="G48" s="368">
        <f>IF($B48="","","FY "&amp;IF(MONTH(C48)&gt;=FY_Start,YEAR(C48),YEAR(C48)-1)&amp;"-"&amp;RIGHT(IF(MONTH(C48)&gt;=FY_Start,YEAR(C48)+1,YEAR(C48)),2))</f>
        <v/>
      </c>
      <c r="H48" s="369" t="n"/>
      <c r="I48" s="369" t="n"/>
      <c r="J48" s="369" t="n"/>
      <c r="K48" s="369" t="n"/>
      <c r="L48" s="369" t="n"/>
      <c r="M48" s="369" t="n"/>
      <c r="N48" s="369" t="n"/>
      <c r="O48" s="369" t="n"/>
      <c r="P48" s="369" t="n"/>
      <c r="Q48" s="369" t="n"/>
      <c r="R48" s="369" t="n"/>
      <c r="S48" s="369" t="n"/>
      <c r="T48" s="369" t="n"/>
      <c r="U48" s="369" t="n"/>
      <c r="V48" s="369" t="n"/>
      <c r="W48" s="369" t="n"/>
      <c r="X48" s="369" t="n"/>
      <c r="Y48" s="369" t="n"/>
      <c r="Z48" s="370" t="n"/>
      <c r="AA48" s="370" t="n"/>
      <c r="AB48" s="369" t="n"/>
      <c r="AC48" s="368">
        <f>IF($B48="","",IF(AB48="Closed",IF(AA48="","",AA48-C48),TODAY()-C48))</f>
        <v/>
      </c>
      <c r="AD48" s="369" t="n"/>
    </row>
    <row r="49" ht="15" customHeight="1" s="15">
      <c r="A49" s="368">
        <f>IF($B49="","",ROW()-5)</f>
        <v/>
      </c>
      <c r="B49" s="369" t="n"/>
      <c r="C49" s="370" t="n"/>
      <c r="D49" s="368">
        <f>IF($B49="","",TEXT(C49,"MMM"))</f>
        <v/>
      </c>
      <c r="E49" s="368">
        <f>IF($B49="","","W"&amp;TEXT(WEEKNUM(C49,2),"00"))</f>
        <v/>
      </c>
      <c r="F49" s="368">
        <f>IF($B49="","","Q"&amp;(INT(MOD(MONTH(C49)-FY_Start+12,12)/3)+1))</f>
        <v/>
      </c>
      <c r="G49" s="368">
        <f>IF($B49="","","FY "&amp;IF(MONTH(C49)&gt;=FY_Start,YEAR(C49),YEAR(C49)-1)&amp;"-"&amp;RIGHT(IF(MONTH(C49)&gt;=FY_Start,YEAR(C49)+1,YEAR(C49)),2))</f>
        <v/>
      </c>
      <c r="H49" s="369" t="n"/>
      <c r="I49" s="369" t="n"/>
      <c r="J49" s="369" t="n"/>
      <c r="K49" s="369" t="n"/>
      <c r="L49" s="369" t="n"/>
      <c r="M49" s="369" t="n"/>
      <c r="N49" s="369" t="n"/>
      <c r="O49" s="369" t="n"/>
      <c r="P49" s="369" t="n"/>
      <c r="Q49" s="369" t="n"/>
      <c r="R49" s="369" t="n"/>
      <c r="S49" s="369" t="n"/>
      <c r="T49" s="369" t="n"/>
      <c r="U49" s="369" t="n"/>
      <c r="V49" s="369" t="n"/>
      <c r="W49" s="369" t="n"/>
      <c r="X49" s="369" t="n"/>
      <c r="Y49" s="369" t="n"/>
      <c r="Z49" s="370" t="n"/>
      <c r="AA49" s="370" t="n"/>
      <c r="AB49" s="369" t="n"/>
      <c r="AC49" s="368">
        <f>IF($B49="","",IF(AB49="Closed",IF(AA49="","",AA49-C49),TODAY()-C49))</f>
        <v/>
      </c>
      <c r="AD49" s="369" t="n"/>
    </row>
    <row r="50" ht="15" customHeight="1" s="15">
      <c r="A50" s="368">
        <f>IF($B50="","",ROW()-5)</f>
        <v/>
      </c>
      <c r="B50" s="369" t="n"/>
      <c r="C50" s="370" t="n"/>
      <c r="D50" s="368">
        <f>IF($B50="","",TEXT(C50,"MMM"))</f>
        <v/>
      </c>
      <c r="E50" s="368">
        <f>IF($B50="","","W"&amp;TEXT(WEEKNUM(C50,2),"00"))</f>
        <v/>
      </c>
      <c r="F50" s="368">
        <f>IF($B50="","","Q"&amp;(INT(MOD(MONTH(C50)-FY_Start+12,12)/3)+1))</f>
        <v/>
      </c>
      <c r="G50" s="368">
        <f>IF($B50="","","FY "&amp;IF(MONTH(C50)&gt;=FY_Start,YEAR(C50),YEAR(C50)-1)&amp;"-"&amp;RIGHT(IF(MONTH(C50)&gt;=FY_Start,YEAR(C50)+1,YEAR(C50)),2))</f>
        <v/>
      </c>
      <c r="H50" s="369" t="n"/>
      <c r="I50" s="369" t="n"/>
      <c r="J50" s="369" t="n"/>
      <c r="K50" s="369" t="n"/>
      <c r="L50" s="369" t="n"/>
      <c r="M50" s="369" t="n"/>
      <c r="N50" s="369" t="n"/>
      <c r="O50" s="369" t="n"/>
      <c r="P50" s="369" t="n"/>
      <c r="Q50" s="369" t="n"/>
      <c r="R50" s="369" t="n"/>
      <c r="S50" s="369" t="n"/>
      <c r="T50" s="369" t="n"/>
      <c r="U50" s="369" t="n"/>
      <c r="V50" s="369" t="n"/>
      <c r="W50" s="369" t="n"/>
      <c r="X50" s="369" t="n"/>
      <c r="Y50" s="369" t="n"/>
      <c r="Z50" s="370" t="n"/>
      <c r="AA50" s="370" t="n"/>
      <c r="AB50" s="369" t="n"/>
      <c r="AC50" s="368">
        <f>IF($B50="","",IF(AB50="Closed",IF(AA50="","",AA50-C50),TODAY()-C50))</f>
        <v/>
      </c>
      <c r="AD50" s="369" t="n"/>
    </row>
    <row r="51" ht="15" customHeight="1" s="15">
      <c r="A51" s="368">
        <f>IF($B51="","",ROW()-5)</f>
        <v/>
      </c>
      <c r="B51" s="369" t="n"/>
      <c r="C51" s="370" t="n"/>
      <c r="D51" s="368">
        <f>IF($B51="","",TEXT(C51,"MMM"))</f>
        <v/>
      </c>
      <c r="E51" s="368">
        <f>IF($B51="","","W"&amp;TEXT(WEEKNUM(C51,2),"00"))</f>
        <v/>
      </c>
      <c r="F51" s="368">
        <f>IF($B51="","","Q"&amp;(INT(MOD(MONTH(C51)-FY_Start+12,12)/3)+1))</f>
        <v/>
      </c>
      <c r="G51" s="368">
        <f>IF($B51="","","FY "&amp;IF(MONTH(C51)&gt;=FY_Start,YEAR(C51),YEAR(C51)-1)&amp;"-"&amp;RIGHT(IF(MONTH(C51)&gt;=FY_Start,YEAR(C51)+1,YEAR(C51)),2))</f>
        <v/>
      </c>
      <c r="H51" s="369" t="n"/>
      <c r="I51" s="369" t="n"/>
      <c r="J51" s="369" t="n"/>
      <c r="K51" s="369" t="n"/>
      <c r="L51" s="369" t="n"/>
      <c r="M51" s="369" t="n"/>
      <c r="N51" s="369" t="n"/>
      <c r="O51" s="369" t="n"/>
      <c r="P51" s="369" t="n"/>
      <c r="Q51" s="369" t="n"/>
      <c r="R51" s="369" t="n"/>
      <c r="S51" s="369" t="n"/>
      <c r="T51" s="369" t="n"/>
      <c r="U51" s="369" t="n"/>
      <c r="V51" s="369" t="n"/>
      <c r="W51" s="369" t="n"/>
      <c r="X51" s="369" t="n"/>
      <c r="Y51" s="369" t="n"/>
      <c r="Z51" s="370" t="n"/>
      <c r="AA51" s="370" t="n"/>
      <c r="AB51" s="369" t="n"/>
      <c r="AC51" s="368">
        <f>IF($B51="","",IF(AB51="Closed",IF(AA51="","",AA51-C51),TODAY()-C51))</f>
        <v/>
      </c>
      <c r="AD51" s="369" t="n"/>
    </row>
    <row r="52" ht="15" customHeight="1" s="15">
      <c r="A52" s="368">
        <f>IF($B52="","",ROW()-5)</f>
        <v/>
      </c>
      <c r="B52" s="369" t="n"/>
      <c r="C52" s="370" t="n"/>
      <c r="D52" s="368">
        <f>IF($B52="","",TEXT(C52,"MMM"))</f>
        <v/>
      </c>
      <c r="E52" s="368">
        <f>IF($B52="","","W"&amp;TEXT(WEEKNUM(C52,2),"00"))</f>
        <v/>
      </c>
      <c r="F52" s="368">
        <f>IF($B52="","","Q"&amp;(INT(MOD(MONTH(C52)-FY_Start+12,12)/3)+1))</f>
        <v/>
      </c>
      <c r="G52" s="368">
        <f>IF($B52="","","FY "&amp;IF(MONTH(C52)&gt;=FY_Start,YEAR(C52),YEAR(C52)-1)&amp;"-"&amp;RIGHT(IF(MONTH(C52)&gt;=FY_Start,YEAR(C52)+1,YEAR(C52)),2))</f>
        <v/>
      </c>
      <c r="H52" s="369" t="n"/>
      <c r="I52" s="369" t="n"/>
      <c r="J52" s="369" t="n"/>
      <c r="K52" s="369" t="n"/>
      <c r="L52" s="369" t="n"/>
      <c r="M52" s="369" t="n"/>
      <c r="N52" s="369" t="n"/>
      <c r="O52" s="369" t="n"/>
      <c r="P52" s="369" t="n"/>
      <c r="Q52" s="369" t="n"/>
      <c r="R52" s="369" t="n"/>
      <c r="S52" s="369" t="n"/>
      <c r="T52" s="369" t="n"/>
      <c r="U52" s="369" t="n"/>
      <c r="V52" s="369" t="n"/>
      <c r="W52" s="369" t="n"/>
      <c r="X52" s="369" t="n"/>
      <c r="Y52" s="369" t="n"/>
      <c r="Z52" s="370" t="n"/>
      <c r="AA52" s="370" t="n"/>
      <c r="AB52" s="369" t="n"/>
      <c r="AC52" s="368">
        <f>IF($B52="","",IF(AB52="Closed",IF(AA52="","",AA52-C52),TODAY()-C52))</f>
        <v/>
      </c>
      <c r="AD52" s="369" t="n"/>
    </row>
    <row r="53" ht="15" customHeight="1" s="15">
      <c r="A53" s="368">
        <f>IF($B53="","",ROW()-5)</f>
        <v/>
      </c>
      <c r="B53" s="369" t="n"/>
      <c r="C53" s="370" t="n"/>
      <c r="D53" s="368">
        <f>IF($B53="","",TEXT(C53,"MMM"))</f>
        <v/>
      </c>
      <c r="E53" s="368">
        <f>IF($B53="","","W"&amp;TEXT(WEEKNUM(C53,2),"00"))</f>
        <v/>
      </c>
      <c r="F53" s="368">
        <f>IF($B53="","","Q"&amp;(INT(MOD(MONTH(C53)-FY_Start+12,12)/3)+1))</f>
        <v/>
      </c>
      <c r="G53" s="368">
        <f>IF($B53="","","FY "&amp;IF(MONTH(C53)&gt;=FY_Start,YEAR(C53),YEAR(C53)-1)&amp;"-"&amp;RIGHT(IF(MONTH(C53)&gt;=FY_Start,YEAR(C53)+1,YEAR(C53)),2))</f>
        <v/>
      </c>
      <c r="H53" s="369" t="n"/>
      <c r="I53" s="369" t="n"/>
      <c r="J53" s="369" t="n"/>
      <c r="K53" s="369" t="n"/>
      <c r="L53" s="369" t="n"/>
      <c r="M53" s="369" t="n"/>
      <c r="N53" s="369" t="n"/>
      <c r="O53" s="369" t="n"/>
      <c r="P53" s="369" t="n"/>
      <c r="Q53" s="369" t="n"/>
      <c r="R53" s="369" t="n"/>
      <c r="S53" s="369" t="n"/>
      <c r="T53" s="369" t="n"/>
      <c r="U53" s="369" t="n"/>
      <c r="V53" s="369" t="n"/>
      <c r="W53" s="369" t="n"/>
      <c r="X53" s="369" t="n"/>
      <c r="Y53" s="369" t="n"/>
      <c r="Z53" s="370" t="n"/>
      <c r="AA53" s="370" t="n"/>
      <c r="AB53" s="369" t="n"/>
      <c r="AC53" s="368">
        <f>IF($B53="","",IF(AB53="Closed",IF(AA53="","",AA53-C53),TODAY()-C53))</f>
        <v/>
      </c>
      <c r="AD53" s="369" t="n"/>
    </row>
    <row r="54" ht="15" customHeight="1" s="15">
      <c r="A54" s="368">
        <f>IF($B54="","",ROW()-5)</f>
        <v/>
      </c>
      <c r="B54" s="369" t="n"/>
      <c r="C54" s="370" t="n"/>
      <c r="D54" s="368">
        <f>IF($B54="","",TEXT(C54,"MMM"))</f>
        <v/>
      </c>
      <c r="E54" s="368">
        <f>IF($B54="","","W"&amp;TEXT(WEEKNUM(C54,2),"00"))</f>
        <v/>
      </c>
      <c r="F54" s="368">
        <f>IF($B54="","","Q"&amp;(INT(MOD(MONTH(C54)-FY_Start+12,12)/3)+1))</f>
        <v/>
      </c>
      <c r="G54" s="368">
        <f>IF($B54="","","FY "&amp;IF(MONTH(C54)&gt;=FY_Start,YEAR(C54),YEAR(C54)-1)&amp;"-"&amp;RIGHT(IF(MONTH(C54)&gt;=FY_Start,YEAR(C54)+1,YEAR(C54)),2))</f>
        <v/>
      </c>
      <c r="H54" s="369" t="n"/>
      <c r="I54" s="369" t="n"/>
      <c r="J54" s="369" t="n"/>
      <c r="K54" s="369" t="n"/>
      <c r="L54" s="369" t="n"/>
      <c r="M54" s="369" t="n"/>
      <c r="N54" s="369" t="n"/>
      <c r="O54" s="369" t="n"/>
      <c r="P54" s="369" t="n"/>
      <c r="Q54" s="369" t="n"/>
      <c r="R54" s="369" t="n"/>
      <c r="S54" s="369" t="n"/>
      <c r="T54" s="369" t="n"/>
      <c r="U54" s="369" t="n"/>
      <c r="V54" s="369" t="n"/>
      <c r="W54" s="369" t="n"/>
      <c r="X54" s="369" t="n"/>
      <c r="Y54" s="369" t="n"/>
      <c r="Z54" s="370" t="n"/>
      <c r="AA54" s="370" t="n"/>
      <c r="AB54" s="369" t="n"/>
      <c r="AC54" s="368">
        <f>IF($B54="","",IF(AB54="Closed",IF(AA54="","",AA54-C54),TODAY()-C54))</f>
        <v/>
      </c>
      <c r="AD54" s="369" t="n"/>
    </row>
    <row r="55" ht="15" customHeight="1" s="15">
      <c r="A55" s="368">
        <f>IF($B55="","",ROW()-5)</f>
        <v/>
      </c>
      <c r="B55" s="369" t="n"/>
      <c r="C55" s="370" t="n"/>
      <c r="D55" s="368">
        <f>IF($B55="","",TEXT(C55,"MMM"))</f>
        <v/>
      </c>
      <c r="E55" s="368">
        <f>IF($B55="","","W"&amp;TEXT(WEEKNUM(C55,2),"00"))</f>
        <v/>
      </c>
      <c r="F55" s="368">
        <f>IF($B55="","","Q"&amp;(INT(MOD(MONTH(C55)-FY_Start+12,12)/3)+1))</f>
        <v/>
      </c>
      <c r="G55" s="368">
        <f>IF($B55="","","FY "&amp;IF(MONTH(C55)&gt;=FY_Start,YEAR(C55),YEAR(C55)-1)&amp;"-"&amp;RIGHT(IF(MONTH(C55)&gt;=FY_Start,YEAR(C55)+1,YEAR(C55)),2))</f>
        <v/>
      </c>
      <c r="H55" s="369" t="n"/>
      <c r="I55" s="369" t="n"/>
      <c r="J55" s="369" t="n"/>
      <c r="K55" s="369" t="n"/>
      <c r="L55" s="369" t="n"/>
      <c r="M55" s="369" t="n"/>
      <c r="N55" s="369" t="n"/>
      <c r="O55" s="369" t="n"/>
      <c r="P55" s="369" t="n"/>
      <c r="Q55" s="369" t="n"/>
      <c r="R55" s="369" t="n"/>
      <c r="S55" s="369" t="n"/>
      <c r="T55" s="369" t="n"/>
      <c r="U55" s="369" t="n"/>
      <c r="V55" s="369" t="n"/>
      <c r="W55" s="369" t="n"/>
      <c r="X55" s="369" t="n"/>
      <c r="Y55" s="369" t="n"/>
      <c r="Z55" s="370" t="n"/>
      <c r="AA55" s="370" t="n"/>
      <c r="AB55" s="369" t="n"/>
      <c r="AC55" s="368">
        <f>IF($B55="","",IF(AB55="Closed",IF(AA55="","",AA55-C55),TODAY()-C55))</f>
        <v/>
      </c>
      <c r="AD55" s="369" t="n"/>
    </row>
    <row r="56" ht="15" customHeight="1" s="15">
      <c r="A56" s="368">
        <f>IF($B56="","",ROW()-5)</f>
        <v/>
      </c>
      <c r="B56" s="369" t="n"/>
      <c r="C56" s="370" t="n"/>
      <c r="D56" s="368">
        <f>IF($B56="","",TEXT(C56,"MMM"))</f>
        <v/>
      </c>
      <c r="E56" s="368">
        <f>IF($B56="","","W"&amp;TEXT(WEEKNUM(C56,2),"00"))</f>
        <v/>
      </c>
      <c r="F56" s="368">
        <f>IF($B56="","","Q"&amp;(INT(MOD(MONTH(C56)-FY_Start+12,12)/3)+1))</f>
        <v/>
      </c>
      <c r="G56" s="368">
        <f>IF($B56="","","FY "&amp;IF(MONTH(C56)&gt;=FY_Start,YEAR(C56),YEAR(C56)-1)&amp;"-"&amp;RIGHT(IF(MONTH(C56)&gt;=FY_Start,YEAR(C56)+1,YEAR(C56)),2))</f>
        <v/>
      </c>
      <c r="H56" s="369" t="n"/>
      <c r="I56" s="369" t="n"/>
      <c r="J56" s="369" t="n"/>
      <c r="K56" s="369" t="n"/>
      <c r="L56" s="369" t="n"/>
      <c r="M56" s="369" t="n"/>
      <c r="N56" s="369" t="n"/>
      <c r="O56" s="369" t="n"/>
      <c r="P56" s="369" t="n"/>
      <c r="Q56" s="369" t="n"/>
      <c r="R56" s="369" t="n"/>
      <c r="S56" s="369" t="n"/>
      <c r="T56" s="369" t="n"/>
      <c r="U56" s="369" t="n"/>
      <c r="V56" s="369" t="n"/>
      <c r="W56" s="369" t="n"/>
      <c r="X56" s="369" t="n"/>
      <c r="Y56" s="369" t="n"/>
      <c r="Z56" s="370" t="n"/>
      <c r="AA56" s="370" t="n"/>
      <c r="AB56" s="369" t="n"/>
      <c r="AC56" s="368">
        <f>IF($B56="","",IF(AB56="Closed",IF(AA56="","",AA56-C56),TODAY()-C56))</f>
        <v/>
      </c>
      <c r="AD56" s="369" t="n"/>
    </row>
    <row r="57" ht="15" customHeight="1" s="15">
      <c r="A57" s="368">
        <f>IF($B57="","",ROW()-5)</f>
        <v/>
      </c>
      <c r="B57" s="369" t="n"/>
      <c r="C57" s="370" t="n"/>
      <c r="D57" s="368">
        <f>IF($B57="","",TEXT(C57,"MMM"))</f>
        <v/>
      </c>
      <c r="E57" s="368">
        <f>IF($B57="","","W"&amp;TEXT(WEEKNUM(C57,2),"00"))</f>
        <v/>
      </c>
      <c r="F57" s="368">
        <f>IF($B57="","","Q"&amp;(INT(MOD(MONTH(C57)-FY_Start+12,12)/3)+1))</f>
        <v/>
      </c>
      <c r="G57" s="368">
        <f>IF($B57="","","FY "&amp;IF(MONTH(C57)&gt;=FY_Start,YEAR(C57),YEAR(C57)-1)&amp;"-"&amp;RIGHT(IF(MONTH(C57)&gt;=FY_Start,YEAR(C57)+1,YEAR(C57)),2))</f>
        <v/>
      </c>
      <c r="H57" s="369" t="n"/>
      <c r="I57" s="369" t="n"/>
      <c r="J57" s="369" t="n"/>
      <c r="K57" s="369" t="n"/>
      <c r="L57" s="369" t="n"/>
      <c r="M57" s="369" t="n"/>
      <c r="N57" s="369" t="n"/>
      <c r="O57" s="369" t="n"/>
      <c r="P57" s="369" t="n"/>
      <c r="Q57" s="369" t="n"/>
      <c r="R57" s="369" t="n"/>
      <c r="S57" s="369" t="n"/>
      <c r="T57" s="369" t="n"/>
      <c r="U57" s="369" t="n"/>
      <c r="V57" s="369" t="n"/>
      <c r="W57" s="369" t="n"/>
      <c r="X57" s="369" t="n"/>
      <c r="Y57" s="369" t="n"/>
      <c r="Z57" s="370" t="n"/>
      <c r="AA57" s="370" t="n"/>
      <c r="AB57" s="369" t="n"/>
      <c r="AC57" s="368">
        <f>IF($B57="","",IF(AB57="Closed",IF(AA57="","",AA57-C57),TODAY()-C57))</f>
        <v/>
      </c>
      <c r="AD57" s="369" t="n"/>
    </row>
    <row r="58" ht="15" customHeight="1" s="15">
      <c r="A58" s="368">
        <f>IF($B58="","",ROW()-5)</f>
        <v/>
      </c>
      <c r="B58" s="369" t="n"/>
      <c r="C58" s="370" t="n"/>
      <c r="D58" s="368">
        <f>IF($B58="","",TEXT(C58,"MMM"))</f>
        <v/>
      </c>
      <c r="E58" s="368">
        <f>IF($B58="","","W"&amp;TEXT(WEEKNUM(C58,2),"00"))</f>
        <v/>
      </c>
      <c r="F58" s="368">
        <f>IF($B58="","","Q"&amp;(INT(MOD(MONTH(C58)-FY_Start+12,12)/3)+1))</f>
        <v/>
      </c>
      <c r="G58" s="368">
        <f>IF($B58="","","FY "&amp;IF(MONTH(C58)&gt;=FY_Start,YEAR(C58),YEAR(C58)-1)&amp;"-"&amp;RIGHT(IF(MONTH(C58)&gt;=FY_Start,YEAR(C58)+1,YEAR(C58)),2))</f>
        <v/>
      </c>
      <c r="H58" s="369" t="n"/>
      <c r="I58" s="369" t="n"/>
      <c r="J58" s="369" t="n"/>
      <c r="K58" s="369" t="n"/>
      <c r="L58" s="369" t="n"/>
      <c r="M58" s="369" t="n"/>
      <c r="N58" s="369" t="n"/>
      <c r="O58" s="369" t="n"/>
      <c r="P58" s="369" t="n"/>
      <c r="Q58" s="369" t="n"/>
      <c r="R58" s="369" t="n"/>
      <c r="S58" s="369" t="n"/>
      <c r="T58" s="369" t="n"/>
      <c r="U58" s="369" t="n"/>
      <c r="V58" s="369" t="n"/>
      <c r="W58" s="369" t="n"/>
      <c r="X58" s="369" t="n"/>
      <c r="Y58" s="369" t="n"/>
      <c r="Z58" s="370" t="n"/>
      <c r="AA58" s="370" t="n"/>
      <c r="AB58" s="369" t="n"/>
      <c r="AC58" s="368">
        <f>IF($B58="","",IF(AB58="Closed",IF(AA58="","",AA58-C58),TODAY()-C58))</f>
        <v/>
      </c>
      <c r="AD58" s="369" t="n"/>
    </row>
    <row r="59" ht="15" customHeight="1" s="15">
      <c r="A59" s="368">
        <f>IF($B59="","",ROW()-5)</f>
        <v/>
      </c>
      <c r="B59" s="369" t="n"/>
      <c r="C59" s="370" t="n"/>
      <c r="D59" s="368">
        <f>IF($B59="","",TEXT(C59,"MMM"))</f>
        <v/>
      </c>
      <c r="E59" s="368">
        <f>IF($B59="","","W"&amp;TEXT(WEEKNUM(C59,2),"00"))</f>
        <v/>
      </c>
      <c r="F59" s="368">
        <f>IF($B59="","","Q"&amp;(INT(MOD(MONTH(C59)-FY_Start+12,12)/3)+1))</f>
        <v/>
      </c>
      <c r="G59" s="368">
        <f>IF($B59="","","FY "&amp;IF(MONTH(C59)&gt;=FY_Start,YEAR(C59),YEAR(C59)-1)&amp;"-"&amp;RIGHT(IF(MONTH(C59)&gt;=FY_Start,YEAR(C59)+1,YEAR(C59)),2))</f>
        <v/>
      </c>
      <c r="H59" s="369" t="n"/>
      <c r="I59" s="369" t="n"/>
      <c r="J59" s="369" t="n"/>
      <c r="K59" s="369" t="n"/>
      <c r="L59" s="369" t="n"/>
      <c r="M59" s="369" t="n"/>
      <c r="N59" s="369" t="n"/>
      <c r="O59" s="369" t="n"/>
      <c r="P59" s="369" t="n"/>
      <c r="Q59" s="369" t="n"/>
      <c r="R59" s="369" t="n"/>
      <c r="S59" s="369" t="n"/>
      <c r="T59" s="369" t="n"/>
      <c r="U59" s="369" t="n"/>
      <c r="V59" s="369" t="n"/>
      <c r="W59" s="369" t="n"/>
      <c r="X59" s="369" t="n"/>
      <c r="Y59" s="369" t="n"/>
      <c r="Z59" s="370" t="n"/>
      <c r="AA59" s="370" t="n"/>
      <c r="AB59" s="369" t="n"/>
      <c r="AC59" s="368">
        <f>IF($B59="","",IF(AB59="Closed",IF(AA59="","",AA59-C59),TODAY()-C59))</f>
        <v/>
      </c>
      <c r="AD59" s="369" t="n"/>
    </row>
    <row r="60" ht="15" customHeight="1" s="15">
      <c r="A60" s="368">
        <f>IF($B60="","",ROW()-5)</f>
        <v/>
      </c>
      <c r="B60" s="369" t="n"/>
      <c r="C60" s="370" t="n"/>
      <c r="D60" s="368">
        <f>IF($B60="","",TEXT(C60,"MMM"))</f>
        <v/>
      </c>
      <c r="E60" s="368">
        <f>IF($B60="","","W"&amp;TEXT(WEEKNUM(C60,2),"00"))</f>
        <v/>
      </c>
      <c r="F60" s="368">
        <f>IF($B60="","","Q"&amp;(INT(MOD(MONTH(C60)-FY_Start+12,12)/3)+1))</f>
        <v/>
      </c>
      <c r="G60" s="368">
        <f>IF($B60="","","FY "&amp;IF(MONTH(C60)&gt;=FY_Start,YEAR(C60),YEAR(C60)-1)&amp;"-"&amp;RIGHT(IF(MONTH(C60)&gt;=FY_Start,YEAR(C60)+1,YEAR(C60)),2))</f>
        <v/>
      </c>
      <c r="H60" s="369" t="n"/>
      <c r="I60" s="369" t="n"/>
      <c r="J60" s="369" t="n"/>
      <c r="K60" s="369" t="n"/>
      <c r="L60" s="369" t="n"/>
      <c r="M60" s="369" t="n"/>
      <c r="N60" s="369" t="n"/>
      <c r="O60" s="369" t="n"/>
      <c r="P60" s="369" t="n"/>
      <c r="Q60" s="369" t="n"/>
      <c r="R60" s="369" t="n"/>
      <c r="S60" s="369" t="n"/>
      <c r="T60" s="369" t="n"/>
      <c r="U60" s="369" t="n"/>
      <c r="V60" s="369" t="n"/>
      <c r="W60" s="369" t="n"/>
      <c r="X60" s="369" t="n"/>
      <c r="Y60" s="369" t="n"/>
      <c r="Z60" s="370" t="n"/>
      <c r="AA60" s="370" t="n"/>
      <c r="AB60" s="369" t="n"/>
      <c r="AC60" s="368">
        <f>IF($B60="","",IF(AB60="Closed",IF(AA60="","",AA60-C60),TODAY()-C60))</f>
        <v/>
      </c>
      <c r="AD60" s="369" t="n"/>
    </row>
    <row r="61" ht="15" customHeight="1" s="15">
      <c r="A61" s="368">
        <f>IF($B61="","",ROW()-5)</f>
        <v/>
      </c>
      <c r="B61" s="369" t="n"/>
      <c r="C61" s="370" t="n"/>
      <c r="D61" s="368">
        <f>IF($B61="","",TEXT(C61,"MMM"))</f>
        <v/>
      </c>
      <c r="E61" s="368">
        <f>IF($B61="","","W"&amp;TEXT(WEEKNUM(C61,2),"00"))</f>
        <v/>
      </c>
      <c r="F61" s="368">
        <f>IF($B61="","","Q"&amp;(INT(MOD(MONTH(C61)-FY_Start+12,12)/3)+1))</f>
        <v/>
      </c>
      <c r="G61" s="368">
        <f>IF($B61="","","FY "&amp;IF(MONTH(C61)&gt;=FY_Start,YEAR(C61),YEAR(C61)-1)&amp;"-"&amp;RIGHT(IF(MONTH(C61)&gt;=FY_Start,YEAR(C61)+1,YEAR(C61)),2))</f>
        <v/>
      </c>
      <c r="H61" s="369" t="n"/>
      <c r="I61" s="369" t="n"/>
      <c r="J61" s="369" t="n"/>
      <c r="K61" s="369" t="n"/>
      <c r="L61" s="369" t="n"/>
      <c r="M61" s="369" t="n"/>
      <c r="N61" s="369" t="n"/>
      <c r="O61" s="369" t="n"/>
      <c r="P61" s="369" t="n"/>
      <c r="Q61" s="369" t="n"/>
      <c r="R61" s="369" t="n"/>
      <c r="S61" s="369" t="n"/>
      <c r="T61" s="369" t="n"/>
      <c r="U61" s="369" t="n"/>
      <c r="V61" s="369" t="n"/>
      <c r="W61" s="369" t="n"/>
      <c r="X61" s="369" t="n"/>
      <c r="Y61" s="369" t="n"/>
      <c r="Z61" s="370" t="n"/>
      <c r="AA61" s="370" t="n"/>
      <c r="AB61" s="369" t="n"/>
      <c r="AC61" s="368">
        <f>IF($B61="","",IF(AB61="Closed",IF(AA61="","",AA61-C61),TODAY()-C61))</f>
        <v/>
      </c>
      <c r="AD61" s="369" t="n"/>
    </row>
    <row r="62" ht="15" customHeight="1" s="15">
      <c r="A62" s="368">
        <f>IF($B62="","",ROW()-5)</f>
        <v/>
      </c>
      <c r="B62" s="369" t="n"/>
      <c r="C62" s="370" t="n"/>
      <c r="D62" s="368">
        <f>IF($B62="","",TEXT(C62,"MMM"))</f>
        <v/>
      </c>
      <c r="E62" s="368">
        <f>IF($B62="","","W"&amp;TEXT(WEEKNUM(C62,2),"00"))</f>
        <v/>
      </c>
      <c r="F62" s="368">
        <f>IF($B62="","","Q"&amp;(INT(MOD(MONTH(C62)-FY_Start+12,12)/3)+1))</f>
        <v/>
      </c>
      <c r="G62" s="368">
        <f>IF($B62="","","FY "&amp;IF(MONTH(C62)&gt;=FY_Start,YEAR(C62),YEAR(C62)-1)&amp;"-"&amp;RIGHT(IF(MONTH(C62)&gt;=FY_Start,YEAR(C62)+1,YEAR(C62)),2))</f>
        <v/>
      </c>
      <c r="H62" s="369" t="n"/>
      <c r="I62" s="369" t="n"/>
      <c r="J62" s="369" t="n"/>
      <c r="K62" s="369" t="n"/>
      <c r="L62" s="369" t="n"/>
      <c r="M62" s="369" t="n"/>
      <c r="N62" s="369" t="n"/>
      <c r="O62" s="369" t="n"/>
      <c r="P62" s="369" t="n"/>
      <c r="Q62" s="369" t="n"/>
      <c r="R62" s="369" t="n"/>
      <c r="S62" s="369" t="n"/>
      <c r="T62" s="369" t="n"/>
      <c r="U62" s="369" t="n"/>
      <c r="V62" s="369" t="n"/>
      <c r="W62" s="369" t="n"/>
      <c r="X62" s="369" t="n"/>
      <c r="Y62" s="369" t="n"/>
      <c r="Z62" s="370" t="n"/>
      <c r="AA62" s="370" t="n"/>
      <c r="AB62" s="369" t="n"/>
      <c r="AC62" s="368">
        <f>IF($B62="","",IF(AB62="Closed",IF(AA62="","",AA62-C62),TODAY()-C62))</f>
        <v/>
      </c>
      <c r="AD62" s="369" t="n"/>
    </row>
    <row r="63" ht="15" customHeight="1" s="15">
      <c r="A63" s="368">
        <f>IF($B63="","",ROW()-5)</f>
        <v/>
      </c>
      <c r="B63" s="369" t="n"/>
      <c r="C63" s="370" t="n"/>
      <c r="D63" s="368">
        <f>IF($B63="","",TEXT(C63,"MMM"))</f>
        <v/>
      </c>
      <c r="E63" s="368">
        <f>IF($B63="","","W"&amp;TEXT(WEEKNUM(C63,2),"00"))</f>
        <v/>
      </c>
      <c r="F63" s="368">
        <f>IF($B63="","","Q"&amp;(INT(MOD(MONTH(C63)-FY_Start+12,12)/3)+1))</f>
        <v/>
      </c>
      <c r="G63" s="368">
        <f>IF($B63="","","FY "&amp;IF(MONTH(C63)&gt;=FY_Start,YEAR(C63),YEAR(C63)-1)&amp;"-"&amp;RIGHT(IF(MONTH(C63)&gt;=FY_Start,YEAR(C63)+1,YEAR(C63)),2))</f>
        <v/>
      </c>
      <c r="H63" s="369" t="n"/>
      <c r="I63" s="369" t="n"/>
      <c r="J63" s="369" t="n"/>
      <c r="K63" s="369" t="n"/>
      <c r="L63" s="369" t="n"/>
      <c r="M63" s="369" t="n"/>
      <c r="N63" s="369" t="n"/>
      <c r="O63" s="369" t="n"/>
      <c r="P63" s="369" t="n"/>
      <c r="Q63" s="369" t="n"/>
      <c r="R63" s="369" t="n"/>
      <c r="S63" s="369" t="n"/>
      <c r="T63" s="369" t="n"/>
      <c r="U63" s="369" t="n"/>
      <c r="V63" s="369" t="n"/>
      <c r="W63" s="369" t="n"/>
      <c r="X63" s="369" t="n"/>
      <c r="Y63" s="369" t="n"/>
      <c r="Z63" s="370" t="n"/>
      <c r="AA63" s="370" t="n"/>
      <c r="AB63" s="369" t="n"/>
      <c r="AC63" s="368">
        <f>IF($B63="","",IF(AB63="Closed",IF(AA63="","",AA63-C63),TODAY()-C63))</f>
        <v/>
      </c>
      <c r="AD63" s="369" t="n"/>
    </row>
    <row r="64" ht="15" customHeight="1" s="15">
      <c r="A64" s="368">
        <f>IF($B64="","",ROW()-5)</f>
        <v/>
      </c>
      <c r="B64" s="369" t="n"/>
      <c r="C64" s="370" t="n"/>
      <c r="D64" s="368">
        <f>IF($B64="","",TEXT(C64,"MMM"))</f>
        <v/>
      </c>
      <c r="E64" s="368">
        <f>IF($B64="","","W"&amp;TEXT(WEEKNUM(C64,2),"00"))</f>
        <v/>
      </c>
      <c r="F64" s="368">
        <f>IF($B64="","","Q"&amp;(INT(MOD(MONTH(C64)-FY_Start+12,12)/3)+1))</f>
        <v/>
      </c>
      <c r="G64" s="368">
        <f>IF($B64="","","FY "&amp;IF(MONTH(C64)&gt;=FY_Start,YEAR(C64),YEAR(C64)-1)&amp;"-"&amp;RIGHT(IF(MONTH(C64)&gt;=FY_Start,YEAR(C64)+1,YEAR(C64)),2))</f>
        <v/>
      </c>
      <c r="H64" s="369" t="n"/>
      <c r="I64" s="369" t="n"/>
      <c r="J64" s="369" t="n"/>
      <c r="K64" s="369" t="n"/>
      <c r="L64" s="369" t="n"/>
      <c r="M64" s="369" t="n"/>
      <c r="N64" s="369" t="n"/>
      <c r="O64" s="369" t="n"/>
      <c r="P64" s="369" t="n"/>
      <c r="Q64" s="369" t="n"/>
      <c r="R64" s="369" t="n"/>
      <c r="S64" s="369" t="n"/>
      <c r="T64" s="369" t="n"/>
      <c r="U64" s="369" t="n"/>
      <c r="V64" s="369" t="n"/>
      <c r="W64" s="369" t="n"/>
      <c r="X64" s="369" t="n"/>
      <c r="Y64" s="369" t="n"/>
      <c r="Z64" s="370" t="n"/>
      <c r="AA64" s="370" t="n"/>
      <c r="AB64" s="369" t="n"/>
      <c r="AC64" s="368">
        <f>IF($B64="","",IF(AB64="Closed",IF(AA64="","",AA64-C64),TODAY()-C64))</f>
        <v/>
      </c>
      <c r="AD64" s="369" t="n"/>
    </row>
    <row r="65" ht="15" customHeight="1" s="15">
      <c r="A65" s="368">
        <f>IF($B65="","",ROW()-5)</f>
        <v/>
      </c>
      <c r="B65" s="369" t="n"/>
      <c r="C65" s="370" t="n"/>
      <c r="D65" s="368">
        <f>IF($B65="","",TEXT(C65,"MMM"))</f>
        <v/>
      </c>
      <c r="E65" s="368">
        <f>IF($B65="","","W"&amp;TEXT(WEEKNUM(C65,2),"00"))</f>
        <v/>
      </c>
      <c r="F65" s="368">
        <f>IF($B65="","","Q"&amp;(INT(MOD(MONTH(C65)-FY_Start+12,12)/3)+1))</f>
        <v/>
      </c>
      <c r="G65" s="368">
        <f>IF($B65="","","FY "&amp;IF(MONTH(C65)&gt;=FY_Start,YEAR(C65),YEAR(C65)-1)&amp;"-"&amp;RIGHT(IF(MONTH(C65)&gt;=FY_Start,YEAR(C65)+1,YEAR(C65)),2))</f>
        <v/>
      </c>
      <c r="H65" s="369" t="n"/>
      <c r="I65" s="369" t="n"/>
      <c r="J65" s="369" t="n"/>
      <c r="K65" s="369" t="n"/>
      <c r="L65" s="369" t="n"/>
      <c r="M65" s="369" t="n"/>
      <c r="N65" s="369" t="n"/>
      <c r="O65" s="369" t="n"/>
      <c r="P65" s="369" t="n"/>
      <c r="Q65" s="369" t="n"/>
      <c r="R65" s="369" t="n"/>
      <c r="S65" s="369" t="n"/>
      <c r="T65" s="369" t="n"/>
      <c r="U65" s="369" t="n"/>
      <c r="V65" s="369" t="n"/>
      <c r="W65" s="369" t="n"/>
      <c r="X65" s="369" t="n"/>
      <c r="Y65" s="369" t="n"/>
      <c r="Z65" s="370" t="n"/>
      <c r="AA65" s="370" t="n"/>
      <c r="AB65" s="369" t="n"/>
      <c r="AC65" s="368">
        <f>IF($B65="","",IF(AB65="Closed",IF(AA65="","",AA65-C65),TODAY()-C65))</f>
        <v/>
      </c>
      <c r="AD65" s="369" t="n"/>
    </row>
    <row r="66" ht="15" customHeight="1" s="15">
      <c r="A66" s="368">
        <f>IF($B66="","",ROW()-5)</f>
        <v/>
      </c>
      <c r="B66" s="369" t="n"/>
      <c r="C66" s="370" t="n"/>
      <c r="D66" s="368">
        <f>IF($B66="","",TEXT(C66,"MMM"))</f>
        <v/>
      </c>
      <c r="E66" s="368">
        <f>IF($B66="","","W"&amp;TEXT(WEEKNUM(C66,2),"00"))</f>
        <v/>
      </c>
      <c r="F66" s="368">
        <f>IF($B66="","","Q"&amp;(INT(MOD(MONTH(C66)-FY_Start+12,12)/3)+1))</f>
        <v/>
      </c>
      <c r="G66" s="368">
        <f>IF($B66="","","FY "&amp;IF(MONTH(C66)&gt;=FY_Start,YEAR(C66),YEAR(C66)-1)&amp;"-"&amp;RIGHT(IF(MONTH(C66)&gt;=FY_Start,YEAR(C66)+1,YEAR(C66)),2))</f>
        <v/>
      </c>
      <c r="H66" s="369" t="n"/>
      <c r="I66" s="369" t="n"/>
      <c r="J66" s="369" t="n"/>
      <c r="K66" s="369" t="n"/>
      <c r="L66" s="369" t="n"/>
      <c r="M66" s="369" t="n"/>
      <c r="N66" s="369" t="n"/>
      <c r="O66" s="369" t="n"/>
      <c r="P66" s="369" t="n"/>
      <c r="Q66" s="369" t="n"/>
      <c r="R66" s="369" t="n"/>
      <c r="S66" s="369" t="n"/>
      <c r="T66" s="369" t="n"/>
      <c r="U66" s="369" t="n"/>
      <c r="V66" s="369" t="n"/>
      <c r="W66" s="369" t="n"/>
      <c r="X66" s="369" t="n"/>
      <c r="Y66" s="369" t="n"/>
      <c r="Z66" s="370" t="n"/>
      <c r="AA66" s="370" t="n"/>
      <c r="AB66" s="369" t="n"/>
      <c r="AC66" s="368">
        <f>IF($B66="","",IF(AB66="Closed",IF(AA66="","",AA66-C66),TODAY()-C66))</f>
        <v/>
      </c>
      <c r="AD66" s="369" t="n"/>
    </row>
    <row r="67" ht="15" customHeight="1" s="15">
      <c r="A67" s="368">
        <f>IF($B67="","",ROW()-5)</f>
        <v/>
      </c>
      <c r="B67" s="369" t="n"/>
      <c r="C67" s="370" t="n"/>
      <c r="D67" s="368">
        <f>IF($B67="","",TEXT(C67,"MMM"))</f>
        <v/>
      </c>
      <c r="E67" s="368">
        <f>IF($B67="","","W"&amp;TEXT(WEEKNUM(C67,2),"00"))</f>
        <v/>
      </c>
      <c r="F67" s="368">
        <f>IF($B67="","","Q"&amp;(INT(MOD(MONTH(C67)-FY_Start+12,12)/3)+1))</f>
        <v/>
      </c>
      <c r="G67" s="368">
        <f>IF($B67="","","FY "&amp;IF(MONTH(C67)&gt;=FY_Start,YEAR(C67),YEAR(C67)-1)&amp;"-"&amp;RIGHT(IF(MONTH(C67)&gt;=FY_Start,YEAR(C67)+1,YEAR(C67)),2))</f>
        <v/>
      </c>
      <c r="H67" s="369" t="n"/>
      <c r="I67" s="369" t="n"/>
      <c r="J67" s="369" t="n"/>
      <c r="K67" s="369" t="n"/>
      <c r="L67" s="369" t="n"/>
      <c r="M67" s="369" t="n"/>
      <c r="N67" s="369" t="n"/>
      <c r="O67" s="369" t="n"/>
      <c r="P67" s="369" t="n"/>
      <c r="Q67" s="369" t="n"/>
      <c r="R67" s="369" t="n"/>
      <c r="S67" s="369" t="n"/>
      <c r="T67" s="369" t="n"/>
      <c r="U67" s="369" t="n"/>
      <c r="V67" s="369" t="n"/>
      <c r="W67" s="369" t="n"/>
      <c r="X67" s="369" t="n"/>
      <c r="Y67" s="369" t="n"/>
      <c r="Z67" s="370" t="n"/>
      <c r="AA67" s="370" t="n"/>
      <c r="AB67" s="369" t="n"/>
      <c r="AC67" s="368">
        <f>IF($B67="","",IF(AB67="Closed",IF(AA67="","",AA67-C67),TODAY()-C67))</f>
        <v/>
      </c>
      <c r="AD67" s="369" t="n"/>
    </row>
    <row r="68" ht="15" customHeight="1" s="15">
      <c r="A68" s="368">
        <f>IF($B68="","",ROW()-5)</f>
        <v/>
      </c>
      <c r="B68" s="369" t="n"/>
      <c r="C68" s="370" t="n"/>
      <c r="D68" s="368">
        <f>IF($B68="","",TEXT(C68,"MMM"))</f>
        <v/>
      </c>
      <c r="E68" s="368">
        <f>IF($B68="","","W"&amp;TEXT(WEEKNUM(C68,2),"00"))</f>
        <v/>
      </c>
      <c r="F68" s="368">
        <f>IF($B68="","","Q"&amp;(INT(MOD(MONTH(C68)-FY_Start+12,12)/3)+1))</f>
        <v/>
      </c>
      <c r="G68" s="368">
        <f>IF($B68="","","FY "&amp;IF(MONTH(C68)&gt;=FY_Start,YEAR(C68),YEAR(C68)-1)&amp;"-"&amp;RIGHT(IF(MONTH(C68)&gt;=FY_Start,YEAR(C68)+1,YEAR(C68)),2))</f>
        <v/>
      </c>
      <c r="H68" s="369" t="n"/>
      <c r="I68" s="369" t="n"/>
      <c r="J68" s="369" t="n"/>
      <c r="K68" s="369" t="n"/>
      <c r="L68" s="369" t="n"/>
      <c r="M68" s="369" t="n"/>
      <c r="N68" s="369" t="n"/>
      <c r="O68" s="369" t="n"/>
      <c r="P68" s="369" t="n"/>
      <c r="Q68" s="369" t="n"/>
      <c r="R68" s="369" t="n"/>
      <c r="S68" s="369" t="n"/>
      <c r="T68" s="369" t="n"/>
      <c r="U68" s="369" t="n"/>
      <c r="V68" s="369" t="n"/>
      <c r="W68" s="369" t="n"/>
      <c r="X68" s="369" t="n"/>
      <c r="Y68" s="369" t="n"/>
      <c r="Z68" s="370" t="n"/>
      <c r="AA68" s="370" t="n"/>
      <c r="AB68" s="369" t="n"/>
      <c r="AC68" s="368">
        <f>IF($B68="","",IF(AB68="Closed",IF(AA68="","",AA68-C68),TODAY()-C68))</f>
        <v/>
      </c>
      <c r="AD68" s="369" t="n"/>
    </row>
    <row r="69" ht="15" customHeight="1" s="15">
      <c r="A69" s="368">
        <f>IF($B69="","",ROW()-5)</f>
        <v/>
      </c>
      <c r="B69" s="369" t="n"/>
      <c r="C69" s="370" t="n"/>
      <c r="D69" s="368">
        <f>IF($B69="","",TEXT(C69,"MMM"))</f>
        <v/>
      </c>
      <c r="E69" s="368">
        <f>IF($B69="","","W"&amp;TEXT(WEEKNUM(C69,2),"00"))</f>
        <v/>
      </c>
      <c r="F69" s="368">
        <f>IF($B69="","","Q"&amp;(INT(MOD(MONTH(C69)-FY_Start+12,12)/3)+1))</f>
        <v/>
      </c>
      <c r="G69" s="368">
        <f>IF($B69="","","FY "&amp;IF(MONTH(C69)&gt;=FY_Start,YEAR(C69),YEAR(C69)-1)&amp;"-"&amp;RIGHT(IF(MONTH(C69)&gt;=FY_Start,YEAR(C69)+1,YEAR(C69)),2))</f>
        <v/>
      </c>
      <c r="H69" s="369" t="n"/>
      <c r="I69" s="369" t="n"/>
      <c r="J69" s="369" t="n"/>
      <c r="K69" s="369" t="n"/>
      <c r="L69" s="369" t="n"/>
      <c r="M69" s="369" t="n"/>
      <c r="N69" s="369" t="n"/>
      <c r="O69" s="369" t="n"/>
      <c r="P69" s="369" t="n"/>
      <c r="Q69" s="369" t="n"/>
      <c r="R69" s="369" t="n"/>
      <c r="S69" s="369" t="n"/>
      <c r="T69" s="369" t="n"/>
      <c r="U69" s="369" t="n"/>
      <c r="V69" s="369" t="n"/>
      <c r="W69" s="369" t="n"/>
      <c r="X69" s="369" t="n"/>
      <c r="Y69" s="369" t="n"/>
      <c r="Z69" s="370" t="n"/>
      <c r="AA69" s="370" t="n"/>
      <c r="AB69" s="369" t="n"/>
      <c r="AC69" s="368">
        <f>IF($B69="","",IF(AB69="Closed",IF(AA69="","",AA69-C69),TODAY()-C69))</f>
        <v/>
      </c>
      <c r="AD69" s="369" t="n"/>
    </row>
    <row r="70" ht="15" customHeight="1" s="15">
      <c r="A70" s="368">
        <f>IF($B70="","",ROW()-5)</f>
        <v/>
      </c>
      <c r="B70" s="369" t="n"/>
      <c r="C70" s="370" t="n"/>
      <c r="D70" s="368">
        <f>IF($B70="","",TEXT(C70,"MMM"))</f>
        <v/>
      </c>
      <c r="E70" s="368">
        <f>IF($B70="","","W"&amp;TEXT(WEEKNUM(C70,2),"00"))</f>
        <v/>
      </c>
      <c r="F70" s="368">
        <f>IF($B70="","","Q"&amp;(INT(MOD(MONTH(C70)-FY_Start+12,12)/3)+1))</f>
        <v/>
      </c>
      <c r="G70" s="368">
        <f>IF($B70="","","FY "&amp;IF(MONTH(C70)&gt;=FY_Start,YEAR(C70),YEAR(C70)-1)&amp;"-"&amp;RIGHT(IF(MONTH(C70)&gt;=FY_Start,YEAR(C70)+1,YEAR(C70)),2))</f>
        <v/>
      </c>
      <c r="H70" s="369" t="n"/>
      <c r="I70" s="369" t="n"/>
      <c r="J70" s="369" t="n"/>
      <c r="K70" s="369" t="n"/>
      <c r="L70" s="369" t="n"/>
      <c r="M70" s="369" t="n"/>
      <c r="N70" s="369" t="n"/>
      <c r="O70" s="369" t="n"/>
      <c r="P70" s="369" t="n"/>
      <c r="Q70" s="369" t="n"/>
      <c r="R70" s="369" t="n"/>
      <c r="S70" s="369" t="n"/>
      <c r="T70" s="369" t="n"/>
      <c r="U70" s="369" t="n"/>
      <c r="V70" s="369" t="n"/>
      <c r="W70" s="369" t="n"/>
      <c r="X70" s="369" t="n"/>
      <c r="Y70" s="369" t="n"/>
      <c r="Z70" s="370" t="n"/>
      <c r="AA70" s="370" t="n"/>
      <c r="AB70" s="369" t="n"/>
      <c r="AC70" s="368">
        <f>IF($B70="","",IF(AB70="Closed",IF(AA70="","",AA70-C70),TODAY()-C70))</f>
        <v/>
      </c>
      <c r="AD70" s="369" t="n"/>
    </row>
    <row r="71" ht="15" customHeight="1" s="15">
      <c r="A71" s="368">
        <f>IF($B71="","",ROW()-5)</f>
        <v/>
      </c>
      <c r="B71" s="369" t="n"/>
      <c r="C71" s="370" t="n"/>
      <c r="D71" s="368">
        <f>IF($B71="","",TEXT(C71,"MMM"))</f>
        <v/>
      </c>
      <c r="E71" s="368">
        <f>IF($B71="","","W"&amp;TEXT(WEEKNUM(C71,2),"00"))</f>
        <v/>
      </c>
      <c r="F71" s="368">
        <f>IF($B71="","","Q"&amp;(INT(MOD(MONTH(C71)-FY_Start+12,12)/3)+1))</f>
        <v/>
      </c>
      <c r="G71" s="368">
        <f>IF($B71="","","FY "&amp;IF(MONTH(C71)&gt;=FY_Start,YEAR(C71),YEAR(C71)-1)&amp;"-"&amp;RIGHT(IF(MONTH(C71)&gt;=FY_Start,YEAR(C71)+1,YEAR(C71)),2))</f>
        <v/>
      </c>
      <c r="H71" s="369" t="n"/>
      <c r="I71" s="369" t="n"/>
      <c r="J71" s="369" t="n"/>
      <c r="K71" s="369" t="n"/>
      <c r="L71" s="369" t="n"/>
      <c r="M71" s="369" t="n"/>
      <c r="N71" s="369" t="n"/>
      <c r="O71" s="369" t="n"/>
      <c r="P71" s="369" t="n"/>
      <c r="Q71" s="369" t="n"/>
      <c r="R71" s="369" t="n"/>
      <c r="S71" s="369" t="n"/>
      <c r="T71" s="369" t="n"/>
      <c r="U71" s="369" t="n"/>
      <c r="V71" s="369" t="n"/>
      <c r="W71" s="369" t="n"/>
      <c r="X71" s="369" t="n"/>
      <c r="Y71" s="369" t="n"/>
      <c r="Z71" s="370" t="n"/>
      <c r="AA71" s="370" t="n"/>
      <c r="AB71" s="369" t="n"/>
      <c r="AC71" s="368">
        <f>IF($B71="","",IF(AB71="Closed",IF(AA71="","",AA71-C71),TODAY()-C71))</f>
        <v/>
      </c>
      <c r="AD71" s="369" t="n"/>
    </row>
    <row r="72" ht="15" customHeight="1" s="15">
      <c r="A72" s="368">
        <f>IF($B72="","",ROW()-5)</f>
        <v/>
      </c>
      <c r="B72" s="369" t="n"/>
      <c r="C72" s="370" t="n"/>
      <c r="D72" s="368">
        <f>IF($B72="","",TEXT(C72,"MMM"))</f>
        <v/>
      </c>
      <c r="E72" s="368">
        <f>IF($B72="","","W"&amp;TEXT(WEEKNUM(C72,2),"00"))</f>
        <v/>
      </c>
      <c r="F72" s="368">
        <f>IF($B72="","","Q"&amp;(INT(MOD(MONTH(C72)-FY_Start+12,12)/3)+1))</f>
        <v/>
      </c>
      <c r="G72" s="368">
        <f>IF($B72="","","FY "&amp;IF(MONTH(C72)&gt;=FY_Start,YEAR(C72),YEAR(C72)-1)&amp;"-"&amp;RIGHT(IF(MONTH(C72)&gt;=FY_Start,YEAR(C72)+1,YEAR(C72)),2))</f>
        <v/>
      </c>
      <c r="H72" s="369" t="n"/>
      <c r="I72" s="369" t="n"/>
      <c r="J72" s="369" t="n"/>
      <c r="K72" s="369" t="n"/>
      <c r="L72" s="369" t="n"/>
      <c r="M72" s="369" t="n"/>
      <c r="N72" s="369" t="n"/>
      <c r="O72" s="369" t="n"/>
      <c r="P72" s="369" t="n"/>
      <c r="Q72" s="369" t="n"/>
      <c r="R72" s="369" t="n"/>
      <c r="S72" s="369" t="n"/>
      <c r="T72" s="369" t="n"/>
      <c r="U72" s="369" t="n"/>
      <c r="V72" s="369" t="n"/>
      <c r="W72" s="369" t="n"/>
      <c r="X72" s="369" t="n"/>
      <c r="Y72" s="369" t="n"/>
      <c r="Z72" s="370" t="n"/>
      <c r="AA72" s="370" t="n"/>
      <c r="AB72" s="369" t="n"/>
      <c r="AC72" s="368">
        <f>IF($B72="","",IF(AB72="Closed",IF(AA72="","",AA72-C72),TODAY()-C72))</f>
        <v/>
      </c>
      <c r="AD72" s="369" t="n"/>
    </row>
    <row r="73" ht="15" customHeight="1" s="15">
      <c r="A73" s="368">
        <f>IF($B73="","",ROW()-5)</f>
        <v/>
      </c>
      <c r="B73" s="369" t="n"/>
      <c r="C73" s="370" t="n"/>
      <c r="D73" s="368">
        <f>IF($B73="","",TEXT(C73,"MMM"))</f>
        <v/>
      </c>
      <c r="E73" s="368">
        <f>IF($B73="","","W"&amp;TEXT(WEEKNUM(C73,2),"00"))</f>
        <v/>
      </c>
      <c r="F73" s="368">
        <f>IF($B73="","","Q"&amp;(INT(MOD(MONTH(C73)-FY_Start+12,12)/3)+1))</f>
        <v/>
      </c>
      <c r="G73" s="368">
        <f>IF($B73="","","FY "&amp;IF(MONTH(C73)&gt;=FY_Start,YEAR(C73),YEAR(C73)-1)&amp;"-"&amp;RIGHT(IF(MONTH(C73)&gt;=FY_Start,YEAR(C73)+1,YEAR(C73)),2))</f>
        <v/>
      </c>
      <c r="H73" s="369" t="n"/>
      <c r="I73" s="369" t="n"/>
      <c r="J73" s="369" t="n"/>
      <c r="K73" s="369" t="n"/>
      <c r="L73" s="369" t="n"/>
      <c r="M73" s="369" t="n"/>
      <c r="N73" s="369" t="n"/>
      <c r="O73" s="369" t="n"/>
      <c r="P73" s="369" t="n"/>
      <c r="Q73" s="369" t="n"/>
      <c r="R73" s="369" t="n"/>
      <c r="S73" s="369" t="n"/>
      <c r="T73" s="369" t="n"/>
      <c r="U73" s="369" t="n"/>
      <c r="V73" s="369" t="n"/>
      <c r="W73" s="369" t="n"/>
      <c r="X73" s="369" t="n"/>
      <c r="Y73" s="369" t="n"/>
      <c r="Z73" s="370" t="n"/>
      <c r="AA73" s="370" t="n"/>
      <c r="AB73" s="369" t="n"/>
      <c r="AC73" s="368">
        <f>IF($B73="","",IF(AB73="Closed",IF(AA73="","",AA73-C73),TODAY()-C73))</f>
        <v/>
      </c>
      <c r="AD73" s="369" t="n"/>
    </row>
    <row r="74" ht="15" customHeight="1" s="15">
      <c r="A74" s="368">
        <f>IF($B74="","",ROW()-5)</f>
        <v/>
      </c>
      <c r="B74" s="369" t="n"/>
      <c r="C74" s="370" t="n"/>
      <c r="D74" s="368">
        <f>IF($B74="","",TEXT(C74,"MMM"))</f>
        <v/>
      </c>
      <c r="E74" s="368">
        <f>IF($B74="","","W"&amp;TEXT(WEEKNUM(C74,2),"00"))</f>
        <v/>
      </c>
      <c r="F74" s="368">
        <f>IF($B74="","","Q"&amp;(INT(MOD(MONTH(C74)-FY_Start+12,12)/3)+1))</f>
        <v/>
      </c>
      <c r="G74" s="368">
        <f>IF($B74="","","FY "&amp;IF(MONTH(C74)&gt;=FY_Start,YEAR(C74),YEAR(C74)-1)&amp;"-"&amp;RIGHT(IF(MONTH(C74)&gt;=FY_Start,YEAR(C74)+1,YEAR(C74)),2))</f>
        <v/>
      </c>
      <c r="H74" s="369" t="n"/>
      <c r="I74" s="369" t="n"/>
      <c r="J74" s="369" t="n"/>
      <c r="K74" s="369" t="n"/>
      <c r="L74" s="369" t="n"/>
      <c r="M74" s="369" t="n"/>
      <c r="N74" s="369" t="n"/>
      <c r="O74" s="369" t="n"/>
      <c r="P74" s="369" t="n"/>
      <c r="Q74" s="369" t="n"/>
      <c r="R74" s="369" t="n"/>
      <c r="S74" s="369" t="n"/>
      <c r="T74" s="369" t="n"/>
      <c r="U74" s="369" t="n"/>
      <c r="V74" s="369" t="n"/>
      <c r="W74" s="369" t="n"/>
      <c r="X74" s="369" t="n"/>
      <c r="Y74" s="369" t="n"/>
      <c r="Z74" s="370" t="n"/>
      <c r="AA74" s="370" t="n"/>
      <c r="AB74" s="369" t="n"/>
      <c r="AC74" s="368">
        <f>IF($B74="","",IF(AB74="Closed",IF(AA74="","",AA74-C74),TODAY()-C74))</f>
        <v/>
      </c>
      <c r="AD74" s="369" t="n"/>
    </row>
    <row r="75" ht="15" customHeight="1" s="15">
      <c r="A75" s="368">
        <f>IF($B75="","",ROW()-5)</f>
        <v/>
      </c>
      <c r="B75" s="369" t="n"/>
      <c r="C75" s="370" t="n"/>
      <c r="D75" s="368">
        <f>IF($B75="","",TEXT(C75,"MMM"))</f>
        <v/>
      </c>
      <c r="E75" s="368">
        <f>IF($B75="","","W"&amp;TEXT(WEEKNUM(C75,2),"00"))</f>
        <v/>
      </c>
      <c r="F75" s="368">
        <f>IF($B75="","","Q"&amp;(INT(MOD(MONTH(C75)-FY_Start+12,12)/3)+1))</f>
        <v/>
      </c>
      <c r="G75" s="368">
        <f>IF($B75="","","FY "&amp;IF(MONTH(C75)&gt;=FY_Start,YEAR(C75),YEAR(C75)-1)&amp;"-"&amp;RIGHT(IF(MONTH(C75)&gt;=FY_Start,YEAR(C75)+1,YEAR(C75)),2))</f>
        <v/>
      </c>
      <c r="H75" s="369" t="n"/>
      <c r="I75" s="369" t="n"/>
      <c r="J75" s="369" t="n"/>
      <c r="K75" s="369" t="n"/>
      <c r="L75" s="369" t="n"/>
      <c r="M75" s="369" t="n"/>
      <c r="N75" s="369" t="n"/>
      <c r="O75" s="369" t="n"/>
      <c r="P75" s="369" t="n"/>
      <c r="Q75" s="369" t="n"/>
      <c r="R75" s="369" t="n"/>
      <c r="S75" s="369" t="n"/>
      <c r="T75" s="369" t="n"/>
      <c r="U75" s="369" t="n"/>
      <c r="V75" s="369" t="n"/>
      <c r="W75" s="369" t="n"/>
      <c r="X75" s="369" t="n"/>
      <c r="Y75" s="369" t="n"/>
      <c r="Z75" s="370" t="n"/>
      <c r="AA75" s="370" t="n"/>
      <c r="AB75" s="369" t="n"/>
      <c r="AC75" s="368">
        <f>IF($B75="","",IF(AB75="Closed",IF(AA75="","",AA75-C75),TODAY()-C75))</f>
        <v/>
      </c>
      <c r="AD75" s="369" t="n"/>
    </row>
    <row r="76" ht="15" customHeight="1" s="15">
      <c r="A76" s="368">
        <f>IF($B76="","",ROW()-5)</f>
        <v/>
      </c>
      <c r="B76" s="369" t="n"/>
      <c r="C76" s="370" t="n"/>
      <c r="D76" s="368">
        <f>IF($B76="","",TEXT(C76,"MMM"))</f>
        <v/>
      </c>
      <c r="E76" s="368">
        <f>IF($B76="","","W"&amp;TEXT(WEEKNUM(C76,2),"00"))</f>
        <v/>
      </c>
      <c r="F76" s="368">
        <f>IF($B76="","","Q"&amp;(INT(MOD(MONTH(C76)-FY_Start+12,12)/3)+1))</f>
        <v/>
      </c>
      <c r="G76" s="368">
        <f>IF($B76="","","FY "&amp;IF(MONTH(C76)&gt;=FY_Start,YEAR(C76),YEAR(C76)-1)&amp;"-"&amp;RIGHT(IF(MONTH(C76)&gt;=FY_Start,YEAR(C76)+1,YEAR(C76)),2))</f>
        <v/>
      </c>
      <c r="H76" s="369" t="n"/>
      <c r="I76" s="369" t="n"/>
      <c r="J76" s="369" t="n"/>
      <c r="K76" s="369" t="n"/>
      <c r="L76" s="369" t="n"/>
      <c r="M76" s="369" t="n"/>
      <c r="N76" s="369" t="n"/>
      <c r="O76" s="369" t="n"/>
      <c r="P76" s="369" t="n"/>
      <c r="Q76" s="369" t="n"/>
      <c r="R76" s="369" t="n"/>
      <c r="S76" s="369" t="n"/>
      <c r="T76" s="369" t="n"/>
      <c r="U76" s="369" t="n"/>
      <c r="V76" s="369" t="n"/>
      <c r="W76" s="369" t="n"/>
      <c r="X76" s="369" t="n"/>
      <c r="Y76" s="369" t="n"/>
      <c r="Z76" s="370" t="n"/>
      <c r="AA76" s="370" t="n"/>
      <c r="AB76" s="369" t="n"/>
      <c r="AC76" s="368">
        <f>IF($B76="","",IF(AB76="Closed",IF(AA76="","",AA76-C76),TODAY()-C76))</f>
        <v/>
      </c>
      <c r="AD76" s="369" t="n"/>
    </row>
    <row r="77" ht="15" customHeight="1" s="15">
      <c r="A77" s="368">
        <f>IF($B77="","",ROW()-5)</f>
        <v/>
      </c>
      <c r="B77" s="369" t="n"/>
      <c r="C77" s="370" t="n"/>
      <c r="D77" s="368">
        <f>IF($B77="","",TEXT(C77,"MMM"))</f>
        <v/>
      </c>
      <c r="E77" s="368">
        <f>IF($B77="","","W"&amp;TEXT(WEEKNUM(C77,2),"00"))</f>
        <v/>
      </c>
      <c r="F77" s="368">
        <f>IF($B77="","","Q"&amp;(INT(MOD(MONTH(C77)-FY_Start+12,12)/3)+1))</f>
        <v/>
      </c>
      <c r="G77" s="368">
        <f>IF($B77="","","FY "&amp;IF(MONTH(C77)&gt;=FY_Start,YEAR(C77),YEAR(C77)-1)&amp;"-"&amp;RIGHT(IF(MONTH(C77)&gt;=FY_Start,YEAR(C77)+1,YEAR(C77)),2))</f>
        <v/>
      </c>
      <c r="H77" s="369" t="n"/>
      <c r="I77" s="369" t="n"/>
      <c r="J77" s="369" t="n"/>
      <c r="K77" s="369" t="n"/>
      <c r="L77" s="369" t="n"/>
      <c r="M77" s="369" t="n"/>
      <c r="N77" s="369" t="n"/>
      <c r="O77" s="369" t="n"/>
      <c r="P77" s="369" t="n"/>
      <c r="Q77" s="369" t="n"/>
      <c r="R77" s="369" t="n"/>
      <c r="S77" s="369" t="n"/>
      <c r="T77" s="369" t="n"/>
      <c r="U77" s="369" t="n"/>
      <c r="V77" s="369" t="n"/>
      <c r="W77" s="369" t="n"/>
      <c r="X77" s="369" t="n"/>
      <c r="Y77" s="369" t="n"/>
      <c r="Z77" s="370" t="n"/>
      <c r="AA77" s="370" t="n"/>
      <c r="AB77" s="369" t="n"/>
      <c r="AC77" s="368">
        <f>IF($B77="","",IF(AB77="Closed",IF(AA77="","",AA77-C77),TODAY()-C77))</f>
        <v/>
      </c>
      <c r="AD77" s="369" t="n"/>
    </row>
    <row r="78" ht="15" customHeight="1" s="15">
      <c r="A78" s="368">
        <f>IF($B78="","",ROW()-5)</f>
        <v/>
      </c>
      <c r="B78" s="369" t="n"/>
      <c r="C78" s="370" t="n"/>
      <c r="D78" s="368">
        <f>IF($B78="","",TEXT(C78,"MMM"))</f>
        <v/>
      </c>
      <c r="E78" s="368">
        <f>IF($B78="","","W"&amp;TEXT(WEEKNUM(C78,2),"00"))</f>
        <v/>
      </c>
      <c r="F78" s="368">
        <f>IF($B78="","","Q"&amp;(INT(MOD(MONTH(C78)-FY_Start+12,12)/3)+1))</f>
        <v/>
      </c>
      <c r="G78" s="368">
        <f>IF($B78="","","FY "&amp;IF(MONTH(C78)&gt;=FY_Start,YEAR(C78),YEAR(C78)-1)&amp;"-"&amp;RIGHT(IF(MONTH(C78)&gt;=FY_Start,YEAR(C78)+1,YEAR(C78)),2))</f>
        <v/>
      </c>
      <c r="H78" s="369" t="n"/>
      <c r="I78" s="369" t="n"/>
      <c r="J78" s="369" t="n"/>
      <c r="K78" s="369" t="n"/>
      <c r="L78" s="369" t="n"/>
      <c r="M78" s="369" t="n"/>
      <c r="N78" s="369" t="n"/>
      <c r="O78" s="369" t="n"/>
      <c r="P78" s="369" t="n"/>
      <c r="Q78" s="369" t="n"/>
      <c r="R78" s="369" t="n"/>
      <c r="S78" s="369" t="n"/>
      <c r="T78" s="369" t="n"/>
      <c r="U78" s="369" t="n"/>
      <c r="V78" s="369" t="n"/>
      <c r="W78" s="369" t="n"/>
      <c r="X78" s="369" t="n"/>
      <c r="Y78" s="369" t="n"/>
      <c r="Z78" s="370" t="n"/>
      <c r="AA78" s="370" t="n"/>
      <c r="AB78" s="369" t="n"/>
      <c r="AC78" s="368">
        <f>IF($B78="","",IF(AB78="Closed",IF(AA78="","",AA78-C78),TODAY()-C78))</f>
        <v/>
      </c>
      <c r="AD78" s="369" t="n"/>
    </row>
    <row r="79" ht="15" customHeight="1" s="15">
      <c r="A79" s="368">
        <f>IF($B79="","",ROW()-5)</f>
        <v/>
      </c>
      <c r="B79" s="369" t="n"/>
      <c r="C79" s="370" t="n"/>
      <c r="D79" s="368">
        <f>IF($B79="","",TEXT(C79,"MMM"))</f>
        <v/>
      </c>
      <c r="E79" s="368">
        <f>IF($B79="","","W"&amp;TEXT(WEEKNUM(C79,2),"00"))</f>
        <v/>
      </c>
      <c r="F79" s="368">
        <f>IF($B79="","","Q"&amp;(INT(MOD(MONTH(C79)-FY_Start+12,12)/3)+1))</f>
        <v/>
      </c>
      <c r="G79" s="368">
        <f>IF($B79="","","FY "&amp;IF(MONTH(C79)&gt;=FY_Start,YEAR(C79),YEAR(C79)-1)&amp;"-"&amp;RIGHT(IF(MONTH(C79)&gt;=FY_Start,YEAR(C79)+1,YEAR(C79)),2))</f>
        <v/>
      </c>
      <c r="H79" s="369" t="n"/>
      <c r="I79" s="369" t="n"/>
      <c r="J79" s="369" t="n"/>
      <c r="K79" s="369" t="n"/>
      <c r="L79" s="369" t="n"/>
      <c r="M79" s="369" t="n"/>
      <c r="N79" s="369" t="n"/>
      <c r="O79" s="369" t="n"/>
      <c r="P79" s="369" t="n"/>
      <c r="Q79" s="369" t="n"/>
      <c r="R79" s="369" t="n"/>
      <c r="S79" s="369" t="n"/>
      <c r="T79" s="369" t="n"/>
      <c r="U79" s="369" t="n"/>
      <c r="V79" s="369" t="n"/>
      <c r="W79" s="369" t="n"/>
      <c r="X79" s="369" t="n"/>
      <c r="Y79" s="369" t="n"/>
      <c r="Z79" s="370" t="n"/>
      <c r="AA79" s="370" t="n"/>
      <c r="AB79" s="369" t="n"/>
      <c r="AC79" s="368">
        <f>IF($B79="","",IF(AB79="Closed",IF(AA79="","",AA79-C79),TODAY()-C79))</f>
        <v/>
      </c>
      <c r="AD79" s="369" t="n"/>
    </row>
    <row r="80" ht="15" customHeight="1" s="15">
      <c r="A80" s="368">
        <f>IF($B80="","",ROW()-5)</f>
        <v/>
      </c>
      <c r="B80" s="369" t="n"/>
      <c r="C80" s="370" t="n"/>
      <c r="D80" s="368">
        <f>IF($B80="","",TEXT(C80,"MMM"))</f>
        <v/>
      </c>
      <c r="E80" s="368">
        <f>IF($B80="","","W"&amp;TEXT(WEEKNUM(C80,2),"00"))</f>
        <v/>
      </c>
      <c r="F80" s="368">
        <f>IF($B80="","","Q"&amp;(INT(MOD(MONTH(C80)-FY_Start+12,12)/3)+1))</f>
        <v/>
      </c>
      <c r="G80" s="368">
        <f>IF($B80="","","FY "&amp;IF(MONTH(C80)&gt;=FY_Start,YEAR(C80),YEAR(C80)-1)&amp;"-"&amp;RIGHT(IF(MONTH(C80)&gt;=FY_Start,YEAR(C80)+1,YEAR(C80)),2))</f>
        <v/>
      </c>
      <c r="H80" s="369" t="n"/>
      <c r="I80" s="369" t="n"/>
      <c r="J80" s="369" t="n"/>
      <c r="K80" s="369" t="n"/>
      <c r="L80" s="369" t="n"/>
      <c r="M80" s="369" t="n"/>
      <c r="N80" s="369" t="n"/>
      <c r="O80" s="369" t="n"/>
      <c r="P80" s="369" t="n"/>
      <c r="Q80" s="369" t="n"/>
      <c r="R80" s="369" t="n"/>
      <c r="S80" s="369" t="n"/>
      <c r="T80" s="369" t="n"/>
      <c r="U80" s="369" t="n"/>
      <c r="V80" s="369" t="n"/>
      <c r="W80" s="369" t="n"/>
      <c r="X80" s="369" t="n"/>
      <c r="Y80" s="369" t="n"/>
      <c r="Z80" s="370" t="n"/>
      <c r="AA80" s="370" t="n"/>
      <c r="AB80" s="369" t="n"/>
      <c r="AC80" s="368">
        <f>IF($B80="","",IF(AB80="Closed",IF(AA80="","",AA80-C80),TODAY()-C80))</f>
        <v/>
      </c>
      <c r="AD80" s="369" t="n"/>
    </row>
    <row r="81" ht="15" customHeight="1" s="15">
      <c r="A81" s="368">
        <f>IF($B81="","",ROW()-5)</f>
        <v/>
      </c>
      <c r="B81" s="369" t="n"/>
      <c r="C81" s="370" t="n"/>
      <c r="D81" s="368">
        <f>IF($B81="","",TEXT(C81,"MMM"))</f>
        <v/>
      </c>
      <c r="E81" s="368">
        <f>IF($B81="","","W"&amp;TEXT(WEEKNUM(C81,2),"00"))</f>
        <v/>
      </c>
      <c r="F81" s="368">
        <f>IF($B81="","","Q"&amp;(INT(MOD(MONTH(C81)-FY_Start+12,12)/3)+1))</f>
        <v/>
      </c>
      <c r="G81" s="368">
        <f>IF($B81="","","FY "&amp;IF(MONTH(C81)&gt;=FY_Start,YEAR(C81),YEAR(C81)-1)&amp;"-"&amp;RIGHT(IF(MONTH(C81)&gt;=FY_Start,YEAR(C81)+1,YEAR(C81)),2))</f>
        <v/>
      </c>
      <c r="H81" s="369" t="n"/>
      <c r="I81" s="369" t="n"/>
      <c r="J81" s="369" t="n"/>
      <c r="K81" s="369" t="n"/>
      <c r="L81" s="369" t="n"/>
      <c r="M81" s="369" t="n"/>
      <c r="N81" s="369" t="n"/>
      <c r="O81" s="369" t="n"/>
      <c r="P81" s="369" t="n"/>
      <c r="Q81" s="369" t="n"/>
      <c r="R81" s="369" t="n"/>
      <c r="S81" s="369" t="n"/>
      <c r="T81" s="369" t="n"/>
      <c r="U81" s="369" t="n"/>
      <c r="V81" s="369" t="n"/>
      <c r="W81" s="369" t="n"/>
      <c r="X81" s="369" t="n"/>
      <c r="Y81" s="369" t="n"/>
      <c r="Z81" s="370" t="n"/>
      <c r="AA81" s="370" t="n"/>
      <c r="AB81" s="369" t="n"/>
      <c r="AC81" s="368">
        <f>IF($B81="","",IF(AB81="Closed",IF(AA81="","",AA81-C81),TODAY()-C81))</f>
        <v/>
      </c>
      <c r="AD81" s="369" t="n"/>
    </row>
    <row r="82" ht="15" customHeight="1" s="15">
      <c r="A82" s="368">
        <f>IF($B82="","",ROW()-5)</f>
        <v/>
      </c>
      <c r="B82" s="369" t="n"/>
      <c r="C82" s="370" t="n"/>
      <c r="D82" s="368">
        <f>IF($B82="","",TEXT(C82,"MMM"))</f>
        <v/>
      </c>
      <c r="E82" s="368">
        <f>IF($B82="","","W"&amp;TEXT(WEEKNUM(C82,2),"00"))</f>
        <v/>
      </c>
      <c r="F82" s="368">
        <f>IF($B82="","","Q"&amp;(INT(MOD(MONTH(C82)-FY_Start+12,12)/3)+1))</f>
        <v/>
      </c>
      <c r="G82" s="368">
        <f>IF($B82="","","FY "&amp;IF(MONTH(C82)&gt;=FY_Start,YEAR(C82),YEAR(C82)-1)&amp;"-"&amp;RIGHT(IF(MONTH(C82)&gt;=FY_Start,YEAR(C82)+1,YEAR(C82)),2))</f>
        <v/>
      </c>
      <c r="H82" s="369" t="n"/>
      <c r="I82" s="369" t="n"/>
      <c r="J82" s="369" t="n"/>
      <c r="K82" s="369" t="n"/>
      <c r="L82" s="369" t="n"/>
      <c r="M82" s="369" t="n"/>
      <c r="N82" s="369" t="n"/>
      <c r="O82" s="369" t="n"/>
      <c r="P82" s="369" t="n"/>
      <c r="Q82" s="369" t="n"/>
      <c r="R82" s="369" t="n"/>
      <c r="S82" s="369" t="n"/>
      <c r="T82" s="369" t="n"/>
      <c r="U82" s="369" t="n"/>
      <c r="V82" s="369" t="n"/>
      <c r="W82" s="369" t="n"/>
      <c r="X82" s="369" t="n"/>
      <c r="Y82" s="369" t="n"/>
      <c r="Z82" s="370" t="n"/>
      <c r="AA82" s="370" t="n"/>
      <c r="AB82" s="369" t="n"/>
      <c r="AC82" s="368">
        <f>IF($B82="","",IF(AB82="Closed",IF(AA82="","",AA82-C82),TODAY()-C82))</f>
        <v/>
      </c>
      <c r="AD82" s="369" t="n"/>
    </row>
    <row r="83" ht="15" customHeight="1" s="15">
      <c r="A83" s="368">
        <f>IF($B83="","",ROW()-5)</f>
        <v/>
      </c>
      <c r="B83" s="369" t="n"/>
      <c r="C83" s="370" t="n"/>
      <c r="D83" s="368">
        <f>IF($B83="","",TEXT(C83,"MMM"))</f>
        <v/>
      </c>
      <c r="E83" s="368">
        <f>IF($B83="","","W"&amp;TEXT(WEEKNUM(C83,2),"00"))</f>
        <v/>
      </c>
      <c r="F83" s="368">
        <f>IF($B83="","","Q"&amp;(INT(MOD(MONTH(C83)-FY_Start+12,12)/3)+1))</f>
        <v/>
      </c>
      <c r="G83" s="368">
        <f>IF($B83="","","FY "&amp;IF(MONTH(C83)&gt;=FY_Start,YEAR(C83),YEAR(C83)-1)&amp;"-"&amp;RIGHT(IF(MONTH(C83)&gt;=FY_Start,YEAR(C83)+1,YEAR(C83)),2))</f>
        <v/>
      </c>
      <c r="H83" s="369" t="n"/>
      <c r="I83" s="369" t="n"/>
      <c r="J83" s="369" t="n"/>
      <c r="K83" s="369" t="n"/>
      <c r="L83" s="369" t="n"/>
      <c r="M83" s="369" t="n"/>
      <c r="N83" s="369" t="n"/>
      <c r="O83" s="369" t="n"/>
      <c r="P83" s="369" t="n"/>
      <c r="Q83" s="369" t="n"/>
      <c r="R83" s="369" t="n"/>
      <c r="S83" s="369" t="n"/>
      <c r="T83" s="369" t="n"/>
      <c r="U83" s="369" t="n"/>
      <c r="V83" s="369" t="n"/>
      <c r="W83" s="369" t="n"/>
      <c r="X83" s="369" t="n"/>
      <c r="Y83" s="369" t="n"/>
      <c r="Z83" s="370" t="n"/>
      <c r="AA83" s="370" t="n"/>
      <c r="AB83" s="369" t="n"/>
      <c r="AC83" s="368">
        <f>IF($B83="","",IF(AB83="Closed",IF(AA83="","",AA83-C83),TODAY()-C83))</f>
        <v/>
      </c>
      <c r="AD83" s="369" t="n"/>
    </row>
    <row r="84" ht="15" customHeight="1" s="15">
      <c r="A84" s="368">
        <f>IF($B84="","",ROW()-5)</f>
        <v/>
      </c>
      <c r="B84" s="369" t="n"/>
      <c r="C84" s="370" t="n"/>
      <c r="D84" s="368">
        <f>IF($B84="","",TEXT(C84,"MMM"))</f>
        <v/>
      </c>
      <c r="E84" s="368">
        <f>IF($B84="","","W"&amp;TEXT(WEEKNUM(C84,2),"00"))</f>
        <v/>
      </c>
      <c r="F84" s="368">
        <f>IF($B84="","","Q"&amp;(INT(MOD(MONTH(C84)-FY_Start+12,12)/3)+1))</f>
        <v/>
      </c>
      <c r="G84" s="368">
        <f>IF($B84="","","FY "&amp;IF(MONTH(C84)&gt;=FY_Start,YEAR(C84),YEAR(C84)-1)&amp;"-"&amp;RIGHT(IF(MONTH(C84)&gt;=FY_Start,YEAR(C84)+1,YEAR(C84)),2))</f>
        <v/>
      </c>
      <c r="H84" s="369" t="n"/>
      <c r="I84" s="369" t="n"/>
      <c r="J84" s="369" t="n"/>
      <c r="K84" s="369" t="n"/>
      <c r="L84" s="369" t="n"/>
      <c r="M84" s="369" t="n"/>
      <c r="N84" s="369" t="n"/>
      <c r="O84" s="369" t="n"/>
      <c r="P84" s="369" t="n"/>
      <c r="Q84" s="369" t="n"/>
      <c r="R84" s="369" t="n"/>
      <c r="S84" s="369" t="n"/>
      <c r="T84" s="369" t="n"/>
      <c r="U84" s="369" t="n"/>
      <c r="V84" s="369" t="n"/>
      <c r="W84" s="369" t="n"/>
      <c r="X84" s="369" t="n"/>
      <c r="Y84" s="369" t="n"/>
      <c r="Z84" s="370" t="n"/>
      <c r="AA84" s="370" t="n"/>
      <c r="AB84" s="369" t="n"/>
      <c r="AC84" s="368">
        <f>IF($B84="","",IF(AB84="Closed",IF(AA84="","",AA84-C84),TODAY()-C84))</f>
        <v/>
      </c>
      <c r="AD84" s="369" t="n"/>
    </row>
    <row r="85" ht="15" customHeight="1" s="15">
      <c r="A85" s="368">
        <f>IF($B85="","",ROW()-5)</f>
        <v/>
      </c>
      <c r="B85" s="369" t="n"/>
      <c r="C85" s="370" t="n"/>
      <c r="D85" s="368">
        <f>IF($B85="","",TEXT(C85,"MMM"))</f>
        <v/>
      </c>
      <c r="E85" s="368">
        <f>IF($B85="","","W"&amp;TEXT(WEEKNUM(C85,2),"00"))</f>
        <v/>
      </c>
      <c r="F85" s="368">
        <f>IF($B85="","","Q"&amp;(INT(MOD(MONTH(C85)-FY_Start+12,12)/3)+1))</f>
        <v/>
      </c>
      <c r="G85" s="368">
        <f>IF($B85="","","FY "&amp;IF(MONTH(C85)&gt;=FY_Start,YEAR(C85),YEAR(C85)-1)&amp;"-"&amp;RIGHT(IF(MONTH(C85)&gt;=FY_Start,YEAR(C85)+1,YEAR(C85)),2))</f>
        <v/>
      </c>
      <c r="H85" s="369" t="n"/>
      <c r="I85" s="369" t="n"/>
      <c r="J85" s="369" t="n"/>
      <c r="K85" s="369" t="n"/>
      <c r="L85" s="369" t="n"/>
      <c r="M85" s="369" t="n"/>
      <c r="N85" s="369" t="n"/>
      <c r="O85" s="369" t="n"/>
      <c r="P85" s="369" t="n"/>
      <c r="Q85" s="369" t="n"/>
      <c r="R85" s="369" t="n"/>
      <c r="S85" s="369" t="n"/>
      <c r="T85" s="369" t="n"/>
      <c r="U85" s="369" t="n"/>
      <c r="V85" s="369" t="n"/>
      <c r="W85" s="369" t="n"/>
      <c r="X85" s="369" t="n"/>
      <c r="Y85" s="369" t="n"/>
      <c r="Z85" s="370" t="n"/>
      <c r="AA85" s="370" t="n"/>
      <c r="AB85" s="369" t="n"/>
      <c r="AC85" s="368">
        <f>IF($B85="","",IF(AB85="Closed",IF(AA85="","",AA85-C85),TODAY()-C85))</f>
        <v/>
      </c>
      <c r="AD85" s="369" t="n"/>
    </row>
    <row r="86" ht="15" customHeight="1" s="15">
      <c r="A86" s="368">
        <f>IF($B86="","",ROW()-5)</f>
        <v/>
      </c>
      <c r="B86" s="369" t="n"/>
      <c r="C86" s="370" t="n"/>
      <c r="D86" s="368">
        <f>IF($B86="","",TEXT(C86,"MMM"))</f>
        <v/>
      </c>
      <c r="E86" s="368">
        <f>IF($B86="","","W"&amp;TEXT(WEEKNUM(C86,2),"00"))</f>
        <v/>
      </c>
      <c r="F86" s="368">
        <f>IF($B86="","","Q"&amp;(INT(MOD(MONTH(C86)-FY_Start+12,12)/3)+1))</f>
        <v/>
      </c>
      <c r="G86" s="368">
        <f>IF($B86="","","FY "&amp;IF(MONTH(C86)&gt;=FY_Start,YEAR(C86),YEAR(C86)-1)&amp;"-"&amp;RIGHT(IF(MONTH(C86)&gt;=FY_Start,YEAR(C86)+1,YEAR(C86)),2))</f>
        <v/>
      </c>
      <c r="H86" s="369" t="n"/>
      <c r="I86" s="369" t="n"/>
      <c r="J86" s="369" t="n"/>
      <c r="K86" s="369" t="n"/>
      <c r="L86" s="369" t="n"/>
      <c r="M86" s="369" t="n"/>
      <c r="N86" s="369" t="n"/>
      <c r="O86" s="369" t="n"/>
      <c r="P86" s="369" t="n"/>
      <c r="Q86" s="369" t="n"/>
      <c r="R86" s="369" t="n"/>
      <c r="S86" s="369" t="n"/>
      <c r="T86" s="369" t="n"/>
      <c r="U86" s="369" t="n"/>
      <c r="V86" s="369" t="n"/>
      <c r="W86" s="369" t="n"/>
      <c r="X86" s="369" t="n"/>
      <c r="Y86" s="369" t="n"/>
      <c r="Z86" s="370" t="n"/>
      <c r="AA86" s="370" t="n"/>
      <c r="AB86" s="369" t="n"/>
      <c r="AC86" s="368">
        <f>IF($B86="","",IF(AB86="Closed",IF(AA86="","",AA86-C86),TODAY()-C86))</f>
        <v/>
      </c>
      <c r="AD86" s="369" t="n"/>
    </row>
    <row r="87" ht="15" customHeight="1" s="15">
      <c r="A87" s="368">
        <f>IF($B87="","",ROW()-5)</f>
        <v/>
      </c>
      <c r="B87" s="369" t="n"/>
      <c r="C87" s="370" t="n"/>
      <c r="D87" s="368">
        <f>IF($B87="","",TEXT(C87,"MMM"))</f>
        <v/>
      </c>
      <c r="E87" s="368">
        <f>IF($B87="","","W"&amp;TEXT(WEEKNUM(C87,2),"00"))</f>
        <v/>
      </c>
      <c r="F87" s="368">
        <f>IF($B87="","","Q"&amp;(INT(MOD(MONTH(C87)-FY_Start+12,12)/3)+1))</f>
        <v/>
      </c>
      <c r="G87" s="368">
        <f>IF($B87="","","FY "&amp;IF(MONTH(C87)&gt;=FY_Start,YEAR(C87),YEAR(C87)-1)&amp;"-"&amp;RIGHT(IF(MONTH(C87)&gt;=FY_Start,YEAR(C87)+1,YEAR(C87)),2))</f>
        <v/>
      </c>
      <c r="H87" s="369" t="n"/>
      <c r="I87" s="369" t="n"/>
      <c r="J87" s="369" t="n"/>
      <c r="K87" s="369" t="n"/>
      <c r="L87" s="369" t="n"/>
      <c r="M87" s="369" t="n"/>
      <c r="N87" s="369" t="n"/>
      <c r="O87" s="369" t="n"/>
      <c r="P87" s="369" t="n"/>
      <c r="Q87" s="369" t="n"/>
      <c r="R87" s="369" t="n"/>
      <c r="S87" s="369" t="n"/>
      <c r="T87" s="369" t="n"/>
      <c r="U87" s="369" t="n"/>
      <c r="V87" s="369" t="n"/>
      <c r="W87" s="369" t="n"/>
      <c r="X87" s="369" t="n"/>
      <c r="Y87" s="369" t="n"/>
      <c r="Z87" s="370" t="n"/>
      <c r="AA87" s="370" t="n"/>
      <c r="AB87" s="369" t="n"/>
      <c r="AC87" s="368">
        <f>IF($B87="","",IF(AB87="Closed",IF(AA87="","",AA87-C87),TODAY()-C87))</f>
        <v/>
      </c>
      <c r="AD87" s="369" t="n"/>
    </row>
    <row r="88" ht="15" customHeight="1" s="15">
      <c r="A88" s="368">
        <f>IF($B88="","",ROW()-5)</f>
        <v/>
      </c>
      <c r="B88" s="369" t="n"/>
      <c r="C88" s="370" t="n"/>
      <c r="D88" s="368">
        <f>IF($B88="","",TEXT(C88,"MMM"))</f>
        <v/>
      </c>
      <c r="E88" s="368">
        <f>IF($B88="","","W"&amp;TEXT(WEEKNUM(C88,2),"00"))</f>
        <v/>
      </c>
      <c r="F88" s="368">
        <f>IF($B88="","","Q"&amp;(INT(MOD(MONTH(C88)-FY_Start+12,12)/3)+1))</f>
        <v/>
      </c>
      <c r="G88" s="368">
        <f>IF($B88="","","FY "&amp;IF(MONTH(C88)&gt;=FY_Start,YEAR(C88),YEAR(C88)-1)&amp;"-"&amp;RIGHT(IF(MONTH(C88)&gt;=FY_Start,YEAR(C88)+1,YEAR(C88)),2))</f>
        <v/>
      </c>
      <c r="H88" s="369" t="n"/>
      <c r="I88" s="369" t="n"/>
      <c r="J88" s="369" t="n"/>
      <c r="K88" s="369" t="n"/>
      <c r="L88" s="369" t="n"/>
      <c r="M88" s="369" t="n"/>
      <c r="N88" s="369" t="n"/>
      <c r="O88" s="369" t="n"/>
      <c r="P88" s="369" t="n"/>
      <c r="Q88" s="369" t="n"/>
      <c r="R88" s="369" t="n"/>
      <c r="S88" s="369" t="n"/>
      <c r="T88" s="369" t="n"/>
      <c r="U88" s="369" t="n"/>
      <c r="V88" s="369" t="n"/>
      <c r="W88" s="369" t="n"/>
      <c r="X88" s="369" t="n"/>
      <c r="Y88" s="369" t="n"/>
      <c r="Z88" s="370" t="n"/>
      <c r="AA88" s="370" t="n"/>
      <c r="AB88" s="369" t="n"/>
      <c r="AC88" s="368">
        <f>IF($B88="","",IF(AB88="Closed",IF(AA88="","",AA88-C88),TODAY()-C88))</f>
        <v/>
      </c>
      <c r="AD88" s="369" t="n"/>
    </row>
    <row r="89" ht="15" customHeight="1" s="15">
      <c r="A89" s="368">
        <f>IF($B89="","",ROW()-5)</f>
        <v/>
      </c>
      <c r="B89" s="369" t="n"/>
      <c r="C89" s="370" t="n"/>
      <c r="D89" s="368">
        <f>IF($B89="","",TEXT(C89,"MMM"))</f>
        <v/>
      </c>
      <c r="E89" s="368">
        <f>IF($B89="","","W"&amp;TEXT(WEEKNUM(C89,2),"00"))</f>
        <v/>
      </c>
      <c r="F89" s="368">
        <f>IF($B89="","","Q"&amp;(INT(MOD(MONTH(C89)-FY_Start+12,12)/3)+1))</f>
        <v/>
      </c>
      <c r="G89" s="368">
        <f>IF($B89="","","FY "&amp;IF(MONTH(C89)&gt;=FY_Start,YEAR(C89),YEAR(C89)-1)&amp;"-"&amp;RIGHT(IF(MONTH(C89)&gt;=FY_Start,YEAR(C89)+1,YEAR(C89)),2))</f>
        <v/>
      </c>
      <c r="H89" s="369" t="n"/>
      <c r="I89" s="369" t="n"/>
      <c r="J89" s="369" t="n"/>
      <c r="K89" s="369" t="n"/>
      <c r="L89" s="369" t="n"/>
      <c r="M89" s="369" t="n"/>
      <c r="N89" s="369" t="n"/>
      <c r="O89" s="369" t="n"/>
      <c r="P89" s="369" t="n"/>
      <c r="Q89" s="369" t="n"/>
      <c r="R89" s="369" t="n"/>
      <c r="S89" s="369" t="n"/>
      <c r="T89" s="369" t="n"/>
      <c r="U89" s="369" t="n"/>
      <c r="V89" s="369" t="n"/>
      <c r="W89" s="369" t="n"/>
      <c r="X89" s="369" t="n"/>
      <c r="Y89" s="369" t="n"/>
      <c r="Z89" s="370" t="n"/>
      <c r="AA89" s="370" t="n"/>
      <c r="AB89" s="369" t="n"/>
      <c r="AC89" s="368">
        <f>IF($B89="","",IF(AB89="Closed",IF(AA89="","",AA89-C89),TODAY()-C89))</f>
        <v/>
      </c>
      <c r="AD89" s="369" t="n"/>
    </row>
    <row r="90" ht="15" customHeight="1" s="15">
      <c r="A90" s="368">
        <f>IF($B90="","",ROW()-5)</f>
        <v/>
      </c>
      <c r="B90" s="369" t="n"/>
      <c r="C90" s="370" t="n"/>
      <c r="D90" s="368">
        <f>IF($B90="","",TEXT(C90,"MMM"))</f>
        <v/>
      </c>
      <c r="E90" s="368">
        <f>IF($B90="","","W"&amp;TEXT(WEEKNUM(C90,2),"00"))</f>
        <v/>
      </c>
      <c r="F90" s="368">
        <f>IF($B90="","","Q"&amp;(INT(MOD(MONTH(C90)-FY_Start+12,12)/3)+1))</f>
        <v/>
      </c>
      <c r="G90" s="368">
        <f>IF($B90="","","FY "&amp;IF(MONTH(C90)&gt;=FY_Start,YEAR(C90),YEAR(C90)-1)&amp;"-"&amp;RIGHT(IF(MONTH(C90)&gt;=FY_Start,YEAR(C90)+1,YEAR(C90)),2))</f>
        <v/>
      </c>
      <c r="H90" s="369" t="n"/>
      <c r="I90" s="369" t="n"/>
      <c r="J90" s="369" t="n"/>
      <c r="K90" s="369" t="n"/>
      <c r="L90" s="369" t="n"/>
      <c r="M90" s="369" t="n"/>
      <c r="N90" s="369" t="n"/>
      <c r="O90" s="369" t="n"/>
      <c r="P90" s="369" t="n"/>
      <c r="Q90" s="369" t="n"/>
      <c r="R90" s="369" t="n"/>
      <c r="S90" s="369" t="n"/>
      <c r="T90" s="369" t="n"/>
      <c r="U90" s="369" t="n"/>
      <c r="V90" s="369" t="n"/>
      <c r="W90" s="369" t="n"/>
      <c r="X90" s="369" t="n"/>
      <c r="Y90" s="369" t="n"/>
      <c r="Z90" s="370" t="n"/>
      <c r="AA90" s="370" t="n"/>
      <c r="AB90" s="369" t="n"/>
      <c r="AC90" s="368">
        <f>IF($B90="","",IF(AB90="Closed",IF(AA90="","",AA90-C90),TODAY()-C90))</f>
        <v/>
      </c>
      <c r="AD90" s="369" t="n"/>
    </row>
    <row r="91" ht="15" customHeight="1" s="15">
      <c r="A91" s="368">
        <f>IF($B91="","",ROW()-5)</f>
        <v/>
      </c>
      <c r="B91" s="369" t="n"/>
      <c r="C91" s="370" t="n"/>
      <c r="D91" s="368">
        <f>IF($B91="","",TEXT(C91,"MMM"))</f>
        <v/>
      </c>
      <c r="E91" s="368">
        <f>IF($B91="","","W"&amp;TEXT(WEEKNUM(C91,2),"00"))</f>
        <v/>
      </c>
      <c r="F91" s="368">
        <f>IF($B91="","","Q"&amp;(INT(MOD(MONTH(C91)-FY_Start+12,12)/3)+1))</f>
        <v/>
      </c>
      <c r="G91" s="368">
        <f>IF($B91="","","FY "&amp;IF(MONTH(C91)&gt;=FY_Start,YEAR(C91),YEAR(C91)-1)&amp;"-"&amp;RIGHT(IF(MONTH(C91)&gt;=FY_Start,YEAR(C91)+1,YEAR(C91)),2))</f>
        <v/>
      </c>
      <c r="H91" s="369" t="n"/>
      <c r="I91" s="369" t="n"/>
      <c r="J91" s="369" t="n"/>
      <c r="K91" s="369" t="n"/>
      <c r="L91" s="369" t="n"/>
      <c r="M91" s="369" t="n"/>
      <c r="N91" s="369" t="n"/>
      <c r="O91" s="369" t="n"/>
      <c r="P91" s="369" t="n"/>
      <c r="Q91" s="369" t="n"/>
      <c r="R91" s="369" t="n"/>
      <c r="S91" s="369" t="n"/>
      <c r="T91" s="369" t="n"/>
      <c r="U91" s="369" t="n"/>
      <c r="V91" s="369" t="n"/>
      <c r="W91" s="369" t="n"/>
      <c r="X91" s="369" t="n"/>
      <c r="Y91" s="369" t="n"/>
      <c r="Z91" s="370" t="n"/>
      <c r="AA91" s="370" t="n"/>
      <c r="AB91" s="369" t="n"/>
      <c r="AC91" s="368">
        <f>IF($B91="","",IF(AB91="Closed",IF(AA91="","",AA91-C91),TODAY()-C91))</f>
        <v/>
      </c>
      <c r="AD91" s="369" t="n"/>
    </row>
    <row r="92" ht="15" customHeight="1" s="15">
      <c r="A92" s="368">
        <f>IF($B92="","",ROW()-5)</f>
        <v/>
      </c>
      <c r="B92" s="369" t="n"/>
      <c r="C92" s="370" t="n"/>
      <c r="D92" s="368">
        <f>IF($B92="","",TEXT(C92,"MMM"))</f>
        <v/>
      </c>
      <c r="E92" s="368">
        <f>IF($B92="","","W"&amp;TEXT(WEEKNUM(C92,2),"00"))</f>
        <v/>
      </c>
      <c r="F92" s="368">
        <f>IF($B92="","","Q"&amp;(INT(MOD(MONTH(C92)-FY_Start+12,12)/3)+1))</f>
        <v/>
      </c>
      <c r="G92" s="368">
        <f>IF($B92="","","FY "&amp;IF(MONTH(C92)&gt;=FY_Start,YEAR(C92),YEAR(C92)-1)&amp;"-"&amp;RIGHT(IF(MONTH(C92)&gt;=FY_Start,YEAR(C92)+1,YEAR(C92)),2))</f>
        <v/>
      </c>
      <c r="H92" s="369" t="n"/>
      <c r="I92" s="369" t="n"/>
      <c r="J92" s="369" t="n"/>
      <c r="K92" s="369" t="n"/>
      <c r="L92" s="369" t="n"/>
      <c r="M92" s="369" t="n"/>
      <c r="N92" s="369" t="n"/>
      <c r="O92" s="369" t="n"/>
      <c r="P92" s="369" t="n"/>
      <c r="Q92" s="369" t="n"/>
      <c r="R92" s="369" t="n"/>
      <c r="S92" s="369" t="n"/>
      <c r="T92" s="369" t="n"/>
      <c r="U92" s="369" t="n"/>
      <c r="V92" s="369" t="n"/>
      <c r="W92" s="369" t="n"/>
      <c r="X92" s="369" t="n"/>
      <c r="Y92" s="369" t="n"/>
      <c r="Z92" s="370" t="n"/>
      <c r="AA92" s="370" t="n"/>
      <c r="AB92" s="369" t="n"/>
      <c r="AC92" s="368">
        <f>IF($B92="","",IF(AB92="Closed",IF(AA92="","",AA92-C92),TODAY()-C92))</f>
        <v/>
      </c>
      <c r="AD92" s="369" t="n"/>
    </row>
    <row r="93" ht="15" customHeight="1" s="15">
      <c r="A93" s="368">
        <f>IF($B93="","",ROW()-5)</f>
        <v/>
      </c>
      <c r="B93" s="369" t="n"/>
      <c r="C93" s="370" t="n"/>
      <c r="D93" s="368">
        <f>IF($B93="","",TEXT(C93,"MMM"))</f>
        <v/>
      </c>
      <c r="E93" s="368">
        <f>IF($B93="","","W"&amp;TEXT(WEEKNUM(C93,2),"00"))</f>
        <v/>
      </c>
      <c r="F93" s="368">
        <f>IF($B93="","","Q"&amp;(INT(MOD(MONTH(C93)-FY_Start+12,12)/3)+1))</f>
        <v/>
      </c>
      <c r="G93" s="368">
        <f>IF($B93="","","FY "&amp;IF(MONTH(C93)&gt;=FY_Start,YEAR(C93),YEAR(C93)-1)&amp;"-"&amp;RIGHT(IF(MONTH(C93)&gt;=FY_Start,YEAR(C93)+1,YEAR(C93)),2))</f>
        <v/>
      </c>
      <c r="H93" s="369" t="n"/>
      <c r="I93" s="369" t="n"/>
      <c r="J93" s="369" t="n"/>
      <c r="K93" s="369" t="n"/>
      <c r="L93" s="369" t="n"/>
      <c r="M93" s="369" t="n"/>
      <c r="N93" s="369" t="n"/>
      <c r="O93" s="369" t="n"/>
      <c r="P93" s="369" t="n"/>
      <c r="Q93" s="369" t="n"/>
      <c r="R93" s="369" t="n"/>
      <c r="S93" s="369" t="n"/>
      <c r="T93" s="369" t="n"/>
      <c r="U93" s="369" t="n"/>
      <c r="V93" s="369" t="n"/>
      <c r="W93" s="369" t="n"/>
      <c r="X93" s="369" t="n"/>
      <c r="Y93" s="369" t="n"/>
      <c r="Z93" s="370" t="n"/>
      <c r="AA93" s="370" t="n"/>
      <c r="AB93" s="369" t="n"/>
      <c r="AC93" s="368">
        <f>IF($B93="","",IF(AB93="Closed",IF(AA93="","",AA93-C93),TODAY()-C93))</f>
        <v/>
      </c>
      <c r="AD93" s="369" t="n"/>
    </row>
    <row r="94" ht="15" customHeight="1" s="15">
      <c r="A94" s="368">
        <f>IF($B94="","",ROW()-5)</f>
        <v/>
      </c>
      <c r="B94" s="369" t="n"/>
      <c r="C94" s="370" t="n"/>
      <c r="D94" s="368">
        <f>IF($B94="","",TEXT(C94,"MMM"))</f>
        <v/>
      </c>
      <c r="E94" s="368">
        <f>IF($B94="","","W"&amp;TEXT(WEEKNUM(C94,2),"00"))</f>
        <v/>
      </c>
      <c r="F94" s="368">
        <f>IF($B94="","","Q"&amp;(INT(MOD(MONTH(C94)-FY_Start+12,12)/3)+1))</f>
        <v/>
      </c>
      <c r="G94" s="368">
        <f>IF($B94="","","FY "&amp;IF(MONTH(C94)&gt;=FY_Start,YEAR(C94),YEAR(C94)-1)&amp;"-"&amp;RIGHT(IF(MONTH(C94)&gt;=FY_Start,YEAR(C94)+1,YEAR(C94)),2))</f>
        <v/>
      </c>
      <c r="H94" s="369" t="n"/>
      <c r="I94" s="369" t="n"/>
      <c r="J94" s="369" t="n"/>
      <c r="K94" s="369" t="n"/>
      <c r="L94" s="369" t="n"/>
      <c r="M94" s="369" t="n"/>
      <c r="N94" s="369" t="n"/>
      <c r="O94" s="369" t="n"/>
      <c r="P94" s="369" t="n"/>
      <c r="Q94" s="369" t="n"/>
      <c r="R94" s="369" t="n"/>
      <c r="S94" s="369" t="n"/>
      <c r="T94" s="369" t="n"/>
      <c r="U94" s="369" t="n"/>
      <c r="V94" s="369" t="n"/>
      <c r="W94" s="369" t="n"/>
      <c r="X94" s="369" t="n"/>
      <c r="Y94" s="369" t="n"/>
      <c r="Z94" s="370" t="n"/>
      <c r="AA94" s="370" t="n"/>
      <c r="AB94" s="369" t="n"/>
      <c r="AC94" s="368">
        <f>IF($B94="","",IF(AB94="Closed",IF(AA94="","",AA94-C94),TODAY()-C94))</f>
        <v/>
      </c>
      <c r="AD94" s="369" t="n"/>
    </row>
    <row r="95" ht="15" customHeight="1" s="15">
      <c r="A95" s="368">
        <f>IF($B95="","",ROW()-5)</f>
        <v/>
      </c>
      <c r="B95" s="369" t="n"/>
      <c r="C95" s="370" t="n"/>
      <c r="D95" s="368">
        <f>IF($B95="","",TEXT(C95,"MMM"))</f>
        <v/>
      </c>
      <c r="E95" s="368">
        <f>IF($B95="","","W"&amp;TEXT(WEEKNUM(C95,2),"00"))</f>
        <v/>
      </c>
      <c r="F95" s="368">
        <f>IF($B95="","","Q"&amp;(INT(MOD(MONTH(C95)-FY_Start+12,12)/3)+1))</f>
        <v/>
      </c>
      <c r="G95" s="368">
        <f>IF($B95="","","FY "&amp;IF(MONTH(C95)&gt;=FY_Start,YEAR(C95),YEAR(C95)-1)&amp;"-"&amp;RIGHT(IF(MONTH(C95)&gt;=FY_Start,YEAR(C95)+1,YEAR(C95)),2))</f>
        <v/>
      </c>
      <c r="H95" s="369" t="n"/>
      <c r="I95" s="369" t="n"/>
      <c r="J95" s="369" t="n"/>
      <c r="K95" s="369" t="n"/>
      <c r="L95" s="369" t="n"/>
      <c r="M95" s="369" t="n"/>
      <c r="N95" s="369" t="n"/>
      <c r="O95" s="369" t="n"/>
      <c r="P95" s="369" t="n"/>
      <c r="Q95" s="369" t="n"/>
      <c r="R95" s="369" t="n"/>
      <c r="S95" s="369" t="n"/>
      <c r="T95" s="369" t="n"/>
      <c r="U95" s="369" t="n"/>
      <c r="V95" s="369" t="n"/>
      <c r="W95" s="369" t="n"/>
      <c r="X95" s="369" t="n"/>
      <c r="Y95" s="369" t="n"/>
      <c r="Z95" s="370" t="n"/>
      <c r="AA95" s="370" t="n"/>
      <c r="AB95" s="369" t="n"/>
      <c r="AC95" s="368">
        <f>IF($B95="","",IF(AB95="Closed",IF(AA95="","",AA95-C95),TODAY()-C95))</f>
        <v/>
      </c>
      <c r="AD95" s="369" t="n"/>
    </row>
    <row r="96" ht="15" customHeight="1" s="15">
      <c r="A96" s="368">
        <f>IF($B96="","",ROW()-5)</f>
        <v/>
      </c>
      <c r="B96" s="369" t="n"/>
      <c r="C96" s="370" t="n"/>
      <c r="D96" s="368">
        <f>IF($B96="","",TEXT(C96,"MMM"))</f>
        <v/>
      </c>
      <c r="E96" s="368">
        <f>IF($B96="","","W"&amp;TEXT(WEEKNUM(C96,2),"00"))</f>
        <v/>
      </c>
      <c r="F96" s="368">
        <f>IF($B96="","","Q"&amp;(INT(MOD(MONTH(C96)-FY_Start+12,12)/3)+1))</f>
        <v/>
      </c>
      <c r="G96" s="368">
        <f>IF($B96="","","FY "&amp;IF(MONTH(C96)&gt;=FY_Start,YEAR(C96),YEAR(C96)-1)&amp;"-"&amp;RIGHT(IF(MONTH(C96)&gt;=FY_Start,YEAR(C96)+1,YEAR(C96)),2))</f>
        <v/>
      </c>
      <c r="H96" s="369" t="n"/>
      <c r="I96" s="369" t="n"/>
      <c r="J96" s="369" t="n"/>
      <c r="K96" s="369" t="n"/>
      <c r="L96" s="369" t="n"/>
      <c r="M96" s="369" t="n"/>
      <c r="N96" s="369" t="n"/>
      <c r="O96" s="369" t="n"/>
      <c r="P96" s="369" t="n"/>
      <c r="Q96" s="369" t="n"/>
      <c r="R96" s="369" t="n"/>
      <c r="S96" s="369" t="n"/>
      <c r="T96" s="369" t="n"/>
      <c r="U96" s="369" t="n"/>
      <c r="V96" s="369" t="n"/>
      <c r="W96" s="369" t="n"/>
      <c r="X96" s="369" t="n"/>
      <c r="Y96" s="369" t="n"/>
      <c r="Z96" s="370" t="n"/>
      <c r="AA96" s="370" t="n"/>
      <c r="AB96" s="369" t="n"/>
      <c r="AC96" s="368">
        <f>IF($B96="","",IF(AB96="Closed",IF(AA96="","",AA96-C96),TODAY()-C96))</f>
        <v/>
      </c>
      <c r="AD96" s="369" t="n"/>
    </row>
    <row r="97" ht="15" customHeight="1" s="15">
      <c r="A97" s="368">
        <f>IF($B97="","",ROW()-5)</f>
        <v/>
      </c>
      <c r="B97" s="369" t="n"/>
      <c r="C97" s="370" t="n"/>
      <c r="D97" s="368">
        <f>IF($B97="","",TEXT(C97,"MMM"))</f>
        <v/>
      </c>
      <c r="E97" s="368">
        <f>IF($B97="","","W"&amp;TEXT(WEEKNUM(C97,2),"00"))</f>
        <v/>
      </c>
      <c r="F97" s="368">
        <f>IF($B97="","","Q"&amp;(INT(MOD(MONTH(C97)-FY_Start+12,12)/3)+1))</f>
        <v/>
      </c>
      <c r="G97" s="368">
        <f>IF($B97="","","FY "&amp;IF(MONTH(C97)&gt;=FY_Start,YEAR(C97),YEAR(C97)-1)&amp;"-"&amp;RIGHT(IF(MONTH(C97)&gt;=FY_Start,YEAR(C97)+1,YEAR(C97)),2))</f>
        <v/>
      </c>
      <c r="H97" s="369" t="n"/>
      <c r="I97" s="369" t="n"/>
      <c r="J97" s="369" t="n"/>
      <c r="K97" s="369" t="n"/>
      <c r="L97" s="369" t="n"/>
      <c r="M97" s="369" t="n"/>
      <c r="N97" s="369" t="n"/>
      <c r="O97" s="369" t="n"/>
      <c r="P97" s="369" t="n"/>
      <c r="Q97" s="369" t="n"/>
      <c r="R97" s="369" t="n"/>
      <c r="S97" s="369" t="n"/>
      <c r="T97" s="369" t="n"/>
      <c r="U97" s="369" t="n"/>
      <c r="V97" s="369" t="n"/>
      <c r="W97" s="369" t="n"/>
      <c r="X97" s="369" t="n"/>
      <c r="Y97" s="369" t="n"/>
      <c r="Z97" s="370" t="n"/>
      <c r="AA97" s="370" t="n"/>
      <c r="AB97" s="369" t="n"/>
      <c r="AC97" s="368">
        <f>IF($B97="","",IF(AB97="Closed",IF(AA97="","",AA97-C97),TODAY()-C97))</f>
        <v/>
      </c>
      <c r="AD97" s="369" t="n"/>
    </row>
    <row r="98" ht="15" customHeight="1" s="15">
      <c r="A98" s="368">
        <f>IF($B98="","",ROW()-5)</f>
        <v/>
      </c>
      <c r="B98" s="369" t="n"/>
      <c r="C98" s="370" t="n"/>
      <c r="D98" s="368">
        <f>IF($B98="","",TEXT(C98,"MMM"))</f>
        <v/>
      </c>
      <c r="E98" s="368">
        <f>IF($B98="","","W"&amp;TEXT(WEEKNUM(C98,2),"00"))</f>
        <v/>
      </c>
      <c r="F98" s="368">
        <f>IF($B98="","","Q"&amp;(INT(MOD(MONTH(C98)-FY_Start+12,12)/3)+1))</f>
        <v/>
      </c>
      <c r="G98" s="368">
        <f>IF($B98="","","FY "&amp;IF(MONTH(C98)&gt;=FY_Start,YEAR(C98),YEAR(C98)-1)&amp;"-"&amp;RIGHT(IF(MONTH(C98)&gt;=FY_Start,YEAR(C98)+1,YEAR(C98)),2))</f>
        <v/>
      </c>
      <c r="H98" s="369" t="n"/>
      <c r="I98" s="369" t="n"/>
      <c r="J98" s="369" t="n"/>
      <c r="K98" s="369" t="n"/>
      <c r="L98" s="369" t="n"/>
      <c r="M98" s="369" t="n"/>
      <c r="N98" s="369" t="n"/>
      <c r="O98" s="369" t="n"/>
      <c r="P98" s="369" t="n"/>
      <c r="Q98" s="369" t="n"/>
      <c r="R98" s="369" t="n"/>
      <c r="S98" s="369" t="n"/>
      <c r="T98" s="369" t="n"/>
      <c r="U98" s="369" t="n"/>
      <c r="V98" s="369" t="n"/>
      <c r="W98" s="369" t="n"/>
      <c r="X98" s="369" t="n"/>
      <c r="Y98" s="369" t="n"/>
      <c r="Z98" s="370" t="n"/>
      <c r="AA98" s="370" t="n"/>
      <c r="AB98" s="369" t="n"/>
      <c r="AC98" s="368">
        <f>IF($B98="","",IF(AB98="Closed",IF(AA98="","",AA98-C98),TODAY()-C98))</f>
        <v/>
      </c>
      <c r="AD98" s="369" t="n"/>
    </row>
    <row r="99" ht="15" customHeight="1" s="15">
      <c r="A99" s="368">
        <f>IF($B99="","",ROW()-5)</f>
        <v/>
      </c>
      <c r="B99" s="369" t="n"/>
      <c r="C99" s="370" t="n"/>
      <c r="D99" s="368">
        <f>IF($B99="","",TEXT(C99,"MMM"))</f>
        <v/>
      </c>
      <c r="E99" s="368">
        <f>IF($B99="","","W"&amp;TEXT(WEEKNUM(C99,2),"00"))</f>
        <v/>
      </c>
      <c r="F99" s="368">
        <f>IF($B99="","","Q"&amp;(INT(MOD(MONTH(C99)-FY_Start+12,12)/3)+1))</f>
        <v/>
      </c>
      <c r="G99" s="368">
        <f>IF($B99="","","FY "&amp;IF(MONTH(C99)&gt;=FY_Start,YEAR(C99),YEAR(C99)-1)&amp;"-"&amp;RIGHT(IF(MONTH(C99)&gt;=FY_Start,YEAR(C99)+1,YEAR(C99)),2))</f>
        <v/>
      </c>
      <c r="H99" s="369" t="n"/>
      <c r="I99" s="369" t="n"/>
      <c r="J99" s="369" t="n"/>
      <c r="K99" s="369" t="n"/>
      <c r="L99" s="369" t="n"/>
      <c r="M99" s="369" t="n"/>
      <c r="N99" s="369" t="n"/>
      <c r="O99" s="369" t="n"/>
      <c r="P99" s="369" t="n"/>
      <c r="Q99" s="369" t="n"/>
      <c r="R99" s="369" t="n"/>
      <c r="S99" s="369" t="n"/>
      <c r="T99" s="369" t="n"/>
      <c r="U99" s="369" t="n"/>
      <c r="V99" s="369" t="n"/>
      <c r="W99" s="369" t="n"/>
      <c r="X99" s="369" t="n"/>
      <c r="Y99" s="369" t="n"/>
      <c r="Z99" s="370" t="n"/>
      <c r="AA99" s="370" t="n"/>
      <c r="AB99" s="369" t="n"/>
      <c r="AC99" s="368">
        <f>IF($B99="","",IF(AB99="Closed",IF(AA99="","",AA99-C99),TODAY()-C99))</f>
        <v/>
      </c>
      <c r="AD99" s="369" t="n"/>
    </row>
    <row r="100" ht="15" customHeight="1" s="15">
      <c r="A100" s="368">
        <f>IF($B100="","",ROW()-5)</f>
        <v/>
      </c>
      <c r="B100" s="369" t="n"/>
      <c r="C100" s="370" t="n"/>
      <c r="D100" s="368">
        <f>IF($B100="","",TEXT(C100,"MMM"))</f>
        <v/>
      </c>
      <c r="E100" s="368">
        <f>IF($B100="","","W"&amp;TEXT(WEEKNUM(C100,2),"00"))</f>
        <v/>
      </c>
      <c r="F100" s="368">
        <f>IF($B100="","","Q"&amp;(INT(MOD(MONTH(C100)-FY_Start+12,12)/3)+1))</f>
        <v/>
      </c>
      <c r="G100" s="368">
        <f>IF($B100="","","FY "&amp;IF(MONTH(C100)&gt;=FY_Start,YEAR(C100),YEAR(C100)-1)&amp;"-"&amp;RIGHT(IF(MONTH(C100)&gt;=FY_Start,YEAR(C100)+1,YEAR(C100)),2))</f>
        <v/>
      </c>
      <c r="H100" s="369" t="n"/>
      <c r="I100" s="369" t="n"/>
      <c r="J100" s="369" t="n"/>
      <c r="K100" s="369" t="n"/>
      <c r="L100" s="369" t="n"/>
      <c r="M100" s="369" t="n"/>
      <c r="N100" s="369" t="n"/>
      <c r="O100" s="369" t="n"/>
      <c r="P100" s="369" t="n"/>
      <c r="Q100" s="369" t="n"/>
      <c r="R100" s="369" t="n"/>
      <c r="S100" s="369" t="n"/>
      <c r="T100" s="369" t="n"/>
      <c r="U100" s="369" t="n"/>
      <c r="V100" s="369" t="n"/>
      <c r="W100" s="369" t="n"/>
      <c r="X100" s="369" t="n"/>
      <c r="Y100" s="369" t="n"/>
      <c r="Z100" s="370" t="n"/>
      <c r="AA100" s="370" t="n"/>
      <c r="AB100" s="369" t="n"/>
      <c r="AC100" s="368">
        <f>IF($B100="","",IF(AB100="Closed",IF(AA100="","",AA100-C100),TODAY()-C100))</f>
        <v/>
      </c>
      <c r="AD100" s="369" t="n"/>
    </row>
    <row r="101" ht="15" customHeight="1" s="15">
      <c r="A101" s="368">
        <f>IF($B101="","",ROW()-5)</f>
        <v/>
      </c>
      <c r="B101" s="369" t="n"/>
      <c r="C101" s="370" t="n"/>
      <c r="D101" s="368">
        <f>IF($B101="","",TEXT(C101,"MMM"))</f>
        <v/>
      </c>
      <c r="E101" s="368">
        <f>IF($B101="","","W"&amp;TEXT(WEEKNUM(C101,2),"00"))</f>
        <v/>
      </c>
      <c r="F101" s="368">
        <f>IF($B101="","","Q"&amp;(INT(MOD(MONTH(C101)-FY_Start+12,12)/3)+1))</f>
        <v/>
      </c>
      <c r="G101" s="368">
        <f>IF($B101="","","FY "&amp;IF(MONTH(C101)&gt;=FY_Start,YEAR(C101),YEAR(C101)-1)&amp;"-"&amp;RIGHT(IF(MONTH(C101)&gt;=FY_Start,YEAR(C101)+1,YEAR(C101)),2))</f>
        <v/>
      </c>
      <c r="H101" s="369" t="n"/>
      <c r="I101" s="369" t="n"/>
      <c r="J101" s="369" t="n"/>
      <c r="K101" s="369" t="n"/>
      <c r="L101" s="369" t="n"/>
      <c r="M101" s="369" t="n"/>
      <c r="N101" s="369" t="n"/>
      <c r="O101" s="369" t="n"/>
      <c r="P101" s="369" t="n"/>
      <c r="Q101" s="369" t="n"/>
      <c r="R101" s="369" t="n"/>
      <c r="S101" s="369" t="n"/>
      <c r="T101" s="369" t="n"/>
      <c r="U101" s="369" t="n"/>
      <c r="V101" s="369" t="n"/>
      <c r="W101" s="369" t="n"/>
      <c r="X101" s="369" t="n"/>
      <c r="Y101" s="369" t="n"/>
      <c r="Z101" s="370" t="n"/>
      <c r="AA101" s="370" t="n"/>
      <c r="AB101" s="369" t="n"/>
      <c r="AC101" s="368">
        <f>IF($B101="","",IF(AB101="Closed",IF(AA101="","",AA101-C101),TODAY()-C101))</f>
        <v/>
      </c>
      <c r="AD101" s="369" t="n"/>
    </row>
    <row r="102" ht="15" customHeight="1" s="15">
      <c r="A102" s="368">
        <f>IF($B102="","",ROW()-5)</f>
        <v/>
      </c>
      <c r="B102" s="369" t="n"/>
      <c r="C102" s="370" t="n"/>
      <c r="D102" s="368">
        <f>IF($B102="","",TEXT(C102,"MMM"))</f>
        <v/>
      </c>
      <c r="E102" s="368">
        <f>IF($B102="","","W"&amp;TEXT(WEEKNUM(C102,2),"00"))</f>
        <v/>
      </c>
      <c r="F102" s="368">
        <f>IF($B102="","","Q"&amp;(INT(MOD(MONTH(C102)-FY_Start+12,12)/3)+1))</f>
        <v/>
      </c>
      <c r="G102" s="368">
        <f>IF($B102="","","FY "&amp;IF(MONTH(C102)&gt;=FY_Start,YEAR(C102),YEAR(C102)-1)&amp;"-"&amp;RIGHT(IF(MONTH(C102)&gt;=FY_Start,YEAR(C102)+1,YEAR(C102)),2))</f>
        <v/>
      </c>
      <c r="H102" s="369" t="n"/>
      <c r="I102" s="369" t="n"/>
      <c r="J102" s="369" t="n"/>
      <c r="K102" s="369" t="n"/>
      <c r="L102" s="369" t="n"/>
      <c r="M102" s="369" t="n"/>
      <c r="N102" s="369" t="n"/>
      <c r="O102" s="369" t="n"/>
      <c r="P102" s="369" t="n"/>
      <c r="Q102" s="369" t="n"/>
      <c r="R102" s="369" t="n"/>
      <c r="S102" s="369" t="n"/>
      <c r="T102" s="369" t="n"/>
      <c r="U102" s="369" t="n"/>
      <c r="V102" s="369" t="n"/>
      <c r="W102" s="369" t="n"/>
      <c r="X102" s="369" t="n"/>
      <c r="Y102" s="369" t="n"/>
      <c r="Z102" s="370" t="n"/>
      <c r="AA102" s="370" t="n"/>
      <c r="AB102" s="369" t="n"/>
      <c r="AC102" s="368">
        <f>IF($B102="","",IF(AB102="Closed",IF(AA102="","",AA102-C102),TODAY()-C102))</f>
        <v/>
      </c>
      <c r="AD102" s="369" t="n"/>
    </row>
    <row r="103" ht="15" customHeight="1" s="15">
      <c r="A103" s="368">
        <f>IF($B103="","",ROW()-5)</f>
        <v/>
      </c>
      <c r="B103" s="369" t="n"/>
      <c r="C103" s="370" t="n"/>
      <c r="D103" s="368">
        <f>IF($B103="","",TEXT(C103,"MMM"))</f>
        <v/>
      </c>
      <c r="E103" s="368">
        <f>IF($B103="","","W"&amp;TEXT(WEEKNUM(C103,2),"00"))</f>
        <v/>
      </c>
      <c r="F103" s="368">
        <f>IF($B103="","","Q"&amp;(INT(MOD(MONTH(C103)-FY_Start+12,12)/3)+1))</f>
        <v/>
      </c>
      <c r="G103" s="368">
        <f>IF($B103="","","FY "&amp;IF(MONTH(C103)&gt;=FY_Start,YEAR(C103),YEAR(C103)-1)&amp;"-"&amp;RIGHT(IF(MONTH(C103)&gt;=FY_Start,YEAR(C103)+1,YEAR(C103)),2))</f>
        <v/>
      </c>
      <c r="H103" s="369" t="n"/>
      <c r="I103" s="369" t="n"/>
      <c r="J103" s="369" t="n"/>
      <c r="K103" s="369" t="n"/>
      <c r="L103" s="369" t="n"/>
      <c r="M103" s="369" t="n"/>
      <c r="N103" s="369" t="n"/>
      <c r="O103" s="369" t="n"/>
      <c r="P103" s="369" t="n"/>
      <c r="Q103" s="369" t="n"/>
      <c r="R103" s="369" t="n"/>
      <c r="S103" s="369" t="n"/>
      <c r="T103" s="369" t="n"/>
      <c r="U103" s="369" t="n"/>
      <c r="V103" s="369" t="n"/>
      <c r="W103" s="369" t="n"/>
      <c r="X103" s="369" t="n"/>
      <c r="Y103" s="369" t="n"/>
      <c r="Z103" s="370" t="n"/>
      <c r="AA103" s="370" t="n"/>
      <c r="AB103" s="369" t="n"/>
      <c r="AC103" s="368">
        <f>IF($B103="","",IF(AB103="Closed",IF(AA103="","",AA103-C103),TODAY()-C103))</f>
        <v/>
      </c>
      <c r="AD103" s="369" t="n"/>
    </row>
    <row r="104" ht="15" customHeight="1" s="15">
      <c r="A104" s="368">
        <f>IF($B104="","",ROW()-5)</f>
        <v/>
      </c>
      <c r="B104" s="369" t="n"/>
      <c r="C104" s="370" t="n"/>
      <c r="D104" s="368">
        <f>IF($B104="","",TEXT(C104,"MMM"))</f>
        <v/>
      </c>
      <c r="E104" s="368">
        <f>IF($B104="","","W"&amp;TEXT(WEEKNUM(C104,2),"00"))</f>
        <v/>
      </c>
      <c r="F104" s="368">
        <f>IF($B104="","","Q"&amp;(INT(MOD(MONTH(C104)-FY_Start+12,12)/3)+1))</f>
        <v/>
      </c>
      <c r="G104" s="368">
        <f>IF($B104="","","FY "&amp;IF(MONTH(C104)&gt;=FY_Start,YEAR(C104),YEAR(C104)-1)&amp;"-"&amp;RIGHT(IF(MONTH(C104)&gt;=FY_Start,YEAR(C104)+1,YEAR(C104)),2))</f>
        <v/>
      </c>
      <c r="H104" s="369" t="n"/>
      <c r="I104" s="369" t="n"/>
      <c r="J104" s="369" t="n"/>
      <c r="K104" s="369" t="n"/>
      <c r="L104" s="369" t="n"/>
      <c r="M104" s="369" t="n"/>
      <c r="N104" s="369" t="n"/>
      <c r="O104" s="369" t="n"/>
      <c r="P104" s="369" t="n"/>
      <c r="Q104" s="369" t="n"/>
      <c r="R104" s="369" t="n"/>
      <c r="S104" s="369" t="n"/>
      <c r="T104" s="369" t="n"/>
      <c r="U104" s="369" t="n"/>
      <c r="V104" s="369" t="n"/>
      <c r="W104" s="369" t="n"/>
      <c r="X104" s="369" t="n"/>
      <c r="Y104" s="369" t="n"/>
      <c r="Z104" s="370" t="n"/>
      <c r="AA104" s="370" t="n"/>
      <c r="AB104" s="369" t="n"/>
      <c r="AC104" s="368">
        <f>IF($B104="","",IF(AB104="Closed",IF(AA104="","",AA104-C104),TODAY()-C104))</f>
        <v/>
      </c>
      <c r="AD104" s="369" t="n"/>
    </row>
    <row r="105" ht="15" customHeight="1" s="15">
      <c r="A105" s="368">
        <f>IF($B105="","",ROW()-5)</f>
        <v/>
      </c>
      <c r="B105" s="369" t="n"/>
      <c r="C105" s="370" t="n"/>
      <c r="D105" s="368">
        <f>IF($B105="","",TEXT(C105,"MMM"))</f>
        <v/>
      </c>
      <c r="E105" s="368">
        <f>IF($B105="","","W"&amp;TEXT(WEEKNUM(C105,2),"00"))</f>
        <v/>
      </c>
      <c r="F105" s="368">
        <f>IF($B105="","","Q"&amp;(INT(MOD(MONTH(C105)-FY_Start+12,12)/3)+1))</f>
        <v/>
      </c>
      <c r="G105" s="368">
        <f>IF($B105="","","FY "&amp;IF(MONTH(C105)&gt;=FY_Start,YEAR(C105),YEAR(C105)-1)&amp;"-"&amp;RIGHT(IF(MONTH(C105)&gt;=FY_Start,YEAR(C105)+1,YEAR(C105)),2))</f>
        <v/>
      </c>
      <c r="H105" s="369" t="n"/>
      <c r="I105" s="369" t="n"/>
      <c r="J105" s="369" t="n"/>
      <c r="K105" s="369" t="n"/>
      <c r="L105" s="369" t="n"/>
      <c r="M105" s="369" t="n"/>
      <c r="N105" s="369" t="n"/>
      <c r="O105" s="369" t="n"/>
      <c r="P105" s="369" t="n"/>
      <c r="Q105" s="369" t="n"/>
      <c r="R105" s="369" t="n"/>
      <c r="S105" s="369" t="n"/>
      <c r="T105" s="369" t="n"/>
      <c r="U105" s="369" t="n"/>
      <c r="V105" s="369" t="n"/>
      <c r="W105" s="369" t="n"/>
      <c r="X105" s="369" t="n"/>
      <c r="Y105" s="369" t="n"/>
      <c r="Z105" s="370" t="n"/>
      <c r="AA105" s="370" t="n"/>
      <c r="AB105" s="369" t="n"/>
      <c r="AC105" s="368">
        <f>IF($B105="","",IF(AB105="Closed",IF(AA105="","",AA105-C105),TODAY()-C105))</f>
        <v/>
      </c>
      <c r="AD105" s="369" t="n"/>
    </row>
    <row r="106" ht="15" customHeight="1" s="15">
      <c r="A106" s="368">
        <f>IF($B106="","",ROW()-5)</f>
        <v/>
      </c>
      <c r="B106" s="369" t="n"/>
      <c r="C106" s="370" t="n"/>
      <c r="D106" s="368">
        <f>IF($B106="","",TEXT(C106,"MMM"))</f>
        <v/>
      </c>
      <c r="E106" s="368">
        <f>IF($B106="","","W"&amp;TEXT(WEEKNUM(C106,2),"00"))</f>
        <v/>
      </c>
      <c r="F106" s="368">
        <f>IF($B106="","","Q"&amp;(INT(MOD(MONTH(C106)-FY_Start+12,12)/3)+1))</f>
        <v/>
      </c>
      <c r="G106" s="368">
        <f>IF($B106="","","FY "&amp;IF(MONTH(C106)&gt;=FY_Start,YEAR(C106),YEAR(C106)-1)&amp;"-"&amp;RIGHT(IF(MONTH(C106)&gt;=FY_Start,YEAR(C106)+1,YEAR(C106)),2))</f>
        <v/>
      </c>
      <c r="H106" s="369" t="n"/>
      <c r="I106" s="369" t="n"/>
      <c r="J106" s="369" t="n"/>
      <c r="K106" s="369" t="n"/>
      <c r="L106" s="369" t="n"/>
      <c r="M106" s="369" t="n"/>
      <c r="N106" s="369" t="n"/>
      <c r="O106" s="369" t="n"/>
      <c r="P106" s="369" t="n"/>
      <c r="Q106" s="369" t="n"/>
      <c r="R106" s="369" t="n"/>
      <c r="S106" s="369" t="n"/>
      <c r="T106" s="369" t="n"/>
      <c r="U106" s="369" t="n"/>
      <c r="V106" s="369" t="n"/>
      <c r="W106" s="369" t="n"/>
      <c r="X106" s="369" t="n"/>
      <c r="Y106" s="369" t="n"/>
      <c r="Z106" s="370" t="n"/>
      <c r="AA106" s="370" t="n"/>
      <c r="AB106" s="369" t="n"/>
      <c r="AC106" s="368">
        <f>IF($B106="","",IF(AB106="Closed",IF(AA106="","",AA106-C106),TODAY()-C106))</f>
        <v/>
      </c>
      <c r="AD106" s="369" t="n"/>
    </row>
    <row r="107" ht="15" customHeight="1" s="15">
      <c r="A107" s="368">
        <f>IF($B107="","",ROW()-5)</f>
        <v/>
      </c>
      <c r="B107" s="369" t="n"/>
      <c r="C107" s="370" t="n"/>
      <c r="D107" s="368">
        <f>IF($B107="","",TEXT(C107,"MMM"))</f>
        <v/>
      </c>
      <c r="E107" s="368">
        <f>IF($B107="","","W"&amp;TEXT(WEEKNUM(C107,2),"00"))</f>
        <v/>
      </c>
      <c r="F107" s="368">
        <f>IF($B107="","","Q"&amp;(INT(MOD(MONTH(C107)-FY_Start+12,12)/3)+1))</f>
        <v/>
      </c>
      <c r="G107" s="368">
        <f>IF($B107="","","FY "&amp;IF(MONTH(C107)&gt;=FY_Start,YEAR(C107),YEAR(C107)-1)&amp;"-"&amp;RIGHT(IF(MONTH(C107)&gt;=FY_Start,YEAR(C107)+1,YEAR(C107)),2))</f>
        <v/>
      </c>
      <c r="H107" s="369" t="n"/>
      <c r="I107" s="369" t="n"/>
      <c r="J107" s="369" t="n"/>
      <c r="K107" s="369" t="n"/>
      <c r="L107" s="369" t="n"/>
      <c r="M107" s="369" t="n"/>
      <c r="N107" s="369" t="n"/>
      <c r="O107" s="369" t="n"/>
      <c r="P107" s="369" t="n"/>
      <c r="Q107" s="369" t="n"/>
      <c r="R107" s="369" t="n"/>
      <c r="S107" s="369" t="n"/>
      <c r="T107" s="369" t="n"/>
      <c r="U107" s="369" t="n"/>
      <c r="V107" s="369" t="n"/>
      <c r="W107" s="369" t="n"/>
      <c r="X107" s="369" t="n"/>
      <c r="Y107" s="369" t="n"/>
      <c r="Z107" s="370" t="n"/>
      <c r="AA107" s="370" t="n"/>
      <c r="AB107" s="369" t="n"/>
      <c r="AC107" s="368">
        <f>IF($B107="","",IF(AB107="Closed",IF(AA107="","",AA107-C107),TODAY()-C107))</f>
        <v/>
      </c>
      <c r="AD107" s="369" t="n"/>
    </row>
    <row r="108" ht="15" customHeight="1" s="15">
      <c r="A108" s="368">
        <f>IF($B108="","",ROW()-5)</f>
        <v/>
      </c>
      <c r="B108" s="369" t="n"/>
      <c r="C108" s="370" t="n"/>
      <c r="D108" s="368">
        <f>IF($B108="","",TEXT(C108,"MMM"))</f>
        <v/>
      </c>
      <c r="E108" s="368">
        <f>IF($B108="","","W"&amp;TEXT(WEEKNUM(C108,2),"00"))</f>
        <v/>
      </c>
      <c r="F108" s="368">
        <f>IF($B108="","","Q"&amp;(INT(MOD(MONTH(C108)-FY_Start+12,12)/3)+1))</f>
        <v/>
      </c>
      <c r="G108" s="368">
        <f>IF($B108="","","FY "&amp;IF(MONTH(C108)&gt;=FY_Start,YEAR(C108),YEAR(C108)-1)&amp;"-"&amp;RIGHT(IF(MONTH(C108)&gt;=FY_Start,YEAR(C108)+1,YEAR(C108)),2))</f>
        <v/>
      </c>
      <c r="H108" s="369" t="n"/>
      <c r="I108" s="369" t="n"/>
      <c r="J108" s="369" t="n"/>
      <c r="K108" s="369" t="n"/>
      <c r="L108" s="369" t="n"/>
      <c r="M108" s="369" t="n"/>
      <c r="N108" s="369" t="n"/>
      <c r="O108" s="369" t="n"/>
      <c r="P108" s="369" t="n"/>
      <c r="Q108" s="369" t="n"/>
      <c r="R108" s="369" t="n"/>
      <c r="S108" s="369" t="n"/>
      <c r="T108" s="369" t="n"/>
      <c r="U108" s="369" t="n"/>
      <c r="V108" s="369" t="n"/>
      <c r="W108" s="369" t="n"/>
      <c r="X108" s="369" t="n"/>
      <c r="Y108" s="369" t="n"/>
      <c r="Z108" s="370" t="n"/>
      <c r="AA108" s="370" t="n"/>
      <c r="AB108" s="369" t="n"/>
      <c r="AC108" s="368">
        <f>IF($B108="","",IF(AB108="Closed",IF(AA108="","",AA108-C108),TODAY()-C108))</f>
        <v/>
      </c>
      <c r="AD108" s="369" t="n"/>
    </row>
    <row r="109" ht="15" customHeight="1" s="15">
      <c r="A109" s="368">
        <f>IF($B109="","",ROW()-5)</f>
        <v/>
      </c>
      <c r="B109" s="369" t="n"/>
      <c r="C109" s="370" t="n"/>
      <c r="D109" s="368">
        <f>IF($B109="","",TEXT(C109,"MMM"))</f>
        <v/>
      </c>
      <c r="E109" s="368">
        <f>IF($B109="","","W"&amp;TEXT(WEEKNUM(C109,2),"00"))</f>
        <v/>
      </c>
      <c r="F109" s="368">
        <f>IF($B109="","","Q"&amp;(INT(MOD(MONTH(C109)-FY_Start+12,12)/3)+1))</f>
        <v/>
      </c>
      <c r="G109" s="368">
        <f>IF($B109="","","FY "&amp;IF(MONTH(C109)&gt;=FY_Start,YEAR(C109),YEAR(C109)-1)&amp;"-"&amp;RIGHT(IF(MONTH(C109)&gt;=FY_Start,YEAR(C109)+1,YEAR(C109)),2))</f>
        <v/>
      </c>
      <c r="H109" s="369" t="n"/>
      <c r="I109" s="369" t="n"/>
      <c r="J109" s="369" t="n"/>
      <c r="K109" s="369" t="n"/>
      <c r="L109" s="369" t="n"/>
      <c r="M109" s="369" t="n"/>
      <c r="N109" s="369" t="n"/>
      <c r="O109" s="369" t="n"/>
      <c r="P109" s="369" t="n"/>
      <c r="Q109" s="369" t="n"/>
      <c r="R109" s="369" t="n"/>
      <c r="S109" s="369" t="n"/>
      <c r="T109" s="369" t="n"/>
      <c r="U109" s="369" t="n"/>
      <c r="V109" s="369" t="n"/>
      <c r="W109" s="369" t="n"/>
      <c r="X109" s="369" t="n"/>
      <c r="Y109" s="369" t="n"/>
      <c r="Z109" s="370" t="n"/>
      <c r="AA109" s="370" t="n"/>
      <c r="AB109" s="369" t="n"/>
      <c r="AC109" s="368">
        <f>IF($B109="","",IF(AB109="Closed",IF(AA109="","",AA109-C109),TODAY()-C109))</f>
        <v/>
      </c>
      <c r="AD109" s="369" t="n"/>
    </row>
    <row r="110" ht="15" customHeight="1" s="15">
      <c r="A110" s="368">
        <f>IF($B110="","",ROW()-5)</f>
        <v/>
      </c>
      <c r="B110" s="369" t="n"/>
      <c r="C110" s="370" t="n"/>
      <c r="D110" s="368">
        <f>IF($B110="","",TEXT(C110,"MMM"))</f>
        <v/>
      </c>
      <c r="E110" s="368">
        <f>IF($B110="","","W"&amp;TEXT(WEEKNUM(C110,2),"00"))</f>
        <v/>
      </c>
      <c r="F110" s="368">
        <f>IF($B110="","","Q"&amp;(INT(MOD(MONTH(C110)-FY_Start+12,12)/3)+1))</f>
        <v/>
      </c>
      <c r="G110" s="368">
        <f>IF($B110="","","FY "&amp;IF(MONTH(C110)&gt;=FY_Start,YEAR(C110),YEAR(C110)-1)&amp;"-"&amp;RIGHT(IF(MONTH(C110)&gt;=FY_Start,YEAR(C110)+1,YEAR(C110)),2))</f>
        <v/>
      </c>
      <c r="H110" s="369" t="n"/>
      <c r="I110" s="369" t="n"/>
      <c r="J110" s="369" t="n"/>
      <c r="K110" s="369" t="n"/>
      <c r="L110" s="369" t="n"/>
      <c r="M110" s="369" t="n"/>
      <c r="N110" s="369" t="n"/>
      <c r="O110" s="369" t="n"/>
      <c r="P110" s="369" t="n"/>
      <c r="Q110" s="369" t="n"/>
      <c r="R110" s="369" t="n"/>
      <c r="S110" s="369" t="n"/>
      <c r="T110" s="369" t="n"/>
      <c r="U110" s="369" t="n"/>
      <c r="V110" s="369" t="n"/>
      <c r="W110" s="369" t="n"/>
      <c r="X110" s="369" t="n"/>
      <c r="Y110" s="369" t="n"/>
      <c r="Z110" s="370" t="n"/>
      <c r="AA110" s="370" t="n"/>
      <c r="AB110" s="369" t="n"/>
      <c r="AC110" s="368">
        <f>IF($B110="","",IF(AB110="Closed",IF(AA110="","",AA110-C110),TODAY()-C110))</f>
        <v/>
      </c>
      <c r="AD110" s="369" t="n"/>
    </row>
    <row r="111" ht="15" customHeight="1" s="15">
      <c r="A111" s="368">
        <f>IF($B111="","",ROW()-5)</f>
        <v/>
      </c>
      <c r="B111" s="369" t="n"/>
      <c r="C111" s="370" t="n"/>
      <c r="D111" s="368">
        <f>IF($B111="","",TEXT(C111,"MMM"))</f>
        <v/>
      </c>
      <c r="E111" s="368">
        <f>IF($B111="","","W"&amp;TEXT(WEEKNUM(C111,2),"00"))</f>
        <v/>
      </c>
      <c r="F111" s="368">
        <f>IF($B111="","","Q"&amp;(INT(MOD(MONTH(C111)-FY_Start+12,12)/3)+1))</f>
        <v/>
      </c>
      <c r="G111" s="368">
        <f>IF($B111="","","FY "&amp;IF(MONTH(C111)&gt;=FY_Start,YEAR(C111),YEAR(C111)-1)&amp;"-"&amp;RIGHT(IF(MONTH(C111)&gt;=FY_Start,YEAR(C111)+1,YEAR(C111)),2))</f>
        <v/>
      </c>
      <c r="H111" s="369" t="n"/>
      <c r="I111" s="369" t="n"/>
      <c r="J111" s="369" t="n"/>
      <c r="K111" s="369" t="n"/>
      <c r="L111" s="369" t="n"/>
      <c r="M111" s="369" t="n"/>
      <c r="N111" s="369" t="n"/>
      <c r="O111" s="369" t="n"/>
      <c r="P111" s="369" t="n"/>
      <c r="Q111" s="369" t="n"/>
      <c r="R111" s="369" t="n"/>
      <c r="S111" s="369" t="n"/>
      <c r="T111" s="369" t="n"/>
      <c r="U111" s="369" t="n"/>
      <c r="V111" s="369" t="n"/>
      <c r="W111" s="369" t="n"/>
      <c r="X111" s="369" t="n"/>
      <c r="Y111" s="369" t="n"/>
      <c r="Z111" s="370" t="n"/>
      <c r="AA111" s="370" t="n"/>
      <c r="AB111" s="369" t="n"/>
      <c r="AC111" s="368">
        <f>IF($B111="","",IF(AB111="Closed",IF(AA111="","",AA111-C111),TODAY()-C111))</f>
        <v/>
      </c>
      <c r="AD111" s="369" t="n"/>
    </row>
    <row r="112" ht="15" customHeight="1" s="15">
      <c r="A112" s="368">
        <f>IF($B112="","",ROW()-5)</f>
        <v/>
      </c>
      <c r="B112" s="369" t="n"/>
      <c r="C112" s="370" t="n"/>
      <c r="D112" s="368">
        <f>IF($B112="","",TEXT(C112,"MMM"))</f>
        <v/>
      </c>
      <c r="E112" s="368">
        <f>IF($B112="","","W"&amp;TEXT(WEEKNUM(C112,2),"00"))</f>
        <v/>
      </c>
      <c r="F112" s="368">
        <f>IF($B112="","","Q"&amp;(INT(MOD(MONTH(C112)-FY_Start+12,12)/3)+1))</f>
        <v/>
      </c>
      <c r="G112" s="368">
        <f>IF($B112="","","FY "&amp;IF(MONTH(C112)&gt;=FY_Start,YEAR(C112),YEAR(C112)-1)&amp;"-"&amp;RIGHT(IF(MONTH(C112)&gt;=FY_Start,YEAR(C112)+1,YEAR(C112)),2))</f>
        <v/>
      </c>
      <c r="H112" s="369" t="n"/>
      <c r="I112" s="369" t="n"/>
      <c r="J112" s="369" t="n"/>
      <c r="K112" s="369" t="n"/>
      <c r="L112" s="369" t="n"/>
      <c r="M112" s="369" t="n"/>
      <c r="N112" s="369" t="n"/>
      <c r="O112" s="369" t="n"/>
      <c r="P112" s="369" t="n"/>
      <c r="Q112" s="369" t="n"/>
      <c r="R112" s="369" t="n"/>
      <c r="S112" s="369" t="n"/>
      <c r="T112" s="369" t="n"/>
      <c r="U112" s="369" t="n"/>
      <c r="V112" s="369" t="n"/>
      <c r="W112" s="369" t="n"/>
      <c r="X112" s="369" t="n"/>
      <c r="Y112" s="369" t="n"/>
      <c r="Z112" s="370" t="n"/>
      <c r="AA112" s="370" t="n"/>
      <c r="AB112" s="369" t="n"/>
      <c r="AC112" s="368">
        <f>IF($B112="","",IF(AB112="Closed",IF(AA112="","",AA112-C112),TODAY()-C112))</f>
        <v/>
      </c>
      <c r="AD112" s="369" t="n"/>
    </row>
    <row r="113" ht="15" customHeight="1" s="15">
      <c r="A113" s="368">
        <f>IF($B113="","",ROW()-5)</f>
        <v/>
      </c>
      <c r="B113" s="369" t="n"/>
      <c r="C113" s="370" t="n"/>
      <c r="D113" s="368">
        <f>IF($B113="","",TEXT(C113,"MMM"))</f>
        <v/>
      </c>
      <c r="E113" s="368">
        <f>IF($B113="","","W"&amp;TEXT(WEEKNUM(C113,2),"00"))</f>
        <v/>
      </c>
      <c r="F113" s="368">
        <f>IF($B113="","","Q"&amp;(INT(MOD(MONTH(C113)-FY_Start+12,12)/3)+1))</f>
        <v/>
      </c>
      <c r="G113" s="368">
        <f>IF($B113="","","FY "&amp;IF(MONTH(C113)&gt;=FY_Start,YEAR(C113),YEAR(C113)-1)&amp;"-"&amp;RIGHT(IF(MONTH(C113)&gt;=FY_Start,YEAR(C113)+1,YEAR(C113)),2))</f>
        <v/>
      </c>
      <c r="H113" s="369" t="n"/>
      <c r="I113" s="369" t="n"/>
      <c r="J113" s="369" t="n"/>
      <c r="K113" s="369" t="n"/>
      <c r="L113" s="369" t="n"/>
      <c r="M113" s="369" t="n"/>
      <c r="N113" s="369" t="n"/>
      <c r="O113" s="369" t="n"/>
      <c r="P113" s="369" t="n"/>
      <c r="Q113" s="369" t="n"/>
      <c r="R113" s="369" t="n"/>
      <c r="S113" s="369" t="n"/>
      <c r="T113" s="369" t="n"/>
      <c r="U113" s="369" t="n"/>
      <c r="V113" s="369" t="n"/>
      <c r="W113" s="369" t="n"/>
      <c r="X113" s="369" t="n"/>
      <c r="Y113" s="369" t="n"/>
      <c r="Z113" s="370" t="n"/>
      <c r="AA113" s="370" t="n"/>
      <c r="AB113" s="369" t="n"/>
      <c r="AC113" s="368">
        <f>IF($B113="","",IF(AB113="Closed",IF(AA113="","",AA113-C113),TODAY()-C113))</f>
        <v/>
      </c>
      <c r="AD113" s="369" t="n"/>
    </row>
    <row r="114" ht="15" customHeight="1" s="15">
      <c r="A114" s="368">
        <f>IF($B114="","",ROW()-5)</f>
        <v/>
      </c>
      <c r="B114" s="369" t="n"/>
      <c r="C114" s="370" t="n"/>
      <c r="D114" s="368">
        <f>IF($B114="","",TEXT(C114,"MMM"))</f>
        <v/>
      </c>
      <c r="E114" s="368">
        <f>IF($B114="","","W"&amp;TEXT(WEEKNUM(C114,2),"00"))</f>
        <v/>
      </c>
      <c r="F114" s="368">
        <f>IF($B114="","","Q"&amp;(INT(MOD(MONTH(C114)-FY_Start+12,12)/3)+1))</f>
        <v/>
      </c>
      <c r="G114" s="368">
        <f>IF($B114="","","FY "&amp;IF(MONTH(C114)&gt;=FY_Start,YEAR(C114),YEAR(C114)-1)&amp;"-"&amp;RIGHT(IF(MONTH(C114)&gt;=FY_Start,YEAR(C114)+1,YEAR(C114)),2))</f>
        <v/>
      </c>
      <c r="H114" s="369" t="n"/>
      <c r="I114" s="369" t="n"/>
      <c r="J114" s="369" t="n"/>
      <c r="K114" s="369" t="n"/>
      <c r="L114" s="369" t="n"/>
      <c r="M114" s="369" t="n"/>
      <c r="N114" s="369" t="n"/>
      <c r="O114" s="369" t="n"/>
      <c r="P114" s="369" t="n"/>
      <c r="Q114" s="369" t="n"/>
      <c r="R114" s="369" t="n"/>
      <c r="S114" s="369" t="n"/>
      <c r="T114" s="369" t="n"/>
      <c r="U114" s="369" t="n"/>
      <c r="V114" s="369" t="n"/>
      <c r="W114" s="369" t="n"/>
      <c r="X114" s="369" t="n"/>
      <c r="Y114" s="369" t="n"/>
      <c r="Z114" s="370" t="n"/>
      <c r="AA114" s="370" t="n"/>
      <c r="AB114" s="369" t="n"/>
      <c r="AC114" s="368">
        <f>IF($B114="","",IF(AB114="Closed",IF(AA114="","",AA114-C114),TODAY()-C114))</f>
        <v/>
      </c>
      <c r="AD114" s="369" t="n"/>
    </row>
    <row r="115" ht="15" customHeight="1" s="15">
      <c r="A115" s="368">
        <f>IF($B115="","",ROW()-5)</f>
        <v/>
      </c>
      <c r="B115" s="369" t="n"/>
      <c r="C115" s="370" t="n"/>
      <c r="D115" s="368">
        <f>IF($B115="","",TEXT(C115,"MMM"))</f>
        <v/>
      </c>
      <c r="E115" s="368">
        <f>IF($B115="","","W"&amp;TEXT(WEEKNUM(C115,2),"00"))</f>
        <v/>
      </c>
      <c r="F115" s="368">
        <f>IF($B115="","","Q"&amp;(INT(MOD(MONTH(C115)-FY_Start+12,12)/3)+1))</f>
        <v/>
      </c>
      <c r="G115" s="368">
        <f>IF($B115="","","FY "&amp;IF(MONTH(C115)&gt;=FY_Start,YEAR(C115),YEAR(C115)-1)&amp;"-"&amp;RIGHT(IF(MONTH(C115)&gt;=FY_Start,YEAR(C115)+1,YEAR(C115)),2))</f>
        <v/>
      </c>
      <c r="H115" s="369" t="n"/>
      <c r="I115" s="369" t="n"/>
      <c r="J115" s="369" t="n"/>
      <c r="K115" s="369" t="n"/>
      <c r="L115" s="369" t="n"/>
      <c r="M115" s="369" t="n"/>
      <c r="N115" s="369" t="n"/>
      <c r="O115" s="369" t="n"/>
      <c r="P115" s="369" t="n"/>
      <c r="Q115" s="369" t="n"/>
      <c r="R115" s="369" t="n"/>
      <c r="S115" s="369" t="n"/>
      <c r="T115" s="369" t="n"/>
      <c r="U115" s="369" t="n"/>
      <c r="V115" s="369" t="n"/>
      <c r="W115" s="369" t="n"/>
      <c r="X115" s="369" t="n"/>
      <c r="Y115" s="369" t="n"/>
      <c r="Z115" s="370" t="n"/>
      <c r="AA115" s="370" t="n"/>
      <c r="AB115" s="369" t="n"/>
      <c r="AC115" s="368">
        <f>IF($B115="","",IF(AB115="Closed",IF(AA115="","",AA115-C115),TODAY()-C115))</f>
        <v/>
      </c>
      <c r="AD115" s="369" t="n"/>
    </row>
    <row r="116" ht="15" customHeight="1" s="15">
      <c r="A116" s="368">
        <f>IF($B116="","",ROW()-5)</f>
        <v/>
      </c>
      <c r="B116" s="369" t="n"/>
      <c r="C116" s="370" t="n"/>
      <c r="D116" s="368">
        <f>IF($B116="","",TEXT(C116,"MMM"))</f>
        <v/>
      </c>
      <c r="E116" s="368">
        <f>IF($B116="","","W"&amp;TEXT(WEEKNUM(C116,2),"00"))</f>
        <v/>
      </c>
      <c r="F116" s="368">
        <f>IF($B116="","","Q"&amp;(INT(MOD(MONTH(C116)-FY_Start+12,12)/3)+1))</f>
        <v/>
      </c>
      <c r="G116" s="368">
        <f>IF($B116="","","FY "&amp;IF(MONTH(C116)&gt;=FY_Start,YEAR(C116),YEAR(C116)-1)&amp;"-"&amp;RIGHT(IF(MONTH(C116)&gt;=FY_Start,YEAR(C116)+1,YEAR(C116)),2))</f>
        <v/>
      </c>
      <c r="H116" s="369" t="n"/>
      <c r="I116" s="369" t="n"/>
      <c r="J116" s="369" t="n"/>
      <c r="K116" s="369" t="n"/>
      <c r="L116" s="369" t="n"/>
      <c r="M116" s="369" t="n"/>
      <c r="N116" s="369" t="n"/>
      <c r="O116" s="369" t="n"/>
      <c r="P116" s="369" t="n"/>
      <c r="Q116" s="369" t="n"/>
      <c r="R116" s="369" t="n"/>
      <c r="S116" s="369" t="n"/>
      <c r="T116" s="369" t="n"/>
      <c r="U116" s="369" t="n"/>
      <c r="V116" s="369" t="n"/>
      <c r="W116" s="369" t="n"/>
      <c r="X116" s="369" t="n"/>
      <c r="Y116" s="369" t="n"/>
      <c r="Z116" s="370" t="n"/>
      <c r="AA116" s="370" t="n"/>
      <c r="AB116" s="369" t="n"/>
      <c r="AC116" s="368">
        <f>IF($B116="","",IF(AB116="Closed",IF(AA116="","",AA116-C116),TODAY()-C116))</f>
        <v/>
      </c>
      <c r="AD116" s="369" t="n"/>
    </row>
    <row r="117" ht="15" customHeight="1" s="15">
      <c r="A117" s="368">
        <f>IF($B117="","",ROW()-5)</f>
        <v/>
      </c>
      <c r="B117" s="369" t="n"/>
      <c r="C117" s="370" t="n"/>
      <c r="D117" s="368">
        <f>IF($B117="","",TEXT(C117,"MMM"))</f>
        <v/>
      </c>
      <c r="E117" s="368">
        <f>IF($B117="","","W"&amp;TEXT(WEEKNUM(C117,2),"00"))</f>
        <v/>
      </c>
      <c r="F117" s="368">
        <f>IF($B117="","","Q"&amp;(INT(MOD(MONTH(C117)-FY_Start+12,12)/3)+1))</f>
        <v/>
      </c>
      <c r="G117" s="368">
        <f>IF($B117="","","FY "&amp;IF(MONTH(C117)&gt;=FY_Start,YEAR(C117),YEAR(C117)-1)&amp;"-"&amp;RIGHT(IF(MONTH(C117)&gt;=FY_Start,YEAR(C117)+1,YEAR(C117)),2))</f>
        <v/>
      </c>
      <c r="H117" s="369" t="n"/>
      <c r="I117" s="369" t="n"/>
      <c r="J117" s="369" t="n"/>
      <c r="K117" s="369" t="n"/>
      <c r="L117" s="369" t="n"/>
      <c r="M117" s="369" t="n"/>
      <c r="N117" s="369" t="n"/>
      <c r="O117" s="369" t="n"/>
      <c r="P117" s="369" t="n"/>
      <c r="Q117" s="369" t="n"/>
      <c r="R117" s="369" t="n"/>
      <c r="S117" s="369" t="n"/>
      <c r="T117" s="369" t="n"/>
      <c r="U117" s="369" t="n"/>
      <c r="V117" s="369" t="n"/>
      <c r="W117" s="369" t="n"/>
      <c r="X117" s="369" t="n"/>
      <c r="Y117" s="369" t="n"/>
      <c r="Z117" s="370" t="n"/>
      <c r="AA117" s="370" t="n"/>
      <c r="AB117" s="369" t="n"/>
      <c r="AC117" s="368">
        <f>IF($B117="","",IF(AB117="Closed",IF(AA117="","",AA117-C117),TODAY()-C117))</f>
        <v/>
      </c>
      <c r="AD117" s="369" t="n"/>
    </row>
    <row r="118" ht="15" customHeight="1" s="15">
      <c r="A118" s="368">
        <f>IF($B118="","",ROW()-5)</f>
        <v/>
      </c>
      <c r="B118" s="369" t="n"/>
      <c r="C118" s="370" t="n"/>
      <c r="D118" s="368">
        <f>IF($B118="","",TEXT(C118,"MMM"))</f>
        <v/>
      </c>
      <c r="E118" s="368">
        <f>IF($B118="","","W"&amp;TEXT(WEEKNUM(C118,2),"00"))</f>
        <v/>
      </c>
      <c r="F118" s="368">
        <f>IF($B118="","","Q"&amp;(INT(MOD(MONTH(C118)-FY_Start+12,12)/3)+1))</f>
        <v/>
      </c>
      <c r="G118" s="368">
        <f>IF($B118="","","FY "&amp;IF(MONTH(C118)&gt;=FY_Start,YEAR(C118),YEAR(C118)-1)&amp;"-"&amp;RIGHT(IF(MONTH(C118)&gt;=FY_Start,YEAR(C118)+1,YEAR(C118)),2))</f>
        <v/>
      </c>
      <c r="H118" s="369" t="n"/>
      <c r="I118" s="369" t="n"/>
      <c r="J118" s="369" t="n"/>
      <c r="K118" s="369" t="n"/>
      <c r="L118" s="369" t="n"/>
      <c r="M118" s="369" t="n"/>
      <c r="N118" s="369" t="n"/>
      <c r="O118" s="369" t="n"/>
      <c r="P118" s="369" t="n"/>
      <c r="Q118" s="369" t="n"/>
      <c r="R118" s="369" t="n"/>
      <c r="S118" s="369" t="n"/>
      <c r="T118" s="369" t="n"/>
      <c r="U118" s="369" t="n"/>
      <c r="V118" s="369" t="n"/>
      <c r="W118" s="369" t="n"/>
      <c r="X118" s="369" t="n"/>
      <c r="Y118" s="369" t="n"/>
      <c r="Z118" s="370" t="n"/>
      <c r="AA118" s="370" t="n"/>
      <c r="AB118" s="369" t="n"/>
      <c r="AC118" s="368">
        <f>IF($B118="","",IF(AB118="Closed",IF(AA118="","",AA118-C118),TODAY()-C118))</f>
        <v/>
      </c>
      <c r="AD118" s="369" t="n"/>
    </row>
    <row r="119" ht="15" customHeight="1" s="15">
      <c r="A119" s="368">
        <f>IF($B119="","",ROW()-5)</f>
        <v/>
      </c>
      <c r="B119" s="369" t="n"/>
      <c r="C119" s="370" t="n"/>
      <c r="D119" s="368">
        <f>IF($B119="","",TEXT(C119,"MMM"))</f>
        <v/>
      </c>
      <c r="E119" s="368">
        <f>IF($B119="","","W"&amp;TEXT(WEEKNUM(C119,2),"00"))</f>
        <v/>
      </c>
      <c r="F119" s="368">
        <f>IF($B119="","","Q"&amp;(INT(MOD(MONTH(C119)-FY_Start+12,12)/3)+1))</f>
        <v/>
      </c>
      <c r="G119" s="368">
        <f>IF($B119="","","FY "&amp;IF(MONTH(C119)&gt;=FY_Start,YEAR(C119),YEAR(C119)-1)&amp;"-"&amp;RIGHT(IF(MONTH(C119)&gt;=FY_Start,YEAR(C119)+1,YEAR(C119)),2))</f>
        <v/>
      </c>
      <c r="H119" s="369" t="n"/>
      <c r="I119" s="369" t="n"/>
      <c r="J119" s="369" t="n"/>
      <c r="K119" s="369" t="n"/>
      <c r="L119" s="369" t="n"/>
      <c r="M119" s="369" t="n"/>
      <c r="N119" s="369" t="n"/>
      <c r="O119" s="369" t="n"/>
      <c r="P119" s="369" t="n"/>
      <c r="Q119" s="369" t="n"/>
      <c r="R119" s="369" t="n"/>
      <c r="S119" s="369" t="n"/>
      <c r="T119" s="369" t="n"/>
      <c r="U119" s="369" t="n"/>
      <c r="V119" s="369" t="n"/>
      <c r="W119" s="369" t="n"/>
      <c r="X119" s="369" t="n"/>
      <c r="Y119" s="369" t="n"/>
      <c r="Z119" s="370" t="n"/>
      <c r="AA119" s="370" t="n"/>
      <c r="AB119" s="369" t="n"/>
      <c r="AC119" s="368">
        <f>IF($B119="","",IF(AB119="Closed",IF(AA119="","",AA119-C119),TODAY()-C119))</f>
        <v/>
      </c>
      <c r="AD119" s="369" t="n"/>
    </row>
    <row r="120" ht="15" customHeight="1" s="15">
      <c r="A120" s="368">
        <f>IF($B120="","",ROW()-5)</f>
        <v/>
      </c>
      <c r="B120" s="369" t="n"/>
      <c r="C120" s="370" t="n"/>
      <c r="D120" s="368">
        <f>IF($B120="","",TEXT(C120,"MMM"))</f>
        <v/>
      </c>
      <c r="E120" s="368">
        <f>IF($B120="","","W"&amp;TEXT(WEEKNUM(C120,2),"00"))</f>
        <v/>
      </c>
      <c r="F120" s="368">
        <f>IF($B120="","","Q"&amp;(INT(MOD(MONTH(C120)-FY_Start+12,12)/3)+1))</f>
        <v/>
      </c>
      <c r="G120" s="368">
        <f>IF($B120="","","FY "&amp;IF(MONTH(C120)&gt;=FY_Start,YEAR(C120),YEAR(C120)-1)&amp;"-"&amp;RIGHT(IF(MONTH(C120)&gt;=FY_Start,YEAR(C120)+1,YEAR(C120)),2))</f>
        <v/>
      </c>
      <c r="H120" s="369" t="n"/>
      <c r="I120" s="369" t="n"/>
      <c r="J120" s="369" t="n"/>
      <c r="K120" s="369" t="n"/>
      <c r="L120" s="369" t="n"/>
      <c r="M120" s="369" t="n"/>
      <c r="N120" s="369" t="n"/>
      <c r="O120" s="369" t="n"/>
      <c r="P120" s="369" t="n"/>
      <c r="Q120" s="369" t="n"/>
      <c r="R120" s="369" t="n"/>
      <c r="S120" s="369" t="n"/>
      <c r="T120" s="369" t="n"/>
      <c r="U120" s="369" t="n"/>
      <c r="V120" s="369" t="n"/>
      <c r="W120" s="369" t="n"/>
      <c r="X120" s="369" t="n"/>
      <c r="Y120" s="369" t="n"/>
      <c r="Z120" s="370" t="n"/>
      <c r="AA120" s="370" t="n"/>
      <c r="AB120" s="369" t="n"/>
      <c r="AC120" s="368">
        <f>IF($B120="","",IF(AB120="Closed",IF(AA120="","",AA120-C120),TODAY()-C120))</f>
        <v/>
      </c>
      <c r="AD120" s="369" t="n"/>
    </row>
    <row r="121" ht="15" customHeight="1" s="15">
      <c r="A121" s="371">
        <f>IF($B121="","",ROW()-5)</f>
        <v/>
      </c>
      <c r="B121" s="371" t="n"/>
      <c r="C121" s="372" t="n"/>
      <c r="D121" s="371">
        <f>IF($B121="","",TEXT(C121,"MMM"))</f>
        <v/>
      </c>
      <c r="E121" s="371">
        <f>IF($B121="","","W"&amp;TEXT(WEEKNUM(C121,2),"00"))</f>
        <v/>
      </c>
      <c r="F121" s="371">
        <f>IF($B121="","","Q"&amp;(INT(MOD(MONTH(C121)-FY_Start+12,12)/3)+1))</f>
        <v/>
      </c>
      <c r="G121" s="371">
        <f>IF($B121="","","FY "&amp;IF(MONTH(C121)&gt;=FY_Start,YEAR(C121),YEAR(C121)-1)&amp;"-"&amp;RIGHT(IF(MONTH(C121)&gt;=FY_Start,YEAR(C121)+1,YEAR(C121)),2))</f>
        <v/>
      </c>
      <c r="H121" s="371" t="n"/>
      <c r="I121" s="371" t="n"/>
      <c r="J121" s="371" t="n"/>
      <c r="K121" s="371" t="n"/>
      <c r="L121" s="371" t="n"/>
      <c r="M121" s="371" t="n"/>
      <c r="N121" s="371" t="n"/>
      <c r="O121" s="371" t="n"/>
      <c r="P121" s="371" t="n"/>
      <c r="Q121" s="371" t="n"/>
      <c r="R121" s="371" t="n"/>
      <c r="S121" s="371" t="n"/>
      <c r="T121" s="371" t="n"/>
      <c r="U121" s="371" t="n"/>
      <c r="V121" s="371" t="n"/>
      <c r="W121" s="371" t="n"/>
      <c r="X121" s="371" t="n"/>
      <c r="Y121" s="371" t="n"/>
      <c r="Z121" s="372" t="n"/>
      <c r="AA121" s="372" t="n"/>
      <c r="AB121" s="371" t="n"/>
      <c r="AC121" s="371">
        <f>IF($B121="","",IF(AB121="Closed",IF(AA121="","",AA121-C121),TODAY()-C121))</f>
        <v/>
      </c>
      <c r="AD121" s="371" t="n"/>
    </row>
    <row r="122" ht="15" customHeight="1" s="15">
      <c r="A122" s="371">
        <f>IF($B122="","",ROW()-5)</f>
        <v/>
      </c>
      <c r="B122" s="371" t="n"/>
      <c r="C122" s="372" t="n"/>
      <c r="D122" s="371">
        <f>IF($B122="","",TEXT(C122,"MMM"))</f>
        <v/>
      </c>
      <c r="E122" s="371">
        <f>IF($B122="","","W"&amp;TEXT(WEEKNUM(C122,2),"00"))</f>
        <v/>
      </c>
      <c r="F122" s="371">
        <f>IF($B122="","","Q"&amp;(INT(MOD(MONTH(C122)-FY_Start+12,12)/3)+1))</f>
        <v/>
      </c>
      <c r="G122" s="371">
        <f>IF($B122="","","FY "&amp;IF(MONTH(C122)&gt;=FY_Start,YEAR(C122),YEAR(C122)-1)&amp;"-"&amp;RIGHT(IF(MONTH(C122)&gt;=FY_Start,YEAR(C122)+1,YEAR(C122)),2))</f>
        <v/>
      </c>
      <c r="H122" s="371" t="n"/>
      <c r="I122" s="371" t="n"/>
      <c r="J122" s="371" t="n"/>
      <c r="K122" s="371" t="n"/>
      <c r="L122" s="371" t="n"/>
      <c r="M122" s="371" t="n"/>
      <c r="N122" s="371" t="n"/>
      <c r="O122" s="371" t="n"/>
      <c r="P122" s="371" t="n"/>
      <c r="Q122" s="371" t="n"/>
      <c r="R122" s="371" t="n"/>
      <c r="S122" s="371" t="n"/>
      <c r="T122" s="371" t="n"/>
      <c r="U122" s="371" t="n"/>
      <c r="V122" s="371" t="n"/>
      <c r="W122" s="371" t="n"/>
      <c r="X122" s="371" t="n"/>
      <c r="Y122" s="371" t="n"/>
      <c r="Z122" s="372" t="n"/>
      <c r="AA122" s="372" t="n"/>
      <c r="AB122" s="371" t="n"/>
      <c r="AC122" s="371">
        <f>IF($B122="","",IF(AB122="Closed",IF(AA122="","",AA122-C122),TODAY()-C122))</f>
        <v/>
      </c>
      <c r="AD122" s="371" t="n"/>
    </row>
    <row r="123" ht="15" customHeight="1" s="15">
      <c r="A123" s="371">
        <f>IF($B123="","",ROW()-5)</f>
        <v/>
      </c>
      <c r="B123" s="371" t="n"/>
      <c r="C123" s="372" t="n"/>
      <c r="D123" s="371">
        <f>IF($B123="","",TEXT(C123,"MMM"))</f>
        <v/>
      </c>
      <c r="E123" s="371">
        <f>IF($B123="","","W"&amp;TEXT(WEEKNUM(C123,2),"00"))</f>
        <v/>
      </c>
      <c r="F123" s="371">
        <f>IF($B123="","","Q"&amp;(INT(MOD(MONTH(C123)-FY_Start+12,12)/3)+1))</f>
        <v/>
      </c>
      <c r="G123" s="371">
        <f>IF($B123="","","FY "&amp;IF(MONTH(C123)&gt;=FY_Start,YEAR(C123),YEAR(C123)-1)&amp;"-"&amp;RIGHT(IF(MONTH(C123)&gt;=FY_Start,YEAR(C123)+1,YEAR(C123)),2))</f>
        <v/>
      </c>
      <c r="H123" s="371" t="n"/>
      <c r="I123" s="371" t="n"/>
      <c r="J123" s="371" t="n"/>
      <c r="K123" s="371" t="n"/>
      <c r="L123" s="371" t="n"/>
      <c r="M123" s="371" t="n"/>
      <c r="N123" s="371" t="n"/>
      <c r="O123" s="371" t="n"/>
      <c r="P123" s="371" t="n"/>
      <c r="Q123" s="371" t="n"/>
      <c r="R123" s="371" t="n"/>
      <c r="S123" s="371" t="n"/>
      <c r="T123" s="371" t="n"/>
      <c r="U123" s="371" t="n"/>
      <c r="V123" s="371" t="n"/>
      <c r="W123" s="371" t="n"/>
      <c r="X123" s="371" t="n"/>
      <c r="Y123" s="371" t="n"/>
      <c r="Z123" s="372" t="n"/>
      <c r="AA123" s="372" t="n"/>
      <c r="AB123" s="371" t="n"/>
      <c r="AC123" s="371">
        <f>IF($B123="","",IF(AB123="Closed",IF(AA123="","",AA123-C123),TODAY()-C123))</f>
        <v/>
      </c>
      <c r="AD123" s="371" t="n"/>
    </row>
    <row r="124" ht="15" customHeight="1" s="15">
      <c r="A124" s="371">
        <f>IF($B124="","",ROW()-5)</f>
        <v/>
      </c>
      <c r="B124" s="371" t="n"/>
      <c r="C124" s="372" t="n"/>
      <c r="D124" s="371">
        <f>IF($B124="","",TEXT(C124,"MMM"))</f>
        <v/>
      </c>
      <c r="E124" s="371">
        <f>IF($B124="","","W"&amp;TEXT(WEEKNUM(C124,2),"00"))</f>
        <v/>
      </c>
      <c r="F124" s="371">
        <f>IF($B124="","","Q"&amp;(INT(MOD(MONTH(C124)-FY_Start+12,12)/3)+1))</f>
        <v/>
      </c>
      <c r="G124" s="371">
        <f>IF($B124="","","FY "&amp;IF(MONTH(C124)&gt;=FY_Start,YEAR(C124),YEAR(C124)-1)&amp;"-"&amp;RIGHT(IF(MONTH(C124)&gt;=FY_Start,YEAR(C124)+1,YEAR(C124)),2))</f>
        <v/>
      </c>
      <c r="H124" s="371" t="n"/>
      <c r="I124" s="371" t="n"/>
      <c r="J124" s="371" t="n"/>
      <c r="K124" s="371" t="n"/>
      <c r="L124" s="371" t="n"/>
      <c r="M124" s="371" t="n"/>
      <c r="N124" s="371" t="n"/>
      <c r="O124" s="371" t="n"/>
      <c r="P124" s="371" t="n"/>
      <c r="Q124" s="371" t="n"/>
      <c r="R124" s="371" t="n"/>
      <c r="S124" s="371" t="n"/>
      <c r="T124" s="371" t="n"/>
      <c r="U124" s="371" t="n"/>
      <c r="V124" s="371" t="n"/>
      <c r="W124" s="371" t="n"/>
      <c r="X124" s="371" t="n"/>
      <c r="Y124" s="371" t="n"/>
      <c r="Z124" s="372" t="n"/>
      <c r="AA124" s="372" t="n"/>
      <c r="AB124" s="371" t="n"/>
      <c r="AC124" s="371">
        <f>IF($B124="","",IF(AB124="Closed",IF(AA124="","",AA124-C124),TODAY()-C124))</f>
        <v/>
      </c>
      <c r="AD124" s="371" t="n"/>
    </row>
    <row r="125" ht="15" customHeight="1" s="15">
      <c r="A125" s="371">
        <f>IF($B125="","",ROW()-5)</f>
        <v/>
      </c>
      <c r="B125" s="371" t="n"/>
      <c r="C125" s="372" t="n"/>
      <c r="D125" s="371">
        <f>IF($B125="","",TEXT(C125,"MMM"))</f>
        <v/>
      </c>
      <c r="E125" s="371">
        <f>IF($B125="","","W"&amp;TEXT(WEEKNUM(C125,2),"00"))</f>
        <v/>
      </c>
      <c r="F125" s="371">
        <f>IF($B125="","","Q"&amp;(INT(MOD(MONTH(C125)-FY_Start+12,12)/3)+1))</f>
        <v/>
      </c>
      <c r="G125" s="371">
        <f>IF($B125="","","FY "&amp;IF(MONTH(C125)&gt;=FY_Start,YEAR(C125),YEAR(C125)-1)&amp;"-"&amp;RIGHT(IF(MONTH(C125)&gt;=FY_Start,YEAR(C125)+1,YEAR(C125)),2))</f>
        <v/>
      </c>
      <c r="H125" s="371" t="n"/>
      <c r="I125" s="371" t="n"/>
      <c r="J125" s="371" t="n"/>
      <c r="K125" s="371" t="n"/>
      <c r="L125" s="371" t="n"/>
      <c r="M125" s="371" t="n"/>
      <c r="N125" s="371" t="n"/>
      <c r="O125" s="371" t="n"/>
      <c r="P125" s="371" t="n"/>
      <c r="Q125" s="371" t="n"/>
      <c r="R125" s="371" t="n"/>
      <c r="S125" s="371" t="n"/>
      <c r="T125" s="371" t="n"/>
      <c r="U125" s="371" t="n"/>
      <c r="V125" s="371" t="n"/>
      <c r="W125" s="371" t="n"/>
      <c r="X125" s="371" t="n"/>
      <c r="Y125" s="371" t="n"/>
      <c r="Z125" s="372" t="n"/>
      <c r="AA125" s="372" t="n"/>
      <c r="AB125" s="371" t="n"/>
      <c r="AC125" s="371">
        <f>IF($B125="","",IF(AB125="Closed",IF(AA125="","",AA125-C125),TODAY()-C125))</f>
        <v/>
      </c>
      <c r="AD125" s="371" t="n"/>
    </row>
    <row r="126" ht="15" customHeight="1" s="15">
      <c r="A126" s="371">
        <f>IF($B126="","",ROW()-5)</f>
        <v/>
      </c>
      <c r="B126" s="371" t="n"/>
      <c r="C126" s="372" t="n"/>
      <c r="D126" s="371">
        <f>IF($B126="","",TEXT(C126,"MMM"))</f>
        <v/>
      </c>
      <c r="E126" s="371">
        <f>IF($B126="","","W"&amp;TEXT(WEEKNUM(C126,2),"00"))</f>
        <v/>
      </c>
      <c r="F126" s="371">
        <f>IF($B126="","","Q"&amp;(INT(MOD(MONTH(C126)-FY_Start+12,12)/3)+1))</f>
        <v/>
      </c>
      <c r="G126" s="371">
        <f>IF($B126="","","FY "&amp;IF(MONTH(C126)&gt;=FY_Start,YEAR(C126),YEAR(C126)-1)&amp;"-"&amp;RIGHT(IF(MONTH(C126)&gt;=FY_Start,YEAR(C126)+1,YEAR(C126)),2))</f>
        <v/>
      </c>
      <c r="H126" s="371" t="n"/>
      <c r="I126" s="371" t="n"/>
      <c r="J126" s="371" t="n"/>
      <c r="K126" s="371" t="n"/>
      <c r="L126" s="371" t="n"/>
      <c r="M126" s="371" t="n"/>
      <c r="N126" s="371" t="n"/>
      <c r="O126" s="371" t="n"/>
      <c r="P126" s="371" t="n"/>
      <c r="Q126" s="371" t="n"/>
      <c r="R126" s="371" t="n"/>
      <c r="S126" s="371" t="n"/>
      <c r="T126" s="371" t="n"/>
      <c r="U126" s="371" t="n"/>
      <c r="V126" s="371" t="n"/>
      <c r="W126" s="371" t="n"/>
      <c r="X126" s="371" t="n"/>
      <c r="Y126" s="371" t="n"/>
      <c r="Z126" s="372" t="n"/>
      <c r="AA126" s="372" t="n"/>
      <c r="AB126" s="371" t="n"/>
      <c r="AC126" s="371">
        <f>IF($B126="","",IF(AB126="Closed",IF(AA126="","",AA126-C126),TODAY()-C126))</f>
        <v/>
      </c>
      <c r="AD126" s="371" t="n"/>
    </row>
    <row r="127" ht="15" customHeight="1" s="15">
      <c r="A127" s="371">
        <f>IF($B127="","",ROW()-5)</f>
        <v/>
      </c>
      <c r="B127" s="371" t="n"/>
      <c r="C127" s="372" t="n"/>
      <c r="D127" s="371">
        <f>IF($B127="","",TEXT(C127,"MMM"))</f>
        <v/>
      </c>
      <c r="E127" s="371">
        <f>IF($B127="","","W"&amp;TEXT(WEEKNUM(C127,2),"00"))</f>
        <v/>
      </c>
      <c r="F127" s="371">
        <f>IF($B127="","","Q"&amp;(INT(MOD(MONTH(C127)-FY_Start+12,12)/3)+1))</f>
        <v/>
      </c>
      <c r="G127" s="371">
        <f>IF($B127="","","FY "&amp;IF(MONTH(C127)&gt;=FY_Start,YEAR(C127),YEAR(C127)-1)&amp;"-"&amp;RIGHT(IF(MONTH(C127)&gt;=FY_Start,YEAR(C127)+1,YEAR(C127)),2))</f>
        <v/>
      </c>
      <c r="H127" s="371" t="n"/>
      <c r="I127" s="371" t="n"/>
      <c r="J127" s="371" t="n"/>
      <c r="K127" s="371" t="n"/>
      <c r="L127" s="371" t="n"/>
      <c r="M127" s="371" t="n"/>
      <c r="N127" s="371" t="n"/>
      <c r="O127" s="371" t="n"/>
      <c r="P127" s="371" t="n"/>
      <c r="Q127" s="371" t="n"/>
      <c r="R127" s="371" t="n"/>
      <c r="S127" s="371" t="n"/>
      <c r="T127" s="371" t="n"/>
      <c r="U127" s="371" t="n"/>
      <c r="V127" s="371" t="n"/>
      <c r="W127" s="371" t="n"/>
      <c r="X127" s="371" t="n"/>
      <c r="Y127" s="371" t="n"/>
      <c r="Z127" s="372" t="n"/>
      <c r="AA127" s="372" t="n"/>
      <c r="AB127" s="371" t="n"/>
      <c r="AC127" s="371">
        <f>IF($B127="","",IF(AB127="Closed",IF(AA127="","",AA127-C127),TODAY()-C127))</f>
        <v/>
      </c>
      <c r="AD127" s="371" t="n"/>
    </row>
    <row r="128" ht="15" customHeight="1" s="15">
      <c r="A128" s="371">
        <f>IF($B128="","",ROW()-5)</f>
        <v/>
      </c>
      <c r="B128" s="371" t="n"/>
      <c r="C128" s="372" t="n"/>
      <c r="D128" s="371">
        <f>IF($B128="","",TEXT(C128,"MMM"))</f>
        <v/>
      </c>
      <c r="E128" s="371">
        <f>IF($B128="","","W"&amp;TEXT(WEEKNUM(C128,2),"00"))</f>
        <v/>
      </c>
      <c r="F128" s="371">
        <f>IF($B128="","","Q"&amp;(INT(MOD(MONTH(C128)-FY_Start+12,12)/3)+1))</f>
        <v/>
      </c>
      <c r="G128" s="371">
        <f>IF($B128="","","FY "&amp;IF(MONTH(C128)&gt;=FY_Start,YEAR(C128),YEAR(C128)-1)&amp;"-"&amp;RIGHT(IF(MONTH(C128)&gt;=FY_Start,YEAR(C128)+1,YEAR(C128)),2))</f>
        <v/>
      </c>
      <c r="H128" s="371" t="n"/>
      <c r="I128" s="371" t="n"/>
      <c r="J128" s="371" t="n"/>
      <c r="K128" s="371" t="n"/>
      <c r="L128" s="371" t="n"/>
      <c r="M128" s="371" t="n"/>
      <c r="N128" s="371" t="n"/>
      <c r="O128" s="371" t="n"/>
      <c r="P128" s="371" t="n"/>
      <c r="Q128" s="371" t="n"/>
      <c r="R128" s="371" t="n"/>
      <c r="S128" s="371" t="n"/>
      <c r="T128" s="371" t="n"/>
      <c r="U128" s="371" t="n"/>
      <c r="V128" s="371" t="n"/>
      <c r="W128" s="371" t="n"/>
      <c r="X128" s="371" t="n"/>
      <c r="Y128" s="371" t="n"/>
      <c r="Z128" s="372" t="n"/>
      <c r="AA128" s="372" t="n"/>
      <c r="AB128" s="371" t="n"/>
      <c r="AC128" s="371">
        <f>IF($B128="","",IF(AB128="Closed",IF(AA128="","",AA128-C128),TODAY()-C128))</f>
        <v/>
      </c>
      <c r="AD128" s="371" t="n"/>
    </row>
    <row r="129" ht="15" customHeight="1" s="15">
      <c r="A129" s="371">
        <f>IF($B129="","",ROW()-5)</f>
        <v/>
      </c>
      <c r="B129" s="371" t="n"/>
      <c r="C129" s="372" t="n"/>
      <c r="D129" s="371">
        <f>IF($B129="","",TEXT(C129,"MMM"))</f>
        <v/>
      </c>
      <c r="E129" s="371">
        <f>IF($B129="","","W"&amp;TEXT(WEEKNUM(C129,2),"00"))</f>
        <v/>
      </c>
      <c r="F129" s="371">
        <f>IF($B129="","","Q"&amp;(INT(MOD(MONTH(C129)-FY_Start+12,12)/3)+1))</f>
        <v/>
      </c>
      <c r="G129" s="371">
        <f>IF($B129="","","FY "&amp;IF(MONTH(C129)&gt;=FY_Start,YEAR(C129),YEAR(C129)-1)&amp;"-"&amp;RIGHT(IF(MONTH(C129)&gt;=FY_Start,YEAR(C129)+1,YEAR(C129)),2))</f>
        <v/>
      </c>
      <c r="H129" s="371" t="n"/>
      <c r="I129" s="371" t="n"/>
      <c r="J129" s="371" t="n"/>
      <c r="K129" s="371" t="n"/>
      <c r="L129" s="371" t="n"/>
      <c r="M129" s="371" t="n"/>
      <c r="N129" s="371" t="n"/>
      <c r="O129" s="371" t="n"/>
      <c r="P129" s="371" t="n"/>
      <c r="Q129" s="371" t="n"/>
      <c r="R129" s="371" t="n"/>
      <c r="S129" s="371" t="n"/>
      <c r="T129" s="371" t="n"/>
      <c r="U129" s="371" t="n"/>
      <c r="V129" s="371" t="n"/>
      <c r="W129" s="371" t="n"/>
      <c r="X129" s="371" t="n"/>
      <c r="Y129" s="371" t="n"/>
      <c r="Z129" s="372" t="n"/>
      <c r="AA129" s="372" t="n"/>
      <c r="AB129" s="371" t="n"/>
      <c r="AC129" s="371">
        <f>IF($B129="","",IF(AB129="Closed",IF(AA129="","",AA129-C129),TODAY()-C129))</f>
        <v/>
      </c>
      <c r="AD129" s="371" t="n"/>
    </row>
    <row r="130" ht="15" customHeight="1" s="15">
      <c r="A130" s="371">
        <f>IF($B130="","",ROW()-5)</f>
        <v/>
      </c>
      <c r="B130" s="371" t="n"/>
      <c r="C130" s="372" t="n"/>
      <c r="D130" s="371">
        <f>IF($B130="","",TEXT(C130,"MMM"))</f>
        <v/>
      </c>
      <c r="E130" s="371">
        <f>IF($B130="","","W"&amp;TEXT(WEEKNUM(C130,2),"00"))</f>
        <v/>
      </c>
      <c r="F130" s="371">
        <f>IF($B130="","","Q"&amp;(INT(MOD(MONTH(C130)-FY_Start+12,12)/3)+1))</f>
        <v/>
      </c>
      <c r="G130" s="371">
        <f>IF($B130="","","FY "&amp;IF(MONTH(C130)&gt;=FY_Start,YEAR(C130),YEAR(C130)-1)&amp;"-"&amp;RIGHT(IF(MONTH(C130)&gt;=FY_Start,YEAR(C130)+1,YEAR(C130)),2))</f>
        <v/>
      </c>
      <c r="H130" s="371" t="n"/>
      <c r="I130" s="371" t="n"/>
      <c r="J130" s="371" t="n"/>
      <c r="K130" s="371" t="n"/>
      <c r="L130" s="371" t="n"/>
      <c r="M130" s="371" t="n"/>
      <c r="N130" s="371" t="n"/>
      <c r="O130" s="371" t="n"/>
      <c r="P130" s="371" t="n"/>
      <c r="Q130" s="371" t="n"/>
      <c r="R130" s="371" t="n"/>
      <c r="S130" s="371" t="n"/>
      <c r="T130" s="371" t="n"/>
      <c r="U130" s="371" t="n"/>
      <c r="V130" s="371" t="n"/>
      <c r="W130" s="371" t="n"/>
      <c r="X130" s="371" t="n"/>
      <c r="Y130" s="371" t="n"/>
      <c r="Z130" s="372" t="n"/>
      <c r="AA130" s="372" t="n"/>
      <c r="AB130" s="371" t="n"/>
      <c r="AC130" s="371">
        <f>IF($B130="","",IF(AB130="Closed",IF(AA130="","",AA130-C130),TODAY()-C130))</f>
        <v/>
      </c>
      <c r="AD130" s="371" t="n"/>
    </row>
    <row r="131" ht="15" customHeight="1" s="15">
      <c r="A131" s="371">
        <f>IF($B131="","",ROW()-5)</f>
        <v/>
      </c>
      <c r="B131" s="371" t="n"/>
      <c r="C131" s="372" t="n"/>
      <c r="D131" s="371">
        <f>IF($B131="","",TEXT(C131,"MMM"))</f>
        <v/>
      </c>
      <c r="E131" s="371">
        <f>IF($B131="","","W"&amp;TEXT(WEEKNUM(C131,2),"00"))</f>
        <v/>
      </c>
      <c r="F131" s="371">
        <f>IF($B131="","","Q"&amp;(INT(MOD(MONTH(C131)-FY_Start+12,12)/3)+1))</f>
        <v/>
      </c>
      <c r="G131" s="371">
        <f>IF($B131="","","FY "&amp;IF(MONTH(C131)&gt;=FY_Start,YEAR(C131),YEAR(C131)-1)&amp;"-"&amp;RIGHT(IF(MONTH(C131)&gt;=FY_Start,YEAR(C131)+1,YEAR(C131)),2))</f>
        <v/>
      </c>
      <c r="H131" s="371" t="n"/>
      <c r="I131" s="371" t="n"/>
      <c r="J131" s="371" t="n"/>
      <c r="K131" s="371" t="n"/>
      <c r="L131" s="371" t="n"/>
      <c r="M131" s="371" t="n"/>
      <c r="N131" s="371" t="n"/>
      <c r="O131" s="371" t="n"/>
      <c r="P131" s="371" t="n"/>
      <c r="Q131" s="371" t="n"/>
      <c r="R131" s="371" t="n"/>
      <c r="S131" s="371" t="n"/>
      <c r="T131" s="371" t="n"/>
      <c r="U131" s="371" t="n"/>
      <c r="V131" s="371" t="n"/>
      <c r="W131" s="371" t="n"/>
      <c r="X131" s="371" t="n"/>
      <c r="Y131" s="371" t="n"/>
      <c r="Z131" s="372" t="n"/>
      <c r="AA131" s="372" t="n"/>
      <c r="AB131" s="371" t="n"/>
      <c r="AC131" s="371">
        <f>IF($B131="","",IF(AB131="Closed",IF(AA131="","",AA131-C131),TODAY()-C131))</f>
        <v/>
      </c>
      <c r="AD131" s="371" t="n"/>
    </row>
    <row r="132" ht="15" customHeight="1" s="15">
      <c r="A132" s="371">
        <f>IF($B132="","",ROW()-5)</f>
        <v/>
      </c>
      <c r="B132" s="371" t="n"/>
      <c r="C132" s="372" t="n"/>
      <c r="D132" s="371">
        <f>IF($B132="","",TEXT(C132,"MMM"))</f>
        <v/>
      </c>
      <c r="E132" s="371">
        <f>IF($B132="","","W"&amp;TEXT(WEEKNUM(C132,2),"00"))</f>
        <v/>
      </c>
      <c r="F132" s="371">
        <f>IF($B132="","","Q"&amp;(INT(MOD(MONTH(C132)-FY_Start+12,12)/3)+1))</f>
        <v/>
      </c>
      <c r="G132" s="371">
        <f>IF($B132="","","FY "&amp;IF(MONTH(C132)&gt;=FY_Start,YEAR(C132),YEAR(C132)-1)&amp;"-"&amp;RIGHT(IF(MONTH(C132)&gt;=FY_Start,YEAR(C132)+1,YEAR(C132)),2))</f>
        <v/>
      </c>
      <c r="H132" s="371" t="n"/>
      <c r="I132" s="371" t="n"/>
      <c r="J132" s="371" t="n"/>
      <c r="K132" s="371" t="n"/>
      <c r="L132" s="371" t="n"/>
      <c r="M132" s="371" t="n"/>
      <c r="N132" s="371" t="n"/>
      <c r="O132" s="371" t="n"/>
      <c r="P132" s="371" t="n"/>
      <c r="Q132" s="371" t="n"/>
      <c r="R132" s="371" t="n"/>
      <c r="S132" s="371" t="n"/>
      <c r="T132" s="371" t="n"/>
      <c r="U132" s="371" t="n"/>
      <c r="V132" s="371" t="n"/>
      <c r="W132" s="371" t="n"/>
      <c r="X132" s="371" t="n"/>
      <c r="Y132" s="371" t="n"/>
      <c r="Z132" s="372" t="n"/>
      <c r="AA132" s="372" t="n"/>
      <c r="AB132" s="371" t="n"/>
      <c r="AC132" s="371">
        <f>IF($B132="","",IF(AB132="Closed",IF(AA132="","",AA132-C132),TODAY()-C132))</f>
        <v/>
      </c>
      <c r="AD132" s="371" t="n"/>
    </row>
    <row r="133" ht="15" customHeight="1" s="15">
      <c r="A133" s="371">
        <f>IF($B133="","",ROW()-5)</f>
        <v/>
      </c>
      <c r="B133" s="371" t="n"/>
      <c r="C133" s="372" t="n"/>
      <c r="D133" s="371">
        <f>IF($B133="","",TEXT(C133,"MMM"))</f>
        <v/>
      </c>
      <c r="E133" s="371">
        <f>IF($B133="","","W"&amp;TEXT(WEEKNUM(C133,2),"00"))</f>
        <v/>
      </c>
      <c r="F133" s="371">
        <f>IF($B133="","","Q"&amp;(INT(MOD(MONTH(C133)-FY_Start+12,12)/3)+1))</f>
        <v/>
      </c>
      <c r="G133" s="371">
        <f>IF($B133="","","FY "&amp;IF(MONTH(C133)&gt;=FY_Start,YEAR(C133),YEAR(C133)-1)&amp;"-"&amp;RIGHT(IF(MONTH(C133)&gt;=FY_Start,YEAR(C133)+1,YEAR(C133)),2))</f>
        <v/>
      </c>
      <c r="H133" s="371" t="n"/>
      <c r="I133" s="371" t="n"/>
      <c r="J133" s="371" t="n"/>
      <c r="K133" s="371" t="n"/>
      <c r="L133" s="371" t="n"/>
      <c r="M133" s="371" t="n"/>
      <c r="N133" s="371" t="n"/>
      <c r="O133" s="371" t="n"/>
      <c r="P133" s="371" t="n"/>
      <c r="Q133" s="371" t="n"/>
      <c r="R133" s="371" t="n"/>
      <c r="S133" s="371" t="n"/>
      <c r="T133" s="371" t="n"/>
      <c r="U133" s="371" t="n"/>
      <c r="V133" s="371" t="n"/>
      <c r="W133" s="371" t="n"/>
      <c r="X133" s="371" t="n"/>
      <c r="Y133" s="371" t="n"/>
      <c r="Z133" s="372" t="n"/>
      <c r="AA133" s="372" t="n"/>
      <c r="AB133" s="371" t="n"/>
      <c r="AC133" s="371">
        <f>IF($B133="","",IF(AB133="Closed",IF(AA133="","",AA133-C133),TODAY()-C133))</f>
        <v/>
      </c>
      <c r="AD133" s="371" t="n"/>
    </row>
    <row r="134" ht="15" customHeight="1" s="15">
      <c r="A134" s="371">
        <f>IF($B134="","",ROW()-5)</f>
        <v/>
      </c>
      <c r="B134" s="371" t="n"/>
      <c r="C134" s="372" t="n"/>
      <c r="D134" s="371">
        <f>IF($B134="","",TEXT(C134,"MMM"))</f>
        <v/>
      </c>
      <c r="E134" s="371">
        <f>IF($B134="","","W"&amp;TEXT(WEEKNUM(C134,2),"00"))</f>
        <v/>
      </c>
      <c r="F134" s="371">
        <f>IF($B134="","","Q"&amp;(INT(MOD(MONTH(C134)-FY_Start+12,12)/3)+1))</f>
        <v/>
      </c>
      <c r="G134" s="371">
        <f>IF($B134="","","FY "&amp;IF(MONTH(C134)&gt;=FY_Start,YEAR(C134),YEAR(C134)-1)&amp;"-"&amp;RIGHT(IF(MONTH(C134)&gt;=FY_Start,YEAR(C134)+1,YEAR(C134)),2))</f>
        <v/>
      </c>
      <c r="H134" s="371" t="n"/>
      <c r="I134" s="371" t="n"/>
      <c r="J134" s="371" t="n"/>
      <c r="K134" s="371" t="n"/>
      <c r="L134" s="371" t="n"/>
      <c r="M134" s="371" t="n"/>
      <c r="N134" s="371" t="n"/>
      <c r="O134" s="371" t="n"/>
      <c r="P134" s="371" t="n"/>
      <c r="Q134" s="371" t="n"/>
      <c r="R134" s="371" t="n"/>
      <c r="S134" s="371" t="n"/>
      <c r="T134" s="371" t="n"/>
      <c r="U134" s="371" t="n"/>
      <c r="V134" s="371" t="n"/>
      <c r="W134" s="371" t="n"/>
      <c r="X134" s="371" t="n"/>
      <c r="Y134" s="371" t="n"/>
      <c r="Z134" s="372" t="n"/>
      <c r="AA134" s="372" t="n"/>
      <c r="AB134" s="371" t="n"/>
      <c r="AC134" s="371">
        <f>IF($B134="","",IF(AB134="Closed",IF(AA134="","",AA134-C134),TODAY()-C134))</f>
        <v/>
      </c>
      <c r="AD134" s="371" t="n"/>
    </row>
    <row r="135" ht="15" customHeight="1" s="15">
      <c r="A135" s="371">
        <f>IF($B135="","",ROW()-5)</f>
        <v/>
      </c>
      <c r="B135" s="371" t="n"/>
      <c r="C135" s="372" t="n"/>
      <c r="D135" s="371">
        <f>IF($B135="","",TEXT(C135,"MMM"))</f>
        <v/>
      </c>
      <c r="E135" s="371">
        <f>IF($B135="","","W"&amp;TEXT(WEEKNUM(C135,2),"00"))</f>
        <v/>
      </c>
      <c r="F135" s="371">
        <f>IF($B135="","","Q"&amp;(INT(MOD(MONTH(C135)-FY_Start+12,12)/3)+1))</f>
        <v/>
      </c>
      <c r="G135" s="371">
        <f>IF($B135="","","FY "&amp;IF(MONTH(C135)&gt;=FY_Start,YEAR(C135),YEAR(C135)-1)&amp;"-"&amp;RIGHT(IF(MONTH(C135)&gt;=FY_Start,YEAR(C135)+1,YEAR(C135)),2))</f>
        <v/>
      </c>
      <c r="H135" s="371" t="n"/>
      <c r="I135" s="371" t="n"/>
      <c r="J135" s="371" t="n"/>
      <c r="K135" s="371" t="n"/>
      <c r="L135" s="371" t="n"/>
      <c r="M135" s="371" t="n"/>
      <c r="N135" s="371" t="n"/>
      <c r="O135" s="371" t="n"/>
      <c r="P135" s="371" t="n"/>
      <c r="Q135" s="371" t="n"/>
      <c r="R135" s="371" t="n"/>
      <c r="S135" s="371" t="n"/>
      <c r="T135" s="371" t="n"/>
      <c r="U135" s="371" t="n"/>
      <c r="V135" s="371" t="n"/>
      <c r="W135" s="371" t="n"/>
      <c r="X135" s="371" t="n"/>
      <c r="Y135" s="371" t="n"/>
      <c r="Z135" s="372" t="n"/>
      <c r="AA135" s="372" t="n"/>
      <c r="AB135" s="371" t="n"/>
      <c r="AC135" s="371">
        <f>IF($B135="","",IF(AB135="Closed",IF(AA135="","",AA135-C135),TODAY()-C135))</f>
        <v/>
      </c>
      <c r="AD135" s="371" t="n"/>
    </row>
    <row r="136" ht="15" customHeight="1" s="15">
      <c r="A136" s="371">
        <f>IF($B136="","",ROW()-5)</f>
        <v/>
      </c>
      <c r="B136" s="371" t="n"/>
      <c r="C136" s="372" t="n"/>
      <c r="D136" s="371">
        <f>IF($B136="","",TEXT(C136,"MMM"))</f>
        <v/>
      </c>
      <c r="E136" s="371">
        <f>IF($B136="","","W"&amp;TEXT(WEEKNUM(C136,2),"00"))</f>
        <v/>
      </c>
      <c r="F136" s="371">
        <f>IF($B136="","","Q"&amp;(INT(MOD(MONTH(C136)-FY_Start+12,12)/3)+1))</f>
        <v/>
      </c>
      <c r="G136" s="371">
        <f>IF($B136="","","FY "&amp;IF(MONTH(C136)&gt;=FY_Start,YEAR(C136),YEAR(C136)-1)&amp;"-"&amp;RIGHT(IF(MONTH(C136)&gt;=FY_Start,YEAR(C136)+1,YEAR(C136)),2))</f>
        <v/>
      </c>
      <c r="H136" s="371" t="n"/>
      <c r="I136" s="371" t="n"/>
      <c r="J136" s="371" t="n"/>
      <c r="K136" s="371" t="n"/>
      <c r="L136" s="371" t="n"/>
      <c r="M136" s="371" t="n"/>
      <c r="N136" s="371" t="n"/>
      <c r="O136" s="371" t="n"/>
      <c r="P136" s="371" t="n"/>
      <c r="Q136" s="371" t="n"/>
      <c r="R136" s="371" t="n"/>
      <c r="S136" s="371" t="n"/>
      <c r="T136" s="371" t="n"/>
      <c r="U136" s="371" t="n"/>
      <c r="V136" s="371" t="n"/>
      <c r="W136" s="371" t="n"/>
      <c r="X136" s="371" t="n"/>
      <c r="Y136" s="371" t="n"/>
      <c r="Z136" s="372" t="n"/>
      <c r="AA136" s="372" t="n"/>
      <c r="AB136" s="371" t="n"/>
      <c r="AC136" s="371">
        <f>IF($B136="","",IF(AB136="Closed",IF(AA136="","",AA136-C136),TODAY()-C136))</f>
        <v/>
      </c>
      <c r="AD136" s="371" t="n"/>
    </row>
    <row r="137" ht="15" customHeight="1" s="15">
      <c r="A137" s="371">
        <f>IF($B137="","",ROW()-5)</f>
        <v/>
      </c>
      <c r="B137" s="371" t="n"/>
      <c r="C137" s="372" t="n"/>
      <c r="D137" s="371">
        <f>IF($B137="","",TEXT(C137,"MMM"))</f>
        <v/>
      </c>
      <c r="E137" s="371">
        <f>IF($B137="","","W"&amp;TEXT(WEEKNUM(C137,2),"00"))</f>
        <v/>
      </c>
      <c r="F137" s="371">
        <f>IF($B137="","","Q"&amp;(INT(MOD(MONTH(C137)-FY_Start+12,12)/3)+1))</f>
        <v/>
      </c>
      <c r="G137" s="371">
        <f>IF($B137="","","FY "&amp;IF(MONTH(C137)&gt;=FY_Start,YEAR(C137),YEAR(C137)-1)&amp;"-"&amp;RIGHT(IF(MONTH(C137)&gt;=FY_Start,YEAR(C137)+1,YEAR(C137)),2))</f>
        <v/>
      </c>
      <c r="H137" s="371" t="n"/>
      <c r="I137" s="371" t="n"/>
      <c r="J137" s="371" t="n"/>
      <c r="K137" s="371" t="n"/>
      <c r="L137" s="371" t="n"/>
      <c r="M137" s="371" t="n"/>
      <c r="N137" s="371" t="n"/>
      <c r="O137" s="371" t="n"/>
      <c r="P137" s="371" t="n"/>
      <c r="Q137" s="371" t="n"/>
      <c r="R137" s="371" t="n"/>
      <c r="S137" s="371" t="n"/>
      <c r="T137" s="371" t="n"/>
      <c r="U137" s="371" t="n"/>
      <c r="V137" s="371" t="n"/>
      <c r="W137" s="371" t="n"/>
      <c r="X137" s="371" t="n"/>
      <c r="Y137" s="371" t="n"/>
      <c r="Z137" s="372" t="n"/>
      <c r="AA137" s="372" t="n"/>
      <c r="AB137" s="371" t="n"/>
      <c r="AC137" s="371">
        <f>IF($B137="","",IF(AB137="Closed",IF(AA137="","",AA137-C137),TODAY()-C137))</f>
        <v/>
      </c>
      <c r="AD137" s="371" t="n"/>
    </row>
    <row r="138" ht="15" customHeight="1" s="15">
      <c r="A138" s="371">
        <f>IF($B138="","",ROW()-5)</f>
        <v/>
      </c>
      <c r="B138" s="371" t="n"/>
      <c r="C138" s="372" t="n"/>
      <c r="D138" s="371">
        <f>IF($B138="","",TEXT(C138,"MMM"))</f>
        <v/>
      </c>
      <c r="E138" s="371">
        <f>IF($B138="","","W"&amp;TEXT(WEEKNUM(C138,2),"00"))</f>
        <v/>
      </c>
      <c r="F138" s="371">
        <f>IF($B138="","","Q"&amp;(INT(MOD(MONTH(C138)-FY_Start+12,12)/3)+1))</f>
        <v/>
      </c>
      <c r="G138" s="371">
        <f>IF($B138="","","FY "&amp;IF(MONTH(C138)&gt;=FY_Start,YEAR(C138),YEAR(C138)-1)&amp;"-"&amp;RIGHT(IF(MONTH(C138)&gt;=FY_Start,YEAR(C138)+1,YEAR(C138)),2))</f>
        <v/>
      </c>
      <c r="H138" s="371" t="n"/>
      <c r="I138" s="371" t="n"/>
      <c r="J138" s="371" t="n"/>
      <c r="K138" s="371" t="n"/>
      <c r="L138" s="371" t="n"/>
      <c r="M138" s="371" t="n"/>
      <c r="N138" s="371" t="n"/>
      <c r="O138" s="371" t="n"/>
      <c r="P138" s="371" t="n"/>
      <c r="Q138" s="371" t="n"/>
      <c r="R138" s="371" t="n"/>
      <c r="S138" s="371" t="n"/>
      <c r="T138" s="371" t="n"/>
      <c r="U138" s="371" t="n"/>
      <c r="V138" s="371" t="n"/>
      <c r="W138" s="371" t="n"/>
      <c r="X138" s="371" t="n"/>
      <c r="Y138" s="371" t="n"/>
      <c r="Z138" s="372" t="n"/>
      <c r="AA138" s="372" t="n"/>
      <c r="AB138" s="371" t="n"/>
      <c r="AC138" s="371">
        <f>IF($B138="","",IF(AB138="Closed",IF(AA138="","",AA138-C138),TODAY()-C138))</f>
        <v/>
      </c>
      <c r="AD138" s="371" t="n"/>
    </row>
    <row r="139" ht="15" customHeight="1" s="15">
      <c r="A139" s="371">
        <f>IF($B139="","",ROW()-5)</f>
        <v/>
      </c>
      <c r="B139" s="371" t="n"/>
      <c r="C139" s="372" t="n"/>
      <c r="D139" s="371">
        <f>IF($B139="","",TEXT(C139,"MMM"))</f>
        <v/>
      </c>
      <c r="E139" s="371">
        <f>IF($B139="","","W"&amp;TEXT(WEEKNUM(C139,2),"00"))</f>
        <v/>
      </c>
      <c r="F139" s="371">
        <f>IF($B139="","","Q"&amp;(INT(MOD(MONTH(C139)-FY_Start+12,12)/3)+1))</f>
        <v/>
      </c>
      <c r="G139" s="371">
        <f>IF($B139="","","FY "&amp;IF(MONTH(C139)&gt;=FY_Start,YEAR(C139),YEAR(C139)-1)&amp;"-"&amp;RIGHT(IF(MONTH(C139)&gt;=FY_Start,YEAR(C139)+1,YEAR(C139)),2))</f>
        <v/>
      </c>
      <c r="H139" s="371" t="n"/>
      <c r="I139" s="371" t="n"/>
      <c r="J139" s="371" t="n"/>
      <c r="K139" s="371" t="n"/>
      <c r="L139" s="371" t="n"/>
      <c r="M139" s="371" t="n"/>
      <c r="N139" s="371" t="n"/>
      <c r="O139" s="371" t="n"/>
      <c r="P139" s="371" t="n"/>
      <c r="Q139" s="371" t="n"/>
      <c r="R139" s="371" t="n"/>
      <c r="S139" s="371" t="n"/>
      <c r="T139" s="371" t="n"/>
      <c r="U139" s="371" t="n"/>
      <c r="V139" s="371" t="n"/>
      <c r="W139" s="371" t="n"/>
      <c r="X139" s="371" t="n"/>
      <c r="Y139" s="371" t="n"/>
      <c r="Z139" s="372" t="n"/>
      <c r="AA139" s="372" t="n"/>
      <c r="AB139" s="371" t="n"/>
      <c r="AC139" s="371">
        <f>IF($B139="","",IF(AB139="Closed",IF(AA139="","",AA139-C139),TODAY()-C139))</f>
        <v/>
      </c>
      <c r="AD139" s="371" t="n"/>
    </row>
    <row r="140" ht="15" customHeight="1" s="15">
      <c r="A140" s="371">
        <f>IF($B140="","",ROW()-5)</f>
        <v/>
      </c>
      <c r="B140" s="371" t="n"/>
      <c r="C140" s="372" t="n"/>
      <c r="D140" s="371">
        <f>IF($B140="","",TEXT(C140,"MMM"))</f>
        <v/>
      </c>
      <c r="E140" s="371">
        <f>IF($B140="","","W"&amp;TEXT(WEEKNUM(C140,2),"00"))</f>
        <v/>
      </c>
      <c r="F140" s="371">
        <f>IF($B140="","","Q"&amp;(INT(MOD(MONTH(C140)-FY_Start+12,12)/3)+1))</f>
        <v/>
      </c>
      <c r="G140" s="371">
        <f>IF($B140="","","FY "&amp;IF(MONTH(C140)&gt;=FY_Start,YEAR(C140),YEAR(C140)-1)&amp;"-"&amp;RIGHT(IF(MONTH(C140)&gt;=FY_Start,YEAR(C140)+1,YEAR(C140)),2))</f>
        <v/>
      </c>
      <c r="H140" s="371" t="n"/>
      <c r="I140" s="371" t="n"/>
      <c r="J140" s="371" t="n"/>
      <c r="K140" s="371" t="n"/>
      <c r="L140" s="371" t="n"/>
      <c r="M140" s="371" t="n"/>
      <c r="N140" s="371" t="n"/>
      <c r="O140" s="371" t="n"/>
      <c r="P140" s="371" t="n"/>
      <c r="Q140" s="371" t="n"/>
      <c r="R140" s="371" t="n"/>
      <c r="S140" s="371" t="n"/>
      <c r="T140" s="371" t="n"/>
      <c r="U140" s="371" t="n"/>
      <c r="V140" s="371" t="n"/>
      <c r="W140" s="371" t="n"/>
      <c r="X140" s="371" t="n"/>
      <c r="Y140" s="371" t="n"/>
      <c r="Z140" s="372" t="n"/>
      <c r="AA140" s="372" t="n"/>
      <c r="AB140" s="371" t="n"/>
      <c r="AC140" s="371">
        <f>IF($B140="","",IF(AB140="Closed",IF(AA140="","",AA140-C140),TODAY()-C140))</f>
        <v/>
      </c>
      <c r="AD140" s="371" t="n"/>
    </row>
    <row r="141" ht="15" customHeight="1" s="15">
      <c r="A141" s="371">
        <f>IF($B141="","",ROW()-5)</f>
        <v/>
      </c>
      <c r="B141" s="371" t="n"/>
      <c r="C141" s="372" t="n"/>
      <c r="D141" s="371">
        <f>IF($B141="","",TEXT(C141,"MMM"))</f>
        <v/>
      </c>
      <c r="E141" s="371">
        <f>IF($B141="","","W"&amp;TEXT(WEEKNUM(C141,2),"00"))</f>
        <v/>
      </c>
      <c r="F141" s="371">
        <f>IF($B141="","","Q"&amp;(INT(MOD(MONTH(C141)-FY_Start+12,12)/3)+1))</f>
        <v/>
      </c>
      <c r="G141" s="371">
        <f>IF($B141="","","FY "&amp;IF(MONTH(C141)&gt;=FY_Start,YEAR(C141),YEAR(C141)-1)&amp;"-"&amp;RIGHT(IF(MONTH(C141)&gt;=FY_Start,YEAR(C141)+1,YEAR(C141)),2))</f>
        <v/>
      </c>
      <c r="H141" s="371" t="n"/>
      <c r="I141" s="371" t="n"/>
      <c r="J141" s="371" t="n"/>
      <c r="K141" s="371" t="n"/>
      <c r="L141" s="371" t="n"/>
      <c r="M141" s="371" t="n"/>
      <c r="N141" s="371" t="n"/>
      <c r="O141" s="371" t="n"/>
      <c r="P141" s="371" t="n"/>
      <c r="Q141" s="371" t="n"/>
      <c r="R141" s="371" t="n"/>
      <c r="S141" s="371" t="n"/>
      <c r="T141" s="371" t="n"/>
      <c r="U141" s="371" t="n"/>
      <c r="V141" s="371" t="n"/>
      <c r="W141" s="371" t="n"/>
      <c r="X141" s="371" t="n"/>
      <c r="Y141" s="371" t="n"/>
      <c r="Z141" s="372" t="n"/>
      <c r="AA141" s="372" t="n"/>
      <c r="AB141" s="371" t="n"/>
      <c r="AC141" s="371">
        <f>IF($B141="","",IF(AB141="Closed",IF(AA141="","",AA141-C141),TODAY()-C141))</f>
        <v/>
      </c>
      <c r="AD141" s="371" t="n"/>
    </row>
    <row r="142" ht="15" customHeight="1" s="15">
      <c r="A142" s="371">
        <f>IF($B142="","",ROW()-5)</f>
        <v/>
      </c>
      <c r="B142" s="371" t="n"/>
      <c r="C142" s="372" t="n"/>
      <c r="D142" s="371">
        <f>IF($B142="","",TEXT(C142,"MMM"))</f>
        <v/>
      </c>
      <c r="E142" s="371">
        <f>IF($B142="","","W"&amp;TEXT(WEEKNUM(C142,2),"00"))</f>
        <v/>
      </c>
      <c r="F142" s="371">
        <f>IF($B142="","","Q"&amp;(INT(MOD(MONTH(C142)-FY_Start+12,12)/3)+1))</f>
        <v/>
      </c>
      <c r="G142" s="371">
        <f>IF($B142="","","FY "&amp;IF(MONTH(C142)&gt;=FY_Start,YEAR(C142),YEAR(C142)-1)&amp;"-"&amp;RIGHT(IF(MONTH(C142)&gt;=FY_Start,YEAR(C142)+1,YEAR(C142)),2))</f>
        <v/>
      </c>
      <c r="H142" s="371" t="n"/>
      <c r="I142" s="371" t="n"/>
      <c r="J142" s="371" t="n"/>
      <c r="K142" s="371" t="n"/>
      <c r="L142" s="371" t="n"/>
      <c r="M142" s="371" t="n"/>
      <c r="N142" s="371" t="n"/>
      <c r="O142" s="371" t="n"/>
      <c r="P142" s="371" t="n"/>
      <c r="Q142" s="371" t="n"/>
      <c r="R142" s="371" t="n"/>
      <c r="S142" s="371" t="n"/>
      <c r="T142" s="371" t="n"/>
      <c r="U142" s="371" t="n"/>
      <c r="V142" s="371" t="n"/>
      <c r="W142" s="371" t="n"/>
      <c r="X142" s="371" t="n"/>
      <c r="Y142" s="371" t="n"/>
      <c r="Z142" s="372" t="n"/>
      <c r="AA142" s="372" t="n"/>
      <c r="AB142" s="371" t="n"/>
      <c r="AC142" s="371">
        <f>IF($B142="","",IF(AB142="Closed",IF(AA142="","",AA142-C142),TODAY()-C142))</f>
        <v/>
      </c>
      <c r="AD142" s="371" t="n"/>
    </row>
    <row r="143" ht="15" customHeight="1" s="15">
      <c r="A143" s="371">
        <f>IF($B143="","",ROW()-5)</f>
        <v/>
      </c>
      <c r="B143" s="371" t="n"/>
      <c r="C143" s="372" t="n"/>
      <c r="D143" s="371">
        <f>IF($B143="","",TEXT(C143,"MMM"))</f>
        <v/>
      </c>
      <c r="E143" s="371">
        <f>IF($B143="","","W"&amp;TEXT(WEEKNUM(C143,2),"00"))</f>
        <v/>
      </c>
      <c r="F143" s="371">
        <f>IF($B143="","","Q"&amp;(INT(MOD(MONTH(C143)-FY_Start+12,12)/3)+1))</f>
        <v/>
      </c>
      <c r="G143" s="371">
        <f>IF($B143="","","FY "&amp;IF(MONTH(C143)&gt;=FY_Start,YEAR(C143),YEAR(C143)-1)&amp;"-"&amp;RIGHT(IF(MONTH(C143)&gt;=FY_Start,YEAR(C143)+1,YEAR(C143)),2))</f>
        <v/>
      </c>
      <c r="H143" s="371" t="n"/>
      <c r="I143" s="371" t="n"/>
      <c r="J143" s="371" t="n"/>
      <c r="K143" s="371" t="n"/>
      <c r="L143" s="371" t="n"/>
      <c r="M143" s="371" t="n"/>
      <c r="N143" s="371" t="n"/>
      <c r="O143" s="371" t="n"/>
      <c r="P143" s="371" t="n"/>
      <c r="Q143" s="371" t="n"/>
      <c r="R143" s="371" t="n"/>
      <c r="S143" s="371" t="n"/>
      <c r="T143" s="371" t="n"/>
      <c r="U143" s="371" t="n"/>
      <c r="V143" s="371" t="n"/>
      <c r="W143" s="371" t="n"/>
      <c r="X143" s="371" t="n"/>
      <c r="Y143" s="371" t="n"/>
      <c r="Z143" s="372" t="n"/>
      <c r="AA143" s="372" t="n"/>
      <c r="AB143" s="371" t="n"/>
      <c r="AC143" s="371">
        <f>IF($B143="","",IF(AB143="Closed",IF(AA143="","",AA143-C143),TODAY()-C143))</f>
        <v/>
      </c>
      <c r="AD143" s="371" t="n"/>
    </row>
    <row r="144" ht="15" customHeight="1" s="15">
      <c r="A144" s="371">
        <f>IF($B144="","",ROW()-5)</f>
        <v/>
      </c>
      <c r="B144" s="371" t="n"/>
      <c r="C144" s="372" t="n"/>
      <c r="D144" s="371">
        <f>IF($B144="","",TEXT(C144,"MMM"))</f>
        <v/>
      </c>
      <c r="E144" s="371">
        <f>IF($B144="","","W"&amp;TEXT(WEEKNUM(C144,2),"00"))</f>
        <v/>
      </c>
      <c r="F144" s="371">
        <f>IF($B144="","","Q"&amp;(INT(MOD(MONTH(C144)-FY_Start+12,12)/3)+1))</f>
        <v/>
      </c>
      <c r="G144" s="371">
        <f>IF($B144="","","FY "&amp;IF(MONTH(C144)&gt;=FY_Start,YEAR(C144),YEAR(C144)-1)&amp;"-"&amp;RIGHT(IF(MONTH(C144)&gt;=FY_Start,YEAR(C144)+1,YEAR(C144)),2))</f>
        <v/>
      </c>
      <c r="H144" s="371" t="n"/>
      <c r="I144" s="371" t="n"/>
      <c r="J144" s="371" t="n"/>
      <c r="K144" s="371" t="n"/>
      <c r="L144" s="371" t="n"/>
      <c r="M144" s="371" t="n"/>
      <c r="N144" s="371" t="n"/>
      <c r="O144" s="371" t="n"/>
      <c r="P144" s="371" t="n"/>
      <c r="Q144" s="371" t="n"/>
      <c r="R144" s="371" t="n"/>
      <c r="S144" s="371" t="n"/>
      <c r="T144" s="371" t="n"/>
      <c r="U144" s="371" t="n"/>
      <c r="V144" s="371" t="n"/>
      <c r="W144" s="371" t="n"/>
      <c r="X144" s="371" t="n"/>
      <c r="Y144" s="371" t="n"/>
      <c r="Z144" s="372" t="n"/>
      <c r="AA144" s="372" t="n"/>
      <c r="AB144" s="371" t="n"/>
      <c r="AC144" s="371">
        <f>IF($B144="","",IF(AB144="Closed",IF(AA144="","",AA144-C144),TODAY()-C144))</f>
        <v/>
      </c>
      <c r="AD144" s="371" t="n"/>
    </row>
    <row r="145" ht="15" customHeight="1" s="15">
      <c r="A145" s="371">
        <f>IF($B145="","",ROW()-5)</f>
        <v/>
      </c>
      <c r="B145" s="371" t="n"/>
      <c r="C145" s="372" t="n"/>
      <c r="D145" s="371">
        <f>IF($B145="","",TEXT(C145,"MMM"))</f>
        <v/>
      </c>
      <c r="E145" s="371">
        <f>IF($B145="","","W"&amp;TEXT(WEEKNUM(C145,2),"00"))</f>
        <v/>
      </c>
      <c r="F145" s="371">
        <f>IF($B145="","","Q"&amp;(INT(MOD(MONTH(C145)-FY_Start+12,12)/3)+1))</f>
        <v/>
      </c>
      <c r="G145" s="371">
        <f>IF($B145="","","FY "&amp;IF(MONTH(C145)&gt;=FY_Start,YEAR(C145),YEAR(C145)-1)&amp;"-"&amp;RIGHT(IF(MONTH(C145)&gt;=FY_Start,YEAR(C145)+1,YEAR(C145)),2))</f>
        <v/>
      </c>
      <c r="H145" s="371" t="n"/>
      <c r="I145" s="371" t="n"/>
      <c r="J145" s="371" t="n"/>
      <c r="K145" s="371" t="n"/>
      <c r="L145" s="371" t="n"/>
      <c r="M145" s="371" t="n"/>
      <c r="N145" s="371" t="n"/>
      <c r="O145" s="371" t="n"/>
      <c r="P145" s="371" t="n"/>
      <c r="Q145" s="371" t="n"/>
      <c r="R145" s="371" t="n"/>
      <c r="S145" s="371" t="n"/>
      <c r="T145" s="371" t="n"/>
      <c r="U145" s="371" t="n"/>
      <c r="V145" s="371" t="n"/>
      <c r="W145" s="371" t="n"/>
      <c r="X145" s="371" t="n"/>
      <c r="Y145" s="371" t="n"/>
      <c r="Z145" s="372" t="n"/>
      <c r="AA145" s="372" t="n"/>
      <c r="AB145" s="371" t="n"/>
      <c r="AC145" s="371">
        <f>IF($B145="","",IF(AB145="Closed",IF(AA145="","",AA145-C145),TODAY()-C145))</f>
        <v/>
      </c>
      <c r="AD145" s="371" t="n"/>
    </row>
    <row r="146" ht="15" customHeight="1" s="15">
      <c r="A146" s="371">
        <f>IF($B146="","",ROW()-5)</f>
        <v/>
      </c>
      <c r="B146" s="371" t="n"/>
      <c r="C146" s="372" t="n"/>
      <c r="D146" s="371">
        <f>IF($B146="","",TEXT(C146,"MMM"))</f>
        <v/>
      </c>
      <c r="E146" s="371">
        <f>IF($B146="","","W"&amp;TEXT(WEEKNUM(C146,2),"00"))</f>
        <v/>
      </c>
      <c r="F146" s="371">
        <f>IF($B146="","","Q"&amp;(INT(MOD(MONTH(C146)-FY_Start+12,12)/3)+1))</f>
        <v/>
      </c>
      <c r="G146" s="371">
        <f>IF($B146="","","FY "&amp;IF(MONTH(C146)&gt;=FY_Start,YEAR(C146),YEAR(C146)-1)&amp;"-"&amp;RIGHT(IF(MONTH(C146)&gt;=FY_Start,YEAR(C146)+1,YEAR(C146)),2))</f>
        <v/>
      </c>
      <c r="H146" s="371" t="n"/>
      <c r="I146" s="371" t="n"/>
      <c r="J146" s="371" t="n"/>
      <c r="K146" s="371" t="n"/>
      <c r="L146" s="371" t="n"/>
      <c r="M146" s="371" t="n"/>
      <c r="N146" s="371" t="n"/>
      <c r="O146" s="371" t="n"/>
      <c r="P146" s="371" t="n"/>
      <c r="Q146" s="371" t="n"/>
      <c r="R146" s="371" t="n"/>
      <c r="S146" s="371" t="n"/>
      <c r="T146" s="371" t="n"/>
      <c r="U146" s="371" t="n"/>
      <c r="V146" s="371" t="n"/>
      <c r="W146" s="371" t="n"/>
      <c r="X146" s="371" t="n"/>
      <c r="Y146" s="371" t="n"/>
      <c r="Z146" s="372" t="n"/>
      <c r="AA146" s="372" t="n"/>
      <c r="AB146" s="371" t="n"/>
      <c r="AC146" s="371">
        <f>IF($B146="","",IF(AB146="Closed",IF(AA146="","",AA146-C146),TODAY()-C146))</f>
        <v/>
      </c>
      <c r="AD146" s="371" t="n"/>
    </row>
    <row r="147" ht="15" customHeight="1" s="15">
      <c r="A147" s="371">
        <f>IF($B147="","",ROW()-5)</f>
        <v/>
      </c>
      <c r="B147" s="371" t="n"/>
      <c r="C147" s="372" t="n"/>
      <c r="D147" s="371">
        <f>IF($B147="","",TEXT(C147,"MMM"))</f>
        <v/>
      </c>
      <c r="E147" s="371">
        <f>IF($B147="","","W"&amp;TEXT(WEEKNUM(C147,2),"00"))</f>
        <v/>
      </c>
      <c r="F147" s="371">
        <f>IF($B147="","","Q"&amp;(INT(MOD(MONTH(C147)-FY_Start+12,12)/3)+1))</f>
        <v/>
      </c>
      <c r="G147" s="371">
        <f>IF($B147="","","FY "&amp;IF(MONTH(C147)&gt;=FY_Start,YEAR(C147),YEAR(C147)-1)&amp;"-"&amp;RIGHT(IF(MONTH(C147)&gt;=FY_Start,YEAR(C147)+1,YEAR(C147)),2))</f>
        <v/>
      </c>
      <c r="H147" s="371" t="n"/>
      <c r="I147" s="371" t="n"/>
      <c r="J147" s="371" t="n"/>
      <c r="K147" s="371" t="n"/>
      <c r="L147" s="371" t="n"/>
      <c r="M147" s="371" t="n"/>
      <c r="N147" s="371" t="n"/>
      <c r="O147" s="371" t="n"/>
      <c r="P147" s="371" t="n"/>
      <c r="Q147" s="371" t="n"/>
      <c r="R147" s="371" t="n"/>
      <c r="S147" s="371" t="n"/>
      <c r="T147" s="371" t="n"/>
      <c r="U147" s="371" t="n"/>
      <c r="V147" s="371" t="n"/>
      <c r="W147" s="371" t="n"/>
      <c r="X147" s="371" t="n"/>
      <c r="Y147" s="371" t="n"/>
      <c r="Z147" s="372" t="n"/>
      <c r="AA147" s="372" t="n"/>
      <c r="AB147" s="371" t="n"/>
      <c r="AC147" s="371">
        <f>IF($B147="","",IF(AB147="Closed",IF(AA147="","",AA147-C147),TODAY()-C147))</f>
        <v/>
      </c>
      <c r="AD147" s="371" t="n"/>
    </row>
    <row r="148" ht="15" customHeight="1" s="15">
      <c r="A148" s="371">
        <f>IF($B148="","",ROW()-5)</f>
        <v/>
      </c>
      <c r="B148" s="371" t="n"/>
      <c r="C148" s="372" t="n"/>
      <c r="D148" s="371">
        <f>IF($B148="","",TEXT(C148,"MMM"))</f>
        <v/>
      </c>
      <c r="E148" s="371">
        <f>IF($B148="","","W"&amp;TEXT(WEEKNUM(C148,2),"00"))</f>
        <v/>
      </c>
      <c r="F148" s="371">
        <f>IF($B148="","","Q"&amp;(INT(MOD(MONTH(C148)-FY_Start+12,12)/3)+1))</f>
        <v/>
      </c>
      <c r="G148" s="371">
        <f>IF($B148="","","FY "&amp;IF(MONTH(C148)&gt;=FY_Start,YEAR(C148),YEAR(C148)-1)&amp;"-"&amp;RIGHT(IF(MONTH(C148)&gt;=FY_Start,YEAR(C148)+1,YEAR(C148)),2))</f>
        <v/>
      </c>
      <c r="H148" s="371" t="n"/>
      <c r="I148" s="371" t="n"/>
      <c r="J148" s="371" t="n"/>
      <c r="K148" s="371" t="n"/>
      <c r="L148" s="371" t="n"/>
      <c r="M148" s="371" t="n"/>
      <c r="N148" s="371" t="n"/>
      <c r="O148" s="371" t="n"/>
      <c r="P148" s="371" t="n"/>
      <c r="Q148" s="371" t="n"/>
      <c r="R148" s="371" t="n"/>
      <c r="S148" s="371" t="n"/>
      <c r="T148" s="371" t="n"/>
      <c r="U148" s="371" t="n"/>
      <c r="V148" s="371" t="n"/>
      <c r="W148" s="371" t="n"/>
      <c r="X148" s="371" t="n"/>
      <c r="Y148" s="371" t="n"/>
      <c r="Z148" s="372" t="n"/>
      <c r="AA148" s="372" t="n"/>
      <c r="AB148" s="371" t="n"/>
      <c r="AC148" s="371">
        <f>IF($B148="","",IF(AB148="Closed",IF(AA148="","",AA148-C148),TODAY()-C148))</f>
        <v/>
      </c>
      <c r="AD148" s="371" t="n"/>
    </row>
    <row r="149" ht="15" customHeight="1" s="15">
      <c r="A149" s="371">
        <f>IF($B149="","",ROW()-5)</f>
        <v/>
      </c>
      <c r="B149" s="371" t="n"/>
      <c r="C149" s="372" t="n"/>
      <c r="D149" s="371">
        <f>IF($B149="","",TEXT(C149,"MMM"))</f>
        <v/>
      </c>
      <c r="E149" s="371">
        <f>IF($B149="","","W"&amp;TEXT(WEEKNUM(C149,2),"00"))</f>
        <v/>
      </c>
      <c r="F149" s="371">
        <f>IF($B149="","","Q"&amp;(INT(MOD(MONTH(C149)-FY_Start+12,12)/3)+1))</f>
        <v/>
      </c>
      <c r="G149" s="371">
        <f>IF($B149="","","FY "&amp;IF(MONTH(C149)&gt;=FY_Start,YEAR(C149),YEAR(C149)-1)&amp;"-"&amp;RIGHT(IF(MONTH(C149)&gt;=FY_Start,YEAR(C149)+1,YEAR(C149)),2))</f>
        <v/>
      </c>
      <c r="H149" s="371" t="n"/>
      <c r="I149" s="371" t="n"/>
      <c r="J149" s="371" t="n"/>
      <c r="K149" s="371" t="n"/>
      <c r="L149" s="371" t="n"/>
      <c r="M149" s="371" t="n"/>
      <c r="N149" s="371" t="n"/>
      <c r="O149" s="371" t="n"/>
      <c r="P149" s="371" t="n"/>
      <c r="Q149" s="371" t="n"/>
      <c r="R149" s="371" t="n"/>
      <c r="S149" s="371" t="n"/>
      <c r="T149" s="371" t="n"/>
      <c r="U149" s="371" t="n"/>
      <c r="V149" s="371" t="n"/>
      <c r="W149" s="371" t="n"/>
      <c r="X149" s="371" t="n"/>
      <c r="Y149" s="371" t="n"/>
      <c r="Z149" s="372" t="n"/>
      <c r="AA149" s="372" t="n"/>
      <c r="AB149" s="371" t="n"/>
      <c r="AC149" s="371">
        <f>IF($B149="","",IF(AB149="Closed",IF(AA149="","",AA149-C149),TODAY()-C149))</f>
        <v/>
      </c>
      <c r="AD149" s="371" t="n"/>
    </row>
    <row r="150" ht="15" customHeight="1" s="15">
      <c r="A150" s="371">
        <f>IF($B150="","",ROW()-5)</f>
        <v/>
      </c>
      <c r="B150" s="371" t="n"/>
      <c r="C150" s="372" t="n"/>
      <c r="D150" s="371">
        <f>IF($B150="","",TEXT(C150,"MMM"))</f>
        <v/>
      </c>
      <c r="E150" s="371">
        <f>IF($B150="","","W"&amp;TEXT(WEEKNUM(C150,2),"00"))</f>
        <v/>
      </c>
      <c r="F150" s="371">
        <f>IF($B150="","","Q"&amp;(INT(MOD(MONTH(C150)-FY_Start+12,12)/3)+1))</f>
        <v/>
      </c>
      <c r="G150" s="371">
        <f>IF($B150="","","FY "&amp;IF(MONTH(C150)&gt;=FY_Start,YEAR(C150),YEAR(C150)-1)&amp;"-"&amp;RIGHT(IF(MONTH(C150)&gt;=FY_Start,YEAR(C150)+1,YEAR(C150)),2))</f>
        <v/>
      </c>
      <c r="H150" s="371" t="n"/>
      <c r="I150" s="371" t="n"/>
      <c r="J150" s="371" t="n"/>
      <c r="K150" s="371" t="n"/>
      <c r="L150" s="371" t="n"/>
      <c r="M150" s="371" t="n"/>
      <c r="N150" s="371" t="n"/>
      <c r="O150" s="371" t="n"/>
      <c r="P150" s="371" t="n"/>
      <c r="Q150" s="371" t="n"/>
      <c r="R150" s="371" t="n"/>
      <c r="S150" s="371" t="n"/>
      <c r="T150" s="371" t="n"/>
      <c r="U150" s="371" t="n"/>
      <c r="V150" s="371" t="n"/>
      <c r="W150" s="371" t="n"/>
      <c r="X150" s="371" t="n"/>
      <c r="Y150" s="371" t="n"/>
      <c r="Z150" s="372" t="n"/>
      <c r="AA150" s="372" t="n"/>
      <c r="AB150" s="371" t="n"/>
      <c r="AC150" s="371">
        <f>IF($B150="","",IF(AB150="Closed",IF(AA150="","",AA150-C150),TODAY()-C150))</f>
        <v/>
      </c>
      <c r="AD150" s="371" t="n"/>
    </row>
    <row r="151" ht="15" customHeight="1" s="15">
      <c r="A151" s="371">
        <f>IF($B151="","",ROW()-5)</f>
        <v/>
      </c>
      <c r="B151" s="371" t="n"/>
      <c r="C151" s="372" t="n"/>
      <c r="D151" s="371">
        <f>IF($B151="","",TEXT(C151,"MMM"))</f>
        <v/>
      </c>
      <c r="E151" s="371">
        <f>IF($B151="","","W"&amp;TEXT(WEEKNUM(C151,2),"00"))</f>
        <v/>
      </c>
      <c r="F151" s="371">
        <f>IF($B151="","","Q"&amp;(INT(MOD(MONTH(C151)-FY_Start+12,12)/3)+1))</f>
        <v/>
      </c>
      <c r="G151" s="371">
        <f>IF($B151="","","FY "&amp;IF(MONTH(C151)&gt;=FY_Start,YEAR(C151),YEAR(C151)-1)&amp;"-"&amp;RIGHT(IF(MONTH(C151)&gt;=FY_Start,YEAR(C151)+1,YEAR(C151)),2))</f>
        <v/>
      </c>
      <c r="H151" s="371" t="n"/>
      <c r="I151" s="371" t="n"/>
      <c r="J151" s="371" t="n"/>
      <c r="K151" s="371" t="n"/>
      <c r="L151" s="371" t="n"/>
      <c r="M151" s="371" t="n"/>
      <c r="N151" s="371" t="n"/>
      <c r="O151" s="371" t="n"/>
      <c r="P151" s="371" t="n"/>
      <c r="Q151" s="371" t="n"/>
      <c r="R151" s="371" t="n"/>
      <c r="S151" s="371" t="n"/>
      <c r="T151" s="371" t="n"/>
      <c r="U151" s="371" t="n"/>
      <c r="V151" s="371" t="n"/>
      <c r="W151" s="371" t="n"/>
      <c r="X151" s="371" t="n"/>
      <c r="Y151" s="371" t="n"/>
      <c r="Z151" s="372" t="n"/>
      <c r="AA151" s="372" t="n"/>
      <c r="AB151" s="371" t="n"/>
      <c r="AC151" s="371">
        <f>IF($B151="","",IF(AB151="Closed",IF(AA151="","",AA151-C151),TODAY()-C151))</f>
        <v/>
      </c>
      <c r="AD151" s="371" t="n"/>
    </row>
    <row r="152" ht="15" customHeight="1" s="15">
      <c r="A152" s="371">
        <f>IF($B152="","",ROW()-5)</f>
        <v/>
      </c>
      <c r="B152" s="371" t="n"/>
      <c r="C152" s="372" t="n"/>
      <c r="D152" s="371">
        <f>IF($B152="","",TEXT(C152,"MMM"))</f>
        <v/>
      </c>
      <c r="E152" s="371">
        <f>IF($B152="","","W"&amp;TEXT(WEEKNUM(C152,2),"00"))</f>
        <v/>
      </c>
      <c r="F152" s="371">
        <f>IF($B152="","","Q"&amp;(INT(MOD(MONTH(C152)-FY_Start+12,12)/3)+1))</f>
        <v/>
      </c>
      <c r="G152" s="371">
        <f>IF($B152="","","FY "&amp;IF(MONTH(C152)&gt;=FY_Start,YEAR(C152),YEAR(C152)-1)&amp;"-"&amp;RIGHT(IF(MONTH(C152)&gt;=FY_Start,YEAR(C152)+1,YEAR(C152)),2))</f>
        <v/>
      </c>
      <c r="H152" s="371" t="n"/>
      <c r="I152" s="371" t="n"/>
      <c r="J152" s="371" t="n"/>
      <c r="K152" s="371" t="n"/>
      <c r="L152" s="371" t="n"/>
      <c r="M152" s="371" t="n"/>
      <c r="N152" s="371" t="n"/>
      <c r="O152" s="371" t="n"/>
      <c r="P152" s="371" t="n"/>
      <c r="Q152" s="371" t="n"/>
      <c r="R152" s="371" t="n"/>
      <c r="S152" s="371" t="n"/>
      <c r="T152" s="371" t="n"/>
      <c r="U152" s="371" t="n"/>
      <c r="V152" s="371" t="n"/>
      <c r="W152" s="371" t="n"/>
      <c r="X152" s="371" t="n"/>
      <c r="Y152" s="371" t="n"/>
      <c r="Z152" s="372" t="n"/>
      <c r="AA152" s="372" t="n"/>
      <c r="AB152" s="371" t="n"/>
      <c r="AC152" s="371">
        <f>IF($B152="","",IF(AB152="Closed",IF(AA152="","",AA152-C152),TODAY()-C152))</f>
        <v/>
      </c>
      <c r="AD152" s="371" t="n"/>
    </row>
    <row r="153" ht="15" customHeight="1" s="15">
      <c r="A153" s="371">
        <f>IF($B153="","",ROW()-5)</f>
        <v/>
      </c>
      <c r="B153" s="371" t="n"/>
      <c r="C153" s="372" t="n"/>
      <c r="D153" s="371">
        <f>IF($B153="","",TEXT(C153,"MMM"))</f>
        <v/>
      </c>
      <c r="E153" s="371">
        <f>IF($B153="","","W"&amp;TEXT(WEEKNUM(C153,2),"00"))</f>
        <v/>
      </c>
      <c r="F153" s="371">
        <f>IF($B153="","","Q"&amp;(INT(MOD(MONTH(C153)-FY_Start+12,12)/3)+1))</f>
        <v/>
      </c>
      <c r="G153" s="371">
        <f>IF($B153="","","FY "&amp;IF(MONTH(C153)&gt;=FY_Start,YEAR(C153),YEAR(C153)-1)&amp;"-"&amp;RIGHT(IF(MONTH(C153)&gt;=FY_Start,YEAR(C153)+1,YEAR(C153)),2))</f>
        <v/>
      </c>
      <c r="H153" s="371" t="n"/>
      <c r="I153" s="371" t="n"/>
      <c r="J153" s="371" t="n"/>
      <c r="K153" s="371" t="n"/>
      <c r="L153" s="371" t="n"/>
      <c r="M153" s="371" t="n"/>
      <c r="N153" s="371" t="n"/>
      <c r="O153" s="371" t="n"/>
      <c r="P153" s="371" t="n"/>
      <c r="Q153" s="371" t="n"/>
      <c r="R153" s="371" t="n"/>
      <c r="S153" s="371" t="n"/>
      <c r="T153" s="371" t="n"/>
      <c r="U153" s="371" t="n"/>
      <c r="V153" s="371" t="n"/>
      <c r="W153" s="371" t="n"/>
      <c r="X153" s="371" t="n"/>
      <c r="Y153" s="371" t="n"/>
      <c r="Z153" s="372" t="n"/>
      <c r="AA153" s="372" t="n"/>
      <c r="AB153" s="371" t="n"/>
      <c r="AC153" s="371">
        <f>IF($B153="","",IF(AB153="Closed",IF(AA153="","",AA153-C153),TODAY()-C153))</f>
        <v/>
      </c>
      <c r="AD153" s="371" t="n"/>
    </row>
    <row r="154" ht="15" customHeight="1" s="15">
      <c r="A154" s="371">
        <f>IF($B154="","",ROW()-5)</f>
        <v/>
      </c>
      <c r="B154" s="371" t="n"/>
      <c r="C154" s="372" t="n"/>
      <c r="D154" s="371">
        <f>IF($B154="","",TEXT(C154,"MMM"))</f>
        <v/>
      </c>
      <c r="E154" s="371">
        <f>IF($B154="","","W"&amp;TEXT(WEEKNUM(C154,2),"00"))</f>
        <v/>
      </c>
      <c r="F154" s="371">
        <f>IF($B154="","","Q"&amp;(INT(MOD(MONTH(C154)-FY_Start+12,12)/3)+1))</f>
        <v/>
      </c>
      <c r="G154" s="371">
        <f>IF($B154="","","FY "&amp;IF(MONTH(C154)&gt;=FY_Start,YEAR(C154),YEAR(C154)-1)&amp;"-"&amp;RIGHT(IF(MONTH(C154)&gt;=FY_Start,YEAR(C154)+1,YEAR(C154)),2))</f>
        <v/>
      </c>
      <c r="H154" s="371" t="n"/>
      <c r="I154" s="371" t="n"/>
      <c r="J154" s="371" t="n"/>
      <c r="K154" s="371" t="n"/>
      <c r="L154" s="371" t="n"/>
      <c r="M154" s="371" t="n"/>
      <c r="N154" s="371" t="n"/>
      <c r="O154" s="371" t="n"/>
      <c r="P154" s="371" t="n"/>
      <c r="Q154" s="371" t="n"/>
      <c r="R154" s="371" t="n"/>
      <c r="S154" s="371" t="n"/>
      <c r="T154" s="371" t="n"/>
      <c r="U154" s="371" t="n"/>
      <c r="V154" s="371" t="n"/>
      <c r="W154" s="371" t="n"/>
      <c r="X154" s="371" t="n"/>
      <c r="Y154" s="371" t="n"/>
      <c r="Z154" s="372" t="n"/>
      <c r="AA154" s="372" t="n"/>
      <c r="AB154" s="371" t="n"/>
      <c r="AC154" s="371">
        <f>IF($B154="","",IF(AB154="Closed",IF(AA154="","",AA154-C154),TODAY()-C154))</f>
        <v/>
      </c>
      <c r="AD154" s="371" t="n"/>
    </row>
    <row r="155" ht="15" customHeight="1" s="15">
      <c r="A155" s="371">
        <f>IF($B155="","",ROW()-5)</f>
        <v/>
      </c>
      <c r="B155" s="371" t="n"/>
      <c r="C155" s="372" t="n"/>
      <c r="D155" s="371">
        <f>IF($B155="","",TEXT(C155,"MMM"))</f>
        <v/>
      </c>
      <c r="E155" s="371">
        <f>IF($B155="","","W"&amp;TEXT(WEEKNUM(C155,2),"00"))</f>
        <v/>
      </c>
      <c r="F155" s="371">
        <f>IF($B155="","","Q"&amp;(INT(MOD(MONTH(C155)-FY_Start+12,12)/3)+1))</f>
        <v/>
      </c>
      <c r="G155" s="371">
        <f>IF($B155="","","FY "&amp;IF(MONTH(C155)&gt;=FY_Start,YEAR(C155),YEAR(C155)-1)&amp;"-"&amp;RIGHT(IF(MONTH(C155)&gt;=FY_Start,YEAR(C155)+1,YEAR(C155)),2))</f>
        <v/>
      </c>
      <c r="H155" s="371" t="n"/>
      <c r="I155" s="371" t="n"/>
      <c r="J155" s="371" t="n"/>
      <c r="K155" s="371" t="n"/>
      <c r="L155" s="371" t="n"/>
      <c r="M155" s="371" t="n"/>
      <c r="N155" s="371" t="n"/>
      <c r="O155" s="371" t="n"/>
      <c r="P155" s="371" t="n"/>
      <c r="Q155" s="371" t="n"/>
      <c r="R155" s="371" t="n"/>
      <c r="S155" s="371" t="n"/>
      <c r="T155" s="371" t="n"/>
      <c r="U155" s="371" t="n"/>
      <c r="V155" s="371" t="n"/>
      <c r="W155" s="371" t="n"/>
      <c r="X155" s="371" t="n"/>
      <c r="Y155" s="371" t="n"/>
      <c r="Z155" s="372" t="n"/>
      <c r="AA155" s="372" t="n"/>
      <c r="AB155" s="371" t="n"/>
      <c r="AC155" s="371">
        <f>IF($B155="","",IF(AB155="Closed",IF(AA155="","",AA155-C155),TODAY()-C155))</f>
        <v/>
      </c>
      <c r="AD155" s="371" t="n"/>
    </row>
    <row r="156" ht="15" customHeight="1" s="15">
      <c r="A156" s="371">
        <f>IF($B156="","",ROW()-5)</f>
        <v/>
      </c>
      <c r="B156" s="371" t="n"/>
      <c r="C156" s="372" t="n"/>
      <c r="D156" s="371">
        <f>IF($B156="","",TEXT(C156,"MMM"))</f>
        <v/>
      </c>
      <c r="E156" s="371">
        <f>IF($B156="","","W"&amp;TEXT(WEEKNUM(C156,2),"00"))</f>
        <v/>
      </c>
      <c r="F156" s="371">
        <f>IF($B156="","","Q"&amp;(INT(MOD(MONTH(C156)-FY_Start+12,12)/3)+1))</f>
        <v/>
      </c>
      <c r="G156" s="371">
        <f>IF($B156="","","FY "&amp;IF(MONTH(C156)&gt;=FY_Start,YEAR(C156),YEAR(C156)-1)&amp;"-"&amp;RIGHT(IF(MONTH(C156)&gt;=FY_Start,YEAR(C156)+1,YEAR(C156)),2))</f>
        <v/>
      </c>
      <c r="H156" s="371" t="n"/>
      <c r="I156" s="371" t="n"/>
      <c r="J156" s="371" t="n"/>
      <c r="K156" s="371" t="n"/>
      <c r="L156" s="371" t="n"/>
      <c r="M156" s="371" t="n"/>
      <c r="N156" s="371" t="n"/>
      <c r="O156" s="371" t="n"/>
      <c r="P156" s="371" t="n"/>
      <c r="Q156" s="371" t="n"/>
      <c r="R156" s="371" t="n"/>
      <c r="S156" s="371" t="n"/>
      <c r="T156" s="371" t="n"/>
      <c r="U156" s="371" t="n"/>
      <c r="V156" s="371" t="n"/>
      <c r="W156" s="371" t="n"/>
      <c r="X156" s="371" t="n"/>
      <c r="Y156" s="371" t="n"/>
      <c r="Z156" s="372" t="n"/>
      <c r="AA156" s="372" t="n"/>
      <c r="AB156" s="371" t="n"/>
      <c r="AC156" s="371">
        <f>IF($B156="","",IF(AB156="Closed",IF(AA156="","",AA156-C156),TODAY()-C156))</f>
        <v/>
      </c>
      <c r="AD156" s="371" t="n"/>
    </row>
    <row r="157" ht="15" customHeight="1" s="15">
      <c r="A157" s="371">
        <f>IF($B157="","",ROW()-5)</f>
        <v/>
      </c>
      <c r="B157" s="371" t="n"/>
      <c r="C157" s="372" t="n"/>
      <c r="D157" s="371">
        <f>IF($B157="","",TEXT(C157,"MMM"))</f>
        <v/>
      </c>
      <c r="E157" s="371">
        <f>IF($B157="","","W"&amp;TEXT(WEEKNUM(C157,2),"00"))</f>
        <v/>
      </c>
      <c r="F157" s="371">
        <f>IF($B157="","","Q"&amp;(INT(MOD(MONTH(C157)-FY_Start+12,12)/3)+1))</f>
        <v/>
      </c>
      <c r="G157" s="371">
        <f>IF($B157="","","FY "&amp;IF(MONTH(C157)&gt;=FY_Start,YEAR(C157),YEAR(C157)-1)&amp;"-"&amp;RIGHT(IF(MONTH(C157)&gt;=FY_Start,YEAR(C157)+1,YEAR(C157)),2))</f>
        <v/>
      </c>
      <c r="H157" s="371" t="n"/>
      <c r="I157" s="371" t="n"/>
      <c r="J157" s="371" t="n"/>
      <c r="K157" s="371" t="n"/>
      <c r="L157" s="371" t="n"/>
      <c r="M157" s="371" t="n"/>
      <c r="N157" s="371" t="n"/>
      <c r="O157" s="371" t="n"/>
      <c r="P157" s="371" t="n"/>
      <c r="Q157" s="371" t="n"/>
      <c r="R157" s="371" t="n"/>
      <c r="S157" s="371" t="n"/>
      <c r="T157" s="371" t="n"/>
      <c r="U157" s="371" t="n"/>
      <c r="V157" s="371" t="n"/>
      <c r="W157" s="371" t="n"/>
      <c r="X157" s="371" t="n"/>
      <c r="Y157" s="371" t="n"/>
      <c r="Z157" s="372" t="n"/>
      <c r="AA157" s="372" t="n"/>
      <c r="AB157" s="371" t="n"/>
      <c r="AC157" s="371">
        <f>IF($B157="","",IF(AB157="Closed",IF(AA157="","",AA157-C157),TODAY()-C157))</f>
        <v/>
      </c>
      <c r="AD157" s="371" t="n"/>
    </row>
    <row r="158" ht="15" customHeight="1" s="15">
      <c r="A158" s="371">
        <f>IF($B158="","",ROW()-5)</f>
        <v/>
      </c>
      <c r="B158" s="371" t="n"/>
      <c r="C158" s="372" t="n"/>
      <c r="D158" s="371">
        <f>IF($B158="","",TEXT(C158,"MMM"))</f>
        <v/>
      </c>
      <c r="E158" s="371">
        <f>IF($B158="","","W"&amp;TEXT(WEEKNUM(C158,2),"00"))</f>
        <v/>
      </c>
      <c r="F158" s="371">
        <f>IF($B158="","","Q"&amp;(INT(MOD(MONTH(C158)-FY_Start+12,12)/3)+1))</f>
        <v/>
      </c>
      <c r="G158" s="371">
        <f>IF($B158="","","FY "&amp;IF(MONTH(C158)&gt;=FY_Start,YEAR(C158),YEAR(C158)-1)&amp;"-"&amp;RIGHT(IF(MONTH(C158)&gt;=FY_Start,YEAR(C158)+1,YEAR(C158)),2))</f>
        <v/>
      </c>
      <c r="H158" s="371" t="n"/>
      <c r="I158" s="371" t="n"/>
      <c r="J158" s="371" t="n"/>
      <c r="K158" s="371" t="n"/>
      <c r="L158" s="371" t="n"/>
      <c r="M158" s="371" t="n"/>
      <c r="N158" s="371" t="n"/>
      <c r="O158" s="371" t="n"/>
      <c r="P158" s="371" t="n"/>
      <c r="Q158" s="371" t="n"/>
      <c r="R158" s="371" t="n"/>
      <c r="S158" s="371" t="n"/>
      <c r="T158" s="371" t="n"/>
      <c r="U158" s="371" t="n"/>
      <c r="V158" s="371" t="n"/>
      <c r="W158" s="371" t="n"/>
      <c r="X158" s="371" t="n"/>
      <c r="Y158" s="371" t="n"/>
      <c r="Z158" s="372" t="n"/>
      <c r="AA158" s="372" t="n"/>
      <c r="AB158" s="371" t="n"/>
      <c r="AC158" s="371">
        <f>IF($B158="","",IF(AB158="Closed",IF(AA158="","",AA158-C158),TODAY()-C158))</f>
        <v/>
      </c>
      <c r="AD158" s="371" t="n"/>
    </row>
    <row r="159" ht="15" customHeight="1" s="15">
      <c r="A159" s="371">
        <f>IF($B159="","",ROW()-5)</f>
        <v/>
      </c>
      <c r="B159" s="371" t="n"/>
      <c r="C159" s="372" t="n"/>
      <c r="D159" s="371">
        <f>IF($B159="","",TEXT(C159,"MMM"))</f>
        <v/>
      </c>
      <c r="E159" s="371">
        <f>IF($B159="","","W"&amp;TEXT(WEEKNUM(C159,2),"00"))</f>
        <v/>
      </c>
      <c r="F159" s="371">
        <f>IF($B159="","","Q"&amp;(INT(MOD(MONTH(C159)-FY_Start+12,12)/3)+1))</f>
        <v/>
      </c>
      <c r="G159" s="371">
        <f>IF($B159="","","FY "&amp;IF(MONTH(C159)&gt;=FY_Start,YEAR(C159),YEAR(C159)-1)&amp;"-"&amp;RIGHT(IF(MONTH(C159)&gt;=FY_Start,YEAR(C159)+1,YEAR(C159)),2))</f>
        <v/>
      </c>
      <c r="H159" s="371" t="n"/>
      <c r="I159" s="371" t="n"/>
      <c r="J159" s="371" t="n"/>
      <c r="K159" s="371" t="n"/>
      <c r="L159" s="371" t="n"/>
      <c r="M159" s="371" t="n"/>
      <c r="N159" s="371" t="n"/>
      <c r="O159" s="371" t="n"/>
      <c r="P159" s="371" t="n"/>
      <c r="Q159" s="371" t="n"/>
      <c r="R159" s="371" t="n"/>
      <c r="S159" s="371" t="n"/>
      <c r="T159" s="371" t="n"/>
      <c r="U159" s="371" t="n"/>
      <c r="V159" s="371" t="n"/>
      <c r="W159" s="371" t="n"/>
      <c r="X159" s="371" t="n"/>
      <c r="Y159" s="371" t="n"/>
      <c r="Z159" s="372" t="n"/>
      <c r="AA159" s="372" t="n"/>
      <c r="AB159" s="371" t="n"/>
      <c r="AC159" s="371">
        <f>IF($B159="","",IF(AB159="Closed",IF(AA159="","",AA159-C159),TODAY()-C159))</f>
        <v/>
      </c>
      <c r="AD159" s="371" t="n"/>
    </row>
    <row r="160" ht="15" customHeight="1" s="15">
      <c r="A160" s="371">
        <f>IF($B160="","",ROW()-5)</f>
        <v/>
      </c>
      <c r="B160" s="371" t="n"/>
      <c r="C160" s="372" t="n"/>
      <c r="D160" s="371">
        <f>IF($B160="","",TEXT(C160,"MMM"))</f>
        <v/>
      </c>
      <c r="E160" s="371">
        <f>IF($B160="","","W"&amp;TEXT(WEEKNUM(C160,2),"00"))</f>
        <v/>
      </c>
      <c r="F160" s="371">
        <f>IF($B160="","","Q"&amp;(INT(MOD(MONTH(C160)-FY_Start+12,12)/3)+1))</f>
        <v/>
      </c>
      <c r="G160" s="371">
        <f>IF($B160="","","FY "&amp;IF(MONTH(C160)&gt;=FY_Start,YEAR(C160),YEAR(C160)-1)&amp;"-"&amp;RIGHT(IF(MONTH(C160)&gt;=FY_Start,YEAR(C160)+1,YEAR(C160)),2))</f>
        <v/>
      </c>
      <c r="H160" s="371" t="n"/>
      <c r="I160" s="371" t="n"/>
      <c r="J160" s="371" t="n"/>
      <c r="K160" s="371" t="n"/>
      <c r="L160" s="371" t="n"/>
      <c r="M160" s="371" t="n"/>
      <c r="N160" s="371" t="n"/>
      <c r="O160" s="371" t="n"/>
      <c r="P160" s="371" t="n"/>
      <c r="Q160" s="371" t="n"/>
      <c r="R160" s="371" t="n"/>
      <c r="S160" s="371" t="n"/>
      <c r="T160" s="371" t="n"/>
      <c r="U160" s="371" t="n"/>
      <c r="V160" s="371" t="n"/>
      <c r="W160" s="371" t="n"/>
      <c r="X160" s="371" t="n"/>
      <c r="Y160" s="371" t="n"/>
      <c r="Z160" s="372" t="n"/>
      <c r="AA160" s="372" t="n"/>
      <c r="AB160" s="371" t="n"/>
      <c r="AC160" s="371">
        <f>IF($B160="","",IF(AB160="Closed",IF(AA160="","",AA160-C160),TODAY()-C160))</f>
        <v/>
      </c>
      <c r="AD160" s="371" t="n"/>
    </row>
    <row r="161" ht="15" customHeight="1" s="15">
      <c r="A161" s="371">
        <f>IF($B161="","",ROW()-5)</f>
        <v/>
      </c>
      <c r="B161" s="371" t="n"/>
      <c r="C161" s="372" t="n"/>
      <c r="D161" s="371">
        <f>IF($B161="","",TEXT(C161,"MMM"))</f>
        <v/>
      </c>
      <c r="E161" s="371">
        <f>IF($B161="","","W"&amp;TEXT(WEEKNUM(C161,2),"00"))</f>
        <v/>
      </c>
      <c r="F161" s="371">
        <f>IF($B161="","","Q"&amp;(INT(MOD(MONTH(C161)-FY_Start+12,12)/3)+1))</f>
        <v/>
      </c>
      <c r="G161" s="371">
        <f>IF($B161="","","FY "&amp;IF(MONTH(C161)&gt;=FY_Start,YEAR(C161),YEAR(C161)-1)&amp;"-"&amp;RIGHT(IF(MONTH(C161)&gt;=FY_Start,YEAR(C161)+1,YEAR(C161)),2))</f>
        <v/>
      </c>
      <c r="H161" s="371" t="n"/>
      <c r="I161" s="371" t="n"/>
      <c r="J161" s="371" t="n"/>
      <c r="K161" s="371" t="n"/>
      <c r="L161" s="371" t="n"/>
      <c r="M161" s="371" t="n"/>
      <c r="N161" s="371" t="n"/>
      <c r="O161" s="371" t="n"/>
      <c r="P161" s="371" t="n"/>
      <c r="Q161" s="371" t="n"/>
      <c r="R161" s="371" t="n"/>
      <c r="S161" s="371" t="n"/>
      <c r="T161" s="371" t="n"/>
      <c r="U161" s="371" t="n"/>
      <c r="V161" s="371" t="n"/>
      <c r="W161" s="371" t="n"/>
      <c r="X161" s="371" t="n"/>
      <c r="Y161" s="371" t="n"/>
      <c r="Z161" s="372" t="n"/>
      <c r="AA161" s="372" t="n"/>
      <c r="AB161" s="371" t="n"/>
      <c r="AC161" s="371">
        <f>IF($B161="","",IF(AB161="Closed",IF(AA161="","",AA161-C161),TODAY()-C161))</f>
        <v/>
      </c>
      <c r="AD161" s="371" t="n"/>
    </row>
    <row r="162" ht="15" customHeight="1" s="15">
      <c r="A162" s="371">
        <f>IF($B162="","",ROW()-5)</f>
        <v/>
      </c>
      <c r="B162" s="371" t="n"/>
      <c r="C162" s="372" t="n"/>
      <c r="D162" s="371">
        <f>IF($B162="","",TEXT(C162,"MMM"))</f>
        <v/>
      </c>
      <c r="E162" s="371">
        <f>IF($B162="","","W"&amp;TEXT(WEEKNUM(C162,2),"00"))</f>
        <v/>
      </c>
      <c r="F162" s="371">
        <f>IF($B162="","","Q"&amp;(INT(MOD(MONTH(C162)-FY_Start+12,12)/3)+1))</f>
        <v/>
      </c>
      <c r="G162" s="371">
        <f>IF($B162="","","FY "&amp;IF(MONTH(C162)&gt;=FY_Start,YEAR(C162),YEAR(C162)-1)&amp;"-"&amp;RIGHT(IF(MONTH(C162)&gt;=FY_Start,YEAR(C162)+1,YEAR(C162)),2))</f>
        <v/>
      </c>
      <c r="H162" s="371" t="n"/>
      <c r="I162" s="371" t="n"/>
      <c r="J162" s="371" t="n"/>
      <c r="K162" s="371" t="n"/>
      <c r="L162" s="371" t="n"/>
      <c r="M162" s="371" t="n"/>
      <c r="N162" s="371" t="n"/>
      <c r="O162" s="371" t="n"/>
      <c r="P162" s="371" t="n"/>
      <c r="Q162" s="371" t="n"/>
      <c r="R162" s="371" t="n"/>
      <c r="S162" s="371" t="n"/>
      <c r="T162" s="371" t="n"/>
      <c r="U162" s="371" t="n"/>
      <c r="V162" s="371" t="n"/>
      <c r="W162" s="371" t="n"/>
      <c r="X162" s="371" t="n"/>
      <c r="Y162" s="371" t="n"/>
      <c r="Z162" s="372" t="n"/>
      <c r="AA162" s="372" t="n"/>
      <c r="AB162" s="371" t="n"/>
      <c r="AC162" s="371">
        <f>IF($B162="","",IF(AB162="Closed",IF(AA162="","",AA162-C162),TODAY()-C162))</f>
        <v/>
      </c>
      <c r="AD162" s="371" t="n"/>
    </row>
    <row r="163" ht="15" customHeight="1" s="15">
      <c r="A163" s="371">
        <f>IF($B163="","",ROW()-5)</f>
        <v/>
      </c>
      <c r="B163" s="371" t="n"/>
      <c r="C163" s="372" t="n"/>
      <c r="D163" s="371">
        <f>IF($B163="","",TEXT(C163,"MMM"))</f>
        <v/>
      </c>
      <c r="E163" s="371">
        <f>IF($B163="","","W"&amp;TEXT(WEEKNUM(C163,2),"00"))</f>
        <v/>
      </c>
      <c r="F163" s="371">
        <f>IF($B163="","","Q"&amp;(INT(MOD(MONTH(C163)-FY_Start+12,12)/3)+1))</f>
        <v/>
      </c>
      <c r="G163" s="371">
        <f>IF($B163="","","FY "&amp;IF(MONTH(C163)&gt;=FY_Start,YEAR(C163),YEAR(C163)-1)&amp;"-"&amp;RIGHT(IF(MONTH(C163)&gt;=FY_Start,YEAR(C163)+1,YEAR(C163)),2))</f>
        <v/>
      </c>
      <c r="H163" s="371" t="n"/>
      <c r="I163" s="371" t="n"/>
      <c r="J163" s="371" t="n"/>
      <c r="K163" s="371" t="n"/>
      <c r="L163" s="371" t="n"/>
      <c r="M163" s="371" t="n"/>
      <c r="N163" s="371" t="n"/>
      <c r="O163" s="371" t="n"/>
      <c r="P163" s="371" t="n"/>
      <c r="Q163" s="371" t="n"/>
      <c r="R163" s="371" t="n"/>
      <c r="S163" s="371" t="n"/>
      <c r="T163" s="371" t="n"/>
      <c r="U163" s="371" t="n"/>
      <c r="V163" s="371" t="n"/>
      <c r="W163" s="371" t="n"/>
      <c r="X163" s="371" t="n"/>
      <c r="Y163" s="371" t="n"/>
      <c r="Z163" s="372" t="n"/>
      <c r="AA163" s="372" t="n"/>
      <c r="AB163" s="371" t="n"/>
      <c r="AC163" s="371">
        <f>IF($B163="","",IF(AB163="Closed",IF(AA163="","",AA163-C163),TODAY()-C163))</f>
        <v/>
      </c>
      <c r="AD163" s="371" t="n"/>
    </row>
    <row r="164" ht="15" customHeight="1" s="15">
      <c r="A164" s="371">
        <f>IF($B164="","",ROW()-5)</f>
        <v/>
      </c>
      <c r="B164" s="371" t="n"/>
      <c r="C164" s="372" t="n"/>
      <c r="D164" s="371">
        <f>IF($B164="","",TEXT(C164,"MMM"))</f>
        <v/>
      </c>
      <c r="E164" s="371">
        <f>IF($B164="","","W"&amp;TEXT(WEEKNUM(C164,2),"00"))</f>
        <v/>
      </c>
      <c r="F164" s="371">
        <f>IF($B164="","","Q"&amp;(INT(MOD(MONTH(C164)-FY_Start+12,12)/3)+1))</f>
        <v/>
      </c>
      <c r="G164" s="371">
        <f>IF($B164="","","FY "&amp;IF(MONTH(C164)&gt;=FY_Start,YEAR(C164),YEAR(C164)-1)&amp;"-"&amp;RIGHT(IF(MONTH(C164)&gt;=FY_Start,YEAR(C164)+1,YEAR(C164)),2))</f>
        <v/>
      </c>
      <c r="H164" s="371" t="n"/>
      <c r="I164" s="371" t="n"/>
      <c r="J164" s="371" t="n"/>
      <c r="K164" s="371" t="n"/>
      <c r="L164" s="371" t="n"/>
      <c r="M164" s="371" t="n"/>
      <c r="N164" s="371" t="n"/>
      <c r="O164" s="371" t="n"/>
      <c r="P164" s="371" t="n"/>
      <c r="Q164" s="371" t="n"/>
      <c r="R164" s="371" t="n"/>
      <c r="S164" s="371" t="n"/>
      <c r="T164" s="371" t="n"/>
      <c r="U164" s="371" t="n"/>
      <c r="V164" s="371" t="n"/>
      <c r="W164" s="371" t="n"/>
      <c r="X164" s="371" t="n"/>
      <c r="Y164" s="371" t="n"/>
      <c r="Z164" s="372" t="n"/>
      <c r="AA164" s="372" t="n"/>
      <c r="AB164" s="371" t="n"/>
      <c r="AC164" s="371">
        <f>IF($B164="","",IF(AB164="Closed",IF(AA164="","",AA164-C164),TODAY()-C164))</f>
        <v/>
      </c>
      <c r="AD164" s="371" t="n"/>
    </row>
    <row r="165" ht="15" customHeight="1" s="15">
      <c r="A165" s="371">
        <f>IF($B165="","",ROW()-5)</f>
        <v/>
      </c>
      <c r="B165" s="371" t="n"/>
      <c r="C165" s="372" t="n"/>
      <c r="D165" s="371">
        <f>IF($B165="","",TEXT(C165,"MMM"))</f>
        <v/>
      </c>
      <c r="E165" s="371">
        <f>IF($B165="","","W"&amp;TEXT(WEEKNUM(C165,2),"00"))</f>
        <v/>
      </c>
      <c r="F165" s="371">
        <f>IF($B165="","","Q"&amp;(INT(MOD(MONTH(C165)-FY_Start+12,12)/3)+1))</f>
        <v/>
      </c>
      <c r="G165" s="371">
        <f>IF($B165="","","FY "&amp;IF(MONTH(C165)&gt;=FY_Start,YEAR(C165),YEAR(C165)-1)&amp;"-"&amp;RIGHT(IF(MONTH(C165)&gt;=FY_Start,YEAR(C165)+1,YEAR(C165)),2))</f>
        <v/>
      </c>
      <c r="H165" s="371" t="n"/>
      <c r="I165" s="371" t="n"/>
      <c r="J165" s="371" t="n"/>
      <c r="K165" s="371" t="n"/>
      <c r="L165" s="371" t="n"/>
      <c r="M165" s="371" t="n"/>
      <c r="N165" s="371" t="n"/>
      <c r="O165" s="371" t="n"/>
      <c r="P165" s="371" t="n"/>
      <c r="Q165" s="371" t="n"/>
      <c r="R165" s="371" t="n"/>
      <c r="S165" s="371" t="n"/>
      <c r="T165" s="371" t="n"/>
      <c r="U165" s="371" t="n"/>
      <c r="V165" s="371" t="n"/>
      <c r="W165" s="371" t="n"/>
      <c r="X165" s="371" t="n"/>
      <c r="Y165" s="371" t="n"/>
      <c r="Z165" s="372" t="n"/>
      <c r="AA165" s="372" t="n"/>
      <c r="AB165" s="371" t="n"/>
      <c r="AC165" s="371">
        <f>IF($B165="","",IF(AB165="Closed",IF(AA165="","",AA165-C165),TODAY()-C165))</f>
        <v/>
      </c>
      <c r="AD165" s="371" t="n"/>
    </row>
    <row r="166" ht="15" customHeight="1" s="15">
      <c r="A166" s="371">
        <f>IF($B166="","",ROW()-5)</f>
        <v/>
      </c>
      <c r="B166" s="371" t="n"/>
      <c r="C166" s="372" t="n"/>
      <c r="D166" s="371">
        <f>IF($B166="","",TEXT(C166,"MMM"))</f>
        <v/>
      </c>
      <c r="E166" s="371">
        <f>IF($B166="","","W"&amp;TEXT(WEEKNUM(C166,2),"00"))</f>
        <v/>
      </c>
      <c r="F166" s="371">
        <f>IF($B166="","","Q"&amp;(INT(MOD(MONTH(C166)-FY_Start+12,12)/3)+1))</f>
        <v/>
      </c>
      <c r="G166" s="371">
        <f>IF($B166="","","FY "&amp;IF(MONTH(C166)&gt;=FY_Start,YEAR(C166),YEAR(C166)-1)&amp;"-"&amp;RIGHT(IF(MONTH(C166)&gt;=FY_Start,YEAR(C166)+1,YEAR(C166)),2))</f>
        <v/>
      </c>
      <c r="H166" s="371" t="n"/>
      <c r="I166" s="371" t="n"/>
      <c r="J166" s="371" t="n"/>
      <c r="K166" s="371" t="n"/>
      <c r="L166" s="371" t="n"/>
      <c r="M166" s="371" t="n"/>
      <c r="N166" s="371" t="n"/>
      <c r="O166" s="371" t="n"/>
      <c r="P166" s="371" t="n"/>
      <c r="Q166" s="371" t="n"/>
      <c r="R166" s="371" t="n"/>
      <c r="S166" s="371" t="n"/>
      <c r="T166" s="371" t="n"/>
      <c r="U166" s="371" t="n"/>
      <c r="V166" s="371" t="n"/>
      <c r="W166" s="371" t="n"/>
      <c r="X166" s="371" t="n"/>
      <c r="Y166" s="371" t="n"/>
      <c r="Z166" s="372" t="n"/>
      <c r="AA166" s="372" t="n"/>
      <c r="AB166" s="371" t="n"/>
      <c r="AC166" s="371">
        <f>IF($B166="","",IF(AB166="Closed",IF(AA166="","",AA166-C166),TODAY()-C166))</f>
        <v/>
      </c>
      <c r="AD166" s="371" t="n"/>
    </row>
    <row r="167" ht="15" customHeight="1" s="15">
      <c r="A167" s="371">
        <f>IF($B167="","",ROW()-5)</f>
        <v/>
      </c>
      <c r="B167" s="371" t="n"/>
      <c r="C167" s="372" t="n"/>
      <c r="D167" s="371">
        <f>IF($B167="","",TEXT(C167,"MMM"))</f>
        <v/>
      </c>
      <c r="E167" s="371">
        <f>IF($B167="","","W"&amp;TEXT(WEEKNUM(C167,2),"00"))</f>
        <v/>
      </c>
      <c r="F167" s="371">
        <f>IF($B167="","","Q"&amp;(INT(MOD(MONTH(C167)-FY_Start+12,12)/3)+1))</f>
        <v/>
      </c>
      <c r="G167" s="371">
        <f>IF($B167="","","FY "&amp;IF(MONTH(C167)&gt;=FY_Start,YEAR(C167),YEAR(C167)-1)&amp;"-"&amp;RIGHT(IF(MONTH(C167)&gt;=FY_Start,YEAR(C167)+1,YEAR(C167)),2))</f>
        <v/>
      </c>
      <c r="H167" s="371" t="n"/>
      <c r="I167" s="371" t="n"/>
      <c r="J167" s="371" t="n"/>
      <c r="K167" s="371" t="n"/>
      <c r="L167" s="371" t="n"/>
      <c r="M167" s="371" t="n"/>
      <c r="N167" s="371" t="n"/>
      <c r="O167" s="371" t="n"/>
      <c r="P167" s="371" t="n"/>
      <c r="Q167" s="371" t="n"/>
      <c r="R167" s="371" t="n"/>
      <c r="S167" s="371" t="n"/>
      <c r="T167" s="371" t="n"/>
      <c r="U167" s="371" t="n"/>
      <c r="V167" s="371" t="n"/>
      <c r="W167" s="371" t="n"/>
      <c r="X167" s="371" t="n"/>
      <c r="Y167" s="371" t="n"/>
      <c r="Z167" s="372" t="n"/>
      <c r="AA167" s="372" t="n"/>
      <c r="AB167" s="371" t="n"/>
      <c r="AC167" s="371">
        <f>IF($B167="","",IF(AB167="Closed",IF(AA167="","",AA167-C167),TODAY()-C167))</f>
        <v/>
      </c>
      <c r="AD167" s="371" t="n"/>
    </row>
    <row r="168" ht="15" customHeight="1" s="15">
      <c r="A168" s="371">
        <f>IF($B168="","",ROW()-5)</f>
        <v/>
      </c>
      <c r="B168" s="371" t="n"/>
      <c r="C168" s="372" t="n"/>
      <c r="D168" s="371">
        <f>IF($B168="","",TEXT(C168,"MMM"))</f>
        <v/>
      </c>
      <c r="E168" s="371">
        <f>IF($B168="","","W"&amp;TEXT(WEEKNUM(C168,2),"00"))</f>
        <v/>
      </c>
      <c r="F168" s="371">
        <f>IF($B168="","","Q"&amp;(INT(MOD(MONTH(C168)-FY_Start+12,12)/3)+1))</f>
        <v/>
      </c>
      <c r="G168" s="371">
        <f>IF($B168="","","FY "&amp;IF(MONTH(C168)&gt;=FY_Start,YEAR(C168),YEAR(C168)-1)&amp;"-"&amp;RIGHT(IF(MONTH(C168)&gt;=FY_Start,YEAR(C168)+1,YEAR(C168)),2))</f>
        <v/>
      </c>
      <c r="H168" s="371" t="n"/>
      <c r="I168" s="371" t="n"/>
      <c r="J168" s="371" t="n"/>
      <c r="K168" s="371" t="n"/>
      <c r="L168" s="371" t="n"/>
      <c r="M168" s="371" t="n"/>
      <c r="N168" s="371" t="n"/>
      <c r="O168" s="371" t="n"/>
      <c r="P168" s="371" t="n"/>
      <c r="Q168" s="371" t="n"/>
      <c r="R168" s="371" t="n"/>
      <c r="S168" s="371" t="n"/>
      <c r="T168" s="371" t="n"/>
      <c r="U168" s="371" t="n"/>
      <c r="V168" s="371" t="n"/>
      <c r="W168" s="371" t="n"/>
      <c r="X168" s="371" t="n"/>
      <c r="Y168" s="371" t="n"/>
      <c r="Z168" s="372" t="n"/>
      <c r="AA168" s="372" t="n"/>
      <c r="AB168" s="371" t="n"/>
      <c r="AC168" s="371">
        <f>IF($B168="","",IF(AB168="Closed",IF(AA168="","",AA168-C168),TODAY()-C168))</f>
        <v/>
      </c>
      <c r="AD168" s="371" t="n"/>
    </row>
    <row r="169" ht="15" customHeight="1" s="15">
      <c r="A169" s="371">
        <f>IF($B169="","",ROW()-5)</f>
        <v/>
      </c>
      <c r="B169" s="371" t="n"/>
      <c r="C169" s="372" t="n"/>
      <c r="D169" s="371">
        <f>IF($B169="","",TEXT(C169,"MMM"))</f>
        <v/>
      </c>
      <c r="E169" s="371">
        <f>IF($B169="","","W"&amp;TEXT(WEEKNUM(C169,2),"00"))</f>
        <v/>
      </c>
      <c r="F169" s="371">
        <f>IF($B169="","","Q"&amp;(INT(MOD(MONTH(C169)-FY_Start+12,12)/3)+1))</f>
        <v/>
      </c>
      <c r="G169" s="371">
        <f>IF($B169="","","FY "&amp;IF(MONTH(C169)&gt;=FY_Start,YEAR(C169),YEAR(C169)-1)&amp;"-"&amp;RIGHT(IF(MONTH(C169)&gt;=FY_Start,YEAR(C169)+1,YEAR(C169)),2))</f>
        <v/>
      </c>
      <c r="H169" s="371" t="n"/>
      <c r="I169" s="371" t="n"/>
      <c r="J169" s="371" t="n"/>
      <c r="K169" s="371" t="n"/>
      <c r="L169" s="371" t="n"/>
      <c r="M169" s="371" t="n"/>
      <c r="N169" s="371" t="n"/>
      <c r="O169" s="371" t="n"/>
      <c r="P169" s="371" t="n"/>
      <c r="Q169" s="371" t="n"/>
      <c r="R169" s="371" t="n"/>
      <c r="S169" s="371" t="n"/>
      <c r="T169" s="371" t="n"/>
      <c r="U169" s="371" t="n"/>
      <c r="V169" s="371" t="n"/>
      <c r="W169" s="371" t="n"/>
      <c r="X169" s="371" t="n"/>
      <c r="Y169" s="371" t="n"/>
      <c r="Z169" s="372" t="n"/>
      <c r="AA169" s="372" t="n"/>
      <c r="AB169" s="371" t="n"/>
      <c r="AC169" s="371">
        <f>IF($B169="","",IF(AB169="Closed",IF(AA169="","",AA169-C169),TODAY()-C169))</f>
        <v/>
      </c>
      <c r="AD169" s="371" t="n"/>
    </row>
    <row r="170" ht="15" customHeight="1" s="15">
      <c r="A170" s="371">
        <f>IF($B170="","",ROW()-5)</f>
        <v/>
      </c>
      <c r="B170" s="371" t="n"/>
      <c r="C170" s="372" t="n"/>
      <c r="D170" s="371">
        <f>IF($B170="","",TEXT(C170,"MMM"))</f>
        <v/>
      </c>
      <c r="E170" s="371">
        <f>IF($B170="","","W"&amp;TEXT(WEEKNUM(C170,2),"00"))</f>
        <v/>
      </c>
      <c r="F170" s="371">
        <f>IF($B170="","","Q"&amp;(INT(MOD(MONTH(C170)-FY_Start+12,12)/3)+1))</f>
        <v/>
      </c>
      <c r="G170" s="371">
        <f>IF($B170="","","FY "&amp;IF(MONTH(C170)&gt;=FY_Start,YEAR(C170),YEAR(C170)-1)&amp;"-"&amp;RIGHT(IF(MONTH(C170)&gt;=FY_Start,YEAR(C170)+1,YEAR(C170)),2))</f>
        <v/>
      </c>
      <c r="H170" s="371" t="n"/>
      <c r="I170" s="371" t="n"/>
      <c r="J170" s="371" t="n"/>
      <c r="K170" s="371" t="n"/>
      <c r="L170" s="371" t="n"/>
      <c r="M170" s="371" t="n"/>
      <c r="N170" s="371" t="n"/>
      <c r="O170" s="371" t="n"/>
      <c r="P170" s="371" t="n"/>
      <c r="Q170" s="371" t="n"/>
      <c r="R170" s="371" t="n"/>
      <c r="S170" s="371" t="n"/>
      <c r="T170" s="371" t="n"/>
      <c r="U170" s="371" t="n"/>
      <c r="V170" s="371" t="n"/>
      <c r="W170" s="371" t="n"/>
      <c r="X170" s="371" t="n"/>
      <c r="Y170" s="371" t="n"/>
      <c r="Z170" s="372" t="n"/>
      <c r="AA170" s="372" t="n"/>
      <c r="AB170" s="371" t="n"/>
      <c r="AC170" s="371">
        <f>IF($B170="","",IF(AB170="Closed",IF(AA170="","",AA170-C170),TODAY()-C170))</f>
        <v/>
      </c>
      <c r="AD170" s="371" t="n"/>
    </row>
    <row r="171" ht="15" customHeight="1" s="15">
      <c r="A171" s="371">
        <f>IF($B171="","",ROW()-5)</f>
        <v/>
      </c>
      <c r="B171" s="371" t="n"/>
      <c r="C171" s="372" t="n"/>
      <c r="D171" s="371">
        <f>IF($B171="","",TEXT(C171,"MMM"))</f>
        <v/>
      </c>
      <c r="E171" s="371">
        <f>IF($B171="","","W"&amp;TEXT(WEEKNUM(C171,2),"00"))</f>
        <v/>
      </c>
      <c r="F171" s="371">
        <f>IF($B171="","","Q"&amp;(INT(MOD(MONTH(C171)-FY_Start+12,12)/3)+1))</f>
        <v/>
      </c>
      <c r="G171" s="371">
        <f>IF($B171="","","FY "&amp;IF(MONTH(C171)&gt;=FY_Start,YEAR(C171),YEAR(C171)-1)&amp;"-"&amp;RIGHT(IF(MONTH(C171)&gt;=FY_Start,YEAR(C171)+1,YEAR(C171)),2))</f>
        <v/>
      </c>
      <c r="H171" s="371" t="n"/>
      <c r="I171" s="371" t="n"/>
      <c r="J171" s="371" t="n"/>
      <c r="K171" s="371" t="n"/>
      <c r="L171" s="371" t="n"/>
      <c r="M171" s="371" t="n"/>
      <c r="N171" s="371" t="n"/>
      <c r="O171" s="371" t="n"/>
      <c r="P171" s="371" t="n"/>
      <c r="Q171" s="371" t="n"/>
      <c r="R171" s="371" t="n"/>
      <c r="S171" s="371" t="n"/>
      <c r="T171" s="371" t="n"/>
      <c r="U171" s="371" t="n"/>
      <c r="V171" s="371" t="n"/>
      <c r="W171" s="371" t="n"/>
      <c r="X171" s="371" t="n"/>
      <c r="Y171" s="371" t="n"/>
      <c r="Z171" s="372" t="n"/>
      <c r="AA171" s="372" t="n"/>
      <c r="AB171" s="371" t="n"/>
      <c r="AC171" s="371">
        <f>IF($B171="","",IF(AB171="Closed",IF(AA171="","",AA171-C171),TODAY()-C171))</f>
        <v/>
      </c>
      <c r="AD171" s="371" t="n"/>
    </row>
    <row r="172" ht="15" customHeight="1" s="15">
      <c r="A172" s="371">
        <f>IF($B172="","",ROW()-5)</f>
        <v/>
      </c>
      <c r="B172" s="371" t="n"/>
      <c r="C172" s="372" t="n"/>
      <c r="D172" s="371">
        <f>IF($B172="","",TEXT(C172,"MMM"))</f>
        <v/>
      </c>
      <c r="E172" s="371">
        <f>IF($B172="","","W"&amp;TEXT(WEEKNUM(C172,2),"00"))</f>
        <v/>
      </c>
      <c r="F172" s="371">
        <f>IF($B172="","","Q"&amp;(INT(MOD(MONTH(C172)-FY_Start+12,12)/3)+1))</f>
        <v/>
      </c>
      <c r="G172" s="371">
        <f>IF($B172="","","FY "&amp;IF(MONTH(C172)&gt;=FY_Start,YEAR(C172),YEAR(C172)-1)&amp;"-"&amp;RIGHT(IF(MONTH(C172)&gt;=FY_Start,YEAR(C172)+1,YEAR(C172)),2))</f>
        <v/>
      </c>
      <c r="H172" s="371" t="n"/>
      <c r="I172" s="371" t="n"/>
      <c r="J172" s="371" t="n"/>
      <c r="K172" s="371" t="n"/>
      <c r="L172" s="371" t="n"/>
      <c r="M172" s="371" t="n"/>
      <c r="N172" s="371" t="n"/>
      <c r="O172" s="371" t="n"/>
      <c r="P172" s="371" t="n"/>
      <c r="Q172" s="371" t="n"/>
      <c r="R172" s="371" t="n"/>
      <c r="S172" s="371" t="n"/>
      <c r="T172" s="371" t="n"/>
      <c r="U172" s="371" t="n"/>
      <c r="V172" s="371" t="n"/>
      <c r="W172" s="371" t="n"/>
      <c r="X172" s="371" t="n"/>
      <c r="Y172" s="371" t="n"/>
      <c r="Z172" s="372" t="n"/>
      <c r="AA172" s="372" t="n"/>
      <c r="AB172" s="371" t="n"/>
      <c r="AC172" s="371">
        <f>IF($B172="","",IF(AB172="Closed",IF(AA172="","",AA172-C172),TODAY()-C172))</f>
        <v/>
      </c>
      <c r="AD172" s="371" t="n"/>
    </row>
    <row r="173" ht="15" customHeight="1" s="15">
      <c r="A173" s="371">
        <f>IF($B173="","",ROW()-5)</f>
        <v/>
      </c>
      <c r="B173" s="371" t="n"/>
      <c r="C173" s="372" t="n"/>
      <c r="D173" s="371">
        <f>IF($B173="","",TEXT(C173,"MMM"))</f>
        <v/>
      </c>
      <c r="E173" s="371">
        <f>IF($B173="","","W"&amp;TEXT(WEEKNUM(C173,2),"00"))</f>
        <v/>
      </c>
      <c r="F173" s="371">
        <f>IF($B173="","","Q"&amp;(INT(MOD(MONTH(C173)-FY_Start+12,12)/3)+1))</f>
        <v/>
      </c>
      <c r="G173" s="371">
        <f>IF($B173="","","FY "&amp;IF(MONTH(C173)&gt;=FY_Start,YEAR(C173),YEAR(C173)-1)&amp;"-"&amp;RIGHT(IF(MONTH(C173)&gt;=FY_Start,YEAR(C173)+1,YEAR(C173)),2))</f>
        <v/>
      </c>
      <c r="H173" s="371" t="n"/>
      <c r="I173" s="371" t="n"/>
      <c r="J173" s="371" t="n"/>
      <c r="K173" s="371" t="n"/>
      <c r="L173" s="371" t="n"/>
      <c r="M173" s="371" t="n"/>
      <c r="N173" s="371" t="n"/>
      <c r="O173" s="371" t="n"/>
      <c r="P173" s="371" t="n"/>
      <c r="Q173" s="371" t="n"/>
      <c r="R173" s="371" t="n"/>
      <c r="S173" s="371" t="n"/>
      <c r="T173" s="371" t="n"/>
      <c r="U173" s="371" t="n"/>
      <c r="V173" s="371" t="n"/>
      <c r="W173" s="371" t="n"/>
      <c r="X173" s="371" t="n"/>
      <c r="Y173" s="371" t="n"/>
      <c r="Z173" s="372" t="n"/>
      <c r="AA173" s="372" t="n"/>
      <c r="AB173" s="371" t="n"/>
      <c r="AC173" s="371">
        <f>IF($B173="","",IF(AB173="Closed",IF(AA173="","",AA173-C173),TODAY()-C173))</f>
        <v/>
      </c>
      <c r="AD173" s="371" t="n"/>
    </row>
    <row r="174" ht="15" customHeight="1" s="15">
      <c r="A174" s="371">
        <f>IF($B174="","",ROW()-5)</f>
        <v/>
      </c>
      <c r="B174" s="371" t="n"/>
      <c r="C174" s="372" t="n"/>
      <c r="D174" s="371">
        <f>IF($B174="","",TEXT(C174,"MMM"))</f>
        <v/>
      </c>
      <c r="E174" s="371">
        <f>IF($B174="","","W"&amp;TEXT(WEEKNUM(C174,2),"00"))</f>
        <v/>
      </c>
      <c r="F174" s="371">
        <f>IF($B174="","","Q"&amp;(INT(MOD(MONTH(C174)-FY_Start+12,12)/3)+1))</f>
        <v/>
      </c>
      <c r="G174" s="371">
        <f>IF($B174="","","FY "&amp;IF(MONTH(C174)&gt;=FY_Start,YEAR(C174),YEAR(C174)-1)&amp;"-"&amp;RIGHT(IF(MONTH(C174)&gt;=FY_Start,YEAR(C174)+1,YEAR(C174)),2))</f>
        <v/>
      </c>
      <c r="H174" s="371" t="n"/>
      <c r="I174" s="371" t="n"/>
      <c r="J174" s="371" t="n"/>
      <c r="K174" s="371" t="n"/>
      <c r="L174" s="371" t="n"/>
      <c r="M174" s="371" t="n"/>
      <c r="N174" s="371" t="n"/>
      <c r="O174" s="371" t="n"/>
      <c r="P174" s="371" t="n"/>
      <c r="Q174" s="371" t="n"/>
      <c r="R174" s="371" t="n"/>
      <c r="S174" s="371" t="n"/>
      <c r="T174" s="371" t="n"/>
      <c r="U174" s="371" t="n"/>
      <c r="V174" s="371" t="n"/>
      <c r="W174" s="371" t="n"/>
      <c r="X174" s="371" t="n"/>
      <c r="Y174" s="371" t="n"/>
      <c r="Z174" s="372" t="n"/>
      <c r="AA174" s="372" t="n"/>
      <c r="AB174" s="371" t="n"/>
      <c r="AC174" s="371">
        <f>IF($B174="","",IF(AB174="Closed",IF(AA174="","",AA174-C174),TODAY()-C174))</f>
        <v/>
      </c>
      <c r="AD174" s="371" t="n"/>
    </row>
    <row r="175" ht="15" customHeight="1" s="15">
      <c r="A175" s="371">
        <f>IF($B175="","",ROW()-5)</f>
        <v/>
      </c>
      <c r="B175" s="371" t="n"/>
      <c r="C175" s="372" t="n"/>
      <c r="D175" s="371">
        <f>IF($B175="","",TEXT(C175,"MMM"))</f>
        <v/>
      </c>
      <c r="E175" s="371">
        <f>IF($B175="","","W"&amp;TEXT(WEEKNUM(C175,2),"00"))</f>
        <v/>
      </c>
      <c r="F175" s="371">
        <f>IF($B175="","","Q"&amp;(INT(MOD(MONTH(C175)-FY_Start+12,12)/3)+1))</f>
        <v/>
      </c>
      <c r="G175" s="371">
        <f>IF($B175="","","FY "&amp;IF(MONTH(C175)&gt;=FY_Start,YEAR(C175),YEAR(C175)-1)&amp;"-"&amp;RIGHT(IF(MONTH(C175)&gt;=FY_Start,YEAR(C175)+1,YEAR(C175)),2))</f>
        <v/>
      </c>
      <c r="H175" s="371" t="n"/>
      <c r="I175" s="371" t="n"/>
      <c r="J175" s="371" t="n"/>
      <c r="K175" s="371" t="n"/>
      <c r="L175" s="371" t="n"/>
      <c r="M175" s="371" t="n"/>
      <c r="N175" s="371" t="n"/>
      <c r="O175" s="371" t="n"/>
      <c r="P175" s="371" t="n"/>
      <c r="Q175" s="371" t="n"/>
      <c r="R175" s="371" t="n"/>
      <c r="S175" s="371" t="n"/>
      <c r="T175" s="371" t="n"/>
      <c r="U175" s="371" t="n"/>
      <c r="V175" s="371" t="n"/>
      <c r="W175" s="371" t="n"/>
      <c r="X175" s="371" t="n"/>
      <c r="Y175" s="371" t="n"/>
      <c r="Z175" s="372" t="n"/>
      <c r="AA175" s="372" t="n"/>
      <c r="AB175" s="371" t="n"/>
      <c r="AC175" s="371">
        <f>IF($B175="","",IF(AB175="Closed",IF(AA175="","",AA175-C175),TODAY()-C175))</f>
        <v/>
      </c>
      <c r="AD175" s="371" t="n"/>
    </row>
    <row r="176" ht="15" customHeight="1" s="15">
      <c r="A176" s="371">
        <f>IF($B176="","",ROW()-5)</f>
        <v/>
      </c>
      <c r="B176" s="371" t="n"/>
      <c r="C176" s="372" t="n"/>
      <c r="D176" s="371">
        <f>IF($B176="","",TEXT(C176,"MMM"))</f>
        <v/>
      </c>
      <c r="E176" s="371">
        <f>IF($B176="","","W"&amp;TEXT(WEEKNUM(C176,2),"00"))</f>
        <v/>
      </c>
      <c r="F176" s="371">
        <f>IF($B176="","","Q"&amp;(INT(MOD(MONTH(C176)-FY_Start+12,12)/3)+1))</f>
        <v/>
      </c>
      <c r="G176" s="371">
        <f>IF($B176="","","FY "&amp;IF(MONTH(C176)&gt;=FY_Start,YEAR(C176),YEAR(C176)-1)&amp;"-"&amp;RIGHT(IF(MONTH(C176)&gt;=FY_Start,YEAR(C176)+1,YEAR(C176)),2))</f>
        <v/>
      </c>
      <c r="H176" s="371" t="n"/>
      <c r="I176" s="371" t="n"/>
      <c r="J176" s="371" t="n"/>
      <c r="K176" s="371" t="n"/>
      <c r="L176" s="371" t="n"/>
      <c r="M176" s="371" t="n"/>
      <c r="N176" s="371" t="n"/>
      <c r="O176" s="371" t="n"/>
      <c r="P176" s="371" t="n"/>
      <c r="Q176" s="371" t="n"/>
      <c r="R176" s="371" t="n"/>
      <c r="S176" s="371" t="n"/>
      <c r="T176" s="371" t="n"/>
      <c r="U176" s="371" t="n"/>
      <c r="V176" s="371" t="n"/>
      <c r="W176" s="371" t="n"/>
      <c r="X176" s="371" t="n"/>
      <c r="Y176" s="371" t="n"/>
      <c r="Z176" s="372" t="n"/>
      <c r="AA176" s="372" t="n"/>
      <c r="AB176" s="371" t="n"/>
      <c r="AC176" s="371">
        <f>IF($B176="","",IF(AB176="Closed",IF(AA176="","",AA176-C176),TODAY()-C176))</f>
        <v/>
      </c>
      <c r="AD176" s="371" t="n"/>
    </row>
    <row r="177" ht="15" customHeight="1" s="15">
      <c r="A177" s="371">
        <f>IF($B177="","",ROW()-5)</f>
        <v/>
      </c>
      <c r="B177" s="371" t="n"/>
      <c r="C177" s="372" t="n"/>
      <c r="D177" s="371">
        <f>IF($B177="","",TEXT(C177,"MMM"))</f>
        <v/>
      </c>
      <c r="E177" s="371">
        <f>IF($B177="","","W"&amp;TEXT(WEEKNUM(C177,2),"00"))</f>
        <v/>
      </c>
      <c r="F177" s="371">
        <f>IF($B177="","","Q"&amp;(INT(MOD(MONTH(C177)-FY_Start+12,12)/3)+1))</f>
        <v/>
      </c>
      <c r="G177" s="371">
        <f>IF($B177="","","FY "&amp;IF(MONTH(C177)&gt;=FY_Start,YEAR(C177),YEAR(C177)-1)&amp;"-"&amp;RIGHT(IF(MONTH(C177)&gt;=FY_Start,YEAR(C177)+1,YEAR(C177)),2))</f>
        <v/>
      </c>
      <c r="H177" s="371" t="n"/>
      <c r="I177" s="371" t="n"/>
      <c r="J177" s="371" t="n"/>
      <c r="K177" s="371" t="n"/>
      <c r="L177" s="371" t="n"/>
      <c r="M177" s="371" t="n"/>
      <c r="N177" s="371" t="n"/>
      <c r="O177" s="371" t="n"/>
      <c r="P177" s="371" t="n"/>
      <c r="Q177" s="371" t="n"/>
      <c r="R177" s="371" t="n"/>
      <c r="S177" s="371" t="n"/>
      <c r="T177" s="371" t="n"/>
      <c r="U177" s="371" t="n"/>
      <c r="V177" s="371" t="n"/>
      <c r="W177" s="371" t="n"/>
      <c r="X177" s="371" t="n"/>
      <c r="Y177" s="371" t="n"/>
      <c r="Z177" s="372" t="n"/>
      <c r="AA177" s="372" t="n"/>
      <c r="AB177" s="371" t="n"/>
      <c r="AC177" s="371">
        <f>IF($B177="","",IF(AB177="Closed",IF(AA177="","",AA177-C177),TODAY()-C177))</f>
        <v/>
      </c>
      <c r="AD177" s="371" t="n"/>
    </row>
    <row r="178" ht="15" customHeight="1" s="15">
      <c r="A178" s="371">
        <f>IF($B178="","",ROW()-5)</f>
        <v/>
      </c>
      <c r="B178" s="371" t="n"/>
      <c r="C178" s="372" t="n"/>
      <c r="D178" s="371">
        <f>IF($B178="","",TEXT(C178,"MMM"))</f>
        <v/>
      </c>
      <c r="E178" s="371">
        <f>IF($B178="","","W"&amp;TEXT(WEEKNUM(C178,2),"00"))</f>
        <v/>
      </c>
      <c r="F178" s="371">
        <f>IF($B178="","","Q"&amp;(INT(MOD(MONTH(C178)-FY_Start+12,12)/3)+1))</f>
        <v/>
      </c>
      <c r="G178" s="371">
        <f>IF($B178="","","FY "&amp;IF(MONTH(C178)&gt;=FY_Start,YEAR(C178),YEAR(C178)-1)&amp;"-"&amp;RIGHT(IF(MONTH(C178)&gt;=FY_Start,YEAR(C178)+1,YEAR(C178)),2))</f>
        <v/>
      </c>
      <c r="H178" s="371" t="n"/>
      <c r="I178" s="371" t="n"/>
      <c r="J178" s="371" t="n"/>
      <c r="K178" s="371" t="n"/>
      <c r="L178" s="371" t="n"/>
      <c r="M178" s="371" t="n"/>
      <c r="N178" s="371" t="n"/>
      <c r="O178" s="371" t="n"/>
      <c r="P178" s="371" t="n"/>
      <c r="Q178" s="371" t="n"/>
      <c r="R178" s="371" t="n"/>
      <c r="S178" s="371" t="n"/>
      <c r="T178" s="371" t="n"/>
      <c r="U178" s="371" t="n"/>
      <c r="V178" s="371" t="n"/>
      <c r="W178" s="371" t="n"/>
      <c r="X178" s="371" t="n"/>
      <c r="Y178" s="371" t="n"/>
      <c r="Z178" s="372" t="n"/>
      <c r="AA178" s="372" t="n"/>
      <c r="AB178" s="371" t="n"/>
      <c r="AC178" s="371">
        <f>IF($B178="","",IF(AB178="Closed",IF(AA178="","",AA178-C178),TODAY()-C178))</f>
        <v/>
      </c>
      <c r="AD178" s="371" t="n"/>
    </row>
    <row r="179" ht="15" customHeight="1" s="15">
      <c r="A179" s="371">
        <f>IF($B179="","",ROW()-5)</f>
        <v/>
      </c>
      <c r="B179" s="371" t="n"/>
      <c r="C179" s="372" t="n"/>
      <c r="D179" s="371">
        <f>IF($B179="","",TEXT(C179,"MMM"))</f>
        <v/>
      </c>
      <c r="E179" s="371">
        <f>IF($B179="","","W"&amp;TEXT(WEEKNUM(C179,2),"00"))</f>
        <v/>
      </c>
      <c r="F179" s="371">
        <f>IF($B179="","","Q"&amp;(INT(MOD(MONTH(C179)-FY_Start+12,12)/3)+1))</f>
        <v/>
      </c>
      <c r="G179" s="371">
        <f>IF($B179="","","FY "&amp;IF(MONTH(C179)&gt;=FY_Start,YEAR(C179),YEAR(C179)-1)&amp;"-"&amp;RIGHT(IF(MONTH(C179)&gt;=FY_Start,YEAR(C179)+1,YEAR(C179)),2))</f>
        <v/>
      </c>
      <c r="H179" s="371" t="n"/>
      <c r="I179" s="371" t="n"/>
      <c r="J179" s="371" t="n"/>
      <c r="K179" s="371" t="n"/>
      <c r="L179" s="371" t="n"/>
      <c r="M179" s="371" t="n"/>
      <c r="N179" s="371" t="n"/>
      <c r="O179" s="371" t="n"/>
      <c r="P179" s="371" t="n"/>
      <c r="Q179" s="371" t="n"/>
      <c r="R179" s="371" t="n"/>
      <c r="S179" s="371" t="n"/>
      <c r="T179" s="371" t="n"/>
      <c r="U179" s="371" t="n"/>
      <c r="V179" s="371" t="n"/>
      <c r="W179" s="371" t="n"/>
      <c r="X179" s="371" t="n"/>
      <c r="Y179" s="371" t="n"/>
      <c r="Z179" s="372" t="n"/>
      <c r="AA179" s="372" t="n"/>
      <c r="AB179" s="371" t="n"/>
      <c r="AC179" s="371">
        <f>IF($B179="","",IF(AB179="Closed",IF(AA179="","",AA179-C179),TODAY()-C179))</f>
        <v/>
      </c>
      <c r="AD179" s="371" t="n"/>
    </row>
    <row r="180" ht="15" customHeight="1" s="15">
      <c r="A180" s="371">
        <f>IF($B180="","",ROW()-5)</f>
        <v/>
      </c>
      <c r="B180" s="371" t="n"/>
      <c r="C180" s="372" t="n"/>
      <c r="D180" s="371">
        <f>IF($B180="","",TEXT(C180,"MMM"))</f>
        <v/>
      </c>
      <c r="E180" s="371">
        <f>IF($B180="","","W"&amp;TEXT(WEEKNUM(C180,2),"00"))</f>
        <v/>
      </c>
      <c r="F180" s="371">
        <f>IF($B180="","","Q"&amp;(INT(MOD(MONTH(C180)-FY_Start+12,12)/3)+1))</f>
        <v/>
      </c>
      <c r="G180" s="371">
        <f>IF($B180="","","FY "&amp;IF(MONTH(C180)&gt;=FY_Start,YEAR(C180),YEAR(C180)-1)&amp;"-"&amp;RIGHT(IF(MONTH(C180)&gt;=FY_Start,YEAR(C180)+1,YEAR(C180)),2))</f>
        <v/>
      </c>
      <c r="H180" s="371" t="n"/>
      <c r="I180" s="371" t="n"/>
      <c r="J180" s="371" t="n"/>
      <c r="K180" s="371" t="n"/>
      <c r="L180" s="371" t="n"/>
      <c r="M180" s="371" t="n"/>
      <c r="N180" s="371" t="n"/>
      <c r="O180" s="371" t="n"/>
      <c r="P180" s="371" t="n"/>
      <c r="Q180" s="371" t="n"/>
      <c r="R180" s="371" t="n"/>
      <c r="S180" s="371" t="n"/>
      <c r="T180" s="371" t="n"/>
      <c r="U180" s="371" t="n"/>
      <c r="V180" s="371" t="n"/>
      <c r="W180" s="371" t="n"/>
      <c r="X180" s="371" t="n"/>
      <c r="Y180" s="371" t="n"/>
      <c r="Z180" s="372" t="n"/>
      <c r="AA180" s="372" t="n"/>
      <c r="AB180" s="371" t="n"/>
      <c r="AC180" s="371">
        <f>IF($B180="","",IF(AB180="Closed",IF(AA180="","",AA180-C180),TODAY()-C180))</f>
        <v/>
      </c>
      <c r="AD180" s="371" t="n"/>
    </row>
    <row r="181" ht="15" customHeight="1" s="15">
      <c r="A181" s="371">
        <f>IF($B181="","",ROW()-5)</f>
        <v/>
      </c>
      <c r="B181" s="371" t="n"/>
      <c r="C181" s="372" t="n"/>
      <c r="D181" s="371">
        <f>IF($B181="","",TEXT(C181,"MMM"))</f>
        <v/>
      </c>
      <c r="E181" s="371">
        <f>IF($B181="","","W"&amp;TEXT(WEEKNUM(C181,2),"00"))</f>
        <v/>
      </c>
      <c r="F181" s="371">
        <f>IF($B181="","","Q"&amp;(INT(MOD(MONTH(C181)-FY_Start+12,12)/3)+1))</f>
        <v/>
      </c>
      <c r="G181" s="371">
        <f>IF($B181="","","FY "&amp;IF(MONTH(C181)&gt;=FY_Start,YEAR(C181),YEAR(C181)-1)&amp;"-"&amp;RIGHT(IF(MONTH(C181)&gt;=FY_Start,YEAR(C181)+1,YEAR(C181)),2))</f>
        <v/>
      </c>
      <c r="H181" s="371" t="n"/>
      <c r="I181" s="371" t="n"/>
      <c r="J181" s="371" t="n"/>
      <c r="K181" s="371" t="n"/>
      <c r="L181" s="371" t="n"/>
      <c r="M181" s="371" t="n"/>
      <c r="N181" s="371" t="n"/>
      <c r="O181" s="371" t="n"/>
      <c r="P181" s="371" t="n"/>
      <c r="Q181" s="371" t="n"/>
      <c r="R181" s="371" t="n"/>
      <c r="S181" s="371" t="n"/>
      <c r="T181" s="371" t="n"/>
      <c r="U181" s="371" t="n"/>
      <c r="V181" s="371" t="n"/>
      <c r="W181" s="371" t="n"/>
      <c r="X181" s="371" t="n"/>
      <c r="Y181" s="371" t="n"/>
      <c r="Z181" s="372" t="n"/>
      <c r="AA181" s="372" t="n"/>
      <c r="AB181" s="371" t="n"/>
      <c r="AC181" s="371">
        <f>IF($B181="","",IF(AB181="Closed",IF(AA181="","",AA181-C181),TODAY()-C181))</f>
        <v/>
      </c>
      <c r="AD181" s="371" t="n"/>
    </row>
    <row r="182" ht="15" customHeight="1" s="15">
      <c r="A182" s="371">
        <f>IF($B182="","",ROW()-5)</f>
        <v/>
      </c>
      <c r="B182" s="371" t="n"/>
      <c r="C182" s="372" t="n"/>
      <c r="D182" s="371">
        <f>IF($B182="","",TEXT(C182,"MMM"))</f>
        <v/>
      </c>
      <c r="E182" s="371">
        <f>IF($B182="","","W"&amp;TEXT(WEEKNUM(C182,2),"00"))</f>
        <v/>
      </c>
      <c r="F182" s="371">
        <f>IF($B182="","","Q"&amp;(INT(MOD(MONTH(C182)-FY_Start+12,12)/3)+1))</f>
        <v/>
      </c>
      <c r="G182" s="371">
        <f>IF($B182="","","FY "&amp;IF(MONTH(C182)&gt;=FY_Start,YEAR(C182),YEAR(C182)-1)&amp;"-"&amp;RIGHT(IF(MONTH(C182)&gt;=FY_Start,YEAR(C182)+1,YEAR(C182)),2))</f>
        <v/>
      </c>
      <c r="H182" s="371" t="n"/>
      <c r="I182" s="371" t="n"/>
      <c r="J182" s="371" t="n"/>
      <c r="K182" s="371" t="n"/>
      <c r="L182" s="371" t="n"/>
      <c r="M182" s="371" t="n"/>
      <c r="N182" s="371" t="n"/>
      <c r="O182" s="371" t="n"/>
      <c r="P182" s="371" t="n"/>
      <c r="Q182" s="371" t="n"/>
      <c r="R182" s="371" t="n"/>
      <c r="S182" s="371" t="n"/>
      <c r="T182" s="371" t="n"/>
      <c r="U182" s="371" t="n"/>
      <c r="V182" s="371" t="n"/>
      <c r="W182" s="371" t="n"/>
      <c r="X182" s="371" t="n"/>
      <c r="Y182" s="371" t="n"/>
      <c r="Z182" s="372" t="n"/>
      <c r="AA182" s="372" t="n"/>
      <c r="AB182" s="371" t="n"/>
      <c r="AC182" s="371">
        <f>IF($B182="","",IF(AB182="Closed",IF(AA182="","",AA182-C182),TODAY()-C182))</f>
        <v/>
      </c>
      <c r="AD182" s="371" t="n"/>
    </row>
    <row r="183" ht="15" customHeight="1" s="15">
      <c r="A183" s="371">
        <f>IF($B183="","",ROW()-5)</f>
        <v/>
      </c>
      <c r="B183" s="371" t="n"/>
      <c r="C183" s="372" t="n"/>
      <c r="D183" s="371">
        <f>IF($B183="","",TEXT(C183,"MMM"))</f>
        <v/>
      </c>
      <c r="E183" s="371">
        <f>IF($B183="","","W"&amp;TEXT(WEEKNUM(C183,2),"00"))</f>
        <v/>
      </c>
      <c r="F183" s="371">
        <f>IF($B183="","","Q"&amp;(INT(MOD(MONTH(C183)-FY_Start+12,12)/3)+1))</f>
        <v/>
      </c>
      <c r="G183" s="371">
        <f>IF($B183="","","FY "&amp;IF(MONTH(C183)&gt;=FY_Start,YEAR(C183),YEAR(C183)-1)&amp;"-"&amp;RIGHT(IF(MONTH(C183)&gt;=FY_Start,YEAR(C183)+1,YEAR(C183)),2))</f>
        <v/>
      </c>
      <c r="H183" s="371" t="n"/>
      <c r="I183" s="371" t="n"/>
      <c r="J183" s="371" t="n"/>
      <c r="K183" s="371" t="n"/>
      <c r="L183" s="371" t="n"/>
      <c r="M183" s="371" t="n"/>
      <c r="N183" s="371" t="n"/>
      <c r="O183" s="371" t="n"/>
      <c r="P183" s="371" t="n"/>
      <c r="Q183" s="371" t="n"/>
      <c r="R183" s="371" t="n"/>
      <c r="S183" s="371" t="n"/>
      <c r="T183" s="371" t="n"/>
      <c r="U183" s="371" t="n"/>
      <c r="V183" s="371" t="n"/>
      <c r="W183" s="371" t="n"/>
      <c r="X183" s="371" t="n"/>
      <c r="Y183" s="371" t="n"/>
      <c r="Z183" s="372" t="n"/>
      <c r="AA183" s="372" t="n"/>
      <c r="AB183" s="371" t="n"/>
      <c r="AC183" s="371">
        <f>IF($B183="","",IF(AB183="Closed",IF(AA183="","",AA183-C183),TODAY()-C183))</f>
        <v/>
      </c>
      <c r="AD183" s="371" t="n"/>
    </row>
    <row r="184" ht="15" customHeight="1" s="15">
      <c r="A184" s="371">
        <f>IF($B184="","",ROW()-5)</f>
        <v/>
      </c>
      <c r="B184" s="371" t="n"/>
      <c r="C184" s="372" t="n"/>
      <c r="D184" s="371">
        <f>IF($B184="","",TEXT(C184,"MMM"))</f>
        <v/>
      </c>
      <c r="E184" s="371">
        <f>IF($B184="","","W"&amp;TEXT(WEEKNUM(C184,2),"00"))</f>
        <v/>
      </c>
      <c r="F184" s="371">
        <f>IF($B184="","","Q"&amp;(INT(MOD(MONTH(C184)-FY_Start+12,12)/3)+1))</f>
        <v/>
      </c>
      <c r="G184" s="371">
        <f>IF($B184="","","FY "&amp;IF(MONTH(C184)&gt;=FY_Start,YEAR(C184),YEAR(C184)-1)&amp;"-"&amp;RIGHT(IF(MONTH(C184)&gt;=FY_Start,YEAR(C184)+1,YEAR(C184)),2))</f>
        <v/>
      </c>
      <c r="H184" s="371" t="n"/>
      <c r="I184" s="371" t="n"/>
      <c r="J184" s="371" t="n"/>
      <c r="K184" s="371" t="n"/>
      <c r="L184" s="371" t="n"/>
      <c r="M184" s="371" t="n"/>
      <c r="N184" s="371" t="n"/>
      <c r="O184" s="371" t="n"/>
      <c r="P184" s="371" t="n"/>
      <c r="Q184" s="371" t="n"/>
      <c r="R184" s="371" t="n"/>
      <c r="S184" s="371" t="n"/>
      <c r="T184" s="371" t="n"/>
      <c r="U184" s="371" t="n"/>
      <c r="V184" s="371" t="n"/>
      <c r="W184" s="371" t="n"/>
      <c r="X184" s="371" t="n"/>
      <c r="Y184" s="371" t="n"/>
      <c r="Z184" s="372" t="n"/>
      <c r="AA184" s="372" t="n"/>
      <c r="AB184" s="371" t="n"/>
      <c r="AC184" s="371">
        <f>IF($B184="","",IF(AB184="Closed",IF(AA184="","",AA184-C184),TODAY()-C184))</f>
        <v/>
      </c>
      <c r="AD184" s="371" t="n"/>
    </row>
    <row r="185" ht="15" customHeight="1" s="15">
      <c r="A185" s="371">
        <f>IF($B185="","",ROW()-5)</f>
        <v/>
      </c>
      <c r="B185" s="371" t="n"/>
      <c r="C185" s="372" t="n"/>
      <c r="D185" s="371">
        <f>IF($B185="","",TEXT(C185,"MMM"))</f>
        <v/>
      </c>
      <c r="E185" s="371">
        <f>IF($B185="","","W"&amp;TEXT(WEEKNUM(C185,2),"00"))</f>
        <v/>
      </c>
      <c r="F185" s="371">
        <f>IF($B185="","","Q"&amp;(INT(MOD(MONTH(C185)-FY_Start+12,12)/3)+1))</f>
        <v/>
      </c>
      <c r="G185" s="371">
        <f>IF($B185="","","FY "&amp;IF(MONTH(C185)&gt;=FY_Start,YEAR(C185),YEAR(C185)-1)&amp;"-"&amp;RIGHT(IF(MONTH(C185)&gt;=FY_Start,YEAR(C185)+1,YEAR(C185)),2))</f>
        <v/>
      </c>
      <c r="H185" s="371" t="n"/>
      <c r="I185" s="371" t="n"/>
      <c r="J185" s="371" t="n"/>
      <c r="K185" s="371" t="n"/>
      <c r="L185" s="371" t="n"/>
      <c r="M185" s="371" t="n"/>
      <c r="N185" s="371" t="n"/>
      <c r="O185" s="371" t="n"/>
      <c r="P185" s="371" t="n"/>
      <c r="Q185" s="371" t="n"/>
      <c r="R185" s="371" t="n"/>
      <c r="S185" s="371" t="n"/>
      <c r="T185" s="371" t="n"/>
      <c r="U185" s="371" t="n"/>
      <c r="V185" s="371" t="n"/>
      <c r="W185" s="371" t="n"/>
      <c r="X185" s="371" t="n"/>
      <c r="Y185" s="371" t="n"/>
      <c r="Z185" s="372" t="n"/>
      <c r="AA185" s="372" t="n"/>
      <c r="AB185" s="371" t="n"/>
      <c r="AC185" s="371">
        <f>IF($B185="","",IF(AB185="Closed",IF(AA185="","",AA185-C185),TODAY()-C185))</f>
        <v/>
      </c>
      <c r="AD185" s="371" t="n"/>
    </row>
    <row r="186" ht="15" customHeight="1" s="15">
      <c r="A186" s="371">
        <f>IF($B186="","",ROW()-5)</f>
        <v/>
      </c>
      <c r="B186" s="371" t="n"/>
      <c r="C186" s="372" t="n"/>
      <c r="D186" s="371">
        <f>IF($B186="","",TEXT(C186,"MMM"))</f>
        <v/>
      </c>
      <c r="E186" s="371">
        <f>IF($B186="","","W"&amp;TEXT(WEEKNUM(C186,2),"00"))</f>
        <v/>
      </c>
      <c r="F186" s="371">
        <f>IF($B186="","","Q"&amp;(INT(MOD(MONTH(C186)-FY_Start+12,12)/3)+1))</f>
        <v/>
      </c>
      <c r="G186" s="371">
        <f>IF($B186="","","FY "&amp;IF(MONTH(C186)&gt;=FY_Start,YEAR(C186),YEAR(C186)-1)&amp;"-"&amp;RIGHT(IF(MONTH(C186)&gt;=FY_Start,YEAR(C186)+1,YEAR(C186)),2))</f>
        <v/>
      </c>
      <c r="H186" s="371" t="n"/>
      <c r="I186" s="371" t="n"/>
      <c r="J186" s="371" t="n"/>
      <c r="K186" s="371" t="n"/>
      <c r="L186" s="371" t="n"/>
      <c r="M186" s="371" t="n"/>
      <c r="N186" s="371" t="n"/>
      <c r="O186" s="371" t="n"/>
      <c r="P186" s="371" t="n"/>
      <c r="Q186" s="371" t="n"/>
      <c r="R186" s="371" t="n"/>
      <c r="S186" s="371" t="n"/>
      <c r="T186" s="371" t="n"/>
      <c r="U186" s="371" t="n"/>
      <c r="V186" s="371" t="n"/>
      <c r="W186" s="371" t="n"/>
      <c r="X186" s="371" t="n"/>
      <c r="Y186" s="371" t="n"/>
      <c r="Z186" s="372" t="n"/>
      <c r="AA186" s="372" t="n"/>
      <c r="AB186" s="371" t="n"/>
      <c r="AC186" s="371">
        <f>IF($B186="","",IF(AB186="Closed",IF(AA186="","",AA186-C186),TODAY()-C186))</f>
        <v/>
      </c>
      <c r="AD186" s="371" t="n"/>
    </row>
    <row r="187" ht="15" customHeight="1" s="15">
      <c r="A187" s="371">
        <f>IF($B187="","",ROW()-5)</f>
        <v/>
      </c>
      <c r="B187" s="371" t="n"/>
      <c r="C187" s="372" t="n"/>
      <c r="D187" s="371">
        <f>IF($B187="","",TEXT(C187,"MMM"))</f>
        <v/>
      </c>
      <c r="E187" s="371">
        <f>IF($B187="","","W"&amp;TEXT(WEEKNUM(C187,2),"00"))</f>
        <v/>
      </c>
      <c r="F187" s="371">
        <f>IF($B187="","","Q"&amp;(INT(MOD(MONTH(C187)-FY_Start+12,12)/3)+1))</f>
        <v/>
      </c>
      <c r="G187" s="371">
        <f>IF($B187="","","FY "&amp;IF(MONTH(C187)&gt;=FY_Start,YEAR(C187),YEAR(C187)-1)&amp;"-"&amp;RIGHT(IF(MONTH(C187)&gt;=FY_Start,YEAR(C187)+1,YEAR(C187)),2))</f>
        <v/>
      </c>
      <c r="H187" s="371" t="n"/>
      <c r="I187" s="371" t="n"/>
      <c r="J187" s="371" t="n"/>
      <c r="K187" s="371" t="n"/>
      <c r="L187" s="371" t="n"/>
      <c r="M187" s="371" t="n"/>
      <c r="N187" s="371" t="n"/>
      <c r="O187" s="371" t="n"/>
      <c r="P187" s="371" t="n"/>
      <c r="Q187" s="371" t="n"/>
      <c r="R187" s="371" t="n"/>
      <c r="S187" s="371" t="n"/>
      <c r="T187" s="371" t="n"/>
      <c r="U187" s="371" t="n"/>
      <c r="V187" s="371" t="n"/>
      <c r="W187" s="371" t="n"/>
      <c r="X187" s="371" t="n"/>
      <c r="Y187" s="371" t="n"/>
      <c r="Z187" s="372" t="n"/>
      <c r="AA187" s="372" t="n"/>
      <c r="AB187" s="371" t="n"/>
      <c r="AC187" s="371">
        <f>IF($B187="","",IF(AB187="Closed",IF(AA187="","",AA187-C187),TODAY()-C187))</f>
        <v/>
      </c>
      <c r="AD187" s="371" t="n"/>
    </row>
    <row r="188" ht="15" customHeight="1" s="15">
      <c r="A188" s="371">
        <f>IF($B188="","",ROW()-5)</f>
        <v/>
      </c>
      <c r="B188" s="371" t="n"/>
      <c r="C188" s="372" t="n"/>
      <c r="D188" s="371">
        <f>IF($B188="","",TEXT(C188,"MMM"))</f>
        <v/>
      </c>
      <c r="E188" s="371">
        <f>IF($B188="","","W"&amp;TEXT(WEEKNUM(C188,2),"00"))</f>
        <v/>
      </c>
      <c r="F188" s="371">
        <f>IF($B188="","","Q"&amp;(INT(MOD(MONTH(C188)-FY_Start+12,12)/3)+1))</f>
        <v/>
      </c>
      <c r="G188" s="371">
        <f>IF($B188="","","FY "&amp;IF(MONTH(C188)&gt;=FY_Start,YEAR(C188),YEAR(C188)-1)&amp;"-"&amp;RIGHT(IF(MONTH(C188)&gt;=FY_Start,YEAR(C188)+1,YEAR(C188)),2))</f>
        <v/>
      </c>
      <c r="H188" s="371" t="n"/>
      <c r="I188" s="371" t="n"/>
      <c r="J188" s="371" t="n"/>
      <c r="K188" s="371" t="n"/>
      <c r="L188" s="371" t="n"/>
      <c r="M188" s="371" t="n"/>
      <c r="N188" s="371" t="n"/>
      <c r="O188" s="371" t="n"/>
      <c r="P188" s="371" t="n"/>
      <c r="Q188" s="371" t="n"/>
      <c r="R188" s="371" t="n"/>
      <c r="S188" s="371" t="n"/>
      <c r="T188" s="371" t="n"/>
      <c r="U188" s="371" t="n"/>
      <c r="V188" s="371" t="n"/>
      <c r="W188" s="371" t="n"/>
      <c r="X188" s="371" t="n"/>
      <c r="Y188" s="371" t="n"/>
      <c r="Z188" s="372" t="n"/>
      <c r="AA188" s="372" t="n"/>
      <c r="AB188" s="371" t="n"/>
      <c r="AC188" s="371">
        <f>IF($B188="","",IF(AB188="Closed",IF(AA188="","",AA188-C188),TODAY()-C188))</f>
        <v/>
      </c>
      <c r="AD188" s="371" t="n"/>
    </row>
    <row r="189" ht="15" customHeight="1" s="15">
      <c r="A189" s="371">
        <f>IF($B189="","",ROW()-5)</f>
        <v/>
      </c>
      <c r="B189" s="371" t="n"/>
      <c r="C189" s="372" t="n"/>
      <c r="D189" s="371">
        <f>IF($B189="","",TEXT(C189,"MMM"))</f>
        <v/>
      </c>
      <c r="E189" s="371">
        <f>IF($B189="","","W"&amp;TEXT(WEEKNUM(C189,2),"00"))</f>
        <v/>
      </c>
      <c r="F189" s="371">
        <f>IF($B189="","","Q"&amp;(INT(MOD(MONTH(C189)-FY_Start+12,12)/3)+1))</f>
        <v/>
      </c>
      <c r="G189" s="371">
        <f>IF($B189="","","FY "&amp;IF(MONTH(C189)&gt;=FY_Start,YEAR(C189),YEAR(C189)-1)&amp;"-"&amp;RIGHT(IF(MONTH(C189)&gt;=FY_Start,YEAR(C189)+1,YEAR(C189)),2))</f>
        <v/>
      </c>
      <c r="H189" s="371" t="n"/>
      <c r="I189" s="371" t="n"/>
      <c r="J189" s="371" t="n"/>
      <c r="K189" s="371" t="n"/>
      <c r="L189" s="371" t="n"/>
      <c r="M189" s="371" t="n"/>
      <c r="N189" s="371" t="n"/>
      <c r="O189" s="371" t="n"/>
      <c r="P189" s="371" t="n"/>
      <c r="Q189" s="371" t="n"/>
      <c r="R189" s="371" t="n"/>
      <c r="S189" s="371" t="n"/>
      <c r="T189" s="371" t="n"/>
      <c r="U189" s="371" t="n"/>
      <c r="V189" s="371" t="n"/>
      <c r="W189" s="371" t="n"/>
      <c r="X189" s="371" t="n"/>
      <c r="Y189" s="371" t="n"/>
      <c r="Z189" s="372" t="n"/>
      <c r="AA189" s="372" t="n"/>
      <c r="AB189" s="371" t="n"/>
      <c r="AC189" s="371">
        <f>IF($B189="","",IF(AB189="Closed",IF(AA189="","",AA189-C189),TODAY()-C189))</f>
        <v/>
      </c>
      <c r="AD189" s="371" t="n"/>
    </row>
    <row r="190" ht="15" customHeight="1" s="15">
      <c r="A190" s="371">
        <f>IF($B190="","",ROW()-5)</f>
        <v/>
      </c>
      <c r="B190" s="371" t="n"/>
      <c r="C190" s="372" t="n"/>
      <c r="D190" s="371">
        <f>IF($B190="","",TEXT(C190,"MMM"))</f>
        <v/>
      </c>
      <c r="E190" s="371">
        <f>IF($B190="","","W"&amp;TEXT(WEEKNUM(C190,2),"00"))</f>
        <v/>
      </c>
      <c r="F190" s="371">
        <f>IF($B190="","","Q"&amp;(INT(MOD(MONTH(C190)-FY_Start+12,12)/3)+1))</f>
        <v/>
      </c>
      <c r="G190" s="371">
        <f>IF($B190="","","FY "&amp;IF(MONTH(C190)&gt;=FY_Start,YEAR(C190),YEAR(C190)-1)&amp;"-"&amp;RIGHT(IF(MONTH(C190)&gt;=FY_Start,YEAR(C190)+1,YEAR(C190)),2))</f>
        <v/>
      </c>
      <c r="H190" s="371" t="n"/>
      <c r="I190" s="371" t="n"/>
      <c r="J190" s="371" t="n"/>
      <c r="K190" s="371" t="n"/>
      <c r="L190" s="371" t="n"/>
      <c r="M190" s="371" t="n"/>
      <c r="N190" s="371" t="n"/>
      <c r="O190" s="371" t="n"/>
      <c r="P190" s="371" t="n"/>
      <c r="Q190" s="371" t="n"/>
      <c r="R190" s="371" t="n"/>
      <c r="S190" s="371" t="n"/>
      <c r="T190" s="371" t="n"/>
      <c r="U190" s="371" t="n"/>
      <c r="V190" s="371" t="n"/>
      <c r="W190" s="371" t="n"/>
      <c r="X190" s="371" t="n"/>
      <c r="Y190" s="371" t="n"/>
      <c r="Z190" s="372" t="n"/>
      <c r="AA190" s="372" t="n"/>
      <c r="AB190" s="371" t="n"/>
      <c r="AC190" s="371">
        <f>IF($B190="","",IF(AB190="Closed",IF(AA190="","",AA190-C190),TODAY()-C190))</f>
        <v/>
      </c>
      <c r="AD190" s="371" t="n"/>
    </row>
    <row r="191" ht="15" customHeight="1" s="15">
      <c r="A191" s="371">
        <f>IF($B191="","",ROW()-5)</f>
        <v/>
      </c>
      <c r="B191" s="371" t="n"/>
      <c r="C191" s="372" t="n"/>
      <c r="D191" s="371">
        <f>IF($B191="","",TEXT(C191,"MMM"))</f>
        <v/>
      </c>
      <c r="E191" s="371">
        <f>IF($B191="","","W"&amp;TEXT(WEEKNUM(C191,2),"00"))</f>
        <v/>
      </c>
      <c r="F191" s="371">
        <f>IF($B191="","","Q"&amp;(INT(MOD(MONTH(C191)-FY_Start+12,12)/3)+1))</f>
        <v/>
      </c>
      <c r="G191" s="371">
        <f>IF($B191="","","FY "&amp;IF(MONTH(C191)&gt;=FY_Start,YEAR(C191),YEAR(C191)-1)&amp;"-"&amp;RIGHT(IF(MONTH(C191)&gt;=FY_Start,YEAR(C191)+1,YEAR(C191)),2))</f>
        <v/>
      </c>
      <c r="H191" s="371" t="n"/>
      <c r="I191" s="371" t="n"/>
      <c r="J191" s="371" t="n"/>
      <c r="K191" s="371" t="n"/>
      <c r="L191" s="371" t="n"/>
      <c r="M191" s="371" t="n"/>
      <c r="N191" s="371" t="n"/>
      <c r="O191" s="371" t="n"/>
      <c r="P191" s="371" t="n"/>
      <c r="Q191" s="371" t="n"/>
      <c r="R191" s="371" t="n"/>
      <c r="S191" s="371" t="n"/>
      <c r="T191" s="371" t="n"/>
      <c r="U191" s="371" t="n"/>
      <c r="V191" s="371" t="n"/>
      <c r="W191" s="371" t="n"/>
      <c r="X191" s="371" t="n"/>
      <c r="Y191" s="371" t="n"/>
      <c r="Z191" s="372" t="n"/>
      <c r="AA191" s="372" t="n"/>
      <c r="AB191" s="371" t="n"/>
      <c r="AC191" s="371">
        <f>IF($B191="","",IF(AB191="Closed",IF(AA191="","",AA191-C191),TODAY()-C191))</f>
        <v/>
      </c>
      <c r="AD191" s="371" t="n"/>
    </row>
    <row r="192" ht="15" customHeight="1" s="15">
      <c r="A192" s="371">
        <f>IF($B192="","",ROW()-5)</f>
        <v/>
      </c>
      <c r="B192" s="371" t="n"/>
      <c r="C192" s="372" t="n"/>
      <c r="D192" s="371">
        <f>IF($B192="","",TEXT(C192,"MMM"))</f>
        <v/>
      </c>
      <c r="E192" s="371">
        <f>IF($B192="","","W"&amp;TEXT(WEEKNUM(C192,2),"00"))</f>
        <v/>
      </c>
      <c r="F192" s="371">
        <f>IF($B192="","","Q"&amp;(INT(MOD(MONTH(C192)-FY_Start+12,12)/3)+1))</f>
        <v/>
      </c>
      <c r="G192" s="371">
        <f>IF($B192="","","FY "&amp;IF(MONTH(C192)&gt;=FY_Start,YEAR(C192),YEAR(C192)-1)&amp;"-"&amp;RIGHT(IF(MONTH(C192)&gt;=FY_Start,YEAR(C192)+1,YEAR(C192)),2))</f>
        <v/>
      </c>
      <c r="H192" s="371" t="n"/>
      <c r="I192" s="371" t="n"/>
      <c r="J192" s="371" t="n"/>
      <c r="K192" s="371" t="n"/>
      <c r="L192" s="371" t="n"/>
      <c r="M192" s="371" t="n"/>
      <c r="N192" s="371" t="n"/>
      <c r="O192" s="371" t="n"/>
      <c r="P192" s="371" t="n"/>
      <c r="Q192" s="371" t="n"/>
      <c r="R192" s="371" t="n"/>
      <c r="S192" s="371" t="n"/>
      <c r="T192" s="371" t="n"/>
      <c r="U192" s="371" t="n"/>
      <c r="V192" s="371" t="n"/>
      <c r="W192" s="371" t="n"/>
      <c r="X192" s="371" t="n"/>
      <c r="Y192" s="371" t="n"/>
      <c r="Z192" s="372" t="n"/>
      <c r="AA192" s="372" t="n"/>
      <c r="AB192" s="371" t="n"/>
      <c r="AC192" s="371">
        <f>IF($B192="","",IF(AB192="Closed",IF(AA192="","",AA192-C192),TODAY()-C192))</f>
        <v/>
      </c>
      <c r="AD192" s="371" t="n"/>
    </row>
    <row r="193" ht="15" customHeight="1" s="15">
      <c r="A193" s="371">
        <f>IF($B193="","",ROW()-5)</f>
        <v/>
      </c>
      <c r="B193" s="371" t="n"/>
      <c r="C193" s="372" t="n"/>
      <c r="D193" s="371">
        <f>IF($B193="","",TEXT(C193,"MMM"))</f>
        <v/>
      </c>
      <c r="E193" s="371">
        <f>IF($B193="","","W"&amp;TEXT(WEEKNUM(C193,2),"00"))</f>
        <v/>
      </c>
      <c r="F193" s="371">
        <f>IF($B193="","","Q"&amp;(INT(MOD(MONTH(C193)-FY_Start+12,12)/3)+1))</f>
        <v/>
      </c>
      <c r="G193" s="371">
        <f>IF($B193="","","FY "&amp;IF(MONTH(C193)&gt;=FY_Start,YEAR(C193),YEAR(C193)-1)&amp;"-"&amp;RIGHT(IF(MONTH(C193)&gt;=FY_Start,YEAR(C193)+1,YEAR(C193)),2))</f>
        <v/>
      </c>
      <c r="H193" s="371" t="n"/>
      <c r="I193" s="371" t="n"/>
      <c r="J193" s="371" t="n"/>
      <c r="K193" s="371" t="n"/>
      <c r="L193" s="371" t="n"/>
      <c r="M193" s="371" t="n"/>
      <c r="N193" s="371" t="n"/>
      <c r="O193" s="371" t="n"/>
      <c r="P193" s="371" t="n"/>
      <c r="Q193" s="371" t="n"/>
      <c r="R193" s="371" t="n"/>
      <c r="S193" s="371" t="n"/>
      <c r="T193" s="371" t="n"/>
      <c r="U193" s="371" t="n"/>
      <c r="V193" s="371" t="n"/>
      <c r="W193" s="371" t="n"/>
      <c r="X193" s="371" t="n"/>
      <c r="Y193" s="371" t="n"/>
      <c r="Z193" s="372" t="n"/>
      <c r="AA193" s="372" t="n"/>
      <c r="AB193" s="371" t="n"/>
      <c r="AC193" s="371">
        <f>IF($B193="","",IF(AB193="Closed",IF(AA193="","",AA193-C193),TODAY()-C193))</f>
        <v/>
      </c>
      <c r="AD193" s="371" t="n"/>
    </row>
    <row r="194" ht="15" customHeight="1" s="15">
      <c r="A194" s="371">
        <f>IF($B194="","",ROW()-5)</f>
        <v/>
      </c>
      <c r="B194" s="371" t="n"/>
      <c r="C194" s="372" t="n"/>
      <c r="D194" s="371">
        <f>IF($B194="","",TEXT(C194,"MMM"))</f>
        <v/>
      </c>
      <c r="E194" s="371">
        <f>IF($B194="","","W"&amp;TEXT(WEEKNUM(C194,2),"00"))</f>
        <v/>
      </c>
      <c r="F194" s="371">
        <f>IF($B194="","","Q"&amp;(INT(MOD(MONTH(C194)-FY_Start+12,12)/3)+1))</f>
        <v/>
      </c>
      <c r="G194" s="371">
        <f>IF($B194="","","FY "&amp;IF(MONTH(C194)&gt;=FY_Start,YEAR(C194),YEAR(C194)-1)&amp;"-"&amp;RIGHT(IF(MONTH(C194)&gt;=FY_Start,YEAR(C194)+1,YEAR(C194)),2))</f>
        <v/>
      </c>
      <c r="H194" s="371" t="n"/>
      <c r="I194" s="371" t="n"/>
      <c r="J194" s="371" t="n"/>
      <c r="K194" s="371" t="n"/>
      <c r="L194" s="371" t="n"/>
      <c r="M194" s="371" t="n"/>
      <c r="N194" s="371" t="n"/>
      <c r="O194" s="371" t="n"/>
      <c r="P194" s="371" t="n"/>
      <c r="Q194" s="371" t="n"/>
      <c r="R194" s="371" t="n"/>
      <c r="S194" s="371" t="n"/>
      <c r="T194" s="371" t="n"/>
      <c r="U194" s="371" t="n"/>
      <c r="V194" s="371" t="n"/>
      <c r="W194" s="371" t="n"/>
      <c r="X194" s="371" t="n"/>
      <c r="Y194" s="371" t="n"/>
      <c r="Z194" s="372" t="n"/>
      <c r="AA194" s="372" t="n"/>
      <c r="AB194" s="371" t="n"/>
      <c r="AC194" s="371">
        <f>IF($B194="","",IF(AB194="Closed",IF(AA194="","",AA194-C194),TODAY()-C194))</f>
        <v/>
      </c>
      <c r="AD194" s="371" t="n"/>
    </row>
    <row r="195" ht="15" customHeight="1" s="15">
      <c r="A195" s="371">
        <f>IF($B195="","",ROW()-5)</f>
        <v/>
      </c>
      <c r="B195" s="371" t="n"/>
      <c r="C195" s="372" t="n"/>
      <c r="D195" s="371">
        <f>IF($B195="","",TEXT(C195,"MMM"))</f>
        <v/>
      </c>
      <c r="E195" s="371">
        <f>IF($B195="","","W"&amp;TEXT(WEEKNUM(C195,2),"00"))</f>
        <v/>
      </c>
      <c r="F195" s="371">
        <f>IF($B195="","","Q"&amp;(INT(MOD(MONTH(C195)-FY_Start+12,12)/3)+1))</f>
        <v/>
      </c>
      <c r="G195" s="371">
        <f>IF($B195="","","FY "&amp;IF(MONTH(C195)&gt;=FY_Start,YEAR(C195),YEAR(C195)-1)&amp;"-"&amp;RIGHT(IF(MONTH(C195)&gt;=FY_Start,YEAR(C195)+1,YEAR(C195)),2))</f>
        <v/>
      </c>
      <c r="H195" s="371" t="n"/>
      <c r="I195" s="371" t="n"/>
      <c r="J195" s="371" t="n"/>
      <c r="K195" s="371" t="n"/>
      <c r="L195" s="371" t="n"/>
      <c r="M195" s="371" t="n"/>
      <c r="N195" s="371" t="n"/>
      <c r="O195" s="371" t="n"/>
      <c r="P195" s="371" t="n"/>
      <c r="Q195" s="371" t="n"/>
      <c r="R195" s="371" t="n"/>
      <c r="S195" s="371" t="n"/>
      <c r="T195" s="371" t="n"/>
      <c r="U195" s="371" t="n"/>
      <c r="V195" s="371" t="n"/>
      <c r="W195" s="371" t="n"/>
      <c r="X195" s="371" t="n"/>
      <c r="Y195" s="371" t="n"/>
      <c r="Z195" s="372" t="n"/>
      <c r="AA195" s="372" t="n"/>
      <c r="AB195" s="371" t="n"/>
      <c r="AC195" s="371">
        <f>IF($B195="","",IF(AB195="Closed",IF(AA195="","",AA195-C195),TODAY()-C195))</f>
        <v/>
      </c>
      <c r="AD195" s="371" t="n"/>
    </row>
    <row r="196" ht="15" customHeight="1" s="15">
      <c r="A196" s="371">
        <f>IF($B196="","",ROW()-5)</f>
        <v/>
      </c>
      <c r="B196" s="371" t="n"/>
      <c r="C196" s="372" t="n"/>
      <c r="D196" s="371">
        <f>IF($B196="","",TEXT(C196,"MMM"))</f>
        <v/>
      </c>
      <c r="E196" s="371">
        <f>IF($B196="","","W"&amp;TEXT(WEEKNUM(C196,2),"00"))</f>
        <v/>
      </c>
      <c r="F196" s="371">
        <f>IF($B196="","","Q"&amp;(INT(MOD(MONTH(C196)-FY_Start+12,12)/3)+1))</f>
        <v/>
      </c>
      <c r="G196" s="371">
        <f>IF($B196="","","FY "&amp;IF(MONTH(C196)&gt;=FY_Start,YEAR(C196),YEAR(C196)-1)&amp;"-"&amp;RIGHT(IF(MONTH(C196)&gt;=FY_Start,YEAR(C196)+1,YEAR(C196)),2))</f>
        <v/>
      </c>
      <c r="H196" s="371" t="n"/>
      <c r="I196" s="371" t="n"/>
      <c r="J196" s="371" t="n"/>
      <c r="K196" s="371" t="n"/>
      <c r="L196" s="371" t="n"/>
      <c r="M196" s="371" t="n"/>
      <c r="N196" s="371" t="n"/>
      <c r="O196" s="371" t="n"/>
      <c r="P196" s="371" t="n"/>
      <c r="Q196" s="371" t="n"/>
      <c r="R196" s="371" t="n"/>
      <c r="S196" s="371" t="n"/>
      <c r="T196" s="371" t="n"/>
      <c r="U196" s="371" t="n"/>
      <c r="V196" s="371" t="n"/>
      <c r="W196" s="371" t="n"/>
      <c r="X196" s="371" t="n"/>
      <c r="Y196" s="371" t="n"/>
      <c r="Z196" s="372" t="n"/>
      <c r="AA196" s="372" t="n"/>
      <c r="AB196" s="371" t="n"/>
      <c r="AC196" s="371">
        <f>IF($B196="","",IF(AB196="Closed",IF(AA196="","",AA196-C196),TODAY()-C196))</f>
        <v/>
      </c>
      <c r="AD196" s="371" t="n"/>
    </row>
    <row r="197" ht="15" customHeight="1" s="15">
      <c r="A197" s="371">
        <f>IF($B197="","",ROW()-5)</f>
        <v/>
      </c>
      <c r="B197" s="371" t="n"/>
      <c r="C197" s="372" t="n"/>
      <c r="D197" s="371">
        <f>IF($B197="","",TEXT(C197,"MMM"))</f>
        <v/>
      </c>
      <c r="E197" s="371">
        <f>IF($B197="","","W"&amp;TEXT(WEEKNUM(C197,2),"00"))</f>
        <v/>
      </c>
      <c r="F197" s="371">
        <f>IF($B197="","","Q"&amp;(INT(MOD(MONTH(C197)-FY_Start+12,12)/3)+1))</f>
        <v/>
      </c>
      <c r="G197" s="371">
        <f>IF($B197="","","FY "&amp;IF(MONTH(C197)&gt;=FY_Start,YEAR(C197),YEAR(C197)-1)&amp;"-"&amp;RIGHT(IF(MONTH(C197)&gt;=FY_Start,YEAR(C197)+1,YEAR(C197)),2))</f>
        <v/>
      </c>
      <c r="H197" s="371" t="n"/>
      <c r="I197" s="371" t="n"/>
      <c r="J197" s="371" t="n"/>
      <c r="K197" s="371" t="n"/>
      <c r="L197" s="371" t="n"/>
      <c r="M197" s="371" t="n"/>
      <c r="N197" s="371" t="n"/>
      <c r="O197" s="371" t="n"/>
      <c r="P197" s="371" t="n"/>
      <c r="Q197" s="371" t="n"/>
      <c r="R197" s="371" t="n"/>
      <c r="S197" s="371" t="n"/>
      <c r="T197" s="371" t="n"/>
      <c r="U197" s="371" t="n"/>
      <c r="V197" s="371" t="n"/>
      <c r="W197" s="371" t="n"/>
      <c r="X197" s="371" t="n"/>
      <c r="Y197" s="371" t="n"/>
      <c r="Z197" s="372" t="n"/>
      <c r="AA197" s="372" t="n"/>
      <c r="AB197" s="371" t="n"/>
      <c r="AC197" s="371">
        <f>IF($B197="","",IF(AB197="Closed",IF(AA197="","",AA197-C197),TODAY()-C197))</f>
        <v/>
      </c>
      <c r="AD197" s="371" t="n"/>
    </row>
    <row r="198" ht="15" customHeight="1" s="15">
      <c r="A198" s="371">
        <f>IF($B198="","",ROW()-5)</f>
        <v/>
      </c>
      <c r="B198" s="371" t="n"/>
      <c r="C198" s="372" t="n"/>
      <c r="D198" s="371">
        <f>IF($B198="","",TEXT(C198,"MMM"))</f>
        <v/>
      </c>
      <c r="E198" s="371">
        <f>IF($B198="","","W"&amp;TEXT(WEEKNUM(C198,2),"00"))</f>
        <v/>
      </c>
      <c r="F198" s="371">
        <f>IF($B198="","","Q"&amp;(INT(MOD(MONTH(C198)-FY_Start+12,12)/3)+1))</f>
        <v/>
      </c>
      <c r="G198" s="371">
        <f>IF($B198="","","FY "&amp;IF(MONTH(C198)&gt;=FY_Start,YEAR(C198),YEAR(C198)-1)&amp;"-"&amp;RIGHT(IF(MONTH(C198)&gt;=FY_Start,YEAR(C198)+1,YEAR(C198)),2))</f>
        <v/>
      </c>
      <c r="H198" s="371" t="n"/>
      <c r="I198" s="371" t="n"/>
      <c r="J198" s="371" t="n"/>
      <c r="K198" s="371" t="n"/>
      <c r="L198" s="371" t="n"/>
      <c r="M198" s="371" t="n"/>
      <c r="N198" s="371" t="n"/>
      <c r="O198" s="371" t="n"/>
      <c r="P198" s="371" t="n"/>
      <c r="Q198" s="371" t="n"/>
      <c r="R198" s="371" t="n"/>
      <c r="S198" s="371" t="n"/>
      <c r="T198" s="371" t="n"/>
      <c r="U198" s="371" t="n"/>
      <c r="V198" s="371" t="n"/>
      <c r="W198" s="371" t="n"/>
      <c r="X198" s="371" t="n"/>
      <c r="Y198" s="371" t="n"/>
      <c r="Z198" s="372" t="n"/>
      <c r="AA198" s="372" t="n"/>
      <c r="AB198" s="371" t="n"/>
      <c r="AC198" s="371">
        <f>IF($B198="","",IF(AB198="Closed",IF(AA198="","",AA198-C198),TODAY()-C198))</f>
        <v/>
      </c>
      <c r="AD198" s="371" t="n"/>
    </row>
    <row r="199" ht="15" customHeight="1" s="15">
      <c r="A199" s="371">
        <f>IF($B199="","",ROW()-5)</f>
        <v/>
      </c>
      <c r="B199" s="371" t="n"/>
      <c r="C199" s="372" t="n"/>
      <c r="D199" s="371">
        <f>IF($B199="","",TEXT(C199,"MMM"))</f>
        <v/>
      </c>
      <c r="E199" s="371">
        <f>IF($B199="","","W"&amp;TEXT(WEEKNUM(C199,2),"00"))</f>
        <v/>
      </c>
      <c r="F199" s="371">
        <f>IF($B199="","","Q"&amp;(INT(MOD(MONTH(C199)-FY_Start+12,12)/3)+1))</f>
        <v/>
      </c>
      <c r="G199" s="371">
        <f>IF($B199="","","FY "&amp;IF(MONTH(C199)&gt;=FY_Start,YEAR(C199),YEAR(C199)-1)&amp;"-"&amp;RIGHT(IF(MONTH(C199)&gt;=FY_Start,YEAR(C199)+1,YEAR(C199)),2))</f>
        <v/>
      </c>
      <c r="H199" s="371" t="n"/>
      <c r="I199" s="371" t="n"/>
      <c r="J199" s="371" t="n"/>
      <c r="K199" s="371" t="n"/>
      <c r="L199" s="371" t="n"/>
      <c r="M199" s="371" t="n"/>
      <c r="N199" s="371" t="n"/>
      <c r="O199" s="371" t="n"/>
      <c r="P199" s="371" t="n"/>
      <c r="Q199" s="371" t="n"/>
      <c r="R199" s="371" t="n"/>
      <c r="S199" s="371" t="n"/>
      <c r="T199" s="371" t="n"/>
      <c r="U199" s="371" t="n"/>
      <c r="V199" s="371" t="n"/>
      <c r="W199" s="371" t="n"/>
      <c r="X199" s="371" t="n"/>
      <c r="Y199" s="371" t="n"/>
      <c r="Z199" s="372" t="n"/>
      <c r="AA199" s="372" t="n"/>
      <c r="AB199" s="371" t="n"/>
      <c r="AC199" s="371">
        <f>IF($B199="","",IF(AB199="Closed",IF(AA199="","",AA199-C199),TODAY()-C199))</f>
        <v/>
      </c>
      <c r="AD199" s="371" t="n"/>
    </row>
    <row r="200" ht="15" customHeight="1" s="15">
      <c r="A200" s="371">
        <f>IF($B200="","",ROW()-5)</f>
        <v/>
      </c>
      <c r="B200" s="371" t="n"/>
      <c r="C200" s="372" t="n"/>
      <c r="D200" s="371">
        <f>IF($B200="","",TEXT(C200,"MMM"))</f>
        <v/>
      </c>
      <c r="E200" s="371">
        <f>IF($B200="","","W"&amp;TEXT(WEEKNUM(C200,2),"00"))</f>
        <v/>
      </c>
      <c r="F200" s="371">
        <f>IF($B200="","","Q"&amp;(INT(MOD(MONTH(C200)-FY_Start+12,12)/3)+1))</f>
        <v/>
      </c>
      <c r="G200" s="371">
        <f>IF($B200="","","FY "&amp;IF(MONTH(C200)&gt;=FY_Start,YEAR(C200),YEAR(C200)-1)&amp;"-"&amp;RIGHT(IF(MONTH(C200)&gt;=FY_Start,YEAR(C200)+1,YEAR(C200)),2))</f>
        <v/>
      </c>
      <c r="H200" s="371" t="n"/>
      <c r="I200" s="371" t="n"/>
      <c r="J200" s="371" t="n"/>
      <c r="K200" s="371" t="n"/>
      <c r="L200" s="371" t="n"/>
      <c r="M200" s="371" t="n"/>
      <c r="N200" s="371" t="n"/>
      <c r="O200" s="371" t="n"/>
      <c r="P200" s="371" t="n"/>
      <c r="Q200" s="371" t="n"/>
      <c r="R200" s="371" t="n"/>
      <c r="S200" s="371" t="n"/>
      <c r="T200" s="371" t="n"/>
      <c r="U200" s="371" t="n"/>
      <c r="V200" s="371" t="n"/>
      <c r="W200" s="371" t="n"/>
      <c r="X200" s="371" t="n"/>
      <c r="Y200" s="371" t="n"/>
      <c r="Z200" s="372" t="n"/>
      <c r="AA200" s="372" t="n"/>
      <c r="AB200" s="371" t="n"/>
      <c r="AC200" s="371">
        <f>IF($B200="","",IF(AB200="Closed",IF(AA200="","",AA200-C200),TODAY()-C200))</f>
        <v/>
      </c>
      <c r="AD200" s="371" t="n"/>
    </row>
    <row r="201" ht="15" customHeight="1" s="15">
      <c r="A201" s="371">
        <f>IF($B201="","",ROW()-5)</f>
        <v/>
      </c>
      <c r="B201" s="371" t="n"/>
      <c r="C201" s="372" t="n"/>
      <c r="D201" s="371">
        <f>IF($B201="","",TEXT(C201,"MMM"))</f>
        <v/>
      </c>
      <c r="E201" s="371">
        <f>IF($B201="","","W"&amp;TEXT(WEEKNUM(C201,2),"00"))</f>
        <v/>
      </c>
      <c r="F201" s="371">
        <f>IF($B201="","","Q"&amp;(INT(MOD(MONTH(C201)-FY_Start+12,12)/3)+1))</f>
        <v/>
      </c>
      <c r="G201" s="371">
        <f>IF($B201="","","FY "&amp;IF(MONTH(C201)&gt;=FY_Start,YEAR(C201),YEAR(C201)-1)&amp;"-"&amp;RIGHT(IF(MONTH(C201)&gt;=FY_Start,YEAR(C201)+1,YEAR(C201)),2))</f>
        <v/>
      </c>
      <c r="H201" s="371" t="n"/>
      <c r="I201" s="371" t="n"/>
      <c r="J201" s="371" t="n"/>
      <c r="K201" s="371" t="n"/>
      <c r="L201" s="371" t="n"/>
      <c r="M201" s="371" t="n"/>
      <c r="N201" s="371" t="n"/>
      <c r="O201" s="371" t="n"/>
      <c r="P201" s="371" t="n"/>
      <c r="Q201" s="371" t="n"/>
      <c r="R201" s="371" t="n"/>
      <c r="S201" s="371" t="n"/>
      <c r="T201" s="371" t="n"/>
      <c r="U201" s="371" t="n"/>
      <c r="V201" s="371" t="n"/>
      <c r="W201" s="371" t="n"/>
      <c r="X201" s="371" t="n"/>
      <c r="Y201" s="371" t="n"/>
      <c r="Z201" s="372" t="n"/>
      <c r="AA201" s="372" t="n"/>
      <c r="AB201" s="371" t="n"/>
      <c r="AC201" s="371">
        <f>IF($B201="","",IF(AB201="Closed",IF(AA201="","",AA201-C201),TODAY()-C201))</f>
        <v/>
      </c>
      <c r="AD201" s="371" t="n"/>
    </row>
    <row r="202" ht="15" customHeight="1" s="15">
      <c r="A202" s="371">
        <f>IF($B202="","",ROW()-5)</f>
        <v/>
      </c>
      <c r="B202" s="371" t="n"/>
      <c r="C202" s="372" t="n"/>
      <c r="D202" s="371">
        <f>IF($B202="","",TEXT(C202,"MMM"))</f>
        <v/>
      </c>
      <c r="E202" s="371">
        <f>IF($B202="","","W"&amp;TEXT(WEEKNUM(C202,2),"00"))</f>
        <v/>
      </c>
      <c r="F202" s="371">
        <f>IF($B202="","","Q"&amp;(INT(MOD(MONTH(C202)-FY_Start+12,12)/3)+1))</f>
        <v/>
      </c>
      <c r="G202" s="371">
        <f>IF($B202="","","FY "&amp;IF(MONTH(C202)&gt;=FY_Start,YEAR(C202),YEAR(C202)-1)&amp;"-"&amp;RIGHT(IF(MONTH(C202)&gt;=FY_Start,YEAR(C202)+1,YEAR(C202)),2))</f>
        <v/>
      </c>
      <c r="H202" s="371" t="n"/>
      <c r="I202" s="371" t="n"/>
      <c r="J202" s="371" t="n"/>
      <c r="K202" s="371" t="n"/>
      <c r="L202" s="371" t="n"/>
      <c r="M202" s="371" t="n"/>
      <c r="N202" s="371" t="n"/>
      <c r="O202" s="371" t="n"/>
      <c r="P202" s="371" t="n"/>
      <c r="Q202" s="371" t="n"/>
      <c r="R202" s="371" t="n"/>
      <c r="S202" s="371" t="n"/>
      <c r="T202" s="371" t="n"/>
      <c r="U202" s="371" t="n"/>
      <c r="V202" s="371" t="n"/>
      <c r="W202" s="371" t="n"/>
      <c r="X202" s="371" t="n"/>
      <c r="Y202" s="371" t="n"/>
      <c r="Z202" s="372" t="n"/>
      <c r="AA202" s="372" t="n"/>
      <c r="AB202" s="371" t="n"/>
      <c r="AC202" s="371">
        <f>IF($B202="","",IF(AB202="Closed",IF(AA202="","",AA202-C202),TODAY()-C202))</f>
        <v/>
      </c>
      <c r="AD202" s="371" t="n"/>
    </row>
    <row r="203" ht="15" customHeight="1" s="15">
      <c r="A203" s="371">
        <f>IF($B203="","",ROW()-5)</f>
        <v/>
      </c>
      <c r="B203" s="371" t="n"/>
      <c r="C203" s="372" t="n"/>
      <c r="D203" s="371">
        <f>IF($B203="","",TEXT(C203,"MMM"))</f>
        <v/>
      </c>
      <c r="E203" s="371">
        <f>IF($B203="","","W"&amp;TEXT(WEEKNUM(C203,2),"00"))</f>
        <v/>
      </c>
      <c r="F203" s="371">
        <f>IF($B203="","","Q"&amp;(INT(MOD(MONTH(C203)-FY_Start+12,12)/3)+1))</f>
        <v/>
      </c>
      <c r="G203" s="371">
        <f>IF($B203="","","FY "&amp;IF(MONTH(C203)&gt;=FY_Start,YEAR(C203),YEAR(C203)-1)&amp;"-"&amp;RIGHT(IF(MONTH(C203)&gt;=FY_Start,YEAR(C203)+1,YEAR(C203)),2))</f>
        <v/>
      </c>
      <c r="H203" s="371" t="n"/>
      <c r="I203" s="371" t="n"/>
      <c r="J203" s="371" t="n"/>
      <c r="K203" s="371" t="n"/>
      <c r="L203" s="371" t="n"/>
      <c r="M203" s="371" t="n"/>
      <c r="N203" s="371" t="n"/>
      <c r="O203" s="371" t="n"/>
      <c r="P203" s="371" t="n"/>
      <c r="Q203" s="371" t="n"/>
      <c r="R203" s="371" t="n"/>
      <c r="S203" s="371" t="n"/>
      <c r="T203" s="371" t="n"/>
      <c r="U203" s="371" t="n"/>
      <c r="V203" s="371" t="n"/>
      <c r="W203" s="371" t="n"/>
      <c r="X203" s="371" t="n"/>
      <c r="Y203" s="371" t="n"/>
      <c r="Z203" s="372" t="n"/>
      <c r="AA203" s="372" t="n"/>
      <c r="AB203" s="371" t="n"/>
      <c r="AC203" s="371">
        <f>IF($B203="","",IF(AB203="Closed",IF(AA203="","",AA203-C203),TODAY()-C203))</f>
        <v/>
      </c>
      <c r="AD203" s="371" t="n"/>
    </row>
    <row r="204" ht="15" customHeight="1" s="15">
      <c r="A204" s="371">
        <f>IF($B204="","",ROW()-5)</f>
        <v/>
      </c>
      <c r="B204" s="371" t="n"/>
      <c r="C204" s="372" t="n"/>
      <c r="D204" s="371">
        <f>IF($B204="","",TEXT(C204,"MMM"))</f>
        <v/>
      </c>
      <c r="E204" s="371">
        <f>IF($B204="","","W"&amp;TEXT(WEEKNUM(C204,2),"00"))</f>
        <v/>
      </c>
      <c r="F204" s="371">
        <f>IF($B204="","","Q"&amp;(INT(MOD(MONTH(C204)-FY_Start+12,12)/3)+1))</f>
        <v/>
      </c>
      <c r="G204" s="371">
        <f>IF($B204="","","FY "&amp;IF(MONTH(C204)&gt;=FY_Start,YEAR(C204),YEAR(C204)-1)&amp;"-"&amp;RIGHT(IF(MONTH(C204)&gt;=FY_Start,YEAR(C204)+1,YEAR(C204)),2))</f>
        <v/>
      </c>
      <c r="H204" s="371" t="n"/>
      <c r="I204" s="371" t="n"/>
      <c r="J204" s="371" t="n"/>
      <c r="K204" s="371" t="n"/>
      <c r="L204" s="371" t="n"/>
      <c r="M204" s="371" t="n"/>
      <c r="N204" s="371" t="n"/>
      <c r="O204" s="371" t="n"/>
      <c r="P204" s="371" t="n"/>
      <c r="Q204" s="371" t="n"/>
      <c r="R204" s="371" t="n"/>
      <c r="S204" s="371" t="n"/>
      <c r="T204" s="371" t="n"/>
      <c r="U204" s="371" t="n"/>
      <c r="V204" s="371" t="n"/>
      <c r="W204" s="371" t="n"/>
      <c r="X204" s="371" t="n"/>
      <c r="Y204" s="371" t="n"/>
      <c r="Z204" s="372" t="n"/>
      <c r="AA204" s="372" t="n"/>
      <c r="AB204" s="371" t="n"/>
      <c r="AC204" s="371">
        <f>IF($B204="","",IF(AB204="Closed",IF(AA204="","",AA204-C204),TODAY()-C204))</f>
        <v/>
      </c>
      <c r="AD204" s="371" t="n"/>
    </row>
    <row r="205" ht="15" customHeight="1" s="15">
      <c r="A205" s="371">
        <f>IF($B205="","",ROW()-5)</f>
        <v/>
      </c>
      <c r="B205" s="371" t="n"/>
      <c r="C205" s="372" t="n"/>
      <c r="D205" s="371">
        <f>IF($B205="","",TEXT(C205,"MMM"))</f>
        <v/>
      </c>
      <c r="E205" s="371">
        <f>IF($B205="","","W"&amp;TEXT(WEEKNUM(C205,2),"00"))</f>
        <v/>
      </c>
      <c r="F205" s="371">
        <f>IF($B205="","","Q"&amp;(INT(MOD(MONTH(C205)-FY_Start+12,12)/3)+1))</f>
        <v/>
      </c>
      <c r="G205" s="371">
        <f>IF($B205="","","FY "&amp;IF(MONTH(C205)&gt;=FY_Start,YEAR(C205),YEAR(C205)-1)&amp;"-"&amp;RIGHT(IF(MONTH(C205)&gt;=FY_Start,YEAR(C205)+1,YEAR(C205)),2))</f>
        <v/>
      </c>
      <c r="H205" s="371" t="n"/>
      <c r="I205" s="371" t="n"/>
      <c r="J205" s="371" t="n"/>
      <c r="K205" s="371" t="n"/>
      <c r="L205" s="371" t="n"/>
      <c r="M205" s="371" t="n"/>
      <c r="N205" s="371" t="n"/>
      <c r="O205" s="371" t="n"/>
      <c r="P205" s="371" t="n"/>
      <c r="Q205" s="371" t="n"/>
      <c r="R205" s="371" t="n"/>
      <c r="S205" s="371" t="n"/>
      <c r="T205" s="371" t="n"/>
      <c r="U205" s="371" t="n"/>
      <c r="V205" s="371" t="n"/>
      <c r="W205" s="371" t="n"/>
      <c r="X205" s="371" t="n"/>
      <c r="Y205" s="371" t="n"/>
      <c r="Z205" s="372" t="n"/>
      <c r="AA205" s="372" t="n"/>
      <c r="AB205" s="371" t="n"/>
      <c r="AC205" s="371">
        <f>IF($B205="","",IF(AB205="Closed",IF(AA205="","",AA205-C205),TODAY()-C205))</f>
        <v/>
      </c>
      <c r="AD205" s="371" t="n"/>
    </row>
    <row r="206" ht="15" customHeight="1" s="15">
      <c r="A206" s="371">
        <f>IF($B206="","",ROW()-5)</f>
        <v/>
      </c>
      <c r="B206" s="371" t="n"/>
      <c r="C206" s="372" t="n"/>
      <c r="D206" s="371">
        <f>IF($B206="","",TEXT(C206,"MMM"))</f>
        <v/>
      </c>
      <c r="E206" s="371">
        <f>IF($B206="","","W"&amp;TEXT(WEEKNUM(C206,2),"00"))</f>
        <v/>
      </c>
      <c r="F206" s="371">
        <f>IF($B206="","","Q"&amp;(INT(MOD(MONTH(C206)-FY_Start+12,12)/3)+1))</f>
        <v/>
      </c>
      <c r="G206" s="371">
        <f>IF($B206="","","FY "&amp;IF(MONTH(C206)&gt;=FY_Start,YEAR(C206),YEAR(C206)-1)&amp;"-"&amp;RIGHT(IF(MONTH(C206)&gt;=FY_Start,YEAR(C206)+1,YEAR(C206)),2))</f>
        <v/>
      </c>
      <c r="H206" s="371" t="n"/>
      <c r="I206" s="371" t="n"/>
      <c r="J206" s="371" t="n"/>
      <c r="K206" s="371" t="n"/>
      <c r="L206" s="371" t="n"/>
      <c r="M206" s="371" t="n"/>
      <c r="N206" s="371" t="n"/>
      <c r="O206" s="371" t="n"/>
      <c r="P206" s="371" t="n"/>
      <c r="Q206" s="371" t="n"/>
      <c r="R206" s="371" t="n"/>
      <c r="S206" s="371" t="n"/>
      <c r="T206" s="371" t="n"/>
      <c r="U206" s="371" t="n"/>
      <c r="V206" s="371" t="n"/>
      <c r="W206" s="371" t="n"/>
      <c r="X206" s="371" t="n"/>
      <c r="Y206" s="371" t="n"/>
      <c r="Z206" s="372" t="n"/>
      <c r="AA206" s="372" t="n"/>
      <c r="AB206" s="371" t="n"/>
      <c r="AC206" s="371">
        <f>IF($B206="","",IF(AB206="Closed",IF(AA206="","",AA206-C206),TODAY()-C206))</f>
        <v/>
      </c>
      <c r="AD206" s="371" t="n"/>
    </row>
    <row r="207" ht="15" customHeight="1" s="15">
      <c r="A207" s="371">
        <f>IF($B207="","",ROW()-5)</f>
        <v/>
      </c>
      <c r="B207" s="371" t="n"/>
      <c r="C207" s="372" t="n"/>
      <c r="D207" s="371">
        <f>IF($B207="","",TEXT(C207,"MMM"))</f>
        <v/>
      </c>
      <c r="E207" s="371">
        <f>IF($B207="","","W"&amp;TEXT(WEEKNUM(C207,2),"00"))</f>
        <v/>
      </c>
      <c r="F207" s="371">
        <f>IF($B207="","","Q"&amp;(INT(MOD(MONTH(C207)-FY_Start+12,12)/3)+1))</f>
        <v/>
      </c>
      <c r="G207" s="371">
        <f>IF($B207="","","FY "&amp;IF(MONTH(C207)&gt;=FY_Start,YEAR(C207),YEAR(C207)-1)&amp;"-"&amp;RIGHT(IF(MONTH(C207)&gt;=FY_Start,YEAR(C207)+1,YEAR(C207)),2))</f>
        <v/>
      </c>
      <c r="H207" s="371" t="n"/>
      <c r="I207" s="371" t="n"/>
      <c r="J207" s="371" t="n"/>
      <c r="K207" s="371" t="n"/>
      <c r="L207" s="371" t="n"/>
      <c r="M207" s="371" t="n"/>
      <c r="N207" s="371" t="n"/>
      <c r="O207" s="371" t="n"/>
      <c r="P207" s="371" t="n"/>
      <c r="Q207" s="371" t="n"/>
      <c r="R207" s="371" t="n"/>
      <c r="S207" s="371" t="n"/>
      <c r="T207" s="371" t="n"/>
      <c r="U207" s="371" t="n"/>
      <c r="V207" s="371" t="n"/>
      <c r="W207" s="371" t="n"/>
      <c r="X207" s="371" t="n"/>
      <c r="Y207" s="371" t="n"/>
      <c r="Z207" s="372" t="n"/>
      <c r="AA207" s="372" t="n"/>
      <c r="AB207" s="371" t="n"/>
      <c r="AC207" s="371">
        <f>IF($B207="","",IF(AB207="Closed",IF(AA207="","",AA207-C207),TODAY()-C207))</f>
        <v/>
      </c>
      <c r="AD207" s="371" t="n"/>
    </row>
    <row r="208" ht="15" customHeight="1" s="15">
      <c r="A208" s="371">
        <f>IF($B208="","",ROW()-5)</f>
        <v/>
      </c>
      <c r="B208" s="371" t="n"/>
      <c r="C208" s="372" t="n"/>
      <c r="D208" s="371">
        <f>IF($B208="","",TEXT(C208,"MMM"))</f>
        <v/>
      </c>
      <c r="E208" s="371">
        <f>IF($B208="","","W"&amp;TEXT(WEEKNUM(C208,2),"00"))</f>
        <v/>
      </c>
      <c r="F208" s="371">
        <f>IF($B208="","","Q"&amp;(INT(MOD(MONTH(C208)-FY_Start+12,12)/3)+1))</f>
        <v/>
      </c>
      <c r="G208" s="371">
        <f>IF($B208="","","FY "&amp;IF(MONTH(C208)&gt;=FY_Start,YEAR(C208),YEAR(C208)-1)&amp;"-"&amp;RIGHT(IF(MONTH(C208)&gt;=FY_Start,YEAR(C208)+1,YEAR(C208)),2))</f>
        <v/>
      </c>
      <c r="H208" s="371" t="n"/>
      <c r="I208" s="371" t="n"/>
      <c r="J208" s="371" t="n"/>
      <c r="K208" s="371" t="n"/>
      <c r="L208" s="371" t="n"/>
      <c r="M208" s="371" t="n"/>
      <c r="N208" s="371" t="n"/>
      <c r="O208" s="371" t="n"/>
      <c r="P208" s="371" t="n"/>
      <c r="Q208" s="371" t="n"/>
      <c r="R208" s="371" t="n"/>
      <c r="S208" s="371" t="n"/>
      <c r="T208" s="371" t="n"/>
      <c r="U208" s="371" t="n"/>
      <c r="V208" s="371" t="n"/>
      <c r="W208" s="371" t="n"/>
      <c r="X208" s="371" t="n"/>
      <c r="Y208" s="371" t="n"/>
      <c r="Z208" s="372" t="n"/>
      <c r="AA208" s="372" t="n"/>
      <c r="AB208" s="371" t="n"/>
      <c r="AC208" s="371">
        <f>IF($B208="","",IF(AB208="Closed",IF(AA208="","",AA208-C208),TODAY()-C208))</f>
        <v/>
      </c>
      <c r="AD208" s="371" t="n"/>
    </row>
    <row r="209" ht="15" customHeight="1" s="15">
      <c r="A209" s="371">
        <f>IF($B209="","",ROW()-5)</f>
        <v/>
      </c>
      <c r="B209" s="371" t="n"/>
      <c r="C209" s="372" t="n"/>
      <c r="D209" s="371">
        <f>IF($B209="","",TEXT(C209,"MMM"))</f>
        <v/>
      </c>
      <c r="E209" s="371">
        <f>IF($B209="","","W"&amp;TEXT(WEEKNUM(C209,2),"00"))</f>
        <v/>
      </c>
      <c r="F209" s="371">
        <f>IF($B209="","","Q"&amp;(INT(MOD(MONTH(C209)-FY_Start+12,12)/3)+1))</f>
        <v/>
      </c>
      <c r="G209" s="371">
        <f>IF($B209="","","FY "&amp;IF(MONTH(C209)&gt;=FY_Start,YEAR(C209),YEAR(C209)-1)&amp;"-"&amp;RIGHT(IF(MONTH(C209)&gt;=FY_Start,YEAR(C209)+1,YEAR(C209)),2))</f>
        <v/>
      </c>
      <c r="H209" s="371" t="n"/>
      <c r="I209" s="371" t="n"/>
      <c r="J209" s="371" t="n"/>
      <c r="K209" s="371" t="n"/>
      <c r="L209" s="371" t="n"/>
      <c r="M209" s="371" t="n"/>
      <c r="N209" s="371" t="n"/>
      <c r="O209" s="371" t="n"/>
      <c r="P209" s="371" t="n"/>
      <c r="Q209" s="371" t="n"/>
      <c r="R209" s="371" t="n"/>
      <c r="S209" s="371" t="n"/>
      <c r="T209" s="371" t="n"/>
      <c r="U209" s="371" t="n"/>
      <c r="V209" s="371" t="n"/>
      <c r="W209" s="371" t="n"/>
      <c r="X209" s="371" t="n"/>
      <c r="Y209" s="371" t="n"/>
      <c r="Z209" s="372" t="n"/>
      <c r="AA209" s="372" t="n"/>
      <c r="AB209" s="371" t="n"/>
      <c r="AC209" s="371">
        <f>IF($B209="","",IF(AB209="Closed",IF(AA209="","",AA209-C209),TODAY()-C209))</f>
        <v/>
      </c>
      <c r="AD209" s="371" t="n"/>
    </row>
    <row r="210" ht="15" customHeight="1" s="15">
      <c r="A210" s="371">
        <f>IF($B210="","",ROW()-5)</f>
        <v/>
      </c>
      <c r="B210" s="371" t="n"/>
      <c r="C210" s="372" t="n"/>
      <c r="D210" s="371">
        <f>IF($B210="","",TEXT(C210,"MMM"))</f>
        <v/>
      </c>
      <c r="E210" s="371">
        <f>IF($B210="","","W"&amp;TEXT(WEEKNUM(C210,2),"00"))</f>
        <v/>
      </c>
      <c r="F210" s="371">
        <f>IF($B210="","","Q"&amp;(INT(MOD(MONTH(C210)-FY_Start+12,12)/3)+1))</f>
        <v/>
      </c>
      <c r="G210" s="371">
        <f>IF($B210="","","FY "&amp;IF(MONTH(C210)&gt;=FY_Start,YEAR(C210),YEAR(C210)-1)&amp;"-"&amp;RIGHT(IF(MONTH(C210)&gt;=FY_Start,YEAR(C210)+1,YEAR(C210)),2))</f>
        <v/>
      </c>
      <c r="H210" s="371" t="n"/>
      <c r="I210" s="371" t="n"/>
      <c r="J210" s="371" t="n"/>
      <c r="K210" s="371" t="n"/>
      <c r="L210" s="371" t="n"/>
      <c r="M210" s="371" t="n"/>
      <c r="N210" s="371" t="n"/>
      <c r="O210" s="371" t="n"/>
      <c r="P210" s="371" t="n"/>
      <c r="Q210" s="371" t="n"/>
      <c r="R210" s="371" t="n"/>
      <c r="S210" s="371" t="n"/>
      <c r="T210" s="371" t="n"/>
      <c r="U210" s="371" t="n"/>
      <c r="V210" s="371" t="n"/>
      <c r="W210" s="371" t="n"/>
      <c r="X210" s="371" t="n"/>
      <c r="Y210" s="371" t="n"/>
      <c r="Z210" s="372" t="n"/>
      <c r="AA210" s="372" t="n"/>
      <c r="AB210" s="371" t="n"/>
      <c r="AC210" s="371">
        <f>IF($B210="","",IF(AB210="Closed",IF(AA210="","",AA210-C210),TODAY()-C210))</f>
        <v/>
      </c>
      <c r="AD210" s="371" t="n"/>
    </row>
    <row r="211" ht="15" customHeight="1" s="15">
      <c r="A211" s="371">
        <f>IF($B211="","",ROW()-5)</f>
        <v/>
      </c>
      <c r="B211" s="371" t="n"/>
      <c r="C211" s="372" t="n"/>
      <c r="D211" s="371">
        <f>IF($B211="","",TEXT(C211,"MMM"))</f>
        <v/>
      </c>
      <c r="E211" s="371">
        <f>IF($B211="","","W"&amp;TEXT(WEEKNUM(C211,2),"00"))</f>
        <v/>
      </c>
      <c r="F211" s="371">
        <f>IF($B211="","","Q"&amp;(INT(MOD(MONTH(C211)-FY_Start+12,12)/3)+1))</f>
        <v/>
      </c>
      <c r="G211" s="371">
        <f>IF($B211="","","FY "&amp;IF(MONTH(C211)&gt;=FY_Start,YEAR(C211),YEAR(C211)-1)&amp;"-"&amp;RIGHT(IF(MONTH(C211)&gt;=FY_Start,YEAR(C211)+1,YEAR(C211)),2))</f>
        <v/>
      </c>
      <c r="H211" s="371" t="n"/>
      <c r="I211" s="371" t="n"/>
      <c r="J211" s="371" t="n"/>
      <c r="K211" s="371" t="n"/>
      <c r="L211" s="371" t="n"/>
      <c r="M211" s="371" t="n"/>
      <c r="N211" s="371" t="n"/>
      <c r="O211" s="371" t="n"/>
      <c r="P211" s="371" t="n"/>
      <c r="Q211" s="371" t="n"/>
      <c r="R211" s="371" t="n"/>
      <c r="S211" s="371" t="n"/>
      <c r="T211" s="371" t="n"/>
      <c r="U211" s="371" t="n"/>
      <c r="V211" s="371" t="n"/>
      <c r="W211" s="371" t="n"/>
      <c r="X211" s="371" t="n"/>
      <c r="Y211" s="371" t="n"/>
      <c r="Z211" s="372" t="n"/>
      <c r="AA211" s="372" t="n"/>
      <c r="AB211" s="371" t="n"/>
      <c r="AC211" s="371">
        <f>IF($B211="","",IF(AB211="Closed",IF(AA211="","",AA211-C211),TODAY()-C211))</f>
        <v/>
      </c>
      <c r="AD211" s="371" t="n"/>
    </row>
    <row r="212" ht="15" customHeight="1" s="15">
      <c r="A212" s="371">
        <f>IF($B212="","",ROW()-5)</f>
        <v/>
      </c>
      <c r="B212" s="371" t="n"/>
      <c r="C212" s="372" t="n"/>
      <c r="D212" s="371">
        <f>IF($B212="","",TEXT(C212,"MMM"))</f>
        <v/>
      </c>
      <c r="E212" s="371">
        <f>IF($B212="","","W"&amp;TEXT(WEEKNUM(C212,2),"00"))</f>
        <v/>
      </c>
      <c r="F212" s="371">
        <f>IF($B212="","","Q"&amp;(INT(MOD(MONTH(C212)-FY_Start+12,12)/3)+1))</f>
        <v/>
      </c>
      <c r="G212" s="371">
        <f>IF($B212="","","FY "&amp;IF(MONTH(C212)&gt;=FY_Start,YEAR(C212),YEAR(C212)-1)&amp;"-"&amp;RIGHT(IF(MONTH(C212)&gt;=FY_Start,YEAR(C212)+1,YEAR(C212)),2))</f>
        <v/>
      </c>
      <c r="H212" s="371" t="n"/>
      <c r="I212" s="371" t="n"/>
      <c r="J212" s="371" t="n"/>
      <c r="K212" s="371" t="n"/>
      <c r="L212" s="371" t="n"/>
      <c r="M212" s="371" t="n"/>
      <c r="N212" s="371" t="n"/>
      <c r="O212" s="371" t="n"/>
      <c r="P212" s="371" t="n"/>
      <c r="Q212" s="371" t="n"/>
      <c r="R212" s="371" t="n"/>
      <c r="S212" s="371" t="n"/>
      <c r="T212" s="371" t="n"/>
      <c r="U212" s="371" t="n"/>
      <c r="V212" s="371" t="n"/>
      <c r="W212" s="371" t="n"/>
      <c r="X212" s="371" t="n"/>
      <c r="Y212" s="371" t="n"/>
      <c r="Z212" s="372" t="n"/>
      <c r="AA212" s="372" t="n"/>
      <c r="AB212" s="371" t="n"/>
      <c r="AC212" s="371">
        <f>IF($B212="","",IF(AB212="Closed",IF(AA212="","",AA212-C212),TODAY()-C212))</f>
        <v/>
      </c>
      <c r="AD212" s="371" t="n"/>
    </row>
    <row r="213" ht="15" customHeight="1" s="15">
      <c r="A213" s="371">
        <f>IF($B213="","",ROW()-5)</f>
        <v/>
      </c>
      <c r="B213" s="371" t="n"/>
      <c r="C213" s="372" t="n"/>
      <c r="D213" s="371">
        <f>IF($B213="","",TEXT(C213,"MMM"))</f>
        <v/>
      </c>
      <c r="E213" s="371">
        <f>IF($B213="","","W"&amp;TEXT(WEEKNUM(C213,2),"00"))</f>
        <v/>
      </c>
      <c r="F213" s="371">
        <f>IF($B213="","","Q"&amp;(INT(MOD(MONTH(C213)-FY_Start+12,12)/3)+1))</f>
        <v/>
      </c>
      <c r="G213" s="371">
        <f>IF($B213="","","FY "&amp;IF(MONTH(C213)&gt;=FY_Start,YEAR(C213),YEAR(C213)-1)&amp;"-"&amp;RIGHT(IF(MONTH(C213)&gt;=FY_Start,YEAR(C213)+1,YEAR(C213)),2))</f>
        <v/>
      </c>
      <c r="H213" s="371" t="n"/>
      <c r="I213" s="371" t="n"/>
      <c r="J213" s="371" t="n"/>
      <c r="K213" s="371" t="n"/>
      <c r="L213" s="371" t="n"/>
      <c r="M213" s="371" t="n"/>
      <c r="N213" s="371" t="n"/>
      <c r="O213" s="371" t="n"/>
      <c r="P213" s="371" t="n"/>
      <c r="Q213" s="371" t="n"/>
      <c r="R213" s="371" t="n"/>
      <c r="S213" s="371" t="n"/>
      <c r="T213" s="371" t="n"/>
      <c r="U213" s="371" t="n"/>
      <c r="V213" s="371" t="n"/>
      <c r="W213" s="371" t="n"/>
      <c r="X213" s="371" t="n"/>
      <c r="Y213" s="371" t="n"/>
      <c r="Z213" s="372" t="n"/>
      <c r="AA213" s="372" t="n"/>
      <c r="AB213" s="371" t="n"/>
      <c r="AC213" s="371">
        <f>IF($B213="","",IF(AB213="Closed",IF(AA213="","",AA213-C213),TODAY()-C213))</f>
        <v/>
      </c>
      <c r="AD213" s="371" t="n"/>
    </row>
    <row r="214" ht="15" customHeight="1" s="15">
      <c r="A214" s="371">
        <f>IF($B214="","",ROW()-5)</f>
        <v/>
      </c>
      <c r="B214" s="371" t="n"/>
      <c r="C214" s="372" t="n"/>
      <c r="D214" s="371">
        <f>IF($B214="","",TEXT(C214,"MMM"))</f>
        <v/>
      </c>
      <c r="E214" s="371">
        <f>IF($B214="","","W"&amp;TEXT(WEEKNUM(C214,2),"00"))</f>
        <v/>
      </c>
      <c r="F214" s="371">
        <f>IF($B214="","","Q"&amp;(INT(MOD(MONTH(C214)-FY_Start+12,12)/3)+1))</f>
        <v/>
      </c>
      <c r="G214" s="371">
        <f>IF($B214="","","FY "&amp;IF(MONTH(C214)&gt;=FY_Start,YEAR(C214),YEAR(C214)-1)&amp;"-"&amp;RIGHT(IF(MONTH(C214)&gt;=FY_Start,YEAR(C214)+1,YEAR(C214)),2))</f>
        <v/>
      </c>
      <c r="H214" s="371" t="n"/>
      <c r="I214" s="371" t="n"/>
      <c r="J214" s="371" t="n"/>
      <c r="K214" s="371" t="n"/>
      <c r="L214" s="371" t="n"/>
      <c r="M214" s="371" t="n"/>
      <c r="N214" s="371" t="n"/>
      <c r="O214" s="371" t="n"/>
      <c r="P214" s="371" t="n"/>
      <c r="Q214" s="371" t="n"/>
      <c r="R214" s="371" t="n"/>
      <c r="S214" s="371" t="n"/>
      <c r="T214" s="371" t="n"/>
      <c r="U214" s="371" t="n"/>
      <c r="V214" s="371" t="n"/>
      <c r="W214" s="371" t="n"/>
      <c r="X214" s="371" t="n"/>
      <c r="Y214" s="371" t="n"/>
      <c r="Z214" s="372" t="n"/>
      <c r="AA214" s="372" t="n"/>
      <c r="AB214" s="371" t="n"/>
      <c r="AC214" s="371">
        <f>IF($B214="","",IF(AB214="Closed",IF(AA214="","",AA214-C214),TODAY()-C214))</f>
        <v/>
      </c>
      <c r="AD214" s="371" t="n"/>
    </row>
    <row r="215" ht="15" customHeight="1" s="15">
      <c r="A215" s="371">
        <f>IF($B215="","",ROW()-5)</f>
        <v/>
      </c>
      <c r="B215" s="371" t="n"/>
      <c r="C215" s="372" t="n"/>
      <c r="D215" s="371">
        <f>IF($B215="","",TEXT(C215,"MMM"))</f>
        <v/>
      </c>
      <c r="E215" s="371">
        <f>IF($B215="","","W"&amp;TEXT(WEEKNUM(C215,2),"00"))</f>
        <v/>
      </c>
      <c r="F215" s="371">
        <f>IF($B215="","","Q"&amp;(INT(MOD(MONTH(C215)-FY_Start+12,12)/3)+1))</f>
        <v/>
      </c>
      <c r="G215" s="371">
        <f>IF($B215="","","FY "&amp;IF(MONTH(C215)&gt;=FY_Start,YEAR(C215),YEAR(C215)-1)&amp;"-"&amp;RIGHT(IF(MONTH(C215)&gt;=FY_Start,YEAR(C215)+1,YEAR(C215)),2))</f>
        <v/>
      </c>
      <c r="H215" s="371" t="n"/>
      <c r="I215" s="371" t="n"/>
      <c r="J215" s="371" t="n"/>
      <c r="K215" s="371" t="n"/>
      <c r="L215" s="371" t="n"/>
      <c r="M215" s="371" t="n"/>
      <c r="N215" s="371" t="n"/>
      <c r="O215" s="371" t="n"/>
      <c r="P215" s="371" t="n"/>
      <c r="Q215" s="371" t="n"/>
      <c r="R215" s="371" t="n"/>
      <c r="S215" s="371" t="n"/>
      <c r="T215" s="371" t="n"/>
      <c r="U215" s="371" t="n"/>
      <c r="V215" s="371" t="n"/>
      <c r="W215" s="371" t="n"/>
      <c r="X215" s="371" t="n"/>
      <c r="Y215" s="371" t="n"/>
      <c r="Z215" s="372" t="n"/>
      <c r="AA215" s="372" t="n"/>
      <c r="AB215" s="371" t="n"/>
      <c r="AC215" s="371">
        <f>IF($B215="","",IF(AB215="Closed",IF(AA215="","",AA215-C215),TODAY()-C215))</f>
        <v/>
      </c>
      <c r="AD215" s="371" t="n"/>
    </row>
    <row r="216" ht="15" customHeight="1" s="15">
      <c r="A216" s="371">
        <f>IF($B216="","",ROW()-5)</f>
        <v/>
      </c>
      <c r="B216" s="371" t="n"/>
      <c r="C216" s="372" t="n"/>
      <c r="D216" s="371">
        <f>IF($B216="","",TEXT(C216,"MMM"))</f>
        <v/>
      </c>
      <c r="E216" s="371">
        <f>IF($B216="","","W"&amp;TEXT(WEEKNUM(C216,2),"00"))</f>
        <v/>
      </c>
      <c r="F216" s="371">
        <f>IF($B216="","","Q"&amp;(INT(MOD(MONTH(C216)-FY_Start+12,12)/3)+1))</f>
        <v/>
      </c>
      <c r="G216" s="371">
        <f>IF($B216="","","FY "&amp;IF(MONTH(C216)&gt;=FY_Start,YEAR(C216),YEAR(C216)-1)&amp;"-"&amp;RIGHT(IF(MONTH(C216)&gt;=FY_Start,YEAR(C216)+1,YEAR(C216)),2))</f>
        <v/>
      </c>
      <c r="H216" s="371" t="n"/>
      <c r="I216" s="371" t="n"/>
      <c r="J216" s="371" t="n"/>
      <c r="K216" s="371" t="n"/>
      <c r="L216" s="371" t="n"/>
      <c r="M216" s="371" t="n"/>
      <c r="N216" s="371" t="n"/>
      <c r="O216" s="371" t="n"/>
      <c r="P216" s="371" t="n"/>
      <c r="Q216" s="371" t="n"/>
      <c r="R216" s="371" t="n"/>
      <c r="S216" s="371" t="n"/>
      <c r="T216" s="371" t="n"/>
      <c r="U216" s="371" t="n"/>
      <c r="V216" s="371" t="n"/>
      <c r="W216" s="371" t="n"/>
      <c r="X216" s="371" t="n"/>
      <c r="Y216" s="371" t="n"/>
      <c r="Z216" s="372" t="n"/>
      <c r="AA216" s="372" t="n"/>
      <c r="AB216" s="371" t="n"/>
      <c r="AC216" s="371">
        <f>IF($B216="","",IF(AB216="Closed",IF(AA216="","",AA216-C216),TODAY()-C216))</f>
        <v/>
      </c>
      <c r="AD216" s="371" t="n"/>
    </row>
    <row r="217" ht="15" customHeight="1" s="15">
      <c r="A217" s="371">
        <f>IF($B217="","",ROW()-5)</f>
        <v/>
      </c>
      <c r="B217" s="371" t="n"/>
      <c r="C217" s="372" t="n"/>
      <c r="D217" s="371">
        <f>IF($B217="","",TEXT(C217,"MMM"))</f>
        <v/>
      </c>
      <c r="E217" s="371">
        <f>IF($B217="","","W"&amp;TEXT(WEEKNUM(C217,2),"00"))</f>
        <v/>
      </c>
      <c r="F217" s="371">
        <f>IF($B217="","","Q"&amp;(INT(MOD(MONTH(C217)-FY_Start+12,12)/3)+1))</f>
        <v/>
      </c>
      <c r="G217" s="371">
        <f>IF($B217="","","FY "&amp;IF(MONTH(C217)&gt;=FY_Start,YEAR(C217),YEAR(C217)-1)&amp;"-"&amp;RIGHT(IF(MONTH(C217)&gt;=FY_Start,YEAR(C217)+1,YEAR(C217)),2))</f>
        <v/>
      </c>
      <c r="H217" s="371" t="n"/>
      <c r="I217" s="371" t="n"/>
      <c r="J217" s="371" t="n"/>
      <c r="K217" s="371" t="n"/>
      <c r="L217" s="371" t="n"/>
      <c r="M217" s="371" t="n"/>
      <c r="N217" s="371" t="n"/>
      <c r="O217" s="371" t="n"/>
      <c r="P217" s="371" t="n"/>
      <c r="Q217" s="371" t="n"/>
      <c r="R217" s="371" t="n"/>
      <c r="S217" s="371" t="n"/>
      <c r="T217" s="371" t="n"/>
      <c r="U217" s="371" t="n"/>
      <c r="V217" s="371" t="n"/>
      <c r="W217" s="371" t="n"/>
      <c r="X217" s="371" t="n"/>
      <c r="Y217" s="371" t="n"/>
      <c r="Z217" s="372" t="n"/>
      <c r="AA217" s="372" t="n"/>
      <c r="AB217" s="371" t="n"/>
      <c r="AC217" s="371">
        <f>IF($B217="","",IF(AB217="Closed",IF(AA217="","",AA217-C217),TODAY()-C217))</f>
        <v/>
      </c>
      <c r="AD217" s="371" t="n"/>
    </row>
    <row r="218" ht="15" customHeight="1" s="15">
      <c r="A218" s="371">
        <f>IF($B218="","",ROW()-5)</f>
        <v/>
      </c>
      <c r="B218" s="371" t="n"/>
      <c r="C218" s="372" t="n"/>
      <c r="D218" s="371">
        <f>IF($B218="","",TEXT(C218,"MMM"))</f>
        <v/>
      </c>
      <c r="E218" s="371">
        <f>IF($B218="","","W"&amp;TEXT(WEEKNUM(C218,2),"00"))</f>
        <v/>
      </c>
      <c r="F218" s="371">
        <f>IF($B218="","","Q"&amp;(INT(MOD(MONTH(C218)-FY_Start+12,12)/3)+1))</f>
        <v/>
      </c>
      <c r="G218" s="371">
        <f>IF($B218="","","FY "&amp;IF(MONTH(C218)&gt;=FY_Start,YEAR(C218),YEAR(C218)-1)&amp;"-"&amp;RIGHT(IF(MONTH(C218)&gt;=FY_Start,YEAR(C218)+1,YEAR(C218)),2))</f>
        <v/>
      </c>
      <c r="H218" s="371" t="n"/>
      <c r="I218" s="371" t="n"/>
      <c r="J218" s="371" t="n"/>
      <c r="K218" s="371" t="n"/>
      <c r="L218" s="371" t="n"/>
      <c r="M218" s="371" t="n"/>
      <c r="N218" s="371" t="n"/>
      <c r="O218" s="371" t="n"/>
      <c r="P218" s="371" t="n"/>
      <c r="Q218" s="371" t="n"/>
      <c r="R218" s="371" t="n"/>
      <c r="S218" s="371" t="n"/>
      <c r="T218" s="371" t="n"/>
      <c r="U218" s="371" t="n"/>
      <c r="V218" s="371" t="n"/>
      <c r="W218" s="371" t="n"/>
      <c r="X218" s="371" t="n"/>
      <c r="Y218" s="371" t="n"/>
      <c r="Z218" s="372" t="n"/>
      <c r="AA218" s="372" t="n"/>
      <c r="AB218" s="371" t="n"/>
      <c r="AC218" s="371">
        <f>IF($B218="","",IF(AB218="Closed",IF(AA218="","",AA218-C218),TODAY()-C218))</f>
        <v/>
      </c>
      <c r="AD218" s="371" t="n"/>
    </row>
    <row r="219" ht="15" customHeight="1" s="15">
      <c r="A219" s="371">
        <f>IF($B219="","",ROW()-5)</f>
        <v/>
      </c>
      <c r="B219" s="371" t="n"/>
      <c r="C219" s="372" t="n"/>
      <c r="D219" s="371">
        <f>IF($B219="","",TEXT(C219,"MMM"))</f>
        <v/>
      </c>
      <c r="E219" s="371">
        <f>IF($B219="","","W"&amp;TEXT(WEEKNUM(C219,2),"00"))</f>
        <v/>
      </c>
      <c r="F219" s="371">
        <f>IF($B219="","","Q"&amp;(INT(MOD(MONTH(C219)-FY_Start+12,12)/3)+1))</f>
        <v/>
      </c>
      <c r="G219" s="371">
        <f>IF($B219="","","FY "&amp;IF(MONTH(C219)&gt;=FY_Start,YEAR(C219),YEAR(C219)-1)&amp;"-"&amp;RIGHT(IF(MONTH(C219)&gt;=FY_Start,YEAR(C219)+1,YEAR(C219)),2))</f>
        <v/>
      </c>
      <c r="H219" s="371" t="n"/>
      <c r="I219" s="371" t="n"/>
      <c r="J219" s="371" t="n"/>
      <c r="K219" s="371" t="n"/>
      <c r="L219" s="371" t="n"/>
      <c r="M219" s="371" t="n"/>
      <c r="N219" s="371" t="n"/>
      <c r="O219" s="371" t="n"/>
      <c r="P219" s="371" t="n"/>
      <c r="Q219" s="371" t="n"/>
      <c r="R219" s="371" t="n"/>
      <c r="S219" s="371" t="n"/>
      <c r="T219" s="371" t="n"/>
      <c r="U219" s="371" t="n"/>
      <c r="V219" s="371" t="n"/>
      <c r="W219" s="371" t="n"/>
      <c r="X219" s="371" t="n"/>
      <c r="Y219" s="371" t="n"/>
      <c r="Z219" s="372" t="n"/>
      <c r="AA219" s="372" t="n"/>
      <c r="AB219" s="371" t="n"/>
      <c r="AC219" s="371">
        <f>IF($B219="","",IF(AB219="Closed",IF(AA219="","",AA219-C219),TODAY()-C219))</f>
        <v/>
      </c>
      <c r="AD219" s="371" t="n"/>
    </row>
    <row r="220" ht="15" customHeight="1" s="15">
      <c r="A220" s="371">
        <f>IF($B220="","",ROW()-5)</f>
        <v/>
      </c>
      <c r="B220" s="371" t="n"/>
      <c r="C220" s="372" t="n"/>
      <c r="D220" s="371">
        <f>IF($B220="","",TEXT(C220,"MMM"))</f>
        <v/>
      </c>
      <c r="E220" s="371">
        <f>IF($B220="","","W"&amp;TEXT(WEEKNUM(C220,2),"00"))</f>
        <v/>
      </c>
      <c r="F220" s="371">
        <f>IF($B220="","","Q"&amp;(INT(MOD(MONTH(C220)-FY_Start+12,12)/3)+1))</f>
        <v/>
      </c>
      <c r="G220" s="371">
        <f>IF($B220="","","FY "&amp;IF(MONTH(C220)&gt;=FY_Start,YEAR(C220),YEAR(C220)-1)&amp;"-"&amp;RIGHT(IF(MONTH(C220)&gt;=FY_Start,YEAR(C220)+1,YEAR(C220)),2))</f>
        <v/>
      </c>
      <c r="H220" s="371" t="n"/>
      <c r="I220" s="371" t="n"/>
      <c r="J220" s="371" t="n"/>
      <c r="K220" s="371" t="n"/>
      <c r="L220" s="371" t="n"/>
      <c r="M220" s="371" t="n"/>
      <c r="N220" s="371" t="n"/>
      <c r="O220" s="371" t="n"/>
      <c r="P220" s="371" t="n"/>
      <c r="Q220" s="371" t="n"/>
      <c r="R220" s="371" t="n"/>
      <c r="S220" s="371" t="n"/>
      <c r="T220" s="371" t="n"/>
      <c r="U220" s="371" t="n"/>
      <c r="V220" s="371" t="n"/>
      <c r="W220" s="371" t="n"/>
      <c r="X220" s="371" t="n"/>
      <c r="Y220" s="371" t="n"/>
      <c r="Z220" s="372" t="n"/>
      <c r="AA220" s="372" t="n"/>
      <c r="AB220" s="371" t="n"/>
      <c r="AC220" s="371">
        <f>IF($B220="","",IF(AB220="Closed",IF(AA220="","",AA220-C220),TODAY()-C220))</f>
        <v/>
      </c>
      <c r="AD220" s="371" t="n"/>
    </row>
    <row r="221" ht="15" customHeight="1" s="15">
      <c r="A221" s="371">
        <f>IF($B221="","",ROW()-5)</f>
        <v/>
      </c>
      <c r="B221" s="371" t="n"/>
      <c r="C221" s="372" t="n"/>
      <c r="D221" s="371">
        <f>IF($B221="","",TEXT(C221,"MMM"))</f>
        <v/>
      </c>
      <c r="E221" s="371">
        <f>IF($B221="","","W"&amp;TEXT(WEEKNUM(C221,2),"00"))</f>
        <v/>
      </c>
      <c r="F221" s="371">
        <f>IF($B221="","","Q"&amp;(INT(MOD(MONTH(C221)-FY_Start+12,12)/3)+1))</f>
        <v/>
      </c>
      <c r="G221" s="371">
        <f>IF($B221="","","FY "&amp;IF(MONTH(C221)&gt;=FY_Start,YEAR(C221),YEAR(C221)-1)&amp;"-"&amp;RIGHT(IF(MONTH(C221)&gt;=FY_Start,YEAR(C221)+1,YEAR(C221)),2))</f>
        <v/>
      </c>
      <c r="H221" s="371" t="n"/>
      <c r="I221" s="371" t="n"/>
      <c r="J221" s="371" t="n"/>
      <c r="K221" s="371" t="n"/>
      <c r="L221" s="371" t="n"/>
      <c r="M221" s="371" t="n"/>
      <c r="N221" s="371" t="n"/>
      <c r="O221" s="371" t="n"/>
      <c r="P221" s="371" t="n"/>
      <c r="Q221" s="371" t="n"/>
      <c r="R221" s="371" t="n"/>
      <c r="S221" s="371" t="n"/>
      <c r="T221" s="371" t="n"/>
      <c r="U221" s="371" t="n"/>
      <c r="V221" s="371" t="n"/>
      <c r="W221" s="371" t="n"/>
      <c r="X221" s="371" t="n"/>
      <c r="Y221" s="371" t="n"/>
      <c r="Z221" s="372" t="n"/>
      <c r="AA221" s="372" t="n"/>
      <c r="AB221" s="371" t="n"/>
      <c r="AC221" s="371">
        <f>IF($B221="","",IF(AB221="Closed",IF(AA221="","",AA221-C221),TODAY()-C221))</f>
        <v/>
      </c>
      <c r="AD221" s="371" t="n"/>
    </row>
    <row r="222" ht="15" customHeight="1" s="15">
      <c r="A222" s="371">
        <f>IF($B222="","",ROW()-5)</f>
        <v/>
      </c>
      <c r="B222" s="371" t="n"/>
      <c r="C222" s="372" t="n"/>
      <c r="D222" s="371">
        <f>IF($B222="","",TEXT(C222,"MMM"))</f>
        <v/>
      </c>
      <c r="E222" s="371">
        <f>IF($B222="","","W"&amp;TEXT(WEEKNUM(C222,2),"00"))</f>
        <v/>
      </c>
      <c r="F222" s="371">
        <f>IF($B222="","","Q"&amp;(INT(MOD(MONTH(C222)-FY_Start+12,12)/3)+1))</f>
        <v/>
      </c>
      <c r="G222" s="371">
        <f>IF($B222="","","FY "&amp;IF(MONTH(C222)&gt;=FY_Start,YEAR(C222),YEAR(C222)-1)&amp;"-"&amp;RIGHT(IF(MONTH(C222)&gt;=FY_Start,YEAR(C222)+1,YEAR(C222)),2))</f>
        <v/>
      </c>
      <c r="H222" s="371" t="n"/>
      <c r="I222" s="371" t="n"/>
      <c r="J222" s="371" t="n"/>
      <c r="K222" s="371" t="n"/>
      <c r="L222" s="371" t="n"/>
      <c r="M222" s="371" t="n"/>
      <c r="N222" s="371" t="n"/>
      <c r="O222" s="371" t="n"/>
      <c r="P222" s="371" t="n"/>
      <c r="Q222" s="371" t="n"/>
      <c r="R222" s="371" t="n"/>
      <c r="S222" s="371" t="n"/>
      <c r="T222" s="371" t="n"/>
      <c r="U222" s="371" t="n"/>
      <c r="V222" s="371" t="n"/>
      <c r="W222" s="371" t="n"/>
      <c r="X222" s="371" t="n"/>
      <c r="Y222" s="371" t="n"/>
      <c r="Z222" s="372" t="n"/>
      <c r="AA222" s="372" t="n"/>
      <c r="AB222" s="371" t="n"/>
      <c r="AC222" s="371">
        <f>IF($B222="","",IF(AB222="Closed",IF(AA222="","",AA222-C222),TODAY()-C222))</f>
        <v/>
      </c>
      <c r="AD222" s="371" t="n"/>
    </row>
    <row r="223" ht="15" customHeight="1" s="15">
      <c r="A223" s="371">
        <f>IF($B223="","",ROW()-5)</f>
        <v/>
      </c>
      <c r="B223" s="371" t="n"/>
      <c r="C223" s="372" t="n"/>
      <c r="D223" s="371">
        <f>IF($B223="","",TEXT(C223,"MMM"))</f>
        <v/>
      </c>
      <c r="E223" s="371">
        <f>IF($B223="","","W"&amp;TEXT(WEEKNUM(C223,2),"00"))</f>
        <v/>
      </c>
      <c r="F223" s="371">
        <f>IF($B223="","","Q"&amp;(INT(MOD(MONTH(C223)-FY_Start+12,12)/3)+1))</f>
        <v/>
      </c>
      <c r="G223" s="371">
        <f>IF($B223="","","FY "&amp;IF(MONTH(C223)&gt;=FY_Start,YEAR(C223),YEAR(C223)-1)&amp;"-"&amp;RIGHT(IF(MONTH(C223)&gt;=FY_Start,YEAR(C223)+1,YEAR(C223)),2))</f>
        <v/>
      </c>
      <c r="H223" s="371" t="n"/>
      <c r="I223" s="371" t="n"/>
      <c r="J223" s="371" t="n"/>
      <c r="K223" s="371" t="n"/>
      <c r="L223" s="371" t="n"/>
      <c r="M223" s="371" t="n"/>
      <c r="N223" s="371" t="n"/>
      <c r="O223" s="371" t="n"/>
      <c r="P223" s="371" t="n"/>
      <c r="Q223" s="371" t="n"/>
      <c r="R223" s="371" t="n"/>
      <c r="S223" s="371" t="n"/>
      <c r="T223" s="371" t="n"/>
      <c r="U223" s="371" t="n"/>
      <c r="V223" s="371" t="n"/>
      <c r="W223" s="371" t="n"/>
      <c r="X223" s="371" t="n"/>
      <c r="Y223" s="371" t="n"/>
      <c r="Z223" s="372" t="n"/>
      <c r="AA223" s="372" t="n"/>
      <c r="AB223" s="371" t="n"/>
      <c r="AC223" s="371">
        <f>IF($B223="","",IF(AB223="Closed",IF(AA223="","",AA223-C223),TODAY()-C223))</f>
        <v/>
      </c>
      <c r="AD223" s="371" t="n"/>
    </row>
    <row r="224" ht="15" customHeight="1" s="15">
      <c r="A224" s="371">
        <f>IF($B224="","",ROW()-5)</f>
        <v/>
      </c>
      <c r="B224" s="371" t="n"/>
      <c r="C224" s="372" t="n"/>
      <c r="D224" s="371">
        <f>IF($B224="","",TEXT(C224,"MMM"))</f>
        <v/>
      </c>
      <c r="E224" s="371">
        <f>IF($B224="","","W"&amp;TEXT(WEEKNUM(C224,2),"00"))</f>
        <v/>
      </c>
      <c r="F224" s="371">
        <f>IF($B224="","","Q"&amp;(INT(MOD(MONTH(C224)-FY_Start+12,12)/3)+1))</f>
        <v/>
      </c>
      <c r="G224" s="371">
        <f>IF($B224="","","FY "&amp;IF(MONTH(C224)&gt;=FY_Start,YEAR(C224),YEAR(C224)-1)&amp;"-"&amp;RIGHT(IF(MONTH(C224)&gt;=FY_Start,YEAR(C224)+1,YEAR(C224)),2))</f>
        <v/>
      </c>
      <c r="H224" s="371" t="n"/>
      <c r="I224" s="371" t="n"/>
      <c r="J224" s="371" t="n"/>
      <c r="K224" s="371" t="n"/>
      <c r="L224" s="371" t="n"/>
      <c r="M224" s="371" t="n"/>
      <c r="N224" s="371" t="n"/>
      <c r="O224" s="371" t="n"/>
      <c r="P224" s="371" t="n"/>
      <c r="Q224" s="371" t="n"/>
      <c r="R224" s="371" t="n"/>
      <c r="S224" s="371" t="n"/>
      <c r="T224" s="371" t="n"/>
      <c r="U224" s="371" t="n"/>
      <c r="V224" s="371" t="n"/>
      <c r="W224" s="371" t="n"/>
      <c r="X224" s="371" t="n"/>
      <c r="Y224" s="371" t="n"/>
      <c r="Z224" s="372" t="n"/>
      <c r="AA224" s="372" t="n"/>
      <c r="AB224" s="371" t="n"/>
      <c r="AC224" s="371">
        <f>IF($B224="","",IF(AB224="Closed",IF(AA224="","",AA224-C224),TODAY()-C224))</f>
        <v/>
      </c>
      <c r="AD224" s="371" t="n"/>
    </row>
    <row r="225" ht="15" customHeight="1" s="15">
      <c r="A225" s="371">
        <f>IF($B225="","",ROW()-5)</f>
        <v/>
      </c>
      <c r="B225" s="371" t="n"/>
      <c r="C225" s="372" t="n"/>
      <c r="D225" s="371">
        <f>IF($B225="","",TEXT(C225,"MMM"))</f>
        <v/>
      </c>
      <c r="E225" s="371">
        <f>IF($B225="","","W"&amp;TEXT(WEEKNUM(C225,2),"00"))</f>
        <v/>
      </c>
      <c r="F225" s="371">
        <f>IF($B225="","","Q"&amp;(INT(MOD(MONTH(C225)-FY_Start+12,12)/3)+1))</f>
        <v/>
      </c>
      <c r="G225" s="371">
        <f>IF($B225="","","FY "&amp;IF(MONTH(C225)&gt;=FY_Start,YEAR(C225),YEAR(C225)-1)&amp;"-"&amp;RIGHT(IF(MONTH(C225)&gt;=FY_Start,YEAR(C225)+1,YEAR(C225)),2))</f>
        <v/>
      </c>
      <c r="H225" s="371" t="n"/>
      <c r="I225" s="371" t="n"/>
      <c r="J225" s="371" t="n"/>
      <c r="K225" s="371" t="n"/>
      <c r="L225" s="371" t="n"/>
      <c r="M225" s="371" t="n"/>
      <c r="N225" s="371" t="n"/>
      <c r="O225" s="371" t="n"/>
      <c r="P225" s="371" t="n"/>
      <c r="Q225" s="371" t="n"/>
      <c r="R225" s="371" t="n"/>
      <c r="S225" s="371" t="n"/>
      <c r="T225" s="371" t="n"/>
      <c r="U225" s="371" t="n"/>
      <c r="V225" s="371" t="n"/>
      <c r="W225" s="371" t="n"/>
      <c r="X225" s="371" t="n"/>
      <c r="Y225" s="371" t="n"/>
      <c r="Z225" s="372" t="n"/>
      <c r="AA225" s="372" t="n"/>
      <c r="AB225" s="371" t="n"/>
      <c r="AC225" s="371">
        <f>IF($B225="","",IF(AB225="Closed",IF(AA225="","",AA225-C225),TODAY()-C225))</f>
        <v/>
      </c>
      <c r="AD225" s="371" t="n"/>
    </row>
    <row r="226" ht="15" customHeight="1" s="15">
      <c r="A226" s="371">
        <f>IF($B226="","",ROW()-5)</f>
        <v/>
      </c>
      <c r="B226" s="371" t="n"/>
      <c r="C226" s="372" t="n"/>
      <c r="D226" s="371">
        <f>IF($B226="","",TEXT(C226,"MMM"))</f>
        <v/>
      </c>
      <c r="E226" s="371">
        <f>IF($B226="","","W"&amp;TEXT(WEEKNUM(C226,2),"00"))</f>
        <v/>
      </c>
      <c r="F226" s="371">
        <f>IF($B226="","","Q"&amp;(INT(MOD(MONTH(C226)-FY_Start+12,12)/3)+1))</f>
        <v/>
      </c>
      <c r="G226" s="371">
        <f>IF($B226="","","FY "&amp;IF(MONTH(C226)&gt;=FY_Start,YEAR(C226),YEAR(C226)-1)&amp;"-"&amp;RIGHT(IF(MONTH(C226)&gt;=FY_Start,YEAR(C226)+1,YEAR(C226)),2))</f>
        <v/>
      </c>
      <c r="H226" s="371" t="n"/>
      <c r="I226" s="371" t="n"/>
      <c r="J226" s="371" t="n"/>
      <c r="K226" s="371" t="n"/>
      <c r="L226" s="371" t="n"/>
      <c r="M226" s="371" t="n"/>
      <c r="N226" s="371" t="n"/>
      <c r="O226" s="371" t="n"/>
      <c r="P226" s="371" t="n"/>
      <c r="Q226" s="371" t="n"/>
      <c r="R226" s="371" t="n"/>
      <c r="S226" s="371" t="n"/>
      <c r="T226" s="371" t="n"/>
      <c r="U226" s="371" t="n"/>
      <c r="V226" s="371" t="n"/>
      <c r="W226" s="371" t="n"/>
      <c r="X226" s="371" t="n"/>
      <c r="Y226" s="371" t="n"/>
      <c r="Z226" s="372" t="n"/>
      <c r="AA226" s="372" t="n"/>
      <c r="AB226" s="371" t="n"/>
      <c r="AC226" s="371">
        <f>IF($B226="","",IF(AB226="Closed",IF(AA226="","",AA226-C226),TODAY()-C226))</f>
        <v/>
      </c>
      <c r="AD226" s="371" t="n"/>
    </row>
    <row r="227" ht="15" customHeight="1" s="15">
      <c r="A227" s="371">
        <f>IF($B227="","",ROW()-5)</f>
        <v/>
      </c>
      <c r="B227" s="371" t="n"/>
      <c r="C227" s="372" t="n"/>
      <c r="D227" s="371">
        <f>IF($B227="","",TEXT(C227,"MMM"))</f>
        <v/>
      </c>
      <c r="E227" s="371">
        <f>IF($B227="","","W"&amp;TEXT(WEEKNUM(C227,2),"00"))</f>
        <v/>
      </c>
      <c r="F227" s="371">
        <f>IF($B227="","","Q"&amp;(INT(MOD(MONTH(C227)-FY_Start+12,12)/3)+1))</f>
        <v/>
      </c>
      <c r="G227" s="371">
        <f>IF($B227="","","FY "&amp;IF(MONTH(C227)&gt;=FY_Start,YEAR(C227),YEAR(C227)-1)&amp;"-"&amp;RIGHT(IF(MONTH(C227)&gt;=FY_Start,YEAR(C227)+1,YEAR(C227)),2))</f>
        <v/>
      </c>
      <c r="H227" s="371" t="n"/>
      <c r="I227" s="371" t="n"/>
      <c r="J227" s="371" t="n"/>
      <c r="K227" s="371" t="n"/>
      <c r="L227" s="371" t="n"/>
      <c r="M227" s="371" t="n"/>
      <c r="N227" s="371" t="n"/>
      <c r="O227" s="371" t="n"/>
      <c r="P227" s="371" t="n"/>
      <c r="Q227" s="371" t="n"/>
      <c r="R227" s="371" t="n"/>
      <c r="S227" s="371" t="n"/>
      <c r="T227" s="371" t="n"/>
      <c r="U227" s="371" t="n"/>
      <c r="V227" s="371" t="n"/>
      <c r="W227" s="371" t="n"/>
      <c r="X227" s="371" t="n"/>
      <c r="Y227" s="371" t="n"/>
      <c r="Z227" s="372" t="n"/>
      <c r="AA227" s="372" t="n"/>
      <c r="AB227" s="371" t="n"/>
      <c r="AC227" s="371">
        <f>IF($B227="","",IF(AB227="Closed",IF(AA227="","",AA227-C227),TODAY()-C227))</f>
        <v/>
      </c>
      <c r="AD227" s="371" t="n"/>
    </row>
    <row r="228" ht="15" customHeight="1" s="15">
      <c r="A228" s="371">
        <f>IF($B228="","",ROW()-5)</f>
        <v/>
      </c>
      <c r="B228" s="371" t="n"/>
      <c r="C228" s="372" t="n"/>
      <c r="D228" s="371">
        <f>IF($B228="","",TEXT(C228,"MMM"))</f>
        <v/>
      </c>
      <c r="E228" s="371">
        <f>IF($B228="","","W"&amp;TEXT(WEEKNUM(C228,2),"00"))</f>
        <v/>
      </c>
      <c r="F228" s="371">
        <f>IF($B228="","","Q"&amp;(INT(MOD(MONTH(C228)-FY_Start+12,12)/3)+1))</f>
        <v/>
      </c>
      <c r="G228" s="371">
        <f>IF($B228="","","FY "&amp;IF(MONTH(C228)&gt;=FY_Start,YEAR(C228),YEAR(C228)-1)&amp;"-"&amp;RIGHT(IF(MONTH(C228)&gt;=FY_Start,YEAR(C228)+1,YEAR(C228)),2))</f>
        <v/>
      </c>
      <c r="H228" s="371" t="n"/>
      <c r="I228" s="371" t="n"/>
      <c r="J228" s="371" t="n"/>
      <c r="K228" s="371" t="n"/>
      <c r="L228" s="371" t="n"/>
      <c r="M228" s="371" t="n"/>
      <c r="N228" s="371" t="n"/>
      <c r="O228" s="371" t="n"/>
      <c r="P228" s="371" t="n"/>
      <c r="Q228" s="371" t="n"/>
      <c r="R228" s="371" t="n"/>
      <c r="S228" s="371" t="n"/>
      <c r="T228" s="371" t="n"/>
      <c r="U228" s="371" t="n"/>
      <c r="V228" s="371" t="n"/>
      <c r="W228" s="371" t="n"/>
      <c r="X228" s="371" t="n"/>
      <c r="Y228" s="371" t="n"/>
      <c r="Z228" s="372" t="n"/>
      <c r="AA228" s="372" t="n"/>
      <c r="AB228" s="371" t="n"/>
      <c r="AC228" s="371">
        <f>IF($B228="","",IF(AB228="Closed",IF(AA228="","",AA228-C228),TODAY()-C228))</f>
        <v/>
      </c>
      <c r="AD228" s="371" t="n"/>
    </row>
    <row r="229" ht="15" customHeight="1" s="15">
      <c r="A229" s="371">
        <f>IF($B229="","",ROW()-5)</f>
        <v/>
      </c>
      <c r="B229" s="371" t="n"/>
      <c r="C229" s="372" t="n"/>
      <c r="D229" s="371">
        <f>IF($B229="","",TEXT(C229,"MMM"))</f>
        <v/>
      </c>
      <c r="E229" s="371">
        <f>IF($B229="","","W"&amp;TEXT(WEEKNUM(C229,2),"00"))</f>
        <v/>
      </c>
      <c r="F229" s="371">
        <f>IF($B229="","","Q"&amp;(INT(MOD(MONTH(C229)-FY_Start+12,12)/3)+1))</f>
        <v/>
      </c>
      <c r="G229" s="371">
        <f>IF($B229="","","FY "&amp;IF(MONTH(C229)&gt;=FY_Start,YEAR(C229),YEAR(C229)-1)&amp;"-"&amp;RIGHT(IF(MONTH(C229)&gt;=FY_Start,YEAR(C229)+1,YEAR(C229)),2))</f>
        <v/>
      </c>
      <c r="H229" s="371" t="n"/>
      <c r="I229" s="371" t="n"/>
      <c r="J229" s="371" t="n"/>
      <c r="K229" s="371" t="n"/>
      <c r="L229" s="371" t="n"/>
      <c r="M229" s="371" t="n"/>
      <c r="N229" s="371" t="n"/>
      <c r="O229" s="371" t="n"/>
      <c r="P229" s="371" t="n"/>
      <c r="Q229" s="371" t="n"/>
      <c r="R229" s="371" t="n"/>
      <c r="S229" s="371" t="n"/>
      <c r="T229" s="371" t="n"/>
      <c r="U229" s="371" t="n"/>
      <c r="V229" s="371" t="n"/>
      <c r="W229" s="371" t="n"/>
      <c r="X229" s="371" t="n"/>
      <c r="Y229" s="371" t="n"/>
      <c r="Z229" s="372" t="n"/>
      <c r="AA229" s="372" t="n"/>
      <c r="AB229" s="371" t="n"/>
      <c r="AC229" s="371">
        <f>IF($B229="","",IF(AB229="Closed",IF(AA229="","",AA229-C229),TODAY()-C229))</f>
        <v/>
      </c>
      <c r="AD229" s="371" t="n"/>
    </row>
    <row r="230" ht="15" customHeight="1" s="15">
      <c r="A230" s="371">
        <f>IF($B230="","",ROW()-5)</f>
        <v/>
      </c>
      <c r="B230" s="371" t="n"/>
      <c r="C230" s="372" t="n"/>
      <c r="D230" s="371">
        <f>IF($B230="","",TEXT(C230,"MMM"))</f>
        <v/>
      </c>
      <c r="E230" s="371">
        <f>IF($B230="","","W"&amp;TEXT(WEEKNUM(C230,2),"00"))</f>
        <v/>
      </c>
      <c r="F230" s="371">
        <f>IF($B230="","","Q"&amp;(INT(MOD(MONTH(C230)-FY_Start+12,12)/3)+1))</f>
        <v/>
      </c>
      <c r="G230" s="371">
        <f>IF($B230="","","FY "&amp;IF(MONTH(C230)&gt;=FY_Start,YEAR(C230),YEAR(C230)-1)&amp;"-"&amp;RIGHT(IF(MONTH(C230)&gt;=FY_Start,YEAR(C230)+1,YEAR(C230)),2))</f>
        <v/>
      </c>
      <c r="H230" s="371" t="n"/>
      <c r="I230" s="371" t="n"/>
      <c r="J230" s="371" t="n"/>
      <c r="K230" s="371" t="n"/>
      <c r="L230" s="371" t="n"/>
      <c r="M230" s="371" t="n"/>
      <c r="N230" s="371" t="n"/>
      <c r="O230" s="371" t="n"/>
      <c r="P230" s="371" t="n"/>
      <c r="Q230" s="371" t="n"/>
      <c r="R230" s="371" t="n"/>
      <c r="S230" s="371" t="n"/>
      <c r="T230" s="371" t="n"/>
      <c r="U230" s="371" t="n"/>
      <c r="V230" s="371" t="n"/>
      <c r="W230" s="371" t="n"/>
      <c r="X230" s="371" t="n"/>
      <c r="Y230" s="371" t="n"/>
      <c r="Z230" s="372" t="n"/>
      <c r="AA230" s="372" t="n"/>
      <c r="AB230" s="371" t="n"/>
      <c r="AC230" s="371">
        <f>IF($B230="","",IF(AB230="Closed",IF(AA230="","",AA230-C230),TODAY()-C230))</f>
        <v/>
      </c>
      <c r="AD230" s="371" t="n"/>
    </row>
    <row r="231" ht="15" customHeight="1" s="15">
      <c r="A231" s="371">
        <f>IF($B231="","",ROW()-5)</f>
        <v/>
      </c>
      <c r="B231" s="371" t="n"/>
      <c r="C231" s="372" t="n"/>
      <c r="D231" s="371">
        <f>IF($B231="","",TEXT(C231,"MMM"))</f>
        <v/>
      </c>
      <c r="E231" s="371">
        <f>IF($B231="","","W"&amp;TEXT(WEEKNUM(C231,2),"00"))</f>
        <v/>
      </c>
      <c r="F231" s="371">
        <f>IF($B231="","","Q"&amp;(INT(MOD(MONTH(C231)-FY_Start+12,12)/3)+1))</f>
        <v/>
      </c>
      <c r="G231" s="371">
        <f>IF($B231="","","FY "&amp;IF(MONTH(C231)&gt;=FY_Start,YEAR(C231),YEAR(C231)-1)&amp;"-"&amp;RIGHT(IF(MONTH(C231)&gt;=FY_Start,YEAR(C231)+1,YEAR(C231)),2))</f>
        <v/>
      </c>
      <c r="H231" s="371" t="n"/>
      <c r="I231" s="371" t="n"/>
      <c r="J231" s="371" t="n"/>
      <c r="K231" s="371" t="n"/>
      <c r="L231" s="371" t="n"/>
      <c r="M231" s="371" t="n"/>
      <c r="N231" s="371" t="n"/>
      <c r="O231" s="371" t="n"/>
      <c r="P231" s="371" t="n"/>
      <c r="Q231" s="371" t="n"/>
      <c r="R231" s="371" t="n"/>
      <c r="S231" s="371" t="n"/>
      <c r="T231" s="371" t="n"/>
      <c r="U231" s="371" t="n"/>
      <c r="V231" s="371" t="n"/>
      <c r="W231" s="371" t="n"/>
      <c r="X231" s="371" t="n"/>
      <c r="Y231" s="371" t="n"/>
      <c r="Z231" s="372" t="n"/>
      <c r="AA231" s="372" t="n"/>
      <c r="AB231" s="371" t="n"/>
      <c r="AC231" s="371">
        <f>IF($B231="","",IF(AB231="Closed",IF(AA231="","",AA231-C231),TODAY()-C231))</f>
        <v/>
      </c>
      <c r="AD231" s="371" t="n"/>
    </row>
    <row r="232" ht="15" customHeight="1" s="15">
      <c r="A232" s="371">
        <f>IF($B232="","",ROW()-5)</f>
        <v/>
      </c>
      <c r="B232" s="371" t="n"/>
      <c r="C232" s="372" t="n"/>
      <c r="D232" s="371">
        <f>IF($B232="","",TEXT(C232,"MMM"))</f>
        <v/>
      </c>
      <c r="E232" s="371">
        <f>IF($B232="","","W"&amp;TEXT(WEEKNUM(C232,2),"00"))</f>
        <v/>
      </c>
      <c r="F232" s="371">
        <f>IF($B232="","","Q"&amp;(INT(MOD(MONTH(C232)-FY_Start+12,12)/3)+1))</f>
        <v/>
      </c>
      <c r="G232" s="371">
        <f>IF($B232="","","FY "&amp;IF(MONTH(C232)&gt;=FY_Start,YEAR(C232),YEAR(C232)-1)&amp;"-"&amp;RIGHT(IF(MONTH(C232)&gt;=FY_Start,YEAR(C232)+1,YEAR(C232)),2))</f>
        <v/>
      </c>
      <c r="H232" s="371" t="n"/>
      <c r="I232" s="371" t="n"/>
      <c r="J232" s="371" t="n"/>
      <c r="K232" s="371" t="n"/>
      <c r="L232" s="371" t="n"/>
      <c r="M232" s="371" t="n"/>
      <c r="N232" s="371" t="n"/>
      <c r="O232" s="371" t="n"/>
      <c r="P232" s="371" t="n"/>
      <c r="Q232" s="371" t="n"/>
      <c r="R232" s="371" t="n"/>
      <c r="S232" s="371" t="n"/>
      <c r="T232" s="371" t="n"/>
      <c r="U232" s="371" t="n"/>
      <c r="V232" s="371" t="n"/>
      <c r="W232" s="371" t="n"/>
      <c r="X232" s="371" t="n"/>
      <c r="Y232" s="371" t="n"/>
      <c r="Z232" s="372" t="n"/>
      <c r="AA232" s="372" t="n"/>
      <c r="AB232" s="371" t="n"/>
      <c r="AC232" s="371">
        <f>IF($B232="","",IF(AB232="Closed",IF(AA232="","",AA232-C232),TODAY()-C232))</f>
        <v/>
      </c>
      <c r="AD232" s="371" t="n"/>
    </row>
    <row r="233" ht="15" customHeight="1" s="15">
      <c r="A233" s="371">
        <f>IF($B233="","",ROW()-5)</f>
        <v/>
      </c>
      <c r="B233" s="371" t="n"/>
      <c r="C233" s="372" t="n"/>
      <c r="D233" s="371">
        <f>IF($B233="","",TEXT(C233,"MMM"))</f>
        <v/>
      </c>
      <c r="E233" s="371">
        <f>IF($B233="","","W"&amp;TEXT(WEEKNUM(C233,2),"00"))</f>
        <v/>
      </c>
      <c r="F233" s="371">
        <f>IF($B233="","","Q"&amp;(INT(MOD(MONTH(C233)-FY_Start+12,12)/3)+1))</f>
        <v/>
      </c>
      <c r="G233" s="371">
        <f>IF($B233="","","FY "&amp;IF(MONTH(C233)&gt;=FY_Start,YEAR(C233),YEAR(C233)-1)&amp;"-"&amp;RIGHT(IF(MONTH(C233)&gt;=FY_Start,YEAR(C233)+1,YEAR(C233)),2))</f>
        <v/>
      </c>
      <c r="H233" s="371" t="n"/>
      <c r="I233" s="371" t="n"/>
      <c r="J233" s="371" t="n"/>
      <c r="K233" s="371" t="n"/>
      <c r="L233" s="371" t="n"/>
      <c r="M233" s="371" t="n"/>
      <c r="N233" s="371" t="n"/>
      <c r="O233" s="371" t="n"/>
      <c r="P233" s="371" t="n"/>
      <c r="Q233" s="371" t="n"/>
      <c r="R233" s="371" t="n"/>
      <c r="S233" s="371" t="n"/>
      <c r="T233" s="371" t="n"/>
      <c r="U233" s="371" t="n"/>
      <c r="V233" s="371" t="n"/>
      <c r="W233" s="371" t="n"/>
      <c r="X233" s="371" t="n"/>
      <c r="Y233" s="371" t="n"/>
      <c r="Z233" s="372" t="n"/>
      <c r="AA233" s="372" t="n"/>
      <c r="AB233" s="371" t="n"/>
      <c r="AC233" s="371">
        <f>IF($B233="","",IF(AB233="Closed",IF(AA233="","",AA233-C233),TODAY()-C233))</f>
        <v/>
      </c>
      <c r="AD233" s="371" t="n"/>
    </row>
    <row r="234" ht="15" customHeight="1" s="15">
      <c r="A234" s="371">
        <f>IF($B234="","",ROW()-5)</f>
        <v/>
      </c>
      <c r="B234" s="371" t="n"/>
      <c r="C234" s="372" t="n"/>
      <c r="D234" s="371">
        <f>IF($B234="","",TEXT(C234,"MMM"))</f>
        <v/>
      </c>
      <c r="E234" s="371">
        <f>IF($B234="","","W"&amp;TEXT(WEEKNUM(C234,2),"00"))</f>
        <v/>
      </c>
      <c r="F234" s="371">
        <f>IF($B234="","","Q"&amp;(INT(MOD(MONTH(C234)-FY_Start+12,12)/3)+1))</f>
        <v/>
      </c>
      <c r="G234" s="371">
        <f>IF($B234="","","FY "&amp;IF(MONTH(C234)&gt;=FY_Start,YEAR(C234),YEAR(C234)-1)&amp;"-"&amp;RIGHT(IF(MONTH(C234)&gt;=FY_Start,YEAR(C234)+1,YEAR(C234)),2))</f>
        <v/>
      </c>
      <c r="H234" s="371" t="n"/>
      <c r="I234" s="371" t="n"/>
      <c r="J234" s="371" t="n"/>
      <c r="K234" s="371" t="n"/>
      <c r="L234" s="371" t="n"/>
      <c r="M234" s="371" t="n"/>
      <c r="N234" s="371" t="n"/>
      <c r="O234" s="371" t="n"/>
      <c r="P234" s="371" t="n"/>
      <c r="Q234" s="371" t="n"/>
      <c r="R234" s="371" t="n"/>
      <c r="S234" s="371" t="n"/>
      <c r="T234" s="371" t="n"/>
      <c r="U234" s="371" t="n"/>
      <c r="V234" s="371" t="n"/>
      <c r="W234" s="371" t="n"/>
      <c r="X234" s="371" t="n"/>
      <c r="Y234" s="371" t="n"/>
      <c r="Z234" s="372" t="n"/>
      <c r="AA234" s="372" t="n"/>
      <c r="AB234" s="371" t="n"/>
      <c r="AC234" s="371">
        <f>IF($B234="","",IF(AB234="Closed",IF(AA234="","",AA234-C234),TODAY()-C234))</f>
        <v/>
      </c>
      <c r="AD234" s="371" t="n"/>
    </row>
    <row r="235" ht="15" customHeight="1" s="15">
      <c r="A235" s="371">
        <f>IF($B235="","",ROW()-5)</f>
        <v/>
      </c>
      <c r="B235" s="371" t="n"/>
      <c r="C235" s="372" t="n"/>
      <c r="D235" s="371">
        <f>IF($B235="","",TEXT(C235,"MMM"))</f>
        <v/>
      </c>
      <c r="E235" s="371">
        <f>IF($B235="","","W"&amp;TEXT(WEEKNUM(C235,2),"00"))</f>
        <v/>
      </c>
      <c r="F235" s="371">
        <f>IF($B235="","","Q"&amp;(INT(MOD(MONTH(C235)-FY_Start+12,12)/3)+1))</f>
        <v/>
      </c>
      <c r="G235" s="371">
        <f>IF($B235="","","FY "&amp;IF(MONTH(C235)&gt;=FY_Start,YEAR(C235),YEAR(C235)-1)&amp;"-"&amp;RIGHT(IF(MONTH(C235)&gt;=FY_Start,YEAR(C235)+1,YEAR(C235)),2))</f>
        <v/>
      </c>
      <c r="H235" s="371" t="n"/>
      <c r="I235" s="371" t="n"/>
      <c r="J235" s="371" t="n"/>
      <c r="K235" s="371" t="n"/>
      <c r="L235" s="371" t="n"/>
      <c r="M235" s="371" t="n"/>
      <c r="N235" s="371" t="n"/>
      <c r="O235" s="371" t="n"/>
      <c r="P235" s="371" t="n"/>
      <c r="Q235" s="371" t="n"/>
      <c r="R235" s="371" t="n"/>
      <c r="S235" s="371" t="n"/>
      <c r="T235" s="371" t="n"/>
      <c r="U235" s="371" t="n"/>
      <c r="V235" s="371" t="n"/>
      <c r="W235" s="371" t="n"/>
      <c r="X235" s="371" t="n"/>
      <c r="Y235" s="371" t="n"/>
      <c r="Z235" s="372" t="n"/>
      <c r="AA235" s="372" t="n"/>
      <c r="AB235" s="371" t="n"/>
      <c r="AC235" s="371">
        <f>IF($B235="","",IF(AB235="Closed",IF(AA235="","",AA235-C235),TODAY()-C235))</f>
        <v/>
      </c>
      <c r="AD235" s="371" t="n"/>
    </row>
    <row r="236" ht="15" customHeight="1" s="15">
      <c r="A236" s="371">
        <f>IF($B236="","",ROW()-5)</f>
        <v/>
      </c>
      <c r="B236" s="371" t="n"/>
      <c r="C236" s="372" t="n"/>
      <c r="D236" s="371">
        <f>IF($B236="","",TEXT(C236,"MMM"))</f>
        <v/>
      </c>
      <c r="E236" s="371">
        <f>IF($B236="","","W"&amp;TEXT(WEEKNUM(C236,2),"00"))</f>
        <v/>
      </c>
      <c r="F236" s="371">
        <f>IF($B236="","","Q"&amp;(INT(MOD(MONTH(C236)-FY_Start+12,12)/3)+1))</f>
        <v/>
      </c>
      <c r="G236" s="371">
        <f>IF($B236="","","FY "&amp;IF(MONTH(C236)&gt;=FY_Start,YEAR(C236),YEAR(C236)-1)&amp;"-"&amp;RIGHT(IF(MONTH(C236)&gt;=FY_Start,YEAR(C236)+1,YEAR(C236)),2))</f>
        <v/>
      </c>
      <c r="H236" s="371" t="n"/>
      <c r="I236" s="371" t="n"/>
      <c r="J236" s="371" t="n"/>
      <c r="K236" s="371" t="n"/>
      <c r="L236" s="371" t="n"/>
      <c r="M236" s="371" t="n"/>
      <c r="N236" s="371" t="n"/>
      <c r="O236" s="371" t="n"/>
      <c r="P236" s="371" t="n"/>
      <c r="Q236" s="371" t="n"/>
      <c r="R236" s="371" t="n"/>
      <c r="S236" s="371" t="n"/>
      <c r="T236" s="371" t="n"/>
      <c r="U236" s="371" t="n"/>
      <c r="V236" s="371" t="n"/>
      <c r="W236" s="371" t="n"/>
      <c r="X236" s="371" t="n"/>
      <c r="Y236" s="371" t="n"/>
      <c r="Z236" s="372" t="n"/>
      <c r="AA236" s="372" t="n"/>
      <c r="AB236" s="371" t="n"/>
      <c r="AC236" s="371">
        <f>IF($B236="","",IF(AB236="Closed",IF(AA236="","",AA236-C236),TODAY()-C236))</f>
        <v/>
      </c>
      <c r="AD236" s="371" t="n"/>
    </row>
    <row r="237" ht="15" customHeight="1" s="15">
      <c r="A237" s="371">
        <f>IF($B237="","",ROW()-5)</f>
        <v/>
      </c>
      <c r="B237" s="371" t="n"/>
      <c r="C237" s="372" t="n"/>
      <c r="D237" s="371">
        <f>IF($B237="","",TEXT(C237,"MMM"))</f>
        <v/>
      </c>
      <c r="E237" s="371">
        <f>IF($B237="","","W"&amp;TEXT(WEEKNUM(C237,2),"00"))</f>
        <v/>
      </c>
      <c r="F237" s="371">
        <f>IF($B237="","","Q"&amp;(INT(MOD(MONTH(C237)-FY_Start+12,12)/3)+1))</f>
        <v/>
      </c>
      <c r="G237" s="371">
        <f>IF($B237="","","FY "&amp;IF(MONTH(C237)&gt;=FY_Start,YEAR(C237),YEAR(C237)-1)&amp;"-"&amp;RIGHT(IF(MONTH(C237)&gt;=FY_Start,YEAR(C237)+1,YEAR(C237)),2))</f>
        <v/>
      </c>
      <c r="H237" s="371" t="n"/>
      <c r="I237" s="371" t="n"/>
      <c r="J237" s="371" t="n"/>
      <c r="K237" s="371" t="n"/>
      <c r="L237" s="371" t="n"/>
      <c r="M237" s="371" t="n"/>
      <c r="N237" s="371" t="n"/>
      <c r="O237" s="371" t="n"/>
      <c r="P237" s="371" t="n"/>
      <c r="Q237" s="371" t="n"/>
      <c r="R237" s="371" t="n"/>
      <c r="S237" s="371" t="n"/>
      <c r="T237" s="371" t="n"/>
      <c r="U237" s="371" t="n"/>
      <c r="V237" s="371" t="n"/>
      <c r="W237" s="371" t="n"/>
      <c r="X237" s="371" t="n"/>
      <c r="Y237" s="371" t="n"/>
      <c r="Z237" s="372" t="n"/>
      <c r="AA237" s="372" t="n"/>
      <c r="AB237" s="371" t="n"/>
      <c r="AC237" s="371">
        <f>IF($B237="","",IF(AB237="Closed",IF(AA237="","",AA237-C237),TODAY()-C237))</f>
        <v/>
      </c>
      <c r="AD237" s="371" t="n"/>
    </row>
    <row r="238" ht="15" customHeight="1" s="15">
      <c r="A238" s="371">
        <f>IF($B238="","",ROW()-5)</f>
        <v/>
      </c>
      <c r="B238" s="371" t="n"/>
      <c r="C238" s="372" t="n"/>
      <c r="D238" s="371">
        <f>IF($B238="","",TEXT(C238,"MMM"))</f>
        <v/>
      </c>
      <c r="E238" s="371">
        <f>IF($B238="","","W"&amp;TEXT(WEEKNUM(C238,2),"00"))</f>
        <v/>
      </c>
      <c r="F238" s="371">
        <f>IF($B238="","","Q"&amp;(INT(MOD(MONTH(C238)-FY_Start+12,12)/3)+1))</f>
        <v/>
      </c>
      <c r="G238" s="371">
        <f>IF($B238="","","FY "&amp;IF(MONTH(C238)&gt;=FY_Start,YEAR(C238),YEAR(C238)-1)&amp;"-"&amp;RIGHT(IF(MONTH(C238)&gt;=FY_Start,YEAR(C238)+1,YEAR(C238)),2))</f>
        <v/>
      </c>
      <c r="H238" s="371" t="n"/>
      <c r="I238" s="371" t="n"/>
      <c r="J238" s="371" t="n"/>
      <c r="K238" s="371" t="n"/>
      <c r="L238" s="371" t="n"/>
      <c r="M238" s="371" t="n"/>
      <c r="N238" s="371" t="n"/>
      <c r="O238" s="371" t="n"/>
      <c r="P238" s="371" t="n"/>
      <c r="Q238" s="371" t="n"/>
      <c r="R238" s="371" t="n"/>
      <c r="S238" s="371" t="n"/>
      <c r="T238" s="371" t="n"/>
      <c r="U238" s="371" t="n"/>
      <c r="V238" s="371" t="n"/>
      <c r="W238" s="371" t="n"/>
      <c r="X238" s="371" t="n"/>
      <c r="Y238" s="371" t="n"/>
      <c r="Z238" s="372" t="n"/>
      <c r="AA238" s="372" t="n"/>
      <c r="AB238" s="371" t="n"/>
      <c r="AC238" s="371">
        <f>IF($B238="","",IF(AB238="Closed",IF(AA238="","",AA238-C238),TODAY()-C238))</f>
        <v/>
      </c>
      <c r="AD238" s="371" t="n"/>
    </row>
    <row r="239" ht="15" customHeight="1" s="15">
      <c r="A239" s="371">
        <f>IF($B239="","",ROW()-5)</f>
        <v/>
      </c>
      <c r="B239" s="371" t="n"/>
      <c r="C239" s="372" t="n"/>
      <c r="D239" s="371">
        <f>IF($B239="","",TEXT(C239,"MMM"))</f>
        <v/>
      </c>
      <c r="E239" s="371">
        <f>IF($B239="","","W"&amp;TEXT(WEEKNUM(C239,2),"00"))</f>
        <v/>
      </c>
      <c r="F239" s="371">
        <f>IF($B239="","","Q"&amp;(INT(MOD(MONTH(C239)-FY_Start+12,12)/3)+1))</f>
        <v/>
      </c>
      <c r="G239" s="371">
        <f>IF($B239="","","FY "&amp;IF(MONTH(C239)&gt;=FY_Start,YEAR(C239),YEAR(C239)-1)&amp;"-"&amp;RIGHT(IF(MONTH(C239)&gt;=FY_Start,YEAR(C239)+1,YEAR(C239)),2))</f>
        <v/>
      </c>
      <c r="H239" s="371" t="n"/>
      <c r="I239" s="371" t="n"/>
      <c r="J239" s="371" t="n"/>
      <c r="K239" s="371" t="n"/>
      <c r="L239" s="371" t="n"/>
      <c r="M239" s="371" t="n"/>
      <c r="N239" s="371" t="n"/>
      <c r="O239" s="371" t="n"/>
      <c r="P239" s="371" t="n"/>
      <c r="Q239" s="371" t="n"/>
      <c r="R239" s="371" t="n"/>
      <c r="S239" s="371" t="n"/>
      <c r="T239" s="371" t="n"/>
      <c r="U239" s="371" t="n"/>
      <c r="V239" s="371" t="n"/>
      <c r="W239" s="371" t="n"/>
      <c r="X239" s="371" t="n"/>
      <c r="Y239" s="371" t="n"/>
      <c r="Z239" s="372" t="n"/>
      <c r="AA239" s="372" t="n"/>
      <c r="AB239" s="371" t="n"/>
      <c r="AC239" s="371">
        <f>IF($B239="","",IF(AB239="Closed",IF(AA239="","",AA239-C239),TODAY()-C239))</f>
        <v/>
      </c>
      <c r="AD239" s="371" t="n"/>
    </row>
    <row r="240" ht="15" customHeight="1" s="15">
      <c r="A240" s="371">
        <f>IF($B240="","",ROW()-5)</f>
        <v/>
      </c>
      <c r="B240" s="371" t="n"/>
      <c r="C240" s="372" t="n"/>
      <c r="D240" s="371">
        <f>IF($B240="","",TEXT(C240,"MMM"))</f>
        <v/>
      </c>
      <c r="E240" s="371">
        <f>IF($B240="","","W"&amp;TEXT(WEEKNUM(C240,2),"00"))</f>
        <v/>
      </c>
      <c r="F240" s="371">
        <f>IF($B240="","","Q"&amp;(INT(MOD(MONTH(C240)-FY_Start+12,12)/3)+1))</f>
        <v/>
      </c>
      <c r="G240" s="371">
        <f>IF($B240="","","FY "&amp;IF(MONTH(C240)&gt;=FY_Start,YEAR(C240),YEAR(C240)-1)&amp;"-"&amp;RIGHT(IF(MONTH(C240)&gt;=FY_Start,YEAR(C240)+1,YEAR(C240)),2))</f>
        <v/>
      </c>
      <c r="H240" s="371" t="n"/>
      <c r="I240" s="371" t="n"/>
      <c r="J240" s="371" t="n"/>
      <c r="K240" s="371" t="n"/>
      <c r="L240" s="371" t="n"/>
      <c r="M240" s="371" t="n"/>
      <c r="N240" s="371" t="n"/>
      <c r="O240" s="371" t="n"/>
      <c r="P240" s="371" t="n"/>
      <c r="Q240" s="371" t="n"/>
      <c r="R240" s="371" t="n"/>
      <c r="S240" s="371" t="n"/>
      <c r="T240" s="371" t="n"/>
      <c r="U240" s="371" t="n"/>
      <c r="V240" s="371" t="n"/>
      <c r="W240" s="371" t="n"/>
      <c r="X240" s="371" t="n"/>
      <c r="Y240" s="371" t="n"/>
      <c r="Z240" s="372" t="n"/>
      <c r="AA240" s="372" t="n"/>
      <c r="AB240" s="371" t="n"/>
      <c r="AC240" s="371">
        <f>IF($B240="","",IF(AB240="Closed",IF(AA240="","",AA240-C240),TODAY()-C240))</f>
        <v/>
      </c>
      <c r="AD240" s="371" t="n"/>
    </row>
    <row r="241" ht="15" customHeight="1" s="15">
      <c r="A241" s="371">
        <f>IF($B241="","",ROW()-5)</f>
        <v/>
      </c>
      <c r="B241" s="371" t="n"/>
      <c r="C241" s="372" t="n"/>
      <c r="D241" s="371">
        <f>IF($B241="","",TEXT(C241,"MMM"))</f>
        <v/>
      </c>
      <c r="E241" s="371">
        <f>IF($B241="","","W"&amp;TEXT(WEEKNUM(C241,2),"00"))</f>
        <v/>
      </c>
      <c r="F241" s="371">
        <f>IF($B241="","","Q"&amp;(INT(MOD(MONTH(C241)-FY_Start+12,12)/3)+1))</f>
        <v/>
      </c>
      <c r="G241" s="371">
        <f>IF($B241="","","FY "&amp;IF(MONTH(C241)&gt;=FY_Start,YEAR(C241),YEAR(C241)-1)&amp;"-"&amp;RIGHT(IF(MONTH(C241)&gt;=FY_Start,YEAR(C241)+1,YEAR(C241)),2))</f>
        <v/>
      </c>
      <c r="H241" s="371" t="n"/>
      <c r="I241" s="371" t="n"/>
      <c r="J241" s="371" t="n"/>
      <c r="K241" s="371" t="n"/>
      <c r="L241" s="371" t="n"/>
      <c r="M241" s="371" t="n"/>
      <c r="N241" s="371" t="n"/>
      <c r="O241" s="371" t="n"/>
      <c r="P241" s="371" t="n"/>
      <c r="Q241" s="371" t="n"/>
      <c r="R241" s="371" t="n"/>
      <c r="S241" s="371" t="n"/>
      <c r="T241" s="371" t="n"/>
      <c r="U241" s="371" t="n"/>
      <c r="V241" s="371" t="n"/>
      <c r="W241" s="371" t="n"/>
      <c r="X241" s="371" t="n"/>
      <c r="Y241" s="371" t="n"/>
      <c r="Z241" s="372" t="n"/>
      <c r="AA241" s="372" t="n"/>
      <c r="AB241" s="371" t="n"/>
      <c r="AC241" s="371">
        <f>IF($B241="","",IF(AB241="Closed",IF(AA241="","",AA241-C241),TODAY()-C241))</f>
        <v/>
      </c>
      <c r="AD241" s="371" t="n"/>
    </row>
    <row r="242" ht="15" customHeight="1" s="15">
      <c r="A242" s="371">
        <f>IF($B242="","",ROW()-5)</f>
        <v/>
      </c>
      <c r="B242" s="371" t="n"/>
      <c r="C242" s="372" t="n"/>
      <c r="D242" s="371">
        <f>IF($B242="","",TEXT(C242,"MMM"))</f>
        <v/>
      </c>
      <c r="E242" s="371">
        <f>IF($B242="","","W"&amp;TEXT(WEEKNUM(C242,2),"00"))</f>
        <v/>
      </c>
      <c r="F242" s="371">
        <f>IF($B242="","","Q"&amp;(INT(MOD(MONTH(C242)-FY_Start+12,12)/3)+1))</f>
        <v/>
      </c>
      <c r="G242" s="371">
        <f>IF($B242="","","FY "&amp;IF(MONTH(C242)&gt;=FY_Start,YEAR(C242),YEAR(C242)-1)&amp;"-"&amp;RIGHT(IF(MONTH(C242)&gt;=FY_Start,YEAR(C242)+1,YEAR(C242)),2))</f>
        <v/>
      </c>
      <c r="H242" s="371" t="n"/>
      <c r="I242" s="371" t="n"/>
      <c r="J242" s="371" t="n"/>
      <c r="K242" s="371" t="n"/>
      <c r="L242" s="371" t="n"/>
      <c r="M242" s="371" t="n"/>
      <c r="N242" s="371" t="n"/>
      <c r="O242" s="371" t="n"/>
      <c r="P242" s="371" t="n"/>
      <c r="Q242" s="371" t="n"/>
      <c r="R242" s="371" t="n"/>
      <c r="S242" s="371" t="n"/>
      <c r="T242" s="371" t="n"/>
      <c r="U242" s="371" t="n"/>
      <c r="V242" s="371" t="n"/>
      <c r="W242" s="371" t="n"/>
      <c r="X242" s="371" t="n"/>
      <c r="Y242" s="371" t="n"/>
      <c r="Z242" s="372" t="n"/>
      <c r="AA242" s="372" t="n"/>
      <c r="AB242" s="371" t="n"/>
      <c r="AC242" s="371">
        <f>IF($B242="","",IF(AB242="Closed",IF(AA242="","",AA242-C242),TODAY()-C242))</f>
        <v/>
      </c>
      <c r="AD242" s="371" t="n"/>
    </row>
    <row r="243" ht="15" customHeight="1" s="15">
      <c r="A243" s="371">
        <f>IF($B243="","",ROW()-5)</f>
        <v/>
      </c>
      <c r="B243" s="371" t="n"/>
      <c r="C243" s="372" t="n"/>
      <c r="D243" s="371">
        <f>IF($B243="","",TEXT(C243,"MMM"))</f>
        <v/>
      </c>
      <c r="E243" s="371">
        <f>IF($B243="","","W"&amp;TEXT(WEEKNUM(C243,2),"00"))</f>
        <v/>
      </c>
      <c r="F243" s="371">
        <f>IF($B243="","","Q"&amp;(INT(MOD(MONTH(C243)-FY_Start+12,12)/3)+1))</f>
        <v/>
      </c>
      <c r="G243" s="371">
        <f>IF($B243="","","FY "&amp;IF(MONTH(C243)&gt;=FY_Start,YEAR(C243),YEAR(C243)-1)&amp;"-"&amp;RIGHT(IF(MONTH(C243)&gt;=FY_Start,YEAR(C243)+1,YEAR(C243)),2))</f>
        <v/>
      </c>
      <c r="H243" s="371" t="n"/>
      <c r="I243" s="371" t="n"/>
      <c r="J243" s="371" t="n"/>
      <c r="K243" s="371" t="n"/>
      <c r="L243" s="371" t="n"/>
      <c r="M243" s="371" t="n"/>
      <c r="N243" s="371" t="n"/>
      <c r="O243" s="371" t="n"/>
      <c r="P243" s="371" t="n"/>
      <c r="Q243" s="371" t="n"/>
      <c r="R243" s="371" t="n"/>
      <c r="S243" s="371" t="n"/>
      <c r="T243" s="371" t="n"/>
      <c r="U243" s="371" t="n"/>
      <c r="V243" s="371" t="n"/>
      <c r="W243" s="371" t="n"/>
      <c r="X243" s="371" t="n"/>
      <c r="Y243" s="371" t="n"/>
      <c r="Z243" s="372" t="n"/>
      <c r="AA243" s="372" t="n"/>
      <c r="AB243" s="371" t="n"/>
      <c r="AC243" s="371">
        <f>IF($B243="","",IF(AB243="Closed",IF(AA243="","",AA243-C243),TODAY()-C243))</f>
        <v/>
      </c>
      <c r="AD243" s="371" t="n"/>
    </row>
    <row r="244" ht="15" customHeight="1" s="15">
      <c r="A244" s="371">
        <f>IF($B244="","",ROW()-5)</f>
        <v/>
      </c>
      <c r="B244" s="371" t="n"/>
      <c r="C244" s="372" t="n"/>
      <c r="D244" s="371">
        <f>IF($B244="","",TEXT(C244,"MMM"))</f>
        <v/>
      </c>
      <c r="E244" s="371">
        <f>IF($B244="","","W"&amp;TEXT(WEEKNUM(C244,2),"00"))</f>
        <v/>
      </c>
      <c r="F244" s="371">
        <f>IF($B244="","","Q"&amp;(INT(MOD(MONTH(C244)-FY_Start+12,12)/3)+1))</f>
        <v/>
      </c>
      <c r="G244" s="371">
        <f>IF($B244="","","FY "&amp;IF(MONTH(C244)&gt;=FY_Start,YEAR(C244),YEAR(C244)-1)&amp;"-"&amp;RIGHT(IF(MONTH(C244)&gt;=FY_Start,YEAR(C244)+1,YEAR(C244)),2))</f>
        <v/>
      </c>
      <c r="H244" s="371" t="n"/>
      <c r="I244" s="371" t="n"/>
      <c r="J244" s="371" t="n"/>
      <c r="K244" s="371" t="n"/>
      <c r="L244" s="371" t="n"/>
      <c r="M244" s="371" t="n"/>
      <c r="N244" s="371" t="n"/>
      <c r="O244" s="371" t="n"/>
      <c r="P244" s="371" t="n"/>
      <c r="Q244" s="371" t="n"/>
      <c r="R244" s="371" t="n"/>
      <c r="S244" s="371" t="n"/>
      <c r="T244" s="371" t="n"/>
      <c r="U244" s="371" t="n"/>
      <c r="V244" s="371" t="n"/>
      <c r="W244" s="371" t="n"/>
      <c r="X244" s="371" t="n"/>
      <c r="Y244" s="371" t="n"/>
      <c r="Z244" s="372" t="n"/>
      <c r="AA244" s="372" t="n"/>
      <c r="AB244" s="371" t="n"/>
      <c r="AC244" s="371">
        <f>IF($B244="","",IF(AB244="Closed",IF(AA244="","",AA244-C244),TODAY()-C244))</f>
        <v/>
      </c>
      <c r="AD244" s="371" t="n"/>
    </row>
    <row r="245" ht="15" customHeight="1" s="15">
      <c r="A245" s="371">
        <f>IF($B245="","",ROW()-5)</f>
        <v/>
      </c>
      <c r="B245" s="371" t="n"/>
      <c r="C245" s="372" t="n"/>
      <c r="D245" s="371">
        <f>IF($B245="","",TEXT(C245,"MMM"))</f>
        <v/>
      </c>
      <c r="E245" s="371">
        <f>IF($B245="","","W"&amp;TEXT(WEEKNUM(C245,2),"00"))</f>
        <v/>
      </c>
      <c r="F245" s="371">
        <f>IF($B245="","","Q"&amp;(INT(MOD(MONTH(C245)-FY_Start+12,12)/3)+1))</f>
        <v/>
      </c>
      <c r="G245" s="371">
        <f>IF($B245="","","FY "&amp;IF(MONTH(C245)&gt;=FY_Start,YEAR(C245),YEAR(C245)-1)&amp;"-"&amp;RIGHT(IF(MONTH(C245)&gt;=FY_Start,YEAR(C245)+1,YEAR(C245)),2))</f>
        <v/>
      </c>
      <c r="H245" s="371" t="n"/>
      <c r="I245" s="371" t="n"/>
      <c r="J245" s="371" t="n"/>
      <c r="K245" s="371" t="n"/>
      <c r="L245" s="371" t="n"/>
      <c r="M245" s="371" t="n"/>
      <c r="N245" s="371" t="n"/>
      <c r="O245" s="371" t="n"/>
      <c r="P245" s="371" t="n"/>
      <c r="Q245" s="371" t="n"/>
      <c r="R245" s="371" t="n"/>
      <c r="S245" s="371" t="n"/>
      <c r="T245" s="371" t="n"/>
      <c r="U245" s="371" t="n"/>
      <c r="V245" s="371" t="n"/>
      <c r="W245" s="371" t="n"/>
      <c r="X245" s="371" t="n"/>
      <c r="Y245" s="371" t="n"/>
      <c r="Z245" s="372" t="n"/>
      <c r="AA245" s="372" t="n"/>
      <c r="AB245" s="371" t="n"/>
      <c r="AC245" s="371">
        <f>IF($B245="","",IF(AB245="Closed",IF(AA245="","",AA245-C245),TODAY()-C245))</f>
        <v/>
      </c>
      <c r="AD245" s="371" t="n"/>
    </row>
    <row r="246" ht="15" customHeight="1" s="15">
      <c r="A246" s="371">
        <f>IF($B246="","",ROW()-5)</f>
        <v/>
      </c>
      <c r="B246" s="371" t="n"/>
      <c r="C246" s="372" t="n"/>
      <c r="D246" s="371">
        <f>IF($B246="","",TEXT(C246,"MMM"))</f>
        <v/>
      </c>
      <c r="E246" s="371">
        <f>IF($B246="","","W"&amp;TEXT(WEEKNUM(C246,2),"00"))</f>
        <v/>
      </c>
      <c r="F246" s="371">
        <f>IF($B246="","","Q"&amp;(INT(MOD(MONTH(C246)-FY_Start+12,12)/3)+1))</f>
        <v/>
      </c>
      <c r="G246" s="371">
        <f>IF($B246="","","FY "&amp;IF(MONTH(C246)&gt;=FY_Start,YEAR(C246),YEAR(C246)-1)&amp;"-"&amp;RIGHT(IF(MONTH(C246)&gt;=FY_Start,YEAR(C246)+1,YEAR(C246)),2))</f>
        <v/>
      </c>
      <c r="H246" s="371" t="n"/>
      <c r="I246" s="371" t="n"/>
      <c r="J246" s="371" t="n"/>
      <c r="K246" s="371" t="n"/>
      <c r="L246" s="371" t="n"/>
      <c r="M246" s="371" t="n"/>
      <c r="N246" s="371" t="n"/>
      <c r="O246" s="371" t="n"/>
      <c r="P246" s="371" t="n"/>
      <c r="Q246" s="371" t="n"/>
      <c r="R246" s="371" t="n"/>
      <c r="S246" s="371" t="n"/>
      <c r="T246" s="371" t="n"/>
      <c r="U246" s="371" t="n"/>
      <c r="V246" s="371" t="n"/>
      <c r="W246" s="371" t="n"/>
      <c r="X246" s="371" t="n"/>
      <c r="Y246" s="371" t="n"/>
      <c r="Z246" s="372" t="n"/>
      <c r="AA246" s="372" t="n"/>
      <c r="AB246" s="371" t="n"/>
      <c r="AC246" s="371">
        <f>IF($B246="","",IF(AB246="Closed",IF(AA246="","",AA246-C246),TODAY()-C246))</f>
        <v/>
      </c>
      <c r="AD246" s="371" t="n"/>
    </row>
    <row r="247" ht="15" customHeight="1" s="15">
      <c r="A247" s="371">
        <f>IF($B247="","",ROW()-5)</f>
        <v/>
      </c>
      <c r="B247" s="371" t="n"/>
      <c r="C247" s="372" t="n"/>
      <c r="D247" s="371">
        <f>IF($B247="","",TEXT(C247,"MMM"))</f>
        <v/>
      </c>
      <c r="E247" s="371">
        <f>IF($B247="","","W"&amp;TEXT(WEEKNUM(C247,2),"00"))</f>
        <v/>
      </c>
      <c r="F247" s="371">
        <f>IF($B247="","","Q"&amp;(INT(MOD(MONTH(C247)-FY_Start+12,12)/3)+1))</f>
        <v/>
      </c>
      <c r="G247" s="371">
        <f>IF($B247="","","FY "&amp;IF(MONTH(C247)&gt;=FY_Start,YEAR(C247),YEAR(C247)-1)&amp;"-"&amp;RIGHT(IF(MONTH(C247)&gt;=FY_Start,YEAR(C247)+1,YEAR(C247)),2))</f>
        <v/>
      </c>
      <c r="H247" s="371" t="n"/>
      <c r="I247" s="371" t="n"/>
      <c r="J247" s="371" t="n"/>
      <c r="K247" s="371" t="n"/>
      <c r="L247" s="371" t="n"/>
      <c r="M247" s="371" t="n"/>
      <c r="N247" s="371" t="n"/>
      <c r="O247" s="371" t="n"/>
      <c r="P247" s="371" t="n"/>
      <c r="Q247" s="371" t="n"/>
      <c r="R247" s="371" t="n"/>
      <c r="S247" s="371" t="n"/>
      <c r="T247" s="371" t="n"/>
      <c r="U247" s="371" t="n"/>
      <c r="V247" s="371" t="n"/>
      <c r="W247" s="371" t="n"/>
      <c r="X247" s="371" t="n"/>
      <c r="Y247" s="371" t="n"/>
      <c r="Z247" s="372" t="n"/>
      <c r="AA247" s="372" t="n"/>
      <c r="AB247" s="371" t="n"/>
      <c r="AC247" s="371">
        <f>IF($B247="","",IF(AB247="Closed",IF(AA247="","",AA247-C247),TODAY()-C247))</f>
        <v/>
      </c>
      <c r="AD247" s="371" t="n"/>
    </row>
    <row r="248" ht="15" customHeight="1" s="15">
      <c r="A248" s="371">
        <f>IF($B248="","",ROW()-5)</f>
        <v/>
      </c>
      <c r="B248" s="371" t="n"/>
      <c r="C248" s="372" t="n"/>
      <c r="D248" s="371">
        <f>IF($B248="","",TEXT(C248,"MMM"))</f>
        <v/>
      </c>
      <c r="E248" s="371">
        <f>IF($B248="","","W"&amp;TEXT(WEEKNUM(C248,2),"00"))</f>
        <v/>
      </c>
      <c r="F248" s="371">
        <f>IF($B248="","","Q"&amp;(INT(MOD(MONTH(C248)-FY_Start+12,12)/3)+1))</f>
        <v/>
      </c>
      <c r="G248" s="371">
        <f>IF($B248="","","FY "&amp;IF(MONTH(C248)&gt;=FY_Start,YEAR(C248),YEAR(C248)-1)&amp;"-"&amp;RIGHT(IF(MONTH(C248)&gt;=FY_Start,YEAR(C248)+1,YEAR(C248)),2))</f>
        <v/>
      </c>
      <c r="H248" s="371" t="n"/>
      <c r="I248" s="371" t="n"/>
      <c r="J248" s="371" t="n"/>
      <c r="K248" s="371" t="n"/>
      <c r="L248" s="371" t="n"/>
      <c r="M248" s="371" t="n"/>
      <c r="N248" s="371" t="n"/>
      <c r="O248" s="371" t="n"/>
      <c r="P248" s="371" t="n"/>
      <c r="Q248" s="371" t="n"/>
      <c r="R248" s="371" t="n"/>
      <c r="S248" s="371" t="n"/>
      <c r="T248" s="371" t="n"/>
      <c r="U248" s="371" t="n"/>
      <c r="V248" s="371" t="n"/>
      <c r="W248" s="371" t="n"/>
      <c r="X248" s="371" t="n"/>
      <c r="Y248" s="371" t="n"/>
      <c r="Z248" s="372" t="n"/>
      <c r="AA248" s="372" t="n"/>
      <c r="AB248" s="371" t="n"/>
      <c r="AC248" s="371">
        <f>IF($B248="","",IF(AB248="Closed",IF(AA248="","",AA248-C248),TODAY()-C248))</f>
        <v/>
      </c>
      <c r="AD248" s="371" t="n"/>
    </row>
    <row r="249" ht="15" customHeight="1" s="15">
      <c r="A249" s="371">
        <f>IF($B249="","",ROW()-5)</f>
        <v/>
      </c>
      <c r="B249" s="371" t="n"/>
      <c r="C249" s="372" t="n"/>
      <c r="D249" s="371">
        <f>IF($B249="","",TEXT(C249,"MMM"))</f>
        <v/>
      </c>
      <c r="E249" s="371">
        <f>IF($B249="","","W"&amp;TEXT(WEEKNUM(C249,2),"00"))</f>
        <v/>
      </c>
      <c r="F249" s="371">
        <f>IF($B249="","","Q"&amp;(INT(MOD(MONTH(C249)-FY_Start+12,12)/3)+1))</f>
        <v/>
      </c>
      <c r="G249" s="371">
        <f>IF($B249="","","FY "&amp;IF(MONTH(C249)&gt;=FY_Start,YEAR(C249),YEAR(C249)-1)&amp;"-"&amp;RIGHT(IF(MONTH(C249)&gt;=FY_Start,YEAR(C249)+1,YEAR(C249)),2))</f>
        <v/>
      </c>
      <c r="H249" s="371" t="n"/>
      <c r="I249" s="371" t="n"/>
      <c r="J249" s="371" t="n"/>
      <c r="K249" s="371" t="n"/>
      <c r="L249" s="371" t="n"/>
      <c r="M249" s="371" t="n"/>
      <c r="N249" s="371" t="n"/>
      <c r="O249" s="371" t="n"/>
      <c r="P249" s="371" t="n"/>
      <c r="Q249" s="371" t="n"/>
      <c r="R249" s="371" t="n"/>
      <c r="S249" s="371" t="n"/>
      <c r="T249" s="371" t="n"/>
      <c r="U249" s="371" t="n"/>
      <c r="V249" s="371" t="n"/>
      <c r="W249" s="371" t="n"/>
      <c r="X249" s="371" t="n"/>
      <c r="Y249" s="371" t="n"/>
      <c r="Z249" s="372" t="n"/>
      <c r="AA249" s="372" t="n"/>
      <c r="AB249" s="371" t="n"/>
      <c r="AC249" s="371">
        <f>IF($B249="","",IF(AB249="Closed",IF(AA249="","",AA249-C249),TODAY()-C249))</f>
        <v/>
      </c>
      <c r="AD249" s="371" t="n"/>
    </row>
    <row r="250" ht="15" customHeight="1" s="15">
      <c r="A250" s="371">
        <f>IF($B250="","",ROW()-5)</f>
        <v/>
      </c>
      <c r="B250" s="371" t="n"/>
      <c r="C250" s="372" t="n"/>
      <c r="D250" s="371">
        <f>IF($B250="","",TEXT(C250,"MMM"))</f>
        <v/>
      </c>
      <c r="E250" s="371">
        <f>IF($B250="","","W"&amp;TEXT(WEEKNUM(C250,2),"00"))</f>
        <v/>
      </c>
      <c r="F250" s="371">
        <f>IF($B250="","","Q"&amp;(INT(MOD(MONTH(C250)-FY_Start+12,12)/3)+1))</f>
        <v/>
      </c>
      <c r="G250" s="371">
        <f>IF($B250="","","FY "&amp;IF(MONTH(C250)&gt;=FY_Start,YEAR(C250),YEAR(C250)-1)&amp;"-"&amp;RIGHT(IF(MONTH(C250)&gt;=FY_Start,YEAR(C250)+1,YEAR(C250)),2))</f>
        <v/>
      </c>
      <c r="H250" s="371" t="n"/>
      <c r="I250" s="371" t="n"/>
      <c r="J250" s="371" t="n"/>
      <c r="K250" s="371" t="n"/>
      <c r="L250" s="371" t="n"/>
      <c r="M250" s="371" t="n"/>
      <c r="N250" s="371" t="n"/>
      <c r="O250" s="371" t="n"/>
      <c r="P250" s="371" t="n"/>
      <c r="Q250" s="371" t="n"/>
      <c r="R250" s="371" t="n"/>
      <c r="S250" s="371" t="n"/>
      <c r="T250" s="371" t="n"/>
      <c r="U250" s="371" t="n"/>
      <c r="V250" s="371" t="n"/>
      <c r="W250" s="371" t="n"/>
      <c r="X250" s="371" t="n"/>
      <c r="Y250" s="371" t="n"/>
      <c r="Z250" s="372" t="n"/>
      <c r="AA250" s="372" t="n"/>
      <c r="AB250" s="371" t="n"/>
      <c r="AC250" s="371">
        <f>IF($B250="","",IF(AB250="Closed",IF(AA250="","",AA250-C250),TODAY()-C250))</f>
        <v/>
      </c>
      <c r="AD250" s="371" t="n"/>
    </row>
    <row r="251" ht="15" customHeight="1" s="15">
      <c r="A251" s="371">
        <f>IF($B251="","",ROW()-5)</f>
        <v/>
      </c>
      <c r="B251" s="371" t="n"/>
      <c r="C251" s="372" t="n"/>
      <c r="D251" s="371">
        <f>IF($B251="","",TEXT(C251,"MMM"))</f>
        <v/>
      </c>
      <c r="E251" s="371">
        <f>IF($B251="","","W"&amp;TEXT(WEEKNUM(C251,2),"00"))</f>
        <v/>
      </c>
      <c r="F251" s="371">
        <f>IF($B251="","","Q"&amp;(INT(MOD(MONTH(C251)-FY_Start+12,12)/3)+1))</f>
        <v/>
      </c>
      <c r="G251" s="371">
        <f>IF($B251="","","FY "&amp;IF(MONTH(C251)&gt;=FY_Start,YEAR(C251),YEAR(C251)-1)&amp;"-"&amp;RIGHT(IF(MONTH(C251)&gt;=FY_Start,YEAR(C251)+1,YEAR(C251)),2))</f>
        <v/>
      </c>
      <c r="H251" s="371" t="n"/>
      <c r="I251" s="371" t="n"/>
      <c r="J251" s="371" t="n"/>
      <c r="K251" s="371" t="n"/>
      <c r="L251" s="371" t="n"/>
      <c r="M251" s="371" t="n"/>
      <c r="N251" s="371" t="n"/>
      <c r="O251" s="371" t="n"/>
      <c r="P251" s="371" t="n"/>
      <c r="Q251" s="371" t="n"/>
      <c r="R251" s="371" t="n"/>
      <c r="S251" s="371" t="n"/>
      <c r="T251" s="371" t="n"/>
      <c r="U251" s="371" t="n"/>
      <c r="V251" s="371" t="n"/>
      <c r="W251" s="371" t="n"/>
      <c r="X251" s="371" t="n"/>
      <c r="Y251" s="371" t="n"/>
      <c r="Z251" s="372" t="n"/>
      <c r="AA251" s="372" t="n"/>
      <c r="AB251" s="371" t="n"/>
      <c r="AC251" s="371">
        <f>IF($B251="","",IF(AB251="Closed",IF(AA251="","",AA251-C251),TODAY()-C251))</f>
        <v/>
      </c>
      <c r="AD251" s="371" t="n"/>
    </row>
    <row r="252" ht="15" customHeight="1" s="15">
      <c r="A252" s="371">
        <f>IF($B252="","",ROW()-5)</f>
        <v/>
      </c>
      <c r="B252" s="371" t="n"/>
      <c r="C252" s="372" t="n"/>
      <c r="D252" s="371">
        <f>IF($B252="","",TEXT(C252,"MMM"))</f>
        <v/>
      </c>
      <c r="E252" s="371">
        <f>IF($B252="","","W"&amp;TEXT(WEEKNUM(C252,2),"00"))</f>
        <v/>
      </c>
      <c r="F252" s="371">
        <f>IF($B252="","","Q"&amp;(INT(MOD(MONTH(C252)-FY_Start+12,12)/3)+1))</f>
        <v/>
      </c>
      <c r="G252" s="371">
        <f>IF($B252="","","FY "&amp;IF(MONTH(C252)&gt;=FY_Start,YEAR(C252),YEAR(C252)-1)&amp;"-"&amp;RIGHT(IF(MONTH(C252)&gt;=FY_Start,YEAR(C252)+1,YEAR(C252)),2))</f>
        <v/>
      </c>
      <c r="H252" s="371" t="n"/>
      <c r="I252" s="371" t="n"/>
      <c r="J252" s="371" t="n"/>
      <c r="K252" s="371" t="n"/>
      <c r="L252" s="371" t="n"/>
      <c r="M252" s="371" t="n"/>
      <c r="N252" s="371" t="n"/>
      <c r="O252" s="371" t="n"/>
      <c r="P252" s="371" t="n"/>
      <c r="Q252" s="371" t="n"/>
      <c r="R252" s="371" t="n"/>
      <c r="S252" s="371" t="n"/>
      <c r="T252" s="371" t="n"/>
      <c r="U252" s="371" t="n"/>
      <c r="V252" s="371" t="n"/>
      <c r="W252" s="371" t="n"/>
      <c r="X252" s="371" t="n"/>
      <c r="Y252" s="371" t="n"/>
      <c r="Z252" s="372" t="n"/>
      <c r="AA252" s="372" t="n"/>
      <c r="AB252" s="371" t="n"/>
      <c r="AC252" s="371">
        <f>IF($B252="","",IF(AB252="Closed",IF(AA252="","",AA252-C252),TODAY()-C252))</f>
        <v/>
      </c>
      <c r="AD252" s="371" t="n"/>
    </row>
    <row r="253" ht="15" customHeight="1" s="15">
      <c r="A253" s="371">
        <f>IF($B253="","",ROW()-5)</f>
        <v/>
      </c>
      <c r="B253" s="371" t="n"/>
      <c r="C253" s="372" t="n"/>
      <c r="D253" s="371">
        <f>IF($B253="","",TEXT(C253,"MMM"))</f>
        <v/>
      </c>
      <c r="E253" s="371">
        <f>IF($B253="","","W"&amp;TEXT(WEEKNUM(C253,2),"00"))</f>
        <v/>
      </c>
      <c r="F253" s="371">
        <f>IF($B253="","","Q"&amp;(INT(MOD(MONTH(C253)-FY_Start+12,12)/3)+1))</f>
        <v/>
      </c>
      <c r="G253" s="371">
        <f>IF($B253="","","FY "&amp;IF(MONTH(C253)&gt;=FY_Start,YEAR(C253),YEAR(C253)-1)&amp;"-"&amp;RIGHT(IF(MONTH(C253)&gt;=FY_Start,YEAR(C253)+1,YEAR(C253)),2))</f>
        <v/>
      </c>
      <c r="H253" s="371" t="n"/>
      <c r="I253" s="371" t="n"/>
      <c r="J253" s="371" t="n"/>
      <c r="K253" s="371" t="n"/>
      <c r="L253" s="371" t="n"/>
      <c r="M253" s="371" t="n"/>
      <c r="N253" s="371" t="n"/>
      <c r="O253" s="371" t="n"/>
      <c r="P253" s="371" t="n"/>
      <c r="Q253" s="371" t="n"/>
      <c r="R253" s="371" t="n"/>
      <c r="S253" s="371" t="n"/>
      <c r="T253" s="371" t="n"/>
      <c r="U253" s="371" t="n"/>
      <c r="V253" s="371" t="n"/>
      <c r="W253" s="371" t="n"/>
      <c r="X253" s="371" t="n"/>
      <c r="Y253" s="371" t="n"/>
      <c r="Z253" s="372" t="n"/>
      <c r="AA253" s="372" t="n"/>
      <c r="AB253" s="371" t="n"/>
      <c r="AC253" s="371">
        <f>IF($B253="","",IF(AB253="Closed",IF(AA253="","",AA253-C253),TODAY()-C253))</f>
        <v/>
      </c>
      <c r="AD253" s="371" t="n"/>
    </row>
    <row r="254" ht="15" customHeight="1" s="15">
      <c r="A254" s="371">
        <f>IF($B254="","",ROW()-5)</f>
        <v/>
      </c>
      <c r="B254" s="371" t="n"/>
      <c r="C254" s="372" t="n"/>
      <c r="D254" s="371">
        <f>IF($B254="","",TEXT(C254,"MMM"))</f>
        <v/>
      </c>
      <c r="E254" s="371">
        <f>IF($B254="","","W"&amp;TEXT(WEEKNUM(C254,2),"00"))</f>
        <v/>
      </c>
      <c r="F254" s="371">
        <f>IF($B254="","","Q"&amp;(INT(MOD(MONTH(C254)-FY_Start+12,12)/3)+1))</f>
        <v/>
      </c>
      <c r="G254" s="371">
        <f>IF($B254="","","FY "&amp;IF(MONTH(C254)&gt;=FY_Start,YEAR(C254),YEAR(C254)-1)&amp;"-"&amp;RIGHT(IF(MONTH(C254)&gt;=FY_Start,YEAR(C254)+1,YEAR(C254)),2))</f>
        <v/>
      </c>
      <c r="H254" s="371" t="n"/>
      <c r="I254" s="371" t="n"/>
      <c r="J254" s="371" t="n"/>
      <c r="K254" s="371" t="n"/>
      <c r="L254" s="371" t="n"/>
      <c r="M254" s="371" t="n"/>
      <c r="N254" s="371" t="n"/>
      <c r="O254" s="371" t="n"/>
      <c r="P254" s="371" t="n"/>
      <c r="Q254" s="371" t="n"/>
      <c r="R254" s="371" t="n"/>
      <c r="S254" s="371" t="n"/>
      <c r="T254" s="371" t="n"/>
      <c r="U254" s="371" t="n"/>
      <c r="V254" s="371" t="n"/>
      <c r="W254" s="371" t="n"/>
      <c r="X254" s="371" t="n"/>
      <c r="Y254" s="371" t="n"/>
      <c r="Z254" s="372" t="n"/>
      <c r="AA254" s="372" t="n"/>
      <c r="AB254" s="371" t="n"/>
      <c r="AC254" s="371">
        <f>IF($B254="","",IF(AB254="Closed",IF(AA254="","",AA254-C254),TODAY()-C254))</f>
        <v/>
      </c>
      <c r="AD254" s="371" t="n"/>
    </row>
    <row r="255" ht="15" customHeight="1" s="15">
      <c r="A255" s="371">
        <f>IF($B255="","",ROW()-5)</f>
        <v/>
      </c>
      <c r="B255" s="371" t="n"/>
      <c r="C255" s="372" t="n"/>
      <c r="D255" s="371">
        <f>IF($B255="","",TEXT(C255,"MMM"))</f>
        <v/>
      </c>
      <c r="E255" s="371">
        <f>IF($B255="","","W"&amp;TEXT(WEEKNUM(C255,2),"00"))</f>
        <v/>
      </c>
      <c r="F255" s="371">
        <f>IF($B255="","","Q"&amp;(INT(MOD(MONTH(C255)-FY_Start+12,12)/3)+1))</f>
        <v/>
      </c>
      <c r="G255" s="371">
        <f>IF($B255="","","FY "&amp;IF(MONTH(C255)&gt;=FY_Start,YEAR(C255),YEAR(C255)-1)&amp;"-"&amp;RIGHT(IF(MONTH(C255)&gt;=FY_Start,YEAR(C255)+1,YEAR(C255)),2))</f>
        <v/>
      </c>
      <c r="H255" s="371" t="n"/>
      <c r="I255" s="371" t="n"/>
      <c r="J255" s="371" t="n"/>
      <c r="K255" s="371" t="n"/>
      <c r="L255" s="371" t="n"/>
      <c r="M255" s="371" t="n"/>
      <c r="N255" s="371" t="n"/>
      <c r="O255" s="371" t="n"/>
      <c r="P255" s="371" t="n"/>
      <c r="Q255" s="371" t="n"/>
      <c r="R255" s="371" t="n"/>
      <c r="S255" s="371" t="n"/>
      <c r="T255" s="371" t="n"/>
      <c r="U255" s="371" t="n"/>
      <c r="V255" s="371" t="n"/>
      <c r="W255" s="371" t="n"/>
      <c r="X255" s="371" t="n"/>
      <c r="Y255" s="371" t="n"/>
      <c r="Z255" s="372" t="n"/>
      <c r="AA255" s="372" t="n"/>
      <c r="AB255" s="371" t="n"/>
      <c r="AC255" s="371">
        <f>IF($B255="","",IF(AB255="Closed",IF(AA255="","",AA255-C255),TODAY()-C255))</f>
        <v/>
      </c>
      <c r="AD255" s="371" t="n"/>
    </row>
    <row r="256" ht="15" customHeight="1" s="15">
      <c r="A256" s="371">
        <f>IF($B256="","",ROW()-5)</f>
        <v/>
      </c>
      <c r="B256" s="371" t="n"/>
      <c r="C256" s="372" t="n"/>
      <c r="D256" s="371">
        <f>IF($B256="","",TEXT(C256,"MMM"))</f>
        <v/>
      </c>
      <c r="E256" s="371">
        <f>IF($B256="","","W"&amp;TEXT(WEEKNUM(C256,2),"00"))</f>
        <v/>
      </c>
      <c r="F256" s="371">
        <f>IF($B256="","","Q"&amp;(INT(MOD(MONTH(C256)-FY_Start+12,12)/3)+1))</f>
        <v/>
      </c>
      <c r="G256" s="371">
        <f>IF($B256="","","FY "&amp;IF(MONTH(C256)&gt;=FY_Start,YEAR(C256),YEAR(C256)-1)&amp;"-"&amp;RIGHT(IF(MONTH(C256)&gt;=FY_Start,YEAR(C256)+1,YEAR(C256)),2))</f>
        <v/>
      </c>
      <c r="H256" s="371" t="n"/>
      <c r="I256" s="371" t="n"/>
      <c r="J256" s="371" t="n"/>
      <c r="K256" s="371" t="n"/>
      <c r="L256" s="371" t="n"/>
      <c r="M256" s="371" t="n"/>
      <c r="N256" s="371" t="n"/>
      <c r="O256" s="371" t="n"/>
      <c r="P256" s="371" t="n"/>
      <c r="Q256" s="371" t="n"/>
      <c r="R256" s="371" t="n"/>
      <c r="S256" s="371" t="n"/>
      <c r="T256" s="371" t="n"/>
      <c r="U256" s="371" t="n"/>
      <c r="V256" s="371" t="n"/>
      <c r="W256" s="371" t="n"/>
      <c r="X256" s="371" t="n"/>
      <c r="Y256" s="371" t="n"/>
      <c r="Z256" s="372" t="n"/>
      <c r="AA256" s="372" t="n"/>
      <c r="AB256" s="371" t="n"/>
      <c r="AC256" s="371">
        <f>IF($B256="","",IF(AB256="Closed",IF(AA256="","",AA256-C256),TODAY()-C256))</f>
        <v/>
      </c>
      <c r="AD256" s="371" t="n"/>
    </row>
    <row r="257" ht="15" customHeight="1" s="15">
      <c r="A257" s="371">
        <f>IF($B257="","",ROW()-5)</f>
        <v/>
      </c>
      <c r="B257" s="371" t="n"/>
      <c r="C257" s="372" t="n"/>
      <c r="D257" s="371">
        <f>IF($B257="","",TEXT(C257,"MMM"))</f>
        <v/>
      </c>
      <c r="E257" s="371">
        <f>IF($B257="","","W"&amp;TEXT(WEEKNUM(C257,2),"00"))</f>
        <v/>
      </c>
      <c r="F257" s="371">
        <f>IF($B257="","","Q"&amp;(INT(MOD(MONTH(C257)-FY_Start+12,12)/3)+1))</f>
        <v/>
      </c>
      <c r="G257" s="371">
        <f>IF($B257="","","FY "&amp;IF(MONTH(C257)&gt;=FY_Start,YEAR(C257),YEAR(C257)-1)&amp;"-"&amp;RIGHT(IF(MONTH(C257)&gt;=FY_Start,YEAR(C257)+1,YEAR(C257)),2))</f>
        <v/>
      </c>
      <c r="H257" s="371" t="n"/>
      <c r="I257" s="371" t="n"/>
      <c r="J257" s="371" t="n"/>
      <c r="K257" s="371" t="n"/>
      <c r="L257" s="371" t="n"/>
      <c r="M257" s="371" t="n"/>
      <c r="N257" s="371" t="n"/>
      <c r="O257" s="371" t="n"/>
      <c r="P257" s="371" t="n"/>
      <c r="Q257" s="371" t="n"/>
      <c r="R257" s="371" t="n"/>
      <c r="S257" s="371" t="n"/>
      <c r="T257" s="371" t="n"/>
      <c r="U257" s="371" t="n"/>
      <c r="V257" s="371" t="n"/>
      <c r="W257" s="371" t="n"/>
      <c r="X257" s="371" t="n"/>
      <c r="Y257" s="371" t="n"/>
      <c r="Z257" s="372" t="n"/>
      <c r="AA257" s="372" t="n"/>
      <c r="AB257" s="371" t="n"/>
      <c r="AC257" s="371">
        <f>IF($B257="","",IF(AB257="Closed",IF(AA257="","",AA257-C257),TODAY()-C257))</f>
        <v/>
      </c>
      <c r="AD257" s="371" t="n"/>
    </row>
    <row r="258" ht="15" customHeight="1" s="15">
      <c r="A258" s="371">
        <f>IF($B258="","",ROW()-5)</f>
        <v/>
      </c>
      <c r="B258" s="371" t="n"/>
      <c r="C258" s="372" t="n"/>
      <c r="D258" s="371">
        <f>IF($B258="","",TEXT(C258,"MMM"))</f>
        <v/>
      </c>
      <c r="E258" s="371">
        <f>IF($B258="","","W"&amp;TEXT(WEEKNUM(C258,2),"00"))</f>
        <v/>
      </c>
      <c r="F258" s="371">
        <f>IF($B258="","","Q"&amp;(INT(MOD(MONTH(C258)-FY_Start+12,12)/3)+1))</f>
        <v/>
      </c>
      <c r="G258" s="371">
        <f>IF($B258="","","FY "&amp;IF(MONTH(C258)&gt;=FY_Start,YEAR(C258),YEAR(C258)-1)&amp;"-"&amp;RIGHT(IF(MONTH(C258)&gt;=FY_Start,YEAR(C258)+1,YEAR(C258)),2))</f>
        <v/>
      </c>
      <c r="H258" s="371" t="n"/>
      <c r="I258" s="371" t="n"/>
      <c r="J258" s="371" t="n"/>
      <c r="K258" s="371" t="n"/>
      <c r="L258" s="371" t="n"/>
      <c r="M258" s="371" t="n"/>
      <c r="N258" s="371" t="n"/>
      <c r="O258" s="371" t="n"/>
      <c r="P258" s="371" t="n"/>
      <c r="Q258" s="371" t="n"/>
      <c r="R258" s="371" t="n"/>
      <c r="S258" s="371" t="n"/>
      <c r="T258" s="371" t="n"/>
      <c r="U258" s="371" t="n"/>
      <c r="V258" s="371" t="n"/>
      <c r="W258" s="371" t="n"/>
      <c r="X258" s="371" t="n"/>
      <c r="Y258" s="371" t="n"/>
      <c r="Z258" s="372" t="n"/>
      <c r="AA258" s="372" t="n"/>
      <c r="AB258" s="371" t="n"/>
      <c r="AC258" s="371">
        <f>IF($B258="","",IF(AB258="Closed",IF(AA258="","",AA258-C258),TODAY()-C258))</f>
        <v/>
      </c>
      <c r="AD258" s="371" t="n"/>
    </row>
    <row r="259" ht="15" customHeight="1" s="15">
      <c r="A259" s="371">
        <f>IF($B259="","",ROW()-5)</f>
        <v/>
      </c>
      <c r="B259" s="371" t="n"/>
      <c r="C259" s="372" t="n"/>
      <c r="D259" s="371">
        <f>IF($B259="","",TEXT(C259,"MMM"))</f>
        <v/>
      </c>
      <c r="E259" s="371">
        <f>IF($B259="","","W"&amp;TEXT(WEEKNUM(C259,2),"00"))</f>
        <v/>
      </c>
      <c r="F259" s="371">
        <f>IF($B259="","","Q"&amp;(INT(MOD(MONTH(C259)-FY_Start+12,12)/3)+1))</f>
        <v/>
      </c>
      <c r="G259" s="371">
        <f>IF($B259="","","FY "&amp;IF(MONTH(C259)&gt;=FY_Start,YEAR(C259),YEAR(C259)-1)&amp;"-"&amp;RIGHT(IF(MONTH(C259)&gt;=FY_Start,YEAR(C259)+1,YEAR(C259)),2))</f>
        <v/>
      </c>
      <c r="H259" s="371" t="n"/>
      <c r="I259" s="371" t="n"/>
      <c r="J259" s="371" t="n"/>
      <c r="K259" s="371" t="n"/>
      <c r="L259" s="371" t="n"/>
      <c r="M259" s="371" t="n"/>
      <c r="N259" s="371" t="n"/>
      <c r="O259" s="371" t="n"/>
      <c r="P259" s="371" t="n"/>
      <c r="Q259" s="371" t="n"/>
      <c r="R259" s="371" t="n"/>
      <c r="S259" s="371" t="n"/>
      <c r="T259" s="371" t="n"/>
      <c r="U259" s="371" t="n"/>
      <c r="V259" s="371" t="n"/>
      <c r="W259" s="371" t="n"/>
      <c r="X259" s="371" t="n"/>
      <c r="Y259" s="371" t="n"/>
      <c r="Z259" s="372" t="n"/>
      <c r="AA259" s="372" t="n"/>
      <c r="AB259" s="371" t="n"/>
      <c r="AC259" s="371">
        <f>IF($B259="","",IF(AB259="Closed",IF(AA259="","",AA259-C259),TODAY()-C259))</f>
        <v/>
      </c>
      <c r="AD259" s="371" t="n"/>
    </row>
    <row r="260" ht="15" customHeight="1" s="15">
      <c r="A260" s="371">
        <f>IF($B260="","",ROW()-5)</f>
        <v/>
      </c>
      <c r="B260" s="371" t="n"/>
      <c r="C260" s="372" t="n"/>
      <c r="D260" s="371">
        <f>IF($B260="","",TEXT(C260,"MMM"))</f>
        <v/>
      </c>
      <c r="E260" s="371">
        <f>IF($B260="","","W"&amp;TEXT(WEEKNUM(C260,2),"00"))</f>
        <v/>
      </c>
      <c r="F260" s="371">
        <f>IF($B260="","","Q"&amp;(INT(MOD(MONTH(C260)-FY_Start+12,12)/3)+1))</f>
        <v/>
      </c>
      <c r="G260" s="371">
        <f>IF($B260="","","FY "&amp;IF(MONTH(C260)&gt;=FY_Start,YEAR(C260),YEAR(C260)-1)&amp;"-"&amp;RIGHT(IF(MONTH(C260)&gt;=FY_Start,YEAR(C260)+1,YEAR(C260)),2))</f>
        <v/>
      </c>
      <c r="H260" s="371" t="n"/>
      <c r="I260" s="371" t="n"/>
      <c r="J260" s="371" t="n"/>
      <c r="K260" s="371" t="n"/>
      <c r="L260" s="371" t="n"/>
      <c r="M260" s="371" t="n"/>
      <c r="N260" s="371" t="n"/>
      <c r="O260" s="371" t="n"/>
      <c r="P260" s="371" t="n"/>
      <c r="Q260" s="371" t="n"/>
      <c r="R260" s="371" t="n"/>
      <c r="S260" s="371" t="n"/>
      <c r="T260" s="371" t="n"/>
      <c r="U260" s="371" t="n"/>
      <c r="V260" s="371" t="n"/>
      <c r="W260" s="371" t="n"/>
      <c r="X260" s="371" t="n"/>
      <c r="Y260" s="371" t="n"/>
      <c r="Z260" s="372" t="n"/>
      <c r="AA260" s="372" t="n"/>
      <c r="AB260" s="371" t="n"/>
      <c r="AC260" s="371">
        <f>IF($B260="","",IF(AB260="Closed",IF(AA260="","",AA260-C260),TODAY()-C260))</f>
        <v/>
      </c>
      <c r="AD260" s="371" t="n"/>
    </row>
    <row r="261" ht="15" customHeight="1" s="15">
      <c r="A261" s="371">
        <f>IF($B261="","",ROW()-5)</f>
        <v/>
      </c>
      <c r="B261" s="371" t="n"/>
      <c r="C261" s="372" t="n"/>
      <c r="D261" s="371">
        <f>IF($B261="","",TEXT(C261,"MMM"))</f>
        <v/>
      </c>
      <c r="E261" s="371">
        <f>IF($B261="","","W"&amp;TEXT(WEEKNUM(C261,2),"00"))</f>
        <v/>
      </c>
      <c r="F261" s="371">
        <f>IF($B261="","","Q"&amp;(INT(MOD(MONTH(C261)-FY_Start+12,12)/3)+1))</f>
        <v/>
      </c>
      <c r="G261" s="371">
        <f>IF($B261="","","FY "&amp;IF(MONTH(C261)&gt;=FY_Start,YEAR(C261),YEAR(C261)-1)&amp;"-"&amp;RIGHT(IF(MONTH(C261)&gt;=FY_Start,YEAR(C261)+1,YEAR(C261)),2))</f>
        <v/>
      </c>
      <c r="H261" s="371" t="n"/>
      <c r="I261" s="371" t="n"/>
      <c r="J261" s="371" t="n"/>
      <c r="K261" s="371" t="n"/>
      <c r="L261" s="371" t="n"/>
      <c r="M261" s="371" t="n"/>
      <c r="N261" s="371" t="n"/>
      <c r="O261" s="371" t="n"/>
      <c r="P261" s="371" t="n"/>
      <c r="Q261" s="371" t="n"/>
      <c r="R261" s="371" t="n"/>
      <c r="S261" s="371" t="n"/>
      <c r="T261" s="371" t="n"/>
      <c r="U261" s="371" t="n"/>
      <c r="V261" s="371" t="n"/>
      <c r="W261" s="371" t="n"/>
      <c r="X261" s="371" t="n"/>
      <c r="Y261" s="371" t="n"/>
      <c r="Z261" s="372" t="n"/>
      <c r="AA261" s="372" t="n"/>
      <c r="AB261" s="371" t="n"/>
      <c r="AC261" s="371">
        <f>IF($B261="","",IF(AB261="Closed",IF(AA261="","",AA261-C261),TODAY()-C261))</f>
        <v/>
      </c>
      <c r="AD261" s="371" t="n"/>
    </row>
    <row r="262" ht="15" customHeight="1" s="15">
      <c r="A262" s="371">
        <f>IF($B262="","",ROW()-5)</f>
        <v/>
      </c>
      <c r="B262" s="371" t="n"/>
      <c r="C262" s="372" t="n"/>
      <c r="D262" s="371">
        <f>IF($B262="","",TEXT(C262,"MMM"))</f>
        <v/>
      </c>
      <c r="E262" s="371">
        <f>IF($B262="","","W"&amp;TEXT(WEEKNUM(C262,2),"00"))</f>
        <v/>
      </c>
      <c r="F262" s="371">
        <f>IF($B262="","","Q"&amp;(INT(MOD(MONTH(C262)-FY_Start+12,12)/3)+1))</f>
        <v/>
      </c>
      <c r="G262" s="371">
        <f>IF($B262="","","FY "&amp;IF(MONTH(C262)&gt;=FY_Start,YEAR(C262),YEAR(C262)-1)&amp;"-"&amp;RIGHT(IF(MONTH(C262)&gt;=FY_Start,YEAR(C262)+1,YEAR(C262)),2))</f>
        <v/>
      </c>
      <c r="H262" s="371" t="n"/>
      <c r="I262" s="371" t="n"/>
      <c r="J262" s="371" t="n"/>
      <c r="K262" s="371" t="n"/>
      <c r="L262" s="371" t="n"/>
      <c r="M262" s="371" t="n"/>
      <c r="N262" s="371" t="n"/>
      <c r="O262" s="371" t="n"/>
      <c r="P262" s="371" t="n"/>
      <c r="Q262" s="371" t="n"/>
      <c r="R262" s="371" t="n"/>
      <c r="S262" s="371" t="n"/>
      <c r="T262" s="371" t="n"/>
      <c r="U262" s="371" t="n"/>
      <c r="V262" s="371" t="n"/>
      <c r="W262" s="371" t="n"/>
      <c r="X262" s="371" t="n"/>
      <c r="Y262" s="371" t="n"/>
      <c r="Z262" s="372" t="n"/>
      <c r="AA262" s="372" t="n"/>
      <c r="AB262" s="371" t="n"/>
      <c r="AC262" s="371">
        <f>IF($B262="","",IF(AB262="Closed",IF(AA262="","",AA262-C262),TODAY()-C262))</f>
        <v/>
      </c>
      <c r="AD262" s="371" t="n"/>
    </row>
    <row r="263" ht="15" customHeight="1" s="15">
      <c r="A263" s="371">
        <f>IF($B263="","",ROW()-5)</f>
        <v/>
      </c>
      <c r="B263" s="371" t="n"/>
      <c r="C263" s="372" t="n"/>
      <c r="D263" s="371">
        <f>IF($B263="","",TEXT(C263,"MMM"))</f>
        <v/>
      </c>
      <c r="E263" s="371">
        <f>IF($B263="","","W"&amp;TEXT(WEEKNUM(C263,2),"00"))</f>
        <v/>
      </c>
      <c r="F263" s="371">
        <f>IF($B263="","","Q"&amp;(INT(MOD(MONTH(C263)-FY_Start+12,12)/3)+1))</f>
        <v/>
      </c>
      <c r="G263" s="371">
        <f>IF($B263="","","FY "&amp;IF(MONTH(C263)&gt;=FY_Start,YEAR(C263),YEAR(C263)-1)&amp;"-"&amp;RIGHT(IF(MONTH(C263)&gt;=FY_Start,YEAR(C263)+1,YEAR(C263)),2))</f>
        <v/>
      </c>
      <c r="H263" s="371" t="n"/>
      <c r="I263" s="371" t="n"/>
      <c r="J263" s="371" t="n"/>
      <c r="K263" s="371" t="n"/>
      <c r="L263" s="371" t="n"/>
      <c r="M263" s="371" t="n"/>
      <c r="N263" s="371" t="n"/>
      <c r="O263" s="371" t="n"/>
      <c r="P263" s="371" t="n"/>
      <c r="Q263" s="371" t="n"/>
      <c r="R263" s="371" t="n"/>
      <c r="S263" s="371" t="n"/>
      <c r="T263" s="371" t="n"/>
      <c r="U263" s="371" t="n"/>
      <c r="V263" s="371" t="n"/>
      <c r="W263" s="371" t="n"/>
      <c r="X263" s="371" t="n"/>
      <c r="Y263" s="371" t="n"/>
      <c r="Z263" s="372" t="n"/>
      <c r="AA263" s="372" t="n"/>
      <c r="AB263" s="371" t="n"/>
      <c r="AC263" s="371">
        <f>IF($B263="","",IF(AB263="Closed",IF(AA263="","",AA263-C263),TODAY()-C263))</f>
        <v/>
      </c>
      <c r="AD263" s="371" t="n"/>
    </row>
    <row r="264" ht="15" customHeight="1" s="15">
      <c r="A264" s="371">
        <f>IF($B264="","",ROW()-5)</f>
        <v/>
      </c>
      <c r="B264" s="371" t="n"/>
      <c r="C264" s="372" t="n"/>
      <c r="D264" s="371">
        <f>IF($B264="","",TEXT(C264,"MMM"))</f>
        <v/>
      </c>
      <c r="E264" s="371">
        <f>IF($B264="","","W"&amp;TEXT(WEEKNUM(C264,2),"00"))</f>
        <v/>
      </c>
      <c r="F264" s="371">
        <f>IF($B264="","","Q"&amp;(INT(MOD(MONTH(C264)-FY_Start+12,12)/3)+1))</f>
        <v/>
      </c>
      <c r="G264" s="371">
        <f>IF($B264="","","FY "&amp;IF(MONTH(C264)&gt;=FY_Start,YEAR(C264),YEAR(C264)-1)&amp;"-"&amp;RIGHT(IF(MONTH(C264)&gt;=FY_Start,YEAR(C264)+1,YEAR(C264)),2))</f>
        <v/>
      </c>
      <c r="H264" s="371" t="n"/>
      <c r="I264" s="371" t="n"/>
      <c r="J264" s="371" t="n"/>
      <c r="K264" s="371" t="n"/>
      <c r="L264" s="371" t="n"/>
      <c r="M264" s="371" t="n"/>
      <c r="N264" s="371" t="n"/>
      <c r="O264" s="371" t="n"/>
      <c r="P264" s="371" t="n"/>
      <c r="Q264" s="371" t="n"/>
      <c r="R264" s="371" t="n"/>
      <c r="S264" s="371" t="n"/>
      <c r="T264" s="371" t="n"/>
      <c r="U264" s="371" t="n"/>
      <c r="V264" s="371" t="n"/>
      <c r="W264" s="371" t="n"/>
      <c r="X264" s="371" t="n"/>
      <c r="Y264" s="371" t="n"/>
      <c r="Z264" s="372" t="n"/>
      <c r="AA264" s="372" t="n"/>
      <c r="AB264" s="371" t="n"/>
      <c r="AC264" s="371">
        <f>IF($B264="","",IF(AB264="Closed",IF(AA264="","",AA264-C264),TODAY()-C264))</f>
        <v/>
      </c>
      <c r="AD264" s="371" t="n"/>
    </row>
    <row r="265" ht="15" customHeight="1" s="15">
      <c r="A265" s="371">
        <f>IF($B265="","",ROW()-5)</f>
        <v/>
      </c>
      <c r="B265" s="371" t="n"/>
      <c r="C265" s="372" t="n"/>
      <c r="D265" s="371">
        <f>IF($B265="","",TEXT(C265,"MMM"))</f>
        <v/>
      </c>
      <c r="E265" s="371">
        <f>IF($B265="","","W"&amp;TEXT(WEEKNUM(C265,2),"00"))</f>
        <v/>
      </c>
      <c r="F265" s="371">
        <f>IF($B265="","","Q"&amp;(INT(MOD(MONTH(C265)-FY_Start+12,12)/3)+1))</f>
        <v/>
      </c>
      <c r="G265" s="371">
        <f>IF($B265="","","FY "&amp;IF(MONTH(C265)&gt;=FY_Start,YEAR(C265),YEAR(C265)-1)&amp;"-"&amp;RIGHT(IF(MONTH(C265)&gt;=FY_Start,YEAR(C265)+1,YEAR(C265)),2))</f>
        <v/>
      </c>
      <c r="H265" s="371" t="n"/>
      <c r="I265" s="371" t="n"/>
      <c r="J265" s="371" t="n"/>
      <c r="K265" s="371" t="n"/>
      <c r="L265" s="371" t="n"/>
      <c r="M265" s="371" t="n"/>
      <c r="N265" s="371" t="n"/>
      <c r="O265" s="371" t="n"/>
      <c r="P265" s="371" t="n"/>
      <c r="Q265" s="371" t="n"/>
      <c r="R265" s="371" t="n"/>
      <c r="S265" s="371" t="n"/>
      <c r="T265" s="371" t="n"/>
      <c r="U265" s="371" t="n"/>
      <c r="V265" s="371" t="n"/>
      <c r="W265" s="371" t="n"/>
      <c r="X265" s="371" t="n"/>
      <c r="Y265" s="371" t="n"/>
      <c r="Z265" s="372" t="n"/>
      <c r="AA265" s="372" t="n"/>
      <c r="AB265" s="371" t="n"/>
      <c r="AC265" s="371">
        <f>IF($B265="","",IF(AB265="Closed",IF(AA265="","",AA265-C265),TODAY()-C265))</f>
        <v/>
      </c>
      <c r="AD265" s="371" t="n"/>
    </row>
    <row r="266" ht="15" customHeight="1" s="15">
      <c r="A266" s="371">
        <f>IF($B266="","",ROW()-5)</f>
        <v/>
      </c>
      <c r="B266" s="371" t="n"/>
      <c r="C266" s="372" t="n"/>
      <c r="D266" s="371">
        <f>IF($B266="","",TEXT(C266,"MMM"))</f>
        <v/>
      </c>
      <c r="E266" s="371">
        <f>IF($B266="","","W"&amp;TEXT(WEEKNUM(C266,2),"00"))</f>
        <v/>
      </c>
      <c r="F266" s="371">
        <f>IF($B266="","","Q"&amp;(INT(MOD(MONTH(C266)-FY_Start+12,12)/3)+1))</f>
        <v/>
      </c>
      <c r="G266" s="371">
        <f>IF($B266="","","FY "&amp;IF(MONTH(C266)&gt;=FY_Start,YEAR(C266),YEAR(C266)-1)&amp;"-"&amp;RIGHT(IF(MONTH(C266)&gt;=FY_Start,YEAR(C266)+1,YEAR(C266)),2))</f>
        <v/>
      </c>
      <c r="H266" s="371" t="n"/>
      <c r="I266" s="371" t="n"/>
      <c r="J266" s="371" t="n"/>
      <c r="K266" s="371" t="n"/>
      <c r="L266" s="371" t="n"/>
      <c r="M266" s="371" t="n"/>
      <c r="N266" s="371" t="n"/>
      <c r="O266" s="371" t="n"/>
      <c r="P266" s="371" t="n"/>
      <c r="Q266" s="371" t="n"/>
      <c r="R266" s="371" t="n"/>
      <c r="S266" s="371" t="n"/>
      <c r="T266" s="371" t="n"/>
      <c r="U266" s="371" t="n"/>
      <c r="V266" s="371" t="n"/>
      <c r="W266" s="371" t="n"/>
      <c r="X266" s="371" t="n"/>
      <c r="Y266" s="371" t="n"/>
      <c r="Z266" s="372" t="n"/>
      <c r="AA266" s="372" t="n"/>
      <c r="AB266" s="371" t="n"/>
      <c r="AC266" s="371">
        <f>IF($B266="","",IF(AB266="Closed",IF(AA266="","",AA266-C266),TODAY()-C266))</f>
        <v/>
      </c>
      <c r="AD266" s="371" t="n"/>
    </row>
    <row r="267" ht="15" customHeight="1" s="15">
      <c r="A267" s="371">
        <f>IF($B267="","",ROW()-5)</f>
        <v/>
      </c>
      <c r="B267" s="371" t="n"/>
      <c r="C267" s="372" t="n"/>
      <c r="D267" s="371">
        <f>IF($B267="","",TEXT(C267,"MMM"))</f>
        <v/>
      </c>
      <c r="E267" s="371">
        <f>IF($B267="","","W"&amp;TEXT(WEEKNUM(C267,2),"00"))</f>
        <v/>
      </c>
      <c r="F267" s="371">
        <f>IF($B267="","","Q"&amp;(INT(MOD(MONTH(C267)-FY_Start+12,12)/3)+1))</f>
        <v/>
      </c>
      <c r="G267" s="371">
        <f>IF($B267="","","FY "&amp;IF(MONTH(C267)&gt;=FY_Start,YEAR(C267),YEAR(C267)-1)&amp;"-"&amp;RIGHT(IF(MONTH(C267)&gt;=FY_Start,YEAR(C267)+1,YEAR(C267)),2))</f>
        <v/>
      </c>
      <c r="H267" s="371" t="n"/>
      <c r="I267" s="371" t="n"/>
      <c r="J267" s="371" t="n"/>
      <c r="K267" s="371" t="n"/>
      <c r="L267" s="371" t="n"/>
      <c r="M267" s="371" t="n"/>
      <c r="N267" s="371" t="n"/>
      <c r="O267" s="371" t="n"/>
      <c r="P267" s="371" t="n"/>
      <c r="Q267" s="371" t="n"/>
      <c r="R267" s="371" t="n"/>
      <c r="S267" s="371" t="n"/>
      <c r="T267" s="371" t="n"/>
      <c r="U267" s="371" t="n"/>
      <c r="V267" s="371" t="n"/>
      <c r="W267" s="371" t="n"/>
      <c r="X267" s="371" t="n"/>
      <c r="Y267" s="371" t="n"/>
      <c r="Z267" s="372" t="n"/>
      <c r="AA267" s="372" t="n"/>
      <c r="AB267" s="371" t="n"/>
      <c r="AC267" s="371">
        <f>IF($B267="","",IF(AB267="Closed",IF(AA267="","",AA267-C267),TODAY()-C267))</f>
        <v/>
      </c>
      <c r="AD267" s="371" t="n"/>
    </row>
    <row r="268" ht="15" customHeight="1" s="15">
      <c r="A268" s="371">
        <f>IF($B268="","",ROW()-5)</f>
        <v/>
      </c>
      <c r="B268" s="371" t="n"/>
      <c r="C268" s="372" t="n"/>
      <c r="D268" s="371">
        <f>IF($B268="","",TEXT(C268,"MMM"))</f>
        <v/>
      </c>
      <c r="E268" s="371">
        <f>IF($B268="","","W"&amp;TEXT(WEEKNUM(C268,2),"00"))</f>
        <v/>
      </c>
      <c r="F268" s="371">
        <f>IF($B268="","","Q"&amp;(INT(MOD(MONTH(C268)-FY_Start+12,12)/3)+1))</f>
        <v/>
      </c>
      <c r="G268" s="371">
        <f>IF($B268="","","FY "&amp;IF(MONTH(C268)&gt;=FY_Start,YEAR(C268),YEAR(C268)-1)&amp;"-"&amp;RIGHT(IF(MONTH(C268)&gt;=FY_Start,YEAR(C268)+1,YEAR(C268)),2))</f>
        <v/>
      </c>
      <c r="H268" s="371" t="n"/>
      <c r="I268" s="371" t="n"/>
      <c r="J268" s="371" t="n"/>
      <c r="K268" s="371" t="n"/>
      <c r="L268" s="371" t="n"/>
      <c r="M268" s="371" t="n"/>
      <c r="N268" s="371" t="n"/>
      <c r="O268" s="371" t="n"/>
      <c r="P268" s="371" t="n"/>
      <c r="Q268" s="371" t="n"/>
      <c r="R268" s="371" t="n"/>
      <c r="S268" s="371" t="n"/>
      <c r="T268" s="371" t="n"/>
      <c r="U268" s="371" t="n"/>
      <c r="V268" s="371" t="n"/>
      <c r="W268" s="371" t="n"/>
      <c r="X268" s="371" t="n"/>
      <c r="Y268" s="371" t="n"/>
      <c r="Z268" s="372" t="n"/>
      <c r="AA268" s="372" t="n"/>
      <c r="AB268" s="371" t="n"/>
      <c r="AC268" s="371">
        <f>IF($B268="","",IF(AB268="Closed",IF(AA268="","",AA268-C268),TODAY()-C268))</f>
        <v/>
      </c>
      <c r="AD268" s="371" t="n"/>
    </row>
    <row r="269" ht="15" customHeight="1" s="15">
      <c r="A269" s="371">
        <f>IF($B269="","",ROW()-5)</f>
        <v/>
      </c>
      <c r="B269" s="371" t="n"/>
      <c r="C269" s="372" t="n"/>
      <c r="D269" s="371">
        <f>IF($B269="","",TEXT(C269,"MMM"))</f>
        <v/>
      </c>
      <c r="E269" s="371">
        <f>IF($B269="","","W"&amp;TEXT(WEEKNUM(C269,2),"00"))</f>
        <v/>
      </c>
      <c r="F269" s="371">
        <f>IF($B269="","","Q"&amp;(INT(MOD(MONTH(C269)-FY_Start+12,12)/3)+1))</f>
        <v/>
      </c>
      <c r="G269" s="371">
        <f>IF($B269="","","FY "&amp;IF(MONTH(C269)&gt;=FY_Start,YEAR(C269),YEAR(C269)-1)&amp;"-"&amp;RIGHT(IF(MONTH(C269)&gt;=FY_Start,YEAR(C269)+1,YEAR(C269)),2))</f>
        <v/>
      </c>
      <c r="H269" s="371" t="n"/>
      <c r="I269" s="371" t="n"/>
      <c r="J269" s="371" t="n"/>
      <c r="K269" s="371" t="n"/>
      <c r="L269" s="371" t="n"/>
      <c r="M269" s="371" t="n"/>
      <c r="N269" s="371" t="n"/>
      <c r="O269" s="371" t="n"/>
      <c r="P269" s="371" t="n"/>
      <c r="Q269" s="371" t="n"/>
      <c r="R269" s="371" t="n"/>
      <c r="S269" s="371" t="n"/>
      <c r="T269" s="371" t="n"/>
      <c r="U269" s="371" t="n"/>
      <c r="V269" s="371" t="n"/>
      <c r="W269" s="371" t="n"/>
      <c r="X269" s="371" t="n"/>
      <c r="Y269" s="371" t="n"/>
      <c r="Z269" s="372" t="n"/>
      <c r="AA269" s="372" t="n"/>
      <c r="AB269" s="371" t="n"/>
      <c r="AC269" s="371">
        <f>IF($B269="","",IF(AB269="Closed",IF(AA269="","",AA269-C269),TODAY()-C269))</f>
        <v/>
      </c>
      <c r="AD269" s="371" t="n"/>
    </row>
    <row r="270" ht="15" customHeight="1" s="15">
      <c r="A270" s="371">
        <f>IF($B270="","",ROW()-5)</f>
        <v/>
      </c>
      <c r="B270" s="371" t="n"/>
      <c r="C270" s="372" t="n"/>
      <c r="D270" s="371">
        <f>IF($B270="","",TEXT(C270,"MMM"))</f>
        <v/>
      </c>
      <c r="E270" s="371">
        <f>IF($B270="","","W"&amp;TEXT(WEEKNUM(C270,2),"00"))</f>
        <v/>
      </c>
      <c r="F270" s="371">
        <f>IF($B270="","","Q"&amp;(INT(MOD(MONTH(C270)-FY_Start+12,12)/3)+1))</f>
        <v/>
      </c>
      <c r="G270" s="371">
        <f>IF($B270="","","FY "&amp;IF(MONTH(C270)&gt;=FY_Start,YEAR(C270),YEAR(C270)-1)&amp;"-"&amp;RIGHT(IF(MONTH(C270)&gt;=FY_Start,YEAR(C270)+1,YEAR(C270)),2))</f>
        <v/>
      </c>
      <c r="H270" s="371" t="n"/>
      <c r="I270" s="371" t="n"/>
      <c r="J270" s="371" t="n"/>
      <c r="K270" s="371" t="n"/>
      <c r="L270" s="371" t="n"/>
      <c r="M270" s="371" t="n"/>
      <c r="N270" s="371" t="n"/>
      <c r="O270" s="371" t="n"/>
      <c r="P270" s="371" t="n"/>
      <c r="Q270" s="371" t="n"/>
      <c r="R270" s="371" t="n"/>
      <c r="S270" s="371" t="n"/>
      <c r="T270" s="371" t="n"/>
      <c r="U270" s="371" t="n"/>
      <c r="V270" s="371" t="n"/>
      <c r="W270" s="371" t="n"/>
      <c r="X270" s="371" t="n"/>
      <c r="Y270" s="371" t="n"/>
      <c r="Z270" s="372" t="n"/>
      <c r="AA270" s="372" t="n"/>
      <c r="AB270" s="371" t="n"/>
      <c r="AC270" s="371">
        <f>IF($B270="","",IF(AB270="Closed",IF(AA270="","",AA270-C270),TODAY()-C270))</f>
        <v/>
      </c>
      <c r="AD270" s="371" t="n"/>
    </row>
    <row r="271" ht="15" customHeight="1" s="15">
      <c r="A271" s="371">
        <f>IF($B271="","",ROW()-5)</f>
        <v/>
      </c>
      <c r="B271" s="371" t="n"/>
      <c r="C271" s="372" t="n"/>
      <c r="D271" s="371">
        <f>IF($B271="","",TEXT(C271,"MMM"))</f>
        <v/>
      </c>
      <c r="E271" s="371">
        <f>IF($B271="","","W"&amp;TEXT(WEEKNUM(C271,2),"00"))</f>
        <v/>
      </c>
      <c r="F271" s="371">
        <f>IF($B271="","","Q"&amp;(INT(MOD(MONTH(C271)-FY_Start+12,12)/3)+1))</f>
        <v/>
      </c>
      <c r="G271" s="371">
        <f>IF($B271="","","FY "&amp;IF(MONTH(C271)&gt;=FY_Start,YEAR(C271),YEAR(C271)-1)&amp;"-"&amp;RIGHT(IF(MONTH(C271)&gt;=FY_Start,YEAR(C271)+1,YEAR(C271)),2))</f>
        <v/>
      </c>
      <c r="H271" s="371" t="n"/>
      <c r="I271" s="371" t="n"/>
      <c r="J271" s="371" t="n"/>
      <c r="K271" s="371" t="n"/>
      <c r="L271" s="371" t="n"/>
      <c r="M271" s="371" t="n"/>
      <c r="N271" s="371" t="n"/>
      <c r="O271" s="371" t="n"/>
      <c r="P271" s="371" t="n"/>
      <c r="Q271" s="371" t="n"/>
      <c r="R271" s="371" t="n"/>
      <c r="S271" s="371" t="n"/>
      <c r="T271" s="371" t="n"/>
      <c r="U271" s="371" t="n"/>
      <c r="V271" s="371" t="n"/>
      <c r="W271" s="371" t="n"/>
      <c r="X271" s="371" t="n"/>
      <c r="Y271" s="371" t="n"/>
      <c r="Z271" s="372" t="n"/>
      <c r="AA271" s="372" t="n"/>
      <c r="AB271" s="371" t="n"/>
      <c r="AC271" s="371">
        <f>IF($B271="","",IF(AB271="Closed",IF(AA271="","",AA271-C271),TODAY()-C271))</f>
        <v/>
      </c>
      <c r="AD271" s="371" t="n"/>
    </row>
    <row r="272" ht="15" customHeight="1" s="15">
      <c r="A272" s="371">
        <f>IF($B272="","",ROW()-5)</f>
        <v/>
      </c>
      <c r="B272" s="371" t="n"/>
      <c r="C272" s="372" t="n"/>
      <c r="D272" s="371">
        <f>IF($B272="","",TEXT(C272,"MMM"))</f>
        <v/>
      </c>
      <c r="E272" s="371">
        <f>IF($B272="","","W"&amp;TEXT(WEEKNUM(C272,2),"00"))</f>
        <v/>
      </c>
      <c r="F272" s="371">
        <f>IF($B272="","","Q"&amp;(INT(MOD(MONTH(C272)-FY_Start+12,12)/3)+1))</f>
        <v/>
      </c>
      <c r="G272" s="371">
        <f>IF($B272="","","FY "&amp;IF(MONTH(C272)&gt;=FY_Start,YEAR(C272),YEAR(C272)-1)&amp;"-"&amp;RIGHT(IF(MONTH(C272)&gt;=FY_Start,YEAR(C272)+1,YEAR(C272)),2))</f>
        <v/>
      </c>
      <c r="H272" s="371" t="n"/>
      <c r="I272" s="371" t="n"/>
      <c r="J272" s="371" t="n"/>
      <c r="K272" s="371" t="n"/>
      <c r="L272" s="371" t="n"/>
      <c r="M272" s="371" t="n"/>
      <c r="N272" s="371" t="n"/>
      <c r="O272" s="371" t="n"/>
      <c r="P272" s="371" t="n"/>
      <c r="Q272" s="371" t="n"/>
      <c r="R272" s="371" t="n"/>
      <c r="S272" s="371" t="n"/>
      <c r="T272" s="371" t="n"/>
      <c r="U272" s="371" t="n"/>
      <c r="V272" s="371" t="n"/>
      <c r="W272" s="371" t="n"/>
      <c r="X272" s="371" t="n"/>
      <c r="Y272" s="371" t="n"/>
      <c r="Z272" s="372" t="n"/>
      <c r="AA272" s="372" t="n"/>
      <c r="AB272" s="371" t="n"/>
      <c r="AC272" s="371">
        <f>IF($B272="","",IF(AB272="Closed",IF(AA272="","",AA272-C272),TODAY()-C272))</f>
        <v/>
      </c>
      <c r="AD272" s="371" t="n"/>
    </row>
    <row r="273" ht="15" customHeight="1" s="15">
      <c r="A273" s="371">
        <f>IF($B273="","",ROW()-5)</f>
        <v/>
      </c>
      <c r="B273" s="371" t="n"/>
      <c r="C273" s="372" t="n"/>
      <c r="D273" s="371">
        <f>IF($B273="","",TEXT(C273,"MMM"))</f>
        <v/>
      </c>
      <c r="E273" s="371">
        <f>IF($B273="","","W"&amp;TEXT(WEEKNUM(C273,2),"00"))</f>
        <v/>
      </c>
      <c r="F273" s="371">
        <f>IF($B273="","","Q"&amp;(INT(MOD(MONTH(C273)-FY_Start+12,12)/3)+1))</f>
        <v/>
      </c>
      <c r="G273" s="371">
        <f>IF($B273="","","FY "&amp;IF(MONTH(C273)&gt;=FY_Start,YEAR(C273),YEAR(C273)-1)&amp;"-"&amp;RIGHT(IF(MONTH(C273)&gt;=FY_Start,YEAR(C273)+1,YEAR(C273)),2))</f>
        <v/>
      </c>
      <c r="H273" s="371" t="n"/>
      <c r="I273" s="371" t="n"/>
      <c r="J273" s="371" t="n"/>
      <c r="K273" s="371" t="n"/>
      <c r="L273" s="371" t="n"/>
      <c r="M273" s="371" t="n"/>
      <c r="N273" s="371" t="n"/>
      <c r="O273" s="371" t="n"/>
      <c r="P273" s="371" t="n"/>
      <c r="Q273" s="371" t="n"/>
      <c r="R273" s="371" t="n"/>
      <c r="S273" s="371" t="n"/>
      <c r="T273" s="371" t="n"/>
      <c r="U273" s="371" t="n"/>
      <c r="V273" s="371" t="n"/>
      <c r="W273" s="371" t="n"/>
      <c r="X273" s="371" t="n"/>
      <c r="Y273" s="371" t="n"/>
      <c r="Z273" s="372" t="n"/>
      <c r="AA273" s="372" t="n"/>
      <c r="AB273" s="371" t="n"/>
      <c r="AC273" s="371">
        <f>IF($B273="","",IF(AB273="Closed",IF(AA273="","",AA273-C273),TODAY()-C273))</f>
        <v/>
      </c>
      <c r="AD273" s="371" t="n"/>
    </row>
    <row r="274" ht="15" customHeight="1" s="15">
      <c r="A274" s="371">
        <f>IF($B274="","",ROW()-5)</f>
        <v/>
      </c>
      <c r="B274" s="371" t="n"/>
      <c r="C274" s="372" t="n"/>
      <c r="D274" s="371">
        <f>IF($B274="","",TEXT(C274,"MMM"))</f>
        <v/>
      </c>
      <c r="E274" s="371">
        <f>IF($B274="","","W"&amp;TEXT(WEEKNUM(C274,2),"00"))</f>
        <v/>
      </c>
      <c r="F274" s="371">
        <f>IF($B274="","","Q"&amp;(INT(MOD(MONTH(C274)-FY_Start+12,12)/3)+1))</f>
        <v/>
      </c>
      <c r="G274" s="371">
        <f>IF($B274="","","FY "&amp;IF(MONTH(C274)&gt;=FY_Start,YEAR(C274),YEAR(C274)-1)&amp;"-"&amp;RIGHT(IF(MONTH(C274)&gt;=FY_Start,YEAR(C274)+1,YEAR(C274)),2))</f>
        <v/>
      </c>
      <c r="H274" s="371" t="n"/>
      <c r="I274" s="371" t="n"/>
      <c r="J274" s="371" t="n"/>
      <c r="K274" s="371" t="n"/>
      <c r="L274" s="371" t="n"/>
      <c r="M274" s="371" t="n"/>
      <c r="N274" s="371" t="n"/>
      <c r="O274" s="371" t="n"/>
      <c r="P274" s="371" t="n"/>
      <c r="Q274" s="371" t="n"/>
      <c r="R274" s="371" t="n"/>
      <c r="S274" s="371" t="n"/>
      <c r="T274" s="371" t="n"/>
      <c r="U274" s="371" t="n"/>
      <c r="V274" s="371" t="n"/>
      <c r="W274" s="371" t="n"/>
      <c r="X274" s="371" t="n"/>
      <c r="Y274" s="371" t="n"/>
      <c r="Z274" s="372" t="n"/>
      <c r="AA274" s="372" t="n"/>
      <c r="AB274" s="371" t="n"/>
      <c r="AC274" s="371">
        <f>IF($B274="","",IF(AB274="Closed",IF(AA274="","",AA274-C274),TODAY()-C274))</f>
        <v/>
      </c>
      <c r="AD274" s="371" t="n"/>
    </row>
    <row r="275" ht="15" customHeight="1" s="15">
      <c r="A275" s="371">
        <f>IF($B275="","",ROW()-5)</f>
        <v/>
      </c>
      <c r="B275" s="371" t="n"/>
      <c r="C275" s="372" t="n"/>
      <c r="D275" s="371">
        <f>IF($B275="","",TEXT(C275,"MMM"))</f>
        <v/>
      </c>
      <c r="E275" s="371">
        <f>IF($B275="","","W"&amp;TEXT(WEEKNUM(C275,2),"00"))</f>
        <v/>
      </c>
      <c r="F275" s="371">
        <f>IF($B275="","","Q"&amp;(INT(MOD(MONTH(C275)-FY_Start+12,12)/3)+1))</f>
        <v/>
      </c>
      <c r="G275" s="371">
        <f>IF($B275="","","FY "&amp;IF(MONTH(C275)&gt;=FY_Start,YEAR(C275),YEAR(C275)-1)&amp;"-"&amp;RIGHT(IF(MONTH(C275)&gt;=FY_Start,YEAR(C275)+1,YEAR(C275)),2))</f>
        <v/>
      </c>
      <c r="H275" s="371" t="n"/>
      <c r="I275" s="371" t="n"/>
      <c r="J275" s="371" t="n"/>
      <c r="K275" s="371" t="n"/>
      <c r="L275" s="371" t="n"/>
      <c r="M275" s="371" t="n"/>
      <c r="N275" s="371" t="n"/>
      <c r="O275" s="371" t="n"/>
      <c r="P275" s="371" t="n"/>
      <c r="Q275" s="371" t="n"/>
      <c r="R275" s="371" t="n"/>
      <c r="S275" s="371" t="n"/>
      <c r="T275" s="371" t="n"/>
      <c r="U275" s="371" t="n"/>
      <c r="V275" s="371" t="n"/>
      <c r="W275" s="371" t="n"/>
      <c r="X275" s="371" t="n"/>
      <c r="Y275" s="371" t="n"/>
      <c r="Z275" s="372" t="n"/>
      <c r="AA275" s="372" t="n"/>
      <c r="AB275" s="371" t="n"/>
      <c r="AC275" s="371">
        <f>IF($B275="","",IF(AB275="Closed",IF(AA275="","",AA275-C275),TODAY()-C275))</f>
        <v/>
      </c>
      <c r="AD275" s="371" t="n"/>
    </row>
    <row r="276" ht="15" customHeight="1" s="15">
      <c r="A276" s="371">
        <f>IF($B276="","",ROW()-5)</f>
        <v/>
      </c>
      <c r="B276" s="371" t="n"/>
      <c r="C276" s="372" t="n"/>
      <c r="D276" s="371">
        <f>IF($B276="","",TEXT(C276,"MMM"))</f>
        <v/>
      </c>
      <c r="E276" s="371">
        <f>IF($B276="","","W"&amp;TEXT(WEEKNUM(C276,2),"00"))</f>
        <v/>
      </c>
      <c r="F276" s="371">
        <f>IF($B276="","","Q"&amp;(INT(MOD(MONTH(C276)-FY_Start+12,12)/3)+1))</f>
        <v/>
      </c>
      <c r="G276" s="371">
        <f>IF($B276="","","FY "&amp;IF(MONTH(C276)&gt;=FY_Start,YEAR(C276),YEAR(C276)-1)&amp;"-"&amp;RIGHT(IF(MONTH(C276)&gt;=FY_Start,YEAR(C276)+1,YEAR(C276)),2))</f>
        <v/>
      </c>
      <c r="H276" s="371" t="n"/>
      <c r="I276" s="371" t="n"/>
      <c r="J276" s="371" t="n"/>
      <c r="K276" s="371" t="n"/>
      <c r="L276" s="371" t="n"/>
      <c r="M276" s="371" t="n"/>
      <c r="N276" s="371" t="n"/>
      <c r="O276" s="371" t="n"/>
      <c r="P276" s="371" t="n"/>
      <c r="Q276" s="371" t="n"/>
      <c r="R276" s="371" t="n"/>
      <c r="S276" s="371" t="n"/>
      <c r="T276" s="371" t="n"/>
      <c r="U276" s="371" t="n"/>
      <c r="V276" s="371" t="n"/>
      <c r="W276" s="371" t="n"/>
      <c r="X276" s="371" t="n"/>
      <c r="Y276" s="371" t="n"/>
      <c r="Z276" s="372" t="n"/>
      <c r="AA276" s="372" t="n"/>
      <c r="AB276" s="371" t="n"/>
      <c r="AC276" s="371">
        <f>IF($B276="","",IF(AB276="Closed",IF(AA276="","",AA276-C276),TODAY()-C276))</f>
        <v/>
      </c>
      <c r="AD276" s="371" t="n"/>
    </row>
    <row r="277" ht="15" customHeight="1" s="15">
      <c r="A277" s="371">
        <f>IF($B277="","",ROW()-5)</f>
        <v/>
      </c>
      <c r="B277" s="371" t="n"/>
      <c r="C277" s="372" t="n"/>
      <c r="D277" s="371">
        <f>IF($B277="","",TEXT(C277,"MMM"))</f>
        <v/>
      </c>
      <c r="E277" s="371">
        <f>IF($B277="","","W"&amp;TEXT(WEEKNUM(C277,2),"00"))</f>
        <v/>
      </c>
      <c r="F277" s="371">
        <f>IF($B277="","","Q"&amp;(INT(MOD(MONTH(C277)-FY_Start+12,12)/3)+1))</f>
        <v/>
      </c>
      <c r="G277" s="371">
        <f>IF($B277="","","FY "&amp;IF(MONTH(C277)&gt;=FY_Start,YEAR(C277),YEAR(C277)-1)&amp;"-"&amp;RIGHT(IF(MONTH(C277)&gt;=FY_Start,YEAR(C277)+1,YEAR(C277)),2))</f>
        <v/>
      </c>
      <c r="H277" s="371" t="n"/>
      <c r="I277" s="371" t="n"/>
      <c r="J277" s="371" t="n"/>
      <c r="K277" s="371" t="n"/>
      <c r="L277" s="371" t="n"/>
      <c r="M277" s="371" t="n"/>
      <c r="N277" s="371" t="n"/>
      <c r="O277" s="371" t="n"/>
      <c r="P277" s="371" t="n"/>
      <c r="Q277" s="371" t="n"/>
      <c r="R277" s="371" t="n"/>
      <c r="S277" s="371" t="n"/>
      <c r="T277" s="371" t="n"/>
      <c r="U277" s="371" t="n"/>
      <c r="V277" s="371" t="n"/>
      <c r="W277" s="371" t="n"/>
      <c r="X277" s="371" t="n"/>
      <c r="Y277" s="371" t="n"/>
      <c r="Z277" s="372" t="n"/>
      <c r="AA277" s="372" t="n"/>
      <c r="AB277" s="371" t="n"/>
      <c r="AC277" s="371">
        <f>IF($B277="","",IF(AB277="Closed",IF(AA277="","",AA277-C277),TODAY()-C277))</f>
        <v/>
      </c>
      <c r="AD277" s="371" t="n"/>
    </row>
    <row r="278" ht="15" customHeight="1" s="15">
      <c r="A278" s="371">
        <f>IF($B278="","",ROW()-5)</f>
        <v/>
      </c>
      <c r="B278" s="371" t="n"/>
      <c r="C278" s="372" t="n"/>
      <c r="D278" s="371">
        <f>IF($B278="","",TEXT(C278,"MMM"))</f>
        <v/>
      </c>
      <c r="E278" s="371">
        <f>IF($B278="","","W"&amp;TEXT(WEEKNUM(C278,2),"00"))</f>
        <v/>
      </c>
      <c r="F278" s="371">
        <f>IF($B278="","","Q"&amp;(INT(MOD(MONTH(C278)-FY_Start+12,12)/3)+1))</f>
        <v/>
      </c>
      <c r="G278" s="371">
        <f>IF($B278="","","FY "&amp;IF(MONTH(C278)&gt;=FY_Start,YEAR(C278),YEAR(C278)-1)&amp;"-"&amp;RIGHT(IF(MONTH(C278)&gt;=FY_Start,YEAR(C278)+1,YEAR(C278)),2))</f>
        <v/>
      </c>
      <c r="H278" s="371" t="n"/>
      <c r="I278" s="371" t="n"/>
      <c r="J278" s="371" t="n"/>
      <c r="K278" s="371" t="n"/>
      <c r="L278" s="371" t="n"/>
      <c r="M278" s="371" t="n"/>
      <c r="N278" s="371" t="n"/>
      <c r="O278" s="371" t="n"/>
      <c r="P278" s="371" t="n"/>
      <c r="Q278" s="371" t="n"/>
      <c r="R278" s="371" t="n"/>
      <c r="S278" s="371" t="n"/>
      <c r="T278" s="371" t="n"/>
      <c r="U278" s="371" t="n"/>
      <c r="V278" s="371" t="n"/>
      <c r="W278" s="371" t="n"/>
      <c r="X278" s="371" t="n"/>
      <c r="Y278" s="371" t="n"/>
      <c r="Z278" s="372" t="n"/>
      <c r="AA278" s="372" t="n"/>
      <c r="AB278" s="371" t="n"/>
      <c r="AC278" s="371">
        <f>IF($B278="","",IF(AB278="Closed",IF(AA278="","",AA278-C278),TODAY()-C278))</f>
        <v/>
      </c>
      <c r="AD278" s="371" t="n"/>
    </row>
    <row r="279" ht="15" customHeight="1" s="15">
      <c r="A279" s="371">
        <f>IF($B279="","",ROW()-5)</f>
        <v/>
      </c>
      <c r="B279" s="371" t="n"/>
      <c r="C279" s="372" t="n"/>
      <c r="D279" s="371">
        <f>IF($B279="","",TEXT(C279,"MMM"))</f>
        <v/>
      </c>
      <c r="E279" s="371">
        <f>IF($B279="","","W"&amp;TEXT(WEEKNUM(C279,2),"00"))</f>
        <v/>
      </c>
      <c r="F279" s="371">
        <f>IF($B279="","","Q"&amp;(INT(MOD(MONTH(C279)-FY_Start+12,12)/3)+1))</f>
        <v/>
      </c>
      <c r="G279" s="371">
        <f>IF($B279="","","FY "&amp;IF(MONTH(C279)&gt;=FY_Start,YEAR(C279),YEAR(C279)-1)&amp;"-"&amp;RIGHT(IF(MONTH(C279)&gt;=FY_Start,YEAR(C279)+1,YEAR(C279)),2))</f>
        <v/>
      </c>
      <c r="H279" s="371" t="n"/>
      <c r="I279" s="371" t="n"/>
      <c r="J279" s="371" t="n"/>
      <c r="K279" s="371" t="n"/>
      <c r="L279" s="371" t="n"/>
      <c r="M279" s="371" t="n"/>
      <c r="N279" s="371" t="n"/>
      <c r="O279" s="371" t="n"/>
      <c r="P279" s="371" t="n"/>
      <c r="Q279" s="371" t="n"/>
      <c r="R279" s="371" t="n"/>
      <c r="S279" s="371" t="n"/>
      <c r="T279" s="371" t="n"/>
      <c r="U279" s="371" t="n"/>
      <c r="V279" s="371" t="n"/>
      <c r="W279" s="371" t="n"/>
      <c r="X279" s="371" t="n"/>
      <c r="Y279" s="371" t="n"/>
      <c r="Z279" s="372" t="n"/>
      <c r="AA279" s="372" t="n"/>
      <c r="AB279" s="371" t="n"/>
      <c r="AC279" s="371">
        <f>IF($B279="","",IF(AB279="Closed",IF(AA279="","",AA279-C279),TODAY()-C279))</f>
        <v/>
      </c>
      <c r="AD279" s="371" t="n"/>
    </row>
    <row r="280" ht="15" customHeight="1" s="15">
      <c r="A280" s="371">
        <f>IF($B280="","",ROW()-5)</f>
        <v/>
      </c>
      <c r="B280" s="371" t="n"/>
      <c r="C280" s="372" t="n"/>
      <c r="D280" s="371">
        <f>IF($B280="","",TEXT(C280,"MMM"))</f>
        <v/>
      </c>
      <c r="E280" s="371">
        <f>IF($B280="","","W"&amp;TEXT(WEEKNUM(C280,2),"00"))</f>
        <v/>
      </c>
      <c r="F280" s="371">
        <f>IF($B280="","","Q"&amp;(INT(MOD(MONTH(C280)-FY_Start+12,12)/3)+1))</f>
        <v/>
      </c>
      <c r="G280" s="371">
        <f>IF($B280="","","FY "&amp;IF(MONTH(C280)&gt;=FY_Start,YEAR(C280),YEAR(C280)-1)&amp;"-"&amp;RIGHT(IF(MONTH(C280)&gt;=FY_Start,YEAR(C280)+1,YEAR(C280)),2))</f>
        <v/>
      </c>
      <c r="H280" s="371" t="n"/>
      <c r="I280" s="371" t="n"/>
      <c r="J280" s="371" t="n"/>
      <c r="K280" s="371" t="n"/>
      <c r="L280" s="371" t="n"/>
      <c r="M280" s="371" t="n"/>
      <c r="N280" s="371" t="n"/>
      <c r="O280" s="371" t="n"/>
      <c r="P280" s="371" t="n"/>
      <c r="Q280" s="371" t="n"/>
      <c r="R280" s="371" t="n"/>
      <c r="S280" s="371" t="n"/>
      <c r="T280" s="371" t="n"/>
      <c r="U280" s="371" t="n"/>
      <c r="V280" s="371" t="n"/>
      <c r="W280" s="371" t="n"/>
      <c r="X280" s="371" t="n"/>
      <c r="Y280" s="371" t="n"/>
      <c r="Z280" s="372" t="n"/>
      <c r="AA280" s="372" t="n"/>
      <c r="AB280" s="371" t="n"/>
      <c r="AC280" s="371">
        <f>IF($B280="","",IF(AB280="Closed",IF(AA280="","",AA280-C280),TODAY()-C280))</f>
        <v/>
      </c>
      <c r="AD280" s="371" t="n"/>
    </row>
    <row r="281" ht="15" customHeight="1" s="15">
      <c r="A281" s="371">
        <f>IF($B281="","",ROW()-5)</f>
        <v/>
      </c>
      <c r="B281" s="371" t="n"/>
      <c r="C281" s="372" t="n"/>
      <c r="D281" s="371">
        <f>IF($B281="","",TEXT(C281,"MMM"))</f>
        <v/>
      </c>
      <c r="E281" s="371">
        <f>IF($B281="","","W"&amp;TEXT(WEEKNUM(C281,2),"00"))</f>
        <v/>
      </c>
      <c r="F281" s="371">
        <f>IF($B281="","","Q"&amp;(INT(MOD(MONTH(C281)-FY_Start+12,12)/3)+1))</f>
        <v/>
      </c>
      <c r="G281" s="371">
        <f>IF($B281="","","FY "&amp;IF(MONTH(C281)&gt;=FY_Start,YEAR(C281),YEAR(C281)-1)&amp;"-"&amp;RIGHT(IF(MONTH(C281)&gt;=FY_Start,YEAR(C281)+1,YEAR(C281)),2))</f>
        <v/>
      </c>
      <c r="H281" s="371" t="n"/>
      <c r="I281" s="371" t="n"/>
      <c r="J281" s="371" t="n"/>
      <c r="K281" s="371" t="n"/>
      <c r="L281" s="371" t="n"/>
      <c r="M281" s="371" t="n"/>
      <c r="N281" s="371" t="n"/>
      <c r="O281" s="371" t="n"/>
      <c r="P281" s="371" t="n"/>
      <c r="Q281" s="371" t="n"/>
      <c r="R281" s="371" t="n"/>
      <c r="S281" s="371" t="n"/>
      <c r="T281" s="371" t="n"/>
      <c r="U281" s="371" t="n"/>
      <c r="V281" s="371" t="n"/>
      <c r="W281" s="371" t="n"/>
      <c r="X281" s="371" t="n"/>
      <c r="Y281" s="371" t="n"/>
      <c r="Z281" s="372" t="n"/>
      <c r="AA281" s="372" t="n"/>
      <c r="AB281" s="371" t="n"/>
      <c r="AC281" s="371">
        <f>IF($B281="","",IF(AB281="Closed",IF(AA281="","",AA281-C281),TODAY()-C281))</f>
        <v/>
      </c>
      <c r="AD281" s="371" t="n"/>
    </row>
    <row r="282" ht="15" customHeight="1" s="15">
      <c r="A282" s="371">
        <f>IF($B282="","",ROW()-5)</f>
        <v/>
      </c>
      <c r="B282" s="371" t="n"/>
      <c r="C282" s="372" t="n"/>
      <c r="D282" s="371">
        <f>IF($B282="","",TEXT(C282,"MMM"))</f>
        <v/>
      </c>
      <c r="E282" s="371">
        <f>IF($B282="","","W"&amp;TEXT(WEEKNUM(C282,2),"00"))</f>
        <v/>
      </c>
      <c r="F282" s="371">
        <f>IF($B282="","","Q"&amp;(INT(MOD(MONTH(C282)-FY_Start+12,12)/3)+1))</f>
        <v/>
      </c>
      <c r="G282" s="371">
        <f>IF($B282="","","FY "&amp;IF(MONTH(C282)&gt;=FY_Start,YEAR(C282),YEAR(C282)-1)&amp;"-"&amp;RIGHT(IF(MONTH(C282)&gt;=FY_Start,YEAR(C282)+1,YEAR(C282)),2))</f>
        <v/>
      </c>
      <c r="H282" s="371" t="n"/>
      <c r="I282" s="371" t="n"/>
      <c r="J282" s="371" t="n"/>
      <c r="K282" s="371" t="n"/>
      <c r="L282" s="371" t="n"/>
      <c r="M282" s="371" t="n"/>
      <c r="N282" s="371" t="n"/>
      <c r="O282" s="371" t="n"/>
      <c r="P282" s="371" t="n"/>
      <c r="Q282" s="371" t="n"/>
      <c r="R282" s="371" t="n"/>
      <c r="S282" s="371" t="n"/>
      <c r="T282" s="371" t="n"/>
      <c r="U282" s="371" t="n"/>
      <c r="V282" s="371" t="n"/>
      <c r="W282" s="371" t="n"/>
      <c r="X282" s="371" t="n"/>
      <c r="Y282" s="371" t="n"/>
      <c r="Z282" s="372" t="n"/>
      <c r="AA282" s="372" t="n"/>
      <c r="AB282" s="371" t="n"/>
      <c r="AC282" s="371">
        <f>IF($B282="","",IF(AB282="Closed",IF(AA282="","",AA282-C282),TODAY()-C282))</f>
        <v/>
      </c>
      <c r="AD282" s="371" t="n"/>
    </row>
    <row r="283" ht="15" customHeight="1" s="15">
      <c r="A283" s="371">
        <f>IF($B283="","",ROW()-5)</f>
        <v/>
      </c>
      <c r="B283" s="371" t="n"/>
      <c r="C283" s="372" t="n"/>
      <c r="D283" s="371">
        <f>IF($B283="","",TEXT(C283,"MMM"))</f>
        <v/>
      </c>
      <c r="E283" s="371">
        <f>IF($B283="","","W"&amp;TEXT(WEEKNUM(C283,2),"00"))</f>
        <v/>
      </c>
      <c r="F283" s="371">
        <f>IF($B283="","","Q"&amp;(INT(MOD(MONTH(C283)-FY_Start+12,12)/3)+1))</f>
        <v/>
      </c>
      <c r="G283" s="371">
        <f>IF($B283="","","FY "&amp;IF(MONTH(C283)&gt;=FY_Start,YEAR(C283),YEAR(C283)-1)&amp;"-"&amp;RIGHT(IF(MONTH(C283)&gt;=FY_Start,YEAR(C283)+1,YEAR(C283)),2))</f>
        <v/>
      </c>
      <c r="H283" s="371" t="n"/>
      <c r="I283" s="371" t="n"/>
      <c r="J283" s="371" t="n"/>
      <c r="K283" s="371" t="n"/>
      <c r="L283" s="371" t="n"/>
      <c r="M283" s="371" t="n"/>
      <c r="N283" s="371" t="n"/>
      <c r="O283" s="371" t="n"/>
      <c r="P283" s="371" t="n"/>
      <c r="Q283" s="371" t="n"/>
      <c r="R283" s="371" t="n"/>
      <c r="S283" s="371" t="n"/>
      <c r="T283" s="371" t="n"/>
      <c r="U283" s="371" t="n"/>
      <c r="V283" s="371" t="n"/>
      <c r="W283" s="371" t="n"/>
      <c r="X283" s="371" t="n"/>
      <c r="Y283" s="371" t="n"/>
      <c r="Z283" s="372" t="n"/>
      <c r="AA283" s="372" t="n"/>
      <c r="AB283" s="371" t="n"/>
      <c r="AC283" s="371">
        <f>IF($B283="","",IF(AB283="Closed",IF(AA283="","",AA283-C283),TODAY()-C283))</f>
        <v/>
      </c>
      <c r="AD283" s="371" t="n"/>
    </row>
    <row r="284" ht="15" customHeight="1" s="15">
      <c r="A284" s="371">
        <f>IF($B284="","",ROW()-5)</f>
        <v/>
      </c>
      <c r="B284" s="371" t="n"/>
      <c r="C284" s="372" t="n"/>
      <c r="D284" s="371">
        <f>IF($B284="","",TEXT(C284,"MMM"))</f>
        <v/>
      </c>
      <c r="E284" s="371">
        <f>IF($B284="","","W"&amp;TEXT(WEEKNUM(C284,2),"00"))</f>
        <v/>
      </c>
      <c r="F284" s="371">
        <f>IF($B284="","","Q"&amp;(INT(MOD(MONTH(C284)-FY_Start+12,12)/3)+1))</f>
        <v/>
      </c>
      <c r="G284" s="371">
        <f>IF($B284="","","FY "&amp;IF(MONTH(C284)&gt;=FY_Start,YEAR(C284),YEAR(C284)-1)&amp;"-"&amp;RIGHT(IF(MONTH(C284)&gt;=FY_Start,YEAR(C284)+1,YEAR(C284)),2))</f>
        <v/>
      </c>
      <c r="H284" s="371" t="n"/>
      <c r="I284" s="371" t="n"/>
      <c r="J284" s="371" t="n"/>
      <c r="K284" s="371" t="n"/>
      <c r="L284" s="371" t="n"/>
      <c r="M284" s="371" t="n"/>
      <c r="N284" s="371" t="n"/>
      <c r="O284" s="371" t="n"/>
      <c r="P284" s="371" t="n"/>
      <c r="Q284" s="371" t="n"/>
      <c r="R284" s="371" t="n"/>
      <c r="S284" s="371" t="n"/>
      <c r="T284" s="371" t="n"/>
      <c r="U284" s="371" t="n"/>
      <c r="V284" s="371" t="n"/>
      <c r="W284" s="371" t="n"/>
      <c r="X284" s="371" t="n"/>
      <c r="Y284" s="371" t="n"/>
      <c r="Z284" s="372" t="n"/>
      <c r="AA284" s="372" t="n"/>
      <c r="AB284" s="371" t="n"/>
      <c r="AC284" s="371">
        <f>IF($B284="","",IF(AB284="Closed",IF(AA284="","",AA284-C284),TODAY()-C284))</f>
        <v/>
      </c>
      <c r="AD284" s="371" t="n"/>
    </row>
    <row r="285" ht="15" customHeight="1" s="15">
      <c r="A285" s="371">
        <f>IF($B285="","",ROW()-5)</f>
        <v/>
      </c>
      <c r="B285" s="371" t="n"/>
      <c r="C285" s="372" t="n"/>
      <c r="D285" s="371">
        <f>IF($B285="","",TEXT(C285,"MMM"))</f>
        <v/>
      </c>
      <c r="E285" s="371">
        <f>IF($B285="","","W"&amp;TEXT(WEEKNUM(C285,2),"00"))</f>
        <v/>
      </c>
      <c r="F285" s="371">
        <f>IF($B285="","","Q"&amp;(INT(MOD(MONTH(C285)-FY_Start+12,12)/3)+1))</f>
        <v/>
      </c>
      <c r="G285" s="371">
        <f>IF($B285="","","FY "&amp;IF(MONTH(C285)&gt;=FY_Start,YEAR(C285),YEAR(C285)-1)&amp;"-"&amp;RIGHT(IF(MONTH(C285)&gt;=FY_Start,YEAR(C285)+1,YEAR(C285)),2))</f>
        <v/>
      </c>
      <c r="H285" s="371" t="n"/>
      <c r="I285" s="371" t="n"/>
      <c r="J285" s="371" t="n"/>
      <c r="K285" s="371" t="n"/>
      <c r="L285" s="371" t="n"/>
      <c r="M285" s="371" t="n"/>
      <c r="N285" s="371" t="n"/>
      <c r="O285" s="371" t="n"/>
      <c r="P285" s="371" t="n"/>
      <c r="Q285" s="371" t="n"/>
      <c r="R285" s="371" t="n"/>
      <c r="S285" s="371" t="n"/>
      <c r="T285" s="371" t="n"/>
      <c r="U285" s="371" t="n"/>
      <c r="V285" s="371" t="n"/>
      <c r="W285" s="371" t="n"/>
      <c r="X285" s="371" t="n"/>
      <c r="Y285" s="371" t="n"/>
      <c r="Z285" s="372" t="n"/>
      <c r="AA285" s="372" t="n"/>
      <c r="AB285" s="371" t="n"/>
      <c r="AC285" s="371">
        <f>IF($B285="","",IF(AB285="Closed",IF(AA285="","",AA285-C285),TODAY()-C285))</f>
        <v/>
      </c>
      <c r="AD285" s="371" t="n"/>
    </row>
    <row r="286" ht="15" customHeight="1" s="15">
      <c r="A286" s="371">
        <f>IF($B286="","",ROW()-5)</f>
        <v/>
      </c>
      <c r="B286" s="371" t="n"/>
      <c r="C286" s="372" t="n"/>
      <c r="D286" s="371">
        <f>IF($B286="","",TEXT(C286,"MMM"))</f>
        <v/>
      </c>
      <c r="E286" s="371">
        <f>IF($B286="","","W"&amp;TEXT(WEEKNUM(C286,2),"00"))</f>
        <v/>
      </c>
      <c r="F286" s="371">
        <f>IF($B286="","","Q"&amp;(INT(MOD(MONTH(C286)-FY_Start+12,12)/3)+1))</f>
        <v/>
      </c>
      <c r="G286" s="371">
        <f>IF($B286="","","FY "&amp;IF(MONTH(C286)&gt;=FY_Start,YEAR(C286),YEAR(C286)-1)&amp;"-"&amp;RIGHT(IF(MONTH(C286)&gt;=FY_Start,YEAR(C286)+1,YEAR(C286)),2))</f>
        <v/>
      </c>
      <c r="H286" s="371" t="n"/>
      <c r="I286" s="371" t="n"/>
      <c r="J286" s="371" t="n"/>
      <c r="K286" s="371" t="n"/>
      <c r="L286" s="371" t="n"/>
      <c r="M286" s="371" t="n"/>
      <c r="N286" s="371" t="n"/>
      <c r="O286" s="371" t="n"/>
      <c r="P286" s="371" t="n"/>
      <c r="Q286" s="371" t="n"/>
      <c r="R286" s="371" t="n"/>
      <c r="S286" s="371" t="n"/>
      <c r="T286" s="371" t="n"/>
      <c r="U286" s="371" t="n"/>
      <c r="V286" s="371" t="n"/>
      <c r="W286" s="371" t="n"/>
      <c r="X286" s="371" t="n"/>
      <c r="Y286" s="371" t="n"/>
      <c r="Z286" s="372" t="n"/>
      <c r="AA286" s="372" t="n"/>
      <c r="AB286" s="371" t="n"/>
      <c r="AC286" s="371">
        <f>IF($B286="","",IF(AB286="Closed",IF(AA286="","",AA286-C286),TODAY()-C286))</f>
        <v/>
      </c>
      <c r="AD286" s="371" t="n"/>
    </row>
    <row r="287" ht="15" customHeight="1" s="15">
      <c r="A287" s="371">
        <f>IF($B287="","",ROW()-5)</f>
        <v/>
      </c>
      <c r="B287" s="371" t="n"/>
      <c r="C287" s="372" t="n"/>
      <c r="D287" s="371">
        <f>IF($B287="","",TEXT(C287,"MMM"))</f>
        <v/>
      </c>
      <c r="E287" s="371">
        <f>IF($B287="","","W"&amp;TEXT(WEEKNUM(C287,2),"00"))</f>
        <v/>
      </c>
      <c r="F287" s="371">
        <f>IF($B287="","","Q"&amp;(INT(MOD(MONTH(C287)-FY_Start+12,12)/3)+1))</f>
        <v/>
      </c>
      <c r="G287" s="371">
        <f>IF($B287="","","FY "&amp;IF(MONTH(C287)&gt;=FY_Start,YEAR(C287),YEAR(C287)-1)&amp;"-"&amp;RIGHT(IF(MONTH(C287)&gt;=FY_Start,YEAR(C287)+1,YEAR(C287)),2))</f>
        <v/>
      </c>
      <c r="H287" s="371" t="n"/>
      <c r="I287" s="371" t="n"/>
      <c r="J287" s="371" t="n"/>
      <c r="K287" s="371" t="n"/>
      <c r="L287" s="371" t="n"/>
      <c r="M287" s="371" t="n"/>
      <c r="N287" s="371" t="n"/>
      <c r="O287" s="371" t="n"/>
      <c r="P287" s="371" t="n"/>
      <c r="Q287" s="371" t="n"/>
      <c r="R287" s="371" t="n"/>
      <c r="S287" s="371" t="n"/>
      <c r="T287" s="371" t="n"/>
      <c r="U287" s="371" t="n"/>
      <c r="V287" s="371" t="n"/>
      <c r="W287" s="371" t="n"/>
      <c r="X287" s="371" t="n"/>
      <c r="Y287" s="371" t="n"/>
      <c r="Z287" s="372" t="n"/>
      <c r="AA287" s="372" t="n"/>
      <c r="AB287" s="371" t="n"/>
      <c r="AC287" s="371">
        <f>IF($B287="","",IF(AB287="Closed",IF(AA287="","",AA287-C287),TODAY()-C287))</f>
        <v/>
      </c>
      <c r="AD287" s="371" t="n"/>
    </row>
    <row r="288" ht="15" customHeight="1" s="15">
      <c r="A288" s="371">
        <f>IF($B288="","",ROW()-5)</f>
        <v/>
      </c>
      <c r="B288" s="371" t="n"/>
      <c r="C288" s="372" t="n"/>
      <c r="D288" s="371">
        <f>IF($B288="","",TEXT(C288,"MMM"))</f>
        <v/>
      </c>
      <c r="E288" s="371">
        <f>IF($B288="","","W"&amp;TEXT(WEEKNUM(C288,2),"00"))</f>
        <v/>
      </c>
      <c r="F288" s="371">
        <f>IF($B288="","","Q"&amp;(INT(MOD(MONTH(C288)-FY_Start+12,12)/3)+1))</f>
        <v/>
      </c>
      <c r="G288" s="371">
        <f>IF($B288="","","FY "&amp;IF(MONTH(C288)&gt;=FY_Start,YEAR(C288),YEAR(C288)-1)&amp;"-"&amp;RIGHT(IF(MONTH(C288)&gt;=FY_Start,YEAR(C288)+1,YEAR(C288)),2))</f>
        <v/>
      </c>
      <c r="H288" s="371" t="n"/>
      <c r="I288" s="371" t="n"/>
      <c r="J288" s="371" t="n"/>
      <c r="K288" s="371" t="n"/>
      <c r="L288" s="371" t="n"/>
      <c r="M288" s="371" t="n"/>
      <c r="N288" s="371" t="n"/>
      <c r="O288" s="371" t="n"/>
      <c r="P288" s="371" t="n"/>
      <c r="Q288" s="371" t="n"/>
      <c r="R288" s="371" t="n"/>
      <c r="S288" s="371" t="n"/>
      <c r="T288" s="371" t="n"/>
      <c r="U288" s="371" t="n"/>
      <c r="V288" s="371" t="n"/>
      <c r="W288" s="371" t="n"/>
      <c r="X288" s="371" t="n"/>
      <c r="Y288" s="371" t="n"/>
      <c r="Z288" s="372" t="n"/>
      <c r="AA288" s="372" t="n"/>
      <c r="AB288" s="371" t="n"/>
      <c r="AC288" s="371">
        <f>IF($B288="","",IF(AB288="Closed",IF(AA288="","",AA288-C288),TODAY()-C288))</f>
        <v/>
      </c>
      <c r="AD288" s="371" t="n"/>
    </row>
    <row r="289" ht="15" customHeight="1" s="15">
      <c r="A289" s="371">
        <f>IF($B289="","",ROW()-5)</f>
        <v/>
      </c>
      <c r="B289" s="371" t="n"/>
      <c r="C289" s="372" t="n"/>
      <c r="D289" s="371">
        <f>IF($B289="","",TEXT(C289,"MMM"))</f>
        <v/>
      </c>
      <c r="E289" s="371">
        <f>IF($B289="","","W"&amp;TEXT(WEEKNUM(C289,2),"00"))</f>
        <v/>
      </c>
      <c r="F289" s="371">
        <f>IF($B289="","","Q"&amp;(INT(MOD(MONTH(C289)-FY_Start+12,12)/3)+1))</f>
        <v/>
      </c>
      <c r="G289" s="371">
        <f>IF($B289="","","FY "&amp;IF(MONTH(C289)&gt;=FY_Start,YEAR(C289),YEAR(C289)-1)&amp;"-"&amp;RIGHT(IF(MONTH(C289)&gt;=FY_Start,YEAR(C289)+1,YEAR(C289)),2))</f>
        <v/>
      </c>
      <c r="H289" s="371" t="n"/>
      <c r="I289" s="371" t="n"/>
      <c r="J289" s="371" t="n"/>
      <c r="K289" s="371" t="n"/>
      <c r="L289" s="371" t="n"/>
      <c r="M289" s="371" t="n"/>
      <c r="N289" s="371" t="n"/>
      <c r="O289" s="371" t="n"/>
      <c r="P289" s="371" t="n"/>
      <c r="Q289" s="371" t="n"/>
      <c r="R289" s="371" t="n"/>
      <c r="S289" s="371" t="n"/>
      <c r="T289" s="371" t="n"/>
      <c r="U289" s="371" t="n"/>
      <c r="V289" s="371" t="n"/>
      <c r="W289" s="371" t="n"/>
      <c r="X289" s="371" t="n"/>
      <c r="Y289" s="371" t="n"/>
      <c r="Z289" s="372" t="n"/>
      <c r="AA289" s="372" t="n"/>
      <c r="AB289" s="371" t="n"/>
      <c r="AC289" s="371">
        <f>IF($B289="","",IF(AB289="Closed",IF(AA289="","",AA289-C289),TODAY()-C289))</f>
        <v/>
      </c>
      <c r="AD289" s="371" t="n"/>
    </row>
    <row r="290" ht="15" customHeight="1" s="15">
      <c r="A290" s="371">
        <f>IF($B290="","",ROW()-5)</f>
        <v/>
      </c>
      <c r="B290" s="371" t="n"/>
      <c r="C290" s="372" t="n"/>
      <c r="D290" s="371">
        <f>IF($B290="","",TEXT(C290,"MMM"))</f>
        <v/>
      </c>
      <c r="E290" s="371">
        <f>IF($B290="","","W"&amp;TEXT(WEEKNUM(C290,2),"00"))</f>
        <v/>
      </c>
      <c r="F290" s="371">
        <f>IF($B290="","","Q"&amp;(INT(MOD(MONTH(C290)-FY_Start+12,12)/3)+1))</f>
        <v/>
      </c>
      <c r="G290" s="371">
        <f>IF($B290="","","FY "&amp;IF(MONTH(C290)&gt;=FY_Start,YEAR(C290),YEAR(C290)-1)&amp;"-"&amp;RIGHT(IF(MONTH(C290)&gt;=FY_Start,YEAR(C290)+1,YEAR(C290)),2))</f>
        <v/>
      </c>
      <c r="H290" s="371" t="n"/>
      <c r="I290" s="371" t="n"/>
      <c r="J290" s="371" t="n"/>
      <c r="K290" s="371" t="n"/>
      <c r="L290" s="371" t="n"/>
      <c r="M290" s="371" t="n"/>
      <c r="N290" s="371" t="n"/>
      <c r="O290" s="371" t="n"/>
      <c r="P290" s="371" t="n"/>
      <c r="Q290" s="371" t="n"/>
      <c r="R290" s="371" t="n"/>
      <c r="S290" s="371" t="n"/>
      <c r="T290" s="371" t="n"/>
      <c r="U290" s="371" t="n"/>
      <c r="V290" s="371" t="n"/>
      <c r="W290" s="371" t="n"/>
      <c r="X290" s="371" t="n"/>
      <c r="Y290" s="371" t="n"/>
      <c r="Z290" s="372" t="n"/>
      <c r="AA290" s="372" t="n"/>
      <c r="AB290" s="371" t="n"/>
      <c r="AC290" s="371">
        <f>IF($B290="","",IF(AB290="Closed",IF(AA290="","",AA290-C290),TODAY()-C290))</f>
        <v/>
      </c>
      <c r="AD290" s="371" t="n"/>
    </row>
    <row r="291" ht="15" customHeight="1" s="15">
      <c r="A291" s="371">
        <f>IF($B291="","",ROW()-5)</f>
        <v/>
      </c>
      <c r="B291" s="371" t="n"/>
      <c r="C291" s="372" t="n"/>
      <c r="D291" s="371">
        <f>IF($B291="","",TEXT(C291,"MMM"))</f>
        <v/>
      </c>
      <c r="E291" s="371">
        <f>IF($B291="","","W"&amp;TEXT(WEEKNUM(C291,2),"00"))</f>
        <v/>
      </c>
      <c r="F291" s="371">
        <f>IF($B291="","","Q"&amp;(INT(MOD(MONTH(C291)-FY_Start+12,12)/3)+1))</f>
        <v/>
      </c>
      <c r="G291" s="371">
        <f>IF($B291="","","FY "&amp;IF(MONTH(C291)&gt;=FY_Start,YEAR(C291),YEAR(C291)-1)&amp;"-"&amp;RIGHT(IF(MONTH(C291)&gt;=FY_Start,YEAR(C291)+1,YEAR(C291)),2))</f>
        <v/>
      </c>
      <c r="H291" s="371" t="n"/>
      <c r="I291" s="371" t="n"/>
      <c r="J291" s="371" t="n"/>
      <c r="K291" s="371" t="n"/>
      <c r="L291" s="371" t="n"/>
      <c r="M291" s="371" t="n"/>
      <c r="N291" s="371" t="n"/>
      <c r="O291" s="371" t="n"/>
      <c r="P291" s="371" t="n"/>
      <c r="Q291" s="371" t="n"/>
      <c r="R291" s="371" t="n"/>
      <c r="S291" s="371" t="n"/>
      <c r="T291" s="371" t="n"/>
      <c r="U291" s="371" t="n"/>
      <c r="V291" s="371" t="n"/>
      <c r="W291" s="371" t="n"/>
      <c r="X291" s="371" t="n"/>
      <c r="Y291" s="371" t="n"/>
      <c r="Z291" s="372" t="n"/>
      <c r="AA291" s="372" t="n"/>
      <c r="AB291" s="371" t="n"/>
      <c r="AC291" s="371">
        <f>IF($B291="","",IF(AB291="Closed",IF(AA291="","",AA291-C291),TODAY()-C291))</f>
        <v/>
      </c>
      <c r="AD291" s="371" t="n"/>
    </row>
    <row r="292" ht="15" customHeight="1" s="15">
      <c r="A292" s="371">
        <f>IF($B292="","",ROW()-5)</f>
        <v/>
      </c>
      <c r="B292" s="371" t="n"/>
      <c r="C292" s="372" t="n"/>
      <c r="D292" s="371">
        <f>IF($B292="","",TEXT(C292,"MMM"))</f>
        <v/>
      </c>
      <c r="E292" s="371">
        <f>IF($B292="","","W"&amp;TEXT(WEEKNUM(C292,2),"00"))</f>
        <v/>
      </c>
      <c r="F292" s="371">
        <f>IF($B292="","","Q"&amp;(INT(MOD(MONTH(C292)-FY_Start+12,12)/3)+1))</f>
        <v/>
      </c>
      <c r="G292" s="371">
        <f>IF($B292="","","FY "&amp;IF(MONTH(C292)&gt;=FY_Start,YEAR(C292),YEAR(C292)-1)&amp;"-"&amp;RIGHT(IF(MONTH(C292)&gt;=FY_Start,YEAR(C292)+1,YEAR(C292)),2))</f>
        <v/>
      </c>
      <c r="H292" s="371" t="n"/>
      <c r="I292" s="371" t="n"/>
      <c r="J292" s="371" t="n"/>
      <c r="K292" s="371" t="n"/>
      <c r="L292" s="371" t="n"/>
      <c r="M292" s="371" t="n"/>
      <c r="N292" s="371" t="n"/>
      <c r="O292" s="371" t="n"/>
      <c r="P292" s="371" t="n"/>
      <c r="Q292" s="371" t="n"/>
      <c r="R292" s="371" t="n"/>
      <c r="S292" s="371" t="n"/>
      <c r="T292" s="371" t="n"/>
      <c r="U292" s="371" t="n"/>
      <c r="V292" s="371" t="n"/>
      <c r="W292" s="371" t="n"/>
      <c r="X292" s="371" t="n"/>
      <c r="Y292" s="371" t="n"/>
      <c r="Z292" s="372" t="n"/>
      <c r="AA292" s="372" t="n"/>
      <c r="AB292" s="371" t="n"/>
      <c r="AC292" s="371">
        <f>IF($B292="","",IF(AB292="Closed",IF(AA292="","",AA292-C292),TODAY()-C292))</f>
        <v/>
      </c>
      <c r="AD292" s="371" t="n"/>
    </row>
    <row r="293" ht="15" customHeight="1" s="15">
      <c r="A293" s="371">
        <f>IF($B293="","",ROW()-5)</f>
        <v/>
      </c>
      <c r="B293" s="371" t="n"/>
      <c r="C293" s="372" t="n"/>
      <c r="D293" s="371">
        <f>IF($B293="","",TEXT(C293,"MMM"))</f>
        <v/>
      </c>
      <c r="E293" s="371">
        <f>IF($B293="","","W"&amp;TEXT(WEEKNUM(C293,2),"00"))</f>
        <v/>
      </c>
      <c r="F293" s="371">
        <f>IF($B293="","","Q"&amp;(INT(MOD(MONTH(C293)-FY_Start+12,12)/3)+1))</f>
        <v/>
      </c>
      <c r="G293" s="371">
        <f>IF($B293="","","FY "&amp;IF(MONTH(C293)&gt;=FY_Start,YEAR(C293),YEAR(C293)-1)&amp;"-"&amp;RIGHT(IF(MONTH(C293)&gt;=FY_Start,YEAR(C293)+1,YEAR(C293)),2))</f>
        <v/>
      </c>
      <c r="H293" s="371" t="n"/>
      <c r="I293" s="371" t="n"/>
      <c r="J293" s="371" t="n"/>
      <c r="K293" s="371" t="n"/>
      <c r="L293" s="371" t="n"/>
      <c r="M293" s="371" t="n"/>
      <c r="N293" s="371" t="n"/>
      <c r="O293" s="371" t="n"/>
      <c r="P293" s="371" t="n"/>
      <c r="Q293" s="371" t="n"/>
      <c r="R293" s="371" t="n"/>
      <c r="S293" s="371" t="n"/>
      <c r="T293" s="371" t="n"/>
      <c r="U293" s="371" t="n"/>
      <c r="V293" s="371" t="n"/>
      <c r="W293" s="371" t="n"/>
      <c r="X293" s="371" t="n"/>
      <c r="Y293" s="371" t="n"/>
      <c r="Z293" s="372" t="n"/>
      <c r="AA293" s="372" t="n"/>
      <c r="AB293" s="371" t="n"/>
      <c r="AC293" s="371">
        <f>IF($B293="","",IF(AB293="Closed",IF(AA293="","",AA293-C293),TODAY()-C293))</f>
        <v/>
      </c>
      <c r="AD293" s="371" t="n"/>
    </row>
    <row r="294" ht="15" customHeight="1" s="15">
      <c r="A294" s="371">
        <f>IF($B294="","",ROW()-5)</f>
        <v/>
      </c>
      <c r="B294" s="371" t="n"/>
      <c r="C294" s="372" t="n"/>
      <c r="D294" s="371">
        <f>IF($B294="","",TEXT(C294,"MMM"))</f>
        <v/>
      </c>
      <c r="E294" s="371">
        <f>IF($B294="","","W"&amp;TEXT(WEEKNUM(C294,2),"00"))</f>
        <v/>
      </c>
      <c r="F294" s="371">
        <f>IF($B294="","","Q"&amp;(INT(MOD(MONTH(C294)-FY_Start+12,12)/3)+1))</f>
        <v/>
      </c>
      <c r="G294" s="371">
        <f>IF($B294="","","FY "&amp;IF(MONTH(C294)&gt;=FY_Start,YEAR(C294),YEAR(C294)-1)&amp;"-"&amp;RIGHT(IF(MONTH(C294)&gt;=FY_Start,YEAR(C294)+1,YEAR(C294)),2))</f>
        <v/>
      </c>
      <c r="H294" s="371" t="n"/>
      <c r="I294" s="371" t="n"/>
      <c r="J294" s="371" t="n"/>
      <c r="K294" s="371" t="n"/>
      <c r="L294" s="371" t="n"/>
      <c r="M294" s="371" t="n"/>
      <c r="N294" s="371" t="n"/>
      <c r="O294" s="371" t="n"/>
      <c r="P294" s="371" t="n"/>
      <c r="Q294" s="371" t="n"/>
      <c r="R294" s="371" t="n"/>
      <c r="S294" s="371" t="n"/>
      <c r="T294" s="371" t="n"/>
      <c r="U294" s="371" t="n"/>
      <c r="V294" s="371" t="n"/>
      <c r="W294" s="371" t="n"/>
      <c r="X294" s="371" t="n"/>
      <c r="Y294" s="371" t="n"/>
      <c r="Z294" s="372" t="n"/>
      <c r="AA294" s="372" t="n"/>
      <c r="AB294" s="371" t="n"/>
      <c r="AC294" s="371">
        <f>IF($B294="","",IF(AB294="Closed",IF(AA294="","",AA294-C294),TODAY()-C294))</f>
        <v/>
      </c>
      <c r="AD294" s="371" t="n"/>
    </row>
    <row r="295" ht="15" customHeight="1" s="15">
      <c r="A295" s="371">
        <f>IF($B295="","",ROW()-5)</f>
        <v/>
      </c>
      <c r="B295" s="371" t="n"/>
      <c r="C295" s="372" t="n"/>
      <c r="D295" s="371">
        <f>IF($B295="","",TEXT(C295,"MMM"))</f>
        <v/>
      </c>
      <c r="E295" s="371">
        <f>IF($B295="","","W"&amp;TEXT(WEEKNUM(C295,2),"00"))</f>
        <v/>
      </c>
      <c r="F295" s="371">
        <f>IF($B295="","","Q"&amp;(INT(MOD(MONTH(C295)-FY_Start+12,12)/3)+1))</f>
        <v/>
      </c>
      <c r="G295" s="371">
        <f>IF($B295="","","FY "&amp;IF(MONTH(C295)&gt;=FY_Start,YEAR(C295),YEAR(C295)-1)&amp;"-"&amp;RIGHT(IF(MONTH(C295)&gt;=FY_Start,YEAR(C295)+1,YEAR(C295)),2))</f>
        <v/>
      </c>
      <c r="H295" s="371" t="n"/>
      <c r="I295" s="371" t="n"/>
      <c r="J295" s="371" t="n"/>
      <c r="K295" s="371" t="n"/>
      <c r="L295" s="371" t="n"/>
      <c r="M295" s="371" t="n"/>
      <c r="N295" s="371" t="n"/>
      <c r="O295" s="371" t="n"/>
      <c r="P295" s="371" t="n"/>
      <c r="Q295" s="371" t="n"/>
      <c r="R295" s="371" t="n"/>
      <c r="S295" s="371" t="n"/>
      <c r="T295" s="371" t="n"/>
      <c r="U295" s="371" t="n"/>
      <c r="V295" s="371" t="n"/>
      <c r="W295" s="371" t="n"/>
      <c r="X295" s="371" t="n"/>
      <c r="Y295" s="371" t="n"/>
      <c r="Z295" s="372" t="n"/>
      <c r="AA295" s="372" t="n"/>
      <c r="AB295" s="371" t="n"/>
      <c r="AC295" s="371">
        <f>IF($B295="","",IF(AB295="Closed",IF(AA295="","",AA295-C295),TODAY()-C295))</f>
        <v/>
      </c>
      <c r="AD295" s="371" t="n"/>
    </row>
    <row r="296" ht="15" customHeight="1" s="15">
      <c r="A296" s="371">
        <f>IF($B296="","",ROW()-5)</f>
        <v/>
      </c>
      <c r="B296" s="371" t="n"/>
      <c r="C296" s="372" t="n"/>
      <c r="D296" s="371">
        <f>IF($B296="","",TEXT(C296,"MMM"))</f>
        <v/>
      </c>
      <c r="E296" s="371">
        <f>IF($B296="","","W"&amp;TEXT(WEEKNUM(C296,2),"00"))</f>
        <v/>
      </c>
      <c r="F296" s="371">
        <f>IF($B296="","","Q"&amp;(INT(MOD(MONTH(C296)-FY_Start+12,12)/3)+1))</f>
        <v/>
      </c>
      <c r="G296" s="371">
        <f>IF($B296="","","FY "&amp;IF(MONTH(C296)&gt;=FY_Start,YEAR(C296),YEAR(C296)-1)&amp;"-"&amp;RIGHT(IF(MONTH(C296)&gt;=FY_Start,YEAR(C296)+1,YEAR(C296)),2))</f>
        <v/>
      </c>
      <c r="H296" s="371" t="n"/>
      <c r="I296" s="371" t="n"/>
      <c r="J296" s="371" t="n"/>
      <c r="K296" s="371" t="n"/>
      <c r="L296" s="371" t="n"/>
      <c r="M296" s="371" t="n"/>
      <c r="N296" s="371" t="n"/>
      <c r="O296" s="371" t="n"/>
      <c r="P296" s="371" t="n"/>
      <c r="Q296" s="371" t="n"/>
      <c r="R296" s="371" t="n"/>
      <c r="S296" s="371" t="n"/>
      <c r="T296" s="371" t="n"/>
      <c r="U296" s="371" t="n"/>
      <c r="V296" s="371" t="n"/>
      <c r="W296" s="371" t="n"/>
      <c r="X296" s="371" t="n"/>
      <c r="Y296" s="371" t="n"/>
      <c r="Z296" s="372" t="n"/>
      <c r="AA296" s="372" t="n"/>
      <c r="AB296" s="371" t="n"/>
      <c r="AC296" s="371">
        <f>IF($B296="","",IF(AB296="Closed",IF(AA296="","",AA296-C296),TODAY()-C296))</f>
        <v/>
      </c>
      <c r="AD296" s="371" t="n"/>
    </row>
    <row r="297" ht="15" customHeight="1" s="15">
      <c r="A297" s="371">
        <f>IF($B297="","",ROW()-5)</f>
        <v/>
      </c>
      <c r="B297" s="371" t="n"/>
      <c r="C297" s="372" t="n"/>
      <c r="D297" s="371">
        <f>IF($B297="","",TEXT(C297,"MMM"))</f>
        <v/>
      </c>
      <c r="E297" s="371">
        <f>IF($B297="","","W"&amp;TEXT(WEEKNUM(C297,2),"00"))</f>
        <v/>
      </c>
      <c r="F297" s="371">
        <f>IF($B297="","","Q"&amp;(INT(MOD(MONTH(C297)-FY_Start+12,12)/3)+1))</f>
        <v/>
      </c>
      <c r="G297" s="371">
        <f>IF($B297="","","FY "&amp;IF(MONTH(C297)&gt;=FY_Start,YEAR(C297),YEAR(C297)-1)&amp;"-"&amp;RIGHT(IF(MONTH(C297)&gt;=FY_Start,YEAR(C297)+1,YEAR(C297)),2))</f>
        <v/>
      </c>
      <c r="H297" s="371" t="n"/>
      <c r="I297" s="371" t="n"/>
      <c r="J297" s="371" t="n"/>
      <c r="K297" s="371" t="n"/>
      <c r="L297" s="371" t="n"/>
      <c r="M297" s="371" t="n"/>
      <c r="N297" s="371" t="n"/>
      <c r="O297" s="371" t="n"/>
      <c r="P297" s="371" t="n"/>
      <c r="Q297" s="371" t="n"/>
      <c r="R297" s="371" t="n"/>
      <c r="S297" s="371" t="n"/>
      <c r="T297" s="371" t="n"/>
      <c r="U297" s="371" t="n"/>
      <c r="V297" s="371" t="n"/>
      <c r="W297" s="371" t="n"/>
      <c r="X297" s="371" t="n"/>
      <c r="Y297" s="371" t="n"/>
      <c r="Z297" s="372" t="n"/>
      <c r="AA297" s="372" t="n"/>
      <c r="AB297" s="371" t="n"/>
      <c r="AC297" s="371">
        <f>IF($B297="","",IF(AB297="Closed",IF(AA297="","",AA297-C297),TODAY()-C297))</f>
        <v/>
      </c>
      <c r="AD297" s="371" t="n"/>
    </row>
    <row r="298" ht="15" customHeight="1" s="15">
      <c r="A298" s="371">
        <f>IF($B298="","",ROW()-5)</f>
        <v/>
      </c>
      <c r="B298" s="371" t="n"/>
      <c r="C298" s="372" t="n"/>
      <c r="D298" s="371">
        <f>IF($B298="","",TEXT(C298,"MMM"))</f>
        <v/>
      </c>
      <c r="E298" s="371">
        <f>IF($B298="","","W"&amp;TEXT(WEEKNUM(C298,2),"00"))</f>
        <v/>
      </c>
      <c r="F298" s="371">
        <f>IF($B298="","","Q"&amp;(INT(MOD(MONTH(C298)-FY_Start+12,12)/3)+1))</f>
        <v/>
      </c>
      <c r="G298" s="371">
        <f>IF($B298="","","FY "&amp;IF(MONTH(C298)&gt;=FY_Start,YEAR(C298),YEAR(C298)-1)&amp;"-"&amp;RIGHT(IF(MONTH(C298)&gt;=FY_Start,YEAR(C298)+1,YEAR(C298)),2))</f>
        <v/>
      </c>
      <c r="H298" s="371" t="n"/>
      <c r="I298" s="371" t="n"/>
      <c r="J298" s="371" t="n"/>
      <c r="K298" s="371" t="n"/>
      <c r="L298" s="371" t="n"/>
      <c r="M298" s="371" t="n"/>
      <c r="N298" s="371" t="n"/>
      <c r="O298" s="371" t="n"/>
      <c r="P298" s="371" t="n"/>
      <c r="Q298" s="371" t="n"/>
      <c r="R298" s="371" t="n"/>
      <c r="S298" s="371" t="n"/>
      <c r="T298" s="371" t="n"/>
      <c r="U298" s="371" t="n"/>
      <c r="V298" s="371" t="n"/>
      <c r="W298" s="371" t="n"/>
      <c r="X298" s="371" t="n"/>
      <c r="Y298" s="371" t="n"/>
      <c r="Z298" s="372" t="n"/>
      <c r="AA298" s="372" t="n"/>
      <c r="AB298" s="371" t="n"/>
      <c r="AC298" s="371">
        <f>IF($B298="","",IF(AB298="Closed",IF(AA298="","",AA298-C298),TODAY()-C298))</f>
        <v/>
      </c>
      <c r="AD298" s="371" t="n"/>
    </row>
    <row r="299" ht="15" customHeight="1" s="15">
      <c r="A299" s="371">
        <f>IF($B299="","",ROW()-5)</f>
        <v/>
      </c>
      <c r="B299" s="371" t="n"/>
      <c r="C299" s="372" t="n"/>
      <c r="D299" s="371">
        <f>IF($B299="","",TEXT(C299,"MMM"))</f>
        <v/>
      </c>
      <c r="E299" s="371">
        <f>IF($B299="","","W"&amp;TEXT(WEEKNUM(C299,2),"00"))</f>
        <v/>
      </c>
      <c r="F299" s="371">
        <f>IF($B299="","","Q"&amp;(INT(MOD(MONTH(C299)-FY_Start+12,12)/3)+1))</f>
        <v/>
      </c>
      <c r="G299" s="371">
        <f>IF($B299="","","FY "&amp;IF(MONTH(C299)&gt;=FY_Start,YEAR(C299),YEAR(C299)-1)&amp;"-"&amp;RIGHT(IF(MONTH(C299)&gt;=FY_Start,YEAR(C299)+1,YEAR(C299)),2))</f>
        <v/>
      </c>
      <c r="H299" s="371" t="n"/>
      <c r="I299" s="371" t="n"/>
      <c r="J299" s="371" t="n"/>
      <c r="K299" s="371" t="n"/>
      <c r="L299" s="371" t="n"/>
      <c r="M299" s="371" t="n"/>
      <c r="N299" s="371" t="n"/>
      <c r="O299" s="371" t="n"/>
      <c r="P299" s="371" t="n"/>
      <c r="Q299" s="371" t="n"/>
      <c r="R299" s="371" t="n"/>
      <c r="S299" s="371" t="n"/>
      <c r="T299" s="371" t="n"/>
      <c r="U299" s="371" t="n"/>
      <c r="V299" s="371" t="n"/>
      <c r="W299" s="371" t="n"/>
      <c r="X299" s="371" t="n"/>
      <c r="Y299" s="371" t="n"/>
      <c r="Z299" s="372" t="n"/>
      <c r="AA299" s="372" t="n"/>
      <c r="AB299" s="371" t="n"/>
      <c r="AC299" s="371">
        <f>IF($B299="","",IF(AB299="Closed",IF(AA299="","",AA299-C299),TODAY()-C299))</f>
        <v/>
      </c>
      <c r="AD299" s="371" t="n"/>
    </row>
    <row r="300" ht="15" customHeight="1" s="15">
      <c r="A300" s="371">
        <f>IF($B300="","",ROW()-5)</f>
        <v/>
      </c>
      <c r="B300" s="371" t="n"/>
      <c r="C300" s="372" t="n"/>
      <c r="D300" s="371">
        <f>IF($B300="","",TEXT(C300,"MMM"))</f>
        <v/>
      </c>
      <c r="E300" s="371">
        <f>IF($B300="","","W"&amp;TEXT(WEEKNUM(C300,2),"00"))</f>
        <v/>
      </c>
      <c r="F300" s="371">
        <f>IF($B300="","","Q"&amp;(INT(MOD(MONTH(C300)-FY_Start+12,12)/3)+1))</f>
        <v/>
      </c>
      <c r="G300" s="371">
        <f>IF($B300="","","FY "&amp;IF(MONTH(C300)&gt;=FY_Start,YEAR(C300),YEAR(C300)-1)&amp;"-"&amp;RIGHT(IF(MONTH(C300)&gt;=FY_Start,YEAR(C300)+1,YEAR(C300)),2))</f>
        <v/>
      </c>
      <c r="H300" s="371" t="n"/>
      <c r="I300" s="371" t="n"/>
      <c r="J300" s="371" t="n"/>
      <c r="K300" s="371" t="n"/>
      <c r="L300" s="371" t="n"/>
      <c r="M300" s="371" t="n"/>
      <c r="N300" s="371" t="n"/>
      <c r="O300" s="371" t="n"/>
      <c r="P300" s="371" t="n"/>
      <c r="Q300" s="371" t="n"/>
      <c r="R300" s="371" t="n"/>
      <c r="S300" s="371" t="n"/>
      <c r="T300" s="371" t="n"/>
      <c r="U300" s="371" t="n"/>
      <c r="V300" s="371" t="n"/>
      <c r="W300" s="371" t="n"/>
      <c r="X300" s="371" t="n"/>
      <c r="Y300" s="371" t="n"/>
      <c r="Z300" s="372" t="n"/>
      <c r="AA300" s="372" t="n"/>
      <c r="AB300" s="371" t="n"/>
      <c r="AC300" s="371">
        <f>IF($B300="","",IF(AB300="Closed",IF(AA300="","",AA300-C300),TODAY()-C300))</f>
        <v/>
      </c>
      <c r="AD300" s="371" t="n"/>
    </row>
    <row r="301" ht="15" customHeight="1" s="15">
      <c r="A301" s="371">
        <f>IF($B301="","",ROW()-5)</f>
        <v/>
      </c>
      <c r="B301" s="371" t="n"/>
      <c r="C301" s="372" t="n"/>
      <c r="D301" s="371">
        <f>IF($B301="","",TEXT(C301,"MMM"))</f>
        <v/>
      </c>
      <c r="E301" s="371">
        <f>IF($B301="","","W"&amp;TEXT(WEEKNUM(C301,2),"00"))</f>
        <v/>
      </c>
      <c r="F301" s="371">
        <f>IF($B301="","","Q"&amp;(INT(MOD(MONTH(C301)-FY_Start+12,12)/3)+1))</f>
        <v/>
      </c>
      <c r="G301" s="371">
        <f>IF($B301="","","FY "&amp;IF(MONTH(C301)&gt;=FY_Start,YEAR(C301),YEAR(C301)-1)&amp;"-"&amp;RIGHT(IF(MONTH(C301)&gt;=FY_Start,YEAR(C301)+1,YEAR(C301)),2))</f>
        <v/>
      </c>
      <c r="H301" s="371" t="n"/>
      <c r="I301" s="371" t="n"/>
      <c r="J301" s="371" t="n"/>
      <c r="K301" s="371" t="n"/>
      <c r="L301" s="371" t="n"/>
      <c r="M301" s="371" t="n"/>
      <c r="N301" s="371" t="n"/>
      <c r="O301" s="371" t="n"/>
      <c r="P301" s="371" t="n"/>
      <c r="Q301" s="371" t="n"/>
      <c r="R301" s="371" t="n"/>
      <c r="S301" s="371" t="n"/>
      <c r="T301" s="371" t="n"/>
      <c r="U301" s="371" t="n"/>
      <c r="V301" s="371" t="n"/>
      <c r="W301" s="371" t="n"/>
      <c r="X301" s="371" t="n"/>
      <c r="Y301" s="371" t="n"/>
      <c r="Z301" s="372" t="n"/>
      <c r="AA301" s="372" t="n"/>
      <c r="AB301" s="371" t="n"/>
      <c r="AC301" s="371">
        <f>IF($B301="","",IF(AB301="Closed",IF(AA301="","",AA301-C301),TODAY()-C301))</f>
        <v/>
      </c>
      <c r="AD301" s="371" t="n"/>
    </row>
    <row r="302" ht="15" customHeight="1" s="15">
      <c r="A302" s="371">
        <f>IF($B302="","",ROW()-5)</f>
        <v/>
      </c>
      <c r="B302" s="371" t="n"/>
      <c r="C302" s="372" t="n"/>
      <c r="D302" s="371">
        <f>IF($B302="","",TEXT(C302,"MMM"))</f>
        <v/>
      </c>
      <c r="E302" s="371">
        <f>IF($B302="","","W"&amp;TEXT(WEEKNUM(C302,2),"00"))</f>
        <v/>
      </c>
      <c r="F302" s="371">
        <f>IF($B302="","","Q"&amp;(INT(MOD(MONTH(C302)-FY_Start+12,12)/3)+1))</f>
        <v/>
      </c>
      <c r="G302" s="371">
        <f>IF($B302="","","FY "&amp;IF(MONTH(C302)&gt;=FY_Start,YEAR(C302),YEAR(C302)-1)&amp;"-"&amp;RIGHT(IF(MONTH(C302)&gt;=FY_Start,YEAR(C302)+1,YEAR(C302)),2))</f>
        <v/>
      </c>
      <c r="H302" s="371" t="n"/>
      <c r="I302" s="371" t="n"/>
      <c r="J302" s="371" t="n"/>
      <c r="K302" s="371" t="n"/>
      <c r="L302" s="371" t="n"/>
      <c r="M302" s="371" t="n"/>
      <c r="N302" s="371" t="n"/>
      <c r="O302" s="371" t="n"/>
      <c r="P302" s="371" t="n"/>
      <c r="Q302" s="371" t="n"/>
      <c r="R302" s="371" t="n"/>
      <c r="S302" s="371" t="n"/>
      <c r="T302" s="371" t="n"/>
      <c r="U302" s="371" t="n"/>
      <c r="V302" s="371" t="n"/>
      <c r="W302" s="371" t="n"/>
      <c r="X302" s="371" t="n"/>
      <c r="Y302" s="371" t="n"/>
      <c r="Z302" s="372" t="n"/>
      <c r="AA302" s="372" t="n"/>
      <c r="AB302" s="371" t="n"/>
      <c r="AC302" s="371">
        <f>IF($B302="","",IF(AB302="Closed",IF(AA302="","",AA302-C302),TODAY()-C302))</f>
        <v/>
      </c>
      <c r="AD302" s="371" t="n"/>
    </row>
    <row r="303" ht="15" customHeight="1" s="15">
      <c r="A303" s="371">
        <f>IF($B303="","",ROW()-5)</f>
        <v/>
      </c>
      <c r="B303" s="371" t="n"/>
      <c r="C303" s="372" t="n"/>
      <c r="D303" s="371">
        <f>IF($B303="","",TEXT(C303,"MMM"))</f>
        <v/>
      </c>
      <c r="E303" s="371">
        <f>IF($B303="","","W"&amp;TEXT(WEEKNUM(C303,2),"00"))</f>
        <v/>
      </c>
      <c r="F303" s="371">
        <f>IF($B303="","","Q"&amp;(INT(MOD(MONTH(C303)-FY_Start+12,12)/3)+1))</f>
        <v/>
      </c>
      <c r="G303" s="371">
        <f>IF($B303="","","FY "&amp;IF(MONTH(C303)&gt;=FY_Start,YEAR(C303),YEAR(C303)-1)&amp;"-"&amp;RIGHT(IF(MONTH(C303)&gt;=FY_Start,YEAR(C303)+1,YEAR(C303)),2))</f>
        <v/>
      </c>
      <c r="H303" s="371" t="n"/>
      <c r="I303" s="371" t="n"/>
      <c r="J303" s="371" t="n"/>
      <c r="K303" s="371" t="n"/>
      <c r="L303" s="371" t="n"/>
      <c r="M303" s="371" t="n"/>
      <c r="N303" s="371" t="n"/>
      <c r="O303" s="371" t="n"/>
      <c r="P303" s="371" t="n"/>
      <c r="Q303" s="371" t="n"/>
      <c r="R303" s="371" t="n"/>
      <c r="S303" s="371" t="n"/>
      <c r="T303" s="371" t="n"/>
      <c r="U303" s="371" t="n"/>
      <c r="V303" s="371" t="n"/>
      <c r="W303" s="371" t="n"/>
      <c r="X303" s="371" t="n"/>
      <c r="Y303" s="371" t="n"/>
      <c r="Z303" s="372" t="n"/>
      <c r="AA303" s="372" t="n"/>
      <c r="AB303" s="371" t="n"/>
      <c r="AC303" s="371">
        <f>IF($B303="","",IF(AB303="Closed",IF(AA303="","",AA303-C303),TODAY()-C303))</f>
        <v/>
      </c>
      <c r="AD303" s="371" t="n"/>
    </row>
    <row r="304" ht="15" customHeight="1" s="15">
      <c r="A304" s="371">
        <f>IF($B304="","",ROW()-5)</f>
        <v/>
      </c>
      <c r="B304" s="371" t="n"/>
      <c r="C304" s="372" t="n"/>
      <c r="D304" s="371">
        <f>IF($B304="","",TEXT(C304,"MMM"))</f>
        <v/>
      </c>
      <c r="E304" s="371">
        <f>IF($B304="","","W"&amp;TEXT(WEEKNUM(C304,2),"00"))</f>
        <v/>
      </c>
      <c r="F304" s="371">
        <f>IF($B304="","","Q"&amp;(INT(MOD(MONTH(C304)-FY_Start+12,12)/3)+1))</f>
        <v/>
      </c>
      <c r="G304" s="371">
        <f>IF($B304="","","FY "&amp;IF(MONTH(C304)&gt;=FY_Start,YEAR(C304),YEAR(C304)-1)&amp;"-"&amp;RIGHT(IF(MONTH(C304)&gt;=FY_Start,YEAR(C304)+1,YEAR(C304)),2))</f>
        <v/>
      </c>
      <c r="H304" s="371" t="n"/>
      <c r="I304" s="371" t="n"/>
      <c r="J304" s="371" t="n"/>
      <c r="K304" s="371" t="n"/>
      <c r="L304" s="371" t="n"/>
      <c r="M304" s="371" t="n"/>
      <c r="N304" s="371" t="n"/>
      <c r="O304" s="371" t="n"/>
      <c r="P304" s="371" t="n"/>
      <c r="Q304" s="371" t="n"/>
      <c r="R304" s="371" t="n"/>
      <c r="S304" s="371" t="n"/>
      <c r="T304" s="371" t="n"/>
      <c r="U304" s="371" t="n"/>
      <c r="V304" s="371" t="n"/>
      <c r="W304" s="371" t="n"/>
      <c r="X304" s="371" t="n"/>
      <c r="Y304" s="371" t="n"/>
      <c r="Z304" s="372" t="n"/>
      <c r="AA304" s="372" t="n"/>
      <c r="AB304" s="371" t="n"/>
      <c r="AC304" s="371">
        <f>IF($B304="","",IF(AB304="Closed",IF(AA304="","",AA304-C304),TODAY()-C304))</f>
        <v/>
      </c>
      <c r="AD304" s="371" t="n"/>
    </row>
    <row r="305" ht="15" customHeight="1" s="15">
      <c r="A305" s="371">
        <f>IF($B305="","",ROW()-5)</f>
        <v/>
      </c>
      <c r="B305" s="371" t="n"/>
      <c r="C305" s="372" t="n"/>
      <c r="D305" s="371">
        <f>IF($B305="","",TEXT(C305,"MMM"))</f>
        <v/>
      </c>
      <c r="E305" s="371">
        <f>IF($B305="","","W"&amp;TEXT(WEEKNUM(C305,2),"00"))</f>
        <v/>
      </c>
      <c r="F305" s="371">
        <f>IF($B305="","","Q"&amp;(INT(MOD(MONTH(C305)-FY_Start+12,12)/3)+1))</f>
        <v/>
      </c>
      <c r="G305" s="371">
        <f>IF($B305="","","FY "&amp;IF(MONTH(C305)&gt;=FY_Start,YEAR(C305),YEAR(C305)-1)&amp;"-"&amp;RIGHT(IF(MONTH(C305)&gt;=FY_Start,YEAR(C305)+1,YEAR(C305)),2))</f>
        <v/>
      </c>
      <c r="H305" s="371" t="n"/>
      <c r="I305" s="371" t="n"/>
      <c r="J305" s="371" t="n"/>
      <c r="K305" s="371" t="n"/>
      <c r="L305" s="371" t="n"/>
      <c r="M305" s="371" t="n"/>
      <c r="N305" s="371" t="n"/>
      <c r="O305" s="371" t="n"/>
      <c r="P305" s="371" t="n"/>
      <c r="Q305" s="371" t="n"/>
      <c r="R305" s="371" t="n"/>
      <c r="S305" s="371" t="n"/>
      <c r="T305" s="371" t="n"/>
      <c r="U305" s="371" t="n"/>
      <c r="V305" s="371" t="n"/>
      <c r="W305" s="371" t="n"/>
      <c r="X305" s="371" t="n"/>
      <c r="Y305" s="371" t="n"/>
      <c r="Z305" s="372" t="n"/>
      <c r="AA305" s="372" t="n"/>
      <c r="AB305" s="371" t="n"/>
      <c r="AC305" s="371">
        <f>IF($B305="","",IF(AB305="Closed",IF(AA305="","",AA305-C305),TODAY()-C305))</f>
        <v/>
      </c>
      <c r="AD305" s="371" t="n"/>
    </row>
    <row r="306" ht="15" customHeight="1" s="15">
      <c r="A306" s="371">
        <f>IF($B306="","",ROW()-5)</f>
        <v/>
      </c>
      <c r="B306" s="371" t="n"/>
      <c r="C306" s="372" t="n"/>
      <c r="D306" s="371">
        <f>IF($B306="","",TEXT(C306,"MMM"))</f>
        <v/>
      </c>
      <c r="E306" s="371">
        <f>IF($B306="","","W"&amp;TEXT(WEEKNUM(C306,2),"00"))</f>
        <v/>
      </c>
      <c r="F306" s="371">
        <f>IF($B306="","","Q"&amp;(INT(MOD(MONTH(C306)-FY_Start+12,12)/3)+1))</f>
        <v/>
      </c>
      <c r="G306" s="371">
        <f>IF($B306="","","FY "&amp;IF(MONTH(C306)&gt;=FY_Start,YEAR(C306),YEAR(C306)-1)&amp;"-"&amp;RIGHT(IF(MONTH(C306)&gt;=FY_Start,YEAR(C306)+1,YEAR(C306)),2))</f>
        <v/>
      </c>
      <c r="H306" s="371" t="n"/>
      <c r="I306" s="371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1" t="n"/>
      <c r="S306" s="371" t="n"/>
      <c r="T306" s="371" t="n"/>
      <c r="U306" s="371" t="n"/>
      <c r="V306" s="371" t="n"/>
      <c r="W306" s="371" t="n"/>
      <c r="X306" s="371" t="n"/>
      <c r="Y306" s="371" t="n"/>
      <c r="Z306" s="372" t="n"/>
      <c r="AA306" s="372" t="n"/>
      <c r="AB306" s="371" t="n"/>
      <c r="AC306" s="371">
        <f>IF($B306="","",IF(AB306="Closed",IF(AA306="","",AA306-C306),TODAY()-C306))</f>
        <v/>
      </c>
      <c r="AD306" s="371" t="n"/>
    </row>
    <row r="307" ht="15" customHeight="1" s="15">
      <c r="A307" s="371">
        <f>IF($B307="","",ROW()-5)</f>
        <v/>
      </c>
      <c r="B307" s="371" t="n"/>
      <c r="C307" s="372" t="n"/>
      <c r="D307" s="371">
        <f>IF($B307="","",TEXT(C307,"MMM"))</f>
        <v/>
      </c>
      <c r="E307" s="371">
        <f>IF($B307="","","W"&amp;TEXT(WEEKNUM(C307,2),"00"))</f>
        <v/>
      </c>
      <c r="F307" s="371">
        <f>IF($B307="","","Q"&amp;(INT(MOD(MONTH(C307)-FY_Start+12,12)/3)+1))</f>
        <v/>
      </c>
      <c r="G307" s="371">
        <f>IF($B307="","","FY "&amp;IF(MONTH(C307)&gt;=FY_Start,YEAR(C307),YEAR(C307)-1)&amp;"-"&amp;RIGHT(IF(MONTH(C307)&gt;=FY_Start,YEAR(C307)+1,YEAR(C307)),2))</f>
        <v/>
      </c>
      <c r="H307" s="371" t="n"/>
      <c r="I307" s="371" t="n"/>
      <c r="J307" s="371" t="n"/>
      <c r="K307" s="371" t="n"/>
      <c r="L307" s="371" t="n"/>
      <c r="M307" s="371" t="n"/>
      <c r="N307" s="371" t="n"/>
      <c r="O307" s="371" t="n"/>
      <c r="P307" s="371" t="n"/>
      <c r="Q307" s="371" t="n"/>
      <c r="R307" s="371" t="n"/>
      <c r="S307" s="371" t="n"/>
      <c r="T307" s="371" t="n"/>
      <c r="U307" s="371" t="n"/>
      <c r="V307" s="371" t="n"/>
      <c r="W307" s="371" t="n"/>
      <c r="X307" s="371" t="n"/>
      <c r="Y307" s="371" t="n"/>
      <c r="Z307" s="372" t="n"/>
      <c r="AA307" s="372" t="n"/>
      <c r="AB307" s="371" t="n"/>
      <c r="AC307" s="371">
        <f>IF($B307="","",IF(AB307="Closed",IF(AA307="","",AA307-C307),TODAY()-C307))</f>
        <v/>
      </c>
      <c r="AD307" s="371" t="n"/>
    </row>
    <row r="308" ht="15" customHeight="1" s="15">
      <c r="A308" s="371">
        <f>IF($B308="","",ROW()-5)</f>
        <v/>
      </c>
      <c r="B308" s="371" t="n"/>
      <c r="C308" s="372" t="n"/>
      <c r="D308" s="371">
        <f>IF($B308="","",TEXT(C308,"MMM"))</f>
        <v/>
      </c>
      <c r="E308" s="371">
        <f>IF($B308="","","W"&amp;TEXT(WEEKNUM(C308,2),"00"))</f>
        <v/>
      </c>
      <c r="F308" s="371">
        <f>IF($B308="","","Q"&amp;(INT(MOD(MONTH(C308)-FY_Start+12,12)/3)+1))</f>
        <v/>
      </c>
      <c r="G308" s="371">
        <f>IF($B308="","","FY "&amp;IF(MONTH(C308)&gt;=FY_Start,YEAR(C308),YEAR(C308)-1)&amp;"-"&amp;RIGHT(IF(MONTH(C308)&gt;=FY_Start,YEAR(C308)+1,YEAR(C308)),2))</f>
        <v/>
      </c>
      <c r="H308" s="371" t="n"/>
      <c r="I308" s="371" t="n"/>
      <c r="J308" s="371" t="n"/>
      <c r="K308" s="371" t="n"/>
      <c r="L308" s="371" t="n"/>
      <c r="M308" s="371" t="n"/>
      <c r="N308" s="371" t="n"/>
      <c r="O308" s="371" t="n"/>
      <c r="P308" s="371" t="n"/>
      <c r="Q308" s="371" t="n"/>
      <c r="R308" s="371" t="n"/>
      <c r="S308" s="371" t="n"/>
      <c r="T308" s="371" t="n"/>
      <c r="U308" s="371" t="n"/>
      <c r="V308" s="371" t="n"/>
      <c r="W308" s="371" t="n"/>
      <c r="X308" s="371" t="n"/>
      <c r="Y308" s="371" t="n"/>
      <c r="Z308" s="372" t="n"/>
      <c r="AA308" s="372" t="n"/>
      <c r="AB308" s="371" t="n"/>
      <c r="AC308" s="371">
        <f>IF($B308="","",IF(AB308="Closed",IF(AA308="","",AA308-C308),TODAY()-C308))</f>
        <v/>
      </c>
      <c r="AD308" s="371" t="n"/>
    </row>
    <row r="309" ht="15" customHeight="1" s="15">
      <c r="A309" s="371">
        <f>IF($B309="","",ROW()-5)</f>
        <v/>
      </c>
      <c r="B309" s="371" t="n"/>
      <c r="C309" s="372" t="n"/>
      <c r="D309" s="371">
        <f>IF($B309="","",TEXT(C309,"MMM"))</f>
        <v/>
      </c>
      <c r="E309" s="371">
        <f>IF($B309="","","W"&amp;TEXT(WEEKNUM(C309,2),"00"))</f>
        <v/>
      </c>
      <c r="F309" s="371">
        <f>IF($B309="","","Q"&amp;(INT(MOD(MONTH(C309)-FY_Start+12,12)/3)+1))</f>
        <v/>
      </c>
      <c r="G309" s="371">
        <f>IF($B309="","","FY "&amp;IF(MONTH(C309)&gt;=FY_Start,YEAR(C309),YEAR(C309)-1)&amp;"-"&amp;RIGHT(IF(MONTH(C309)&gt;=FY_Start,YEAR(C309)+1,YEAR(C309)),2))</f>
        <v/>
      </c>
      <c r="H309" s="371" t="n"/>
      <c r="I309" s="371" t="n"/>
      <c r="J309" s="371" t="n"/>
      <c r="K309" s="371" t="n"/>
      <c r="L309" s="371" t="n"/>
      <c r="M309" s="371" t="n"/>
      <c r="N309" s="371" t="n"/>
      <c r="O309" s="371" t="n"/>
      <c r="P309" s="371" t="n"/>
      <c r="Q309" s="371" t="n"/>
      <c r="R309" s="371" t="n"/>
      <c r="S309" s="371" t="n"/>
      <c r="T309" s="371" t="n"/>
      <c r="U309" s="371" t="n"/>
      <c r="V309" s="371" t="n"/>
      <c r="W309" s="371" t="n"/>
      <c r="X309" s="371" t="n"/>
      <c r="Y309" s="371" t="n"/>
      <c r="Z309" s="372" t="n"/>
      <c r="AA309" s="372" t="n"/>
      <c r="AB309" s="371" t="n"/>
      <c r="AC309" s="371">
        <f>IF($B309="","",IF(AB309="Closed",IF(AA309="","",AA309-C309),TODAY()-C309))</f>
        <v/>
      </c>
      <c r="AD309" s="371" t="n"/>
    </row>
    <row r="310" ht="15" customHeight="1" s="15">
      <c r="A310" s="371">
        <f>IF($B310="","",ROW()-5)</f>
        <v/>
      </c>
      <c r="B310" s="371" t="n"/>
      <c r="C310" s="372" t="n"/>
      <c r="D310" s="371">
        <f>IF($B310="","",TEXT(C310,"MMM"))</f>
        <v/>
      </c>
      <c r="E310" s="371">
        <f>IF($B310="","","W"&amp;TEXT(WEEKNUM(C310,2),"00"))</f>
        <v/>
      </c>
      <c r="F310" s="371">
        <f>IF($B310="","","Q"&amp;(INT(MOD(MONTH(C310)-FY_Start+12,12)/3)+1))</f>
        <v/>
      </c>
      <c r="G310" s="371">
        <f>IF($B310="","","FY "&amp;IF(MONTH(C310)&gt;=FY_Start,YEAR(C310),YEAR(C310)-1)&amp;"-"&amp;RIGHT(IF(MONTH(C310)&gt;=FY_Start,YEAR(C310)+1,YEAR(C310)),2))</f>
        <v/>
      </c>
      <c r="H310" s="371" t="n"/>
      <c r="I310" s="371" t="n"/>
      <c r="J310" s="371" t="n"/>
      <c r="K310" s="371" t="n"/>
      <c r="L310" s="371" t="n"/>
      <c r="M310" s="371" t="n"/>
      <c r="N310" s="371" t="n"/>
      <c r="O310" s="371" t="n"/>
      <c r="P310" s="371" t="n"/>
      <c r="Q310" s="371" t="n"/>
      <c r="R310" s="371" t="n"/>
      <c r="S310" s="371" t="n"/>
      <c r="T310" s="371" t="n"/>
      <c r="U310" s="371" t="n"/>
      <c r="V310" s="371" t="n"/>
      <c r="W310" s="371" t="n"/>
      <c r="X310" s="371" t="n"/>
      <c r="Y310" s="371" t="n"/>
      <c r="Z310" s="372" t="n"/>
      <c r="AA310" s="372" t="n"/>
      <c r="AB310" s="371" t="n"/>
      <c r="AC310" s="371">
        <f>IF($B310="","",IF(AB310="Closed",IF(AA310="","",AA310-C310),TODAY()-C310))</f>
        <v/>
      </c>
      <c r="AD310" s="371" t="n"/>
    </row>
    <row r="311" ht="15" customHeight="1" s="15">
      <c r="A311" s="371">
        <f>IF($B311="","",ROW()-5)</f>
        <v/>
      </c>
      <c r="B311" s="371" t="n"/>
      <c r="C311" s="372" t="n"/>
      <c r="D311" s="371">
        <f>IF($B311="","",TEXT(C311,"MMM"))</f>
        <v/>
      </c>
      <c r="E311" s="371">
        <f>IF($B311="","","W"&amp;TEXT(WEEKNUM(C311,2),"00"))</f>
        <v/>
      </c>
      <c r="F311" s="371">
        <f>IF($B311="","","Q"&amp;(INT(MOD(MONTH(C311)-FY_Start+12,12)/3)+1))</f>
        <v/>
      </c>
      <c r="G311" s="371">
        <f>IF($B311="","","FY "&amp;IF(MONTH(C311)&gt;=FY_Start,YEAR(C311),YEAR(C311)-1)&amp;"-"&amp;RIGHT(IF(MONTH(C311)&gt;=FY_Start,YEAR(C311)+1,YEAR(C311)),2))</f>
        <v/>
      </c>
      <c r="H311" s="371" t="n"/>
      <c r="I311" s="371" t="n"/>
      <c r="J311" s="371" t="n"/>
      <c r="K311" s="371" t="n"/>
      <c r="L311" s="371" t="n"/>
      <c r="M311" s="371" t="n"/>
      <c r="N311" s="371" t="n"/>
      <c r="O311" s="371" t="n"/>
      <c r="P311" s="371" t="n"/>
      <c r="Q311" s="371" t="n"/>
      <c r="R311" s="371" t="n"/>
      <c r="S311" s="371" t="n"/>
      <c r="T311" s="371" t="n"/>
      <c r="U311" s="371" t="n"/>
      <c r="V311" s="371" t="n"/>
      <c r="W311" s="371" t="n"/>
      <c r="X311" s="371" t="n"/>
      <c r="Y311" s="371" t="n"/>
      <c r="Z311" s="372" t="n"/>
      <c r="AA311" s="372" t="n"/>
      <c r="AB311" s="371" t="n"/>
      <c r="AC311" s="371">
        <f>IF($B311="","",IF(AB311="Closed",IF(AA311="","",AA311-C311),TODAY()-C311))</f>
        <v/>
      </c>
      <c r="AD311" s="371" t="n"/>
    </row>
    <row r="312" ht="15" customHeight="1" s="15">
      <c r="A312" s="371">
        <f>IF($B312="","",ROW()-5)</f>
        <v/>
      </c>
      <c r="B312" s="371" t="n"/>
      <c r="C312" s="372" t="n"/>
      <c r="D312" s="371">
        <f>IF($B312="","",TEXT(C312,"MMM"))</f>
        <v/>
      </c>
      <c r="E312" s="371">
        <f>IF($B312="","","W"&amp;TEXT(WEEKNUM(C312,2),"00"))</f>
        <v/>
      </c>
      <c r="F312" s="371">
        <f>IF($B312="","","Q"&amp;(INT(MOD(MONTH(C312)-FY_Start+12,12)/3)+1))</f>
        <v/>
      </c>
      <c r="G312" s="371">
        <f>IF($B312="","","FY "&amp;IF(MONTH(C312)&gt;=FY_Start,YEAR(C312),YEAR(C312)-1)&amp;"-"&amp;RIGHT(IF(MONTH(C312)&gt;=FY_Start,YEAR(C312)+1,YEAR(C312)),2))</f>
        <v/>
      </c>
      <c r="H312" s="371" t="n"/>
      <c r="I312" s="371" t="n"/>
      <c r="J312" s="371" t="n"/>
      <c r="K312" s="371" t="n"/>
      <c r="L312" s="371" t="n"/>
      <c r="M312" s="371" t="n"/>
      <c r="N312" s="371" t="n"/>
      <c r="O312" s="371" t="n"/>
      <c r="P312" s="371" t="n"/>
      <c r="Q312" s="371" t="n"/>
      <c r="R312" s="371" t="n"/>
      <c r="S312" s="371" t="n"/>
      <c r="T312" s="371" t="n"/>
      <c r="U312" s="371" t="n"/>
      <c r="V312" s="371" t="n"/>
      <c r="W312" s="371" t="n"/>
      <c r="X312" s="371" t="n"/>
      <c r="Y312" s="371" t="n"/>
      <c r="Z312" s="372" t="n"/>
      <c r="AA312" s="372" t="n"/>
      <c r="AB312" s="371" t="n"/>
      <c r="AC312" s="371">
        <f>IF($B312="","",IF(AB312="Closed",IF(AA312="","",AA312-C312),TODAY()-C312))</f>
        <v/>
      </c>
      <c r="AD312" s="371" t="n"/>
    </row>
    <row r="313" ht="15" customHeight="1" s="15">
      <c r="A313" s="371">
        <f>IF($B313="","",ROW()-5)</f>
        <v/>
      </c>
      <c r="B313" s="371" t="n"/>
      <c r="C313" s="372" t="n"/>
      <c r="D313" s="371">
        <f>IF($B313="","",TEXT(C313,"MMM"))</f>
        <v/>
      </c>
      <c r="E313" s="371">
        <f>IF($B313="","","W"&amp;TEXT(WEEKNUM(C313,2),"00"))</f>
        <v/>
      </c>
      <c r="F313" s="371">
        <f>IF($B313="","","Q"&amp;(INT(MOD(MONTH(C313)-FY_Start+12,12)/3)+1))</f>
        <v/>
      </c>
      <c r="G313" s="371">
        <f>IF($B313="","","FY "&amp;IF(MONTH(C313)&gt;=FY_Start,YEAR(C313),YEAR(C313)-1)&amp;"-"&amp;RIGHT(IF(MONTH(C313)&gt;=FY_Start,YEAR(C313)+1,YEAR(C313)),2))</f>
        <v/>
      </c>
      <c r="H313" s="371" t="n"/>
      <c r="I313" s="371" t="n"/>
      <c r="J313" s="371" t="n"/>
      <c r="K313" s="371" t="n"/>
      <c r="L313" s="371" t="n"/>
      <c r="M313" s="371" t="n"/>
      <c r="N313" s="371" t="n"/>
      <c r="O313" s="371" t="n"/>
      <c r="P313" s="371" t="n"/>
      <c r="Q313" s="371" t="n"/>
      <c r="R313" s="371" t="n"/>
      <c r="S313" s="371" t="n"/>
      <c r="T313" s="371" t="n"/>
      <c r="U313" s="371" t="n"/>
      <c r="V313" s="371" t="n"/>
      <c r="W313" s="371" t="n"/>
      <c r="X313" s="371" t="n"/>
      <c r="Y313" s="371" t="n"/>
      <c r="Z313" s="372" t="n"/>
      <c r="AA313" s="372" t="n"/>
      <c r="AB313" s="371" t="n"/>
      <c r="AC313" s="371">
        <f>IF($B313="","",IF(AB313="Closed",IF(AA313="","",AA313-C313),TODAY()-C313))</f>
        <v/>
      </c>
      <c r="AD313" s="371" t="n"/>
    </row>
    <row r="314" ht="15" customHeight="1" s="15">
      <c r="A314" s="371">
        <f>IF($B314="","",ROW()-5)</f>
        <v/>
      </c>
      <c r="B314" s="371" t="n"/>
      <c r="C314" s="372" t="n"/>
      <c r="D314" s="371">
        <f>IF($B314="","",TEXT(C314,"MMM"))</f>
        <v/>
      </c>
      <c r="E314" s="371">
        <f>IF($B314="","","W"&amp;TEXT(WEEKNUM(C314,2),"00"))</f>
        <v/>
      </c>
      <c r="F314" s="371">
        <f>IF($B314="","","Q"&amp;(INT(MOD(MONTH(C314)-FY_Start+12,12)/3)+1))</f>
        <v/>
      </c>
      <c r="G314" s="371">
        <f>IF($B314="","","FY "&amp;IF(MONTH(C314)&gt;=FY_Start,YEAR(C314),YEAR(C314)-1)&amp;"-"&amp;RIGHT(IF(MONTH(C314)&gt;=FY_Start,YEAR(C314)+1,YEAR(C314)),2))</f>
        <v/>
      </c>
      <c r="H314" s="371" t="n"/>
      <c r="I314" s="371" t="n"/>
      <c r="J314" s="371" t="n"/>
      <c r="K314" s="371" t="n"/>
      <c r="L314" s="371" t="n"/>
      <c r="M314" s="371" t="n"/>
      <c r="N314" s="371" t="n"/>
      <c r="O314" s="371" t="n"/>
      <c r="P314" s="371" t="n"/>
      <c r="Q314" s="371" t="n"/>
      <c r="R314" s="371" t="n"/>
      <c r="S314" s="371" t="n"/>
      <c r="T314" s="371" t="n"/>
      <c r="U314" s="371" t="n"/>
      <c r="V314" s="371" t="n"/>
      <c r="W314" s="371" t="n"/>
      <c r="X314" s="371" t="n"/>
      <c r="Y314" s="371" t="n"/>
      <c r="Z314" s="372" t="n"/>
      <c r="AA314" s="372" t="n"/>
      <c r="AB314" s="371" t="n"/>
      <c r="AC314" s="371">
        <f>IF($B314="","",IF(AB314="Closed",IF(AA314="","",AA314-C314),TODAY()-C314))</f>
        <v/>
      </c>
      <c r="AD314" s="371" t="n"/>
    </row>
    <row r="315" ht="15" customHeight="1" s="15">
      <c r="A315" s="371">
        <f>IF($B315="","",ROW()-5)</f>
        <v/>
      </c>
      <c r="B315" s="371" t="n"/>
      <c r="C315" s="372" t="n"/>
      <c r="D315" s="371">
        <f>IF($B315="","",TEXT(C315,"MMM"))</f>
        <v/>
      </c>
      <c r="E315" s="371">
        <f>IF($B315="","","W"&amp;TEXT(WEEKNUM(C315,2),"00"))</f>
        <v/>
      </c>
      <c r="F315" s="371">
        <f>IF($B315="","","Q"&amp;(INT(MOD(MONTH(C315)-FY_Start+12,12)/3)+1))</f>
        <v/>
      </c>
      <c r="G315" s="371">
        <f>IF($B315="","","FY "&amp;IF(MONTH(C315)&gt;=FY_Start,YEAR(C315),YEAR(C315)-1)&amp;"-"&amp;RIGHT(IF(MONTH(C315)&gt;=FY_Start,YEAR(C315)+1,YEAR(C315)),2))</f>
        <v/>
      </c>
      <c r="H315" s="371" t="n"/>
      <c r="I315" s="371" t="n"/>
      <c r="J315" s="371" t="n"/>
      <c r="K315" s="371" t="n"/>
      <c r="L315" s="371" t="n"/>
      <c r="M315" s="371" t="n"/>
      <c r="N315" s="371" t="n"/>
      <c r="O315" s="371" t="n"/>
      <c r="P315" s="371" t="n"/>
      <c r="Q315" s="371" t="n"/>
      <c r="R315" s="371" t="n"/>
      <c r="S315" s="371" t="n"/>
      <c r="T315" s="371" t="n"/>
      <c r="U315" s="371" t="n"/>
      <c r="V315" s="371" t="n"/>
      <c r="W315" s="371" t="n"/>
      <c r="X315" s="371" t="n"/>
      <c r="Y315" s="371" t="n"/>
      <c r="Z315" s="372" t="n"/>
      <c r="AA315" s="372" t="n"/>
      <c r="AB315" s="371" t="n"/>
      <c r="AC315" s="371">
        <f>IF($B315="","",IF(AB315="Closed",IF(AA315="","",AA315-C315),TODAY()-C315))</f>
        <v/>
      </c>
      <c r="AD315" s="371" t="n"/>
    </row>
    <row r="316" ht="15" customHeight="1" s="15">
      <c r="A316" s="371">
        <f>IF($B316="","",ROW()-5)</f>
        <v/>
      </c>
      <c r="B316" s="371" t="n"/>
      <c r="C316" s="372" t="n"/>
      <c r="D316" s="371">
        <f>IF($B316="","",TEXT(C316,"MMM"))</f>
        <v/>
      </c>
      <c r="E316" s="371">
        <f>IF($B316="","","W"&amp;TEXT(WEEKNUM(C316,2),"00"))</f>
        <v/>
      </c>
      <c r="F316" s="371">
        <f>IF($B316="","","Q"&amp;(INT(MOD(MONTH(C316)-FY_Start+12,12)/3)+1))</f>
        <v/>
      </c>
      <c r="G316" s="371">
        <f>IF($B316="","","FY "&amp;IF(MONTH(C316)&gt;=FY_Start,YEAR(C316),YEAR(C316)-1)&amp;"-"&amp;RIGHT(IF(MONTH(C316)&gt;=FY_Start,YEAR(C316)+1,YEAR(C316)),2))</f>
        <v/>
      </c>
      <c r="H316" s="371" t="n"/>
      <c r="I316" s="371" t="n"/>
      <c r="J316" s="371" t="n"/>
      <c r="K316" s="371" t="n"/>
      <c r="L316" s="371" t="n"/>
      <c r="M316" s="371" t="n"/>
      <c r="N316" s="371" t="n"/>
      <c r="O316" s="371" t="n"/>
      <c r="P316" s="371" t="n"/>
      <c r="Q316" s="371" t="n"/>
      <c r="R316" s="371" t="n"/>
      <c r="S316" s="371" t="n"/>
      <c r="T316" s="371" t="n"/>
      <c r="U316" s="371" t="n"/>
      <c r="V316" s="371" t="n"/>
      <c r="W316" s="371" t="n"/>
      <c r="X316" s="371" t="n"/>
      <c r="Y316" s="371" t="n"/>
      <c r="Z316" s="372" t="n"/>
      <c r="AA316" s="372" t="n"/>
      <c r="AB316" s="371" t="n"/>
      <c r="AC316" s="371">
        <f>IF($B316="","",IF(AB316="Closed",IF(AA316="","",AA316-C316),TODAY()-C316))</f>
        <v/>
      </c>
      <c r="AD316" s="371" t="n"/>
    </row>
    <row r="317" ht="15" customHeight="1" s="15">
      <c r="A317" s="371">
        <f>IF($B317="","",ROW()-5)</f>
        <v/>
      </c>
      <c r="B317" s="371" t="n"/>
      <c r="C317" s="372" t="n"/>
      <c r="D317" s="371">
        <f>IF($B317="","",TEXT(C317,"MMM"))</f>
        <v/>
      </c>
      <c r="E317" s="371">
        <f>IF($B317="","","W"&amp;TEXT(WEEKNUM(C317,2),"00"))</f>
        <v/>
      </c>
      <c r="F317" s="371">
        <f>IF($B317="","","Q"&amp;(INT(MOD(MONTH(C317)-FY_Start+12,12)/3)+1))</f>
        <v/>
      </c>
      <c r="G317" s="371">
        <f>IF($B317="","","FY "&amp;IF(MONTH(C317)&gt;=FY_Start,YEAR(C317),YEAR(C317)-1)&amp;"-"&amp;RIGHT(IF(MONTH(C317)&gt;=FY_Start,YEAR(C317)+1,YEAR(C317)),2))</f>
        <v/>
      </c>
      <c r="H317" s="371" t="n"/>
      <c r="I317" s="371" t="n"/>
      <c r="J317" s="371" t="n"/>
      <c r="K317" s="371" t="n"/>
      <c r="L317" s="371" t="n"/>
      <c r="M317" s="371" t="n"/>
      <c r="N317" s="371" t="n"/>
      <c r="O317" s="371" t="n"/>
      <c r="P317" s="371" t="n"/>
      <c r="Q317" s="371" t="n"/>
      <c r="R317" s="371" t="n"/>
      <c r="S317" s="371" t="n"/>
      <c r="T317" s="371" t="n"/>
      <c r="U317" s="371" t="n"/>
      <c r="V317" s="371" t="n"/>
      <c r="W317" s="371" t="n"/>
      <c r="X317" s="371" t="n"/>
      <c r="Y317" s="371" t="n"/>
      <c r="Z317" s="372" t="n"/>
      <c r="AA317" s="372" t="n"/>
      <c r="AB317" s="371" t="n"/>
      <c r="AC317" s="371">
        <f>IF($B317="","",IF(AB317="Closed",IF(AA317="","",AA317-C317),TODAY()-C317))</f>
        <v/>
      </c>
      <c r="AD317" s="371" t="n"/>
    </row>
    <row r="318" ht="15" customHeight="1" s="15">
      <c r="A318" s="371">
        <f>IF($B318="","",ROW()-5)</f>
        <v/>
      </c>
      <c r="B318" s="371" t="n"/>
      <c r="C318" s="372" t="n"/>
      <c r="D318" s="371">
        <f>IF($B318="","",TEXT(C318,"MMM"))</f>
        <v/>
      </c>
      <c r="E318" s="371">
        <f>IF($B318="","","W"&amp;TEXT(WEEKNUM(C318,2),"00"))</f>
        <v/>
      </c>
      <c r="F318" s="371">
        <f>IF($B318="","","Q"&amp;(INT(MOD(MONTH(C318)-FY_Start+12,12)/3)+1))</f>
        <v/>
      </c>
      <c r="G318" s="371">
        <f>IF($B318="","","FY "&amp;IF(MONTH(C318)&gt;=FY_Start,YEAR(C318),YEAR(C318)-1)&amp;"-"&amp;RIGHT(IF(MONTH(C318)&gt;=FY_Start,YEAR(C318)+1,YEAR(C318)),2))</f>
        <v/>
      </c>
      <c r="H318" s="371" t="n"/>
      <c r="I318" s="371" t="n"/>
      <c r="J318" s="371" t="n"/>
      <c r="K318" s="371" t="n"/>
      <c r="L318" s="371" t="n"/>
      <c r="M318" s="371" t="n"/>
      <c r="N318" s="371" t="n"/>
      <c r="O318" s="371" t="n"/>
      <c r="P318" s="371" t="n"/>
      <c r="Q318" s="371" t="n"/>
      <c r="R318" s="371" t="n"/>
      <c r="S318" s="371" t="n"/>
      <c r="T318" s="371" t="n"/>
      <c r="U318" s="371" t="n"/>
      <c r="V318" s="371" t="n"/>
      <c r="W318" s="371" t="n"/>
      <c r="X318" s="371" t="n"/>
      <c r="Y318" s="371" t="n"/>
      <c r="Z318" s="372" t="n"/>
      <c r="AA318" s="372" t="n"/>
      <c r="AB318" s="371" t="n"/>
      <c r="AC318" s="371">
        <f>IF($B318="","",IF(AB318="Closed",IF(AA318="","",AA318-C318),TODAY()-C318))</f>
        <v/>
      </c>
      <c r="AD318" s="371" t="n"/>
    </row>
    <row r="319" ht="15" customHeight="1" s="15">
      <c r="A319" s="371">
        <f>IF($B319="","",ROW()-5)</f>
        <v/>
      </c>
      <c r="B319" s="371" t="n"/>
      <c r="C319" s="372" t="n"/>
      <c r="D319" s="371">
        <f>IF($B319="","",TEXT(C319,"MMM"))</f>
        <v/>
      </c>
      <c r="E319" s="371">
        <f>IF($B319="","","W"&amp;TEXT(WEEKNUM(C319,2),"00"))</f>
        <v/>
      </c>
      <c r="F319" s="371">
        <f>IF($B319="","","Q"&amp;(INT(MOD(MONTH(C319)-FY_Start+12,12)/3)+1))</f>
        <v/>
      </c>
      <c r="G319" s="371">
        <f>IF($B319="","","FY "&amp;IF(MONTH(C319)&gt;=FY_Start,YEAR(C319),YEAR(C319)-1)&amp;"-"&amp;RIGHT(IF(MONTH(C319)&gt;=FY_Start,YEAR(C319)+1,YEAR(C319)),2))</f>
        <v/>
      </c>
      <c r="H319" s="371" t="n"/>
      <c r="I319" s="371" t="n"/>
      <c r="J319" s="371" t="n"/>
      <c r="K319" s="371" t="n"/>
      <c r="L319" s="371" t="n"/>
      <c r="M319" s="371" t="n"/>
      <c r="N319" s="371" t="n"/>
      <c r="O319" s="371" t="n"/>
      <c r="P319" s="371" t="n"/>
      <c r="Q319" s="371" t="n"/>
      <c r="R319" s="371" t="n"/>
      <c r="S319" s="371" t="n"/>
      <c r="T319" s="371" t="n"/>
      <c r="U319" s="371" t="n"/>
      <c r="V319" s="371" t="n"/>
      <c r="W319" s="371" t="n"/>
      <c r="X319" s="371" t="n"/>
      <c r="Y319" s="371" t="n"/>
      <c r="Z319" s="372" t="n"/>
      <c r="AA319" s="372" t="n"/>
      <c r="AB319" s="371" t="n"/>
      <c r="AC319" s="371">
        <f>IF($B319="","",IF(AB319="Closed",IF(AA319="","",AA319-C319),TODAY()-C319))</f>
        <v/>
      </c>
      <c r="AD319" s="371" t="n"/>
    </row>
    <row r="320" ht="15" customHeight="1" s="15">
      <c r="A320" s="371">
        <f>IF($B320="","",ROW()-5)</f>
        <v/>
      </c>
      <c r="B320" s="371" t="n"/>
      <c r="C320" s="372" t="n"/>
      <c r="D320" s="371">
        <f>IF($B320="","",TEXT(C320,"MMM"))</f>
        <v/>
      </c>
      <c r="E320" s="371">
        <f>IF($B320="","","W"&amp;TEXT(WEEKNUM(C320,2),"00"))</f>
        <v/>
      </c>
      <c r="F320" s="371">
        <f>IF($B320="","","Q"&amp;(INT(MOD(MONTH(C320)-FY_Start+12,12)/3)+1))</f>
        <v/>
      </c>
      <c r="G320" s="371">
        <f>IF($B320="","","FY "&amp;IF(MONTH(C320)&gt;=FY_Start,YEAR(C320),YEAR(C320)-1)&amp;"-"&amp;RIGHT(IF(MONTH(C320)&gt;=FY_Start,YEAR(C320)+1,YEAR(C320)),2))</f>
        <v/>
      </c>
      <c r="H320" s="371" t="n"/>
      <c r="I320" s="371" t="n"/>
      <c r="J320" s="371" t="n"/>
      <c r="K320" s="371" t="n"/>
      <c r="L320" s="371" t="n"/>
      <c r="M320" s="371" t="n"/>
      <c r="N320" s="371" t="n"/>
      <c r="O320" s="371" t="n"/>
      <c r="P320" s="371" t="n"/>
      <c r="Q320" s="371" t="n"/>
      <c r="R320" s="371" t="n"/>
      <c r="S320" s="371" t="n"/>
      <c r="T320" s="371" t="n"/>
      <c r="U320" s="371" t="n"/>
      <c r="V320" s="371" t="n"/>
      <c r="W320" s="371" t="n"/>
      <c r="X320" s="371" t="n"/>
      <c r="Y320" s="371" t="n"/>
      <c r="Z320" s="372" t="n"/>
      <c r="AA320" s="372" t="n"/>
      <c r="AB320" s="371" t="n"/>
      <c r="AC320" s="371">
        <f>IF($B320="","",IF(AB320="Closed",IF(AA320="","",AA320-C320),TODAY()-C320))</f>
        <v/>
      </c>
      <c r="AD320" s="371" t="n"/>
    </row>
    <row r="321" ht="15" customHeight="1" s="15">
      <c r="A321" s="371">
        <f>IF($B321="","",ROW()-5)</f>
        <v/>
      </c>
      <c r="B321" s="371" t="n"/>
      <c r="C321" s="372" t="n"/>
      <c r="D321" s="371">
        <f>IF($B321="","",TEXT(C321,"MMM"))</f>
        <v/>
      </c>
      <c r="E321" s="371">
        <f>IF($B321="","","W"&amp;TEXT(WEEKNUM(C321,2),"00"))</f>
        <v/>
      </c>
      <c r="F321" s="371">
        <f>IF($B321="","","Q"&amp;(INT(MOD(MONTH(C321)-FY_Start+12,12)/3)+1))</f>
        <v/>
      </c>
      <c r="G321" s="371">
        <f>IF($B321="","","FY "&amp;IF(MONTH(C321)&gt;=FY_Start,YEAR(C321),YEAR(C321)-1)&amp;"-"&amp;RIGHT(IF(MONTH(C321)&gt;=FY_Start,YEAR(C321)+1,YEAR(C321)),2))</f>
        <v/>
      </c>
      <c r="H321" s="371" t="n"/>
      <c r="I321" s="371" t="n"/>
      <c r="J321" s="371" t="n"/>
      <c r="K321" s="371" t="n"/>
      <c r="L321" s="371" t="n"/>
      <c r="M321" s="371" t="n"/>
      <c r="N321" s="371" t="n"/>
      <c r="O321" s="371" t="n"/>
      <c r="P321" s="371" t="n"/>
      <c r="Q321" s="371" t="n"/>
      <c r="R321" s="371" t="n"/>
      <c r="S321" s="371" t="n"/>
      <c r="T321" s="371" t="n"/>
      <c r="U321" s="371" t="n"/>
      <c r="V321" s="371" t="n"/>
      <c r="W321" s="371" t="n"/>
      <c r="X321" s="371" t="n"/>
      <c r="Y321" s="371" t="n"/>
      <c r="Z321" s="372" t="n"/>
      <c r="AA321" s="372" t="n"/>
      <c r="AB321" s="371" t="n"/>
      <c r="AC321" s="371">
        <f>IF($B321="","",IF(AB321="Closed",IF(AA321="","",AA321-C321),TODAY()-C321))</f>
        <v/>
      </c>
      <c r="AD321" s="371" t="n"/>
    </row>
    <row r="322" ht="15" customHeight="1" s="15">
      <c r="A322" s="371">
        <f>IF($B322="","",ROW()-5)</f>
        <v/>
      </c>
      <c r="B322" s="371" t="n"/>
      <c r="C322" s="372" t="n"/>
      <c r="D322" s="371">
        <f>IF($B322="","",TEXT(C322,"MMM"))</f>
        <v/>
      </c>
      <c r="E322" s="371">
        <f>IF($B322="","","W"&amp;TEXT(WEEKNUM(C322,2),"00"))</f>
        <v/>
      </c>
      <c r="F322" s="371">
        <f>IF($B322="","","Q"&amp;(INT(MOD(MONTH(C322)-FY_Start+12,12)/3)+1))</f>
        <v/>
      </c>
      <c r="G322" s="371">
        <f>IF($B322="","","FY "&amp;IF(MONTH(C322)&gt;=FY_Start,YEAR(C322),YEAR(C322)-1)&amp;"-"&amp;RIGHT(IF(MONTH(C322)&gt;=FY_Start,YEAR(C322)+1,YEAR(C322)),2))</f>
        <v/>
      </c>
      <c r="H322" s="371" t="n"/>
      <c r="I322" s="371" t="n"/>
      <c r="J322" s="371" t="n"/>
      <c r="K322" s="371" t="n"/>
      <c r="L322" s="371" t="n"/>
      <c r="M322" s="371" t="n"/>
      <c r="N322" s="371" t="n"/>
      <c r="O322" s="371" t="n"/>
      <c r="P322" s="371" t="n"/>
      <c r="Q322" s="371" t="n"/>
      <c r="R322" s="371" t="n"/>
      <c r="S322" s="371" t="n"/>
      <c r="T322" s="371" t="n"/>
      <c r="U322" s="371" t="n"/>
      <c r="V322" s="371" t="n"/>
      <c r="W322" s="371" t="n"/>
      <c r="X322" s="371" t="n"/>
      <c r="Y322" s="371" t="n"/>
      <c r="Z322" s="372" t="n"/>
      <c r="AA322" s="372" t="n"/>
      <c r="AB322" s="371" t="n"/>
      <c r="AC322" s="371">
        <f>IF($B322="","",IF(AB322="Closed",IF(AA322="","",AA322-C322),TODAY()-C322))</f>
        <v/>
      </c>
      <c r="AD322" s="371" t="n"/>
    </row>
    <row r="323" ht="15" customHeight="1" s="15">
      <c r="A323" s="371">
        <f>IF($B323="","",ROW()-5)</f>
        <v/>
      </c>
      <c r="B323" s="371" t="n"/>
      <c r="C323" s="372" t="n"/>
      <c r="D323" s="371">
        <f>IF($B323="","",TEXT(C323,"MMM"))</f>
        <v/>
      </c>
      <c r="E323" s="371">
        <f>IF($B323="","","W"&amp;TEXT(WEEKNUM(C323,2),"00"))</f>
        <v/>
      </c>
      <c r="F323" s="371">
        <f>IF($B323="","","Q"&amp;(INT(MOD(MONTH(C323)-FY_Start+12,12)/3)+1))</f>
        <v/>
      </c>
      <c r="G323" s="371">
        <f>IF($B323="","","FY "&amp;IF(MONTH(C323)&gt;=FY_Start,YEAR(C323),YEAR(C323)-1)&amp;"-"&amp;RIGHT(IF(MONTH(C323)&gt;=FY_Start,YEAR(C323)+1,YEAR(C323)),2))</f>
        <v/>
      </c>
      <c r="H323" s="371" t="n"/>
      <c r="I323" s="371" t="n"/>
      <c r="J323" s="371" t="n"/>
      <c r="K323" s="371" t="n"/>
      <c r="L323" s="371" t="n"/>
      <c r="M323" s="371" t="n"/>
      <c r="N323" s="371" t="n"/>
      <c r="O323" s="371" t="n"/>
      <c r="P323" s="371" t="n"/>
      <c r="Q323" s="371" t="n"/>
      <c r="R323" s="371" t="n"/>
      <c r="S323" s="371" t="n"/>
      <c r="T323" s="371" t="n"/>
      <c r="U323" s="371" t="n"/>
      <c r="V323" s="371" t="n"/>
      <c r="W323" s="371" t="n"/>
      <c r="X323" s="371" t="n"/>
      <c r="Y323" s="371" t="n"/>
      <c r="Z323" s="372" t="n"/>
      <c r="AA323" s="372" t="n"/>
      <c r="AB323" s="371" t="n"/>
      <c r="AC323" s="371">
        <f>IF($B323="","",IF(AB323="Closed",IF(AA323="","",AA323-C323),TODAY()-C323))</f>
        <v/>
      </c>
      <c r="AD323" s="371" t="n"/>
    </row>
    <row r="324" ht="15" customHeight="1" s="15">
      <c r="A324" s="371">
        <f>IF($B324="","",ROW()-5)</f>
        <v/>
      </c>
      <c r="B324" s="371" t="n"/>
      <c r="C324" s="372" t="n"/>
      <c r="D324" s="371">
        <f>IF($B324="","",TEXT(C324,"MMM"))</f>
        <v/>
      </c>
      <c r="E324" s="371">
        <f>IF($B324="","","W"&amp;TEXT(WEEKNUM(C324,2),"00"))</f>
        <v/>
      </c>
      <c r="F324" s="371">
        <f>IF($B324="","","Q"&amp;(INT(MOD(MONTH(C324)-FY_Start+12,12)/3)+1))</f>
        <v/>
      </c>
      <c r="G324" s="371">
        <f>IF($B324="","","FY "&amp;IF(MONTH(C324)&gt;=FY_Start,YEAR(C324),YEAR(C324)-1)&amp;"-"&amp;RIGHT(IF(MONTH(C324)&gt;=FY_Start,YEAR(C324)+1,YEAR(C324)),2))</f>
        <v/>
      </c>
      <c r="H324" s="371" t="n"/>
      <c r="I324" s="371" t="n"/>
      <c r="J324" s="371" t="n"/>
      <c r="K324" s="371" t="n"/>
      <c r="L324" s="371" t="n"/>
      <c r="M324" s="371" t="n"/>
      <c r="N324" s="371" t="n"/>
      <c r="O324" s="371" t="n"/>
      <c r="P324" s="371" t="n"/>
      <c r="Q324" s="371" t="n"/>
      <c r="R324" s="371" t="n"/>
      <c r="S324" s="371" t="n"/>
      <c r="T324" s="371" t="n"/>
      <c r="U324" s="371" t="n"/>
      <c r="V324" s="371" t="n"/>
      <c r="W324" s="371" t="n"/>
      <c r="X324" s="371" t="n"/>
      <c r="Y324" s="371" t="n"/>
      <c r="Z324" s="372" t="n"/>
      <c r="AA324" s="372" t="n"/>
      <c r="AB324" s="371" t="n"/>
      <c r="AC324" s="371">
        <f>IF($B324="","",IF(AB324="Closed",IF(AA324="","",AA324-C324),TODAY()-C324))</f>
        <v/>
      </c>
      <c r="AD324" s="371" t="n"/>
    </row>
    <row r="325" ht="15" customHeight="1" s="15">
      <c r="A325" s="371">
        <f>IF($B325="","",ROW()-5)</f>
        <v/>
      </c>
      <c r="B325" s="371" t="n"/>
      <c r="C325" s="372" t="n"/>
      <c r="D325" s="371">
        <f>IF($B325="","",TEXT(C325,"MMM"))</f>
        <v/>
      </c>
      <c r="E325" s="371">
        <f>IF($B325="","","W"&amp;TEXT(WEEKNUM(C325,2),"00"))</f>
        <v/>
      </c>
      <c r="F325" s="371">
        <f>IF($B325="","","Q"&amp;(INT(MOD(MONTH(C325)-FY_Start+12,12)/3)+1))</f>
        <v/>
      </c>
      <c r="G325" s="371">
        <f>IF($B325="","","FY "&amp;IF(MONTH(C325)&gt;=FY_Start,YEAR(C325),YEAR(C325)-1)&amp;"-"&amp;RIGHT(IF(MONTH(C325)&gt;=FY_Start,YEAR(C325)+1,YEAR(C325)),2))</f>
        <v/>
      </c>
      <c r="H325" s="371" t="n"/>
      <c r="I325" s="371" t="n"/>
      <c r="J325" s="371" t="n"/>
      <c r="K325" s="371" t="n"/>
      <c r="L325" s="371" t="n"/>
      <c r="M325" s="371" t="n"/>
      <c r="N325" s="371" t="n"/>
      <c r="O325" s="371" t="n"/>
      <c r="P325" s="371" t="n"/>
      <c r="Q325" s="371" t="n"/>
      <c r="R325" s="371" t="n"/>
      <c r="S325" s="371" t="n"/>
      <c r="T325" s="371" t="n"/>
      <c r="U325" s="371" t="n"/>
      <c r="V325" s="371" t="n"/>
      <c r="W325" s="371" t="n"/>
      <c r="X325" s="371" t="n"/>
      <c r="Y325" s="371" t="n"/>
      <c r="Z325" s="372" t="n"/>
      <c r="AA325" s="372" t="n"/>
      <c r="AB325" s="371" t="n"/>
      <c r="AC325" s="371">
        <f>IF($B325="","",IF(AB325="Closed",IF(AA325="","",AA325-C325),TODAY()-C325))</f>
        <v/>
      </c>
      <c r="AD325" s="371" t="n"/>
    </row>
    <row r="326" ht="15" customHeight="1" s="15">
      <c r="A326" s="371">
        <f>IF($B326="","",ROW()-5)</f>
        <v/>
      </c>
      <c r="B326" s="371" t="n"/>
      <c r="C326" s="372" t="n"/>
      <c r="D326" s="371">
        <f>IF($B326="","",TEXT(C326,"MMM"))</f>
        <v/>
      </c>
      <c r="E326" s="371">
        <f>IF($B326="","","W"&amp;TEXT(WEEKNUM(C326,2),"00"))</f>
        <v/>
      </c>
      <c r="F326" s="371">
        <f>IF($B326="","","Q"&amp;(INT(MOD(MONTH(C326)-FY_Start+12,12)/3)+1))</f>
        <v/>
      </c>
      <c r="G326" s="371">
        <f>IF($B326="","","FY "&amp;IF(MONTH(C326)&gt;=FY_Start,YEAR(C326),YEAR(C326)-1)&amp;"-"&amp;RIGHT(IF(MONTH(C326)&gt;=FY_Start,YEAR(C326)+1,YEAR(C326)),2))</f>
        <v/>
      </c>
      <c r="H326" s="371" t="n"/>
      <c r="I326" s="371" t="n"/>
      <c r="J326" s="371" t="n"/>
      <c r="K326" s="371" t="n"/>
      <c r="L326" s="371" t="n"/>
      <c r="M326" s="371" t="n"/>
      <c r="N326" s="371" t="n"/>
      <c r="O326" s="371" t="n"/>
      <c r="P326" s="371" t="n"/>
      <c r="Q326" s="371" t="n"/>
      <c r="R326" s="371" t="n"/>
      <c r="S326" s="371" t="n"/>
      <c r="T326" s="371" t="n"/>
      <c r="U326" s="371" t="n"/>
      <c r="V326" s="371" t="n"/>
      <c r="W326" s="371" t="n"/>
      <c r="X326" s="371" t="n"/>
      <c r="Y326" s="371" t="n"/>
      <c r="Z326" s="372" t="n"/>
      <c r="AA326" s="372" t="n"/>
      <c r="AB326" s="371" t="n"/>
      <c r="AC326" s="371">
        <f>IF($B326="","",IF(AB326="Closed",IF(AA326="","",AA326-C326),TODAY()-C326))</f>
        <v/>
      </c>
      <c r="AD326" s="371" t="n"/>
    </row>
    <row r="327" ht="15" customHeight="1" s="15">
      <c r="A327" s="371">
        <f>IF($B327="","",ROW()-5)</f>
        <v/>
      </c>
      <c r="B327" s="371" t="n"/>
      <c r="C327" s="372" t="n"/>
      <c r="D327" s="371">
        <f>IF($B327="","",TEXT(C327,"MMM"))</f>
        <v/>
      </c>
      <c r="E327" s="371">
        <f>IF($B327="","","W"&amp;TEXT(WEEKNUM(C327,2),"00"))</f>
        <v/>
      </c>
      <c r="F327" s="371">
        <f>IF($B327="","","Q"&amp;(INT(MOD(MONTH(C327)-FY_Start+12,12)/3)+1))</f>
        <v/>
      </c>
      <c r="G327" s="371">
        <f>IF($B327="","","FY "&amp;IF(MONTH(C327)&gt;=FY_Start,YEAR(C327),YEAR(C327)-1)&amp;"-"&amp;RIGHT(IF(MONTH(C327)&gt;=FY_Start,YEAR(C327)+1,YEAR(C327)),2))</f>
        <v/>
      </c>
      <c r="H327" s="371" t="n"/>
      <c r="I327" s="371" t="n"/>
      <c r="J327" s="371" t="n"/>
      <c r="K327" s="371" t="n"/>
      <c r="L327" s="371" t="n"/>
      <c r="M327" s="371" t="n"/>
      <c r="N327" s="371" t="n"/>
      <c r="O327" s="371" t="n"/>
      <c r="P327" s="371" t="n"/>
      <c r="Q327" s="371" t="n"/>
      <c r="R327" s="371" t="n"/>
      <c r="S327" s="371" t="n"/>
      <c r="T327" s="371" t="n"/>
      <c r="U327" s="371" t="n"/>
      <c r="V327" s="371" t="n"/>
      <c r="W327" s="371" t="n"/>
      <c r="X327" s="371" t="n"/>
      <c r="Y327" s="371" t="n"/>
      <c r="Z327" s="372" t="n"/>
      <c r="AA327" s="372" t="n"/>
      <c r="AB327" s="371" t="n"/>
      <c r="AC327" s="371">
        <f>IF($B327="","",IF(AB327="Closed",IF(AA327="","",AA327-C327),TODAY()-C327))</f>
        <v/>
      </c>
      <c r="AD327" s="371" t="n"/>
    </row>
    <row r="328" ht="15" customHeight="1" s="15">
      <c r="A328" s="371">
        <f>IF($B328="","",ROW()-5)</f>
        <v/>
      </c>
      <c r="B328" s="371" t="n"/>
      <c r="C328" s="372" t="n"/>
      <c r="D328" s="371">
        <f>IF($B328="","",TEXT(C328,"MMM"))</f>
        <v/>
      </c>
      <c r="E328" s="371">
        <f>IF($B328="","","W"&amp;TEXT(WEEKNUM(C328,2),"00"))</f>
        <v/>
      </c>
      <c r="F328" s="371">
        <f>IF($B328="","","Q"&amp;(INT(MOD(MONTH(C328)-FY_Start+12,12)/3)+1))</f>
        <v/>
      </c>
      <c r="G328" s="371">
        <f>IF($B328="","","FY "&amp;IF(MONTH(C328)&gt;=FY_Start,YEAR(C328),YEAR(C328)-1)&amp;"-"&amp;RIGHT(IF(MONTH(C328)&gt;=FY_Start,YEAR(C328)+1,YEAR(C328)),2))</f>
        <v/>
      </c>
      <c r="H328" s="371" t="n"/>
      <c r="I328" s="371" t="n"/>
      <c r="J328" s="371" t="n"/>
      <c r="K328" s="371" t="n"/>
      <c r="L328" s="371" t="n"/>
      <c r="M328" s="371" t="n"/>
      <c r="N328" s="371" t="n"/>
      <c r="O328" s="371" t="n"/>
      <c r="P328" s="371" t="n"/>
      <c r="Q328" s="371" t="n"/>
      <c r="R328" s="371" t="n"/>
      <c r="S328" s="371" t="n"/>
      <c r="T328" s="371" t="n"/>
      <c r="U328" s="371" t="n"/>
      <c r="V328" s="371" t="n"/>
      <c r="W328" s="371" t="n"/>
      <c r="X328" s="371" t="n"/>
      <c r="Y328" s="371" t="n"/>
      <c r="Z328" s="372" t="n"/>
      <c r="AA328" s="372" t="n"/>
      <c r="AB328" s="371" t="n"/>
      <c r="AC328" s="371">
        <f>IF($B328="","",IF(AB328="Closed",IF(AA328="","",AA328-C328),TODAY()-C328))</f>
        <v/>
      </c>
      <c r="AD328" s="371" t="n"/>
    </row>
    <row r="329" ht="15" customHeight="1" s="15">
      <c r="A329" s="371">
        <f>IF($B329="","",ROW()-5)</f>
        <v/>
      </c>
      <c r="B329" s="371" t="n"/>
      <c r="C329" s="372" t="n"/>
      <c r="D329" s="371">
        <f>IF($B329="","",TEXT(C329,"MMM"))</f>
        <v/>
      </c>
      <c r="E329" s="371">
        <f>IF($B329="","","W"&amp;TEXT(WEEKNUM(C329,2),"00"))</f>
        <v/>
      </c>
      <c r="F329" s="371">
        <f>IF($B329="","","Q"&amp;(INT(MOD(MONTH(C329)-FY_Start+12,12)/3)+1))</f>
        <v/>
      </c>
      <c r="G329" s="371">
        <f>IF($B329="","","FY "&amp;IF(MONTH(C329)&gt;=FY_Start,YEAR(C329),YEAR(C329)-1)&amp;"-"&amp;RIGHT(IF(MONTH(C329)&gt;=FY_Start,YEAR(C329)+1,YEAR(C329)),2))</f>
        <v/>
      </c>
      <c r="H329" s="371" t="n"/>
      <c r="I329" s="371" t="n"/>
      <c r="J329" s="371" t="n"/>
      <c r="K329" s="371" t="n"/>
      <c r="L329" s="371" t="n"/>
      <c r="M329" s="371" t="n"/>
      <c r="N329" s="371" t="n"/>
      <c r="O329" s="371" t="n"/>
      <c r="P329" s="371" t="n"/>
      <c r="Q329" s="371" t="n"/>
      <c r="R329" s="371" t="n"/>
      <c r="S329" s="371" t="n"/>
      <c r="T329" s="371" t="n"/>
      <c r="U329" s="371" t="n"/>
      <c r="V329" s="371" t="n"/>
      <c r="W329" s="371" t="n"/>
      <c r="X329" s="371" t="n"/>
      <c r="Y329" s="371" t="n"/>
      <c r="Z329" s="372" t="n"/>
      <c r="AA329" s="372" t="n"/>
      <c r="AB329" s="371" t="n"/>
      <c r="AC329" s="371">
        <f>IF($B329="","",IF(AB329="Closed",IF(AA329="","",AA329-C329),TODAY()-C329))</f>
        <v/>
      </c>
      <c r="AD329" s="371" t="n"/>
    </row>
    <row r="330" ht="15" customHeight="1" s="15">
      <c r="A330" s="371">
        <f>IF($B330="","",ROW()-5)</f>
        <v/>
      </c>
      <c r="B330" s="371" t="n"/>
      <c r="C330" s="372" t="n"/>
      <c r="D330" s="371">
        <f>IF($B330="","",TEXT(C330,"MMM"))</f>
        <v/>
      </c>
      <c r="E330" s="371">
        <f>IF($B330="","","W"&amp;TEXT(WEEKNUM(C330,2),"00"))</f>
        <v/>
      </c>
      <c r="F330" s="371">
        <f>IF($B330="","","Q"&amp;(INT(MOD(MONTH(C330)-FY_Start+12,12)/3)+1))</f>
        <v/>
      </c>
      <c r="G330" s="371">
        <f>IF($B330="","","FY "&amp;IF(MONTH(C330)&gt;=FY_Start,YEAR(C330),YEAR(C330)-1)&amp;"-"&amp;RIGHT(IF(MONTH(C330)&gt;=FY_Start,YEAR(C330)+1,YEAR(C330)),2))</f>
        <v/>
      </c>
      <c r="H330" s="371" t="n"/>
      <c r="I330" s="371" t="n"/>
      <c r="J330" s="371" t="n"/>
      <c r="K330" s="371" t="n"/>
      <c r="L330" s="371" t="n"/>
      <c r="M330" s="371" t="n"/>
      <c r="N330" s="371" t="n"/>
      <c r="O330" s="371" t="n"/>
      <c r="P330" s="371" t="n"/>
      <c r="Q330" s="371" t="n"/>
      <c r="R330" s="371" t="n"/>
      <c r="S330" s="371" t="n"/>
      <c r="T330" s="371" t="n"/>
      <c r="U330" s="371" t="n"/>
      <c r="V330" s="371" t="n"/>
      <c r="W330" s="371" t="n"/>
      <c r="X330" s="371" t="n"/>
      <c r="Y330" s="371" t="n"/>
      <c r="Z330" s="372" t="n"/>
      <c r="AA330" s="372" t="n"/>
      <c r="AB330" s="371" t="n"/>
      <c r="AC330" s="371">
        <f>IF($B330="","",IF(AB330="Closed",IF(AA330="","",AA330-C330),TODAY()-C330))</f>
        <v/>
      </c>
      <c r="AD330" s="371" t="n"/>
    </row>
    <row r="331" ht="15" customHeight="1" s="15">
      <c r="A331" s="371">
        <f>IF($B331="","",ROW()-5)</f>
        <v/>
      </c>
      <c r="B331" s="371" t="n"/>
      <c r="C331" s="372" t="n"/>
      <c r="D331" s="371">
        <f>IF($B331="","",TEXT(C331,"MMM"))</f>
        <v/>
      </c>
      <c r="E331" s="371">
        <f>IF($B331="","","W"&amp;TEXT(WEEKNUM(C331,2),"00"))</f>
        <v/>
      </c>
      <c r="F331" s="371">
        <f>IF($B331="","","Q"&amp;(INT(MOD(MONTH(C331)-FY_Start+12,12)/3)+1))</f>
        <v/>
      </c>
      <c r="G331" s="371">
        <f>IF($B331="","","FY "&amp;IF(MONTH(C331)&gt;=FY_Start,YEAR(C331),YEAR(C331)-1)&amp;"-"&amp;RIGHT(IF(MONTH(C331)&gt;=FY_Start,YEAR(C331)+1,YEAR(C331)),2))</f>
        <v/>
      </c>
      <c r="H331" s="371" t="n"/>
      <c r="I331" s="371" t="n"/>
      <c r="J331" s="371" t="n"/>
      <c r="K331" s="371" t="n"/>
      <c r="L331" s="371" t="n"/>
      <c r="M331" s="371" t="n"/>
      <c r="N331" s="371" t="n"/>
      <c r="O331" s="371" t="n"/>
      <c r="P331" s="371" t="n"/>
      <c r="Q331" s="371" t="n"/>
      <c r="R331" s="371" t="n"/>
      <c r="S331" s="371" t="n"/>
      <c r="T331" s="371" t="n"/>
      <c r="U331" s="371" t="n"/>
      <c r="V331" s="371" t="n"/>
      <c r="W331" s="371" t="n"/>
      <c r="X331" s="371" t="n"/>
      <c r="Y331" s="371" t="n"/>
      <c r="Z331" s="372" t="n"/>
      <c r="AA331" s="372" t="n"/>
      <c r="AB331" s="371" t="n"/>
      <c r="AC331" s="371">
        <f>IF($B331="","",IF(AB331="Closed",IF(AA331="","",AA331-C331),TODAY()-C331))</f>
        <v/>
      </c>
      <c r="AD331" s="371" t="n"/>
    </row>
    <row r="332" ht="15" customHeight="1" s="15">
      <c r="A332" s="371">
        <f>IF($B332="","",ROW()-5)</f>
        <v/>
      </c>
      <c r="B332" s="371" t="n"/>
      <c r="C332" s="372" t="n"/>
      <c r="D332" s="371">
        <f>IF($B332="","",TEXT(C332,"MMM"))</f>
        <v/>
      </c>
      <c r="E332" s="371">
        <f>IF($B332="","","W"&amp;TEXT(WEEKNUM(C332,2),"00"))</f>
        <v/>
      </c>
      <c r="F332" s="371">
        <f>IF($B332="","","Q"&amp;(INT(MOD(MONTH(C332)-FY_Start+12,12)/3)+1))</f>
        <v/>
      </c>
      <c r="G332" s="371">
        <f>IF($B332="","","FY "&amp;IF(MONTH(C332)&gt;=FY_Start,YEAR(C332),YEAR(C332)-1)&amp;"-"&amp;RIGHT(IF(MONTH(C332)&gt;=FY_Start,YEAR(C332)+1,YEAR(C332)),2))</f>
        <v/>
      </c>
      <c r="H332" s="371" t="n"/>
      <c r="I332" s="371" t="n"/>
      <c r="J332" s="371" t="n"/>
      <c r="K332" s="371" t="n"/>
      <c r="L332" s="371" t="n"/>
      <c r="M332" s="371" t="n"/>
      <c r="N332" s="371" t="n"/>
      <c r="O332" s="371" t="n"/>
      <c r="P332" s="371" t="n"/>
      <c r="Q332" s="371" t="n"/>
      <c r="R332" s="371" t="n"/>
      <c r="S332" s="371" t="n"/>
      <c r="T332" s="371" t="n"/>
      <c r="U332" s="371" t="n"/>
      <c r="V332" s="371" t="n"/>
      <c r="W332" s="371" t="n"/>
      <c r="X332" s="371" t="n"/>
      <c r="Y332" s="371" t="n"/>
      <c r="Z332" s="372" t="n"/>
      <c r="AA332" s="372" t="n"/>
      <c r="AB332" s="371" t="n"/>
      <c r="AC332" s="371">
        <f>IF($B332="","",IF(AB332="Closed",IF(AA332="","",AA332-C332),TODAY()-C332))</f>
        <v/>
      </c>
      <c r="AD332" s="371" t="n"/>
    </row>
    <row r="333" ht="15" customHeight="1" s="15">
      <c r="A333" s="371">
        <f>IF($B333="","",ROW()-5)</f>
        <v/>
      </c>
      <c r="B333" s="371" t="n"/>
      <c r="C333" s="372" t="n"/>
      <c r="D333" s="371">
        <f>IF($B333="","",TEXT(C333,"MMM"))</f>
        <v/>
      </c>
      <c r="E333" s="371">
        <f>IF($B333="","","W"&amp;TEXT(WEEKNUM(C333,2),"00"))</f>
        <v/>
      </c>
      <c r="F333" s="371">
        <f>IF($B333="","","Q"&amp;(INT(MOD(MONTH(C333)-FY_Start+12,12)/3)+1))</f>
        <v/>
      </c>
      <c r="G333" s="371">
        <f>IF($B333="","","FY "&amp;IF(MONTH(C333)&gt;=FY_Start,YEAR(C333),YEAR(C333)-1)&amp;"-"&amp;RIGHT(IF(MONTH(C333)&gt;=FY_Start,YEAR(C333)+1,YEAR(C333)),2))</f>
        <v/>
      </c>
      <c r="H333" s="371" t="n"/>
      <c r="I333" s="371" t="n"/>
      <c r="J333" s="371" t="n"/>
      <c r="K333" s="371" t="n"/>
      <c r="L333" s="371" t="n"/>
      <c r="M333" s="371" t="n"/>
      <c r="N333" s="371" t="n"/>
      <c r="O333" s="371" t="n"/>
      <c r="P333" s="371" t="n"/>
      <c r="Q333" s="371" t="n"/>
      <c r="R333" s="371" t="n"/>
      <c r="S333" s="371" t="n"/>
      <c r="T333" s="371" t="n"/>
      <c r="U333" s="371" t="n"/>
      <c r="V333" s="371" t="n"/>
      <c r="W333" s="371" t="n"/>
      <c r="X333" s="371" t="n"/>
      <c r="Y333" s="371" t="n"/>
      <c r="Z333" s="372" t="n"/>
      <c r="AA333" s="372" t="n"/>
      <c r="AB333" s="371" t="n"/>
      <c r="AC333" s="371">
        <f>IF($B333="","",IF(AB333="Closed",IF(AA333="","",AA333-C333),TODAY()-C333))</f>
        <v/>
      </c>
      <c r="AD333" s="371" t="n"/>
    </row>
    <row r="334" ht="15" customHeight="1" s="15">
      <c r="A334" s="371">
        <f>IF($B334="","",ROW()-5)</f>
        <v/>
      </c>
      <c r="B334" s="371" t="n"/>
      <c r="C334" s="372" t="n"/>
      <c r="D334" s="371">
        <f>IF($B334="","",TEXT(C334,"MMM"))</f>
        <v/>
      </c>
      <c r="E334" s="371">
        <f>IF($B334="","","W"&amp;TEXT(WEEKNUM(C334,2),"00"))</f>
        <v/>
      </c>
      <c r="F334" s="371">
        <f>IF($B334="","","Q"&amp;(INT(MOD(MONTH(C334)-FY_Start+12,12)/3)+1))</f>
        <v/>
      </c>
      <c r="G334" s="371">
        <f>IF($B334="","","FY "&amp;IF(MONTH(C334)&gt;=FY_Start,YEAR(C334),YEAR(C334)-1)&amp;"-"&amp;RIGHT(IF(MONTH(C334)&gt;=FY_Start,YEAR(C334)+1,YEAR(C334)),2))</f>
        <v/>
      </c>
      <c r="H334" s="371" t="n"/>
      <c r="I334" s="371" t="n"/>
      <c r="J334" s="371" t="n"/>
      <c r="K334" s="371" t="n"/>
      <c r="L334" s="371" t="n"/>
      <c r="M334" s="371" t="n"/>
      <c r="N334" s="371" t="n"/>
      <c r="O334" s="371" t="n"/>
      <c r="P334" s="371" t="n"/>
      <c r="Q334" s="371" t="n"/>
      <c r="R334" s="371" t="n"/>
      <c r="S334" s="371" t="n"/>
      <c r="T334" s="371" t="n"/>
      <c r="U334" s="371" t="n"/>
      <c r="V334" s="371" t="n"/>
      <c r="W334" s="371" t="n"/>
      <c r="X334" s="371" t="n"/>
      <c r="Y334" s="371" t="n"/>
      <c r="Z334" s="372" t="n"/>
      <c r="AA334" s="372" t="n"/>
      <c r="AB334" s="371" t="n"/>
      <c r="AC334" s="371">
        <f>IF($B334="","",IF(AB334="Closed",IF(AA334="","",AA334-C334),TODAY()-C334))</f>
        <v/>
      </c>
      <c r="AD334" s="371" t="n"/>
    </row>
    <row r="335" ht="15" customHeight="1" s="15">
      <c r="A335" s="371">
        <f>IF($B335="","",ROW()-5)</f>
        <v/>
      </c>
      <c r="B335" s="371" t="n"/>
      <c r="C335" s="372" t="n"/>
      <c r="D335" s="371">
        <f>IF($B335="","",TEXT(C335,"MMM"))</f>
        <v/>
      </c>
      <c r="E335" s="371">
        <f>IF($B335="","","W"&amp;TEXT(WEEKNUM(C335,2),"00"))</f>
        <v/>
      </c>
      <c r="F335" s="371">
        <f>IF($B335="","","Q"&amp;(INT(MOD(MONTH(C335)-FY_Start+12,12)/3)+1))</f>
        <v/>
      </c>
      <c r="G335" s="371">
        <f>IF($B335="","","FY "&amp;IF(MONTH(C335)&gt;=FY_Start,YEAR(C335),YEAR(C335)-1)&amp;"-"&amp;RIGHT(IF(MONTH(C335)&gt;=FY_Start,YEAR(C335)+1,YEAR(C335)),2))</f>
        <v/>
      </c>
      <c r="H335" s="371" t="n"/>
      <c r="I335" s="371" t="n"/>
      <c r="J335" s="371" t="n"/>
      <c r="K335" s="371" t="n"/>
      <c r="L335" s="371" t="n"/>
      <c r="M335" s="371" t="n"/>
      <c r="N335" s="371" t="n"/>
      <c r="O335" s="371" t="n"/>
      <c r="P335" s="371" t="n"/>
      <c r="Q335" s="371" t="n"/>
      <c r="R335" s="371" t="n"/>
      <c r="S335" s="371" t="n"/>
      <c r="T335" s="371" t="n"/>
      <c r="U335" s="371" t="n"/>
      <c r="V335" s="371" t="n"/>
      <c r="W335" s="371" t="n"/>
      <c r="X335" s="371" t="n"/>
      <c r="Y335" s="371" t="n"/>
      <c r="Z335" s="372" t="n"/>
      <c r="AA335" s="372" t="n"/>
      <c r="AB335" s="371" t="n"/>
      <c r="AC335" s="371">
        <f>IF($B335="","",IF(AB335="Closed",IF(AA335="","",AA335-C335),TODAY()-C335))</f>
        <v/>
      </c>
      <c r="AD335" s="371" t="n"/>
    </row>
    <row r="336" ht="15" customHeight="1" s="15">
      <c r="A336" s="371">
        <f>IF($B336="","",ROW()-5)</f>
        <v/>
      </c>
      <c r="B336" s="371" t="n"/>
      <c r="C336" s="372" t="n"/>
      <c r="D336" s="371">
        <f>IF($B336="","",TEXT(C336,"MMM"))</f>
        <v/>
      </c>
      <c r="E336" s="371">
        <f>IF($B336="","","W"&amp;TEXT(WEEKNUM(C336,2),"00"))</f>
        <v/>
      </c>
      <c r="F336" s="371">
        <f>IF($B336="","","Q"&amp;(INT(MOD(MONTH(C336)-FY_Start+12,12)/3)+1))</f>
        <v/>
      </c>
      <c r="G336" s="371">
        <f>IF($B336="","","FY "&amp;IF(MONTH(C336)&gt;=FY_Start,YEAR(C336),YEAR(C336)-1)&amp;"-"&amp;RIGHT(IF(MONTH(C336)&gt;=FY_Start,YEAR(C336)+1,YEAR(C336)),2))</f>
        <v/>
      </c>
      <c r="H336" s="371" t="n"/>
      <c r="I336" s="371" t="n"/>
      <c r="J336" s="371" t="n"/>
      <c r="K336" s="371" t="n"/>
      <c r="L336" s="371" t="n"/>
      <c r="M336" s="371" t="n"/>
      <c r="N336" s="371" t="n"/>
      <c r="O336" s="371" t="n"/>
      <c r="P336" s="371" t="n"/>
      <c r="Q336" s="371" t="n"/>
      <c r="R336" s="371" t="n"/>
      <c r="S336" s="371" t="n"/>
      <c r="T336" s="371" t="n"/>
      <c r="U336" s="371" t="n"/>
      <c r="V336" s="371" t="n"/>
      <c r="W336" s="371" t="n"/>
      <c r="X336" s="371" t="n"/>
      <c r="Y336" s="371" t="n"/>
      <c r="Z336" s="372" t="n"/>
      <c r="AA336" s="372" t="n"/>
      <c r="AB336" s="371" t="n"/>
      <c r="AC336" s="371">
        <f>IF($B336="","",IF(AB336="Closed",IF(AA336="","",AA336-C336),TODAY()-C336))</f>
        <v/>
      </c>
      <c r="AD336" s="371" t="n"/>
    </row>
    <row r="337" ht="15" customHeight="1" s="15">
      <c r="A337" s="371">
        <f>IF($B337="","",ROW()-5)</f>
        <v/>
      </c>
      <c r="B337" s="371" t="n"/>
      <c r="C337" s="372" t="n"/>
      <c r="D337" s="371">
        <f>IF($B337="","",TEXT(C337,"MMM"))</f>
        <v/>
      </c>
      <c r="E337" s="371">
        <f>IF($B337="","","W"&amp;TEXT(WEEKNUM(C337,2),"00"))</f>
        <v/>
      </c>
      <c r="F337" s="371">
        <f>IF($B337="","","Q"&amp;(INT(MOD(MONTH(C337)-FY_Start+12,12)/3)+1))</f>
        <v/>
      </c>
      <c r="G337" s="371">
        <f>IF($B337="","","FY "&amp;IF(MONTH(C337)&gt;=FY_Start,YEAR(C337),YEAR(C337)-1)&amp;"-"&amp;RIGHT(IF(MONTH(C337)&gt;=FY_Start,YEAR(C337)+1,YEAR(C337)),2))</f>
        <v/>
      </c>
      <c r="H337" s="371" t="n"/>
      <c r="I337" s="371" t="n"/>
      <c r="J337" s="371" t="n"/>
      <c r="K337" s="371" t="n"/>
      <c r="L337" s="371" t="n"/>
      <c r="M337" s="371" t="n"/>
      <c r="N337" s="371" t="n"/>
      <c r="O337" s="371" t="n"/>
      <c r="P337" s="371" t="n"/>
      <c r="Q337" s="371" t="n"/>
      <c r="R337" s="371" t="n"/>
      <c r="S337" s="371" t="n"/>
      <c r="T337" s="371" t="n"/>
      <c r="U337" s="371" t="n"/>
      <c r="V337" s="371" t="n"/>
      <c r="W337" s="371" t="n"/>
      <c r="X337" s="371" t="n"/>
      <c r="Y337" s="371" t="n"/>
      <c r="Z337" s="372" t="n"/>
      <c r="AA337" s="372" t="n"/>
      <c r="AB337" s="371" t="n"/>
      <c r="AC337" s="371">
        <f>IF($B337="","",IF(AB337="Closed",IF(AA337="","",AA337-C337),TODAY()-C337))</f>
        <v/>
      </c>
      <c r="AD337" s="371" t="n"/>
    </row>
    <row r="338" ht="15" customHeight="1" s="15">
      <c r="A338" s="371">
        <f>IF($B338="","",ROW()-5)</f>
        <v/>
      </c>
      <c r="B338" s="371" t="n"/>
      <c r="C338" s="372" t="n"/>
      <c r="D338" s="371">
        <f>IF($B338="","",TEXT(C338,"MMM"))</f>
        <v/>
      </c>
      <c r="E338" s="371">
        <f>IF($B338="","","W"&amp;TEXT(WEEKNUM(C338,2),"00"))</f>
        <v/>
      </c>
      <c r="F338" s="371">
        <f>IF($B338="","","Q"&amp;(INT(MOD(MONTH(C338)-FY_Start+12,12)/3)+1))</f>
        <v/>
      </c>
      <c r="G338" s="371">
        <f>IF($B338="","","FY "&amp;IF(MONTH(C338)&gt;=FY_Start,YEAR(C338),YEAR(C338)-1)&amp;"-"&amp;RIGHT(IF(MONTH(C338)&gt;=FY_Start,YEAR(C338)+1,YEAR(C338)),2))</f>
        <v/>
      </c>
      <c r="H338" s="371" t="n"/>
      <c r="I338" s="371" t="n"/>
      <c r="J338" s="371" t="n"/>
      <c r="K338" s="371" t="n"/>
      <c r="L338" s="371" t="n"/>
      <c r="M338" s="371" t="n"/>
      <c r="N338" s="371" t="n"/>
      <c r="O338" s="371" t="n"/>
      <c r="P338" s="371" t="n"/>
      <c r="Q338" s="371" t="n"/>
      <c r="R338" s="371" t="n"/>
      <c r="S338" s="371" t="n"/>
      <c r="T338" s="371" t="n"/>
      <c r="U338" s="371" t="n"/>
      <c r="V338" s="371" t="n"/>
      <c r="W338" s="371" t="n"/>
      <c r="X338" s="371" t="n"/>
      <c r="Y338" s="371" t="n"/>
      <c r="Z338" s="372" t="n"/>
      <c r="AA338" s="372" t="n"/>
      <c r="AB338" s="371" t="n"/>
      <c r="AC338" s="371">
        <f>IF($B338="","",IF(AB338="Closed",IF(AA338="","",AA338-C338),TODAY()-C338))</f>
        <v/>
      </c>
      <c r="AD338" s="371" t="n"/>
    </row>
    <row r="339" ht="15" customHeight="1" s="15">
      <c r="A339" s="371">
        <f>IF($B339="","",ROW()-5)</f>
        <v/>
      </c>
      <c r="B339" s="371" t="n"/>
      <c r="C339" s="372" t="n"/>
      <c r="D339" s="371">
        <f>IF($B339="","",TEXT(C339,"MMM"))</f>
        <v/>
      </c>
      <c r="E339" s="371">
        <f>IF($B339="","","W"&amp;TEXT(WEEKNUM(C339,2),"00"))</f>
        <v/>
      </c>
      <c r="F339" s="371">
        <f>IF($B339="","","Q"&amp;(INT(MOD(MONTH(C339)-FY_Start+12,12)/3)+1))</f>
        <v/>
      </c>
      <c r="G339" s="371">
        <f>IF($B339="","","FY "&amp;IF(MONTH(C339)&gt;=FY_Start,YEAR(C339),YEAR(C339)-1)&amp;"-"&amp;RIGHT(IF(MONTH(C339)&gt;=FY_Start,YEAR(C339)+1,YEAR(C339)),2))</f>
        <v/>
      </c>
      <c r="H339" s="371" t="n"/>
      <c r="I339" s="371" t="n"/>
      <c r="J339" s="371" t="n"/>
      <c r="K339" s="371" t="n"/>
      <c r="L339" s="371" t="n"/>
      <c r="M339" s="371" t="n"/>
      <c r="N339" s="371" t="n"/>
      <c r="O339" s="371" t="n"/>
      <c r="P339" s="371" t="n"/>
      <c r="Q339" s="371" t="n"/>
      <c r="R339" s="371" t="n"/>
      <c r="S339" s="371" t="n"/>
      <c r="T339" s="371" t="n"/>
      <c r="U339" s="371" t="n"/>
      <c r="V339" s="371" t="n"/>
      <c r="W339" s="371" t="n"/>
      <c r="X339" s="371" t="n"/>
      <c r="Y339" s="371" t="n"/>
      <c r="Z339" s="372" t="n"/>
      <c r="AA339" s="372" t="n"/>
      <c r="AB339" s="371" t="n"/>
      <c r="AC339" s="371">
        <f>IF($B339="","",IF(AB339="Closed",IF(AA339="","",AA339-C339),TODAY()-C339))</f>
        <v/>
      </c>
      <c r="AD339" s="371" t="n"/>
    </row>
    <row r="340" ht="15" customHeight="1" s="15">
      <c r="A340" s="371">
        <f>IF($B340="","",ROW()-5)</f>
        <v/>
      </c>
      <c r="B340" s="371" t="n"/>
      <c r="C340" s="372" t="n"/>
      <c r="D340" s="371">
        <f>IF($B340="","",TEXT(C340,"MMM"))</f>
        <v/>
      </c>
      <c r="E340" s="371">
        <f>IF($B340="","","W"&amp;TEXT(WEEKNUM(C340,2),"00"))</f>
        <v/>
      </c>
      <c r="F340" s="371">
        <f>IF($B340="","","Q"&amp;(INT(MOD(MONTH(C340)-FY_Start+12,12)/3)+1))</f>
        <v/>
      </c>
      <c r="G340" s="371">
        <f>IF($B340="","","FY "&amp;IF(MONTH(C340)&gt;=FY_Start,YEAR(C340),YEAR(C340)-1)&amp;"-"&amp;RIGHT(IF(MONTH(C340)&gt;=FY_Start,YEAR(C340)+1,YEAR(C340)),2))</f>
        <v/>
      </c>
      <c r="H340" s="371" t="n"/>
      <c r="I340" s="371" t="n"/>
      <c r="J340" s="371" t="n"/>
      <c r="K340" s="371" t="n"/>
      <c r="L340" s="371" t="n"/>
      <c r="M340" s="371" t="n"/>
      <c r="N340" s="371" t="n"/>
      <c r="O340" s="371" t="n"/>
      <c r="P340" s="371" t="n"/>
      <c r="Q340" s="371" t="n"/>
      <c r="R340" s="371" t="n"/>
      <c r="S340" s="371" t="n"/>
      <c r="T340" s="371" t="n"/>
      <c r="U340" s="371" t="n"/>
      <c r="V340" s="371" t="n"/>
      <c r="W340" s="371" t="n"/>
      <c r="X340" s="371" t="n"/>
      <c r="Y340" s="371" t="n"/>
      <c r="Z340" s="372" t="n"/>
      <c r="AA340" s="372" t="n"/>
      <c r="AB340" s="371" t="n"/>
      <c r="AC340" s="371">
        <f>IF($B340="","",IF(AB340="Closed",IF(AA340="","",AA340-C340),TODAY()-C340))</f>
        <v/>
      </c>
      <c r="AD340" s="371" t="n"/>
    </row>
    <row r="341" ht="15" customHeight="1" s="15">
      <c r="A341" s="371">
        <f>IF($B341="","",ROW()-5)</f>
        <v/>
      </c>
      <c r="B341" s="371" t="n"/>
      <c r="C341" s="372" t="n"/>
      <c r="D341" s="371">
        <f>IF($B341="","",TEXT(C341,"MMM"))</f>
        <v/>
      </c>
      <c r="E341" s="371">
        <f>IF($B341="","","W"&amp;TEXT(WEEKNUM(C341,2),"00"))</f>
        <v/>
      </c>
      <c r="F341" s="371">
        <f>IF($B341="","","Q"&amp;(INT(MOD(MONTH(C341)-FY_Start+12,12)/3)+1))</f>
        <v/>
      </c>
      <c r="G341" s="371">
        <f>IF($B341="","","FY "&amp;IF(MONTH(C341)&gt;=FY_Start,YEAR(C341),YEAR(C341)-1)&amp;"-"&amp;RIGHT(IF(MONTH(C341)&gt;=FY_Start,YEAR(C341)+1,YEAR(C341)),2))</f>
        <v/>
      </c>
      <c r="H341" s="371" t="n"/>
      <c r="I341" s="371" t="n"/>
      <c r="J341" s="371" t="n"/>
      <c r="K341" s="371" t="n"/>
      <c r="L341" s="371" t="n"/>
      <c r="M341" s="371" t="n"/>
      <c r="N341" s="371" t="n"/>
      <c r="O341" s="371" t="n"/>
      <c r="P341" s="371" t="n"/>
      <c r="Q341" s="371" t="n"/>
      <c r="R341" s="371" t="n"/>
      <c r="S341" s="371" t="n"/>
      <c r="T341" s="371" t="n"/>
      <c r="U341" s="371" t="n"/>
      <c r="V341" s="371" t="n"/>
      <c r="W341" s="371" t="n"/>
      <c r="X341" s="371" t="n"/>
      <c r="Y341" s="371" t="n"/>
      <c r="Z341" s="372" t="n"/>
      <c r="AA341" s="372" t="n"/>
      <c r="AB341" s="371" t="n"/>
      <c r="AC341" s="371">
        <f>IF($B341="","",IF(AB341="Closed",IF(AA341="","",AA341-C341),TODAY()-C341))</f>
        <v/>
      </c>
      <c r="AD341" s="371" t="n"/>
    </row>
    <row r="342" ht="15" customHeight="1" s="15">
      <c r="A342" s="371">
        <f>IF($B342="","",ROW()-5)</f>
        <v/>
      </c>
      <c r="B342" s="371" t="n"/>
      <c r="C342" s="372" t="n"/>
      <c r="D342" s="371">
        <f>IF($B342="","",TEXT(C342,"MMM"))</f>
        <v/>
      </c>
      <c r="E342" s="371">
        <f>IF($B342="","","W"&amp;TEXT(WEEKNUM(C342,2),"00"))</f>
        <v/>
      </c>
      <c r="F342" s="371">
        <f>IF($B342="","","Q"&amp;(INT(MOD(MONTH(C342)-FY_Start+12,12)/3)+1))</f>
        <v/>
      </c>
      <c r="G342" s="371">
        <f>IF($B342="","","FY "&amp;IF(MONTH(C342)&gt;=FY_Start,YEAR(C342),YEAR(C342)-1)&amp;"-"&amp;RIGHT(IF(MONTH(C342)&gt;=FY_Start,YEAR(C342)+1,YEAR(C342)),2))</f>
        <v/>
      </c>
      <c r="H342" s="371" t="n"/>
      <c r="I342" s="371" t="n"/>
      <c r="J342" s="371" t="n"/>
      <c r="K342" s="371" t="n"/>
      <c r="L342" s="371" t="n"/>
      <c r="M342" s="371" t="n"/>
      <c r="N342" s="371" t="n"/>
      <c r="O342" s="371" t="n"/>
      <c r="P342" s="371" t="n"/>
      <c r="Q342" s="371" t="n"/>
      <c r="R342" s="371" t="n"/>
      <c r="S342" s="371" t="n"/>
      <c r="T342" s="371" t="n"/>
      <c r="U342" s="371" t="n"/>
      <c r="V342" s="371" t="n"/>
      <c r="W342" s="371" t="n"/>
      <c r="X342" s="371" t="n"/>
      <c r="Y342" s="371" t="n"/>
      <c r="Z342" s="372" t="n"/>
      <c r="AA342" s="372" t="n"/>
      <c r="AB342" s="371" t="n"/>
      <c r="AC342" s="371">
        <f>IF($B342="","",IF(AB342="Closed",IF(AA342="","",AA342-C342),TODAY()-C342))</f>
        <v/>
      </c>
      <c r="AD342" s="371" t="n"/>
    </row>
    <row r="343" ht="15" customHeight="1" s="15">
      <c r="A343" s="371">
        <f>IF($B343="","",ROW()-5)</f>
        <v/>
      </c>
      <c r="B343" s="371" t="n"/>
      <c r="C343" s="372" t="n"/>
      <c r="D343" s="371">
        <f>IF($B343="","",TEXT(C343,"MMM"))</f>
        <v/>
      </c>
      <c r="E343" s="371">
        <f>IF($B343="","","W"&amp;TEXT(WEEKNUM(C343,2),"00"))</f>
        <v/>
      </c>
      <c r="F343" s="371">
        <f>IF($B343="","","Q"&amp;(INT(MOD(MONTH(C343)-FY_Start+12,12)/3)+1))</f>
        <v/>
      </c>
      <c r="G343" s="371">
        <f>IF($B343="","","FY "&amp;IF(MONTH(C343)&gt;=FY_Start,YEAR(C343),YEAR(C343)-1)&amp;"-"&amp;RIGHT(IF(MONTH(C343)&gt;=FY_Start,YEAR(C343)+1,YEAR(C343)),2))</f>
        <v/>
      </c>
      <c r="H343" s="371" t="n"/>
      <c r="I343" s="371" t="n"/>
      <c r="J343" s="371" t="n"/>
      <c r="K343" s="371" t="n"/>
      <c r="L343" s="371" t="n"/>
      <c r="M343" s="371" t="n"/>
      <c r="N343" s="371" t="n"/>
      <c r="O343" s="371" t="n"/>
      <c r="P343" s="371" t="n"/>
      <c r="Q343" s="371" t="n"/>
      <c r="R343" s="371" t="n"/>
      <c r="S343" s="371" t="n"/>
      <c r="T343" s="371" t="n"/>
      <c r="U343" s="371" t="n"/>
      <c r="V343" s="371" t="n"/>
      <c r="W343" s="371" t="n"/>
      <c r="X343" s="371" t="n"/>
      <c r="Y343" s="371" t="n"/>
      <c r="Z343" s="372" t="n"/>
      <c r="AA343" s="372" t="n"/>
      <c r="AB343" s="371" t="n"/>
      <c r="AC343" s="371">
        <f>IF($B343="","",IF(AB343="Closed",IF(AA343="","",AA343-C343),TODAY()-C343))</f>
        <v/>
      </c>
      <c r="AD343" s="371" t="n"/>
    </row>
    <row r="344" ht="15" customHeight="1" s="15">
      <c r="A344" s="371">
        <f>IF($B344="","",ROW()-5)</f>
        <v/>
      </c>
      <c r="B344" s="371" t="n"/>
      <c r="C344" s="372" t="n"/>
      <c r="D344" s="371">
        <f>IF($B344="","",TEXT(C344,"MMM"))</f>
        <v/>
      </c>
      <c r="E344" s="371">
        <f>IF($B344="","","W"&amp;TEXT(WEEKNUM(C344,2),"00"))</f>
        <v/>
      </c>
      <c r="F344" s="371">
        <f>IF($B344="","","Q"&amp;(INT(MOD(MONTH(C344)-FY_Start+12,12)/3)+1))</f>
        <v/>
      </c>
      <c r="G344" s="371">
        <f>IF($B344="","","FY "&amp;IF(MONTH(C344)&gt;=FY_Start,YEAR(C344),YEAR(C344)-1)&amp;"-"&amp;RIGHT(IF(MONTH(C344)&gt;=FY_Start,YEAR(C344)+1,YEAR(C344)),2))</f>
        <v/>
      </c>
      <c r="H344" s="371" t="n"/>
      <c r="I344" s="371" t="n"/>
      <c r="J344" s="371" t="n"/>
      <c r="K344" s="371" t="n"/>
      <c r="L344" s="371" t="n"/>
      <c r="M344" s="371" t="n"/>
      <c r="N344" s="371" t="n"/>
      <c r="O344" s="371" t="n"/>
      <c r="P344" s="371" t="n"/>
      <c r="Q344" s="371" t="n"/>
      <c r="R344" s="371" t="n"/>
      <c r="S344" s="371" t="n"/>
      <c r="T344" s="371" t="n"/>
      <c r="U344" s="371" t="n"/>
      <c r="V344" s="371" t="n"/>
      <c r="W344" s="371" t="n"/>
      <c r="X344" s="371" t="n"/>
      <c r="Y344" s="371" t="n"/>
      <c r="Z344" s="372" t="n"/>
      <c r="AA344" s="372" t="n"/>
      <c r="AB344" s="371" t="n"/>
      <c r="AC344" s="371">
        <f>IF($B344="","",IF(AB344="Closed",IF(AA344="","",AA344-C344),TODAY()-C344))</f>
        <v/>
      </c>
      <c r="AD344" s="371" t="n"/>
    </row>
    <row r="345" ht="15" customHeight="1" s="15">
      <c r="A345" s="371">
        <f>IF($B345="","",ROW()-5)</f>
        <v/>
      </c>
      <c r="B345" s="371" t="n"/>
      <c r="C345" s="372" t="n"/>
      <c r="D345" s="371">
        <f>IF($B345="","",TEXT(C345,"MMM"))</f>
        <v/>
      </c>
      <c r="E345" s="371">
        <f>IF($B345="","","W"&amp;TEXT(WEEKNUM(C345,2),"00"))</f>
        <v/>
      </c>
      <c r="F345" s="371">
        <f>IF($B345="","","Q"&amp;(INT(MOD(MONTH(C345)-FY_Start+12,12)/3)+1))</f>
        <v/>
      </c>
      <c r="G345" s="371">
        <f>IF($B345="","","FY "&amp;IF(MONTH(C345)&gt;=FY_Start,YEAR(C345),YEAR(C345)-1)&amp;"-"&amp;RIGHT(IF(MONTH(C345)&gt;=FY_Start,YEAR(C345)+1,YEAR(C345)),2))</f>
        <v/>
      </c>
      <c r="H345" s="371" t="n"/>
      <c r="I345" s="371" t="n"/>
      <c r="J345" s="371" t="n"/>
      <c r="K345" s="371" t="n"/>
      <c r="L345" s="371" t="n"/>
      <c r="M345" s="371" t="n"/>
      <c r="N345" s="371" t="n"/>
      <c r="O345" s="371" t="n"/>
      <c r="P345" s="371" t="n"/>
      <c r="Q345" s="371" t="n"/>
      <c r="R345" s="371" t="n"/>
      <c r="S345" s="371" t="n"/>
      <c r="T345" s="371" t="n"/>
      <c r="U345" s="371" t="n"/>
      <c r="V345" s="371" t="n"/>
      <c r="W345" s="371" t="n"/>
      <c r="X345" s="371" t="n"/>
      <c r="Y345" s="371" t="n"/>
      <c r="Z345" s="372" t="n"/>
      <c r="AA345" s="372" t="n"/>
      <c r="AB345" s="371" t="n"/>
      <c r="AC345" s="371">
        <f>IF($B345="","",IF(AB345="Closed",IF(AA345="","",AA345-C345),TODAY()-C345))</f>
        <v/>
      </c>
      <c r="AD345" s="371" t="n"/>
    </row>
    <row r="346" ht="15" customHeight="1" s="15">
      <c r="A346" s="371">
        <f>IF($B346="","",ROW()-5)</f>
        <v/>
      </c>
      <c r="B346" s="371" t="n"/>
      <c r="C346" s="372" t="n"/>
      <c r="D346" s="371">
        <f>IF($B346="","",TEXT(C346,"MMM"))</f>
        <v/>
      </c>
      <c r="E346" s="371">
        <f>IF($B346="","","W"&amp;TEXT(WEEKNUM(C346,2),"00"))</f>
        <v/>
      </c>
      <c r="F346" s="371">
        <f>IF($B346="","","Q"&amp;(INT(MOD(MONTH(C346)-FY_Start+12,12)/3)+1))</f>
        <v/>
      </c>
      <c r="G346" s="371">
        <f>IF($B346="","","FY "&amp;IF(MONTH(C346)&gt;=FY_Start,YEAR(C346),YEAR(C346)-1)&amp;"-"&amp;RIGHT(IF(MONTH(C346)&gt;=FY_Start,YEAR(C346)+1,YEAR(C346)),2))</f>
        <v/>
      </c>
      <c r="H346" s="371" t="n"/>
      <c r="I346" s="371" t="n"/>
      <c r="J346" s="371" t="n"/>
      <c r="K346" s="371" t="n"/>
      <c r="L346" s="371" t="n"/>
      <c r="M346" s="371" t="n"/>
      <c r="N346" s="371" t="n"/>
      <c r="O346" s="371" t="n"/>
      <c r="P346" s="371" t="n"/>
      <c r="Q346" s="371" t="n"/>
      <c r="R346" s="371" t="n"/>
      <c r="S346" s="371" t="n"/>
      <c r="T346" s="371" t="n"/>
      <c r="U346" s="371" t="n"/>
      <c r="V346" s="371" t="n"/>
      <c r="W346" s="371" t="n"/>
      <c r="X346" s="371" t="n"/>
      <c r="Y346" s="371" t="n"/>
      <c r="Z346" s="372" t="n"/>
      <c r="AA346" s="372" t="n"/>
      <c r="AB346" s="371" t="n"/>
      <c r="AC346" s="371">
        <f>IF($B346="","",IF(AB346="Closed",IF(AA346="","",AA346-C346),TODAY()-C346))</f>
        <v/>
      </c>
      <c r="AD346" s="371" t="n"/>
    </row>
    <row r="347" ht="15" customHeight="1" s="15">
      <c r="A347" s="371">
        <f>IF($B347="","",ROW()-5)</f>
        <v/>
      </c>
      <c r="B347" s="371" t="n"/>
      <c r="C347" s="372" t="n"/>
      <c r="D347" s="371">
        <f>IF($B347="","",TEXT(C347,"MMM"))</f>
        <v/>
      </c>
      <c r="E347" s="371">
        <f>IF($B347="","","W"&amp;TEXT(WEEKNUM(C347,2),"00"))</f>
        <v/>
      </c>
      <c r="F347" s="371">
        <f>IF($B347="","","Q"&amp;(INT(MOD(MONTH(C347)-FY_Start+12,12)/3)+1))</f>
        <v/>
      </c>
      <c r="G347" s="371">
        <f>IF($B347="","","FY "&amp;IF(MONTH(C347)&gt;=FY_Start,YEAR(C347),YEAR(C347)-1)&amp;"-"&amp;RIGHT(IF(MONTH(C347)&gt;=FY_Start,YEAR(C347)+1,YEAR(C347)),2))</f>
        <v/>
      </c>
      <c r="H347" s="371" t="n"/>
      <c r="I347" s="371" t="n"/>
      <c r="J347" s="371" t="n"/>
      <c r="K347" s="371" t="n"/>
      <c r="L347" s="371" t="n"/>
      <c r="M347" s="371" t="n"/>
      <c r="N347" s="371" t="n"/>
      <c r="O347" s="371" t="n"/>
      <c r="P347" s="371" t="n"/>
      <c r="Q347" s="371" t="n"/>
      <c r="R347" s="371" t="n"/>
      <c r="S347" s="371" t="n"/>
      <c r="T347" s="371" t="n"/>
      <c r="U347" s="371" t="n"/>
      <c r="V347" s="371" t="n"/>
      <c r="W347" s="371" t="n"/>
      <c r="X347" s="371" t="n"/>
      <c r="Y347" s="371" t="n"/>
      <c r="Z347" s="372" t="n"/>
      <c r="AA347" s="372" t="n"/>
      <c r="AB347" s="371" t="n"/>
      <c r="AC347" s="371">
        <f>IF($B347="","",IF(AB347="Closed",IF(AA347="","",AA347-C347),TODAY()-C347))</f>
        <v/>
      </c>
      <c r="AD347" s="371" t="n"/>
    </row>
    <row r="348" ht="15" customHeight="1" s="15">
      <c r="A348" s="371">
        <f>IF($B348="","",ROW()-5)</f>
        <v/>
      </c>
      <c r="B348" s="371" t="n"/>
      <c r="C348" s="372" t="n"/>
      <c r="D348" s="371">
        <f>IF($B348="","",TEXT(C348,"MMM"))</f>
        <v/>
      </c>
      <c r="E348" s="371">
        <f>IF($B348="","","W"&amp;TEXT(WEEKNUM(C348,2),"00"))</f>
        <v/>
      </c>
      <c r="F348" s="371">
        <f>IF($B348="","","Q"&amp;(INT(MOD(MONTH(C348)-FY_Start+12,12)/3)+1))</f>
        <v/>
      </c>
      <c r="G348" s="371">
        <f>IF($B348="","","FY "&amp;IF(MONTH(C348)&gt;=FY_Start,YEAR(C348),YEAR(C348)-1)&amp;"-"&amp;RIGHT(IF(MONTH(C348)&gt;=FY_Start,YEAR(C348)+1,YEAR(C348)),2))</f>
        <v/>
      </c>
      <c r="H348" s="371" t="n"/>
      <c r="I348" s="371" t="n"/>
      <c r="J348" s="371" t="n"/>
      <c r="K348" s="371" t="n"/>
      <c r="L348" s="371" t="n"/>
      <c r="M348" s="371" t="n"/>
      <c r="N348" s="371" t="n"/>
      <c r="O348" s="371" t="n"/>
      <c r="P348" s="371" t="n"/>
      <c r="Q348" s="371" t="n"/>
      <c r="R348" s="371" t="n"/>
      <c r="S348" s="371" t="n"/>
      <c r="T348" s="371" t="n"/>
      <c r="U348" s="371" t="n"/>
      <c r="V348" s="371" t="n"/>
      <c r="W348" s="371" t="n"/>
      <c r="X348" s="371" t="n"/>
      <c r="Y348" s="371" t="n"/>
      <c r="Z348" s="372" t="n"/>
      <c r="AA348" s="372" t="n"/>
      <c r="AB348" s="371" t="n"/>
      <c r="AC348" s="371">
        <f>IF($B348="","",IF(AB348="Closed",IF(AA348="","",AA348-C348),TODAY()-C348))</f>
        <v/>
      </c>
      <c r="AD348" s="371" t="n"/>
    </row>
    <row r="349" ht="15" customHeight="1" s="15">
      <c r="A349" s="371">
        <f>IF($B349="","",ROW()-5)</f>
        <v/>
      </c>
      <c r="B349" s="371" t="n"/>
      <c r="C349" s="372" t="n"/>
      <c r="D349" s="371">
        <f>IF($B349="","",TEXT(C349,"MMM"))</f>
        <v/>
      </c>
      <c r="E349" s="371">
        <f>IF($B349="","","W"&amp;TEXT(WEEKNUM(C349,2),"00"))</f>
        <v/>
      </c>
      <c r="F349" s="371">
        <f>IF($B349="","","Q"&amp;(INT(MOD(MONTH(C349)-FY_Start+12,12)/3)+1))</f>
        <v/>
      </c>
      <c r="G349" s="371">
        <f>IF($B349="","","FY "&amp;IF(MONTH(C349)&gt;=FY_Start,YEAR(C349),YEAR(C349)-1)&amp;"-"&amp;RIGHT(IF(MONTH(C349)&gt;=FY_Start,YEAR(C349)+1,YEAR(C349)),2))</f>
        <v/>
      </c>
      <c r="H349" s="371" t="n"/>
      <c r="I349" s="371" t="n"/>
      <c r="J349" s="371" t="n"/>
      <c r="K349" s="371" t="n"/>
      <c r="L349" s="371" t="n"/>
      <c r="M349" s="371" t="n"/>
      <c r="N349" s="371" t="n"/>
      <c r="O349" s="371" t="n"/>
      <c r="P349" s="371" t="n"/>
      <c r="Q349" s="371" t="n"/>
      <c r="R349" s="371" t="n"/>
      <c r="S349" s="371" t="n"/>
      <c r="T349" s="371" t="n"/>
      <c r="U349" s="371" t="n"/>
      <c r="V349" s="371" t="n"/>
      <c r="W349" s="371" t="n"/>
      <c r="X349" s="371" t="n"/>
      <c r="Y349" s="371" t="n"/>
      <c r="Z349" s="372" t="n"/>
      <c r="AA349" s="372" t="n"/>
      <c r="AB349" s="371" t="n"/>
      <c r="AC349" s="371">
        <f>IF($B349="","",IF(AB349="Closed",IF(AA349="","",AA349-C349),TODAY()-C349))</f>
        <v/>
      </c>
      <c r="AD349" s="371" t="n"/>
    </row>
    <row r="350" ht="15" customHeight="1" s="15">
      <c r="A350" s="371">
        <f>IF($B350="","",ROW()-5)</f>
        <v/>
      </c>
      <c r="B350" s="371" t="n"/>
      <c r="C350" s="372" t="n"/>
      <c r="D350" s="371">
        <f>IF($B350="","",TEXT(C350,"MMM"))</f>
        <v/>
      </c>
      <c r="E350" s="371">
        <f>IF($B350="","","W"&amp;TEXT(WEEKNUM(C350,2),"00"))</f>
        <v/>
      </c>
      <c r="F350" s="371">
        <f>IF($B350="","","Q"&amp;(INT(MOD(MONTH(C350)-FY_Start+12,12)/3)+1))</f>
        <v/>
      </c>
      <c r="G350" s="371">
        <f>IF($B350="","","FY "&amp;IF(MONTH(C350)&gt;=FY_Start,YEAR(C350),YEAR(C350)-1)&amp;"-"&amp;RIGHT(IF(MONTH(C350)&gt;=FY_Start,YEAR(C350)+1,YEAR(C350)),2))</f>
        <v/>
      </c>
      <c r="H350" s="371" t="n"/>
      <c r="I350" s="371" t="n"/>
      <c r="J350" s="371" t="n"/>
      <c r="K350" s="371" t="n"/>
      <c r="L350" s="371" t="n"/>
      <c r="M350" s="371" t="n"/>
      <c r="N350" s="371" t="n"/>
      <c r="O350" s="371" t="n"/>
      <c r="P350" s="371" t="n"/>
      <c r="Q350" s="371" t="n"/>
      <c r="R350" s="371" t="n"/>
      <c r="S350" s="371" t="n"/>
      <c r="T350" s="371" t="n"/>
      <c r="U350" s="371" t="n"/>
      <c r="V350" s="371" t="n"/>
      <c r="W350" s="371" t="n"/>
      <c r="X350" s="371" t="n"/>
      <c r="Y350" s="371" t="n"/>
      <c r="Z350" s="372" t="n"/>
      <c r="AA350" s="372" t="n"/>
      <c r="AB350" s="371" t="n"/>
      <c r="AC350" s="371">
        <f>IF($B350="","",IF(AB350="Closed",IF(AA350="","",AA350-C350),TODAY()-C350))</f>
        <v/>
      </c>
      <c r="AD350" s="371" t="n"/>
    </row>
    <row r="351" ht="15" customHeight="1" s="15">
      <c r="A351" s="371">
        <f>IF($B351="","",ROW()-5)</f>
        <v/>
      </c>
      <c r="B351" s="371" t="n"/>
      <c r="C351" s="372" t="n"/>
      <c r="D351" s="371">
        <f>IF($B351="","",TEXT(C351,"MMM"))</f>
        <v/>
      </c>
      <c r="E351" s="371">
        <f>IF($B351="","","W"&amp;TEXT(WEEKNUM(C351,2),"00"))</f>
        <v/>
      </c>
      <c r="F351" s="371">
        <f>IF($B351="","","Q"&amp;(INT(MOD(MONTH(C351)-FY_Start+12,12)/3)+1))</f>
        <v/>
      </c>
      <c r="G351" s="371">
        <f>IF($B351="","","FY "&amp;IF(MONTH(C351)&gt;=FY_Start,YEAR(C351),YEAR(C351)-1)&amp;"-"&amp;RIGHT(IF(MONTH(C351)&gt;=FY_Start,YEAR(C351)+1,YEAR(C351)),2))</f>
        <v/>
      </c>
      <c r="H351" s="371" t="n"/>
      <c r="I351" s="371" t="n"/>
      <c r="J351" s="371" t="n"/>
      <c r="K351" s="371" t="n"/>
      <c r="L351" s="371" t="n"/>
      <c r="M351" s="371" t="n"/>
      <c r="N351" s="371" t="n"/>
      <c r="O351" s="371" t="n"/>
      <c r="P351" s="371" t="n"/>
      <c r="Q351" s="371" t="n"/>
      <c r="R351" s="371" t="n"/>
      <c r="S351" s="371" t="n"/>
      <c r="T351" s="371" t="n"/>
      <c r="U351" s="371" t="n"/>
      <c r="V351" s="371" t="n"/>
      <c r="W351" s="371" t="n"/>
      <c r="X351" s="371" t="n"/>
      <c r="Y351" s="371" t="n"/>
      <c r="Z351" s="372" t="n"/>
      <c r="AA351" s="372" t="n"/>
      <c r="AB351" s="371" t="n"/>
      <c r="AC351" s="371">
        <f>IF($B351="","",IF(AB351="Closed",IF(AA351="","",AA351-C351),TODAY()-C351))</f>
        <v/>
      </c>
      <c r="AD351" s="371" t="n"/>
    </row>
    <row r="352" ht="15" customHeight="1" s="15">
      <c r="A352" s="371">
        <f>IF($B352="","",ROW()-5)</f>
        <v/>
      </c>
      <c r="B352" s="371" t="n"/>
      <c r="C352" s="372" t="n"/>
      <c r="D352" s="371">
        <f>IF($B352="","",TEXT(C352,"MMM"))</f>
        <v/>
      </c>
      <c r="E352" s="371">
        <f>IF($B352="","","W"&amp;TEXT(WEEKNUM(C352,2),"00"))</f>
        <v/>
      </c>
      <c r="F352" s="371">
        <f>IF($B352="","","Q"&amp;(INT(MOD(MONTH(C352)-FY_Start+12,12)/3)+1))</f>
        <v/>
      </c>
      <c r="G352" s="371">
        <f>IF($B352="","","FY "&amp;IF(MONTH(C352)&gt;=FY_Start,YEAR(C352),YEAR(C352)-1)&amp;"-"&amp;RIGHT(IF(MONTH(C352)&gt;=FY_Start,YEAR(C352)+1,YEAR(C352)),2))</f>
        <v/>
      </c>
      <c r="H352" s="371" t="n"/>
      <c r="I352" s="371" t="n"/>
      <c r="J352" s="371" t="n"/>
      <c r="K352" s="371" t="n"/>
      <c r="L352" s="371" t="n"/>
      <c r="M352" s="371" t="n"/>
      <c r="N352" s="371" t="n"/>
      <c r="O352" s="371" t="n"/>
      <c r="P352" s="371" t="n"/>
      <c r="Q352" s="371" t="n"/>
      <c r="R352" s="371" t="n"/>
      <c r="S352" s="371" t="n"/>
      <c r="T352" s="371" t="n"/>
      <c r="U352" s="371" t="n"/>
      <c r="V352" s="371" t="n"/>
      <c r="W352" s="371" t="n"/>
      <c r="X352" s="371" t="n"/>
      <c r="Y352" s="371" t="n"/>
      <c r="Z352" s="372" t="n"/>
      <c r="AA352" s="372" t="n"/>
      <c r="AB352" s="371" t="n"/>
      <c r="AC352" s="371">
        <f>IF($B352="","",IF(AB352="Closed",IF(AA352="","",AA352-C352),TODAY()-C352))</f>
        <v/>
      </c>
      <c r="AD352" s="371" t="n"/>
    </row>
    <row r="353" ht="15" customHeight="1" s="15">
      <c r="A353" s="371">
        <f>IF($B353="","",ROW()-5)</f>
        <v/>
      </c>
      <c r="B353" s="371" t="n"/>
      <c r="C353" s="372" t="n"/>
      <c r="D353" s="371">
        <f>IF($B353="","",TEXT(C353,"MMM"))</f>
        <v/>
      </c>
      <c r="E353" s="371">
        <f>IF($B353="","","W"&amp;TEXT(WEEKNUM(C353,2),"00"))</f>
        <v/>
      </c>
      <c r="F353" s="371">
        <f>IF($B353="","","Q"&amp;(INT(MOD(MONTH(C353)-FY_Start+12,12)/3)+1))</f>
        <v/>
      </c>
      <c r="G353" s="371">
        <f>IF($B353="","","FY "&amp;IF(MONTH(C353)&gt;=FY_Start,YEAR(C353),YEAR(C353)-1)&amp;"-"&amp;RIGHT(IF(MONTH(C353)&gt;=FY_Start,YEAR(C353)+1,YEAR(C353)),2))</f>
        <v/>
      </c>
      <c r="H353" s="371" t="n"/>
      <c r="I353" s="371" t="n"/>
      <c r="J353" s="371" t="n"/>
      <c r="K353" s="371" t="n"/>
      <c r="L353" s="371" t="n"/>
      <c r="M353" s="371" t="n"/>
      <c r="N353" s="371" t="n"/>
      <c r="O353" s="371" t="n"/>
      <c r="P353" s="371" t="n"/>
      <c r="Q353" s="371" t="n"/>
      <c r="R353" s="371" t="n"/>
      <c r="S353" s="371" t="n"/>
      <c r="T353" s="371" t="n"/>
      <c r="U353" s="371" t="n"/>
      <c r="V353" s="371" t="n"/>
      <c r="W353" s="371" t="n"/>
      <c r="X353" s="371" t="n"/>
      <c r="Y353" s="371" t="n"/>
      <c r="Z353" s="372" t="n"/>
      <c r="AA353" s="372" t="n"/>
      <c r="AB353" s="371" t="n"/>
      <c r="AC353" s="371">
        <f>IF($B353="","",IF(AB353="Closed",IF(AA353="","",AA353-C353),TODAY()-C353))</f>
        <v/>
      </c>
      <c r="AD353" s="371" t="n"/>
    </row>
    <row r="354" ht="15" customHeight="1" s="15">
      <c r="A354" s="371">
        <f>IF($B354="","",ROW()-5)</f>
        <v/>
      </c>
      <c r="B354" s="371" t="n"/>
      <c r="C354" s="372" t="n"/>
      <c r="D354" s="371">
        <f>IF($B354="","",TEXT(C354,"MMM"))</f>
        <v/>
      </c>
      <c r="E354" s="371">
        <f>IF($B354="","","W"&amp;TEXT(WEEKNUM(C354,2),"00"))</f>
        <v/>
      </c>
      <c r="F354" s="371">
        <f>IF($B354="","","Q"&amp;(INT(MOD(MONTH(C354)-FY_Start+12,12)/3)+1))</f>
        <v/>
      </c>
      <c r="G354" s="371">
        <f>IF($B354="","","FY "&amp;IF(MONTH(C354)&gt;=FY_Start,YEAR(C354),YEAR(C354)-1)&amp;"-"&amp;RIGHT(IF(MONTH(C354)&gt;=FY_Start,YEAR(C354)+1,YEAR(C354)),2))</f>
        <v/>
      </c>
      <c r="H354" s="371" t="n"/>
      <c r="I354" s="371" t="n"/>
      <c r="J354" s="371" t="n"/>
      <c r="K354" s="371" t="n"/>
      <c r="L354" s="371" t="n"/>
      <c r="M354" s="371" t="n"/>
      <c r="N354" s="371" t="n"/>
      <c r="O354" s="371" t="n"/>
      <c r="P354" s="371" t="n"/>
      <c r="Q354" s="371" t="n"/>
      <c r="R354" s="371" t="n"/>
      <c r="S354" s="371" t="n"/>
      <c r="T354" s="371" t="n"/>
      <c r="U354" s="371" t="n"/>
      <c r="V354" s="371" t="n"/>
      <c r="W354" s="371" t="n"/>
      <c r="X354" s="371" t="n"/>
      <c r="Y354" s="371" t="n"/>
      <c r="Z354" s="372" t="n"/>
      <c r="AA354" s="372" t="n"/>
      <c r="AB354" s="371" t="n"/>
      <c r="AC354" s="371">
        <f>IF($B354="","",IF(AB354="Closed",IF(AA354="","",AA354-C354),TODAY()-C354))</f>
        <v/>
      </c>
      <c r="AD354" s="371" t="n"/>
    </row>
    <row r="355" ht="15" customHeight="1" s="15">
      <c r="A355" s="371">
        <f>IF($B355="","",ROW()-5)</f>
        <v/>
      </c>
      <c r="B355" s="371" t="n"/>
      <c r="C355" s="372" t="n"/>
      <c r="D355" s="371">
        <f>IF($B355="","",TEXT(C355,"MMM"))</f>
        <v/>
      </c>
      <c r="E355" s="371">
        <f>IF($B355="","","W"&amp;TEXT(WEEKNUM(C355,2),"00"))</f>
        <v/>
      </c>
      <c r="F355" s="371">
        <f>IF($B355="","","Q"&amp;(INT(MOD(MONTH(C355)-FY_Start+12,12)/3)+1))</f>
        <v/>
      </c>
      <c r="G355" s="371">
        <f>IF($B355="","","FY "&amp;IF(MONTH(C355)&gt;=FY_Start,YEAR(C355),YEAR(C355)-1)&amp;"-"&amp;RIGHT(IF(MONTH(C355)&gt;=FY_Start,YEAR(C355)+1,YEAR(C355)),2))</f>
        <v/>
      </c>
      <c r="H355" s="371" t="n"/>
      <c r="I355" s="371" t="n"/>
      <c r="J355" s="371" t="n"/>
      <c r="K355" s="371" t="n"/>
      <c r="L355" s="371" t="n"/>
      <c r="M355" s="371" t="n"/>
      <c r="N355" s="371" t="n"/>
      <c r="O355" s="371" t="n"/>
      <c r="P355" s="371" t="n"/>
      <c r="Q355" s="371" t="n"/>
      <c r="R355" s="371" t="n"/>
      <c r="S355" s="371" t="n"/>
      <c r="T355" s="371" t="n"/>
      <c r="U355" s="371" t="n"/>
      <c r="V355" s="371" t="n"/>
      <c r="W355" s="371" t="n"/>
      <c r="X355" s="371" t="n"/>
      <c r="Y355" s="371" t="n"/>
      <c r="Z355" s="372" t="n"/>
      <c r="AA355" s="372" t="n"/>
      <c r="AB355" s="371" t="n"/>
      <c r="AC355" s="371">
        <f>IF($B355="","",IF(AB355="Closed",IF(AA355="","",AA355-C355),TODAY()-C355))</f>
        <v/>
      </c>
      <c r="AD355" s="371" t="n"/>
    </row>
    <row r="356" ht="15" customHeight="1" s="15">
      <c r="A356" s="371">
        <f>IF($B356="","",ROW()-5)</f>
        <v/>
      </c>
      <c r="B356" s="371" t="n"/>
      <c r="C356" s="372" t="n"/>
      <c r="D356" s="371">
        <f>IF($B356="","",TEXT(C356,"MMM"))</f>
        <v/>
      </c>
      <c r="E356" s="371">
        <f>IF($B356="","","W"&amp;TEXT(WEEKNUM(C356,2),"00"))</f>
        <v/>
      </c>
      <c r="F356" s="371">
        <f>IF($B356="","","Q"&amp;(INT(MOD(MONTH(C356)-FY_Start+12,12)/3)+1))</f>
        <v/>
      </c>
      <c r="G356" s="371">
        <f>IF($B356="","","FY "&amp;IF(MONTH(C356)&gt;=FY_Start,YEAR(C356),YEAR(C356)-1)&amp;"-"&amp;RIGHT(IF(MONTH(C356)&gt;=FY_Start,YEAR(C356)+1,YEAR(C356)),2))</f>
        <v/>
      </c>
      <c r="H356" s="371" t="n"/>
      <c r="I356" s="371" t="n"/>
      <c r="J356" s="371" t="n"/>
      <c r="K356" s="371" t="n"/>
      <c r="L356" s="371" t="n"/>
      <c r="M356" s="371" t="n"/>
      <c r="N356" s="371" t="n"/>
      <c r="O356" s="371" t="n"/>
      <c r="P356" s="371" t="n"/>
      <c r="Q356" s="371" t="n"/>
      <c r="R356" s="371" t="n"/>
      <c r="S356" s="371" t="n"/>
      <c r="T356" s="371" t="n"/>
      <c r="U356" s="371" t="n"/>
      <c r="V356" s="371" t="n"/>
      <c r="W356" s="371" t="n"/>
      <c r="X356" s="371" t="n"/>
      <c r="Y356" s="371" t="n"/>
      <c r="Z356" s="372" t="n"/>
      <c r="AA356" s="372" t="n"/>
      <c r="AB356" s="371" t="n"/>
      <c r="AC356" s="371">
        <f>IF($B356="","",IF(AB356="Closed",IF(AA356="","",AA356-C356),TODAY()-C356))</f>
        <v/>
      </c>
      <c r="AD356" s="371" t="n"/>
    </row>
    <row r="357" ht="15" customHeight="1" s="15">
      <c r="A357" s="371">
        <f>IF($B357="","",ROW()-5)</f>
        <v/>
      </c>
      <c r="B357" s="371" t="n"/>
      <c r="C357" s="372" t="n"/>
      <c r="D357" s="371">
        <f>IF($B357="","",TEXT(C357,"MMM"))</f>
        <v/>
      </c>
      <c r="E357" s="371">
        <f>IF($B357="","","W"&amp;TEXT(WEEKNUM(C357,2),"00"))</f>
        <v/>
      </c>
      <c r="F357" s="371">
        <f>IF($B357="","","Q"&amp;(INT(MOD(MONTH(C357)-FY_Start+12,12)/3)+1))</f>
        <v/>
      </c>
      <c r="G357" s="371">
        <f>IF($B357="","","FY "&amp;IF(MONTH(C357)&gt;=FY_Start,YEAR(C357),YEAR(C357)-1)&amp;"-"&amp;RIGHT(IF(MONTH(C357)&gt;=FY_Start,YEAR(C357)+1,YEAR(C357)),2))</f>
        <v/>
      </c>
      <c r="H357" s="371" t="n"/>
      <c r="I357" s="371" t="n"/>
      <c r="J357" s="371" t="n"/>
      <c r="K357" s="371" t="n"/>
      <c r="L357" s="371" t="n"/>
      <c r="M357" s="371" t="n"/>
      <c r="N357" s="371" t="n"/>
      <c r="O357" s="371" t="n"/>
      <c r="P357" s="371" t="n"/>
      <c r="Q357" s="371" t="n"/>
      <c r="R357" s="371" t="n"/>
      <c r="S357" s="371" t="n"/>
      <c r="T357" s="371" t="n"/>
      <c r="U357" s="371" t="n"/>
      <c r="V357" s="371" t="n"/>
      <c r="W357" s="371" t="n"/>
      <c r="X357" s="371" t="n"/>
      <c r="Y357" s="371" t="n"/>
      <c r="Z357" s="372" t="n"/>
      <c r="AA357" s="372" t="n"/>
      <c r="AB357" s="371" t="n"/>
      <c r="AC357" s="371">
        <f>IF($B357="","",IF(AB357="Closed",IF(AA357="","",AA357-C357),TODAY()-C357))</f>
        <v/>
      </c>
      <c r="AD357" s="371" t="n"/>
    </row>
    <row r="358" ht="15" customHeight="1" s="15">
      <c r="A358" s="371">
        <f>IF($B358="","",ROW()-5)</f>
        <v/>
      </c>
      <c r="B358" s="371" t="n"/>
      <c r="C358" s="372" t="n"/>
      <c r="D358" s="371">
        <f>IF($B358="","",TEXT(C358,"MMM"))</f>
        <v/>
      </c>
      <c r="E358" s="371">
        <f>IF($B358="","","W"&amp;TEXT(WEEKNUM(C358,2),"00"))</f>
        <v/>
      </c>
      <c r="F358" s="371">
        <f>IF($B358="","","Q"&amp;(INT(MOD(MONTH(C358)-FY_Start+12,12)/3)+1))</f>
        <v/>
      </c>
      <c r="G358" s="371">
        <f>IF($B358="","","FY "&amp;IF(MONTH(C358)&gt;=FY_Start,YEAR(C358),YEAR(C358)-1)&amp;"-"&amp;RIGHT(IF(MONTH(C358)&gt;=FY_Start,YEAR(C358)+1,YEAR(C358)),2))</f>
        <v/>
      </c>
      <c r="H358" s="371" t="n"/>
      <c r="I358" s="371" t="n"/>
      <c r="J358" s="371" t="n"/>
      <c r="K358" s="371" t="n"/>
      <c r="L358" s="371" t="n"/>
      <c r="M358" s="371" t="n"/>
      <c r="N358" s="371" t="n"/>
      <c r="O358" s="371" t="n"/>
      <c r="P358" s="371" t="n"/>
      <c r="Q358" s="371" t="n"/>
      <c r="R358" s="371" t="n"/>
      <c r="S358" s="371" t="n"/>
      <c r="T358" s="371" t="n"/>
      <c r="U358" s="371" t="n"/>
      <c r="V358" s="371" t="n"/>
      <c r="W358" s="371" t="n"/>
      <c r="X358" s="371" t="n"/>
      <c r="Y358" s="371" t="n"/>
      <c r="Z358" s="372" t="n"/>
      <c r="AA358" s="372" t="n"/>
      <c r="AB358" s="371" t="n"/>
      <c r="AC358" s="371">
        <f>IF($B358="","",IF(AB358="Closed",IF(AA358="","",AA358-C358),TODAY()-C358))</f>
        <v/>
      </c>
      <c r="AD358" s="371" t="n"/>
    </row>
    <row r="359" ht="15" customHeight="1" s="15">
      <c r="A359" s="371">
        <f>IF($B359="","",ROW()-5)</f>
        <v/>
      </c>
      <c r="B359" s="371" t="n"/>
      <c r="C359" s="372" t="n"/>
      <c r="D359" s="371">
        <f>IF($B359="","",TEXT(C359,"MMM"))</f>
        <v/>
      </c>
      <c r="E359" s="371">
        <f>IF($B359="","","W"&amp;TEXT(WEEKNUM(C359,2),"00"))</f>
        <v/>
      </c>
      <c r="F359" s="371">
        <f>IF($B359="","","Q"&amp;(INT(MOD(MONTH(C359)-FY_Start+12,12)/3)+1))</f>
        <v/>
      </c>
      <c r="G359" s="371">
        <f>IF($B359="","","FY "&amp;IF(MONTH(C359)&gt;=FY_Start,YEAR(C359),YEAR(C359)-1)&amp;"-"&amp;RIGHT(IF(MONTH(C359)&gt;=FY_Start,YEAR(C359)+1,YEAR(C359)),2))</f>
        <v/>
      </c>
      <c r="H359" s="371" t="n"/>
      <c r="I359" s="371" t="n"/>
      <c r="J359" s="371" t="n"/>
      <c r="K359" s="371" t="n"/>
      <c r="L359" s="371" t="n"/>
      <c r="M359" s="371" t="n"/>
      <c r="N359" s="371" t="n"/>
      <c r="O359" s="371" t="n"/>
      <c r="P359" s="371" t="n"/>
      <c r="Q359" s="371" t="n"/>
      <c r="R359" s="371" t="n"/>
      <c r="S359" s="371" t="n"/>
      <c r="T359" s="371" t="n"/>
      <c r="U359" s="371" t="n"/>
      <c r="V359" s="371" t="n"/>
      <c r="W359" s="371" t="n"/>
      <c r="X359" s="371" t="n"/>
      <c r="Y359" s="371" t="n"/>
      <c r="Z359" s="372" t="n"/>
      <c r="AA359" s="372" t="n"/>
      <c r="AB359" s="371" t="n"/>
      <c r="AC359" s="371">
        <f>IF($B359="","",IF(AB359="Closed",IF(AA359="","",AA359-C359),TODAY()-C359))</f>
        <v/>
      </c>
      <c r="AD359" s="371" t="n"/>
    </row>
    <row r="360" ht="15" customHeight="1" s="15">
      <c r="A360" s="371">
        <f>IF($B360="","",ROW()-5)</f>
        <v/>
      </c>
      <c r="B360" s="371" t="n"/>
      <c r="C360" s="372" t="n"/>
      <c r="D360" s="371">
        <f>IF($B360="","",TEXT(C360,"MMM"))</f>
        <v/>
      </c>
      <c r="E360" s="371">
        <f>IF($B360="","","W"&amp;TEXT(WEEKNUM(C360,2),"00"))</f>
        <v/>
      </c>
      <c r="F360" s="371">
        <f>IF($B360="","","Q"&amp;(INT(MOD(MONTH(C360)-FY_Start+12,12)/3)+1))</f>
        <v/>
      </c>
      <c r="G360" s="371">
        <f>IF($B360="","","FY "&amp;IF(MONTH(C360)&gt;=FY_Start,YEAR(C360),YEAR(C360)-1)&amp;"-"&amp;RIGHT(IF(MONTH(C360)&gt;=FY_Start,YEAR(C360)+1,YEAR(C360)),2))</f>
        <v/>
      </c>
      <c r="H360" s="371" t="n"/>
      <c r="I360" s="371" t="n"/>
      <c r="J360" s="371" t="n"/>
      <c r="K360" s="371" t="n"/>
      <c r="L360" s="371" t="n"/>
      <c r="M360" s="371" t="n"/>
      <c r="N360" s="371" t="n"/>
      <c r="O360" s="371" t="n"/>
      <c r="P360" s="371" t="n"/>
      <c r="Q360" s="371" t="n"/>
      <c r="R360" s="371" t="n"/>
      <c r="S360" s="371" t="n"/>
      <c r="T360" s="371" t="n"/>
      <c r="U360" s="371" t="n"/>
      <c r="V360" s="371" t="n"/>
      <c r="W360" s="371" t="n"/>
      <c r="X360" s="371" t="n"/>
      <c r="Y360" s="371" t="n"/>
      <c r="Z360" s="372" t="n"/>
      <c r="AA360" s="372" t="n"/>
      <c r="AB360" s="371" t="n"/>
      <c r="AC360" s="371">
        <f>IF($B360="","",IF(AB360="Closed",IF(AA360="","",AA360-C360),TODAY()-C360))</f>
        <v/>
      </c>
      <c r="AD360" s="371" t="n"/>
    </row>
    <row r="361" ht="15" customHeight="1" s="15">
      <c r="A361" s="371">
        <f>IF($B361="","",ROW()-5)</f>
        <v/>
      </c>
      <c r="B361" s="371" t="n"/>
      <c r="C361" s="372" t="n"/>
      <c r="D361" s="371">
        <f>IF($B361="","",TEXT(C361,"MMM"))</f>
        <v/>
      </c>
      <c r="E361" s="371">
        <f>IF($B361="","","W"&amp;TEXT(WEEKNUM(C361,2),"00"))</f>
        <v/>
      </c>
      <c r="F361" s="371">
        <f>IF($B361="","","Q"&amp;(INT(MOD(MONTH(C361)-FY_Start+12,12)/3)+1))</f>
        <v/>
      </c>
      <c r="G361" s="371">
        <f>IF($B361="","","FY "&amp;IF(MONTH(C361)&gt;=FY_Start,YEAR(C361),YEAR(C361)-1)&amp;"-"&amp;RIGHT(IF(MONTH(C361)&gt;=FY_Start,YEAR(C361)+1,YEAR(C361)),2))</f>
        <v/>
      </c>
      <c r="H361" s="371" t="n"/>
      <c r="I361" s="371" t="n"/>
      <c r="J361" s="371" t="n"/>
      <c r="K361" s="371" t="n"/>
      <c r="L361" s="371" t="n"/>
      <c r="M361" s="371" t="n"/>
      <c r="N361" s="371" t="n"/>
      <c r="O361" s="371" t="n"/>
      <c r="P361" s="371" t="n"/>
      <c r="Q361" s="371" t="n"/>
      <c r="R361" s="371" t="n"/>
      <c r="S361" s="371" t="n"/>
      <c r="T361" s="371" t="n"/>
      <c r="U361" s="371" t="n"/>
      <c r="V361" s="371" t="n"/>
      <c r="W361" s="371" t="n"/>
      <c r="X361" s="371" t="n"/>
      <c r="Y361" s="371" t="n"/>
      <c r="Z361" s="372" t="n"/>
      <c r="AA361" s="372" t="n"/>
      <c r="AB361" s="371" t="n"/>
      <c r="AC361" s="371">
        <f>IF($B361="","",IF(AB361="Closed",IF(AA361="","",AA361-C361),TODAY()-C361))</f>
        <v/>
      </c>
      <c r="AD361" s="371" t="n"/>
    </row>
    <row r="362" ht="15" customHeight="1" s="15">
      <c r="A362" s="371">
        <f>IF($B362="","",ROW()-5)</f>
        <v/>
      </c>
      <c r="B362" s="371" t="n"/>
      <c r="C362" s="372" t="n"/>
      <c r="D362" s="371">
        <f>IF($B362="","",TEXT(C362,"MMM"))</f>
        <v/>
      </c>
      <c r="E362" s="371">
        <f>IF($B362="","","W"&amp;TEXT(WEEKNUM(C362,2),"00"))</f>
        <v/>
      </c>
      <c r="F362" s="371">
        <f>IF($B362="","","Q"&amp;(INT(MOD(MONTH(C362)-FY_Start+12,12)/3)+1))</f>
        <v/>
      </c>
      <c r="G362" s="371">
        <f>IF($B362="","","FY "&amp;IF(MONTH(C362)&gt;=FY_Start,YEAR(C362),YEAR(C362)-1)&amp;"-"&amp;RIGHT(IF(MONTH(C362)&gt;=FY_Start,YEAR(C362)+1,YEAR(C362)),2))</f>
        <v/>
      </c>
      <c r="H362" s="371" t="n"/>
      <c r="I362" s="371" t="n"/>
      <c r="J362" s="371" t="n"/>
      <c r="K362" s="371" t="n"/>
      <c r="L362" s="371" t="n"/>
      <c r="M362" s="371" t="n"/>
      <c r="N362" s="371" t="n"/>
      <c r="O362" s="371" t="n"/>
      <c r="P362" s="371" t="n"/>
      <c r="Q362" s="371" t="n"/>
      <c r="R362" s="371" t="n"/>
      <c r="S362" s="371" t="n"/>
      <c r="T362" s="371" t="n"/>
      <c r="U362" s="371" t="n"/>
      <c r="V362" s="371" t="n"/>
      <c r="W362" s="371" t="n"/>
      <c r="X362" s="371" t="n"/>
      <c r="Y362" s="371" t="n"/>
      <c r="Z362" s="372" t="n"/>
      <c r="AA362" s="372" t="n"/>
      <c r="AB362" s="371" t="n"/>
      <c r="AC362" s="371">
        <f>IF($B362="","",IF(AB362="Closed",IF(AA362="","",AA362-C362),TODAY()-C362))</f>
        <v/>
      </c>
      <c r="AD362" s="371" t="n"/>
    </row>
    <row r="363" ht="15" customHeight="1" s="15">
      <c r="A363" s="371">
        <f>IF($B363="","",ROW()-5)</f>
        <v/>
      </c>
      <c r="B363" s="371" t="n"/>
      <c r="C363" s="372" t="n"/>
      <c r="D363" s="371">
        <f>IF($B363="","",TEXT(C363,"MMM"))</f>
        <v/>
      </c>
      <c r="E363" s="371">
        <f>IF($B363="","","W"&amp;TEXT(WEEKNUM(C363,2),"00"))</f>
        <v/>
      </c>
      <c r="F363" s="371">
        <f>IF($B363="","","Q"&amp;(INT(MOD(MONTH(C363)-FY_Start+12,12)/3)+1))</f>
        <v/>
      </c>
      <c r="G363" s="371">
        <f>IF($B363="","","FY "&amp;IF(MONTH(C363)&gt;=FY_Start,YEAR(C363),YEAR(C363)-1)&amp;"-"&amp;RIGHT(IF(MONTH(C363)&gt;=FY_Start,YEAR(C363)+1,YEAR(C363)),2))</f>
        <v/>
      </c>
      <c r="H363" s="371" t="n"/>
      <c r="I363" s="371" t="n"/>
      <c r="J363" s="371" t="n"/>
      <c r="K363" s="371" t="n"/>
      <c r="L363" s="371" t="n"/>
      <c r="M363" s="371" t="n"/>
      <c r="N363" s="371" t="n"/>
      <c r="O363" s="371" t="n"/>
      <c r="P363" s="371" t="n"/>
      <c r="Q363" s="371" t="n"/>
      <c r="R363" s="371" t="n"/>
      <c r="S363" s="371" t="n"/>
      <c r="T363" s="371" t="n"/>
      <c r="U363" s="371" t="n"/>
      <c r="V363" s="371" t="n"/>
      <c r="W363" s="371" t="n"/>
      <c r="X363" s="371" t="n"/>
      <c r="Y363" s="371" t="n"/>
      <c r="Z363" s="372" t="n"/>
      <c r="AA363" s="372" t="n"/>
      <c r="AB363" s="371" t="n"/>
      <c r="AC363" s="371">
        <f>IF($B363="","",IF(AB363="Closed",IF(AA363="","",AA363-C363),TODAY()-C363))</f>
        <v/>
      </c>
      <c r="AD363" s="371" t="n"/>
    </row>
    <row r="364" ht="15" customHeight="1" s="15">
      <c r="A364" s="371">
        <f>IF($B364="","",ROW()-5)</f>
        <v/>
      </c>
      <c r="B364" s="371" t="n"/>
      <c r="C364" s="372" t="n"/>
      <c r="D364" s="371">
        <f>IF($B364="","",TEXT(C364,"MMM"))</f>
        <v/>
      </c>
      <c r="E364" s="371">
        <f>IF($B364="","","W"&amp;TEXT(WEEKNUM(C364,2),"00"))</f>
        <v/>
      </c>
      <c r="F364" s="371">
        <f>IF($B364="","","Q"&amp;(INT(MOD(MONTH(C364)-FY_Start+12,12)/3)+1))</f>
        <v/>
      </c>
      <c r="G364" s="371">
        <f>IF($B364="","","FY "&amp;IF(MONTH(C364)&gt;=FY_Start,YEAR(C364),YEAR(C364)-1)&amp;"-"&amp;RIGHT(IF(MONTH(C364)&gt;=FY_Start,YEAR(C364)+1,YEAR(C364)),2))</f>
        <v/>
      </c>
      <c r="H364" s="371" t="n"/>
      <c r="I364" s="371" t="n"/>
      <c r="J364" s="371" t="n"/>
      <c r="K364" s="371" t="n"/>
      <c r="L364" s="371" t="n"/>
      <c r="M364" s="371" t="n"/>
      <c r="N364" s="371" t="n"/>
      <c r="O364" s="371" t="n"/>
      <c r="P364" s="371" t="n"/>
      <c r="Q364" s="371" t="n"/>
      <c r="R364" s="371" t="n"/>
      <c r="S364" s="371" t="n"/>
      <c r="T364" s="371" t="n"/>
      <c r="U364" s="371" t="n"/>
      <c r="V364" s="371" t="n"/>
      <c r="W364" s="371" t="n"/>
      <c r="X364" s="371" t="n"/>
      <c r="Y364" s="371" t="n"/>
      <c r="Z364" s="372" t="n"/>
      <c r="AA364" s="372" t="n"/>
      <c r="AB364" s="371" t="n"/>
      <c r="AC364" s="371">
        <f>IF($B364="","",IF(AB364="Closed",IF(AA364="","",AA364-C364),TODAY()-C364))</f>
        <v/>
      </c>
      <c r="AD364" s="371" t="n"/>
    </row>
    <row r="365" ht="15" customHeight="1" s="15">
      <c r="A365" s="371">
        <f>IF($B365="","",ROW()-5)</f>
        <v/>
      </c>
      <c r="B365" s="371" t="n"/>
      <c r="C365" s="372" t="n"/>
      <c r="D365" s="371">
        <f>IF($B365="","",TEXT(C365,"MMM"))</f>
        <v/>
      </c>
      <c r="E365" s="371">
        <f>IF($B365="","","W"&amp;TEXT(WEEKNUM(C365,2),"00"))</f>
        <v/>
      </c>
      <c r="F365" s="371">
        <f>IF($B365="","","Q"&amp;(INT(MOD(MONTH(C365)-FY_Start+12,12)/3)+1))</f>
        <v/>
      </c>
      <c r="G365" s="371">
        <f>IF($B365="","","FY "&amp;IF(MONTH(C365)&gt;=FY_Start,YEAR(C365),YEAR(C365)-1)&amp;"-"&amp;RIGHT(IF(MONTH(C365)&gt;=FY_Start,YEAR(C365)+1,YEAR(C365)),2))</f>
        <v/>
      </c>
      <c r="H365" s="371" t="n"/>
      <c r="I365" s="371" t="n"/>
      <c r="J365" s="371" t="n"/>
      <c r="K365" s="371" t="n"/>
      <c r="L365" s="371" t="n"/>
      <c r="M365" s="371" t="n"/>
      <c r="N365" s="371" t="n"/>
      <c r="O365" s="371" t="n"/>
      <c r="P365" s="371" t="n"/>
      <c r="Q365" s="371" t="n"/>
      <c r="R365" s="371" t="n"/>
      <c r="S365" s="371" t="n"/>
      <c r="T365" s="371" t="n"/>
      <c r="U365" s="371" t="n"/>
      <c r="V365" s="371" t="n"/>
      <c r="W365" s="371" t="n"/>
      <c r="X365" s="371" t="n"/>
      <c r="Y365" s="371" t="n"/>
      <c r="Z365" s="372" t="n"/>
      <c r="AA365" s="372" t="n"/>
      <c r="AB365" s="371" t="n"/>
      <c r="AC365" s="371">
        <f>IF($B365="","",IF(AB365="Closed",IF(AA365="","",AA365-C365),TODAY()-C365))</f>
        <v/>
      </c>
      <c r="AD365" s="371" t="n"/>
    </row>
    <row r="366" ht="15" customHeight="1" s="15">
      <c r="A366" s="371">
        <f>IF($B366="","",ROW()-5)</f>
        <v/>
      </c>
      <c r="B366" s="371" t="n"/>
      <c r="C366" s="372" t="n"/>
      <c r="D366" s="371">
        <f>IF($B366="","",TEXT(C366,"MMM"))</f>
        <v/>
      </c>
      <c r="E366" s="371">
        <f>IF($B366="","","W"&amp;TEXT(WEEKNUM(C366,2),"00"))</f>
        <v/>
      </c>
      <c r="F366" s="371">
        <f>IF($B366="","","Q"&amp;(INT(MOD(MONTH(C366)-FY_Start+12,12)/3)+1))</f>
        <v/>
      </c>
      <c r="G366" s="371">
        <f>IF($B366="","","FY "&amp;IF(MONTH(C366)&gt;=FY_Start,YEAR(C366),YEAR(C366)-1)&amp;"-"&amp;RIGHT(IF(MONTH(C366)&gt;=FY_Start,YEAR(C366)+1,YEAR(C366)),2))</f>
        <v/>
      </c>
      <c r="H366" s="371" t="n"/>
      <c r="I366" s="371" t="n"/>
      <c r="J366" s="371" t="n"/>
      <c r="K366" s="371" t="n"/>
      <c r="L366" s="371" t="n"/>
      <c r="M366" s="371" t="n"/>
      <c r="N366" s="371" t="n"/>
      <c r="O366" s="371" t="n"/>
      <c r="P366" s="371" t="n"/>
      <c r="Q366" s="371" t="n"/>
      <c r="R366" s="371" t="n"/>
      <c r="S366" s="371" t="n"/>
      <c r="T366" s="371" t="n"/>
      <c r="U366" s="371" t="n"/>
      <c r="V366" s="371" t="n"/>
      <c r="W366" s="371" t="n"/>
      <c r="X366" s="371" t="n"/>
      <c r="Y366" s="371" t="n"/>
      <c r="Z366" s="372" t="n"/>
      <c r="AA366" s="372" t="n"/>
      <c r="AB366" s="371" t="n"/>
      <c r="AC366" s="371">
        <f>IF($B366="","",IF(AB366="Closed",IF(AA366="","",AA366-C366),TODAY()-C366))</f>
        <v/>
      </c>
      <c r="AD366" s="371" t="n"/>
    </row>
    <row r="367" ht="15" customHeight="1" s="15">
      <c r="A367" s="371">
        <f>IF($B367="","",ROW()-5)</f>
        <v/>
      </c>
      <c r="B367" s="371" t="n"/>
      <c r="C367" s="372" t="n"/>
      <c r="D367" s="371">
        <f>IF($B367="","",TEXT(C367,"MMM"))</f>
        <v/>
      </c>
      <c r="E367" s="371">
        <f>IF($B367="","","W"&amp;TEXT(WEEKNUM(C367,2),"00"))</f>
        <v/>
      </c>
      <c r="F367" s="371">
        <f>IF($B367="","","Q"&amp;(INT(MOD(MONTH(C367)-FY_Start+12,12)/3)+1))</f>
        <v/>
      </c>
      <c r="G367" s="371">
        <f>IF($B367="","","FY "&amp;IF(MONTH(C367)&gt;=FY_Start,YEAR(C367),YEAR(C367)-1)&amp;"-"&amp;RIGHT(IF(MONTH(C367)&gt;=FY_Start,YEAR(C367)+1,YEAR(C367)),2))</f>
        <v/>
      </c>
      <c r="H367" s="371" t="n"/>
      <c r="I367" s="371" t="n"/>
      <c r="J367" s="371" t="n"/>
      <c r="K367" s="371" t="n"/>
      <c r="L367" s="371" t="n"/>
      <c r="M367" s="371" t="n"/>
      <c r="N367" s="371" t="n"/>
      <c r="O367" s="371" t="n"/>
      <c r="P367" s="371" t="n"/>
      <c r="Q367" s="371" t="n"/>
      <c r="R367" s="371" t="n"/>
      <c r="S367" s="371" t="n"/>
      <c r="T367" s="371" t="n"/>
      <c r="U367" s="371" t="n"/>
      <c r="V367" s="371" t="n"/>
      <c r="W367" s="371" t="n"/>
      <c r="X367" s="371" t="n"/>
      <c r="Y367" s="371" t="n"/>
      <c r="Z367" s="372" t="n"/>
      <c r="AA367" s="372" t="n"/>
      <c r="AB367" s="371" t="n"/>
      <c r="AC367" s="371">
        <f>IF($B367="","",IF(AB367="Closed",IF(AA367="","",AA367-C367),TODAY()-C367))</f>
        <v/>
      </c>
      <c r="AD367" s="371" t="n"/>
    </row>
    <row r="368" ht="15" customHeight="1" s="15">
      <c r="A368" s="371">
        <f>IF($B368="","",ROW()-5)</f>
        <v/>
      </c>
      <c r="B368" s="371" t="n"/>
      <c r="C368" s="372" t="n"/>
      <c r="D368" s="371">
        <f>IF($B368="","",TEXT(C368,"MMM"))</f>
        <v/>
      </c>
      <c r="E368" s="371">
        <f>IF($B368="","","W"&amp;TEXT(WEEKNUM(C368,2),"00"))</f>
        <v/>
      </c>
      <c r="F368" s="371">
        <f>IF($B368="","","Q"&amp;(INT(MOD(MONTH(C368)-FY_Start+12,12)/3)+1))</f>
        <v/>
      </c>
      <c r="G368" s="371">
        <f>IF($B368="","","FY "&amp;IF(MONTH(C368)&gt;=FY_Start,YEAR(C368),YEAR(C368)-1)&amp;"-"&amp;RIGHT(IF(MONTH(C368)&gt;=FY_Start,YEAR(C368)+1,YEAR(C368)),2))</f>
        <v/>
      </c>
      <c r="H368" s="371" t="n"/>
      <c r="I368" s="371" t="n"/>
      <c r="J368" s="371" t="n"/>
      <c r="K368" s="371" t="n"/>
      <c r="L368" s="371" t="n"/>
      <c r="M368" s="371" t="n"/>
      <c r="N368" s="371" t="n"/>
      <c r="O368" s="371" t="n"/>
      <c r="P368" s="371" t="n"/>
      <c r="Q368" s="371" t="n"/>
      <c r="R368" s="371" t="n"/>
      <c r="S368" s="371" t="n"/>
      <c r="T368" s="371" t="n"/>
      <c r="U368" s="371" t="n"/>
      <c r="V368" s="371" t="n"/>
      <c r="W368" s="371" t="n"/>
      <c r="X368" s="371" t="n"/>
      <c r="Y368" s="371" t="n"/>
      <c r="Z368" s="372" t="n"/>
      <c r="AA368" s="372" t="n"/>
      <c r="AB368" s="371" t="n"/>
      <c r="AC368" s="371">
        <f>IF($B368="","",IF(AB368="Closed",IF(AA368="","",AA368-C368),TODAY()-C368))</f>
        <v/>
      </c>
      <c r="AD368" s="371" t="n"/>
    </row>
    <row r="369" ht="15" customHeight="1" s="15">
      <c r="A369" s="371">
        <f>IF($B369="","",ROW()-5)</f>
        <v/>
      </c>
      <c r="B369" s="371" t="n"/>
      <c r="C369" s="372" t="n"/>
      <c r="D369" s="371">
        <f>IF($B369="","",TEXT(C369,"MMM"))</f>
        <v/>
      </c>
      <c r="E369" s="371">
        <f>IF($B369="","","W"&amp;TEXT(WEEKNUM(C369,2),"00"))</f>
        <v/>
      </c>
      <c r="F369" s="371">
        <f>IF($B369="","","Q"&amp;(INT(MOD(MONTH(C369)-FY_Start+12,12)/3)+1))</f>
        <v/>
      </c>
      <c r="G369" s="371">
        <f>IF($B369="","","FY "&amp;IF(MONTH(C369)&gt;=FY_Start,YEAR(C369),YEAR(C369)-1)&amp;"-"&amp;RIGHT(IF(MONTH(C369)&gt;=FY_Start,YEAR(C369)+1,YEAR(C369)),2))</f>
        <v/>
      </c>
      <c r="H369" s="371" t="n"/>
      <c r="I369" s="371" t="n"/>
      <c r="J369" s="371" t="n"/>
      <c r="K369" s="371" t="n"/>
      <c r="L369" s="371" t="n"/>
      <c r="M369" s="371" t="n"/>
      <c r="N369" s="371" t="n"/>
      <c r="O369" s="371" t="n"/>
      <c r="P369" s="371" t="n"/>
      <c r="Q369" s="371" t="n"/>
      <c r="R369" s="371" t="n"/>
      <c r="S369" s="371" t="n"/>
      <c r="T369" s="371" t="n"/>
      <c r="U369" s="371" t="n"/>
      <c r="V369" s="371" t="n"/>
      <c r="W369" s="371" t="n"/>
      <c r="X369" s="371" t="n"/>
      <c r="Y369" s="371" t="n"/>
      <c r="Z369" s="372" t="n"/>
      <c r="AA369" s="372" t="n"/>
      <c r="AB369" s="371" t="n"/>
      <c r="AC369" s="371">
        <f>IF($B369="","",IF(AB369="Closed",IF(AA369="","",AA369-C369),TODAY()-C369))</f>
        <v/>
      </c>
      <c r="AD369" s="371" t="n"/>
    </row>
    <row r="370" ht="15" customHeight="1" s="15">
      <c r="A370" s="371">
        <f>IF($B370="","",ROW()-5)</f>
        <v/>
      </c>
      <c r="B370" s="371" t="n"/>
      <c r="C370" s="372" t="n"/>
      <c r="D370" s="371">
        <f>IF($B370="","",TEXT(C370,"MMM"))</f>
        <v/>
      </c>
      <c r="E370" s="371">
        <f>IF($B370="","","W"&amp;TEXT(WEEKNUM(C370,2),"00"))</f>
        <v/>
      </c>
      <c r="F370" s="371">
        <f>IF($B370="","","Q"&amp;(INT(MOD(MONTH(C370)-FY_Start+12,12)/3)+1))</f>
        <v/>
      </c>
      <c r="G370" s="371">
        <f>IF($B370="","","FY "&amp;IF(MONTH(C370)&gt;=FY_Start,YEAR(C370),YEAR(C370)-1)&amp;"-"&amp;RIGHT(IF(MONTH(C370)&gt;=FY_Start,YEAR(C370)+1,YEAR(C370)),2))</f>
        <v/>
      </c>
      <c r="H370" s="371" t="n"/>
      <c r="I370" s="371" t="n"/>
      <c r="J370" s="371" t="n"/>
      <c r="K370" s="371" t="n"/>
      <c r="L370" s="371" t="n"/>
      <c r="M370" s="371" t="n"/>
      <c r="N370" s="371" t="n"/>
      <c r="O370" s="371" t="n"/>
      <c r="P370" s="371" t="n"/>
      <c r="Q370" s="371" t="n"/>
      <c r="R370" s="371" t="n"/>
      <c r="S370" s="371" t="n"/>
      <c r="T370" s="371" t="n"/>
      <c r="U370" s="371" t="n"/>
      <c r="V370" s="371" t="n"/>
      <c r="W370" s="371" t="n"/>
      <c r="X370" s="371" t="n"/>
      <c r="Y370" s="371" t="n"/>
      <c r="Z370" s="372" t="n"/>
      <c r="AA370" s="372" t="n"/>
      <c r="AB370" s="371" t="n"/>
      <c r="AC370" s="371">
        <f>IF($B370="","",IF(AB370="Closed",IF(AA370="","",AA370-C370),TODAY()-C370))</f>
        <v/>
      </c>
      <c r="AD370" s="371" t="n"/>
    </row>
    <row r="371" ht="15" customHeight="1" s="15">
      <c r="A371" s="371">
        <f>IF($B371="","",ROW()-5)</f>
        <v/>
      </c>
      <c r="B371" s="371" t="n"/>
      <c r="C371" s="372" t="n"/>
      <c r="D371" s="371">
        <f>IF($B371="","",TEXT(C371,"MMM"))</f>
        <v/>
      </c>
      <c r="E371" s="371">
        <f>IF($B371="","","W"&amp;TEXT(WEEKNUM(C371,2),"00"))</f>
        <v/>
      </c>
      <c r="F371" s="371">
        <f>IF($B371="","","Q"&amp;(INT(MOD(MONTH(C371)-FY_Start+12,12)/3)+1))</f>
        <v/>
      </c>
      <c r="G371" s="371">
        <f>IF($B371="","","FY "&amp;IF(MONTH(C371)&gt;=FY_Start,YEAR(C371),YEAR(C371)-1)&amp;"-"&amp;RIGHT(IF(MONTH(C371)&gt;=FY_Start,YEAR(C371)+1,YEAR(C371)),2))</f>
        <v/>
      </c>
      <c r="H371" s="371" t="n"/>
      <c r="I371" s="371" t="n"/>
      <c r="J371" s="371" t="n"/>
      <c r="K371" s="371" t="n"/>
      <c r="L371" s="371" t="n"/>
      <c r="M371" s="371" t="n"/>
      <c r="N371" s="371" t="n"/>
      <c r="O371" s="371" t="n"/>
      <c r="P371" s="371" t="n"/>
      <c r="Q371" s="371" t="n"/>
      <c r="R371" s="371" t="n"/>
      <c r="S371" s="371" t="n"/>
      <c r="T371" s="371" t="n"/>
      <c r="U371" s="371" t="n"/>
      <c r="V371" s="371" t="n"/>
      <c r="W371" s="371" t="n"/>
      <c r="X371" s="371" t="n"/>
      <c r="Y371" s="371" t="n"/>
      <c r="Z371" s="372" t="n"/>
      <c r="AA371" s="372" t="n"/>
      <c r="AB371" s="371" t="n"/>
      <c r="AC371" s="371">
        <f>IF($B371="","",IF(AB371="Closed",IF(AA371="","",AA371-C371),TODAY()-C371))</f>
        <v/>
      </c>
      <c r="AD371" s="371" t="n"/>
    </row>
    <row r="372" ht="15" customHeight="1" s="15">
      <c r="A372" s="371">
        <f>IF($B372="","",ROW()-5)</f>
        <v/>
      </c>
      <c r="B372" s="371" t="n"/>
      <c r="C372" s="372" t="n"/>
      <c r="D372" s="371">
        <f>IF($B372="","",TEXT(C372,"MMM"))</f>
        <v/>
      </c>
      <c r="E372" s="371">
        <f>IF($B372="","","W"&amp;TEXT(WEEKNUM(C372,2),"00"))</f>
        <v/>
      </c>
      <c r="F372" s="371">
        <f>IF($B372="","","Q"&amp;(INT(MOD(MONTH(C372)-FY_Start+12,12)/3)+1))</f>
        <v/>
      </c>
      <c r="G372" s="371">
        <f>IF($B372="","","FY "&amp;IF(MONTH(C372)&gt;=FY_Start,YEAR(C372),YEAR(C372)-1)&amp;"-"&amp;RIGHT(IF(MONTH(C372)&gt;=FY_Start,YEAR(C372)+1,YEAR(C372)),2))</f>
        <v/>
      </c>
      <c r="H372" s="371" t="n"/>
      <c r="I372" s="371" t="n"/>
      <c r="J372" s="371" t="n"/>
      <c r="K372" s="371" t="n"/>
      <c r="L372" s="371" t="n"/>
      <c r="M372" s="371" t="n"/>
      <c r="N372" s="371" t="n"/>
      <c r="O372" s="371" t="n"/>
      <c r="P372" s="371" t="n"/>
      <c r="Q372" s="371" t="n"/>
      <c r="R372" s="371" t="n"/>
      <c r="S372" s="371" t="n"/>
      <c r="T372" s="371" t="n"/>
      <c r="U372" s="371" t="n"/>
      <c r="V372" s="371" t="n"/>
      <c r="W372" s="371" t="n"/>
      <c r="X372" s="371" t="n"/>
      <c r="Y372" s="371" t="n"/>
      <c r="Z372" s="372" t="n"/>
      <c r="AA372" s="372" t="n"/>
      <c r="AB372" s="371" t="n"/>
      <c r="AC372" s="371">
        <f>IF($B372="","",IF(AB372="Closed",IF(AA372="","",AA372-C372),TODAY()-C372))</f>
        <v/>
      </c>
      <c r="AD372" s="371" t="n"/>
    </row>
    <row r="373" ht="15" customHeight="1" s="15">
      <c r="A373" s="371">
        <f>IF($B373="","",ROW()-5)</f>
        <v/>
      </c>
      <c r="B373" s="371" t="n"/>
      <c r="C373" s="372" t="n"/>
      <c r="D373" s="371">
        <f>IF($B373="","",TEXT(C373,"MMM"))</f>
        <v/>
      </c>
      <c r="E373" s="371">
        <f>IF($B373="","","W"&amp;TEXT(WEEKNUM(C373,2),"00"))</f>
        <v/>
      </c>
      <c r="F373" s="371">
        <f>IF($B373="","","Q"&amp;(INT(MOD(MONTH(C373)-FY_Start+12,12)/3)+1))</f>
        <v/>
      </c>
      <c r="G373" s="371">
        <f>IF($B373="","","FY "&amp;IF(MONTH(C373)&gt;=FY_Start,YEAR(C373),YEAR(C373)-1)&amp;"-"&amp;RIGHT(IF(MONTH(C373)&gt;=FY_Start,YEAR(C373)+1,YEAR(C373)),2))</f>
        <v/>
      </c>
      <c r="H373" s="371" t="n"/>
      <c r="I373" s="371" t="n"/>
      <c r="J373" s="371" t="n"/>
      <c r="K373" s="371" t="n"/>
      <c r="L373" s="371" t="n"/>
      <c r="M373" s="371" t="n"/>
      <c r="N373" s="371" t="n"/>
      <c r="O373" s="371" t="n"/>
      <c r="P373" s="371" t="n"/>
      <c r="Q373" s="371" t="n"/>
      <c r="R373" s="371" t="n"/>
      <c r="S373" s="371" t="n"/>
      <c r="T373" s="371" t="n"/>
      <c r="U373" s="371" t="n"/>
      <c r="V373" s="371" t="n"/>
      <c r="W373" s="371" t="n"/>
      <c r="X373" s="371" t="n"/>
      <c r="Y373" s="371" t="n"/>
      <c r="Z373" s="372" t="n"/>
      <c r="AA373" s="372" t="n"/>
      <c r="AB373" s="371" t="n"/>
      <c r="AC373" s="371">
        <f>IF($B373="","",IF(AB373="Closed",IF(AA373="","",AA373-C373),TODAY()-C373))</f>
        <v/>
      </c>
      <c r="AD373" s="371" t="n"/>
    </row>
    <row r="374" ht="15" customHeight="1" s="15">
      <c r="A374" s="371">
        <f>IF($B374="","",ROW()-5)</f>
        <v/>
      </c>
      <c r="B374" s="371" t="n"/>
      <c r="C374" s="372" t="n"/>
      <c r="D374" s="371">
        <f>IF($B374="","",TEXT(C374,"MMM"))</f>
        <v/>
      </c>
      <c r="E374" s="371">
        <f>IF($B374="","","W"&amp;TEXT(WEEKNUM(C374,2),"00"))</f>
        <v/>
      </c>
      <c r="F374" s="371">
        <f>IF($B374="","","Q"&amp;(INT(MOD(MONTH(C374)-FY_Start+12,12)/3)+1))</f>
        <v/>
      </c>
      <c r="G374" s="371">
        <f>IF($B374="","","FY "&amp;IF(MONTH(C374)&gt;=FY_Start,YEAR(C374),YEAR(C374)-1)&amp;"-"&amp;RIGHT(IF(MONTH(C374)&gt;=FY_Start,YEAR(C374)+1,YEAR(C374)),2))</f>
        <v/>
      </c>
      <c r="H374" s="371" t="n"/>
      <c r="I374" s="371" t="n"/>
      <c r="J374" s="371" t="n"/>
      <c r="K374" s="371" t="n"/>
      <c r="L374" s="371" t="n"/>
      <c r="M374" s="371" t="n"/>
      <c r="N374" s="371" t="n"/>
      <c r="O374" s="371" t="n"/>
      <c r="P374" s="371" t="n"/>
      <c r="Q374" s="371" t="n"/>
      <c r="R374" s="371" t="n"/>
      <c r="S374" s="371" t="n"/>
      <c r="T374" s="371" t="n"/>
      <c r="U374" s="371" t="n"/>
      <c r="V374" s="371" t="n"/>
      <c r="W374" s="371" t="n"/>
      <c r="X374" s="371" t="n"/>
      <c r="Y374" s="371" t="n"/>
      <c r="Z374" s="372" t="n"/>
      <c r="AA374" s="372" t="n"/>
      <c r="AB374" s="371" t="n"/>
      <c r="AC374" s="371">
        <f>IF($B374="","",IF(AB374="Closed",IF(AA374="","",AA374-C374),TODAY()-C374))</f>
        <v/>
      </c>
      <c r="AD374" s="371" t="n"/>
    </row>
    <row r="375" ht="15" customHeight="1" s="15">
      <c r="A375" s="371">
        <f>IF($B375="","",ROW()-5)</f>
        <v/>
      </c>
      <c r="B375" s="371" t="n"/>
      <c r="C375" s="372" t="n"/>
      <c r="D375" s="371">
        <f>IF($B375="","",TEXT(C375,"MMM"))</f>
        <v/>
      </c>
      <c r="E375" s="371">
        <f>IF($B375="","","W"&amp;TEXT(WEEKNUM(C375,2),"00"))</f>
        <v/>
      </c>
      <c r="F375" s="371">
        <f>IF($B375="","","Q"&amp;(INT(MOD(MONTH(C375)-FY_Start+12,12)/3)+1))</f>
        <v/>
      </c>
      <c r="G375" s="371">
        <f>IF($B375="","","FY "&amp;IF(MONTH(C375)&gt;=FY_Start,YEAR(C375),YEAR(C375)-1)&amp;"-"&amp;RIGHT(IF(MONTH(C375)&gt;=FY_Start,YEAR(C375)+1,YEAR(C375)),2))</f>
        <v/>
      </c>
      <c r="H375" s="371" t="n"/>
      <c r="I375" s="371" t="n"/>
      <c r="J375" s="371" t="n"/>
      <c r="K375" s="371" t="n"/>
      <c r="L375" s="371" t="n"/>
      <c r="M375" s="371" t="n"/>
      <c r="N375" s="371" t="n"/>
      <c r="O375" s="371" t="n"/>
      <c r="P375" s="371" t="n"/>
      <c r="Q375" s="371" t="n"/>
      <c r="R375" s="371" t="n"/>
      <c r="S375" s="371" t="n"/>
      <c r="T375" s="371" t="n"/>
      <c r="U375" s="371" t="n"/>
      <c r="V375" s="371" t="n"/>
      <c r="W375" s="371" t="n"/>
      <c r="X375" s="371" t="n"/>
      <c r="Y375" s="371" t="n"/>
      <c r="Z375" s="372" t="n"/>
      <c r="AA375" s="372" t="n"/>
      <c r="AB375" s="371" t="n"/>
      <c r="AC375" s="371">
        <f>IF($B375="","",IF(AB375="Closed",IF(AA375="","",AA375-C375),TODAY()-C375))</f>
        <v/>
      </c>
      <c r="AD375" s="371" t="n"/>
    </row>
    <row r="376" ht="15" customHeight="1" s="15">
      <c r="A376" s="371">
        <f>IF($B376="","",ROW()-5)</f>
        <v/>
      </c>
      <c r="B376" s="371" t="n"/>
      <c r="C376" s="372" t="n"/>
      <c r="D376" s="371">
        <f>IF($B376="","",TEXT(C376,"MMM"))</f>
        <v/>
      </c>
      <c r="E376" s="371">
        <f>IF($B376="","","W"&amp;TEXT(WEEKNUM(C376,2),"00"))</f>
        <v/>
      </c>
      <c r="F376" s="371">
        <f>IF($B376="","","Q"&amp;(INT(MOD(MONTH(C376)-FY_Start+12,12)/3)+1))</f>
        <v/>
      </c>
      <c r="G376" s="371">
        <f>IF($B376="","","FY "&amp;IF(MONTH(C376)&gt;=FY_Start,YEAR(C376),YEAR(C376)-1)&amp;"-"&amp;RIGHT(IF(MONTH(C376)&gt;=FY_Start,YEAR(C376)+1,YEAR(C376)),2))</f>
        <v/>
      </c>
      <c r="H376" s="371" t="n"/>
      <c r="I376" s="371" t="n"/>
      <c r="J376" s="371" t="n"/>
      <c r="K376" s="371" t="n"/>
      <c r="L376" s="371" t="n"/>
      <c r="M376" s="371" t="n"/>
      <c r="N376" s="371" t="n"/>
      <c r="O376" s="371" t="n"/>
      <c r="P376" s="371" t="n"/>
      <c r="Q376" s="371" t="n"/>
      <c r="R376" s="371" t="n"/>
      <c r="S376" s="371" t="n"/>
      <c r="T376" s="371" t="n"/>
      <c r="U376" s="371" t="n"/>
      <c r="V376" s="371" t="n"/>
      <c r="W376" s="371" t="n"/>
      <c r="X376" s="371" t="n"/>
      <c r="Y376" s="371" t="n"/>
      <c r="Z376" s="372" t="n"/>
      <c r="AA376" s="372" t="n"/>
      <c r="AB376" s="371" t="n"/>
      <c r="AC376" s="371">
        <f>IF($B376="","",IF(AB376="Closed",IF(AA376="","",AA376-C376),TODAY()-C376))</f>
        <v/>
      </c>
      <c r="AD376" s="371" t="n"/>
    </row>
    <row r="377" ht="15" customHeight="1" s="15">
      <c r="A377" s="371">
        <f>IF($B377="","",ROW()-5)</f>
        <v/>
      </c>
      <c r="B377" s="371" t="n"/>
      <c r="C377" s="372" t="n"/>
      <c r="D377" s="371">
        <f>IF($B377="","",TEXT(C377,"MMM"))</f>
        <v/>
      </c>
      <c r="E377" s="371">
        <f>IF($B377="","","W"&amp;TEXT(WEEKNUM(C377,2),"00"))</f>
        <v/>
      </c>
      <c r="F377" s="371">
        <f>IF($B377="","","Q"&amp;(INT(MOD(MONTH(C377)-FY_Start+12,12)/3)+1))</f>
        <v/>
      </c>
      <c r="G377" s="371">
        <f>IF($B377="","","FY "&amp;IF(MONTH(C377)&gt;=FY_Start,YEAR(C377),YEAR(C377)-1)&amp;"-"&amp;RIGHT(IF(MONTH(C377)&gt;=FY_Start,YEAR(C377)+1,YEAR(C377)),2))</f>
        <v/>
      </c>
      <c r="H377" s="371" t="n"/>
      <c r="I377" s="371" t="n"/>
      <c r="J377" s="371" t="n"/>
      <c r="K377" s="371" t="n"/>
      <c r="L377" s="371" t="n"/>
      <c r="M377" s="371" t="n"/>
      <c r="N377" s="371" t="n"/>
      <c r="O377" s="371" t="n"/>
      <c r="P377" s="371" t="n"/>
      <c r="Q377" s="371" t="n"/>
      <c r="R377" s="371" t="n"/>
      <c r="S377" s="371" t="n"/>
      <c r="T377" s="371" t="n"/>
      <c r="U377" s="371" t="n"/>
      <c r="V377" s="371" t="n"/>
      <c r="W377" s="371" t="n"/>
      <c r="X377" s="371" t="n"/>
      <c r="Y377" s="371" t="n"/>
      <c r="Z377" s="372" t="n"/>
      <c r="AA377" s="372" t="n"/>
      <c r="AB377" s="371" t="n"/>
      <c r="AC377" s="371">
        <f>IF($B377="","",IF(AB377="Closed",IF(AA377="","",AA377-C377),TODAY()-C377))</f>
        <v/>
      </c>
      <c r="AD377" s="371" t="n"/>
    </row>
    <row r="378" ht="15" customHeight="1" s="15">
      <c r="A378" s="371">
        <f>IF($B378="","",ROW()-5)</f>
        <v/>
      </c>
      <c r="B378" s="371" t="n"/>
      <c r="C378" s="372" t="n"/>
      <c r="D378" s="371">
        <f>IF($B378="","",TEXT(C378,"MMM"))</f>
        <v/>
      </c>
      <c r="E378" s="371">
        <f>IF($B378="","","W"&amp;TEXT(WEEKNUM(C378,2),"00"))</f>
        <v/>
      </c>
      <c r="F378" s="371">
        <f>IF($B378="","","Q"&amp;(INT(MOD(MONTH(C378)-FY_Start+12,12)/3)+1))</f>
        <v/>
      </c>
      <c r="G378" s="371">
        <f>IF($B378="","","FY "&amp;IF(MONTH(C378)&gt;=FY_Start,YEAR(C378),YEAR(C378)-1)&amp;"-"&amp;RIGHT(IF(MONTH(C378)&gt;=FY_Start,YEAR(C378)+1,YEAR(C378)),2))</f>
        <v/>
      </c>
      <c r="H378" s="371" t="n"/>
      <c r="I378" s="371" t="n"/>
      <c r="J378" s="371" t="n"/>
      <c r="K378" s="371" t="n"/>
      <c r="L378" s="371" t="n"/>
      <c r="M378" s="371" t="n"/>
      <c r="N378" s="371" t="n"/>
      <c r="O378" s="371" t="n"/>
      <c r="P378" s="371" t="n"/>
      <c r="Q378" s="371" t="n"/>
      <c r="R378" s="371" t="n"/>
      <c r="S378" s="371" t="n"/>
      <c r="T378" s="371" t="n"/>
      <c r="U378" s="371" t="n"/>
      <c r="V378" s="371" t="n"/>
      <c r="W378" s="371" t="n"/>
      <c r="X378" s="371" t="n"/>
      <c r="Y378" s="371" t="n"/>
      <c r="Z378" s="372" t="n"/>
      <c r="AA378" s="372" t="n"/>
      <c r="AB378" s="371" t="n"/>
      <c r="AC378" s="371">
        <f>IF($B378="","",IF(AB378="Closed",IF(AA378="","",AA378-C378),TODAY()-C378))</f>
        <v/>
      </c>
      <c r="AD378" s="371" t="n"/>
    </row>
    <row r="379" ht="15" customHeight="1" s="15">
      <c r="A379" s="371">
        <f>IF($B379="","",ROW()-5)</f>
        <v/>
      </c>
      <c r="B379" s="371" t="n"/>
      <c r="C379" s="372" t="n"/>
      <c r="D379" s="371">
        <f>IF($B379="","",TEXT(C379,"MMM"))</f>
        <v/>
      </c>
      <c r="E379" s="371">
        <f>IF($B379="","","W"&amp;TEXT(WEEKNUM(C379,2),"00"))</f>
        <v/>
      </c>
      <c r="F379" s="371">
        <f>IF($B379="","","Q"&amp;(INT(MOD(MONTH(C379)-FY_Start+12,12)/3)+1))</f>
        <v/>
      </c>
      <c r="G379" s="371">
        <f>IF($B379="","","FY "&amp;IF(MONTH(C379)&gt;=FY_Start,YEAR(C379),YEAR(C379)-1)&amp;"-"&amp;RIGHT(IF(MONTH(C379)&gt;=FY_Start,YEAR(C379)+1,YEAR(C379)),2))</f>
        <v/>
      </c>
      <c r="H379" s="371" t="n"/>
      <c r="I379" s="371" t="n"/>
      <c r="J379" s="371" t="n"/>
      <c r="K379" s="371" t="n"/>
      <c r="L379" s="371" t="n"/>
      <c r="M379" s="371" t="n"/>
      <c r="N379" s="371" t="n"/>
      <c r="O379" s="371" t="n"/>
      <c r="P379" s="371" t="n"/>
      <c r="Q379" s="371" t="n"/>
      <c r="R379" s="371" t="n"/>
      <c r="S379" s="371" t="n"/>
      <c r="T379" s="371" t="n"/>
      <c r="U379" s="371" t="n"/>
      <c r="V379" s="371" t="n"/>
      <c r="W379" s="371" t="n"/>
      <c r="X379" s="371" t="n"/>
      <c r="Y379" s="371" t="n"/>
      <c r="Z379" s="372" t="n"/>
      <c r="AA379" s="372" t="n"/>
      <c r="AB379" s="371" t="n"/>
      <c r="AC379" s="371">
        <f>IF($B379="","",IF(AB379="Closed",IF(AA379="","",AA379-C379),TODAY()-C379))</f>
        <v/>
      </c>
      <c r="AD379" s="371" t="n"/>
    </row>
    <row r="380" ht="15" customHeight="1" s="15">
      <c r="A380" s="371">
        <f>IF($B380="","",ROW()-5)</f>
        <v/>
      </c>
      <c r="B380" s="371" t="n"/>
      <c r="C380" s="372" t="n"/>
      <c r="D380" s="371">
        <f>IF($B380="","",TEXT(C380,"MMM"))</f>
        <v/>
      </c>
      <c r="E380" s="371">
        <f>IF($B380="","","W"&amp;TEXT(WEEKNUM(C380,2),"00"))</f>
        <v/>
      </c>
      <c r="F380" s="371">
        <f>IF($B380="","","Q"&amp;(INT(MOD(MONTH(C380)-FY_Start+12,12)/3)+1))</f>
        <v/>
      </c>
      <c r="G380" s="371">
        <f>IF($B380="","","FY "&amp;IF(MONTH(C380)&gt;=FY_Start,YEAR(C380),YEAR(C380)-1)&amp;"-"&amp;RIGHT(IF(MONTH(C380)&gt;=FY_Start,YEAR(C380)+1,YEAR(C380)),2))</f>
        <v/>
      </c>
      <c r="H380" s="371" t="n"/>
      <c r="I380" s="371" t="n"/>
      <c r="J380" s="371" t="n"/>
      <c r="K380" s="371" t="n"/>
      <c r="L380" s="371" t="n"/>
      <c r="M380" s="371" t="n"/>
      <c r="N380" s="371" t="n"/>
      <c r="O380" s="371" t="n"/>
      <c r="P380" s="371" t="n"/>
      <c r="Q380" s="371" t="n"/>
      <c r="R380" s="371" t="n"/>
      <c r="S380" s="371" t="n"/>
      <c r="T380" s="371" t="n"/>
      <c r="U380" s="371" t="n"/>
      <c r="V380" s="371" t="n"/>
      <c r="W380" s="371" t="n"/>
      <c r="X380" s="371" t="n"/>
      <c r="Y380" s="371" t="n"/>
      <c r="Z380" s="372" t="n"/>
      <c r="AA380" s="372" t="n"/>
      <c r="AB380" s="371" t="n"/>
      <c r="AC380" s="371">
        <f>IF($B380="","",IF(AB380="Closed",IF(AA380="","",AA380-C380),TODAY()-C380))</f>
        <v/>
      </c>
      <c r="AD380" s="371" t="n"/>
    </row>
    <row r="381" ht="15" customHeight="1" s="15">
      <c r="A381" s="371">
        <f>IF($B381="","",ROW()-5)</f>
        <v/>
      </c>
      <c r="B381" s="371" t="n"/>
      <c r="C381" s="372" t="n"/>
      <c r="D381" s="371">
        <f>IF($B381="","",TEXT(C381,"MMM"))</f>
        <v/>
      </c>
      <c r="E381" s="371">
        <f>IF($B381="","","W"&amp;TEXT(WEEKNUM(C381,2),"00"))</f>
        <v/>
      </c>
      <c r="F381" s="371">
        <f>IF($B381="","","Q"&amp;(INT(MOD(MONTH(C381)-FY_Start+12,12)/3)+1))</f>
        <v/>
      </c>
      <c r="G381" s="371">
        <f>IF($B381="","","FY "&amp;IF(MONTH(C381)&gt;=FY_Start,YEAR(C381),YEAR(C381)-1)&amp;"-"&amp;RIGHT(IF(MONTH(C381)&gt;=FY_Start,YEAR(C381)+1,YEAR(C381)),2))</f>
        <v/>
      </c>
      <c r="H381" s="371" t="n"/>
      <c r="I381" s="371" t="n"/>
      <c r="J381" s="371" t="n"/>
      <c r="K381" s="371" t="n"/>
      <c r="L381" s="371" t="n"/>
      <c r="M381" s="371" t="n"/>
      <c r="N381" s="371" t="n"/>
      <c r="O381" s="371" t="n"/>
      <c r="P381" s="371" t="n"/>
      <c r="Q381" s="371" t="n"/>
      <c r="R381" s="371" t="n"/>
      <c r="S381" s="371" t="n"/>
      <c r="T381" s="371" t="n"/>
      <c r="U381" s="371" t="n"/>
      <c r="V381" s="371" t="n"/>
      <c r="W381" s="371" t="n"/>
      <c r="X381" s="371" t="n"/>
      <c r="Y381" s="371" t="n"/>
      <c r="Z381" s="372" t="n"/>
      <c r="AA381" s="372" t="n"/>
      <c r="AB381" s="371" t="n"/>
      <c r="AC381" s="371">
        <f>IF($B381="","",IF(AB381="Closed",IF(AA381="","",AA381-C381),TODAY()-C381))</f>
        <v/>
      </c>
      <c r="AD381" s="371" t="n"/>
    </row>
    <row r="382" ht="15" customHeight="1" s="15">
      <c r="A382" s="371">
        <f>IF($B382="","",ROW()-5)</f>
        <v/>
      </c>
      <c r="B382" s="371" t="n"/>
      <c r="C382" s="372" t="n"/>
      <c r="D382" s="371">
        <f>IF($B382="","",TEXT(C382,"MMM"))</f>
        <v/>
      </c>
      <c r="E382" s="371">
        <f>IF($B382="","","W"&amp;TEXT(WEEKNUM(C382,2),"00"))</f>
        <v/>
      </c>
      <c r="F382" s="371">
        <f>IF($B382="","","Q"&amp;(INT(MOD(MONTH(C382)-FY_Start+12,12)/3)+1))</f>
        <v/>
      </c>
      <c r="G382" s="371">
        <f>IF($B382="","","FY "&amp;IF(MONTH(C382)&gt;=FY_Start,YEAR(C382),YEAR(C382)-1)&amp;"-"&amp;RIGHT(IF(MONTH(C382)&gt;=FY_Start,YEAR(C382)+1,YEAR(C382)),2))</f>
        <v/>
      </c>
      <c r="H382" s="371" t="n"/>
      <c r="I382" s="371" t="n"/>
      <c r="J382" s="371" t="n"/>
      <c r="K382" s="371" t="n"/>
      <c r="L382" s="371" t="n"/>
      <c r="M382" s="371" t="n"/>
      <c r="N382" s="371" t="n"/>
      <c r="O382" s="371" t="n"/>
      <c r="P382" s="371" t="n"/>
      <c r="Q382" s="371" t="n"/>
      <c r="R382" s="371" t="n"/>
      <c r="S382" s="371" t="n"/>
      <c r="T382" s="371" t="n"/>
      <c r="U382" s="371" t="n"/>
      <c r="V382" s="371" t="n"/>
      <c r="W382" s="371" t="n"/>
      <c r="X382" s="371" t="n"/>
      <c r="Y382" s="371" t="n"/>
      <c r="Z382" s="372" t="n"/>
      <c r="AA382" s="372" t="n"/>
      <c r="AB382" s="371" t="n"/>
      <c r="AC382" s="371">
        <f>IF($B382="","",IF(AB382="Closed",IF(AA382="","",AA382-C382),TODAY()-C382))</f>
        <v/>
      </c>
      <c r="AD382" s="371" t="n"/>
    </row>
    <row r="383" ht="15" customHeight="1" s="15">
      <c r="A383" s="371">
        <f>IF($B383="","",ROW()-5)</f>
        <v/>
      </c>
      <c r="B383" s="371" t="n"/>
      <c r="C383" s="372" t="n"/>
      <c r="D383" s="371">
        <f>IF($B383="","",TEXT(C383,"MMM"))</f>
        <v/>
      </c>
      <c r="E383" s="371">
        <f>IF($B383="","","W"&amp;TEXT(WEEKNUM(C383,2),"00"))</f>
        <v/>
      </c>
      <c r="F383" s="371">
        <f>IF($B383="","","Q"&amp;(INT(MOD(MONTH(C383)-FY_Start+12,12)/3)+1))</f>
        <v/>
      </c>
      <c r="G383" s="371">
        <f>IF($B383="","","FY "&amp;IF(MONTH(C383)&gt;=FY_Start,YEAR(C383),YEAR(C383)-1)&amp;"-"&amp;RIGHT(IF(MONTH(C383)&gt;=FY_Start,YEAR(C383)+1,YEAR(C383)),2))</f>
        <v/>
      </c>
      <c r="H383" s="371" t="n"/>
      <c r="I383" s="371" t="n"/>
      <c r="J383" s="371" t="n"/>
      <c r="K383" s="371" t="n"/>
      <c r="L383" s="371" t="n"/>
      <c r="M383" s="371" t="n"/>
      <c r="N383" s="371" t="n"/>
      <c r="O383" s="371" t="n"/>
      <c r="P383" s="371" t="n"/>
      <c r="Q383" s="371" t="n"/>
      <c r="R383" s="371" t="n"/>
      <c r="S383" s="371" t="n"/>
      <c r="T383" s="371" t="n"/>
      <c r="U383" s="371" t="n"/>
      <c r="V383" s="371" t="n"/>
      <c r="W383" s="371" t="n"/>
      <c r="X383" s="371" t="n"/>
      <c r="Y383" s="371" t="n"/>
      <c r="Z383" s="372" t="n"/>
      <c r="AA383" s="372" t="n"/>
      <c r="AB383" s="371" t="n"/>
      <c r="AC383" s="371">
        <f>IF($B383="","",IF(AB383="Closed",IF(AA383="","",AA383-C383),TODAY()-C383))</f>
        <v/>
      </c>
      <c r="AD383" s="371" t="n"/>
    </row>
    <row r="384" ht="15" customHeight="1" s="15">
      <c r="A384" s="371">
        <f>IF($B384="","",ROW()-5)</f>
        <v/>
      </c>
      <c r="B384" s="371" t="n"/>
      <c r="C384" s="372" t="n"/>
      <c r="D384" s="371">
        <f>IF($B384="","",TEXT(C384,"MMM"))</f>
        <v/>
      </c>
      <c r="E384" s="371">
        <f>IF($B384="","","W"&amp;TEXT(WEEKNUM(C384,2),"00"))</f>
        <v/>
      </c>
      <c r="F384" s="371">
        <f>IF($B384="","","Q"&amp;(INT(MOD(MONTH(C384)-FY_Start+12,12)/3)+1))</f>
        <v/>
      </c>
      <c r="G384" s="371">
        <f>IF($B384="","","FY "&amp;IF(MONTH(C384)&gt;=FY_Start,YEAR(C384),YEAR(C384)-1)&amp;"-"&amp;RIGHT(IF(MONTH(C384)&gt;=FY_Start,YEAR(C384)+1,YEAR(C384)),2))</f>
        <v/>
      </c>
      <c r="H384" s="371" t="n"/>
      <c r="I384" s="371" t="n"/>
      <c r="J384" s="371" t="n"/>
      <c r="K384" s="371" t="n"/>
      <c r="L384" s="371" t="n"/>
      <c r="M384" s="371" t="n"/>
      <c r="N384" s="371" t="n"/>
      <c r="O384" s="371" t="n"/>
      <c r="P384" s="371" t="n"/>
      <c r="Q384" s="371" t="n"/>
      <c r="R384" s="371" t="n"/>
      <c r="S384" s="371" t="n"/>
      <c r="T384" s="371" t="n"/>
      <c r="U384" s="371" t="n"/>
      <c r="V384" s="371" t="n"/>
      <c r="W384" s="371" t="n"/>
      <c r="X384" s="371" t="n"/>
      <c r="Y384" s="371" t="n"/>
      <c r="Z384" s="372" t="n"/>
      <c r="AA384" s="372" t="n"/>
      <c r="AB384" s="371" t="n"/>
      <c r="AC384" s="371">
        <f>IF($B384="","",IF(AB384="Closed",IF(AA384="","",AA384-C384),TODAY()-C384))</f>
        <v/>
      </c>
      <c r="AD384" s="371" t="n"/>
    </row>
    <row r="385" ht="15" customHeight="1" s="15">
      <c r="A385" s="371">
        <f>IF($B385="","",ROW()-5)</f>
        <v/>
      </c>
      <c r="B385" s="371" t="n"/>
      <c r="C385" s="372" t="n"/>
      <c r="D385" s="371">
        <f>IF($B385="","",TEXT(C385,"MMM"))</f>
        <v/>
      </c>
      <c r="E385" s="371">
        <f>IF($B385="","","W"&amp;TEXT(WEEKNUM(C385,2),"00"))</f>
        <v/>
      </c>
      <c r="F385" s="371">
        <f>IF($B385="","","Q"&amp;(INT(MOD(MONTH(C385)-FY_Start+12,12)/3)+1))</f>
        <v/>
      </c>
      <c r="G385" s="371">
        <f>IF($B385="","","FY "&amp;IF(MONTH(C385)&gt;=FY_Start,YEAR(C385),YEAR(C385)-1)&amp;"-"&amp;RIGHT(IF(MONTH(C385)&gt;=FY_Start,YEAR(C385)+1,YEAR(C385)),2))</f>
        <v/>
      </c>
      <c r="H385" s="371" t="n"/>
      <c r="I385" s="371" t="n"/>
      <c r="J385" s="371" t="n"/>
      <c r="K385" s="371" t="n"/>
      <c r="L385" s="371" t="n"/>
      <c r="M385" s="371" t="n"/>
      <c r="N385" s="371" t="n"/>
      <c r="O385" s="371" t="n"/>
      <c r="P385" s="371" t="n"/>
      <c r="Q385" s="371" t="n"/>
      <c r="R385" s="371" t="n"/>
      <c r="S385" s="371" t="n"/>
      <c r="T385" s="371" t="n"/>
      <c r="U385" s="371" t="n"/>
      <c r="V385" s="371" t="n"/>
      <c r="W385" s="371" t="n"/>
      <c r="X385" s="371" t="n"/>
      <c r="Y385" s="371" t="n"/>
      <c r="Z385" s="372" t="n"/>
      <c r="AA385" s="372" t="n"/>
      <c r="AB385" s="371" t="n"/>
      <c r="AC385" s="371">
        <f>IF($B385="","",IF(AB385="Closed",IF(AA385="","",AA385-C385),TODAY()-C385))</f>
        <v/>
      </c>
      <c r="AD385" s="371" t="n"/>
    </row>
    <row r="386" ht="15" customHeight="1" s="15">
      <c r="A386" s="371">
        <f>IF($B386="","",ROW()-5)</f>
        <v/>
      </c>
      <c r="B386" s="371" t="n"/>
      <c r="C386" s="372" t="n"/>
      <c r="D386" s="371">
        <f>IF($B386="","",TEXT(C386,"MMM"))</f>
        <v/>
      </c>
      <c r="E386" s="371">
        <f>IF($B386="","","W"&amp;TEXT(WEEKNUM(C386,2),"00"))</f>
        <v/>
      </c>
      <c r="F386" s="371">
        <f>IF($B386="","","Q"&amp;(INT(MOD(MONTH(C386)-FY_Start+12,12)/3)+1))</f>
        <v/>
      </c>
      <c r="G386" s="371">
        <f>IF($B386="","","FY "&amp;IF(MONTH(C386)&gt;=FY_Start,YEAR(C386),YEAR(C386)-1)&amp;"-"&amp;RIGHT(IF(MONTH(C386)&gt;=FY_Start,YEAR(C386)+1,YEAR(C386)),2))</f>
        <v/>
      </c>
      <c r="H386" s="371" t="n"/>
      <c r="I386" s="371" t="n"/>
      <c r="J386" s="371" t="n"/>
      <c r="K386" s="371" t="n"/>
      <c r="L386" s="371" t="n"/>
      <c r="M386" s="371" t="n"/>
      <c r="N386" s="371" t="n"/>
      <c r="O386" s="371" t="n"/>
      <c r="P386" s="371" t="n"/>
      <c r="Q386" s="371" t="n"/>
      <c r="R386" s="371" t="n"/>
      <c r="S386" s="371" t="n"/>
      <c r="T386" s="371" t="n"/>
      <c r="U386" s="371" t="n"/>
      <c r="V386" s="371" t="n"/>
      <c r="W386" s="371" t="n"/>
      <c r="X386" s="371" t="n"/>
      <c r="Y386" s="371" t="n"/>
      <c r="Z386" s="372" t="n"/>
      <c r="AA386" s="372" t="n"/>
      <c r="AB386" s="371" t="n"/>
      <c r="AC386" s="371">
        <f>IF($B386="","",IF(AB386="Closed",IF(AA386="","",AA386-C386),TODAY()-C386))</f>
        <v/>
      </c>
      <c r="AD386" s="371" t="n"/>
    </row>
    <row r="387" ht="15" customHeight="1" s="15">
      <c r="A387" s="371">
        <f>IF($B387="","",ROW()-5)</f>
        <v/>
      </c>
      <c r="B387" s="371" t="n"/>
      <c r="C387" s="372" t="n"/>
      <c r="D387" s="371">
        <f>IF($B387="","",TEXT(C387,"MMM"))</f>
        <v/>
      </c>
      <c r="E387" s="371">
        <f>IF($B387="","","W"&amp;TEXT(WEEKNUM(C387,2),"00"))</f>
        <v/>
      </c>
      <c r="F387" s="371">
        <f>IF($B387="","","Q"&amp;(INT(MOD(MONTH(C387)-FY_Start+12,12)/3)+1))</f>
        <v/>
      </c>
      <c r="G387" s="371">
        <f>IF($B387="","","FY "&amp;IF(MONTH(C387)&gt;=FY_Start,YEAR(C387),YEAR(C387)-1)&amp;"-"&amp;RIGHT(IF(MONTH(C387)&gt;=FY_Start,YEAR(C387)+1,YEAR(C387)),2))</f>
        <v/>
      </c>
      <c r="H387" s="371" t="n"/>
      <c r="I387" s="371" t="n"/>
      <c r="J387" s="371" t="n"/>
      <c r="K387" s="371" t="n"/>
      <c r="L387" s="371" t="n"/>
      <c r="M387" s="371" t="n"/>
      <c r="N387" s="371" t="n"/>
      <c r="O387" s="371" t="n"/>
      <c r="P387" s="371" t="n"/>
      <c r="Q387" s="371" t="n"/>
      <c r="R387" s="371" t="n"/>
      <c r="S387" s="371" t="n"/>
      <c r="T387" s="371" t="n"/>
      <c r="U387" s="371" t="n"/>
      <c r="V387" s="371" t="n"/>
      <c r="W387" s="371" t="n"/>
      <c r="X387" s="371" t="n"/>
      <c r="Y387" s="371" t="n"/>
      <c r="Z387" s="372" t="n"/>
      <c r="AA387" s="372" t="n"/>
      <c r="AB387" s="371" t="n"/>
      <c r="AC387" s="371">
        <f>IF($B387="","",IF(AB387="Closed",IF(AA387="","",AA387-C387),TODAY()-C387))</f>
        <v/>
      </c>
      <c r="AD387" s="371" t="n"/>
    </row>
    <row r="388" ht="15" customHeight="1" s="15">
      <c r="A388" s="371">
        <f>IF($B388="","",ROW()-5)</f>
        <v/>
      </c>
      <c r="B388" s="371" t="n"/>
      <c r="C388" s="372" t="n"/>
      <c r="D388" s="371">
        <f>IF($B388="","",TEXT(C388,"MMM"))</f>
        <v/>
      </c>
      <c r="E388" s="371">
        <f>IF($B388="","","W"&amp;TEXT(WEEKNUM(C388,2),"00"))</f>
        <v/>
      </c>
      <c r="F388" s="371">
        <f>IF($B388="","","Q"&amp;(INT(MOD(MONTH(C388)-FY_Start+12,12)/3)+1))</f>
        <v/>
      </c>
      <c r="G388" s="371">
        <f>IF($B388="","","FY "&amp;IF(MONTH(C388)&gt;=FY_Start,YEAR(C388),YEAR(C388)-1)&amp;"-"&amp;RIGHT(IF(MONTH(C388)&gt;=FY_Start,YEAR(C388)+1,YEAR(C388)),2))</f>
        <v/>
      </c>
      <c r="H388" s="371" t="n"/>
      <c r="I388" s="371" t="n"/>
      <c r="J388" s="371" t="n"/>
      <c r="K388" s="371" t="n"/>
      <c r="L388" s="371" t="n"/>
      <c r="M388" s="371" t="n"/>
      <c r="N388" s="371" t="n"/>
      <c r="O388" s="371" t="n"/>
      <c r="P388" s="371" t="n"/>
      <c r="Q388" s="371" t="n"/>
      <c r="R388" s="371" t="n"/>
      <c r="S388" s="371" t="n"/>
      <c r="T388" s="371" t="n"/>
      <c r="U388" s="371" t="n"/>
      <c r="V388" s="371" t="n"/>
      <c r="W388" s="371" t="n"/>
      <c r="X388" s="371" t="n"/>
      <c r="Y388" s="371" t="n"/>
      <c r="Z388" s="372" t="n"/>
      <c r="AA388" s="372" t="n"/>
      <c r="AB388" s="371" t="n"/>
      <c r="AC388" s="371">
        <f>IF($B388="","",IF(AB388="Closed",IF(AA388="","",AA388-C388),TODAY()-C388))</f>
        <v/>
      </c>
      <c r="AD388" s="371" t="n"/>
    </row>
    <row r="389" ht="15" customHeight="1" s="15">
      <c r="A389" s="371">
        <f>IF($B389="","",ROW()-5)</f>
        <v/>
      </c>
      <c r="B389" s="371" t="n"/>
      <c r="C389" s="372" t="n"/>
      <c r="D389" s="371">
        <f>IF($B389="","",TEXT(C389,"MMM"))</f>
        <v/>
      </c>
      <c r="E389" s="371">
        <f>IF($B389="","","W"&amp;TEXT(WEEKNUM(C389,2),"00"))</f>
        <v/>
      </c>
      <c r="F389" s="371">
        <f>IF($B389="","","Q"&amp;(INT(MOD(MONTH(C389)-FY_Start+12,12)/3)+1))</f>
        <v/>
      </c>
      <c r="G389" s="371">
        <f>IF($B389="","","FY "&amp;IF(MONTH(C389)&gt;=FY_Start,YEAR(C389),YEAR(C389)-1)&amp;"-"&amp;RIGHT(IF(MONTH(C389)&gt;=FY_Start,YEAR(C389)+1,YEAR(C389)),2))</f>
        <v/>
      </c>
      <c r="H389" s="371" t="n"/>
      <c r="I389" s="371" t="n"/>
      <c r="J389" s="371" t="n"/>
      <c r="K389" s="371" t="n"/>
      <c r="L389" s="371" t="n"/>
      <c r="M389" s="371" t="n"/>
      <c r="N389" s="371" t="n"/>
      <c r="O389" s="371" t="n"/>
      <c r="P389" s="371" t="n"/>
      <c r="Q389" s="371" t="n"/>
      <c r="R389" s="371" t="n"/>
      <c r="S389" s="371" t="n"/>
      <c r="T389" s="371" t="n"/>
      <c r="U389" s="371" t="n"/>
      <c r="V389" s="371" t="n"/>
      <c r="W389" s="371" t="n"/>
      <c r="X389" s="371" t="n"/>
      <c r="Y389" s="371" t="n"/>
      <c r="Z389" s="372" t="n"/>
      <c r="AA389" s="372" t="n"/>
      <c r="AB389" s="371" t="n"/>
      <c r="AC389" s="371">
        <f>IF($B389="","",IF(AB389="Closed",IF(AA389="","",AA389-C389),TODAY()-C389))</f>
        <v/>
      </c>
      <c r="AD389" s="371" t="n"/>
    </row>
    <row r="390" ht="15" customHeight="1" s="15">
      <c r="A390" s="371">
        <f>IF($B390="","",ROW()-5)</f>
        <v/>
      </c>
      <c r="B390" s="371" t="n"/>
      <c r="C390" s="372" t="n"/>
      <c r="D390" s="371">
        <f>IF($B390="","",TEXT(C390,"MMM"))</f>
        <v/>
      </c>
      <c r="E390" s="371">
        <f>IF($B390="","","W"&amp;TEXT(WEEKNUM(C390,2),"00"))</f>
        <v/>
      </c>
      <c r="F390" s="371">
        <f>IF($B390="","","Q"&amp;(INT(MOD(MONTH(C390)-FY_Start+12,12)/3)+1))</f>
        <v/>
      </c>
      <c r="G390" s="371">
        <f>IF($B390="","","FY "&amp;IF(MONTH(C390)&gt;=FY_Start,YEAR(C390),YEAR(C390)-1)&amp;"-"&amp;RIGHT(IF(MONTH(C390)&gt;=FY_Start,YEAR(C390)+1,YEAR(C390)),2))</f>
        <v/>
      </c>
      <c r="H390" s="371" t="n"/>
      <c r="I390" s="371" t="n"/>
      <c r="J390" s="371" t="n"/>
      <c r="K390" s="371" t="n"/>
      <c r="L390" s="371" t="n"/>
      <c r="M390" s="371" t="n"/>
      <c r="N390" s="371" t="n"/>
      <c r="O390" s="371" t="n"/>
      <c r="P390" s="371" t="n"/>
      <c r="Q390" s="371" t="n"/>
      <c r="R390" s="371" t="n"/>
      <c r="S390" s="371" t="n"/>
      <c r="T390" s="371" t="n"/>
      <c r="U390" s="371" t="n"/>
      <c r="V390" s="371" t="n"/>
      <c r="W390" s="371" t="n"/>
      <c r="X390" s="371" t="n"/>
      <c r="Y390" s="371" t="n"/>
      <c r="Z390" s="372" t="n"/>
      <c r="AA390" s="372" t="n"/>
      <c r="AB390" s="371" t="n"/>
      <c r="AC390" s="371">
        <f>IF($B390="","",IF(AB390="Closed",IF(AA390="","",AA390-C390),TODAY()-C390))</f>
        <v/>
      </c>
      <c r="AD390" s="371" t="n"/>
    </row>
    <row r="391" ht="15" customHeight="1" s="15">
      <c r="A391" s="371">
        <f>IF($B391="","",ROW()-5)</f>
        <v/>
      </c>
      <c r="B391" s="371" t="n"/>
      <c r="C391" s="372" t="n"/>
      <c r="D391" s="371">
        <f>IF($B391="","",TEXT(C391,"MMM"))</f>
        <v/>
      </c>
      <c r="E391" s="371">
        <f>IF($B391="","","W"&amp;TEXT(WEEKNUM(C391,2),"00"))</f>
        <v/>
      </c>
      <c r="F391" s="371">
        <f>IF($B391="","","Q"&amp;(INT(MOD(MONTH(C391)-FY_Start+12,12)/3)+1))</f>
        <v/>
      </c>
      <c r="G391" s="371">
        <f>IF($B391="","","FY "&amp;IF(MONTH(C391)&gt;=FY_Start,YEAR(C391),YEAR(C391)-1)&amp;"-"&amp;RIGHT(IF(MONTH(C391)&gt;=FY_Start,YEAR(C391)+1,YEAR(C391)),2))</f>
        <v/>
      </c>
      <c r="H391" s="371" t="n"/>
      <c r="I391" s="371" t="n"/>
      <c r="J391" s="371" t="n"/>
      <c r="K391" s="371" t="n"/>
      <c r="L391" s="371" t="n"/>
      <c r="M391" s="371" t="n"/>
      <c r="N391" s="371" t="n"/>
      <c r="O391" s="371" t="n"/>
      <c r="P391" s="371" t="n"/>
      <c r="Q391" s="371" t="n"/>
      <c r="R391" s="371" t="n"/>
      <c r="S391" s="371" t="n"/>
      <c r="T391" s="371" t="n"/>
      <c r="U391" s="371" t="n"/>
      <c r="V391" s="371" t="n"/>
      <c r="W391" s="371" t="n"/>
      <c r="X391" s="371" t="n"/>
      <c r="Y391" s="371" t="n"/>
      <c r="Z391" s="372" t="n"/>
      <c r="AA391" s="372" t="n"/>
      <c r="AB391" s="371" t="n"/>
      <c r="AC391" s="371">
        <f>IF($B391="","",IF(AB391="Closed",IF(AA391="","",AA391-C391),TODAY()-C391))</f>
        <v/>
      </c>
      <c r="AD391" s="371" t="n"/>
    </row>
    <row r="392" ht="15" customHeight="1" s="15">
      <c r="A392" s="371">
        <f>IF($B392="","",ROW()-5)</f>
        <v/>
      </c>
      <c r="B392" s="371" t="n"/>
      <c r="C392" s="372" t="n"/>
      <c r="D392" s="371">
        <f>IF($B392="","",TEXT(C392,"MMM"))</f>
        <v/>
      </c>
      <c r="E392" s="371">
        <f>IF($B392="","","W"&amp;TEXT(WEEKNUM(C392,2),"00"))</f>
        <v/>
      </c>
      <c r="F392" s="371">
        <f>IF($B392="","","Q"&amp;(INT(MOD(MONTH(C392)-FY_Start+12,12)/3)+1))</f>
        <v/>
      </c>
      <c r="G392" s="371">
        <f>IF($B392="","","FY "&amp;IF(MONTH(C392)&gt;=FY_Start,YEAR(C392),YEAR(C392)-1)&amp;"-"&amp;RIGHT(IF(MONTH(C392)&gt;=FY_Start,YEAR(C392)+1,YEAR(C392)),2))</f>
        <v/>
      </c>
      <c r="H392" s="371" t="n"/>
      <c r="I392" s="371" t="n"/>
      <c r="J392" s="371" t="n"/>
      <c r="K392" s="371" t="n"/>
      <c r="L392" s="371" t="n"/>
      <c r="M392" s="371" t="n"/>
      <c r="N392" s="371" t="n"/>
      <c r="O392" s="371" t="n"/>
      <c r="P392" s="371" t="n"/>
      <c r="Q392" s="371" t="n"/>
      <c r="R392" s="371" t="n"/>
      <c r="S392" s="371" t="n"/>
      <c r="T392" s="371" t="n"/>
      <c r="U392" s="371" t="n"/>
      <c r="V392" s="371" t="n"/>
      <c r="W392" s="371" t="n"/>
      <c r="X392" s="371" t="n"/>
      <c r="Y392" s="371" t="n"/>
      <c r="Z392" s="372" t="n"/>
      <c r="AA392" s="372" t="n"/>
      <c r="AB392" s="371" t="n"/>
      <c r="AC392" s="371">
        <f>IF($B392="","",IF(AB392="Closed",IF(AA392="","",AA392-C392),TODAY()-C392))</f>
        <v/>
      </c>
      <c r="AD392" s="371" t="n"/>
    </row>
    <row r="393" ht="15" customHeight="1" s="15">
      <c r="A393" s="371">
        <f>IF($B393="","",ROW()-5)</f>
        <v/>
      </c>
      <c r="B393" s="371" t="n"/>
      <c r="C393" s="372" t="n"/>
      <c r="D393" s="371">
        <f>IF($B393="","",TEXT(C393,"MMM"))</f>
        <v/>
      </c>
      <c r="E393" s="371">
        <f>IF($B393="","","W"&amp;TEXT(WEEKNUM(C393,2),"00"))</f>
        <v/>
      </c>
      <c r="F393" s="371">
        <f>IF($B393="","","Q"&amp;(INT(MOD(MONTH(C393)-FY_Start+12,12)/3)+1))</f>
        <v/>
      </c>
      <c r="G393" s="371">
        <f>IF($B393="","","FY "&amp;IF(MONTH(C393)&gt;=FY_Start,YEAR(C393),YEAR(C393)-1)&amp;"-"&amp;RIGHT(IF(MONTH(C393)&gt;=FY_Start,YEAR(C393)+1,YEAR(C393)),2))</f>
        <v/>
      </c>
      <c r="H393" s="371" t="n"/>
      <c r="I393" s="371" t="n"/>
      <c r="J393" s="371" t="n"/>
      <c r="K393" s="371" t="n"/>
      <c r="L393" s="371" t="n"/>
      <c r="M393" s="371" t="n"/>
      <c r="N393" s="371" t="n"/>
      <c r="O393" s="371" t="n"/>
      <c r="P393" s="371" t="n"/>
      <c r="Q393" s="371" t="n"/>
      <c r="R393" s="371" t="n"/>
      <c r="S393" s="371" t="n"/>
      <c r="T393" s="371" t="n"/>
      <c r="U393" s="371" t="n"/>
      <c r="V393" s="371" t="n"/>
      <c r="W393" s="371" t="n"/>
      <c r="X393" s="371" t="n"/>
      <c r="Y393" s="371" t="n"/>
      <c r="Z393" s="372" t="n"/>
      <c r="AA393" s="372" t="n"/>
      <c r="AB393" s="371" t="n"/>
      <c r="AC393" s="371">
        <f>IF($B393="","",IF(AB393="Closed",IF(AA393="","",AA393-C393),TODAY()-C393))</f>
        <v/>
      </c>
      <c r="AD393" s="371" t="n"/>
    </row>
    <row r="394" ht="15" customHeight="1" s="15">
      <c r="A394" s="371">
        <f>IF($B394="","",ROW()-5)</f>
        <v/>
      </c>
      <c r="B394" s="371" t="n"/>
      <c r="C394" s="372" t="n"/>
      <c r="D394" s="371">
        <f>IF($B394="","",TEXT(C394,"MMM"))</f>
        <v/>
      </c>
      <c r="E394" s="371">
        <f>IF($B394="","","W"&amp;TEXT(WEEKNUM(C394,2),"00"))</f>
        <v/>
      </c>
      <c r="F394" s="371">
        <f>IF($B394="","","Q"&amp;(INT(MOD(MONTH(C394)-FY_Start+12,12)/3)+1))</f>
        <v/>
      </c>
      <c r="G394" s="371">
        <f>IF($B394="","","FY "&amp;IF(MONTH(C394)&gt;=FY_Start,YEAR(C394),YEAR(C394)-1)&amp;"-"&amp;RIGHT(IF(MONTH(C394)&gt;=FY_Start,YEAR(C394)+1,YEAR(C394)),2))</f>
        <v/>
      </c>
      <c r="H394" s="371" t="n"/>
      <c r="I394" s="371" t="n"/>
      <c r="J394" s="371" t="n"/>
      <c r="K394" s="371" t="n"/>
      <c r="L394" s="371" t="n"/>
      <c r="M394" s="371" t="n"/>
      <c r="N394" s="371" t="n"/>
      <c r="O394" s="371" t="n"/>
      <c r="P394" s="371" t="n"/>
      <c r="Q394" s="371" t="n"/>
      <c r="R394" s="371" t="n"/>
      <c r="S394" s="371" t="n"/>
      <c r="T394" s="371" t="n"/>
      <c r="U394" s="371" t="n"/>
      <c r="V394" s="371" t="n"/>
      <c r="W394" s="371" t="n"/>
      <c r="X394" s="371" t="n"/>
      <c r="Y394" s="371" t="n"/>
      <c r="Z394" s="372" t="n"/>
      <c r="AA394" s="372" t="n"/>
      <c r="AB394" s="371" t="n"/>
      <c r="AC394" s="371">
        <f>IF($B394="","",IF(AB394="Closed",IF(AA394="","",AA394-C394),TODAY()-C394))</f>
        <v/>
      </c>
      <c r="AD394" s="371" t="n"/>
    </row>
    <row r="395" ht="15" customHeight="1" s="15">
      <c r="A395" s="371">
        <f>IF($B395="","",ROW()-5)</f>
        <v/>
      </c>
      <c r="B395" s="371" t="n"/>
      <c r="C395" s="372" t="n"/>
      <c r="D395" s="371">
        <f>IF($B395="","",TEXT(C395,"MMM"))</f>
        <v/>
      </c>
      <c r="E395" s="371">
        <f>IF($B395="","","W"&amp;TEXT(WEEKNUM(C395,2),"00"))</f>
        <v/>
      </c>
      <c r="F395" s="371">
        <f>IF($B395="","","Q"&amp;(INT(MOD(MONTH(C395)-FY_Start+12,12)/3)+1))</f>
        <v/>
      </c>
      <c r="G395" s="371">
        <f>IF($B395="","","FY "&amp;IF(MONTH(C395)&gt;=FY_Start,YEAR(C395),YEAR(C395)-1)&amp;"-"&amp;RIGHT(IF(MONTH(C395)&gt;=FY_Start,YEAR(C395)+1,YEAR(C395)),2))</f>
        <v/>
      </c>
      <c r="H395" s="371" t="n"/>
      <c r="I395" s="371" t="n"/>
      <c r="J395" s="371" t="n"/>
      <c r="K395" s="371" t="n"/>
      <c r="L395" s="371" t="n"/>
      <c r="M395" s="371" t="n"/>
      <c r="N395" s="371" t="n"/>
      <c r="O395" s="371" t="n"/>
      <c r="P395" s="371" t="n"/>
      <c r="Q395" s="371" t="n"/>
      <c r="R395" s="371" t="n"/>
      <c r="S395" s="371" t="n"/>
      <c r="T395" s="371" t="n"/>
      <c r="U395" s="371" t="n"/>
      <c r="V395" s="371" t="n"/>
      <c r="W395" s="371" t="n"/>
      <c r="X395" s="371" t="n"/>
      <c r="Y395" s="371" t="n"/>
      <c r="Z395" s="372" t="n"/>
      <c r="AA395" s="372" t="n"/>
      <c r="AB395" s="371" t="n"/>
      <c r="AC395" s="371">
        <f>IF($B395="","",IF(AB395="Closed",IF(AA395="","",AA395-C395),TODAY()-C395))</f>
        <v/>
      </c>
      <c r="AD395" s="371" t="n"/>
    </row>
    <row r="396" ht="15" customHeight="1" s="15">
      <c r="A396" s="371">
        <f>IF($B396="","",ROW()-5)</f>
        <v/>
      </c>
      <c r="B396" s="371" t="n"/>
      <c r="C396" s="372" t="n"/>
      <c r="D396" s="371">
        <f>IF($B396="","",TEXT(C396,"MMM"))</f>
        <v/>
      </c>
      <c r="E396" s="371">
        <f>IF($B396="","","W"&amp;TEXT(WEEKNUM(C396,2),"00"))</f>
        <v/>
      </c>
      <c r="F396" s="371">
        <f>IF($B396="","","Q"&amp;(INT(MOD(MONTH(C396)-FY_Start+12,12)/3)+1))</f>
        <v/>
      </c>
      <c r="G396" s="371">
        <f>IF($B396="","","FY "&amp;IF(MONTH(C396)&gt;=FY_Start,YEAR(C396),YEAR(C396)-1)&amp;"-"&amp;RIGHT(IF(MONTH(C396)&gt;=FY_Start,YEAR(C396)+1,YEAR(C396)),2))</f>
        <v/>
      </c>
      <c r="H396" s="371" t="n"/>
      <c r="I396" s="371" t="n"/>
      <c r="J396" s="371" t="n"/>
      <c r="K396" s="371" t="n"/>
      <c r="L396" s="371" t="n"/>
      <c r="M396" s="371" t="n"/>
      <c r="N396" s="371" t="n"/>
      <c r="O396" s="371" t="n"/>
      <c r="P396" s="371" t="n"/>
      <c r="Q396" s="371" t="n"/>
      <c r="R396" s="371" t="n"/>
      <c r="S396" s="371" t="n"/>
      <c r="T396" s="371" t="n"/>
      <c r="U396" s="371" t="n"/>
      <c r="V396" s="371" t="n"/>
      <c r="W396" s="371" t="n"/>
      <c r="X396" s="371" t="n"/>
      <c r="Y396" s="371" t="n"/>
      <c r="Z396" s="372" t="n"/>
      <c r="AA396" s="372" t="n"/>
      <c r="AB396" s="371" t="n"/>
      <c r="AC396" s="371">
        <f>IF($B396="","",IF(AB396="Closed",IF(AA396="","",AA396-C396),TODAY()-C396))</f>
        <v/>
      </c>
      <c r="AD396" s="371" t="n"/>
    </row>
    <row r="397" ht="15" customHeight="1" s="15">
      <c r="A397" s="371">
        <f>IF($B397="","",ROW()-5)</f>
        <v/>
      </c>
      <c r="B397" s="371" t="n"/>
      <c r="C397" s="372" t="n"/>
      <c r="D397" s="371">
        <f>IF($B397="","",TEXT(C397,"MMM"))</f>
        <v/>
      </c>
      <c r="E397" s="371">
        <f>IF($B397="","","W"&amp;TEXT(WEEKNUM(C397,2),"00"))</f>
        <v/>
      </c>
      <c r="F397" s="371">
        <f>IF($B397="","","Q"&amp;(INT(MOD(MONTH(C397)-FY_Start+12,12)/3)+1))</f>
        <v/>
      </c>
      <c r="G397" s="371">
        <f>IF($B397="","","FY "&amp;IF(MONTH(C397)&gt;=FY_Start,YEAR(C397),YEAR(C397)-1)&amp;"-"&amp;RIGHT(IF(MONTH(C397)&gt;=FY_Start,YEAR(C397)+1,YEAR(C397)),2))</f>
        <v/>
      </c>
      <c r="H397" s="371" t="n"/>
      <c r="I397" s="371" t="n"/>
      <c r="J397" s="371" t="n"/>
      <c r="K397" s="371" t="n"/>
      <c r="L397" s="371" t="n"/>
      <c r="M397" s="371" t="n"/>
      <c r="N397" s="371" t="n"/>
      <c r="O397" s="371" t="n"/>
      <c r="P397" s="371" t="n"/>
      <c r="Q397" s="371" t="n"/>
      <c r="R397" s="371" t="n"/>
      <c r="S397" s="371" t="n"/>
      <c r="T397" s="371" t="n"/>
      <c r="U397" s="371" t="n"/>
      <c r="V397" s="371" t="n"/>
      <c r="W397" s="371" t="n"/>
      <c r="X397" s="371" t="n"/>
      <c r="Y397" s="371" t="n"/>
      <c r="Z397" s="372" t="n"/>
      <c r="AA397" s="372" t="n"/>
      <c r="AB397" s="371" t="n"/>
      <c r="AC397" s="371">
        <f>IF($B397="","",IF(AB397="Closed",IF(AA397="","",AA397-C397),TODAY()-C397))</f>
        <v/>
      </c>
      <c r="AD397" s="371" t="n"/>
    </row>
    <row r="398" ht="15" customHeight="1" s="15">
      <c r="A398" s="371">
        <f>IF($B398="","",ROW()-5)</f>
        <v/>
      </c>
      <c r="B398" s="371" t="n"/>
      <c r="C398" s="372" t="n"/>
      <c r="D398" s="371">
        <f>IF($B398="","",TEXT(C398,"MMM"))</f>
        <v/>
      </c>
      <c r="E398" s="371">
        <f>IF($B398="","","W"&amp;TEXT(WEEKNUM(C398,2),"00"))</f>
        <v/>
      </c>
      <c r="F398" s="371">
        <f>IF($B398="","","Q"&amp;(INT(MOD(MONTH(C398)-FY_Start+12,12)/3)+1))</f>
        <v/>
      </c>
      <c r="G398" s="371">
        <f>IF($B398="","","FY "&amp;IF(MONTH(C398)&gt;=FY_Start,YEAR(C398),YEAR(C398)-1)&amp;"-"&amp;RIGHT(IF(MONTH(C398)&gt;=FY_Start,YEAR(C398)+1,YEAR(C398)),2))</f>
        <v/>
      </c>
      <c r="H398" s="371" t="n"/>
      <c r="I398" s="371" t="n"/>
      <c r="J398" s="371" t="n"/>
      <c r="K398" s="371" t="n"/>
      <c r="L398" s="371" t="n"/>
      <c r="M398" s="371" t="n"/>
      <c r="N398" s="371" t="n"/>
      <c r="O398" s="371" t="n"/>
      <c r="P398" s="371" t="n"/>
      <c r="Q398" s="371" t="n"/>
      <c r="R398" s="371" t="n"/>
      <c r="S398" s="371" t="n"/>
      <c r="T398" s="371" t="n"/>
      <c r="U398" s="371" t="n"/>
      <c r="V398" s="371" t="n"/>
      <c r="W398" s="371" t="n"/>
      <c r="X398" s="371" t="n"/>
      <c r="Y398" s="371" t="n"/>
      <c r="Z398" s="372" t="n"/>
      <c r="AA398" s="372" t="n"/>
      <c r="AB398" s="371" t="n"/>
      <c r="AC398" s="371">
        <f>IF($B398="","",IF(AB398="Closed",IF(AA398="","",AA398-C398),TODAY()-C398))</f>
        <v/>
      </c>
      <c r="AD398" s="371" t="n"/>
    </row>
    <row r="399" ht="15" customHeight="1" s="15">
      <c r="A399" s="371">
        <f>IF($B399="","",ROW()-5)</f>
        <v/>
      </c>
      <c r="B399" s="371" t="n"/>
      <c r="C399" s="372" t="n"/>
      <c r="D399" s="371">
        <f>IF($B399="","",TEXT(C399,"MMM"))</f>
        <v/>
      </c>
      <c r="E399" s="371">
        <f>IF($B399="","","W"&amp;TEXT(WEEKNUM(C399,2),"00"))</f>
        <v/>
      </c>
      <c r="F399" s="371">
        <f>IF($B399="","","Q"&amp;(INT(MOD(MONTH(C399)-FY_Start+12,12)/3)+1))</f>
        <v/>
      </c>
      <c r="G399" s="371">
        <f>IF($B399="","","FY "&amp;IF(MONTH(C399)&gt;=FY_Start,YEAR(C399),YEAR(C399)-1)&amp;"-"&amp;RIGHT(IF(MONTH(C399)&gt;=FY_Start,YEAR(C399)+1,YEAR(C399)),2))</f>
        <v/>
      </c>
      <c r="H399" s="371" t="n"/>
      <c r="I399" s="371" t="n"/>
      <c r="J399" s="371" t="n"/>
      <c r="K399" s="371" t="n"/>
      <c r="L399" s="371" t="n"/>
      <c r="M399" s="371" t="n"/>
      <c r="N399" s="371" t="n"/>
      <c r="O399" s="371" t="n"/>
      <c r="P399" s="371" t="n"/>
      <c r="Q399" s="371" t="n"/>
      <c r="R399" s="371" t="n"/>
      <c r="S399" s="371" t="n"/>
      <c r="T399" s="371" t="n"/>
      <c r="U399" s="371" t="n"/>
      <c r="V399" s="371" t="n"/>
      <c r="W399" s="371" t="n"/>
      <c r="X399" s="371" t="n"/>
      <c r="Y399" s="371" t="n"/>
      <c r="Z399" s="372" t="n"/>
      <c r="AA399" s="372" t="n"/>
      <c r="AB399" s="371" t="n"/>
      <c r="AC399" s="371">
        <f>IF($B399="","",IF(AB399="Closed",IF(AA399="","",AA399-C399),TODAY()-C399))</f>
        <v/>
      </c>
      <c r="AD399" s="371" t="n"/>
    </row>
    <row r="400" ht="15" customHeight="1" s="15">
      <c r="A400" s="371">
        <f>IF($B400="","",ROW()-5)</f>
        <v/>
      </c>
      <c r="B400" s="371" t="n"/>
      <c r="C400" s="372" t="n"/>
      <c r="D400" s="371">
        <f>IF($B400="","",TEXT(C400,"MMM"))</f>
        <v/>
      </c>
      <c r="E400" s="371">
        <f>IF($B400="","","W"&amp;TEXT(WEEKNUM(C400,2),"00"))</f>
        <v/>
      </c>
      <c r="F400" s="371">
        <f>IF($B400="","","Q"&amp;(INT(MOD(MONTH(C400)-FY_Start+12,12)/3)+1))</f>
        <v/>
      </c>
      <c r="G400" s="371">
        <f>IF($B400="","","FY "&amp;IF(MONTH(C400)&gt;=FY_Start,YEAR(C400),YEAR(C400)-1)&amp;"-"&amp;RIGHT(IF(MONTH(C400)&gt;=FY_Start,YEAR(C400)+1,YEAR(C400)),2))</f>
        <v/>
      </c>
      <c r="H400" s="371" t="n"/>
      <c r="I400" s="371" t="n"/>
      <c r="J400" s="371" t="n"/>
      <c r="K400" s="371" t="n"/>
      <c r="L400" s="371" t="n"/>
      <c r="M400" s="371" t="n"/>
      <c r="N400" s="371" t="n"/>
      <c r="O400" s="371" t="n"/>
      <c r="P400" s="371" t="n"/>
      <c r="Q400" s="371" t="n"/>
      <c r="R400" s="371" t="n"/>
      <c r="S400" s="371" t="n"/>
      <c r="T400" s="371" t="n"/>
      <c r="U400" s="371" t="n"/>
      <c r="V400" s="371" t="n"/>
      <c r="W400" s="371" t="n"/>
      <c r="X400" s="371" t="n"/>
      <c r="Y400" s="371" t="n"/>
      <c r="Z400" s="372" t="n"/>
      <c r="AA400" s="372" t="n"/>
      <c r="AB400" s="371" t="n"/>
      <c r="AC400" s="371">
        <f>IF($B400="","",IF(AB400="Closed",IF(AA400="","",AA400-C400),TODAY()-C400))</f>
        <v/>
      </c>
      <c r="AD400" s="371" t="n"/>
    </row>
    <row r="401" ht="15" customHeight="1" s="15">
      <c r="A401" s="371">
        <f>IF($B401="","",ROW()-5)</f>
        <v/>
      </c>
      <c r="B401" s="371" t="n"/>
      <c r="C401" s="372" t="n"/>
      <c r="D401" s="371">
        <f>IF($B401="","",TEXT(C401,"MMM"))</f>
        <v/>
      </c>
      <c r="E401" s="371">
        <f>IF($B401="","","W"&amp;TEXT(WEEKNUM(C401,2),"00"))</f>
        <v/>
      </c>
      <c r="F401" s="371">
        <f>IF($B401="","","Q"&amp;(INT(MOD(MONTH(C401)-FY_Start+12,12)/3)+1))</f>
        <v/>
      </c>
      <c r="G401" s="371">
        <f>IF($B401="","","FY "&amp;IF(MONTH(C401)&gt;=FY_Start,YEAR(C401),YEAR(C401)-1)&amp;"-"&amp;RIGHT(IF(MONTH(C401)&gt;=FY_Start,YEAR(C401)+1,YEAR(C401)),2))</f>
        <v/>
      </c>
      <c r="H401" s="371" t="n"/>
      <c r="I401" s="371" t="n"/>
      <c r="J401" s="371" t="n"/>
      <c r="K401" s="371" t="n"/>
      <c r="L401" s="371" t="n"/>
      <c r="M401" s="371" t="n"/>
      <c r="N401" s="371" t="n"/>
      <c r="O401" s="371" t="n"/>
      <c r="P401" s="371" t="n"/>
      <c r="Q401" s="371" t="n"/>
      <c r="R401" s="371" t="n"/>
      <c r="S401" s="371" t="n"/>
      <c r="T401" s="371" t="n"/>
      <c r="U401" s="371" t="n"/>
      <c r="V401" s="371" t="n"/>
      <c r="W401" s="371" t="n"/>
      <c r="X401" s="371" t="n"/>
      <c r="Y401" s="371" t="n"/>
      <c r="Z401" s="372" t="n"/>
      <c r="AA401" s="372" t="n"/>
      <c r="AB401" s="371" t="n"/>
      <c r="AC401" s="371">
        <f>IF($B401="","",IF(AB401="Closed",IF(AA401="","",AA401-C401),TODAY()-C401))</f>
        <v/>
      </c>
      <c r="AD401" s="371" t="n"/>
    </row>
    <row r="402" ht="15" customHeight="1" s="15">
      <c r="A402" s="371">
        <f>IF($B402="","",ROW()-5)</f>
        <v/>
      </c>
      <c r="B402" s="371" t="n"/>
      <c r="C402" s="372" t="n"/>
      <c r="D402" s="371">
        <f>IF($B402="","",TEXT(C402,"MMM"))</f>
        <v/>
      </c>
      <c r="E402" s="371">
        <f>IF($B402="","","W"&amp;TEXT(WEEKNUM(C402,2),"00"))</f>
        <v/>
      </c>
      <c r="F402" s="371">
        <f>IF($B402="","","Q"&amp;(INT(MOD(MONTH(C402)-FY_Start+12,12)/3)+1))</f>
        <v/>
      </c>
      <c r="G402" s="371">
        <f>IF($B402="","","FY "&amp;IF(MONTH(C402)&gt;=FY_Start,YEAR(C402),YEAR(C402)-1)&amp;"-"&amp;RIGHT(IF(MONTH(C402)&gt;=FY_Start,YEAR(C402)+1,YEAR(C402)),2))</f>
        <v/>
      </c>
      <c r="H402" s="371" t="n"/>
      <c r="I402" s="371" t="n"/>
      <c r="J402" s="371" t="n"/>
      <c r="K402" s="371" t="n"/>
      <c r="L402" s="371" t="n"/>
      <c r="M402" s="371" t="n"/>
      <c r="N402" s="371" t="n"/>
      <c r="O402" s="371" t="n"/>
      <c r="P402" s="371" t="n"/>
      <c r="Q402" s="371" t="n"/>
      <c r="R402" s="371" t="n"/>
      <c r="S402" s="371" t="n"/>
      <c r="T402" s="371" t="n"/>
      <c r="U402" s="371" t="n"/>
      <c r="V402" s="371" t="n"/>
      <c r="W402" s="371" t="n"/>
      <c r="X402" s="371" t="n"/>
      <c r="Y402" s="371" t="n"/>
      <c r="Z402" s="372" t="n"/>
      <c r="AA402" s="372" t="n"/>
      <c r="AB402" s="371" t="n"/>
      <c r="AC402" s="371">
        <f>IF($B402="","",IF(AB402="Closed",IF(AA402="","",AA402-C402),TODAY()-C402))</f>
        <v/>
      </c>
      <c r="AD402" s="371" t="n"/>
    </row>
    <row r="403" ht="15" customHeight="1" s="15">
      <c r="A403" s="371">
        <f>IF($B403="","",ROW()-5)</f>
        <v/>
      </c>
      <c r="B403" s="371" t="n"/>
      <c r="C403" s="372" t="n"/>
      <c r="D403" s="371">
        <f>IF($B403="","",TEXT(C403,"MMM"))</f>
        <v/>
      </c>
      <c r="E403" s="371">
        <f>IF($B403="","","W"&amp;TEXT(WEEKNUM(C403,2),"00"))</f>
        <v/>
      </c>
      <c r="F403" s="371">
        <f>IF($B403="","","Q"&amp;(INT(MOD(MONTH(C403)-FY_Start+12,12)/3)+1))</f>
        <v/>
      </c>
      <c r="G403" s="371">
        <f>IF($B403="","","FY "&amp;IF(MONTH(C403)&gt;=FY_Start,YEAR(C403),YEAR(C403)-1)&amp;"-"&amp;RIGHT(IF(MONTH(C403)&gt;=FY_Start,YEAR(C403)+1,YEAR(C403)),2))</f>
        <v/>
      </c>
      <c r="H403" s="371" t="n"/>
      <c r="I403" s="371" t="n"/>
      <c r="J403" s="371" t="n"/>
      <c r="K403" s="371" t="n"/>
      <c r="L403" s="371" t="n"/>
      <c r="M403" s="371" t="n"/>
      <c r="N403" s="371" t="n"/>
      <c r="O403" s="371" t="n"/>
      <c r="P403" s="371" t="n"/>
      <c r="Q403" s="371" t="n"/>
      <c r="R403" s="371" t="n"/>
      <c r="S403" s="371" t="n"/>
      <c r="T403" s="371" t="n"/>
      <c r="U403" s="371" t="n"/>
      <c r="V403" s="371" t="n"/>
      <c r="W403" s="371" t="n"/>
      <c r="X403" s="371" t="n"/>
      <c r="Y403" s="371" t="n"/>
      <c r="Z403" s="372" t="n"/>
      <c r="AA403" s="372" t="n"/>
      <c r="AB403" s="371" t="n"/>
      <c r="AC403" s="371">
        <f>IF($B403="","",IF(AB403="Closed",IF(AA403="","",AA403-C403),TODAY()-C403))</f>
        <v/>
      </c>
      <c r="AD403" s="371" t="n"/>
    </row>
    <row r="404" ht="15" customHeight="1" s="15">
      <c r="A404" s="371">
        <f>IF($B404="","",ROW()-5)</f>
        <v/>
      </c>
      <c r="B404" s="371" t="n"/>
      <c r="C404" s="372" t="n"/>
      <c r="D404" s="371">
        <f>IF($B404="","",TEXT(C404,"MMM"))</f>
        <v/>
      </c>
      <c r="E404" s="371">
        <f>IF($B404="","","W"&amp;TEXT(WEEKNUM(C404,2),"00"))</f>
        <v/>
      </c>
      <c r="F404" s="371">
        <f>IF($B404="","","Q"&amp;(INT(MOD(MONTH(C404)-FY_Start+12,12)/3)+1))</f>
        <v/>
      </c>
      <c r="G404" s="371">
        <f>IF($B404="","","FY "&amp;IF(MONTH(C404)&gt;=FY_Start,YEAR(C404),YEAR(C404)-1)&amp;"-"&amp;RIGHT(IF(MONTH(C404)&gt;=FY_Start,YEAR(C404)+1,YEAR(C404)),2))</f>
        <v/>
      </c>
      <c r="H404" s="371" t="n"/>
      <c r="I404" s="371" t="n"/>
      <c r="J404" s="371" t="n"/>
      <c r="K404" s="371" t="n"/>
      <c r="L404" s="371" t="n"/>
      <c r="M404" s="371" t="n"/>
      <c r="N404" s="371" t="n"/>
      <c r="O404" s="371" t="n"/>
      <c r="P404" s="371" t="n"/>
      <c r="Q404" s="371" t="n"/>
      <c r="R404" s="371" t="n"/>
      <c r="S404" s="371" t="n"/>
      <c r="T404" s="371" t="n"/>
      <c r="U404" s="371" t="n"/>
      <c r="V404" s="371" t="n"/>
      <c r="W404" s="371" t="n"/>
      <c r="X404" s="371" t="n"/>
      <c r="Y404" s="371" t="n"/>
      <c r="Z404" s="372" t="n"/>
      <c r="AA404" s="372" t="n"/>
      <c r="AB404" s="371" t="n"/>
      <c r="AC404" s="371">
        <f>IF($B404="","",IF(AB404="Closed",IF(AA404="","",AA404-C404),TODAY()-C404))</f>
        <v/>
      </c>
      <c r="AD404" s="371" t="n"/>
    </row>
    <row r="405" ht="15" customHeight="1" s="15">
      <c r="A405" s="371">
        <f>IF($B405="","",ROW()-5)</f>
        <v/>
      </c>
      <c r="B405" s="371" t="n"/>
      <c r="C405" s="372" t="n"/>
      <c r="D405" s="371">
        <f>IF($B405="","",TEXT(C405,"MMM"))</f>
        <v/>
      </c>
      <c r="E405" s="371">
        <f>IF($B405="","","W"&amp;TEXT(WEEKNUM(C405,2),"00"))</f>
        <v/>
      </c>
      <c r="F405" s="371">
        <f>IF($B405="","","Q"&amp;(INT(MOD(MONTH(C405)-FY_Start+12,12)/3)+1))</f>
        <v/>
      </c>
      <c r="G405" s="371">
        <f>IF($B405="","","FY "&amp;IF(MONTH(C405)&gt;=FY_Start,YEAR(C405),YEAR(C405)-1)&amp;"-"&amp;RIGHT(IF(MONTH(C405)&gt;=FY_Start,YEAR(C405)+1,YEAR(C405)),2))</f>
        <v/>
      </c>
      <c r="H405" s="371" t="n"/>
      <c r="I405" s="371" t="n"/>
      <c r="J405" s="371" t="n"/>
      <c r="K405" s="371" t="n"/>
      <c r="L405" s="371" t="n"/>
      <c r="M405" s="371" t="n"/>
      <c r="N405" s="371" t="n"/>
      <c r="O405" s="371" t="n"/>
      <c r="P405" s="371" t="n"/>
      <c r="Q405" s="371" t="n"/>
      <c r="R405" s="371" t="n"/>
      <c r="S405" s="371" t="n"/>
      <c r="T405" s="371" t="n"/>
      <c r="U405" s="371" t="n"/>
      <c r="V405" s="371" t="n"/>
      <c r="W405" s="371" t="n"/>
      <c r="X405" s="371" t="n"/>
      <c r="Y405" s="371" t="n"/>
      <c r="Z405" s="372" t="n"/>
      <c r="AA405" s="372" t="n"/>
      <c r="AB405" s="371" t="n"/>
      <c r="AC405" s="371">
        <f>IF($B405="","",IF(AB405="Closed",IF(AA405="","",AA405-C405),TODAY()-C405))</f>
        <v/>
      </c>
      <c r="AD405" s="371" t="n"/>
    </row>
    <row r="406" ht="15" customHeight="1" s="15">
      <c r="A406" s="371">
        <f>IF($B406="","",ROW()-5)</f>
        <v/>
      </c>
      <c r="B406" s="371" t="n"/>
      <c r="C406" s="372" t="n"/>
      <c r="D406" s="371">
        <f>IF($B406="","",TEXT(C406,"MMM"))</f>
        <v/>
      </c>
      <c r="E406" s="371">
        <f>IF($B406="","","W"&amp;TEXT(WEEKNUM(C406,2),"00"))</f>
        <v/>
      </c>
      <c r="F406" s="371">
        <f>IF($B406="","","Q"&amp;(INT(MOD(MONTH(C406)-FY_Start+12,12)/3)+1))</f>
        <v/>
      </c>
      <c r="G406" s="371">
        <f>IF($B406="","","FY "&amp;IF(MONTH(C406)&gt;=FY_Start,YEAR(C406),YEAR(C406)-1)&amp;"-"&amp;RIGHT(IF(MONTH(C406)&gt;=FY_Start,YEAR(C406)+1,YEAR(C406)),2))</f>
        <v/>
      </c>
      <c r="H406" s="371" t="n"/>
      <c r="I406" s="371" t="n"/>
      <c r="J406" s="371" t="n"/>
      <c r="K406" s="371" t="n"/>
      <c r="L406" s="371" t="n"/>
      <c r="M406" s="371" t="n"/>
      <c r="N406" s="371" t="n"/>
      <c r="O406" s="371" t="n"/>
      <c r="P406" s="371" t="n"/>
      <c r="Q406" s="371" t="n"/>
      <c r="R406" s="371" t="n"/>
      <c r="S406" s="371" t="n"/>
      <c r="T406" s="371" t="n"/>
      <c r="U406" s="371" t="n"/>
      <c r="V406" s="371" t="n"/>
      <c r="W406" s="371" t="n"/>
      <c r="X406" s="371" t="n"/>
      <c r="Y406" s="371" t="n"/>
      <c r="Z406" s="372" t="n"/>
      <c r="AA406" s="372" t="n"/>
      <c r="AB406" s="371" t="n"/>
      <c r="AC406" s="371">
        <f>IF($B406="","",IF(AB406="Closed",IF(AA406="","",AA406-C406),TODAY()-C406))</f>
        <v/>
      </c>
      <c r="AD406" s="371" t="n"/>
    </row>
    <row r="407" ht="15" customHeight="1" s="15">
      <c r="A407" s="371">
        <f>IF($B407="","",ROW()-5)</f>
        <v/>
      </c>
      <c r="B407" s="371" t="n"/>
      <c r="C407" s="372" t="n"/>
      <c r="D407" s="371">
        <f>IF($B407="","",TEXT(C407,"MMM"))</f>
        <v/>
      </c>
      <c r="E407" s="371">
        <f>IF($B407="","","W"&amp;TEXT(WEEKNUM(C407,2),"00"))</f>
        <v/>
      </c>
      <c r="F407" s="371">
        <f>IF($B407="","","Q"&amp;(INT(MOD(MONTH(C407)-FY_Start+12,12)/3)+1))</f>
        <v/>
      </c>
      <c r="G407" s="371">
        <f>IF($B407="","","FY "&amp;IF(MONTH(C407)&gt;=FY_Start,YEAR(C407),YEAR(C407)-1)&amp;"-"&amp;RIGHT(IF(MONTH(C407)&gt;=FY_Start,YEAR(C407)+1,YEAR(C407)),2))</f>
        <v/>
      </c>
      <c r="H407" s="371" t="n"/>
      <c r="I407" s="371" t="n"/>
      <c r="J407" s="371" t="n"/>
      <c r="K407" s="371" t="n"/>
      <c r="L407" s="371" t="n"/>
      <c r="M407" s="371" t="n"/>
      <c r="N407" s="371" t="n"/>
      <c r="O407" s="371" t="n"/>
      <c r="P407" s="371" t="n"/>
      <c r="Q407" s="371" t="n"/>
      <c r="R407" s="371" t="n"/>
      <c r="S407" s="371" t="n"/>
      <c r="T407" s="371" t="n"/>
      <c r="U407" s="371" t="n"/>
      <c r="V407" s="371" t="n"/>
      <c r="W407" s="371" t="n"/>
      <c r="X407" s="371" t="n"/>
      <c r="Y407" s="371" t="n"/>
      <c r="Z407" s="372" t="n"/>
      <c r="AA407" s="372" t="n"/>
      <c r="AB407" s="371" t="n"/>
      <c r="AC407" s="371">
        <f>IF($B407="","",IF(AB407="Closed",IF(AA407="","",AA407-C407),TODAY()-C407))</f>
        <v/>
      </c>
      <c r="AD407" s="371" t="n"/>
    </row>
    <row r="408" ht="15" customHeight="1" s="15">
      <c r="A408" s="371">
        <f>IF($B408="","",ROW()-5)</f>
        <v/>
      </c>
      <c r="B408" s="371" t="n"/>
      <c r="C408" s="372" t="n"/>
      <c r="D408" s="371">
        <f>IF($B408="","",TEXT(C408,"MMM"))</f>
        <v/>
      </c>
      <c r="E408" s="371">
        <f>IF($B408="","","W"&amp;TEXT(WEEKNUM(C408,2),"00"))</f>
        <v/>
      </c>
      <c r="F408" s="371">
        <f>IF($B408="","","Q"&amp;(INT(MOD(MONTH(C408)-FY_Start+12,12)/3)+1))</f>
        <v/>
      </c>
      <c r="G408" s="371">
        <f>IF($B408="","","FY "&amp;IF(MONTH(C408)&gt;=FY_Start,YEAR(C408),YEAR(C408)-1)&amp;"-"&amp;RIGHT(IF(MONTH(C408)&gt;=FY_Start,YEAR(C408)+1,YEAR(C408)),2))</f>
        <v/>
      </c>
      <c r="H408" s="371" t="n"/>
      <c r="I408" s="371" t="n"/>
      <c r="J408" s="371" t="n"/>
      <c r="K408" s="371" t="n"/>
      <c r="L408" s="371" t="n"/>
      <c r="M408" s="371" t="n"/>
      <c r="N408" s="371" t="n"/>
      <c r="O408" s="371" t="n"/>
      <c r="P408" s="371" t="n"/>
      <c r="Q408" s="371" t="n"/>
      <c r="R408" s="371" t="n"/>
      <c r="S408" s="371" t="n"/>
      <c r="T408" s="371" t="n"/>
      <c r="U408" s="371" t="n"/>
      <c r="V408" s="371" t="n"/>
      <c r="W408" s="371" t="n"/>
      <c r="X408" s="371" t="n"/>
      <c r="Y408" s="371" t="n"/>
      <c r="Z408" s="372" t="n"/>
      <c r="AA408" s="372" t="n"/>
      <c r="AB408" s="371" t="n"/>
      <c r="AC408" s="371">
        <f>IF($B408="","",IF(AB408="Closed",IF(AA408="","",AA408-C408),TODAY()-C408))</f>
        <v/>
      </c>
      <c r="AD408" s="371" t="n"/>
    </row>
    <row r="409" ht="15" customHeight="1" s="15">
      <c r="A409" s="371">
        <f>IF($B409="","",ROW()-5)</f>
        <v/>
      </c>
      <c r="B409" s="371" t="n"/>
      <c r="C409" s="372" t="n"/>
      <c r="D409" s="371">
        <f>IF($B409="","",TEXT(C409,"MMM"))</f>
        <v/>
      </c>
      <c r="E409" s="371">
        <f>IF($B409="","","W"&amp;TEXT(WEEKNUM(C409,2),"00"))</f>
        <v/>
      </c>
      <c r="F409" s="371">
        <f>IF($B409="","","Q"&amp;(INT(MOD(MONTH(C409)-FY_Start+12,12)/3)+1))</f>
        <v/>
      </c>
      <c r="G409" s="371">
        <f>IF($B409="","","FY "&amp;IF(MONTH(C409)&gt;=FY_Start,YEAR(C409),YEAR(C409)-1)&amp;"-"&amp;RIGHT(IF(MONTH(C409)&gt;=FY_Start,YEAR(C409)+1,YEAR(C409)),2))</f>
        <v/>
      </c>
      <c r="H409" s="371" t="n"/>
      <c r="I409" s="371" t="n"/>
      <c r="J409" s="371" t="n"/>
      <c r="K409" s="371" t="n"/>
      <c r="L409" s="371" t="n"/>
      <c r="M409" s="371" t="n"/>
      <c r="N409" s="371" t="n"/>
      <c r="O409" s="371" t="n"/>
      <c r="P409" s="371" t="n"/>
      <c r="Q409" s="371" t="n"/>
      <c r="R409" s="371" t="n"/>
      <c r="S409" s="371" t="n"/>
      <c r="T409" s="371" t="n"/>
      <c r="U409" s="371" t="n"/>
      <c r="V409" s="371" t="n"/>
      <c r="W409" s="371" t="n"/>
      <c r="X409" s="371" t="n"/>
      <c r="Y409" s="371" t="n"/>
      <c r="Z409" s="372" t="n"/>
      <c r="AA409" s="372" t="n"/>
      <c r="AB409" s="371" t="n"/>
      <c r="AC409" s="371">
        <f>IF($B409="","",IF(AB409="Closed",IF(AA409="","",AA409-C409),TODAY()-C409))</f>
        <v/>
      </c>
      <c r="AD409" s="371" t="n"/>
    </row>
    <row r="410" ht="15" customHeight="1" s="15">
      <c r="A410" s="371">
        <f>IF($B410="","",ROW()-5)</f>
        <v/>
      </c>
      <c r="B410" s="371" t="n"/>
      <c r="C410" s="372" t="n"/>
      <c r="D410" s="371">
        <f>IF($B410="","",TEXT(C410,"MMM"))</f>
        <v/>
      </c>
      <c r="E410" s="371">
        <f>IF($B410="","","W"&amp;TEXT(WEEKNUM(C410,2),"00"))</f>
        <v/>
      </c>
      <c r="F410" s="371">
        <f>IF($B410="","","Q"&amp;(INT(MOD(MONTH(C410)-FY_Start+12,12)/3)+1))</f>
        <v/>
      </c>
      <c r="G410" s="371">
        <f>IF($B410="","","FY "&amp;IF(MONTH(C410)&gt;=FY_Start,YEAR(C410),YEAR(C410)-1)&amp;"-"&amp;RIGHT(IF(MONTH(C410)&gt;=FY_Start,YEAR(C410)+1,YEAR(C410)),2))</f>
        <v/>
      </c>
      <c r="H410" s="371" t="n"/>
      <c r="I410" s="371" t="n"/>
      <c r="J410" s="371" t="n"/>
      <c r="K410" s="371" t="n"/>
      <c r="L410" s="371" t="n"/>
      <c r="M410" s="371" t="n"/>
      <c r="N410" s="371" t="n"/>
      <c r="O410" s="371" t="n"/>
      <c r="P410" s="371" t="n"/>
      <c r="Q410" s="371" t="n"/>
      <c r="R410" s="371" t="n"/>
      <c r="S410" s="371" t="n"/>
      <c r="T410" s="371" t="n"/>
      <c r="U410" s="371" t="n"/>
      <c r="V410" s="371" t="n"/>
      <c r="W410" s="371" t="n"/>
      <c r="X410" s="371" t="n"/>
      <c r="Y410" s="371" t="n"/>
      <c r="Z410" s="372" t="n"/>
      <c r="AA410" s="372" t="n"/>
      <c r="AB410" s="371" t="n"/>
      <c r="AC410" s="371">
        <f>IF($B410="","",IF(AB410="Closed",IF(AA410="","",AA410-C410),TODAY()-C410))</f>
        <v/>
      </c>
      <c r="AD410" s="371" t="n"/>
    </row>
    <row r="411" ht="15" customHeight="1" s="15">
      <c r="A411" s="371">
        <f>IF($B411="","",ROW()-5)</f>
        <v/>
      </c>
      <c r="B411" s="371" t="n"/>
      <c r="C411" s="372" t="n"/>
      <c r="D411" s="371">
        <f>IF($B411="","",TEXT(C411,"MMM"))</f>
        <v/>
      </c>
      <c r="E411" s="371">
        <f>IF($B411="","","W"&amp;TEXT(WEEKNUM(C411,2),"00"))</f>
        <v/>
      </c>
      <c r="F411" s="371">
        <f>IF($B411="","","Q"&amp;(INT(MOD(MONTH(C411)-FY_Start+12,12)/3)+1))</f>
        <v/>
      </c>
      <c r="G411" s="371">
        <f>IF($B411="","","FY "&amp;IF(MONTH(C411)&gt;=FY_Start,YEAR(C411),YEAR(C411)-1)&amp;"-"&amp;RIGHT(IF(MONTH(C411)&gt;=FY_Start,YEAR(C411)+1,YEAR(C411)),2))</f>
        <v/>
      </c>
      <c r="H411" s="371" t="n"/>
      <c r="I411" s="371" t="n"/>
      <c r="J411" s="371" t="n"/>
      <c r="K411" s="371" t="n"/>
      <c r="L411" s="371" t="n"/>
      <c r="M411" s="371" t="n"/>
      <c r="N411" s="371" t="n"/>
      <c r="O411" s="371" t="n"/>
      <c r="P411" s="371" t="n"/>
      <c r="Q411" s="371" t="n"/>
      <c r="R411" s="371" t="n"/>
      <c r="S411" s="371" t="n"/>
      <c r="T411" s="371" t="n"/>
      <c r="U411" s="371" t="n"/>
      <c r="V411" s="371" t="n"/>
      <c r="W411" s="371" t="n"/>
      <c r="X411" s="371" t="n"/>
      <c r="Y411" s="371" t="n"/>
      <c r="Z411" s="372" t="n"/>
      <c r="AA411" s="372" t="n"/>
      <c r="AB411" s="371" t="n"/>
      <c r="AC411" s="371">
        <f>IF($B411="","",IF(AB411="Closed",IF(AA411="","",AA411-C411),TODAY()-C411))</f>
        <v/>
      </c>
      <c r="AD411" s="371" t="n"/>
    </row>
    <row r="412" ht="15" customHeight="1" s="15">
      <c r="A412" s="371">
        <f>IF($B412="","",ROW()-5)</f>
        <v/>
      </c>
      <c r="B412" s="371" t="n"/>
      <c r="C412" s="372" t="n"/>
      <c r="D412" s="371">
        <f>IF($B412="","",TEXT(C412,"MMM"))</f>
        <v/>
      </c>
      <c r="E412" s="371">
        <f>IF($B412="","","W"&amp;TEXT(WEEKNUM(C412,2),"00"))</f>
        <v/>
      </c>
      <c r="F412" s="371">
        <f>IF($B412="","","Q"&amp;(INT(MOD(MONTH(C412)-FY_Start+12,12)/3)+1))</f>
        <v/>
      </c>
      <c r="G412" s="371">
        <f>IF($B412="","","FY "&amp;IF(MONTH(C412)&gt;=FY_Start,YEAR(C412),YEAR(C412)-1)&amp;"-"&amp;RIGHT(IF(MONTH(C412)&gt;=FY_Start,YEAR(C412)+1,YEAR(C412)),2))</f>
        <v/>
      </c>
      <c r="H412" s="371" t="n"/>
      <c r="I412" s="371" t="n"/>
      <c r="J412" s="371" t="n"/>
      <c r="K412" s="371" t="n"/>
      <c r="L412" s="371" t="n"/>
      <c r="M412" s="371" t="n"/>
      <c r="N412" s="371" t="n"/>
      <c r="O412" s="371" t="n"/>
      <c r="P412" s="371" t="n"/>
      <c r="Q412" s="371" t="n"/>
      <c r="R412" s="371" t="n"/>
      <c r="S412" s="371" t="n"/>
      <c r="T412" s="371" t="n"/>
      <c r="U412" s="371" t="n"/>
      <c r="V412" s="371" t="n"/>
      <c r="W412" s="371" t="n"/>
      <c r="X412" s="371" t="n"/>
      <c r="Y412" s="371" t="n"/>
      <c r="Z412" s="372" t="n"/>
      <c r="AA412" s="372" t="n"/>
      <c r="AB412" s="371" t="n"/>
      <c r="AC412" s="371">
        <f>IF($B412="","",IF(AB412="Closed",IF(AA412="","",AA412-C412),TODAY()-C412))</f>
        <v/>
      </c>
      <c r="AD412" s="371" t="n"/>
    </row>
    <row r="413" ht="15" customHeight="1" s="15">
      <c r="A413" s="371">
        <f>IF($B413="","",ROW()-5)</f>
        <v/>
      </c>
      <c r="B413" s="371" t="n"/>
      <c r="C413" s="372" t="n"/>
      <c r="D413" s="371">
        <f>IF($B413="","",TEXT(C413,"MMM"))</f>
        <v/>
      </c>
      <c r="E413" s="371">
        <f>IF($B413="","","W"&amp;TEXT(WEEKNUM(C413,2),"00"))</f>
        <v/>
      </c>
      <c r="F413" s="371">
        <f>IF($B413="","","Q"&amp;(INT(MOD(MONTH(C413)-FY_Start+12,12)/3)+1))</f>
        <v/>
      </c>
      <c r="G413" s="371">
        <f>IF($B413="","","FY "&amp;IF(MONTH(C413)&gt;=FY_Start,YEAR(C413),YEAR(C413)-1)&amp;"-"&amp;RIGHT(IF(MONTH(C413)&gt;=FY_Start,YEAR(C413)+1,YEAR(C413)),2))</f>
        <v/>
      </c>
      <c r="H413" s="371" t="n"/>
      <c r="I413" s="371" t="n"/>
      <c r="J413" s="371" t="n"/>
      <c r="K413" s="371" t="n"/>
      <c r="L413" s="371" t="n"/>
      <c r="M413" s="371" t="n"/>
      <c r="N413" s="371" t="n"/>
      <c r="O413" s="371" t="n"/>
      <c r="P413" s="371" t="n"/>
      <c r="Q413" s="371" t="n"/>
      <c r="R413" s="371" t="n"/>
      <c r="S413" s="371" t="n"/>
      <c r="T413" s="371" t="n"/>
      <c r="U413" s="371" t="n"/>
      <c r="V413" s="371" t="n"/>
      <c r="W413" s="371" t="n"/>
      <c r="X413" s="371" t="n"/>
      <c r="Y413" s="371" t="n"/>
      <c r="Z413" s="372" t="n"/>
      <c r="AA413" s="372" t="n"/>
      <c r="AB413" s="371" t="n"/>
      <c r="AC413" s="371">
        <f>IF($B413="","",IF(AB413="Closed",IF(AA413="","",AA413-C413),TODAY()-C413))</f>
        <v/>
      </c>
      <c r="AD413" s="371" t="n"/>
    </row>
    <row r="414" ht="15" customHeight="1" s="15">
      <c r="A414" s="371">
        <f>IF($B414="","",ROW()-5)</f>
        <v/>
      </c>
      <c r="B414" s="371" t="n"/>
      <c r="C414" s="372" t="n"/>
      <c r="D414" s="371">
        <f>IF($B414="","",TEXT(C414,"MMM"))</f>
        <v/>
      </c>
      <c r="E414" s="371">
        <f>IF($B414="","","W"&amp;TEXT(WEEKNUM(C414,2),"00"))</f>
        <v/>
      </c>
      <c r="F414" s="371">
        <f>IF($B414="","","Q"&amp;(INT(MOD(MONTH(C414)-FY_Start+12,12)/3)+1))</f>
        <v/>
      </c>
      <c r="G414" s="371">
        <f>IF($B414="","","FY "&amp;IF(MONTH(C414)&gt;=FY_Start,YEAR(C414),YEAR(C414)-1)&amp;"-"&amp;RIGHT(IF(MONTH(C414)&gt;=FY_Start,YEAR(C414)+1,YEAR(C414)),2))</f>
        <v/>
      </c>
      <c r="H414" s="371" t="n"/>
      <c r="I414" s="371" t="n"/>
      <c r="J414" s="371" t="n"/>
      <c r="K414" s="371" t="n"/>
      <c r="L414" s="371" t="n"/>
      <c r="M414" s="371" t="n"/>
      <c r="N414" s="371" t="n"/>
      <c r="O414" s="371" t="n"/>
      <c r="P414" s="371" t="n"/>
      <c r="Q414" s="371" t="n"/>
      <c r="R414" s="371" t="n"/>
      <c r="S414" s="371" t="n"/>
      <c r="T414" s="371" t="n"/>
      <c r="U414" s="371" t="n"/>
      <c r="V414" s="371" t="n"/>
      <c r="W414" s="371" t="n"/>
      <c r="X414" s="371" t="n"/>
      <c r="Y414" s="371" t="n"/>
      <c r="Z414" s="372" t="n"/>
      <c r="AA414" s="372" t="n"/>
      <c r="AB414" s="371" t="n"/>
      <c r="AC414" s="371">
        <f>IF($B414="","",IF(AB414="Closed",IF(AA414="","",AA414-C414),TODAY()-C414))</f>
        <v/>
      </c>
      <c r="AD414" s="371" t="n"/>
    </row>
    <row r="415" ht="15" customHeight="1" s="15">
      <c r="A415" s="371">
        <f>IF($B415="","",ROW()-5)</f>
        <v/>
      </c>
      <c r="B415" s="371" t="n"/>
      <c r="C415" s="372" t="n"/>
      <c r="D415" s="371">
        <f>IF($B415="","",TEXT(C415,"MMM"))</f>
        <v/>
      </c>
      <c r="E415" s="371">
        <f>IF($B415="","","W"&amp;TEXT(WEEKNUM(C415,2),"00"))</f>
        <v/>
      </c>
      <c r="F415" s="371">
        <f>IF($B415="","","Q"&amp;(INT(MOD(MONTH(C415)-FY_Start+12,12)/3)+1))</f>
        <v/>
      </c>
      <c r="G415" s="371">
        <f>IF($B415="","","FY "&amp;IF(MONTH(C415)&gt;=FY_Start,YEAR(C415),YEAR(C415)-1)&amp;"-"&amp;RIGHT(IF(MONTH(C415)&gt;=FY_Start,YEAR(C415)+1,YEAR(C415)),2))</f>
        <v/>
      </c>
      <c r="H415" s="371" t="n"/>
      <c r="I415" s="371" t="n"/>
      <c r="J415" s="371" t="n"/>
      <c r="K415" s="371" t="n"/>
      <c r="L415" s="371" t="n"/>
      <c r="M415" s="371" t="n"/>
      <c r="N415" s="371" t="n"/>
      <c r="O415" s="371" t="n"/>
      <c r="P415" s="371" t="n"/>
      <c r="Q415" s="371" t="n"/>
      <c r="R415" s="371" t="n"/>
      <c r="S415" s="371" t="n"/>
      <c r="T415" s="371" t="n"/>
      <c r="U415" s="371" t="n"/>
      <c r="V415" s="371" t="n"/>
      <c r="W415" s="371" t="n"/>
      <c r="X415" s="371" t="n"/>
      <c r="Y415" s="371" t="n"/>
      <c r="Z415" s="372" t="n"/>
      <c r="AA415" s="372" t="n"/>
      <c r="AB415" s="371" t="n"/>
      <c r="AC415" s="371">
        <f>IF($B415="","",IF(AB415="Closed",IF(AA415="","",AA415-C415),TODAY()-C415))</f>
        <v/>
      </c>
      <c r="AD415" s="371" t="n"/>
    </row>
    <row r="416" ht="15" customHeight="1" s="15">
      <c r="A416" s="371">
        <f>IF($B416="","",ROW()-5)</f>
        <v/>
      </c>
      <c r="B416" s="371" t="n"/>
      <c r="C416" s="372" t="n"/>
      <c r="D416" s="371">
        <f>IF($B416="","",TEXT(C416,"MMM"))</f>
        <v/>
      </c>
      <c r="E416" s="371">
        <f>IF($B416="","","W"&amp;TEXT(WEEKNUM(C416,2),"00"))</f>
        <v/>
      </c>
      <c r="F416" s="371">
        <f>IF($B416="","","Q"&amp;(INT(MOD(MONTH(C416)-FY_Start+12,12)/3)+1))</f>
        <v/>
      </c>
      <c r="G416" s="371">
        <f>IF($B416="","","FY "&amp;IF(MONTH(C416)&gt;=FY_Start,YEAR(C416),YEAR(C416)-1)&amp;"-"&amp;RIGHT(IF(MONTH(C416)&gt;=FY_Start,YEAR(C416)+1,YEAR(C416)),2))</f>
        <v/>
      </c>
      <c r="H416" s="371" t="n"/>
      <c r="I416" s="371" t="n"/>
      <c r="J416" s="371" t="n"/>
      <c r="K416" s="371" t="n"/>
      <c r="L416" s="371" t="n"/>
      <c r="M416" s="371" t="n"/>
      <c r="N416" s="371" t="n"/>
      <c r="O416" s="371" t="n"/>
      <c r="P416" s="371" t="n"/>
      <c r="Q416" s="371" t="n"/>
      <c r="R416" s="371" t="n"/>
      <c r="S416" s="371" t="n"/>
      <c r="T416" s="371" t="n"/>
      <c r="U416" s="371" t="n"/>
      <c r="V416" s="371" t="n"/>
      <c r="W416" s="371" t="n"/>
      <c r="X416" s="371" t="n"/>
      <c r="Y416" s="371" t="n"/>
      <c r="Z416" s="372" t="n"/>
      <c r="AA416" s="372" t="n"/>
      <c r="AB416" s="371" t="n"/>
      <c r="AC416" s="371">
        <f>IF($B416="","",IF(AB416="Closed",IF(AA416="","",AA416-C416),TODAY()-C416))</f>
        <v/>
      </c>
      <c r="AD416" s="371" t="n"/>
    </row>
    <row r="417" ht="15" customHeight="1" s="15">
      <c r="A417" s="371">
        <f>IF($B417="","",ROW()-5)</f>
        <v/>
      </c>
      <c r="B417" s="371" t="n"/>
      <c r="C417" s="372" t="n"/>
      <c r="D417" s="371">
        <f>IF($B417="","",TEXT(C417,"MMM"))</f>
        <v/>
      </c>
      <c r="E417" s="371">
        <f>IF($B417="","","W"&amp;TEXT(WEEKNUM(C417,2),"00"))</f>
        <v/>
      </c>
      <c r="F417" s="371">
        <f>IF($B417="","","Q"&amp;(INT(MOD(MONTH(C417)-FY_Start+12,12)/3)+1))</f>
        <v/>
      </c>
      <c r="G417" s="371">
        <f>IF($B417="","","FY "&amp;IF(MONTH(C417)&gt;=FY_Start,YEAR(C417),YEAR(C417)-1)&amp;"-"&amp;RIGHT(IF(MONTH(C417)&gt;=FY_Start,YEAR(C417)+1,YEAR(C417)),2))</f>
        <v/>
      </c>
      <c r="H417" s="371" t="n"/>
      <c r="I417" s="371" t="n"/>
      <c r="J417" s="371" t="n"/>
      <c r="K417" s="371" t="n"/>
      <c r="L417" s="371" t="n"/>
      <c r="M417" s="371" t="n"/>
      <c r="N417" s="371" t="n"/>
      <c r="O417" s="371" t="n"/>
      <c r="P417" s="371" t="n"/>
      <c r="Q417" s="371" t="n"/>
      <c r="R417" s="371" t="n"/>
      <c r="S417" s="371" t="n"/>
      <c r="T417" s="371" t="n"/>
      <c r="U417" s="371" t="n"/>
      <c r="V417" s="371" t="n"/>
      <c r="W417" s="371" t="n"/>
      <c r="X417" s="371" t="n"/>
      <c r="Y417" s="371" t="n"/>
      <c r="Z417" s="372" t="n"/>
      <c r="AA417" s="372" t="n"/>
      <c r="AB417" s="371" t="n"/>
      <c r="AC417" s="371">
        <f>IF($B417="","",IF(AB417="Closed",IF(AA417="","",AA417-C417),TODAY()-C417))</f>
        <v/>
      </c>
      <c r="AD417" s="371" t="n"/>
    </row>
    <row r="418" ht="15" customHeight="1" s="15">
      <c r="A418" s="371">
        <f>IF($B418="","",ROW()-5)</f>
        <v/>
      </c>
      <c r="B418" s="371" t="n"/>
      <c r="C418" s="372" t="n"/>
      <c r="D418" s="371">
        <f>IF($B418="","",TEXT(C418,"MMM"))</f>
        <v/>
      </c>
      <c r="E418" s="371">
        <f>IF($B418="","","W"&amp;TEXT(WEEKNUM(C418,2),"00"))</f>
        <v/>
      </c>
      <c r="F418" s="371">
        <f>IF($B418="","","Q"&amp;(INT(MOD(MONTH(C418)-FY_Start+12,12)/3)+1))</f>
        <v/>
      </c>
      <c r="G418" s="371">
        <f>IF($B418="","","FY "&amp;IF(MONTH(C418)&gt;=FY_Start,YEAR(C418),YEAR(C418)-1)&amp;"-"&amp;RIGHT(IF(MONTH(C418)&gt;=FY_Start,YEAR(C418)+1,YEAR(C418)),2))</f>
        <v/>
      </c>
      <c r="H418" s="371" t="n"/>
      <c r="I418" s="371" t="n"/>
      <c r="J418" s="371" t="n"/>
      <c r="K418" s="371" t="n"/>
      <c r="L418" s="371" t="n"/>
      <c r="M418" s="371" t="n"/>
      <c r="N418" s="371" t="n"/>
      <c r="O418" s="371" t="n"/>
      <c r="P418" s="371" t="n"/>
      <c r="Q418" s="371" t="n"/>
      <c r="R418" s="371" t="n"/>
      <c r="S418" s="371" t="n"/>
      <c r="T418" s="371" t="n"/>
      <c r="U418" s="371" t="n"/>
      <c r="V418" s="371" t="n"/>
      <c r="W418" s="371" t="n"/>
      <c r="X418" s="371" t="n"/>
      <c r="Y418" s="371" t="n"/>
      <c r="Z418" s="372" t="n"/>
      <c r="AA418" s="372" t="n"/>
      <c r="AB418" s="371" t="n"/>
      <c r="AC418" s="371">
        <f>IF($B418="","",IF(AB418="Closed",IF(AA418="","",AA418-C418),TODAY()-C418))</f>
        <v/>
      </c>
      <c r="AD418" s="371" t="n"/>
    </row>
    <row r="419" ht="15" customHeight="1" s="15">
      <c r="A419" s="371">
        <f>IF($B419="","",ROW()-5)</f>
        <v/>
      </c>
      <c r="B419" s="371" t="n"/>
      <c r="C419" s="372" t="n"/>
      <c r="D419" s="371">
        <f>IF($B419="","",TEXT(C419,"MMM"))</f>
        <v/>
      </c>
      <c r="E419" s="371">
        <f>IF($B419="","","W"&amp;TEXT(WEEKNUM(C419,2),"00"))</f>
        <v/>
      </c>
      <c r="F419" s="371">
        <f>IF($B419="","","Q"&amp;(INT(MOD(MONTH(C419)-FY_Start+12,12)/3)+1))</f>
        <v/>
      </c>
      <c r="G419" s="371">
        <f>IF($B419="","","FY "&amp;IF(MONTH(C419)&gt;=FY_Start,YEAR(C419),YEAR(C419)-1)&amp;"-"&amp;RIGHT(IF(MONTH(C419)&gt;=FY_Start,YEAR(C419)+1,YEAR(C419)),2))</f>
        <v/>
      </c>
      <c r="H419" s="371" t="n"/>
      <c r="I419" s="371" t="n"/>
      <c r="J419" s="371" t="n"/>
      <c r="K419" s="371" t="n"/>
      <c r="L419" s="371" t="n"/>
      <c r="M419" s="371" t="n"/>
      <c r="N419" s="371" t="n"/>
      <c r="O419" s="371" t="n"/>
      <c r="P419" s="371" t="n"/>
      <c r="Q419" s="371" t="n"/>
      <c r="R419" s="371" t="n"/>
      <c r="S419" s="371" t="n"/>
      <c r="T419" s="371" t="n"/>
      <c r="U419" s="371" t="n"/>
      <c r="V419" s="371" t="n"/>
      <c r="W419" s="371" t="n"/>
      <c r="X419" s="371" t="n"/>
      <c r="Y419" s="371" t="n"/>
      <c r="Z419" s="372" t="n"/>
      <c r="AA419" s="372" t="n"/>
      <c r="AB419" s="371" t="n"/>
      <c r="AC419" s="371">
        <f>IF($B419="","",IF(AB419="Closed",IF(AA419="","",AA419-C419),TODAY()-C419))</f>
        <v/>
      </c>
      <c r="AD419" s="371" t="n"/>
    </row>
    <row r="420" ht="15" customHeight="1" s="15">
      <c r="A420" s="371">
        <f>IF($B420="","",ROW()-5)</f>
        <v/>
      </c>
      <c r="B420" s="371" t="n"/>
      <c r="C420" s="372" t="n"/>
      <c r="D420" s="371">
        <f>IF($B420="","",TEXT(C420,"MMM"))</f>
        <v/>
      </c>
      <c r="E420" s="371">
        <f>IF($B420="","","W"&amp;TEXT(WEEKNUM(C420,2),"00"))</f>
        <v/>
      </c>
      <c r="F420" s="371">
        <f>IF($B420="","","Q"&amp;(INT(MOD(MONTH(C420)-FY_Start+12,12)/3)+1))</f>
        <v/>
      </c>
      <c r="G420" s="371">
        <f>IF($B420="","","FY "&amp;IF(MONTH(C420)&gt;=FY_Start,YEAR(C420),YEAR(C420)-1)&amp;"-"&amp;RIGHT(IF(MONTH(C420)&gt;=FY_Start,YEAR(C420)+1,YEAR(C420)),2))</f>
        <v/>
      </c>
      <c r="H420" s="371" t="n"/>
      <c r="I420" s="371" t="n"/>
      <c r="J420" s="371" t="n"/>
      <c r="K420" s="371" t="n"/>
      <c r="L420" s="371" t="n"/>
      <c r="M420" s="371" t="n"/>
      <c r="N420" s="371" t="n"/>
      <c r="O420" s="371" t="n"/>
      <c r="P420" s="371" t="n"/>
      <c r="Q420" s="371" t="n"/>
      <c r="R420" s="371" t="n"/>
      <c r="S420" s="371" t="n"/>
      <c r="T420" s="371" t="n"/>
      <c r="U420" s="371" t="n"/>
      <c r="V420" s="371" t="n"/>
      <c r="W420" s="371" t="n"/>
      <c r="X420" s="371" t="n"/>
      <c r="Y420" s="371" t="n"/>
      <c r="Z420" s="372" t="n"/>
      <c r="AA420" s="372" t="n"/>
      <c r="AB420" s="371" t="n"/>
      <c r="AC420" s="371">
        <f>IF($B420="","",IF(AB420="Closed",IF(AA420="","",AA420-C420),TODAY()-C420))</f>
        <v/>
      </c>
      <c r="AD420" s="371" t="n"/>
    </row>
    <row r="421" ht="15" customHeight="1" s="15">
      <c r="A421" s="371">
        <f>IF($B421="","",ROW()-5)</f>
        <v/>
      </c>
      <c r="B421" s="371" t="n"/>
      <c r="C421" s="372" t="n"/>
      <c r="D421" s="371">
        <f>IF($B421="","",TEXT(C421,"MMM"))</f>
        <v/>
      </c>
      <c r="E421" s="371">
        <f>IF($B421="","","W"&amp;TEXT(WEEKNUM(C421,2),"00"))</f>
        <v/>
      </c>
      <c r="F421" s="371">
        <f>IF($B421="","","Q"&amp;(INT(MOD(MONTH(C421)-FY_Start+12,12)/3)+1))</f>
        <v/>
      </c>
      <c r="G421" s="371">
        <f>IF($B421="","","FY "&amp;IF(MONTH(C421)&gt;=FY_Start,YEAR(C421),YEAR(C421)-1)&amp;"-"&amp;RIGHT(IF(MONTH(C421)&gt;=FY_Start,YEAR(C421)+1,YEAR(C421)),2))</f>
        <v/>
      </c>
      <c r="H421" s="371" t="n"/>
      <c r="I421" s="371" t="n"/>
      <c r="J421" s="371" t="n"/>
      <c r="K421" s="371" t="n"/>
      <c r="L421" s="371" t="n"/>
      <c r="M421" s="371" t="n"/>
      <c r="N421" s="371" t="n"/>
      <c r="O421" s="371" t="n"/>
      <c r="P421" s="371" t="n"/>
      <c r="Q421" s="371" t="n"/>
      <c r="R421" s="371" t="n"/>
      <c r="S421" s="371" t="n"/>
      <c r="T421" s="371" t="n"/>
      <c r="U421" s="371" t="n"/>
      <c r="V421" s="371" t="n"/>
      <c r="W421" s="371" t="n"/>
      <c r="X421" s="371" t="n"/>
      <c r="Y421" s="371" t="n"/>
      <c r="Z421" s="372" t="n"/>
      <c r="AA421" s="372" t="n"/>
      <c r="AB421" s="371" t="n"/>
      <c r="AC421" s="371">
        <f>IF($B421="","",IF(AB421="Closed",IF(AA421="","",AA421-C421),TODAY()-C421))</f>
        <v/>
      </c>
      <c r="AD421" s="371" t="n"/>
    </row>
    <row r="422" ht="15" customHeight="1" s="15">
      <c r="A422" s="371">
        <f>IF($B422="","",ROW()-5)</f>
        <v/>
      </c>
      <c r="B422" s="371" t="n"/>
      <c r="C422" s="372" t="n"/>
      <c r="D422" s="371">
        <f>IF($B422="","",TEXT(C422,"MMM"))</f>
        <v/>
      </c>
      <c r="E422" s="371">
        <f>IF($B422="","","W"&amp;TEXT(WEEKNUM(C422,2),"00"))</f>
        <v/>
      </c>
      <c r="F422" s="371">
        <f>IF($B422="","","Q"&amp;(INT(MOD(MONTH(C422)-FY_Start+12,12)/3)+1))</f>
        <v/>
      </c>
      <c r="G422" s="371">
        <f>IF($B422="","","FY "&amp;IF(MONTH(C422)&gt;=FY_Start,YEAR(C422),YEAR(C422)-1)&amp;"-"&amp;RIGHT(IF(MONTH(C422)&gt;=FY_Start,YEAR(C422)+1,YEAR(C422)),2))</f>
        <v/>
      </c>
      <c r="H422" s="371" t="n"/>
      <c r="I422" s="371" t="n"/>
      <c r="J422" s="371" t="n"/>
      <c r="K422" s="371" t="n"/>
      <c r="L422" s="371" t="n"/>
      <c r="M422" s="371" t="n"/>
      <c r="N422" s="371" t="n"/>
      <c r="O422" s="371" t="n"/>
      <c r="P422" s="371" t="n"/>
      <c r="Q422" s="371" t="n"/>
      <c r="R422" s="371" t="n"/>
      <c r="S422" s="371" t="n"/>
      <c r="T422" s="371" t="n"/>
      <c r="U422" s="371" t="n"/>
      <c r="V422" s="371" t="n"/>
      <c r="W422" s="371" t="n"/>
      <c r="X422" s="371" t="n"/>
      <c r="Y422" s="371" t="n"/>
      <c r="Z422" s="372" t="n"/>
      <c r="AA422" s="372" t="n"/>
      <c r="AB422" s="371" t="n"/>
      <c r="AC422" s="371">
        <f>IF($B422="","",IF(AB422="Closed",IF(AA422="","",AA422-C422),TODAY()-C422))</f>
        <v/>
      </c>
      <c r="AD422" s="371" t="n"/>
    </row>
    <row r="423" ht="15" customHeight="1" s="15">
      <c r="A423" s="371">
        <f>IF($B423="","",ROW()-5)</f>
        <v/>
      </c>
      <c r="B423" s="371" t="n"/>
      <c r="C423" s="372" t="n"/>
      <c r="D423" s="371">
        <f>IF($B423="","",TEXT(C423,"MMM"))</f>
        <v/>
      </c>
      <c r="E423" s="371">
        <f>IF($B423="","","W"&amp;TEXT(WEEKNUM(C423,2),"00"))</f>
        <v/>
      </c>
      <c r="F423" s="371">
        <f>IF($B423="","","Q"&amp;(INT(MOD(MONTH(C423)-FY_Start+12,12)/3)+1))</f>
        <v/>
      </c>
      <c r="G423" s="371">
        <f>IF($B423="","","FY "&amp;IF(MONTH(C423)&gt;=FY_Start,YEAR(C423),YEAR(C423)-1)&amp;"-"&amp;RIGHT(IF(MONTH(C423)&gt;=FY_Start,YEAR(C423)+1,YEAR(C423)),2))</f>
        <v/>
      </c>
      <c r="H423" s="371" t="n"/>
      <c r="I423" s="371" t="n"/>
      <c r="J423" s="371" t="n"/>
      <c r="K423" s="371" t="n"/>
      <c r="L423" s="371" t="n"/>
      <c r="M423" s="371" t="n"/>
      <c r="N423" s="371" t="n"/>
      <c r="O423" s="371" t="n"/>
      <c r="P423" s="371" t="n"/>
      <c r="Q423" s="371" t="n"/>
      <c r="R423" s="371" t="n"/>
      <c r="S423" s="371" t="n"/>
      <c r="T423" s="371" t="n"/>
      <c r="U423" s="371" t="n"/>
      <c r="V423" s="371" t="n"/>
      <c r="W423" s="371" t="n"/>
      <c r="X423" s="371" t="n"/>
      <c r="Y423" s="371" t="n"/>
      <c r="Z423" s="372" t="n"/>
      <c r="AA423" s="372" t="n"/>
      <c r="AB423" s="371" t="n"/>
      <c r="AC423" s="371">
        <f>IF($B423="","",IF(AB423="Closed",IF(AA423="","",AA423-C423),TODAY()-C423))</f>
        <v/>
      </c>
      <c r="AD423" s="371" t="n"/>
    </row>
    <row r="424" ht="15" customHeight="1" s="15">
      <c r="A424" s="371">
        <f>IF($B424="","",ROW()-5)</f>
        <v/>
      </c>
      <c r="B424" s="371" t="n"/>
      <c r="C424" s="372" t="n"/>
      <c r="D424" s="371">
        <f>IF($B424="","",TEXT(C424,"MMM"))</f>
        <v/>
      </c>
      <c r="E424" s="371">
        <f>IF($B424="","","W"&amp;TEXT(WEEKNUM(C424,2),"00"))</f>
        <v/>
      </c>
      <c r="F424" s="371">
        <f>IF($B424="","","Q"&amp;(INT(MOD(MONTH(C424)-FY_Start+12,12)/3)+1))</f>
        <v/>
      </c>
      <c r="G424" s="371">
        <f>IF($B424="","","FY "&amp;IF(MONTH(C424)&gt;=FY_Start,YEAR(C424),YEAR(C424)-1)&amp;"-"&amp;RIGHT(IF(MONTH(C424)&gt;=FY_Start,YEAR(C424)+1,YEAR(C424)),2))</f>
        <v/>
      </c>
      <c r="H424" s="371" t="n"/>
      <c r="I424" s="371" t="n"/>
      <c r="J424" s="371" t="n"/>
      <c r="K424" s="371" t="n"/>
      <c r="L424" s="371" t="n"/>
      <c r="M424" s="371" t="n"/>
      <c r="N424" s="371" t="n"/>
      <c r="O424" s="371" t="n"/>
      <c r="P424" s="371" t="n"/>
      <c r="Q424" s="371" t="n"/>
      <c r="R424" s="371" t="n"/>
      <c r="S424" s="371" t="n"/>
      <c r="T424" s="371" t="n"/>
      <c r="U424" s="371" t="n"/>
      <c r="V424" s="371" t="n"/>
      <c r="W424" s="371" t="n"/>
      <c r="X424" s="371" t="n"/>
      <c r="Y424" s="371" t="n"/>
      <c r="Z424" s="372" t="n"/>
      <c r="AA424" s="372" t="n"/>
      <c r="AB424" s="371" t="n"/>
      <c r="AC424" s="371">
        <f>IF($B424="","",IF(AB424="Closed",IF(AA424="","",AA424-C424),TODAY()-C424))</f>
        <v/>
      </c>
      <c r="AD424" s="371" t="n"/>
    </row>
    <row r="425" ht="15" customHeight="1" s="15">
      <c r="A425" s="371">
        <f>IF($B425="","",ROW()-5)</f>
        <v/>
      </c>
      <c r="B425" s="371" t="n"/>
      <c r="C425" s="372" t="n"/>
      <c r="D425" s="371">
        <f>IF($B425="","",TEXT(C425,"MMM"))</f>
        <v/>
      </c>
      <c r="E425" s="371">
        <f>IF($B425="","","W"&amp;TEXT(WEEKNUM(C425,2),"00"))</f>
        <v/>
      </c>
      <c r="F425" s="371">
        <f>IF($B425="","","Q"&amp;(INT(MOD(MONTH(C425)-FY_Start+12,12)/3)+1))</f>
        <v/>
      </c>
      <c r="G425" s="371">
        <f>IF($B425="","","FY "&amp;IF(MONTH(C425)&gt;=FY_Start,YEAR(C425),YEAR(C425)-1)&amp;"-"&amp;RIGHT(IF(MONTH(C425)&gt;=FY_Start,YEAR(C425)+1,YEAR(C425)),2))</f>
        <v/>
      </c>
      <c r="H425" s="371" t="n"/>
      <c r="I425" s="371" t="n"/>
      <c r="J425" s="371" t="n"/>
      <c r="K425" s="371" t="n"/>
      <c r="L425" s="371" t="n"/>
      <c r="M425" s="371" t="n"/>
      <c r="N425" s="371" t="n"/>
      <c r="O425" s="371" t="n"/>
      <c r="P425" s="371" t="n"/>
      <c r="Q425" s="371" t="n"/>
      <c r="R425" s="371" t="n"/>
      <c r="S425" s="371" t="n"/>
      <c r="T425" s="371" t="n"/>
      <c r="U425" s="371" t="n"/>
      <c r="V425" s="371" t="n"/>
      <c r="W425" s="371" t="n"/>
      <c r="X425" s="371" t="n"/>
      <c r="Y425" s="371" t="n"/>
      <c r="Z425" s="372" t="n"/>
      <c r="AA425" s="372" t="n"/>
      <c r="AB425" s="371" t="n"/>
      <c r="AC425" s="371">
        <f>IF($B425="","",IF(AB425="Closed",IF(AA425="","",AA425-C425),TODAY()-C425))</f>
        <v/>
      </c>
      <c r="AD425" s="371" t="n"/>
    </row>
    <row r="426" ht="15" customHeight="1" s="15">
      <c r="A426" s="371">
        <f>IF($B426="","",ROW()-5)</f>
        <v/>
      </c>
      <c r="B426" s="371" t="n"/>
      <c r="C426" s="372" t="n"/>
      <c r="D426" s="371">
        <f>IF($B426="","",TEXT(C426,"MMM"))</f>
        <v/>
      </c>
      <c r="E426" s="371">
        <f>IF($B426="","","W"&amp;TEXT(WEEKNUM(C426,2),"00"))</f>
        <v/>
      </c>
      <c r="F426" s="371">
        <f>IF($B426="","","Q"&amp;(INT(MOD(MONTH(C426)-FY_Start+12,12)/3)+1))</f>
        <v/>
      </c>
      <c r="G426" s="371">
        <f>IF($B426="","","FY "&amp;IF(MONTH(C426)&gt;=FY_Start,YEAR(C426),YEAR(C426)-1)&amp;"-"&amp;RIGHT(IF(MONTH(C426)&gt;=FY_Start,YEAR(C426)+1,YEAR(C426)),2))</f>
        <v/>
      </c>
      <c r="H426" s="371" t="n"/>
      <c r="I426" s="371" t="n"/>
      <c r="J426" s="371" t="n"/>
      <c r="K426" s="371" t="n"/>
      <c r="L426" s="371" t="n"/>
      <c r="M426" s="371" t="n"/>
      <c r="N426" s="371" t="n"/>
      <c r="O426" s="371" t="n"/>
      <c r="P426" s="371" t="n"/>
      <c r="Q426" s="371" t="n"/>
      <c r="R426" s="371" t="n"/>
      <c r="S426" s="371" t="n"/>
      <c r="T426" s="371" t="n"/>
      <c r="U426" s="371" t="n"/>
      <c r="V426" s="371" t="n"/>
      <c r="W426" s="371" t="n"/>
      <c r="X426" s="371" t="n"/>
      <c r="Y426" s="371" t="n"/>
      <c r="Z426" s="372" t="n"/>
      <c r="AA426" s="372" t="n"/>
      <c r="AB426" s="371" t="n"/>
      <c r="AC426" s="371">
        <f>IF($B426="","",IF(AB426="Closed",IF(AA426="","",AA426-C426),TODAY()-C426))</f>
        <v/>
      </c>
      <c r="AD426" s="371" t="n"/>
    </row>
    <row r="427" ht="15" customHeight="1" s="15">
      <c r="A427" s="371">
        <f>IF($B427="","",ROW()-5)</f>
        <v/>
      </c>
      <c r="B427" s="371" t="n"/>
      <c r="C427" s="372" t="n"/>
      <c r="D427" s="371">
        <f>IF($B427="","",TEXT(C427,"MMM"))</f>
        <v/>
      </c>
      <c r="E427" s="371">
        <f>IF($B427="","","W"&amp;TEXT(WEEKNUM(C427,2),"00"))</f>
        <v/>
      </c>
      <c r="F427" s="371">
        <f>IF($B427="","","Q"&amp;(INT(MOD(MONTH(C427)-FY_Start+12,12)/3)+1))</f>
        <v/>
      </c>
      <c r="G427" s="371">
        <f>IF($B427="","","FY "&amp;IF(MONTH(C427)&gt;=FY_Start,YEAR(C427),YEAR(C427)-1)&amp;"-"&amp;RIGHT(IF(MONTH(C427)&gt;=FY_Start,YEAR(C427)+1,YEAR(C427)),2))</f>
        <v/>
      </c>
      <c r="H427" s="371" t="n"/>
      <c r="I427" s="371" t="n"/>
      <c r="J427" s="371" t="n"/>
      <c r="K427" s="371" t="n"/>
      <c r="L427" s="371" t="n"/>
      <c r="M427" s="371" t="n"/>
      <c r="N427" s="371" t="n"/>
      <c r="O427" s="371" t="n"/>
      <c r="P427" s="371" t="n"/>
      <c r="Q427" s="371" t="n"/>
      <c r="R427" s="371" t="n"/>
      <c r="S427" s="371" t="n"/>
      <c r="T427" s="371" t="n"/>
      <c r="U427" s="371" t="n"/>
      <c r="V427" s="371" t="n"/>
      <c r="W427" s="371" t="n"/>
      <c r="X427" s="371" t="n"/>
      <c r="Y427" s="371" t="n"/>
      <c r="Z427" s="372" t="n"/>
      <c r="AA427" s="372" t="n"/>
      <c r="AB427" s="371" t="n"/>
      <c r="AC427" s="371">
        <f>IF($B427="","",IF(AB427="Closed",IF(AA427="","",AA427-C427),TODAY()-C427))</f>
        <v/>
      </c>
      <c r="AD427" s="371" t="n"/>
    </row>
    <row r="428" ht="15" customHeight="1" s="15">
      <c r="A428" s="371">
        <f>IF($B428="","",ROW()-5)</f>
        <v/>
      </c>
      <c r="B428" s="371" t="n"/>
      <c r="C428" s="372" t="n"/>
      <c r="D428" s="371">
        <f>IF($B428="","",TEXT(C428,"MMM"))</f>
        <v/>
      </c>
      <c r="E428" s="371">
        <f>IF($B428="","","W"&amp;TEXT(WEEKNUM(C428,2),"00"))</f>
        <v/>
      </c>
      <c r="F428" s="371">
        <f>IF($B428="","","Q"&amp;(INT(MOD(MONTH(C428)-FY_Start+12,12)/3)+1))</f>
        <v/>
      </c>
      <c r="G428" s="371">
        <f>IF($B428="","","FY "&amp;IF(MONTH(C428)&gt;=FY_Start,YEAR(C428),YEAR(C428)-1)&amp;"-"&amp;RIGHT(IF(MONTH(C428)&gt;=FY_Start,YEAR(C428)+1,YEAR(C428)),2))</f>
        <v/>
      </c>
      <c r="H428" s="371" t="n"/>
      <c r="I428" s="371" t="n"/>
      <c r="J428" s="371" t="n"/>
      <c r="K428" s="371" t="n"/>
      <c r="L428" s="371" t="n"/>
      <c r="M428" s="371" t="n"/>
      <c r="N428" s="371" t="n"/>
      <c r="O428" s="371" t="n"/>
      <c r="P428" s="371" t="n"/>
      <c r="Q428" s="371" t="n"/>
      <c r="R428" s="371" t="n"/>
      <c r="S428" s="371" t="n"/>
      <c r="T428" s="371" t="n"/>
      <c r="U428" s="371" t="n"/>
      <c r="V428" s="371" t="n"/>
      <c r="W428" s="371" t="n"/>
      <c r="X428" s="371" t="n"/>
      <c r="Y428" s="371" t="n"/>
      <c r="Z428" s="372" t="n"/>
      <c r="AA428" s="372" t="n"/>
      <c r="AB428" s="371" t="n"/>
      <c r="AC428" s="371">
        <f>IF($B428="","",IF(AB428="Closed",IF(AA428="","",AA428-C428),TODAY()-C428))</f>
        <v/>
      </c>
      <c r="AD428" s="371" t="n"/>
    </row>
    <row r="429" ht="15" customHeight="1" s="15">
      <c r="A429" s="371">
        <f>IF($B429="","",ROW()-5)</f>
        <v/>
      </c>
      <c r="B429" s="371" t="n"/>
      <c r="C429" s="372" t="n"/>
      <c r="D429" s="371">
        <f>IF($B429="","",TEXT(C429,"MMM"))</f>
        <v/>
      </c>
      <c r="E429" s="371">
        <f>IF($B429="","","W"&amp;TEXT(WEEKNUM(C429,2),"00"))</f>
        <v/>
      </c>
      <c r="F429" s="371">
        <f>IF($B429="","","Q"&amp;(INT(MOD(MONTH(C429)-FY_Start+12,12)/3)+1))</f>
        <v/>
      </c>
      <c r="G429" s="371">
        <f>IF($B429="","","FY "&amp;IF(MONTH(C429)&gt;=FY_Start,YEAR(C429),YEAR(C429)-1)&amp;"-"&amp;RIGHT(IF(MONTH(C429)&gt;=FY_Start,YEAR(C429)+1,YEAR(C429)),2))</f>
        <v/>
      </c>
      <c r="H429" s="371" t="n"/>
      <c r="I429" s="371" t="n"/>
      <c r="J429" s="371" t="n"/>
      <c r="K429" s="371" t="n"/>
      <c r="L429" s="371" t="n"/>
      <c r="M429" s="371" t="n"/>
      <c r="N429" s="371" t="n"/>
      <c r="O429" s="371" t="n"/>
      <c r="P429" s="371" t="n"/>
      <c r="Q429" s="371" t="n"/>
      <c r="R429" s="371" t="n"/>
      <c r="S429" s="371" t="n"/>
      <c r="T429" s="371" t="n"/>
      <c r="U429" s="371" t="n"/>
      <c r="V429" s="371" t="n"/>
      <c r="W429" s="371" t="n"/>
      <c r="X429" s="371" t="n"/>
      <c r="Y429" s="371" t="n"/>
      <c r="Z429" s="372" t="n"/>
      <c r="AA429" s="372" t="n"/>
      <c r="AB429" s="371" t="n"/>
      <c r="AC429" s="371">
        <f>IF($B429="","",IF(AB429="Closed",IF(AA429="","",AA429-C429),TODAY()-C429))</f>
        <v/>
      </c>
      <c r="AD429" s="371" t="n"/>
    </row>
    <row r="430" ht="15" customHeight="1" s="15">
      <c r="A430" s="371">
        <f>IF($B430="","",ROW()-5)</f>
        <v/>
      </c>
      <c r="B430" s="371" t="n"/>
      <c r="C430" s="372" t="n"/>
      <c r="D430" s="371">
        <f>IF($B430="","",TEXT(C430,"MMM"))</f>
        <v/>
      </c>
      <c r="E430" s="371">
        <f>IF($B430="","","W"&amp;TEXT(WEEKNUM(C430,2),"00"))</f>
        <v/>
      </c>
      <c r="F430" s="371">
        <f>IF($B430="","","Q"&amp;(INT(MOD(MONTH(C430)-FY_Start+12,12)/3)+1))</f>
        <v/>
      </c>
      <c r="G430" s="371">
        <f>IF($B430="","","FY "&amp;IF(MONTH(C430)&gt;=FY_Start,YEAR(C430),YEAR(C430)-1)&amp;"-"&amp;RIGHT(IF(MONTH(C430)&gt;=FY_Start,YEAR(C430)+1,YEAR(C430)),2))</f>
        <v/>
      </c>
      <c r="H430" s="371" t="n"/>
      <c r="I430" s="371" t="n"/>
      <c r="J430" s="371" t="n"/>
      <c r="K430" s="371" t="n"/>
      <c r="L430" s="371" t="n"/>
      <c r="M430" s="371" t="n"/>
      <c r="N430" s="371" t="n"/>
      <c r="O430" s="371" t="n"/>
      <c r="P430" s="371" t="n"/>
      <c r="Q430" s="371" t="n"/>
      <c r="R430" s="371" t="n"/>
      <c r="S430" s="371" t="n"/>
      <c r="T430" s="371" t="n"/>
      <c r="U430" s="371" t="n"/>
      <c r="V430" s="371" t="n"/>
      <c r="W430" s="371" t="n"/>
      <c r="X430" s="371" t="n"/>
      <c r="Y430" s="371" t="n"/>
      <c r="Z430" s="372" t="n"/>
      <c r="AA430" s="372" t="n"/>
      <c r="AB430" s="371" t="n"/>
      <c r="AC430" s="371">
        <f>IF($B430="","",IF(AB430="Closed",IF(AA430="","",AA430-C430),TODAY()-C430))</f>
        <v/>
      </c>
      <c r="AD430" s="371" t="n"/>
    </row>
    <row r="431" ht="15" customHeight="1" s="15">
      <c r="A431" s="371">
        <f>IF($B431="","",ROW()-5)</f>
        <v/>
      </c>
      <c r="B431" s="371" t="n"/>
      <c r="C431" s="372" t="n"/>
      <c r="D431" s="371">
        <f>IF($B431="","",TEXT(C431,"MMM"))</f>
        <v/>
      </c>
      <c r="E431" s="371">
        <f>IF($B431="","","W"&amp;TEXT(WEEKNUM(C431,2),"00"))</f>
        <v/>
      </c>
      <c r="F431" s="371">
        <f>IF($B431="","","Q"&amp;(INT(MOD(MONTH(C431)-FY_Start+12,12)/3)+1))</f>
        <v/>
      </c>
      <c r="G431" s="371">
        <f>IF($B431="","","FY "&amp;IF(MONTH(C431)&gt;=FY_Start,YEAR(C431),YEAR(C431)-1)&amp;"-"&amp;RIGHT(IF(MONTH(C431)&gt;=FY_Start,YEAR(C431)+1,YEAR(C431)),2))</f>
        <v/>
      </c>
      <c r="H431" s="371" t="n"/>
      <c r="I431" s="371" t="n"/>
      <c r="J431" s="371" t="n"/>
      <c r="K431" s="371" t="n"/>
      <c r="L431" s="371" t="n"/>
      <c r="M431" s="371" t="n"/>
      <c r="N431" s="371" t="n"/>
      <c r="O431" s="371" t="n"/>
      <c r="P431" s="371" t="n"/>
      <c r="Q431" s="371" t="n"/>
      <c r="R431" s="371" t="n"/>
      <c r="S431" s="371" t="n"/>
      <c r="T431" s="371" t="n"/>
      <c r="U431" s="371" t="n"/>
      <c r="V431" s="371" t="n"/>
      <c r="W431" s="371" t="n"/>
      <c r="X431" s="371" t="n"/>
      <c r="Y431" s="371" t="n"/>
      <c r="Z431" s="372" t="n"/>
      <c r="AA431" s="372" t="n"/>
      <c r="AB431" s="371" t="n"/>
      <c r="AC431" s="371">
        <f>IF($B431="","",IF(AB431="Closed",IF(AA431="","",AA431-C431),TODAY()-C431))</f>
        <v/>
      </c>
      <c r="AD431" s="371" t="n"/>
    </row>
    <row r="432" ht="15" customHeight="1" s="15">
      <c r="A432" s="371">
        <f>IF($B432="","",ROW()-5)</f>
        <v/>
      </c>
      <c r="B432" s="371" t="n"/>
      <c r="C432" s="372" t="n"/>
      <c r="D432" s="371">
        <f>IF($B432="","",TEXT(C432,"MMM"))</f>
        <v/>
      </c>
      <c r="E432" s="371">
        <f>IF($B432="","","W"&amp;TEXT(WEEKNUM(C432,2),"00"))</f>
        <v/>
      </c>
      <c r="F432" s="371">
        <f>IF($B432="","","Q"&amp;(INT(MOD(MONTH(C432)-FY_Start+12,12)/3)+1))</f>
        <v/>
      </c>
      <c r="G432" s="371">
        <f>IF($B432="","","FY "&amp;IF(MONTH(C432)&gt;=FY_Start,YEAR(C432),YEAR(C432)-1)&amp;"-"&amp;RIGHT(IF(MONTH(C432)&gt;=FY_Start,YEAR(C432)+1,YEAR(C432)),2))</f>
        <v/>
      </c>
      <c r="H432" s="371" t="n"/>
      <c r="I432" s="371" t="n"/>
      <c r="J432" s="371" t="n"/>
      <c r="K432" s="371" t="n"/>
      <c r="L432" s="371" t="n"/>
      <c r="M432" s="371" t="n"/>
      <c r="N432" s="371" t="n"/>
      <c r="O432" s="371" t="n"/>
      <c r="P432" s="371" t="n"/>
      <c r="Q432" s="371" t="n"/>
      <c r="R432" s="371" t="n"/>
      <c r="S432" s="371" t="n"/>
      <c r="T432" s="371" t="n"/>
      <c r="U432" s="371" t="n"/>
      <c r="V432" s="371" t="n"/>
      <c r="W432" s="371" t="n"/>
      <c r="X432" s="371" t="n"/>
      <c r="Y432" s="371" t="n"/>
      <c r="Z432" s="372" t="n"/>
      <c r="AA432" s="372" t="n"/>
      <c r="AB432" s="371" t="n"/>
      <c r="AC432" s="371">
        <f>IF($B432="","",IF(AB432="Closed",IF(AA432="","",AA432-C432),TODAY()-C432))</f>
        <v/>
      </c>
      <c r="AD432" s="371" t="n"/>
    </row>
    <row r="433" ht="15" customHeight="1" s="15">
      <c r="A433" s="371">
        <f>IF($B433="","",ROW()-5)</f>
        <v/>
      </c>
      <c r="B433" s="371" t="n"/>
      <c r="C433" s="372" t="n"/>
      <c r="D433" s="371">
        <f>IF($B433="","",TEXT(C433,"MMM"))</f>
        <v/>
      </c>
      <c r="E433" s="371">
        <f>IF($B433="","","W"&amp;TEXT(WEEKNUM(C433,2),"00"))</f>
        <v/>
      </c>
      <c r="F433" s="371">
        <f>IF($B433="","","Q"&amp;(INT(MOD(MONTH(C433)-FY_Start+12,12)/3)+1))</f>
        <v/>
      </c>
      <c r="G433" s="371">
        <f>IF($B433="","","FY "&amp;IF(MONTH(C433)&gt;=FY_Start,YEAR(C433),YEAR(C433)-1)&amp;"-"&amp;RIGHT(IF(MONTH(C433)&gt;=FY_Start,YEAR(C433)+1,YEAR(C433)),2))</f>
        <v/>
      </c>
      <c r="H433" s="371" t="n"/>
      <c r="I433" s="371" t="n"/>
      <c r="J433" s="371" t="n"/>
      <c r="K433" s="371" t="n"/>
      <c r="L433" s="371" t="n"/>
      <c r="M433" s="371" t="n"/>
      <c r="N433" s="371" t="n"/>
      <c r="O433" s="371" t="n"/>
      <c r="P433" s="371" t="n"/>
      <c r="Q433" s="371" t="n"/>
      <c r="R433" s="371" t="n"/>
      <c r="S433" s="371" t="n"/>
      <c r="T433" s="371" t="n"/>
      <c r="U433" s="371" t="n"/>
      <c r="V433" s="371" t="n"/>
      <c r="W433" s="371" t="n"/>
      <c r="X433" s="371" t="n"/>
      <c r="Y433" s="371" t="n"/>
      <c r="Z433" s="372" t="n"/>
      <c r="AA433" s="372" t="n"/>
      <c r="AB433" s="371" t="n"/>
      <c r="AC433" s="371">
        <f>IF($B433="","",IF(AB433="Closed",IF(AA433="","",AA433-C433),TODAY()-C433))</f>
        <v/>
      </c>
      <c r="AD433" s="371" t="n"/>
    </row>
    <row r="434" ht="15" customHeight="1" s="15">
      <c r="A434" s="371">
        <f>IF($B434="","",ROW()-5)</f>
        <v/>
      </c>
      <c r="B434" s="371" t="n"/>
      <c r="C434" s="372" t="n"/>
      <c r="D434" s="371">
        <f>IF($B434="","",TEXT(C434,"MMM"))</f>
        <v/>
      </c>
      <c r="E434" s="371">
        <f>IF($B434="","","W"&amp;TEXT(WEEKNUM(C434,2),"00"))</f>
        <v/>
      </c>
      <c r="F434" s="371">
        <f>IF($B434="","","Q"&amp;(INT(MOD(MONTH(C434)-FY_Start+12,12)/3)+1))</f>
        <v/>
      </c>
      <c r="G434" s="371">
        <f>IF($B434="","","FY "&amp;IF(MONTH(C434)&gt;=FY_Start,YEAR(C434),YEAR(C434)-1)&amp;"-"&amp;RIGHT(IF(MONTH(C434)&gt;=FY_Start,YEAR(C434)+1,YEAR(C434)),2))</f>
        <v/>
      </c>
      <c r="H434" s="371" t="n"/>
      <c r="I434" s="371" t="n"/>
      <c r="J434" s="371" t="n"/>
      <c r="K434" s="371" t="n"/>
      <c r="L434" s="371" t="n"/>
      <c r="M434" s="371" t="n"/>
      <c r="N434" s="371" t="n"/>
      <c r="O434" s="371" t="n"/>
      <c r="P434" s="371" t="n"/>
      <c r="Q434" s="371" t="n"/>
      <c r="R434" s="371" t="n"/>
      <c r="S434" s="371" t="n"/>
      <c r="T434" s="371" t="n"/>
      <c r="U434" s="371" t="n"/>
      <c r="V434" s="371" t="n"/>
      <c r="W434" s="371" t="n"/>
      <c r="X434" s="371" t="n"/>
      <c r="Y434" s="371" t="n"/>
      <c r="Z434" s="372" t="n"/>
      <c r="AA434" s="372" t="n"/>
      <c r="AB434" s="371" t="n"/>
      <c r="AC434" s="371">
        <f>IF($B434="","",IF(AB434="Closed",IF(AA434="","",AA434-C434),TODAY()-C434))</f>
        <v/>
      </c>
      <c r="AD434" s="371" t="n"/>
    </row>
    <row r="435" ht="15" customHeight="1" s="15">
      <c r="A435" s="371">
        <f>IF($B435="","",ROW()-5)</f>
        <v/>
      </c>
      <c r="B435" s="371" t="n"/>
      <c r="C435" s="372" t="n"/>
      <c r="D435" s="371">
        <f>IF($B435="","",TEXT(C435,"MMM"))</f>
        <v/>
      </c>
      <c r="E435" s="371">
        <f>IF($B435="","","W"&amp;TEXT(WEEKNUM(C435,2),"00"))</f>
        <v/>
      </c>
      <c r="F435" s="371">
        <f>IF($B435="","","Q"&amp;(INT(MOD(MONTH(C435)-FY_Start+12,12)/3)+1))</f>
        <v/>
      </c>
      <c r="G435" s="371">
        <f>IF($B435="","","FY "&amp;IF(MONTH(C435)&gt;=FY_Start,YEAR(C435),YEAR(C435)-1)&amp;"-"&amp;RIGHT(IF(MONTH(C435)&gt;=FY_Start,YEAR(C435)+1,YEAR(C435)),2))</f>
        <v/>
      </c>
      <c r="H435" s="371" t="n"/>
      <c r="I435" s="371" t="n"/>
      <c r="J435" s="371" t="n"/>
      <c r="K435" s="371" t="n"/>
      <c r="L435" s="371" t="n"/>
      <c r="M435" s="371" t="n"/>
      <c r="N435" s="371" t="n"/>
      <c r="O435" s="371" t="n"/>
      <c r="P435" s="371" t="n"/>
      <c r="Q435" s="371" t="n"/>
      <c r="R435" s="371" t="n"/>
      <c r="S435" s="371" t="n"/>
      <c r="T435" s="371" t="n"/>
      <c r="U435" s="371" t="n"/>
      <c r="V435" s="371" t="n"/>
      <c r="W435" s="371" t="n"/>
      <c r="X435" s="371" t="n"/>
      <c r="Y435" s="371" t="n"/>
      <c r="Z435" s="372" t="n"/>
      <c r="AA435" s="372" t="n"/>
      <c r="AB435" s="371" t="n"/>
      <c r="AC435" s="371">
        <f>IF($B435="","",IF(AB435="Closed",IF(AA435="","",AA435-C435),TODAY()-C435))</f>
        <v/>
      </c>
      <c r="AD435" s="371" t="n"/>
    </row>
    <row r="436" ht="15" customHeight="1" s="15">
      <c r="A436" s="371">
        <f>IF($B436="","",ROW()-5)</f>
        <v/>
      </c>
      <c r="B436" s="371" t="n"/>
      <c r="C436" s="372" t="n"/>
      <c r="D436" s="371">
        <f>IF($B436="","",TEXT(C436,"MMM"))</f>
        <v/>
      </c>
      <c r="E436" s="371">
        <f>IF($B436="","","W"&amp;TEXT(WEEKNUM(C436,2),"00"))</f>
        <v/>
      </c>
      <c r="F436" s="371">
        <f>IF($B436="","","Q"&amp;(INT(MOD(MONTH(C436)-FY_Start+12,12)/3)+1))</f>
        <v/>
      </c>
      <c r="G436" s="371">
        <f>IF($B436="","","FY "&amp;IF(MONTH(C436)&gt;=FY_Start,YEAR(C436),YEAR(C436)-1)&amp;"-"&amp;RIGHT(IF(MONTH(C436)&gt;=FY_Start,YEAR(C436)+1,YEAR(C436)),2))</f>
        <v/>
      </c>
      <c r="H436" s="371" t="n"/>
      <c r="I436" s="371" t="n"/>
      <c r="J436" s="371" t="n"/>
      <c r="K436" s="371" t="n"/>
      <c r="L436" s="371" t="n"/>
      <c r="M436" s="371" t="n"/>
      <c r="N436" s="371" t="n"/>
      <c r="O436" s="371" t="n"/>
      <c r="P436" s="371" t="n"/>
      <c r="Q436" s="371" t="n"/>
      <c r="R436" s="371" t="n"/>
      <c r="S436" s="371" t="n"/>
      <c r="T436" s="371" t="n"/>
      <c r="U436" s="371" t="n"/>
      <c r="V436" s="371" t="n"/>
      <c r="W436" s="371" t="n"/>
      <c r="X436" s="371" t="n"/>
      <c r="Y436" s="371" t="n"/>
      <c r="Z436" s="372" t="n"/>
      <c r="AA436" s="372" t="n"/>
      <c r="AB436" s="371" t="n"/>
      <c r="AC436" s="371">
        <f>IF($B436="","",IF(AB436="Closed",IF(AA436="","",AA436-C436),TODAY()-C436))</f>
        <v/>
      </c>
      <c r="AD436" s="371" t="n"/>
    </row>
    <row r="437" ht="15" customHeight="1" s="15">
      <c r="A437" s="371">
        <f>IF($B437="","",ROW()-5)</f>
        <v/>
      </c>
      <c r="B437" s="371" t="n"/>
      <c r="C437" s="372" t="n"/>
      <c r="D437" s="371">
        <f>IF($B437="","",TEXT(C437,"MMM"))</f>
        <v/>
      </c>
      <c r="E437" s="371">
        <f>IF($B437="","","W"&amp;TEXT(WEEKNUM(C437,2),"00"))</f>
        <v/>
      </c>
      <c r="F437" s="371">
        <f>IF($B437="","","Q"&amp;(INT(MOD(MONTH(C437)-FY_Start+12,12)/3)+1))</f>
        <v/>
      </c>
      <c r="G437" s="371">
        <f>IF($B437="","","FY "&amp;IF(MONTH(C437)&gt;=FY_Start,YEAR(C437),YEAR(C437)-1)&amp;"-"&amp;RIGHT(IF(MONTH(C437)&gt;=FY_Start,YEAR(C437)+1,YEAR(C437)),2))</f>
        <v/>
      </c>
      <c r="H437" s="371" t="n"/>
      <c r="I437" s="371" t="n"/>
      <c r="J437" s="371" t="n"/>
      <c r="K437" s="371" t="n"/>
      <c r="L437" s="371" t="n"/>
      <c r="M437" s="371" t="n"/>
      <c r="N437" s="371" t="n"/>
      <c r="O437" s="371" t="n"/>
      <c r="P437" s="371" t="n"/>
      <c r="Q437" s="371" t="n"/>
      <c r="R437" s="371" t="n"/>
      <c r="S437" s="371" t="n"/>
      <c r="T437" s="371" t="n"/>
      <c r="U437" s="371" t="n"/>
      <c r="V437" s="371" t="n"/>
      <c r="W437" s="371" t="n"/>
      <c r="X437" s="371" t="n"/>
      <c r="Y437" s="371" t="n"/>
      <c r="Z437" s="372" t="n"/>
      <c r="AA437" s="372" t="n"/>
      <c r="AB437" s="371" t="n"/>
      <c r="AC437" s="371">
        <f>IF($B437="","",IF(AB437="Closed",IF(AA437="","",AA437-C437),TODAY()-C437))</f>
        <v/>
      </c>
      <c r="AD437" s="371" t="n"/>
    </row>
    <row r="438" ht="15" customHeight="1" s="15">
      <c r="A438" s="371">
        <f>IF($B438="","",ROW()-5)</f>
        <v/>
      </c>
      <c r="B438" s="371" t="n"/>
      <c r="C438" s="372" t="n"/>
      <c r="D438" s="371">
        <f>IF($B438="","",TEXT(C438,"MMM"))</f>
        <v/>
      </c>
      <c r="E438" s="371">
        <f>IF($B438="","","W"&amp;TEXT(WEEKNUM(C438,2),"00"))</f>
        <v/>
      </c>
      <c r="F438" s="371">
        <f>IF($B438="","","Q"&amp;(INT(MOD(MONTH(C438)-FY_Start+12,12)/3)+1))</f>
        <v/>
      </c>
      <c r="G438" s="371">
        <f>IF($B438="","","FY "&amp;IF(MONTH(C438)&gt;=FY_Start,YEAR(C438),YEAR(C438)-1)&amp;"-"&amp;RIGHT(IF(MONTH(C438)&gt;=FY_Start,YEAR(C438)+1,YEAR(C438)),2))</f>
        <v/>
      </c>
      <c r="H438" s="371" t="n"/>
      <c r="I438" s="371" t="n"/>
      <c r="J438" s="371" t="n"/>
      <c r="K438" s="371" t="n"/>
      <c r="L438" s="371" t="n"/>
      <c r="M438" s="371" t="n"/>
      <c r="N438" s="371" t="n"/>
      <c r="O438" s="371" t="n"/>
      <c r="P438" s="371" t="n"/>
      <c r="Q438" s="371" t="n"/>
      <c r="R438" s="371" t="n"/>
      <c r="S438" s="371" t="n"/>
      <c r="T438" s="371" t="n"/>
      <c r="U438" s="371" t="n"/>
      <c r="V438" s="371" t="n"/>
      <c r="W438" s="371" t="n"/>
      <c r="X438" s="371" t="n"/>
      <c r="Y438" s="371" t="n"/>
      <c r="Z438" s="372" t="n"/>
      <c r="AA438" s="372" t="n"/>
      <c r="AB438" s="371" t="n"/>
      <c r="AC438" s="371">
        <f>IF($B438="","",IF(AB438="Closed",IF(AA438="","",AA438-C438),TODAY()-C438))</f>
        <v/>
      </c>
      <c r="AD438" s="371" t="n"/>
    </row>
    <row r="439" ht="15" customHeight="1" s="15">
      <c r="A439" s="371">
        <f>IF($B439="","",ROW()-5)</f>
        <v/>
      </c>
      <c r="B439" s="371" t="n"/>
      <c r="C439" s="372" t="n"/>
      <c r="D439" s="371">
        <f>IF($B439="","",TEXT(C439,"MMM"))</f>
        <v/>
      </c>
      <c r="E439" s="371">
        <f>IF($B439="","","W"&amp;TEXT(WEEKNUM(C439,2),"00"))</f>
        <v/>
      </c>
      <c r="F439" s="371">
        <f>IF($B439="","","Q"&amp;(INT(MOD(MONTH(C439)-FY_Start+12,12)/3)+1))</f>
        <v/>
      </c>
      <c r="G439" s="371">
        <f>IF($B439="","","FY "&amp;IF(MONTH(C439)&gt;=FY_Start,YEAR(C439),YEAR(C439)-1)&amp;"-"&amp;RIGHT(IF(MONTH(C439)&gt;=FY_Start,YEAR(C439)+1,YEAR(C439)),2))</f>
        <v/>
      </c>
      <c r="H439" s="371" t="n"/>
      <c r="I439" s="371" t="n"/>
      <c r="J439" s="371" t="n"/>
      <c r="K439" s="371" t="n"/>
      <c r="L439" s="371" t="n"/>
      <c r="M439" s="371" t="n"/>
      <c r="N439" s="371" t="n"/>
      <c r="O439" s="371" t="n"/>
      <c r="P439" s="371" t="n"/>
      <c r="Q439" s="371" t="n"/>
      <c r="R439" s="371" t="n"/>
      <c r="S439" s="371" t="n"/>
      <c r="T439" s="371" t="n"/>
      <c r="U439" s="371" t="n"/>
      <c r="V439" s="371" t="n"/>
      <c r="W439" s="371" t="n"/>
      <c r="X439" s="371" t="n"/>
      <c r="Y439" s="371" t="n"/>
      <c r="Z439" s="372" t="n"/>
      <c r="AA439" s="372" t="n"/>
      <c r="AB439" s="371" t="n"/>
      <c r="AC439" s="371">
        <f>IF($B439="","",IF(AB439="Closed",IF(AA439="","",AA439-C439),TODAY()-C439))</f>
        <v/>
      </c>
      <c r="AD439" s="371" t="n"/>
    </row>
    <row r="440" ht="15" customHeight="1" s="15">
      <c r="A440" s="371">
        <f>IF($B440="","",ROW()-5)</f>
        <v/>
      </c>
      <c r="B440" s="371" t="n"/>
      <c r="C440" s="372" t="n"/>
      <c r="D440" s="371">
        <f>IF($B440="","",TEXT(C440,"MMM"))</f>
        <v/>
      </c>
      <c r="E440" s="371">
        <f>IF($B440="","","W"&amp;TEXT(WEEKNUM(C440,2),"00"))</f>
        <v/>
      </c>
      <c r="F440" s="371">
        <f>IF($B440="","","Q"&amp;(INT(MOD(MONTH(C440)-FY_Start+12,12)/3)+1))</f>
        <v/>
      </c>
      <c r="G440" s="371">
        <f>IF($B440="","","FY "&amp;IF(MONTH(C440)&gt;=FY_Start,YEAR(C440),YEAR(C440)-1)&amp;"-"&amp;RIGHT(IF(MONTH(C440)&gt;=FY_Start,YEAR(C440)+1,YEAR(C440)),2))</f>
        <v/>
      </c>
      <c r="H440" s="371" t="n"/>
      <c r="I440" s="371" t="n"/>
      <c r="J440" s="371" t="n"/>
      <c r="K440" s="371" t="n"/>
      <c r="L440" s="371" t="n"/>
      <c r="M440" s="371" t="n"/>
      <c r="N440" s="371" t="n"/>
      <c r="O440" s="371" t="n"/>
      <c r="P440" s="371" t="n"/>
      <c r="Q440" s="371" t="n"/>
      <c r="R440" s="371" t="n"/>
      <c r="S440" s="371" t="n"/>
      <c r="T440" s="371" t="n"/>
      <c r="U440" s="371" t="n"/>
      <c r="V440" s="371" t="n"/>
      <c r="W440" s="371" t="n"/>
      <c r="X440" s="371" t="n"/>
      <c r="Y440" s="371" t="n"/>
      <c r="Z440" s="372" t="n"/>
      <c r="AA440" s="372" t="n"/>
      <c r="AB440" s="371" t="n"/>
      <c r="AC440" s="371">
        <f>IF($B440="","",IF(AB440="Closed",IF(AA440="","",AA440-C440),TODAY()-C440))</f>
        <v/>
      </c>
      <c r="AD440" s="371" t="n"/>
    </row>
    <row r="441" ht="15" customHeight="1" s="15">
      <c r="A441" s="371">
        <f>IF($B441="","",ROW()-5)</f>
        <v/>
      </c>
      <c r="B441" s="371" t="n"/>
      <c r="C441" s="372" t="n"/>
      <c r="D441" s="371">
        <f>IF($B441="","",TEXT(C441,"MMM"))</f>
        <v/>
      </c>
      <c r="E441" s="371">
        <f>IF($B441="","","W"&amp;TEXT(WEEKNUM(C441,2),"00"))</f>
        <v/>
      </c>
      <c r="F441" s="371">
        <f>IF($B441="","","Q"&amp;(INT(MOD(MONTH(C441)-FY_Start+12,12)/3)+1))</f>
        <v/>
      </c>
      <c r="G441" s="371">
        <f>IF($B441="","","FY "&amp;IF(MONTH(C441)&gt;=FY_Start,YEAR(C441),YEAR(C441)-1)&amp;"-"&amp;RIGHT(IF(MONTH(C441)&gt;=FY_Start,YEAR(C441)+1,YEAR(C441)),2))</f>
        <v/>
      </c>
      <c r="H441" s="371" t="n"/>
      <c r="I441" s="371" t="n"/>
      <c r="J441" s="371" t="n"/>
      <c r="K441" s="371" t="n"/>
      <c r="L441" s="371" t="n"/>
      <c r="M441" s="371" t="n"/>
      <c r="N441" s="371" t="n"/>
      <c r="O441" s="371" t="n"/>
      <c r="P441" s="371" t="n"/>
      <c r="Q441" s="371" t="n"/>
      <c r="R441" s="371" t="n"/>
      <c r="S441" s="371" t="n"/>
      <c r="T441" s="371" t="n"/>
      <c r="U441" s="371" t="n"/>
      <c r="V441" s="371" t="n"/>
      <c r="W441" s="371" t="n"/>
      <c r="X441" s="371" t="n"/>
      <c r="Y441" s="371" t="n"/>
      <c r="Z441" s="372" t="n"/>
      <c r="AA441" s="372" t="n"/>
      <c r="AB441" s="371" t="n"/>
      <c r="AC441" s="371">
        <f>IF($B441="","",IF(AB441="Closed",IF(AA441="","",AA441-C441),TODAY()-C441))</f>
        <v/>
      </c>
      <c r="AD441" s="371" t="n"/>
    </row>
    <row r="442" ht="15" customHeight="1" s="15">
      <c r="A442" s="371">
        <f>IF($B442="","",ROW()-5)</f>
        <v/>
      </c>
      <c r="B442" s="371" t="n"/>
      <c r="C442" s="372" t="n"/>
      <c r="D442" s="371">
        <f>IF($B442="","",TEXT(C442,"MMM"))</f>
        <v/>
      </c>
      <c r="E442" s="371">
        <f>IF($B442="","","W"&amp;TEXT(WEEKNUM(C442,2),"00"))</f>
        <v/>
      </c>
      <c r="F442" s="371">
        <f>IF($B442="","","Q"&amp;(INT(MOD(MONTH(C442)-FY_Start+12,12)/3)+1))</f>
        <v/>
      </c>
      <c r="G442" s="371">
        <f>IF($B442="","","FY "&amp;IF(MONTH(C442)&gt;=FY_Start,YEAR(C442),YEAR(C442)-1)&amp;"-"&amp;RIGHT(IF(MONTH(C442)&gt;=FY_Start,YEAR(C442)+1,YEAR(C442)),2))</f>
        <v/>
      </c>
      <c r="H442" s="371" t="n"/>
      <c r="I442" s="371" t="n"/>
      <c r="J442" s="371" t="n"/>
      <c r="K442" s="371" t="n"/>
      <c r="L442" s="371" t="n"/>
      <c r="M442" s="371" t="n"/>
      <c r="N442" s="371" t="n"/>
      <c r="O442" s="371" t="n"/>
      <c r="P442" s="371" t="n"/>
      <c r="Q442" s="371" t="n"/>
      <c r="R442" s="371" t="n"/>
      <c r="S442" s="371" t="n"/>
      <c r="T442" s="371" t="n"/>
      <c r="U442" s="371" t="n"/>
      <c r="V442" s="371" t="n"/>
      <c r="W442" s="371" t="n"/>
      <c r="X442" s="371" t="n"/>
      <c r="Y442" s="371" t="n"/>
      <c r="Z442" s="372" t="n"/>
      <c r="AA442" s="372" t="n"/>
      <c r="AB442" s="371" t="n"/>
      <c r="AC442" s="371">
        <f>IF($B442="","",IF(AB442="Closed",IF(AA442="","",AA442-C442),TODAY()-C442))</f>
        <v/>
      </c>
      <c r="AD442" s="371" t="n"/>
    </row>
    <row r="443" ht="15" customHeight="1" s="15">
      <c r="A443" s="371">
        <f>IF($B443="","",ROW()-5)</f>
        <v/>
      </c>
      <c r="B443" s="371" t="n"/>
      <c r="C443" s="372" t="n"/>
      <c r="D443" s="371">
        <f>IF($B443="","",TEXT(C443,"MMM"))</f>
        <v/>
      </c>
      <c r="E443" s="371">
        <f>IF($B443="","","W"&amp;TEXT(WEEKNUM(C443,2),"00"))</f>
        <v/>
      </c>
      <c r="F443" s="371">
        <f>IF($B443="","","Q"&amp;(INT(MOD(MONTH(C443)-FY_Start+12,12)/3)+1))</f>
        <v/>
      </c>
      <c r="G443" s="371">
        <f>IF($B443="","","FY "&amp;IF(MONTH(C443)&gt;=FY_Start,YEAR(C443),YEAR(C443)-1)&amp;"-"&amp;RIGHT(IF(MONTH(C443)&gt;=FY_Start,YEAR(C443)+1,YEAR(C443)),2))</f>
        <v/>
      </c>
      <c r="H443" s="371" t="n"/>
      <c r="I443" s="371" t="n"/>
      <c r="J443" s="371" t="n"/>
      <c r="K443" s="371" t="n"/>
      <c r="L443" s="371" t="n"/>
      <c r="M443" s="371" t="n"/>
      <c r="N443" s="371" t="n"/>
      <c r="O443" s="371" t="n"/>
      <c r="P443" s="371" t="n"/>
      <c r="Q443" s="371" t="n"/>
      <c r="R443" s="371" t="n"/>
      <c r="S443" s="371" t="n"/>
      <c r="T443" s="371" t="n"/>
      <c r="U443" s="371" t="n"/>
      <c r="V443" s="371" t="n"/>
      <c r="W443" s="371" t="n"/>
      <c r="X443" s="371" t="n"/>
      <c r="Y443" s="371" t="n"/>
      <c r="Z443" s="372" t="n"/>
      <c r="AA443" s="372" t="n"/>
      <c r="AB443" s="371" t="n"/>
      <c r="AC443" s="371">
        <f>IF($B443="","",IF(AB443="Closed",IF(AA443="","",AA443-C443),TODAY()-C443))</f>
        <v/>
      </c>
      <c r="AD443" s="371" t="n"/>
    </row>
    <row r="444" ht="15" customHeight="1" s="15">
      <c r="A444" s="371">
        <f>IF($B444="","",ROW()-5)</f>
        <v/>
      </c>
      <c r="B444" s="371" t="n"/>
      <c r="C444" s="372" t="n"/>
      <c r="D444" s="371">
        <f>IF($B444="","",TEXT(C444,"MMM"))</f>
        <v/>
      </c>
      <c r="E444" s="371">
        <f>IF($B444="","","W"&amp;TEXT(WEEKNUM(C444,2),"00"))</f>
        <v/>
      </c>
      <c r="F444" s="371">
        <f>IF($B444="","","Q"&amp;(INT(MOD(MONTH(C444)-FY_Start+12,12)/3)+1))</f>
        <v/>
      </c>
      <c r="G444" s="371">
        <f>IF($B444="","","FY "&amp;IF(MONTH(C444)&gt;=FY_Start,YEAR(C444),YEAR(C444)-1)&amp;"-"&amp;RIGHT(IF(MONTH(C444)&gt;=FY_Start,YEAR(C444)+1,YEAR(C444)),2))</f>
        <v/>
      </c>
      <c r="H444" s="371" t="n"/>
      <c r="I444" s="371" t="n"/>
      <c r="J444" s="371" t="n"/>
      <c r="K444" s="371" t="n"/>
      <c r="L444" s="371" t="n"/>
      <c r="M444" s="371" t="n"/>
      <c r="N444" s="371" t="n"/>
      <c r="O444" s="371" t="n"/>
      <c r="P444" s="371" t="n"/>
      <c r="Q444" s="371" t="n"/>
      <c r="R444" s="371" t="n"/>
      <c r="S444" s="371" t="n"/>
      <c r="T444" s="371" t="n"/>
      <c r="U444" s="371" t="n"/>
      <c r="V444" s="371" t="n"/>
      <c r="W444" s="371" t="n"/>
      <c r="X444" s="371" t="n"/>
      <c r="Y444" s="371" t="n"/>
      <c r="Z444" s="372" t="n"/>
      <c r="AA444" s="372" t="n"/>
      <c r="AB444" s="371" t="n"/>
      <c r="AC444" s="371">
        <f>IF($B444="","",IF(AB444="Closed",IF(AA444="","",AA444-C444),TODAY()-C444))</f>
        <v/>
      </c>
      <c r="AD444" s="371" t="n"/>
    </row>
    <row r="445" ht="15" customHeight="1" s="15">
      <c r="A445" s="371">
        <f>IF($B445="","",ROW()-5)</f>
        <v/>
      </c>
      <c r="B445" s="371" t="n"/>
      <c r="C445" s="372" t="n"/>
      <c r="D445" s="371">
        <f>IF($B445="","",TEXT(C445,"MMM"))</f>
        <v/>
      </c>
      <c r="E445" s="371">
        <f>IF($B445="","","W"&amp;TEXT(WEEKNUM(C445,2),"00"))</f>
        <v/>
      </c>
      <c r="F445" s="371">
        <f>IF($B445="","","Q"&amp;(INT(MOD(MONTH(C445)-FY_Start+12,12)/3)+1))</f>
        <v/>
      </c>
      <c r="G445" s="371">
        <f>IF($B445="","","FY "&amp;IF(MONTH(C445)&gt;=FY_Start,YEAR(C445),YEAR(C445)-1)&amp;"-"&amp;RIGHT(IF(MONTH(C445)&gt;=FY_Start,YEAR(C445)+1,YEAR(C445)),2))</f>
        <v/>
      </c>
      <c r="H445" s="371" t="n"/>
      <c r="I445" s="371" t="n"/>
      <c r="J445" s="371" t="n"/>
      <c r="K445" s="371" t="n"/>
      <c r="L445" s="371" t="n"/>
      <c r="M445" s="371" t="n"/>
      <c r="N445" s="371" t="n"/>
      <c r="O445" s="371" t="n"/>
      <c r="P445" s="371" t="n"/>
      <c r="Q445" s="371" t="n"/>
      <c r="R445" s="371" t="n"/>
      <c r="S445" s="371" t="n"/>
      <c r="T445" s="371" t="n"/>
      <c r="U445" s="371" t="n"/>
      <c r="V445" s="371" t="n"/>
      <c r="W445" s="371" t="n"/>
      <c r="X445" s="371" t="n"/>
      <c r="Y445" s="371" t="n"/>
      <c r="Z445" s="372" t="n"/>
      <c r="AA445" s="372" t="n"/>
      <c r="AB445" s="371" t="n"/>
      <c r="AC445" s="371">
        <f>IF($B445="","",IF(AB445="Closed",IF(AA445="","",AA445-C445),TODAY()-C445))</f>
        <v/>
      </c>
      <c r="AD445" s="371" t="n"/>
    </row>
    <row r="446" ht="15" customHeight="1" s="15">
      <c r="A446" s="371">
        <f>IF($B446="","",ROW()-5)</f>
        <v/>
      </c>
      <c r="B446" s="371" t="n"/>
      <c r="C446" s="372" t="n"/>
      <c r="D446" s="371">
        <f>IF($B446="","",TEXT(C446,"MMM"))</f>
        <v/>
      </c>
      <c r="E446" s="371">
        <f>IF($B446="","","W"&amp;TEXT(WEEKNUM(C446,2),"00"))</f>
        <v/>
      </c>
      <c r="F446" s="371">
        <f>IF($B446="","","Q"&amp;(INT(MOD(MONTH(C446)-FY_Start+12,12)/3)+1))</f>
        <v/>
      </c>
      <c r="G446" s="371">
        <f>IF($B446="","","FY "&amp;IF(MONTH(C446)&gt;=FY_Start,YEAR(C446),YEAR(C446)-1)&amp;"-"&amp;RIGHT(IF(MONTH(C446)&gt;=FY_Start,YEAR(C446)+1,YEAR(C446)),2))</f>
        <v/>
      </c>
      <c r="H446" s="371" t="n"/>
      <c r="I446" s="371" t="n"/>
      <c r="J446" s="371" t="n"/>
      <c r="K446" s="371" t="n"/>
      <c r="L446" s="371" t="n"/>
      <c r="M446" s="371" t="n"/>
      <c r="N446" s="371" t="n"/>
      <c r="O446" s="371" t="n"/>
      <c r="P446" s="371" t="n"/>
      <c r="Q446" s="371" t="n"/>
      <c r="R446" s="371" t="n"/>
      <c r="S446" s="371" t="n"/>
      <c r="T446" s="371" t="n"/>
      <c r="U446" s="371" t="n"/>
      <c r="V446" s="371" t="n"/>
      <c r="W446" s="371" t="n"/>
      <c r="X446" s="371" t="n"/>
      <c r="Y446" s="371" t="n"/>
      <c r="Z446" s="372" t="n"/>
      <c r="AA446" s="372" t="n"/>
      <c r="AB446" s="371" t="n"/>
      <c r="AC446" s="371">
        <f>IF($B446="","",IF(AB446="Closed",IF(AA446="","",AA446-C446),TODAY()-C446))</f>
        <v/>
      </c>
      <c r="AD446" s="371" t="n"/>
    </row>
    <row r="447" ht="15" customHeight="1" s="15">
      <c r="A447" s="371">
        <f>IF($B447="","",ROW()-5)</f>
        <v/>
      </c>
      <c r="B447" s="371" t="n"/>
      <c r="C447" s="372" t="n"/>
      <c r="D447" s="371">
        <f>IF($B447="","",TEXT(C447,"MMM"))</f>
        <v/>
      </c>
      <c r="E447" s="371">
        <f>IF($B447="","","W"&amp;TEXT(WEEKNUM(C447,2),"00"))</f>
        <v/>
      </c>
      <c r="F447" s="371">
        <f>IF($B447="","","Q"&amp;(INT(MOD(MONTH(C447)-FY_Start+12,12)/3)+1))</f>
        <v/>
      </c>
      <c r="G447" s="371">
        <f>IF($B447="","","FY "&amp;IF(MONTH(C447)&gt;=FY_Start,YEAR(C447),YEAR(C447)-1)&amp;"-"&amp;RIGHT(IF(MONTH(C447)&gt;=FY_Start,YEAR(C447)+1,YEAR(C447)),2))</f>
        <v/>
      </c>
      <c r="H447" s="371" t="n"/>
      <c r="I447" s="371" t="n"/>
      <c r="J447" s="371" t="n"/>
      <c r="K447" s="371" t="n"/>
      <c r="L447" s="371" t="n"/>
      <c r="M447" s="371" t="n"/>
      <c r="N447" s="371" t="n"/>
      <c r="O447" s="371" t="n"/>
      <c r="P447" s="371" t="n"/>
      <c r="Q447" s="371" t="n"/>
      <c r="R447" s="371" t="n"/>
      <c r="S447" s="371" t="n"/>
      <c r="T447" s="371" t="n"/>
      <c r="U447" s="371" t="n"/>
      <c r="V447" s="371" t="n"/>
      <c r="W447" s="371" t="n"/>
      <c r="X447" s="371" t="n"/>
      <c r="Y447" s="371" t="n"/>
      <c r="Z447" s="372" t="n"/>
      <c r="AA447" s="372" t="n"/>
      <c r="AB447" s="371" t="n"/>
      <c r="AC447" s="371">
        <f>IF($B447="","",IF(AB447="Closed",IF(AA447="","",AA447-C447),TODAY()-C447))</f>
        <v/>
      </c>
      <c r="AD447" s="371" t="n"/>
    </row>
    <row r="448" ht="15" customHeight="1" s="15">
      <c r="A448" s="371">
        <f>IF($B448="","",ROW()-5)</f>
        <v/>
      </c>
      <c r="B448" s="371" t="n"/>
      <c r="C448" s="372" t="n"/>
      <c r="D448" s="371">
        <f>IF($B448="","",TEXT(C448,"MMM"))</f>
        <v/>
      </c>
      <c r="E448" s="371">
        <f>IF($B448="","","W"&amp;TEXT(WEEKNUM(C448,2),"00"))</f>
        <v/>
      </c>
      <c r="F448" s="371">
        <f>IF($B448="","","Q"&amp;(INT(MOD(MONTH(C448)-FY_Start+12,12)/3)+1))</f>
        <v/>
      </c>
      <c r="G448" s="371">
        <f>IF($B448="","","FY "&amp;IF(MONTH(C448)&gt;=FY_Start,YEAR(C448),YEAR(C448)-1)&amp;"-"&amp;RIGHT(IF(MONTH(C448)&gt;=FY_Start,YEAR(C448)+1,YEAR(C448)),2))</f>
        <v/>
      </c>
      <c r="H448" s="371" t="n"/>
      <c r="I448" s="371" t="n"/>
      <c r="J448" s="371" t="n"/>
      <c r="K448" s="371" t="n"/>
      <c r="L448" s="371" t="n"/>
      <c r="M448" s="371" t="n"/>
      <c r="N448" s="371" t="n"/>
      <c r="O448" s="371" t="n"/>
      <c r="P448" s="371" t="n"/>
      <c r="Q448" s="371" t="n"/>
      <c r="R448" s="371" t="n"/>
      <c r="S448" s="371" t="n"/>
      <c r="T448" s="371" t="n"/>
      <c r="U448" s="371" t="n"/>
      <c r="V448" s="371" t="n"/>
      <c r="W448" s="371" t="n"/>
      <c r="X448" s="371" t="n"/>
      <c r="Y448" s="371" t="n"/>
      <c r="Z448" s="372" t="n"/>
      <c r="AA448" s="372" t="n"/>
      <c r="AB448" s="371" t="n"/>
      <c r="AC448" s="371">
        <f>IF($B448="","",IF(AB448="Closed",IF(AA448="","",AA448-C448),TODAY()-C448))</f>
        <v/>
      </c>
      <c r="AD448" s="371" t="n"/>
    </row>
    <row r="449" ht="15" customHeight="1" s="15">
      <c r="A449" s="371">
        <f>IF($B449="","",ROW()-5)</f>
        <v/>
      </c>
      <c r="B449" s="371" t="n"/>
      <c r="C449" s="372" t="n"/>
      <c r="D449" s="371">
        <f>IF($B449="","",TEXT(C449,"MMM"))</f>
        <v/>
      </c>
      <c r="E449" s="371">
        <f>IF($B449="","","W"&amp;TEXT(WEEKNUM(C449,2),"00"))</f>
        <v/>
      </c>
      <c r="F449" s="371">
        <f>IF($B449="","","Q"&amp;(INT(MOD(MONTH(C449)-FY_Start+12,12)/3)+1))</f>
        <v/>
      </c>
      <c r="G449" s="371">
        <f>IF($B449="","","FY "&amp;IF(MONTH(C449)&gt;=FY_Start,YEAR(C449),YEAR(C449)-1)&amp;"-"&amp;RIGHT(IF(MONTH(C449)&gt;=FY_Start,YEAR(C449)+1,YEAR(C449)),2))</f>
        <v/>
      </c>
      <c r="H449" s="371" t="n"/>
      <c r="I449" s="371" t="n"/>
      <c r="J449" s="371" t="n"/>
      <c r="K449" s="371" t="n"/>
      <c r="L449" s="371" t="n"/>
      <c r="M449" s="371" t="n"/>
      <c r="N449" s="371" t="n"/>
      <c r="O449" s="371" t="n"/>
      <c r="P449" s="371" t="n"/>
      <c r="Q449" s="371" t="n"/>
      <c r="R449" s="371" t="n"/>
      <c r="S449" s="371" t="n"/>
      <c r="T449" s="371" t="n"/>
      <c r="U449" s="371" t="n"/>
      <c r="V449" s="371" t="n"/>
      <c r="W449" s="371" t="n"/>
      <c r="X449" s="371" t="n"/>
      <c r="Y449" s="371" t="n"/>
      <c r="Z449" s="372" t="n"/>
      <c r="AA449" s="372" t="n"/>
      <c r="AB449" s="371" t="n"/>
      <c r="AC449" s="371">
        <f>IF($B449="","",IF(AB449="Closed",IF(AA449="","",AA449-C449),TODAY()-C449))</f>
        <v/>
      </c>
      <c r="AD449" s="371" t="n"/>
    </row>
    <row r="450" ht="15" customHeight="1" s="15">
      <c r="A450" s="371">
        <f>IF($B450="","",ROW()-5)</f>
        <v/>
      </c>
      <c r="B450" s="371" t="n"/>
      <c r="C450" s="372" t="n"/>
      <c r="D450" s="371">
        <f>IF($B450="","",TEXT(C450,"MMM"))</f>
        <v/>
      </c>
      <c r="E450" s="371">
        <f>IF($B450="","","W"&amp;TEXT(WEEKNUM(C450,2),"00"))</f>
        <v/>
      </c>
      <c r="F450" s="371">
        <f>IF($B450="","","Q"&amp;(INT(MOD(MONTH(C450)-FY_Start+12,12)/3)+1))</f>
        <v/>
      </c>
      <c r="G450" s="371">
        <f>IF($B450="","","FY "&amp;IF(MONTH(C450)&gt;=FY_Start,YEAR(C450),YEAR(C450)-1)&amp;"-"&amp;RIGHT(IF(MONTH(C450)&gt;=FY_Start,YEAR(C450)+1,YEAR(C450)),2))</f>
        <v/>
      </c>
      <c r="H450" s="371" t="n"/>
      <c r="I450" s="371" t="n"/>
      <c r="J450" s="371" t="n"/>
      <c r="K450" s="371" t="n"/>
      <c r="L450" s="371" t="n"/>
      <c r="M450" s="371" t="n"/>
      <c r="N450" s="371" t="n"/>
      <c r="O450" s="371" t="n"/>
      <c r="P450" s="371" t="n"/>
      <c r="Q450" s="371" t="n"/>
      <c r="R450" s="371" t="n"/>
      <c r="S450" s="371" t="n"/>
      <c r="T450" s="371" t="n"/>
      <c r="U450" s="371" t="n"/>
      <c r="V450" s="371" t="n"/>
      <c r="W450" s="371" t="n"/>
      <c r="X450" s="371" t="n"/>
      <c r="Y450" s="371" t="n"/>
      <c r="Z450" s="372" t="n"/>
      <c r="AA450" s="372" t="n"/>
      <c r="AB450" s="371" t="n"/>
      <c r="AC450" s="371">
        <f>IF($B450="","",IF(AB450="Closed",IF(AA450="","",AA450-C450),TODAY()-C450))</f>
        <v/>
      </c>
      <c r="AD450" s="371" t="n"/>
    </row>
    <row r="451" ht="15" customHeight="1" s="15">
      <c r="A451" s="371">
        <f>IF($B451="","",ROW()-5)</f>
        <v/>
      </c>
      <c r="B451" s="371" t="n"/>
      <c r="C451" s="372" t="n"/>
      <c r="D451" s="371">
        <f>IF($B451="","",TEXT(C451,"MMM"))</f>
        <v/>
      </c>
      <c r="E451" s="371">
        <f>IF($B451="","","W"&amp;TEXT(WEEKNUM(C451,2),"00"))</f>
        <v/>
      </c>
      <c r="F451" s="371">
        <f>IF($B451="","","Q"&amp;(INT(MOD(MONTH(C451)-FY_Start+12,12)/3)+1))</f>
        <v/>
      </c>
      <c r="G451" s="371">
        <f>IF($B451="","","FY "&amp;IF(MONTH(C451)&gt;=FY_Start,YEAR(C451),YEAR(C451)-1)&amp;"-"&amp;RIGHT(IF(MONTH(C451)&gt;=FY_Start,YEAR(C451)+1,YEAR(C451)),2))</f>
        <v/>
      </c>
      <c r="H451" s="371" t="n"/>
      <c r="I451" s="371" t="n"/>
      <c r="J451" s="371" t="n"/>
      <c r="K451" s="371" t="n"/>
      <c r="L451" s="371" t="n"/>
      <c r="M451" s="371" t="n"/>
      <c r="N451" s="371" t="n"/>
      <c r="O451" s="371" t="n"/>
      <c r="P451" s="371" t="n"/>
      <c r="Q451" s="371" t="n"/>
      <c r="R451" s="371" t="n"/>
      <c r="S451" s="371" t="n"/>
      <c r="T451" s="371" t="n"/>
      <c r="U451" s="371" t="n"/>
      <c r="V451" s="371" t="n"/>
      <c r="W451" s="371" t="n"/>
      <c r="X451" s="371" t="n"/>
      <c r="Y451" s="371" t="n"/>
      <c r="Z451" s="372" t="n"/>
      <c r="AA451" s="372" t="n"/>
      <c r="AB451" s="371" t="n"/>
      <c r="AC451" s="371">
        <f>IF($B451="","",IF(AB451="Closed",IF(AA451="","",AA451-C451),TODAY()-C451))</f>
        <v/>
      </c>
      <c r="AD451" s="371" t="n"/>
    </row>
    <row r="452" ht="15" customHeight="1" s="15">
      <c r="A452" s="371">
        <f>IF($B452="","",ROW()-5)</f>
        <v/>
      </c>
      <c r="B452" s="371" t="n"/>
      <c r="C452" s="372" t="n"/>
      <c r="D452" s="371">
        <f>IF($B452="","",TEXT(C452,"MMM"))</f>
        <v/>
      </c>
      <c r="E452" s="371">
        <f>IF($B452="","","W"&amp;TEXT(WEEKNUM(C452,2),"00"))</f>
        <v/>
      </c>
      <c r="F452" s="371">
        <f>IF($B452="","","Q"&amp;(INT(MOD(MONTH(C452)-FY_Start+12,12)/3)+1))</f>
        <v/>
      </c>
      <c r="G452" s="371">
        <f>IF($B452="","","FY "&amp;IF(MONTH(C452)&gt;=FY_Start,YEAR(C452),YEAR(C452)-1)&amp;"-"&amp;RIGHT(IF(MONTH(C452)&gt;=FY_Start,YEAR(C452)+1,YEAR(C452)),2))</f>
        <v/>
      </c>
      <c r="H452" s="371" t="n"/>
      <c r="I452" s="371" t="n"/>
      <c r="J452" s="371" t="n"/>
      <c r="K452" s="371" t="n"/>
      <c r="L452" s="371" t="n"/>
      <c r="M452" s="371" t="n"/>
      <c r="N452" s="371" t="n"/>
      <c r="O452" s="371" t="n"/>
      <c r="P452" s="371" t="n"/>
      <c r="Q452" s="371" t="n"/>
      <c r="R452" s="371" t="n"/>
      <c r="S452" s="371" t="n"/>
      <c r="T452" s="371" t="n"/>
      <c r="U452" s="371" t="n"/>
      <c r="V452" s="371" t="n"/>
      <c r="W452" s="371" t="n"/>
      <c r="X452" s="371" t="n"/>
      <c r="Y452" s="371" t="n"/>
      <c r="Z452" s="372" t="n"/>
      <c r="AA452" s="372" t="n"/>
      <c r="AB452" s="371" t="n"/>
      <c r="AC452" s="371">
        <f>IF($B452="","",IF(AB452="Closed",IF(AA452="","",AA452-C452),TODAY()-C452))</f>
        <v/>
      </c>
      <c r="AD452" s="371" t="n"/>
    </row>
    <row r="453" ht="15" customHeight="1" s="15">
      <c r="A453" s="371">
        <f>IF($B453="","",ROW()-5)</f>
        <v/>
      </c>
      <c r="B453" s="371" t="n"/>
      <c r="C453" s="372" t="n"/>
      <c r="D453" s="371">
        <f>IF($B453="","",TEXT(C453,"MMM"))</f>
        <v/>
      </c>
      <c r="E453" s="371">
        <f>IF($B453="","","W"&amp;TEXT(WEEKNUM(C453,2),"00"))</f>
        <v/>
      </c>
      <c r="F453" s="371">
        <f>IF($B453="","","Q"&amp;(INT(MOD(MONTH(C453)-FY_Start+12,12)/3)+1))</f>
        <v/>
      </c>
      <c r="G453" s="371">
        <f>IF($B453="","","FY "&amp;IF(MONTH(C453)&gt;=FY_Start,YEAR(C453),YEAR(C453)-1)&amp;"-"&amp;RIGHT(IF(MONTH(C453)&gt;=FY_Start,YEAR(C453)+1,YEAR(C453)),2))</f>
        <v/>
      </c>
      <c r="H453" s="371" t="n"/>
      <c r="I453" s="371" t="n"/>
      <c r="J453" s="371" t="n"/>
      <c r="K453" s="371" t="n"/>
      <c r="L453" s="371" t="n"/>
      <c r="M453" s="371" t="n"/>
      <c r="N453" s="371" t="n"/>
      <c r="O453" s="371" t="n"/>
      <c r="P453" s="371" t="n"/>
      <c r="Q453" s="371" t="n"/>
      <c r="R453" s="371" t="n"/>
      <c r="S453" s="371" t="n"/>
      <c r="T453" s="371" t="n"/>
      <c r="U453" s="371" t="n"/>
      <c r="V453" s="371" t="n"/>
      <c r="W453" s="371" t="n"/>
      <c r="X453" s="371" t="n"/>
      <c r="Y453" s="371" t="n"/>
      <c r="Z453" s="372" t="n"/>
      <c r="AA453" s="372" t="n"/>
      <c r="AB453" s="371" t="n"/>
      <c r="AC453" s="371">
        <f>IF($B453="","",IF(AB453="Closed",IF(AA453="","",AA453-C453),TODAY()-C453))</f>
        <v/>
      </c>
      <c r="AD453" s="371" t="n"/>
    </row>
    <row r="454" ht="15" customHeight="1" s="15">
      <c r="A454" s="371">
        <f>IF($B454="","",ROW()-5)</f>
        <v/>
      </c>
      <c r="B454" s="371" t="n"/>
      <c r="C454" s="372" t="n"/>
      <c r="D454" s="371">
        <f>IF($B454="","",TEXT(C454,"MMM"))</f>
        <v/>
      </c>
      <c r="E454" s="371">
        <f>IF($B454="","","W"&amp;TEXT(WEEKNUM(C454,2),"00"))</f>
        <v/>
      </c>
      <c r="F454" s="371">
        <f>IF($B454="","","Q"&amp;(INT(MOD(MONTH(C454)-FY_Start+12,12)/3)+1))</f>
        <v/>
      </c>
      <c r="G454" s="371">
        <f>IF($B454="","","FY "&amp;IF(MONTH(C454)&gt;=FY_Start,YEAR(C454),YEAR(C454)-1)&amp;"-"&amp;RIGHT(IF(MONTH(C454)&gt;=FY_Start,YEAR(C454)+1,YEAR(C454)),2))</f>
        <v/>
      </c>
      <c r="H454" s="371" t="n"/>
      <c r="I454" s="371" t="n"/>
      <c r="J454" s="371" t="n"/>
      <c r="K454" s="371" t="n"/>
      <c r="L454" s="371" t="n"/>
      <c r="M454" s="371" t="n"/>
      <c r="N454" s="371" t="n"/>
      <c r="O454" s="371" t="n"/>
      <c r="P454" s="371" t="n"/>
      <c r="Q454" s="371" t="n"/>
      <c r="R454" s="371" t="n"/>
      <c r="S454" s="371" t="n"/>
      <c r="T454" s="371" t="n"/>
      <c r="U454" s="371" t="n"/>
      <c r="V454" s="371" t="n"/>
      <c r="W454" s="371" t="n"/>
      <c r="X454" s="371" t="n"/>
      <c r="Y454" s="371" t="n"/>
      <c r="Z454" s="372" t="n"/>
      <c r="AA454" s="372" t="n"/>
      <c r="AB454" s="371" t="n"/>
      <c r="AC454" s="371">
        <f>IF($B454="","",IF(AB454="Closed",IF(AA454="","",AA454-C454),TODAY()-C454))</f>
        <v/>
      </c>
      <c r="AD454" s="371" t="n"/>
    </row>
    <row r="455" ht="15" customHeight="1" s="15">
      <c r="A455" s="371">
        <f>IF($B455="","",ROW()-5)</f>
        <v/>
      </c>
      <c r="B455" s="371" t="n"/>
      <c r="C455" s="372" t="n"/>
      <c r="D455" s="371">
        <f>IF($B455="","",TEXT(C455,"MMM"))</f>
        <v/>
      </c>
      <c r="E455" s="371">
        <f>IF($B455="","","W"&amp;TEXT(WEEKNUM(C455,2),"00"))</f>
        <v/>
      </c>
      <c r="F455" s="371">
        <f>IF($B455="","","Q"&amp;(INT(MOD(MONTH(C455)-FY_Start+12,12)/3)+1))</f>
        <v/>
      </c>
      <c r="G455" s="371">
        <f>IF($B455="","","FY "&amp;IF(MONTH(C455)&gt;=FY_Start,YEAR(C455),YEAR(C455)-1)&amp;"-"&amp;RIGHT(IF(MONTH(C455)&gt;=FY_Start,YEAR(C455)+1,YEAR(C455)),2))</f>
        <v/>
      </c>
      <c r="H455" s="371" t="n"/>
      <c r="I455" s="371" t="n"/>
      <c r="J455" s="371" t="n"/>
      <c r="K455" s="371" t="n"/>
      <c r="L455" s="371" t="n"/>
      <c r="M455" s="371" t="n"/>
      <c r="N455" s="371" t="n"/>
      <c r="O455" s="371" t="n"/>
      <c r="P455" s="371" t="n"/>
      <c r="Q455" s="371" t="n"/>
      <c r="R455" s="371" t="n"/>
      <c r="S455" s="371" t="n"/>
      <c r="T455" s="371" t="n"/>
      <c r="U455" s="371" t="n"/>
      <c r="V455" s="371" t="n"/>
      <c r="W455" s="371" t="n"/>
      <c r="X455" s="371" t="n"/>
      <c r="Y455" s="371" t="n"/>
      <c r="Z455" s="372" t="n"/>
      <c r="AA455" s="372" t="n"/>
      <c r="AB455" s="371" t="n"/>
      <c r="AC455" s="371">
        <f>IF($B455="","",IF(AB455="Closed",IF(AA455="","",AA455-C455),TODAY()-C455))</f>
        <v/>
      </c>
      <c r="AD455" s="371" t="n"/>
    </row>
    <row r="456" ht="15" customHeight="1" s="15">
      <c r="A456" s="371">
        <f>IF($B456="","",ROW()-5)</f>
        <v/>
      </c>
      <c r="B456" s="371" t="n"/>
      <c r="C456" s="372" t="n"/>
      <c r="D456" s="371">
        <f>IF($B456="","",TEXT(C456,"MMM"))</f>
        <v/>
      </c>
      <c r="E456" s="371">
        <f>IF($B456="","","W"&amp;TEXT(WEEKNUM(C456,2),"00"))</f>
        <v/>
      </c>
      <c r="F456" s="371">
        <f>IF($B456="","","Q"&amp;(INT(MOD(MONTH(C456)-FY_Start+12,12)/3)+1))</f>
        <v/>
      </c>
      <c r="G456" s="371">
        <f>IF($B456="","","FY "&amp;IF(MONTH(C456)&gt;=FY_Start,YEAR(C456),YEAR(C456)-1)&amp;"-"&amp;RIGHT(IF(MONTH(C456)&gt;=FY_Start,YEAR(C456)+1,YEAR(C456)),2))</f>
        <v/>
      </c>
      <c r="H456" s="371" t="n"/>
      <c r="I456" s="371" t="n"/>
      <c r="J456" s="371" t="n"/>
      <c r="K456" s="371" t="n"/>
      <c r="L456" s="371" t="n"/>
      <c r="M456" s="371" t="n"/>
      <c r="N456" s="371" t="n"/>
      <c r="O456" s="371" t="n"/>
      <c r="P456" s="371" t="n"/>
      <c r="Q456" s="371" t="n"/>
      <c r="R456" s="371" t="n"/>
      <c r="S456" s="371" t="n"/>
      <c r="T456" s="371" t="n"/>
      <c r="U456" s="371" t="n"/>
      <c r="V456" s="371" t="n"/>
      <c r="W456" s="371" t="n"/>
      <c r="X456" s="371" t="n"/>
      <c r="Y456" s="371" t="n"/>
      <c r="Z456" s="372" t="n"/>
      <c r="AA456" s="372" t="n"/>
      <c r="AB456" s="371" t="n"/>
      <c r="AC456" s="371">
        <f>IF($B456="","",IF(AB456="Closed",IF(AA456="","",AA456-C456),TODAY()-C456))</f>
        <v/>
      </c>
      <c r="AD456" s="371" t="n"/>
    </row>
    <row r="457" ht="15" customHeight="1" s="15">
      <c r="A457" s="371">
        <f>IF($B457="","",ROW()-5)</f>
        <v/>
      </c>
      <c r="B457" s="371" t="n"/>
      <c r="C457" s="372" t="n"/>
      <c r="D457" s="371">
        <f>IF($B457="","",TEXT(C457,"MMM"))</f>
        <v/>
      </c>
      <c r="E457" s="371">
        <f>IF($B457="","","W"&amp;TEXT(WEEKNUM(C457,2),"00"))</f>
        <v/>
      </c>
      <c r="F457" s="371">
        <f>IF($B457="","","Q"&amp;(INT(MOD(MONTH(C457)-FY_Start+12,12)/3)+1))</f>
        <v/>
      </c>
      <c r="G457" s="371">
        <f>IF($B457="","","FY "&amp;IF(MONTH(C457)&gt;=FY_Start,YEAR(C457),YEAR(C457)-1)&amp;"-"&amp;RIGHT(IF(MONTH(C457)&gt;=FY_Start,YEAR(C457)+1,YEAR(C457)),2))</f>
        <v/>
      </c>
      <c r="H457" s="371" t="n"/>
      <c r="I457" s="371" t="n"/>
      <c r="J457" s="371" t="n"/>
      <c r="K457" s="371" t="n"/>
      <c r="L457" s="371" t="n"/>
      <c r="M457" s="371" t="n"/>
      <c r="N457" s="371" t="n"/>
      <c r="O457" s="371" t="n"/>
      <c r="P457" s="371" t="n"/>
      <c r="Q457" s="371" t="n"/>
      <c r="R457" s="371" t="n"/>
      <c r="S457" s="371" t="n"/>
      <c r="T457" s="371" t="n"/>
      <c r="U457" s="371" t="n"/>
      <c r="V457" s="371" t="n"/>
      <c r="W457" s="371" t="n"/>
      <c r="X457" s="371" t="n"/>
      <c r="Y457" s="371" t="n"/>
      <c r="Z457" s="372" t="n"/>
      <c r="AA457" s="372" t="n"/>
      <c r="AB457" s="371" t="n"/>
      <c r="AC457" s="371">
        <f>IF($B457="","",IF(AB457="Closed",IF(AA457="","",AA457-C457),TODAY()-C457))</f>
        <v/>
      </c>
      <c r="AD457" s="371" t="n"/>
    </row>
    <row r="458" ht="15" customHeight="1" s="15">
      <c r="A458" s="371">
        <f>IF($B458="","",ROW()-5)</f>
        <v/>
      </c>
      <c r="B458" s="371" t="n"/>
      <c r="C458" s="372" t="n"/>
      <c r="D458" s="371">
        <f>IF($B458="","",TEXT(C458,"MMM"))</f>
        <v/>
      </c>
      <c r="E458" s="371">
        <f>IF($B458="","","W"&amp;TEXT(WEEKNUM(C458,2),"00"))</f>
        <v/>
      </c>
      <c r="F458" s="371">
        <f>IF($B458="","","Q"&amp;(INT(MOD(MONTH(C458)-FY_Start+12,12)/3)+1))</f>
        <v/>
      </c>
      <c r="G458" s="371">
        <f>IF($B458="","","FY "&amp;IF(MONTH(C458)&gt;=FY_Start,YEAR(C458),YEAR(C458)-1)&amp;"-"&amp;RIGHT(IF(MONTH(C458)&gt;=FY_Start,YEAR(C458)+1,YEAR(C458)),2))</f>
        <v/>
      </c>
      <c r="H458" s="371" t="n"/>
      <c r="I458" s="371" t="n"/>
      <c r="J458" s="371" t="n"/>
      <c r="K458" s="371" t="n"/>
      <c r="L458" s="371" t="n"/>
      <c r="M458" s="371" t="n"/>
      <c r="N458" s="371" t="n"/>
      <c r="O458" s="371" t="n"/>
      <c r="P458" s="371" t="n"/>
      <c r="Q458" s="371" t="n"/>
      <c r="R458" s="371" t="n"/>
      <c r="S458" s="371" t="n"/>
      <c r="T458" s="371" t="n"/>
      <c r="U458" s="371" t="n"/>
      <c r="V458" s="371" t="n"/>
      <c r="W458" s="371" t="n"/>
      <c r="X458" s="371" t="n"/>
      <c r="Y458" s="371" t="n"/>
      <c r="Z458" s="372" t="n"/>
      <c r="AA458" s="372" t="n"/>
      <c r="AB458" s="371" t="n"/>
      <c r="AC458" s="371">
        <f>IF($B458="","",IF(AB458="Closed",IF(AA458="","",AA458-C458),TODAY()-C458))</f>
        <v/>
      </c>
      <c r="AD458" s="371" t="n"/>
    </row>
    <row r="459" ht="15" customHeight="1" s="15">
      <c r="A459" s="371">
        <f>IF($B459="","",ROW()-5)</f>
        <v/>
      </c>
      <c r="B459" s="371" t="n"/>
      <c r="C459" s="372" t="n"/>
      <c r="D459" s="371">
        <f>IF($B459="","",TEXT(C459,"MMM"))</f>
        <v/>
      </c>
      <c r="E459" s="371">
        <f>IF($B459="","","W"&amp;TEXT(WEEKNUM(C459,2),"00"))</f>
        <v/>
      </c>
      <c r="F459" s="371">
        <f>IF($B459="","","Q"&amp;(INT(MOD(MONTH(C459)-FY_Start+12,12)/3)+1))</f>
        <v/>
      </c>
      <c r="G459" s="371">
        <f>IF($B459="","","FY "&amp;IF(MONTH(C459)&gt;=FY_Start,YEAR(C459),YEAR(C459)-1)&amp;"-"&amp;RIGHT(IF(MONTH(C459)&gt;=FY_Start,YEAR(C459)+1,YEAR(C459)),2))</f>
        <v/>
      </c>
      <c r="H459" s="371" t="n"/>
      <c r="I459" s="371" t="n"/>
      <c r="J459" s="371" t="n"/>
      <c r="K459" s="371" t="n"/>
      <c r="L459" s="371" t="n"/>
      <c r="M459" s="371" t="n"/>
      <c r="N459" s="371" t="n"/>
      <c r="O459" s="371" t="n"/>
      <c r="P459" s="371" t="n"/>
      <c r="Q459" s="371" t="n"/>
      <c r="R459" s="371" t="n"/>
      <c r="S459" s="371" t="n"/>
      <c r="T459" s="371" t="n"/>
      <c r="U459" s="371" t="n"/>
      <c r="V459" s="371" t="n"/>
      <c r="W459" s="371" t="n"/>
      <c r="X459" s="371" t="n"/>
      <c r="Y459" s="371" t="n"/>
      <c r="Z459" s="372" t="n"/>
      <c r="AA459" s="372" t="n"/>
      <c r="AB459" s="371" t="n"/>
      <c r="AC459" s="371">
        <f>IF($B459="","",IF(AB459="Closed",IF(AA459="","",AA459-C459),TODAY()-C459))</f>
        <v/>
      </c>
      <c r="AD459" s="371" t="n"/>
    </row>
    <row r="460" ht="15" customHeight="1" s="15">
      <c r="A460" s="371">
        <f>IF($B460="","",ROW()-5)</f>
        <v/>
      </c>
      <c r="B460" s="371" t="n"/>
      <c r="C460" s="372" t="n"/>
      <c r="D460" s="371">
        <f>IF($B460="","",TEXT(C460,"MMM"))</f>
        <v/>
      </c>
      <c r="E460" s="371">
        <f>IF($B460="","","W"&amp;TEXT(WEEKNUM(C460,2),"00"))</f>
        <v/>
      </c>
      <c r="F460" s="371">
        <f>IF($B460="","","Q"&amp;(INT(MOD(MONTH(C460)-FY_Start+12,12)/3)+1))</f>
        <v/>
      </c>
      <c r="G460" s="371">
        <f>IF($B460="","","FY "&amp;IF(MONTH(C460)&gt;=FY_Start,YEAR(C460),YEAR(C460)-1)&amp;"-"&amp;RIGHT(IF(MONTH(C460)&gt;=FY_Start,YEAR(C460)+1,YEAR(C460)),2))</f>
        <v/>
      </c>
      <c r="H460" s="371" t="n"/>
      <c r="I460" s="371" t="n"/>
      <c r="J460" s="371" t="n"/>
      <c r="K460" s="371" t="n"/>
      <c r="L460" s="371" t="n"/>
      <c r="M460" s="371" t="n"/>
      <c r="N460" s="371" t="n"/>
      <c r="O460" s="371" t="n"/>
      <c r="P460" s="371" t="n"/>
      <c r="Q460" s="371" t="n"/>
      <c r="R460" s="371" t="n"/>
      <c r="S460" s="371" t="n"/>
      <c r="T460" s="371" t="n"/>
      <c r="U460" s="371" t="n"/>
      <c r="V460" s="371" t="n"/>
      <c r="W460" s="371" t="n"/>
      <c r="X460" s="371" t="n"/>
      <c r="Y460" s="371" t="n"/>
      <c r="Z460" s="372" t="n"/>
      <c r="AA460" s="372" t="n"/>
      <c r="AB460" s="371" t="n"/>
      <c r="AC460" s="371">
        <f>IF($B460="","",IF(AB460="Closed",IF(AA460="","",AA460-C460),TODAY()-C460))</f>
        <v/>
      </c>
      <c r="AD460" s="371" t="n"/>
    </row>
    <row r="461" ht="15" customHeight="1" s="15">
      <c r="A461" s="371">
        <f>IF($B461="","",ROW()-5)</f>
        <v/>
      </c>
      <c r="B461" s="371" t="n"/>
      <c r="C461" s="372" t="n"/>
      <c r="D461" s="371">
        <f>IF($B461="","",TEXT(C461,"MMM"))</f>
        <v/>
      </c>
      <c r="E461" s="371">
        <f>IF($B461="","","W"&amp;TEXT(WEEKNUM(C461,2),"00"))</f>
        <v/>
      </c>
      <c r="F461" s="371">
        <f>IF($B461="","","Q"&amp;(INT(MOD(MONTH(C461)-FY_Start+12,12)/3)+1))</f>
        <v/>
      </c>
      <c r="G461" s="371">
        <f>IF($B461="","","FY "&amp;IF(MONTH(C461)&gt;=FY_Start,YEAR(C461),YEAR(C461)-1)&amp;"-"&amp;RIGHT(IF(MONTH(C461)&gt;=FY_Start,YEAR(C461)+1,YEAR(C461)),2))</f>
        <v/>
      </c>
      <c r="H461" s="371" t="n"/>
      <c r="I461" s="371" t="n"/>
      <c r="J461" s="371" t="n"/>
      <c r="K461" s="371" t="n"/>
      <c r="L461" s="371" t="n"/>
      <c r="M461" s="371" t="n"/>
      <c r="N461" s="371" t="n"/>
      <c r="O461" s="371" t="n"/>
      <c r="P461" s="371" t="n"/>
      <c r="Q461" s="371" t="n"/>
      <c r="R461" s="371" t="n"/>
      <c r="S461" s="371" t="n"/>
      <c r="T461" s="371" t="n"/>
      <c r="U461" s="371" t="n"/>
      <c r="V461" s="371" t="n"/>
      <c r="W461" s="371" t="n"/>
      <c r="X461" s="371" t="n"/>
      <c r="Y461" s="371" t="n"/>
      <c r="Z461" s="372" t="n"/>
      <c r="AA461" s="372" t="n"/>
      <c r="AB461" s="371" t="n"/>
      <c r="AC461" s="371">
        <f>IF($B461="","",IF(AB461="Closed",IF(AA461="","",AA461-C461),TODAY()-C461))</f>
        <v/>
      </c>
      <c r="AD461" s="371" t="n"/>
    </row>
    <row r="462" ht="15" customHeight="1" s="15">
      <c r="A462" s="371">
        <f>IF($B462="","",ROW()-5)</f>
        <v/>
      </c>
      <c r="B462" s="371" t="n"/>
      <c r="C462" s="372" t="n"/>
      <c r="D462" s="371">
        <f>IF($B462="","",TEXT(C462,"MMM"))</f>
        <v/>
      </c>
      <c r="E462" s="371">
        <f>IF($B462="","","W"&amp;TEXT(WEEKNUM(C462,2),"00"))</f>
        <v/>
      </c>
      <c r="F462" s="371">
        <f>IF($B462="","","Q"&amp;(INT(MOD(MONTH(C462)-FY_Start+12,12)/3)+1))</f>
        <v/>
      </c>
      <c r="G462" s="371">
        <f>IF($B462="","","FY "&amp;IF(MONTH(C462)&gt;=FY_Start,YEAR(C462),YEAR(C462)-1)&amp;"-"&amp;RIGHT(IF(MONTH(C462)&gt;=FY_Start,YEAR(C462)+1,YEAR(C462)),2))</f>
        <v/>
      </c>
      <c r="H462" s="371" t="n"/>
      <c r="I462" s="371" t="n"/>
      <c r="J462" s="371" t="n"/>
      <c r="K462" s="371" t="n"/>
      <c r="L462" s="371" t="n"/>
      <c r="M462" s="371" t="n"/>
      <c r="N462" s="371" t="n"/>
      <c r="O462" s="371" t="n"/>
      <c r="P462" s="371" t="n"/>
      <c r="Q462" s="371" t="n"/>
      <c r="R462" s="371" t="n"/>
      <c r="S462" s="371" t="n"/>
      <c r="T462" s="371" t="n"/>
      <c r="U462" s="371" t="n"/>
      <c r="V462" s="371" t="n"/>
      <c r="W462" s="371" t="n"/>
      <c r="X462" s="371" t="n"/>
      <c r="Y462" s="371" t="n"/>
      <c r="Z462" s="372" t="n"/>
      <c r="AA462" s="372" t="n"/>
      <c r="AB462" s="371" t="n"/>
      <c r="AC462" s="371">
        <f>IF($B462="","",IF(AB462="Closed",IF(AA462="","",AA462-C462),TODAY()-C462))</f>
        <v/>
      </c>
      <c r="AD462" s="371" t="n"/>
    </row>
    <row r="463" ht="15" customHeight="1" s="15">
      <c r="A463" s="371">
        <f>IF($B463="","",ROW()-5)</f>
        <v/>
      </c>
      <c r="B463" s="371" t="n"/>
      <c r="C463" s="372" t="n"/>
      <c r="D463" s="371">
        <f>IF($B463="","",TEXT(C463,"MMM"))</f>
        <v/>
      </c>
      <c r="E463" s="371">
        <f>IF($B463="","","W"&amp;TEXT(WEEKNUM(C463,2),"00"))</f>
        <v/>
      </c>
      <c r="F463" s="371">
        <f>IF($B463="","","Q"&amp;(INT(MOD(MONTH(C463)-FY_Start+12,12)/3)+1))</f>
        <v/>
      </c>
      <c r="G463" s="371">
        <f>IF($B463="","","FY "&amp;IF(MONTH(C463)&gt;=FY_Start,YEAR(C463),YEAR(C463)-1)&amp;"-"&amp;RIGHT(IF(MONTH(C463)&gt;=FY_Start,YEAR(C463)+1,YEAR(C463)),2))</f>
        <v/>
      </c>
      <c r="H463" s="371" t="n"/>
      <c r="I463" s="371" t="n"/>
      <c r="J463" s="371" t="n"/>
      <c r="K463" s="371" t="n"/>
      <c r="L463" s="371" t="n"/>
      <c r="M463" s="371" t="n"/>
      <c r="N463" s="371" t="n"/>
      <c r="O463" s="371" t="n"/>
      <c r="P463" s="371" t="n"/>
      <c r="Q463" s="371" t="n"/>
      <c r="R463" s="371" t="n"/>
      <c r="S463" s="371" t="n"/>
      <c r="T463" s="371" t="n"/>
      <c r="U463" s="371" t="n"/>
      <c r="V463" s="371" t="n"/>
      <c r="W463" s="371" t="n"/>
      <c r="X463" s="371" t="n"/>
      <c r="Y463" s="371" t="n"/>
      <c r="Z463" s="372" t="n"/>
      <c r="AA463" s="372" t="n"/>
      <c r="AB463" s="371" t="n"/>
      <c r="AC463" s="371">
        <f>IF($B463="","",IF(AB463="Closed",IF(AA463="","",AA463-C463),TODAY()-C463))</f>
        <v/>
      </c>
      <c r="AD463" s="371" t="n"/>
    </row>
    <row r="464" ht="15" customHeight="1" s="15">
      <c r="A464" s="371">
        <f>IF($B464="","",ROW()-5)</f>
        <v/>
      </c>
      <c r="B464" s="371" t="n"/>
      <c r="C464" s="372" t="n"/>
      <c r="D464" s="371">
        <f>IF($B464="","",TEXT(C464,"MMM"))</f>
        <v/>
      </c>
      <c r="E464" s="371">
        <f>IF($B464="","","W"&amp;TEXT(WEEKNUM(C464,2),"00"))</f>
        <v/>
      </c>
      <c r="F464" s="371">
        <f>IF($B464="","","Q"&amp;(INT(MOD(MONTH(C464)-FY_Start+12,12)/3)+1))</f>
        <v/>
      </c>
      <c r="G464" s="371">
        <f>IF($B464="","","FY "&amp;IF(MONTH(C464)&gt;=FY_Start,YEAR(C464),YEAR(C464)-1)&amp;"-"&amp;RIGHT(IF(MONTH(C464)&gt;=FY_Start,YEAR(C464)+1,YEAR(C464)),2))</f>
        <v/>
      </c>
      <c r="H464" s="371" t="n"/>
      <c r="I464" s="371" t="n"/>
      <c r="J464" s="371" t="n"/>
      <c r="K464" s="371" t="n"/>
      <c r="L464" s="371" t="n"/>
      <c r="M464" s="371" t="n"/>
      <c r="N464" s="371" t="n"/>
      <c r="O464" s="371" t="n"/>
      <c r="P464" s="371" t="n"/>
      <c r="Q464" s="371" t="n"/>
      <c r="R464" s="371" t="n"/>
      <c r="S464" s="371" t="n"/>
      <c r="T464" s="371" t="n"/>
      <c r="U464" s="371" t="n"/>
      <c r="V464" s="371" t="n"/>
      <c r="W464" s="371" t="n"/>
      <c r="X464" s="371" t="n"/>
      <c r="Y464" s="371" t="n"/>
      <c r="Z464" s="372" t="n"/>
      <c r="AA464" s="372" t="n"/>
      <c r="AB464" s="371" t="n"/>
      <c r="AC464" s="371">
        <f>IF($B464="","",IF(AB464="Closed",IF(AA464="","",AA464-C464),TODAY()-C464))</f>
        <v/>
      </c>
      <c r="AD464" s="371" t="n"/>
    </row>
    <row r="465" ht="15" customHeight="1" s="15">
      <c r="A465" s="371">
        <f>IF($B465="","",ROW()-5)</f>
        <v/>
      </c>
      <c r="B465" s="371" t="n"/>
      <c r="C465" s="372" t="n"/>
      <c r="D465" s="371">
        <f>IF($B465="","",TEXT(C465,"MMM"))</f>
        <v/>
      </c>
      <c r="E465" s="371">
        <f>IF($B465="","","W"&amp;TEXT(WEEKNUM(C465,2),"00"))</f>
        <v/>
      </c>
      <c r="F465" s="371">
        <f>IF($B465="","","Q"&amp;(INT(MOD(MONTH(C465)-FY_Start+12,12)/3)+1))</f>
        <v/>
      </c>
      <c r="G465" s="371">
        <f>IF($B465="","","FY "&amp;IF(MONTH(C465)&gt;=FY_Start,YEAR(C465),YEAR(C465)-1)&amp;"-"&amp;RIGHT(IF(MONTH(C465)&gt;=FY_Start,YEAR(C465)+1,YEAR(C465)),2))</f>
        <v/>
      </c>
      <c r="H465" s="371" t="n"/>
      <c r="I465" s="371" t="n"/>
      <c r="J465" s="371" t="n"/>
      <c r="K465" s="371" t="n"/>
      <c r="L465" s="371" t="n"/>
      <c r="M465" s="371" t="n"/>
      <c r="N465" s="371" t="n"/>
      <c r="O465" s="371" t="n"/>
      <c r="P465" s="371" t="n"/>
      <c r="Q465" s="371" t="n"/>
      <c r="R465" s="371" t="n"/>
      <c r="S465" s="371" t="n"/>
      <c r="T465" s="371" t="n"/>
      <c r="U465" s="371" t="n"/>
      <c r="V465" s="371" t="n"/>
      <c r="W465" s="371" t="n"/>
      <c r="X465" s="371" t="n"/>
      <c r="Y465" s="371" t="n"/>
      <c r="Z465" s="372" t="n"/>
      <c r="AA465" s="372" t="n"/>
      <c r="AB465" s="371" t="n"/>
      <c r="AC465" s="371">
        <f>IF($B465="","",IF(AB465="Closed",IF(AA465="","",AA465-C465),TODAY()-C465))</f>
        <v/>
      </c>
      <c r="AD465" s="371" t="n"/>
    </row>
    <row r="466" ht="15" customHeight="1" s="15">
      <c r="A466" s="371">
        <f>IF($B466="","",ROW()-5)</f>
        <v/>
      </c>
      <c r="B466" s="371" t="n"/>
      <c r="C466" s="372" t="n"/>
      <c r="D466" s="371">
        <f>IF($B466="","",TEXT(C466,"MMM"))</f>
        <v/>
      </c>
      <c r="E466" s="371">
        <f>IF($B466="","","W"&amp;TEXT(WEEKNUM(C466,2),"00"))</f>
        <v/>
      </c>
      <c r="F466" s="371">
        <f>IF($B466="","","Q"&amp;(INT(MOD(MONTH(C466)-FY_Start+12,12)/3)+1))</f>
        <v/>
      </c>
      <c r="G466" s="371">
        <f>IF($B466="","","FY "&amp;IF(MONTH(C466)&gt;=FY_Start,YEAR(C466),YEAR(C466)-1)&amp;"-"&amp;RIGHT(IF(MONTH(C466)&gt;=FY_Start,YEAR(C466)+1,YEAR(C466)),2))</f>
        <v/>
      </c>
      <c r="H466" s="371" t="n"/>
      <c r="I466" s="371" t="n"/>
      <c r="J466" s="371" t="n"/>
      <c r="K466" s="371" t="n"/>
      <c r="L466" s="371" t="n"/>
      <c r="M466" s="371" t="n"/>
      <c r="N466" s="371" t="n"/>
      <c r="O466" s="371" t="n"/>
      <c r="P466" s="371" t="n"/>
      <c r="Q466" s="371" t="n"/>
      <c r="R466" s="371" t="n"/>
      <c r="S466" s="371" t="n"/>
      <c r="T466" s="371" t="n"/>
      <c r="U466" s="371" t="n"/>
      <c r="V466" s="371" t="n"/>
      <c r="W466" s="371" t="n"/>
      <c r="X466" s="371" t="n"/>
      <c r="Y466" s="371" t="n"/>
      <c r="Z466" s="372" t="n"/>
      <c r="AA466" s="372" t="n"/>
      <c r="AB466" s="371" t="n"/>
      <c r="AC466" s="371">
        <f>IF($B466="","",IF(AB466="Closed",IF(AA466="","",AA466-C466),TODAY()-C466))</f>
        <v/>
      </c>
      <c r="AD466" s="371" t="n"/>
    </row>
    <row r="467" ht="15" customHeight="1" s="15">
      <c r="A467" s="371">
        <f>IF($B467="","",ROW()-5)</f>
        <v/>
      </c>
      <c r="B467" s="371" t="n"/>
      <c r="C467" s="372" t="n"/>
      <c r="D467" s="371">
        <f>IF($B467="","",TEXT(C467,"MMM"))</f>
        <v/>
      </c>
      <c r="E467" s="371">
        <f>IF($B467="","","W"&amp;TEXT(WEEKNUM(C467,2),"00"))</f>
        <v/>
      </c>
      <c r="F467" s="371">
        <f>IF($B467="","","Q"&amp;(INT(MOD(MONTH(C467)-FY_Start+12,12)/3)+1))</f>
        <v/>
      </c>
      <c r="G467" s="371">
        <f>IF($B467="","","FY "&amp;IF(MONTH(C467)&gt;=FY_Start,YEAR(C467),YEAR(C467)-1)&amp;"-"&amp;RIGHT(IF(MONTH(C467)&gt;=FY_Start,YEAR(C467)+1,YEAR(C467)),2))</f>
        <v/>
      </c>
      <c r="H467" s="371" t="n"/>
      <c r="I467" s="371" t="n"/>
      <c r="J467" s="371" t="n"/>
      <c r="K467" s="371" t="n"/>
      <c r="L467" s="371" t="n"/>
      <c r="M467" s="371" t="n"/>
      <c r="N467" s="371" t="n"/>
      <c r="O467" s="371" t="n"/>
      <c r="P467" s="371" t="n"/>
      <c r="Q467" s="371" t="n"/>
      <c r="R467" s="371" t="n"/>
      <c r="S467" s="371" t="n"/>
      <c r="T467" s="371" t="n"/>
      <c r="U467" s="371" t="n"/>
      <c r="V467" s="371" t="n"/>
      <c r="W467" s="371" t="n"/>
      <c r="X467" s="371" t="n"/>
      <c r="Y467" s="371" t="n"/>
      <c r="Z467" s="372" t="n"/>
      <c r="AA467" s="372" t="n"/>
      <c r="AB467" s="371" t="n"/>
      <c r="AC467" s="371">
        <f>IF($B467="","",IF(AB467="Closed",IF(AA467="","",AA467-C467),TODAY()-C467))</f>
        <v/>
      </c>
      <c r="AD467" s="371" t="n"/>
    </row>
    <row r="468" ht="15" customHeight="1" s="15">
      <c r="A468" s="371">
        <f>IF($B468="","",ROW()-5)</f>
        <v/>
      </c>
      <c r="B468" s="371" t="n"/>
      <c r="C468" s="372" t="n"/>
      <c r="D468" s="371">
        <f>IF($B468="","",TEXT(C468,"MMM"))</f>
        <v/>
      </c>
      <c r="E468" s="371">
        <f>IF($B468="","","W"&amp;TEXT(WEEKNUM(C468,2),"00"))</f>
        <v/>
      </c>
      <c r="F468" s="371">
        <f>IF($B468="","","Q"&amp;(INT(MOD(MONTH(C468)-FY_Start+12,12)/3)+1))</f>
        <v/>
      </c>
      <c r="G468" s="371">
        <f>IF($B468="","","FY "&amp;IF(MONTH(C468)&gt;=FY_Start,YEAR(C468),YEAR(C468)-1)&amp;"-"&amp;RIGHT(IF(MONTH(C468)&gt;=FY_Start,YEAR(C468)+1,YEAR(C468)),2))</f>
        <v/>
      </c>
      <c r="H468" s="371" t="n"/>
      <c r="I468" s="371" t="n"/>
      <c r="J468" s="371" t="n"/>
      <c r="K468" s="371" t="n"/>
      <c r="L468" s="371" t="n"/>
      <c r="M468" s="371" t="n"/>
      <c r="N468" s="371" t="n"/>
      <c r="O468" s="371" t="n"/>
      <c r="P468" s="371" t="n"/>
      <c r="Q468" s="371" t="n"/>
      <c r="R468" s="371" t="n"/>
      <c r="S468" s="371" t="n"/>
      <c r="T468" s="371" t="n"/>
      <c r="U468" s="371" t="n"/>
      <c r="V468" s="371" t="n"/>
      <c r="W468" s="371" t="n"/>
      <c r="X468" s="371" t="n"/>
      <c r="Y468" s="371" t="n"/>
      <c r="Z468" s="372" t="n"/>
      <c r="AA468" s="372" t="n"/>
      <c r="AB468" s="371" t="n"/>
      <c r="AC468" s="371">
        <f>IF($B468="","",IF(AB468="Closed",IF(AA468="","",AA468-C468),TODAY()-C468))</f>
        <v/>
      </c>
      <c r="AD468" s="371" t="n"/>
    </row>
    <row r="469" ht="15" customHeight="1" s="15">
      <c r="A469" s="371">
        <f>IF($B469="","",ROW()-5)</f>
        <v/>
      </c>
      <c r="B469" s="371" t="n"/>
      <c r="C469" s="372" t="n"/>
      <c r="D469" s="371">
        <f>IF($B469="","",TEXT(C469,"MMM"))</f>
        <v/>
      </c>
      <c r="E469" s="371">
        <f>IF($B469="","","W"&amp;TEXT(WEEKNUM(C469,2),"00"))</f>
        <v/>
      </c>
      <c r="F469" s="371">
        <f>IF($B469="","","Q"&amp;(INT(MOD(MONTH(C469)-FY_Start+12,12)/3)+1))</f>
        <v/>
      </c>
      <c r="G469" s="371">
        <f>IF($B469="","","FY "&amp;IF(MONTH(C469)&gt;=FY_Start,YEAR(C469),YEAR(C469)-1)&amp;"-"&amp;RIGHT(IF(MONTH(C469)&gt;=FY_Start,YEAR(C469)+1,YEAR(C469)),2))</f>
        <v/>
      </c>
      <c r="H469" s="371" t="n"/>
      <c r="I469" s="371" t="n"/>
      <c r="J469" s="371" t="n"/>
      <c r="K469" s="371" t="n"/>
      <c r="L469" s="371" t="n"/>
      <c r="M469" s="371" t="n"/>
      <c r="N469" s="371" t="n"/>
      <c r="O469" s="371" t="n"/>
      <c r="P469" s="371" t="n"/>
      <c r="Q469" s="371" t="n"/>
      <c r="R469" s="371" t="n"/>
      <c r="S469" s="371" t="n"/>
      <c r="T469" s="371" t="n"/>
      <c r="U469" s="371" t="n"/>
      <c r="V469" s="371" t="n"/>
      <c r="W469" s="371" t="n"/>
      <c r="X469" s="371" t="n"/>
      <c r="Y469" s="371" t="n"/>
      <c r="Z469" s="372" t="n"/>
      <c r="AA469" s="372" t="n"/>
      <c r="AB469" s="371" t="n"/>
      <c r="AC469" s="371">
        <f>IF($B469="","",IF(AB469="Closed",IF(AA469="","",AA469-C469),TODAY()-C469))</f>
        <v/>
      </c>
      <c r="AD469" s="371" t="n"/>
    </row>
    <row r="470" ht="15" customHeight="1" s="15">
      <c r="A470" s="371">
        <f>IF($B470="","",ROW()-5)</f>
        <v/>
      </c>
      <c r="B470" s="371" t="n"/>
      <c r="C470" s="372" t="n"/>
      <c r="D470" s="371">
        <f>IF($B470="","",TEXT(C470,"MMM"))</f>
        <v/>
      </c>
      <c r="E470" s="371">
        <f>IF($B470="","","W"&amp;TEXT(WEEKNUM(C470,2),"00"))</f>
        <v/>
      </c>
      <c r="F470" s="371">
        <f>IF($B470="","","Q"&amp;(INT(MOD(MONTH(C470)-FY_Start+12,12)/3)+1))</f>
        <v/>
      </c>
      <c r="G470" s="371">
        <f>IF($B470="","","FY "&amp;IF(MONTH(C470)&gt;=FY_Start,YEAR(C470),YEAR(C470)-1)&amp;"-"&amp;RIGHT(IF(MONTH(C470)&gt;=FY_Start,YEAR(C470)+1,YEAR(C470)),2))</f>
        <v/>
      </c>
      <c r="H470" s="371" t="n"/>
      <c r="I470" s="371" t="n"/>
      <c r="J470" s="371" t="n"/>
      <c r="K470" s="371" t="n"/>
      <c r="L470" s="371" t="n"/>
      <c r="M470" s="371" t="n"/>
      <c r="N470" s="371" t="n"/>
      <c r="O470" s="371" t="n"/>
      <c r="P470" s="371" t="n"/>
      <c r="Q470" s="371" t="n"/>
      <c r="R470" s="371" t="n"/>
      <c r="S470" s="371" t="n"/>
      <c r="T470" s="371" t="n"/>
      <c r="U470" s="371" t="n"/>
      <c r="V470" s="371" t="n"/>
      <c r="W470" s="371" t="n"/>
      <c r="X470" s="371" t="n"/>
      <c r="Y470" s="371" t="n"/>
      <c r="Z470" s="372" t="n"/>
      <c r="AA470" s="372" t="n"/>
      <c r="AB470" s="371" t="n"/>
      <c r="AC470" s="371">
        <f>IF($B470="","",IF(AB470="Closed",IF(AA470="","",AA470-C470),TODAY()-C470))</f>
        <v/>
      </c>
      <c r="AD470" s="371" t="n"/>
    </row>
    <row r="471" ht="15" customHeight="1" s="15">
      <c r="A471" s="371">
        <f>IF($B471="","",ROW()-5)</f>
        <v/>
      </c>
      <c r="B471" s="371" t="n"/>
      <c r="C471" s="372" t="n"/>
      <c r="D471" s="371">
        <f>IF($B471="","",TEXT(C471,"MMM"))</f>
        <v/>
      </c>
      <c r="E471" s="371">
        <f>IF($B471="","","W"&amp;TEXT(WEEKNUM(C471,2),"00"))</f>
        <v/>
      </c>
      <c r="F471" s="371">
        <f>IF($B471="","","Q"&amp;(INT(MOD(MONTH(C471)-FY_Start+12,12)/3)+1))</f>
        <v/>
      </c>
      <c r="G471" s="371">
        <f>IF($B471="","","FY "&amp;IF(MONTH(C471)&gt;=FY_Start,YEAR(C471),YEAR(C471)-1)&amp;"-"&amp;RIGHT(IF(MONTH(C471)&gt;=FY_Start,YEAR(C471)+1,YEAR(C471)),2))</f>
        <v/>
      </c>
      <c r="H471" s="371" t="n"/>
      <c r="I471" s="371" t="n"/>
      <c r="J471" s="371" t="n"/>
      <c r="K471" s="371" t="n"/>
      <c r="L471" s="371" t="n"/>
      <c r="M471" s="371" t="n"/>
      <c r="N471" s="371" t="n"/>
      <c r="O471" s="371" t="n"/>
      <c r="P471" s="371" t="n"/>
      <c r="Q471" s="371" t="n"/>
      <c r="R471" s="371" t="n"/>
      <c r="S471" s="371" t="n"/>
      <c r="T471" s="371" t="n"/>
      <c r="U471" s="371" t="n"/>
      <c r="V471" s="371" t="n"/>
      <c r="W471" s="371" t="n"/>
      <c r="X471" s="371" t="n"/>
      <c r="Y471" s="371" t="n"/>
      <c r="Z471" s="372" t="n"/>
      <c r="AA471" s="372" t="n"/>
      <c r="AB471" s="371" t="n"/>
      <c r="AC471" s="371">
        <f>IF($B471="","",IF(AB471="Closed",IF(AA471="","",AA471-C471),TODAY()-C471))</f>
        <v/>
      </c>
      <c r="AD471" s="371" t="n"/>
    </row>
    <row r="472" ht="15" customHeight="1" s="15">
      <c r="A472" s="371">
        <f>IF($B472="","",ROW()-5)</f>
        <v/>
      </c>
      <c r="B472" s="371" t="n"/>
      <c r="C472" s="372" t="n"/>
      <c r="D472" s="371">
        <f>IF($B472="","",TEXT(C472,"MMM"))</f>
        <v/>
      </c>
      <c r="E472" s="371">
        <f>IF($B472="","","W"&amp;TEXT(WEEKNUM(C472,2),"00"))</f>
        <v/>
      </c>
      <c r="F472" s="371">
        <f>IF($B472="","","Q"&amp;(INT(MOD(MONTH(C472)-FY_Start+12,12)/3)+1))</f>
        <v/>
      </c>
      <c r="G472" s="371">
        <f>IF($B472="","","FY "&amp;IF(MONTH(C472)&gt;=FY_Start,YEAR(C472),YEAR(C472)-1)&amp;"-"&amp;RIGHT(IF(MONTH(C472)&gt;=FY_Start,YEAR(C472)+1,YEAR(C472)),2))</f>
        <v/>
      </c>
      <c r="H472" s="371" t="n"/>
      <c r="I472" s="371" t="n"/>
      <c r="J472" s="371" t="n"/>
      <c r="K472" s="371" t="n"/>
      <c r="L472" s="371" t="n"/>
      <c r="M472" s="371" t="n"/>
      <c r="N472" s="371" t="n"/>
      <c r="O472" s="371" t="n"/>
      <c r="P472" s="371" t="n"/>
      <c r="Q472" s="371" t="n"/>
      <c r="R472" s="371" t="n"/>
      <c r="S472" s="371" t="n"/>
      <c r="T472" s="371" t="n"/>
      <c r="U472" s="371" t="n"/>
      <c r="V472" s="371" t="n"/>
      <c r="W472" s="371" t="n"/>
      <c r="X472" s="371" t="n"/>
      <c r="Y472" s="371" t="n"/>
      <c r="Z472" s="372" t="n"/>
      <c r="AA472" s="372" t="n"/>
      <c r="AB472" s="371" t="n"/>
      <c r="AC472" s="371">
        <f>IF($B472="","",IF(AB472="Closed",IF(AA472="","",AA472-C472),TODAY()-C472))</f>
        <v/>
      </c>
      <c r="AD472" s="371" t="n"/>
    </row>
    <row r="473" ht="15" customHeight="1" s="15">
      <c r="A473" s="371">
        <f>IF($B473="","",ROW()-5)</f>
        <v/>
      </c>
      <c r="B473" s="371" t="n"/>
      <c r="C473" s="372" t="n"/>
      <c r="D473" s="371">
        <f>IF($B473="","",TEXT(C473,"MMM"))</f>
        <v/>
      </c>
      <c r="E473" s="371">
        <f>IF($B473="","","W"&amp;TEXT(WEEKNUM(C473,2),"00"))</f>
        <v/>
      </c>
      <c r="F473" s="371">
        <f>IF($B473="","","Q"&amp;(INT(MOD(MONTH(C473)-FY_Start+12,12)/3)+1))</f>
        <v/>
      </c>
      <c r="G473" s="371">
        <f>IF($B473="","","FY "&amp;IF(MONTH(C473)&gt;=FY_Start,YEAR(C473),YEAR(C473)-1)&amp;"-"&amp;RIGHT(IF(MONTH(C473)&gt;=FY_Start,YEAR(C473)+1,YEAR(C473)),2))</f>
        <v/>
      </c>
      <c r="H473" s="371" t="n"/>
      <c r="I473" s="371" t="n"/>
      <c r="J473" s="371" t="n"/>
      <c r="K473" s="371" t="n"/>
      <c r="L473" s="371" t="n"/>
      <c r="M473" s="371" t="n"/>
      <c r="N473" s="371" t="n"/>
      <c r="O473" s="371" t="n"/>
      <c r="P473" s="371" t="n"/>
      <c r="Q473" s="371" t="n"/>
      <c r="R473" s="371" t="n"/>
      <c r="S473" s="371" t="n"/>
      <c r="T473" s="371" t="n"/>
      <c r="U473" s="371" t="n"/>
      <c r="V473" s="371" t="n"/>
      <c r="W473" s="371" t="n"/>
      <c r="X473" s="371" t="n"/>
      <c r="Y473" s="371" t="n"/>
      <c r="Z473" s="372" t="n"/>
      <c r="AA473" s="372" t="n"/>
      <c r="AB473" s="371" t="n"/>
      <c r="AC473" s="371">
        <f>IF($B473="","",IF(AB473="Closed",IF(AA473="","",AA473-C473),TODAY()-C473))</f>
        <v/>
      </c>
      <c r="AD473" s="371" t="n"/>
    </row>
    <row r="474" ht="15" customHeight="1" s="15">
      <c r="A474" s="371">
        <f>IF($B474="","",ROW()-5)</f>
        <v/>
      </c>
      <c r="B474" s="371" t="n"/>
      <c r="C474" s="372" t="n"/>
      <c r="D474" s="371">
        <f>IF($B474="","",TEXT(C474,"MMM"))</f>
        <v/>
      </c>
      <c r="E474" s="371">
        <f>IF($B474="","","W"&amp;TEXT(WEEKNUM(C474,2),"00"))</f>
        <v/>
      </c>
      <c r="F474" s="371">
        <f>IF($B474="","","Q"&amp;(INT(MOD(MONTH(C474)-FY_Start+12,12)/3)+1))</f>
        <v/>
      </c>
      <c r="G474" s="371">
        <f>IF($B474="","","FY "&amp;IF(MONTH(C474)&gt;=FY_Start,YEAR(C474),YEAR(C474)-1)&amp;"-"&amp;RIGHT(IF(MONTH(C474)&gt;=FY_Start,YEAR(C474)+1,YEAR(C474)),2))</f>
        <v/>
      </c>
      <c r="H474" s="371" t="n"/>
      <c r="I474" s="371" t="n"/>
      <c r="J474" s="371" t="n"/>
      <c r="K474" s="371" t="n"/>
      <c r="L474" s="371" t="n"/>
      <c r="M474" s="371" t="n"/>
      <c r="N474" s="371" t="n"/>
      <c r="O474" s="371" t="n"/>
      <c r="P474" s="371" t="n"/>
      <c r="Q474" s="371" t="n"/>
      <c r="R474" s="371" t="n"/>
      <c r="S474" s="371" t="n"/>
      <c r="T474" s="371" t="n"/>
      <c r="U474" s="371" t="n"/>
      <c r="V474" s="371" t="n"/>
      <c r="W474" s="371" t="n"/>
      <c r="X474" s="371" t="n"/>
      <c r="Y474" s="371" t="n"/>
      <c r="Z474" s="372" t="n"/>
      <c r="AA474" s="372" t="n"/>
      <c r="AB474" s="371" t="n"/>
      <c r="AC474" s="371">
        <f>IF($B474="","",IF(AB474="Closed",IF(AA474="","",AA474-C474),TODAY()-C474))</f>
        <v/>
      </c>
      <c r="AD474" s="371" t="n"/>
    </row>
    <row r="475" ht="15" customHeight="1" s="15">
      <c r="A475" s="371">
        <f>IF($B475="","",ROW()-5)</f>
        <v/>
      </c>
      <c r="B475" s="371" t="n"/>
      <c r="C475" s="372" t="n"/>
      <c r="D475" s="371">
        <f>IF($B475="","",TEXT(C475,"MMM"))</f>
        <v/>
      </c>
      <c r="E475" s="371">
        <f>IF($B475="","","W"&amp;TEXT(WEEKNUM(C475,2),"00"))</f>
        <v/>
      </c>
      <c r="F475" s="371">
        <f>IF($B475="","","Q"&amp;(INT(MOD(MONTH(C475)-FY_Start+12,12)/3)+1))</f>
        <v/>
      </c>
      <c r="G475" s="371">
        <f>IF($B475="","","FY "&amp;IF(MONTH(C475)&gt;=FY_Start,YEAR(C475),YEAR(C475)-1)&amp;"-"&amp;RIGHT(IF(MONTH(C475)&gt;=FY_Start,YEAR(C475)+1,YEAR(C475)),2))</f>
        <v/>
      </c>
      <c r="H475" s="371" t="n"/>
      <c r="I475" s="371" t="n"/>
      <c r="J475" s="371" t="n"/>
      <c r="K475" s="371" t="n"/>
      <c r="L475" s="371" t="n"/>
      <c r="M475" s="371" t="n"/>
      <c r="N475" s="371" t="n"/>
      <c r="O475" s="371" t="n"/>
      <c r="P475" s="371" t="n"/>
      <c r="Q475" s="371" t="n"/>
      <c r="R475" s="371" t="n"/>
      <c r="S475" s="371" t="n"/>
      <c r="T475" s="371" t="n"/>
      <c r="U475" s="371" t="n"/>
      <c r="V475" s="371" t="n"/>
      <c r="W475" s="371" t="n"/>
      <c r="X475" s="371" t="n"/>
      <c r="Y475" s="371" t="n"/>
      <c r="Z475" s="372" t="n"/>
      <c r="AA475" s="372" t="n"/>
      <c r="AB475" s="371" t="n"/>
      <c r="AC475" s="371">
        <f>IF($B475="","",IF(AB475="Closed",IF(AA475="","",AA475-C475),TODAY()-C475))</f>
        <v/>
      </c>
      <c r="AD475" s="371" t="n"/>
    </row>
    <row r="476" ht="15" customHeight="1" s="15">
      <c r="A476" s="371">
        <f>IF($B476="","",ROW()-5)</f>
        <v/>
      </c>
      <c r="B476" s="371" t="n"/>
      <c r="C476" s="372" t="n"/>
      <c r="D476" s="371">
        <f>IF($B476="","",TEXT(C476,"MMM"))</f>
        <v/>
      </c>
      <c r="E476" s="371">
        <f>IF($B476="","","W"&amp;TEXT(WEEKNUM(C476,2),"00"))</f>
        <v/>
      </c>
      <c r="F476" s="371">
        <f>IF($B476="","","Q"&amp;(INT(MOD(MONTH(C476)-FY_Start+12,12)/3)+1))</f>
        <v/>
      </c>
      <c r="G476" s="371">
        <f>IF($B476="","","FY "&amp;IF(MONTH(C476)&gt;=FY_Start,YEAR(C476),YEAR(C476)-1)&amp;"-"&amp;RIGHT(IF(MONTH(C476)&gt;=FY_Start,YEAR(C476)+1,YEAR(C476)),2))</f>
        <v/>
      </c>
      <c r="H476" s="371" t="n"/>
      <c r="I476" s="371" t="n"/>
      <c r="J476" s="371" t="n"/>
      <c r="K476" s="371" t="n"/>
      <c r="L476" s="371" t="n"/>
      <c r="M476" s="371" t="n"/>
      <c r="N476" s="371" t="n"/>
      <c r="O476" s="371" t="n"/>
      <c r="P476" s="371" t="n"/>
      <c r="Q476" s="371" t="n"/>
      <c r="R476" s="371" t="n"/>
      <c r="S476" s="371" t="n"/>
      <c r="T476" s="371" t="n"/>
      <c r="U476" s="371" t="n"/>
      <c r="V476" s="371" t="n"/>
      <c r="W476" s="371" t="n"/>
      <c r="X476" s="371" t="n"/>
      <c r="Y476" s="371" t="n"/>
      <c r="Z476" s="372" t="n"/>
      <c r="AA476" s="372" t="n"/>
      <c r="AB476" s="371" t="n"/>
      <c r="AC476" s="371">
        <f>IF($B476="","",IF(AB476="Closed",IF(AA476="","",AA476-C476),TODAY()-C476))</f>
        <v/>
      </c>
      <c r="AD476" s="371" t="n"/>
    </row>
    <row r="477" ht="15" customHeight="1" s="15">
      <c r="A477" s="371">
        <f>IF($B477="","",ROW()-5)</f>
        <v/>
      </c>
      <c r="B477" s="371" t="n"/>
      <c r="C477" s="372" t="n"/>
      <c r="D477" s="371">
        <f>IF($B477="","",TEXT(C477,"MMM"))</f>
        <v/>
      </c>
      <c r="E477" s="371">
        <f>IF($B477="","","W"&amp;TEXT(WEEKNUM(C477,2),"00"))</f>
        <v/>
      </c>
      <c r="F477" s="371">
        <f>IF($B477="","","Q"&amp;(INT(MOD(MONTH(C477)-FY_Start+12,12)/3)+1))</f>
        <v/>
      </c>
      <c r="G477" s="371">
        <f>IF($B477="","","FY "&amp;IF(MONTH(C477)&gt;=FY_Start,YEAR(C477),YEAR(C477)-1)&amp;"-"&amp;RIGHT(IF(MONTH(C477)&gt;=FY_Start,YEAR(C477)+1,YEAR(C477)),2))</f>
        <v/>
      </c>
      <c r="H477" s="371" t="n"/>
      <c r="I477" s="371" t="n"/>
      <c r="J477" s="371" t="n"/>
      <c r="K477" s="371" t="n"/>
      <c r="L477" s="371" t="n"/>
      <c r="M477" s="371" t="n"/>
      <c r="N477" s="371" t="n"/>
      <c r="O477" s="371" t="n"/>
      <c r="P477" s="371" t="n"/>
      <c r="Q477" s="371" t="n"/>
      <c r="R477" s="371" t="n"/>
      <c r="S477" s="371" t="n"/>
      <c r="T477" s="371" t="n"/>
      <c r="U477" s="371" t="n"/>
      <c r="V477" s="371" t="n"/>
      <c r="W477" s="371" t="n"/>
      <c r="X477" s="371" t="n"/>
      <c r="Y477" s="371" t="n"/>
      <c r="Z477" s="372" t="n"/>
      <c r="AA477" s="372" t="n"/>
      <c r="AB477" s="371" t="n"/>
      <c r="AC477" s="371">
        <f>IF($B477="","",IF(AB477="Closed",IF(AA477="","",AA477-C477),TODAY()-C477))</f>
        <v/>
      </c>
      <c r="AD477" s="371" t="n"/>
    </row>
    <row r="478" ht="15" customHeight="1" s="15">
      <c r="A478" s="371">
        <f>IF($B478="","",ROW()-5)</f>
        <v/>
      </c>
      <c r="B478" s="371" t="n"/>
      <c r="C478" s="372" t="n"/>
      <c r="D478" s="371">
        <f>IF($B478="","",TEXT(C478,"MMM"))</f>
        <v/>
      </c>
      <c r="E478" s="371">
        <f>IF($B478="","","W"&amp;TEXT(WEEKNUM(C478,2),"00"))</f>
        <v/>
      </c>
      <c r="F478" s="371">
        <f>IF($B478="","","Q"&amp;(INT(MOD(MONTH(C478)-FY_Start+12,12)/3)+1))</f>
        <v/>
      </c>
      <c r="G478" s="371">
        <f>IF($B478="","","FY "&amp;IF(MONTH(C478)&gt;=FY_Start,YEAR(C478),YEAR(C478)-1)&amp;"-"&amp;RIGHT(IF(MONTH(C478)&gt;=FY_Start,YEAR(C478)+1,YEAR(C478)),2))</f>
        <v/>
      </c>
      <c r="H478" s="371" t="n"/>
      <c r="I478" s="371" t="n"/>
      <c r="J478" s="371" t="n"/>
      <c r="K478" s="371" t="n"/>
      <c r="L478" s="371" t="n"/>
      <c r="M478" s="371" t="n"/>
      <c r="N478" s="371" t="n"/>
      <c r="O478" s="371" t="n"/>
      <c r="P478" s="371" t="n"/>
      <c r="Q478" s="371" t="n"/>
      <c r="R478" s="371" t="n"/>
      <c r="S478" s="371" t="n"/>
      <c r="T478" s="371" t="n"/>
      <c r="U478" s="371" t="n"/>
      <c r="V478" s="371" t="n"/>
      <c r="W478" s="371" t="n"/>
      <c r="X478" s="371" t="n"/>
      <c r="Y478" s="371" t="n"/>
      <c r="Z478" s="372" t="n"/>
      <c r="AA478" s="372" t="n"/>
      <c r="AB478" s="371" t="n"/>
      <c r="AC478" s="371">
        <f>IF($B478="","",IF(AB478="Closed",IF(AA478="","",AA478-C478),TODAY()-C478))</f>
        <v/>
      </c>
      <c r="AD478" s="371" t="n"/>
    </row>
    <row r="479" ht="15" customHeight="1" s="15">
      <c r="A479" s="371">
        <f>IF($B479="","",ROW()-5)</f>
        <v/>
      </c>
      <c r="B479" s="371" t="n"/>
      <c r="C479" s="372" t="n"/>
      <c r="D479" s="371">
        <f>IF($B479="","",TEXT(C479,"MMM"))</f>
        <v/>
      </c>
      <c r="E479" s="371">
        <f>IF($B479="","","W"&amp;TEXT(WEEKNUM(C479,2),"00"))</f>
        <v/>
      </c>
      <c r="F479" s="371">
        <f>IF($B479="","","Q"&amp;(INT(MOD(MONTH(C479)-FY_Start+12,12)/3)+1))</f>
        <v/>
      </c>
      <c r="G479" s="371">
        <f>IF($B479="","","FY "&amp;IF(MONTH(C479)&gt;=FY_Start,YEAR(C479),YEAR(C479)-1)&amp;"-"&amp;RIGHT(IF(MONTH(C479)&gt;=FY_Start,YEAR(C479)+1,YEAR(C479)),2))</f>
        <v/>
      </c>
      <c r="H479" s="371" t="n"/>
      <c r="I479" s="371" t="n"/>
      <c r="J479" s="371" t="n"/>
      <c r="K479" s="371" t="n"/>
      <c r="L479" s="371" t="n"/>
      <c r="M479" s="371" t="n"/>
      <c r="N479" s="371" t="n"/>
      <c r="O479" s="371" t="n"/>
      <c r="P479" s="371" t="n"/>
      <c r="Q479" s="371" t="n"/>
      <c r="R479" s="371" t="n"/>
      <c r="S479" s="371" t="n"/>
      <c r="T479" s="371" t="n"/>
      <c r="U479" s="371" t="n"/>
      <c r="V479" s="371" t="n"/>
      <c r="W479" s="371" t="n"/>
      <c r="X479" s="371" t="n"/>
      <c r="Y479" s="371" t="n"/>
      <c r="Z479" s="372" t="n"/>
      <c r="AA479" s="372" t="n"/>
      <c r="AB479" s="371" t="n"/>
      <c r="AC479" s="371">
        <f>IF($B479="","",IF(AB479="Closed",IF(AA479="","",AA479-C479),TODAY()-C479))</f>
        <v/>
      </c>
      <c r="AD479" s="371" t="n"/>
    </row>
    <row r="480" ht="15" customHeight="1" s="15">
      <c r="A480" s="371">
        <f>IF($B480="","",ROW()-5)</f>
        <v/>
      </c>
      <c r="B480" s="371" t="n"/>
      <c r="C480" s="372" t="n"/>
      <c r="D480" s="371">
        <f>IF($B480="","",TEXT(C480,"MMM"))</f>
        <v/>
      </c>
      <c r="E480" s="371">
        <f>IF($B480="","","W"&amp;TEXT(WEEKNUM(C480,2),"00"))</f>
        <v/>
      </c>
      <c r="F480" s="371">
        <f>IF($B480="","","Q"&amp;(INT(MOD(MONTH(C480)-FY_Start+12,12)/3)+1))</f>
        <v/>
      </c>
      <c r="G480" s="371">
        <f>IF($B480="","","FY "&amp;IF(MONTH(C480)&gt;=FY_Start,YEAR(C480),YEAR(C480)-1)&amp;"-"&amp;RIGHT(IF(MONTH(C480)&gt;=FY_Start,YEAR(C480)+1,YEAR(C480)),2))</f>
        <v/>
      </c>
      <c r="H480" s="371" t="n"/>
      <c r="I480" s="371" t="n"/>
      <c r="J480" s="371" t="n"/>
      <c r="K480" s="371" t="n"/>
      <c r="L480" s="371" t="n"/>
      <c r="M480" s="371" t="n"/>
      <c r="N480" s="371" t="n"/>
      <c r="O480" s="371" t="n"/>
      <c r="P480" s="371" t="n"/>
      <c r="Q480" s="371" t="n"/>
      <c r="R480" s="371" t="n"/>
      <c r="S480" s="371" t="n"/>
      <c r="T480" s="371" t="n"/>
      <c r="U480" s="371" t="n"/>
      <c r="V480" s="371" t="n"/>
      <c r="W480" s="371" t="n"/>
      <c r="X480" s="371" t="n"/>
      <c r="Y480" s="371" t="n"/>
      <c r="Z480" s="372" t="n"/>
      <c r="AA480" s="372" t="n"/>
      <c r="AB480" s="371" t="n"/>
      <c r="AC480" s="371">
        <f>IF($B480="","",IF(AB480="Closed",IF(AA480="","",AA480-C480),TODAY()-C480))</f>
        <v/>
      </c>
      <c r="AD480" s="371" t="n"/>
    </row>
    <row r="481" ht="15" customHeight="1" s="15">
      <c r="A481" s="371">
        <f>IF($B481="","",ROW()-5)</f>
        <v/>
      </c>
      <c r="B481" s="371" t="n"/>
      <c r="C481" s="372" t="n"/>
      <c r="D481" s="371">
        <f>IF($B481="","",TEXT(C481,"MMM"))</f>
        <v/>
      </c>
      <c r="E481" s="371">
        <f>IF($B481="","","W"&amp;TEXT(WEEKNUM(C481,2),"00"))</f>
        <v/>
      </c>
      <c r="F481" s="371">
        <f>IF($B481="","","Q"&amp;(INT(MOD(MONTH(C481)-FY_Start+12,12)/3)+1))</f>
        <v/>
      </c>
      <c r="G481" s="371">
        <f>IF($B481="","","FY "&amp;IF(MONTH(C481)&gt;=FY_Start,YEAR(C481),YEAR(C481)-1)&amp;"-"&amp;RIGHT(IF(MONTH(C481)&gt;=FY_Start,YEAR(C481)+1,YEAR(C481)),2))</f>
        <v/>
      </c>
      <c r="H481" s="371" t="n"/>
      <c r="I481" s="371" t="n"/>
      <c r="J481" s="371" t="n"/>
      <c r="K481" s="371" t="n"/>
      <c r="L481" s="371" t="n"/>
      <c r="M481" s="371" t="n"/>
      <c r="N481" s="371" t="n"/>
      <c r="O481" s="371" t="n"/>
      <c r="P481" s="371" t="n"/>
      <c r="Q481" s="371" t="n"/>
      <c r="R481" s="371" t="n"/>
      <c r="S481" s="371" t="n"/>
      <c r="T481" s="371" t="n"/>
      <c r="U481" s="371" t="n"/>
      <c r="V481" s="371" t="n"/>
      <c r="W481" s="371" t="n"/>
      <c r="X481" s="371" t="n"/>
      <c r="Y481" s="371" t="n"/>
      <c r="Z481" s="372" t="n"/>
      <c r="AA481" s="372" t="n"/>
      <c r="AB481" s="371" t="n"/>
      <c r="AC481" s="371">
        <f>IF($B481="","",IF(AB481="Closed",IF(AA481="","",AA481-C481),TODAY()-C481))</f>
        <v/>
      </c>
      <c r="AD481" s="371" t="n"/>
    </row>
    <row r="482" ht="15" customHeight="1" s="15">
      <c r="A482" s="371">
        <f>IF($B482="","",ROW()-5)</f>
        <v/>
      </c>
      <c r="B482" s="371" t="n"/>
      <c r="C482" s="372" t="n"/>
      <c r="D482" s="371">
        <f>IF($B482="","",TEXT(C482,"MMM"))</f>
        <v/>
      </c>
      <c r="E482" s="371">
        <f>IF($B482="","","W"&amp;TEXT(WEEKNUM(C482,2),"00"))</f>
        <v/>
      </c>
      <c r="F482" s="371">
        <f>IF($B482="","","Q"&amp;(INT(MOD(MONTH(C482)-FY_Start+12,12)/3)+1))</f>
        <v/>
      </c>
      <c r="G482" s="371">
        <f>IF($B482="","","FY "&amp;IF(MONTH(C482)&gt;=FY_Start,YEAR(C482),YEAR(C482)-1)&amp;"-"&amp;RIGHT(IF(MONTH(C482)&gt;=FY_Start,YEAR(C482)+1,YEAR(C482)),2))</f>
        <v/>
      </c>
      <c r="H482" s="371" t="n"/>
      <c r="I482" s="371" t="n"/>
      <c r="J482" s="371" t="n"/>
      <c r="K482" s="371" t="n"/>
      <c r="L482" s="371" t="n"/>
      <c r="M482" s="371" t="n"/>
      <c r="N482" s="371" t="n"/>
      <c r="O482" s="371" t="n"/>
      <c r="P482" s="371" t="n"/>
      <c r="Q482" s="371" t="n"/>
      <c r="R482" s="371" t="n"/>
      <c r="S482" s="371" t="n"/>
      <c r="T482" s="371" t="n"/>
      <c r="U482" s="371" t="n"/>
      <c r="V482" s="371" t="n"/>
      <c r="W482" s="371" t="n"/>
      <c r="X482" s="371" t="n"/>
      <c r="Y482" s="371" t="n"/>
      <c r="Z482" s="372" t="n"/>
      <c r="AA482" s="372" t="n"/>
      <c r="AB482" s="371" t="n"/>
      <c r="AC482" s="371">
        <f>IF($B482="","",IF(AB482="Closed",IF(AA482="","",AA482-C482),TODAY()-C482))</f>
        <v/>
      </c>
      <c r="AD482" s="371" t="n"/>
    </row>
    <row r="483" ht="15" customHeight="1" s="15">
      <c r="A483" s="371">
        <f>IF($B483="","",ROW()-5)</f>
        <v/>
      </c>
      <c r="B483" s="371" t="n"/>
      <c r="C483" s="372" t="n"/>
      <c r="D483" s="371">
        <f>IF($B483="","",TEXT(C483,"MMM"))</f>
        <v/>
      </c>
      <c r="E483" s="371">
        <f>IF($B483="","","W"&amp;TEXT(WEEKNUM(C483,2),"00"))</f>
        <v/>
      </c>
      <c r="F483" s="371">
        <f>IF($B483="","","Q"&amp;(INT(MOD(MONTH(C483)-FY_Start+12,12)/3)+1))</f>
        <v/>
      </c>
      <c r="G483" s="371">
        <f>IF($B483="","","FY "&amp;IF(MONTH(C483)&gt;=FY_Start,YEAR(C483),YEAR(C483)-1)&amp;"-"&amp;RIGHT(IF(MONTH(C483)&gt;=FY_Start,YEAR(C483)+1,YEAR(C483)),2))</f>
        <v/>
      </c>
      <c r="H483" s="371" t="n"/>
      <c r="I483" s="371" t="n"/>
      <c r="J483" s="371" t="n"/>
      <c r="K483" s="371" t="n"/>
      <c r="L483" s="371" t="n"/>
      <c r="M483" s="371" t="n"/>
      <c r="N483" s="371" t="n"/>
      <c r="O483" s="371" t="n"/>
      <c r="P483" s="371" t="n"/>
      <c r="Q483" s="371" t="n"/>
      <c r="R483" s="371" t="n"/>
      <c r="S483" s="371" t="n"/>
      <c r="T483" s="371" t="n"/>
      <c r="U483" s="371" t="n"/>
      <c r="V483" s="371" t="n"/>
      <c r="W483" s="371" t="n"/>
      <c r="X483" s="371" t="n"/>
      <c r="Y483" s="371" t="n"/>
      <c r="Z483" s="372" t="n"/>
      <c r="AA483" s="372" t="n"/>
      <c r="AB483" s="371" t="n"/>
      <c r="AC483" s="371">
        <f>IF($B483="","",IF(AB483="Closed",IF(AA483="","",AA483-C483),TODAY()-C483))</f>
        <v/>
      </c>
      <c r="AD483" s="371" t="n"/>
    </row>
    <row r="484" ht="15" customHeight="1" s="15">
      <c r="A484" s="371">
        <f>IF($B484="","",ROW()-5)</f>
        <v/>
      </c>
      <c r="B484" s="371" t="n"/>
      <c r="C484" s="372" t="n"/>
      <c r="D484" s="371">
        <f>IF($B484="","",TEXT(C484,"MMM"))</f>
        <v/>
      </c>
      <c r="E484" s="371">
        <f>IF($B484="","","W"&amp;TEXT(WEEKNUM(C484,2),"00"))</f>
        <v/>
      </c>
      <c r="F484" s="371">
        <f>IF($B484="","","Q"&amp;(INT(MOD(MONTH(C484)-FY_Start+12,12)/3)+1))</f>
        <v/>
      </c>
      <c r="G484" s="371">
        <f>IF($B484="","","FY "&amp;IF(MONTH(C484)&gt;=FY_Start,YEAR(C484),YEAR(C484)-1)&amp;"-"&amp;RIGHT(IF(MONTH(C484)&gt;=FY_Start,YEAR(C484)+1,YEAR(C484)),2))</f>
        <v/>
      </c>
      <c r="H484" s="371" t="n"/>
      <c r="I484" s="371" t="n"/>
      <c r="J484" s="371" t="n"/>
      <c r="K484" s="371" t="n"/>
      <c r="L484" s="371" t="n"/>
      <c r="M484" s="371" t="n"/>
      <c r="N484" s="371" t="n"/>
      <c r="O484" s="371" t="n"/>
      <c r="P484" s="371" t="n"/>
      <c r="Q484" s="371" t="n"/>
      <c r="R484" s="371" t="n"/>
      <c r="S484" s="371" t="n"/>
      <c r="T484" s="371" t="n"/>
      <c r="U484" s="371" t="n"/>
      <c r="V484" s="371" t="n"/>
      <c r="W484" s="371" t="n"/>
      <c r="X484" s="371" t="n"/>
      <c r="Y484" s="371" t="n"/>
      <c r="Z484" s="372" t="n"/>
      <c r="AA484" s="372" t="n"/>
      <c r="AB484" s="371" t="n"/>
      <c r="AC484" s="371">
        <f>IF($B484="","",IF(AB484="Closed",IF(AA484="","",AA484-C484),TODAY()-C484))</f>
        <v/>
      </c>
      <c r="AD484" s="371" t="n"/>
    </row>
    <row r="485" ht="15" customHeight="1" s="15">
      <c r="A485" s="371">
        <f>IF($B485="","",ROW()-5)</f>
        <v/>
      </c>
      <c r="B485" s="371" t="n"/>
      <c r="C485" s="372" t="n"/>
      <c r="D485" s="371">
        <f>IF($B485="","",TEXT(C485,"MMM"))</f>
        <v/>
      </c>
      <c r="E485" s="371">
        <f>IF($B485="","","W"&amp;TEXT(WEEKNUM(C485,2),"00"))</f>
        <v/>
      </c>
      <c r="F485" s="371">
        <f>IF($B485="","","Q"&amp;(INT(MOD(MONTH(C485)-FY_Start+12,12)/3)+1))</f>
        <v/>
      </c>
      <c r="G485" s="371">
        <f>IF($B485="","","FY "&amp;IF(MONTH(C485)&gt;=FY_Start,YEAR(C485),YEAR(C485)-1)&amp;"-"&amp;RIGHT(IF(MONTH(C485)&gt;=FY_Start,YEAR(C485)+1,YEAR(C485)),2))</f>
        <v/>
      </c>
      <c r="H485" s="371" t="n"/>
      <c r="I485" s="371" t="n"/>
      <c r="J485" s="371" t="n"/>
      <c r="K485" s="371" t="n"/>
      <c r="L485" s="371" t="n"/>
      <c r="M485" s="371" t="n"/>
      <c r="N485" s="371" t="n"/>
      <c r="O485" s="371" t="n"/>
      <c r="P485" s="371" t="n"/>
      <c r="Q485" s="371" t="n"/>
      <c r="R485" s="371" t="n"/>
      <c r="S485" s="371" t="n"/>
      <c r="T485" s="371" t="n"/>
      <c r="U485" s="371" t="n"/>
      <c r="V485" s="371" t="n"/>
      <c r="W485" s="371" t="n"/>
      <c r="X485" s="371" t="n"/>
      <c r="Y485" s="371" t="n"/>
      <c r="Z485" s="372" t="n"/>
      <c r="AA485" s="372" t="n"/>
      <c r="AB485" s="371" t="n"/>
      <c r="AC485" s="371">
        <f>IF($B485="","",IF(AB485="Closed",IF(AA485="","",AA485-C485),TODAY()-C485))</f>
        <v/>
      </c>
      <c r="AD485" s="371" t="n"/>
    </row>
    <row r="486" ht="15" customHeight="1" s="15">
      <c r="A486" s="371">
        <f>IF($B486="","",ROW()-5)</f>
        <v/>
      </c>
      <c r="B486" s="371" t="n"/>
      <c r="C486" s="372" t="n"/>
      <c r="D486" s="371">
        <f>IF($B486="","",TEXT(C486,"MMM"))</f>
        <v/>
      </c>
      <c r="E486" s="371">
        <f>IF($B486="","","W"&amp;TEXT(WEEKNUM(C486,2),"00"))</f>
        <v/>
      </c>
      <c r="F486" s="371">
        <f>IF($B486="","","Q"&amp;(INT(MOD(MONTH(C486)-FY_Start+12,12)/3)+1))</f>
        <v/>
      </c>
      <c r="G486" s="371">
        <f>IF($B486="","","FY "&amp;IF(MONTH(C486)&gt;=FY_Start,YEAR(C486),YEAR(C486)-1)&amp;"-"&amp;RIGHT(IF(MONTH(C486)&gt;=FY_Start,YEAR(C486)+1,YEAR(C486)),2))</f>
        <v/>
      </c>
      <c r="H486" s="371" t="n"/>
      <c r="I486" s="371" t="n"/>
      <c r="J486" s="371" t="n"/>
      <c r="K486" s="371" t="n"/>
      <c r="L486" s="371" t="n"/>
      <c r="M486" s="371" t="n"/>
      <c r="N486" s="371" t="n"/>
      <c r="O486" s="371" t="n"/>
      <c r="P486" s="371" t="n"/>
      <c r="Q486" s="371" t="n"/>
      <c r="R486" s="371" t="n"/>
      <c r="S486" s="371" t="n"/>
      <c r="T486" s="371" t="n"/>
      <c r="U486" s="371" t="n"/>
      <c r="V486" s="371" t="n"/>
      <c r="W486" s="371" t="n"/>
      <c r="X486" s="371" t="n"/>
      <c r="Y486" s="371" t="n"/>
      <c r="Z486" s="372" t="n"/>
      <c r="AA486" s="372" t="n"/>
      <c r="AB486" s="371" t="n"/>
      <c r="AC486" s="371">
        <f>IF($B486="","",IF(AB486="Closed",IF(AA486="","",AA486-C486),TODAY()-C486))</f>
        <v/>
      </c>
      <c r="AD486" s="371" t="n"/>
    </row>
    <row r="487" ht="15" customHeight="1" s="15">
      <c r="A487" s="371">
        <f>IF($B487="","",ROW()-5)</f>
        <v/>
      </c>
      <c r="B487" s="371" t="n"/>
      <c r="C487" s="372" t="n"/>
      <c r="D487" s="371">
        <f>IF($B487="","",TEXT(C487,"MMM"))</f>
        <v/>
      </c>
      <c r="E487" s="371">
        <f>IF($B487="","","W"&amp;TEXT(WEEKNUM(C487,2),"00"))</f>
        <v/>
      </c>
      <c r="F487" s="371">
        <f>IF($B487="","","Q"&amp;(INT(MOD(MONTH(C487)-FY_Start+12,12)/3)+1))</f>
        <v/>
      </c>
      <c r="G487" s="371">
        <f>IF($B487="","","FY "&amp;IF(MONTH(C487)&gt;=FY_Start,YEAR(C487),YEAR(C487)-1)&amp;"-"&amp;RIGHT(IF(MONTH(C487)&gt;=FY_Start,YEAR(C487)+1,YEAR(C487)),2))</f>
        <v/>
      </c>
      <c r="H487" s="371" t="n"/>
      <c r="I487" s="371" t="n"/>
      <c r="J487" s="371" t="n"/>
      <c r="K487" s="371" t="n"/>
      <c r="L487" s="371" t="n"/>
      <c r="M487" s="371" t="n"/>
      <c r="N487" s="371" t="n"/>
      <c r="O487" s="371" t="n"/>
      <c r="P487" s="371" t="n"/>
      <c r="Q487" s="371" t="n"/>
      <c r="R487" s="371" t="n"/>
      <c r="S487" s="371" t="n"/>
      <c r="T487" s="371" t="n"/>
      <c r="U487" s="371" t="n"/>
      <c r="V487" s="371" t="n"/>
      <c r="W487" s="371" t="n"/>
      <c r="X487" s="371" t="n"/>
      <c r="Y487" s="371" t="n"/>
      <c r="Z487" s="372" t="n"/>
      <c r="AA487" s="372" t="n"/>
      <c r="AB487" s="371" t="n"/>
      <c r="AC487" s="371">
        <f>IF($B487="","",IF(AB487="Closed",IF(AA487="","",AA487-C487),TODAY()-C487))</f>
        <v/>
      </c>
      <c r="AD487" s="371" t="n"/>
    </row>
    <row r="488" ht="15" customHeight="1" s="15">
      <c r="A488" s="371">
        <f>IF($B488="","",ROW()-5)</f>
        <v/>
      </c>
      <c r="B488" s="371" t="n"/>
      <c r="C488" s="372" t="n"/>
      <c r="D488" s="371">
        <f>IF($B488="","",TEXT(C488,"MMM"))</f>
        <v/>
      </c>
      <c r="E488" s="371">
        <f>IF($B488="","","W"&amp;TEXT(WEEKNUM(C488,2),"00"))</f>
        <v/>
      </c>
      <c r="F488" s="371">
        <f>IF($B488="","","Q"&amp;(INT(MOD(MONTH(C488)-FY_Start+12,12)/3)+1))</f>
        <v/>
      </c>
      <c r="G488" s="371">
        <f>IF($B488="","","FY "&amp;IF(MONTH(C488)&gt;=FY_Start,YEAR(C488),YEAR(C488)-1)&amp;"-"&amp;RIGHT(IF(MONTH(C488)&gt;=FY_Start,YEAR(C488)+1,YEAR(C488)),2))</f>
        <v/>
      </c>
      <c r="H488" s="371" t="n"/>
      <c r="I488" s="371" t="n"/>
      <c r="J488" s="371" t="n"/>
      <c r="K488" s="371" t="n"/>
      <c r="L488" s="371" t="n"/>
      <c r="M488" s="371" t="n"/>
      <c r="N488" s="371" t="n"/>
      <c r="O488" s="371" t="n"/>
      <c r="P488" s="371" t="n"/>
      <c r="Q488" s="371" t="n"/>
      <c r="R488" s="371" t="n"/>
      <c r="S488" s="371" t="n"/>
      <c r="T488" s="371" t="n"/>
      <c r="U488" s="371" t="n"/>
      <c r="V488" s="371" t="n"/>
      <c r="W488" s="371" t="n"/>
      <c r="X488" s="371" t="n"/>
      <c r="Y488" s="371" t="n"/>
      <c r="Z488" s="372" t="n"/>
      <c r="AA488" s="372" t="n"/>
      <c r="AB488" s="371" t="n"/>
      <c r="AC488" s="371">
        <f>IF($B488="","",IF(AB488="Closed",IF(AA488="","",AA488-C488),TODAY()-C488))</f>
        <v/>
      </c>
      <c r="AD488" s="371" t="n"/>
    </row>
    <row r="489" ht="15" customHeight="1" s="15">
      <c r="A489" s="371">
        <f>IF($B489="","",ROW()-5)</f>
        <v/>
      </c>
      <c r="B489" s="371" t="n"/>
      <c r="C489" s="372" t="n"/>
      <c r="D489" s="371">
        <f>IF($B489="","",TEXT(C489,"MMM"))</f>
        <v/>
      </c>
      <c r="E489" s="371">
        <f>IF($B489="","","W"&amp;TEXT(WEEKNUM(C489,2),"00"))</f>
        <v/>
      </c>
      <c r="F489" s="371">
        <f>IF($B489="","","Q"&amp;(INT(MOD(MONTH(C489)-FY_Start+12,12)/3)+1))</f>
        <v/>
      </c>
      <c r="G489" s="371">
        <f>IF($B489="","","FY "&amp;IF(MONTH(C489)&gt;=FY_Start,YEAR(C489),YEAR(C489)-1)&amp;"-"&amp;RIGHT(IF(MONTH(C489)&gt;=FY_Start,YEAR(C489)+1,YEAR(C489)),2))</f>
        <v/>
      </c>
      <c r="H489" s="371" t="n"/>
      <c r="I489" s="371" t="n"/>
      <c r="J489" s="371" t="n"/>
      <c r="K489" s="371" t="n"/>
      <c r="L489" s="371" t="n"/>
      <c r="M489" s="371" t="n"/>
      <c r="N489" s="371" t="n"/>
      <c r="O489" s="371" t="n"/>
      <c r="P489" s="371" t="n"/>
      <c r="Q489" s="371" t="n"/>
      <c r="R489" s="371" t="n"/>
      <c r="S489" s="371" t="n"/>
      <c r="T489" s="371" t="n"/>
      <c r="U489" s="371" t="n"/>
      <c r="V489" s="371" t="n"/>
      <c r="W489" s="371" t="n"/>
      <c r="X489" s="371" t="n"/>
      <c r="Y489" s="371" t="n"/>
      <c r="Z489" s="372" t="n"/>
      <c r="AA489" s="372" t="n"/>
      <c r="AB489" s="371" t="n"/>
      <c r="AC489" s="371">
        <f>IF($B489="","",IF(AB489="Closed",IF(AA489="","",AA489-C489),TODAY()-C489))</f>
        <v/>
      </c>
      <c r="AD489" s="371" t="n"/>
    </row>
    <row r="490" ht="15" customHeight="1" s="15">
      <c r="A490" s="371">
        <f>IF($B490="","",ROW()-5)</f>
        <v/>
      </c>
      <c r="B490" s="371" t="n"/>
      <c r="C490" s="372" t="n"/>
      <c r="D490" s="371">
        <f>IF($B490="","",TEXT(C490,"MMM"))</f>
        <v/>
      </c>
      <c r="E490" s="371">
        <f>IF($B490="","","W"&amp;TEXT(WEEKNUM(C490,2),"00"))</f>
        <v/>
      </c>
      <c r="F490" s="371">
        <f>IF($B490="","","Q"&amp;(INT(MOD(MONTH(C490)-FY_Start+12,12)/3)+1))</f>
        <v/>
      </c>
      <c r="G490" s="371">
        <f>IF($B490="","","FY "&amp;IF(MONTH(C490)&gt;=FY_Start,YEAR(C490),YEAR(C490)-1)&amp;"-"&amp;RIGHT(IF(MONTH(C490)&gt;=FY_Start,YEAR(C490)+1,YEAR(C490)),2))</f>
        <v/>
      </c>
      <c r="H490" s="371" t="n"/>
      <c r="I490" s="371" t="n"/>
      <c r="J490" s="371" t="n"/>
      <c r="K490" s="371" t="n"/>
      <c r="L490" s="371" t="n"/>
      <c r="M490" s="371" t="n"/>
      <c r="N490" s="371" t="n"/>
      <c r="O490" s="371" t="n"/>
      <c r="P490" s="371" t="n"/>
      <c r="Q490" s="371" t="n"/>
      <c r="R490" s="371" t="n"/>
      <c r="S490" s="371" t="n"/>
      <c r="T490" s="371" t="n"/>
      <c r="U490" s="371" t="n"/>
      <c r="V490" s="371" t="n"/>
      <c r="W490" s="371" t="n"/>
      <c r="X490" s="371" t="n"/>
      <c r="Y490" s="371" t="n"/>
      <c r="Z490" s="372" t="n"/>
      <c r="AA490" s="372" t="n"/>
      <c r="AB490" s="371" t="n"/>
      <c r="AC490" s="371">
        <f>IF($B490="","",IF(AB490="Closed",IF(AA490="","",AA490-C490),TODAY()-C490))</f>
        <v/>
      </c>
      <c r="AD490" s="371" t="n"/>
    </row>
    <row r="491" ht="15" customHeight="1" s="15">
      <c r="A491" s="371">
        <f>IF($B491="","",ROW()-5)</f>
        <v/>
      </c>
      <c r="B491" s="371" t="n"/>
      <c r="C491" s="372" t="n"/>
      <c r="D491" s="371">
        <f>IF($B491="","",TEXT(C491,"MMM"))</f>
        <v/>
      </c>
      <c r="E491" s="371">
        <f>IF($B491="","","W"&amp;TEXT(WEEKNUM(C491,2),"00"))</f>
        <v/>
      </c>
      <c r="F491" s="371">
        <f>IF($B491="","","Q"&amp;(INT(MOD(MONTH(C491)-FY_Start+12,12)/3)+1))</f>
        <v/>
      </c>
      <c r="G491" s="371">
        <f>IF($B491="","","FY "&amp;IF(MONTH(C491)&gt;=FY_Start,YEAR(C491),YEAR(C491)-1)&amp;"-"&amp;RIGHT(IF(MONTH(C491)&gt;=FY_Start,YEAR(C491)+1,YEAR(C491)),2))</f>
        <v/>
      </c>
      <c r="H491" s="371" t="n"/>
      <c r="I491" s="371" t="n"/>
      <c r="J491" s="371" t="n"/>
      <c r="K491" s="371" t="n"/>
      <c r="L491" s="371" t="n"/>
      <c r="M491" s="371" t="n"/>
      <c r="N491" s="371" t="n"/>
      <c r="O491" s="371" t="n"/>
      <c r="P491" s="371" t="n"/>
      <c r="Q491" s="371" t="n"/>
      <c r="R491" s="371" t="n"/>
      <c r="S491" s="371" t="n"/>
      <c r="T491" s="371" t="n"/>
      <c r="U491" s="371" t="n"/>
      <c r="V491" s="371" t="n"/>
      <c r="W491" s="371" t="n"/>
      <c r="X491" s="371" t="n"/>
      <c r="Y491" s="371" t="n"/>
      <c r="Z491" s="372" t="n"/>
      <c r="AA491" s="372" t="n"/>
      <c r="AB491" s="371" t="n"/>
      <c r="AC491" s="371">
        <f>IF($B491="","",IF(AB491="Closed",IF(AA491="","",AA491-C491),TODAY()-C491))</f>
        <v/>
      </c>
      <c r="AD491" s="371" t="n"/>
    </row>
    <row r="492" ht="15" customHeight="1" s="15">
      <c r="A492" s="371">
        <f>IF($B492="","",ROW()-5)</f>
        <v/>
      </c>
      <c r="B492" s="371" t="n"/>
      <c r="C492" s="372" t="n"/>
      <c r="D492" s="371">
        <f>IF($B492="","",TEXT(C492,"MMM"))</f>
        <v/>
      </c>
      <c r="E492" s="371">
        <f>IF($B492="","","W"&amp;TEXT(WEEKNUM(C492,2),"00"))</f>
        <v/>
      </c>
      <c r="F492" s="371">
        <f>IF($B492="","","Q"&amp;(INT(MOD(MONTH(C492)-FY_Start+12,12)/3)+1))</f>
        <v/>
      </c>
      <c r="G492" s="371">
        <f>IF($B492="","","FY "&amp;IF(MONTH(C492)&gt;=FY_Start,YEAR(C492),YEAR(C492)-1)&amp;"-"&amp;RIGHT(IF(MONTH(C492)&gt;=FY_Start,YEAR(C492)+1,YEAR(C492)),2))</f>
        <v/>
      </c>
      <c r="H492" s="371" t="n"/>
      <c r="I492" s="371" t="n"/>
      <c r="J492" s="371" t="n"/>
      <c r="K492" s="371" t="n"/>
      <c r="L492" s="371" t="n"/>
      <c r="M492" s="371" t="n"/>
      <c r="N492" s="371" t="n"/>
      <c r="O492" s="371" t="n"/>
      <c r="P492" s="371" t="n"/>
      <c r="Q492" s="371" t="n"/>
      <c r="R492" s="371" t="n"/>
      <c r="S492" s="371" t="n"/>
      <c r="T492" s="371" t="n"/>
      <c r="U492" s="371" t="n"/>
      <c r="V492" s="371" t="n"/>
      <c r="W492" s="371" t="n"/>
      <c r="X492" s="371" t="n"/>
      <c r="Y492" s="371" t="n"/>
      <c r="Z492" s="372" t="n"/>
      <c r="AA492" s="372" t="n"/>
      <c r="AB492" s="371" t="n"/>
      <c r="AC492" s="371">
        <f>IF($B492="","",IF(AB492="Closed",IF(AA492="","",AA492-C492),TODAY()-C492))</f>
        <v/>
      </c>
      <c r="AD492" s="371" t="n"/>
    </row>
    <row r="493" ht="15" customHeight="1" s="15">
      <c r="A493" s="371">
        <f>IF($B493="","",ROW()-5)</f>
        <v/>
      </c>
      <c r="B493" s="371" t="n"/>
      <c r="C493" s="372" t="n"/>
      <c r="D493" s="371">
        <f>IF($B493="","",TEXT(C493,"MMM"))</f>
        <v/>
      </c>
      <c r="E493" s="371">
        <f>IF($B493="","","W"&amp;TEXT(WEEKNUM(C493,2),"00"))</f>
        <v/>
      </c>
      <c r="F493" s="371">
        <f>IF($B493="","","Q"&amp;(INT(MOD(MONTH(C493)-FY_Start+12,12)/3)+1))</f>
        <v/>
      </c>
      <c r="G493" s="371">
        <f>IF($B493="","","FY "&amp;IF(MONTH(C493)&gt;=FY_Start,YEAR(C493),YEAR(C493)-1)&amp;"-"&amp;RIGHT(IF(MONTH(C493)&gt;=FY_Start,YEAR(C493)+1,YEAR(C493)),2))</f>
        <v/>
      </c>
      <c r="H493" s="371" t="n"/>
      <c r="I493" s="371" t="n"/>
      <c r="J493" s="371" t="n"/>
      <c r="K493" s="371" t="n"/>
      <c r="L493" s="371" t="n"/>
      <c r="M493" s="371" t="n"/>
      <c r="N493" s="371" t="n"/>
      <c r="O493" s="371" t="n"/>
      <c r="P493" s="371" t="n"/>
      <c r="Q493" s="371" t="n"/>
      <c r="R493" s="371" t="n"/>
      <c r="S493" s="371" t="n"/>
      <c r="T493" s="371" t="n"/>
      <c r="U493" s="371" t="n"/>
      <c r="V493" s="371" t="n"/>
      <c r="W493" s="371" t="n"/>
      <c r="X493" s="371" t="n"/>
      <c r="Y493" s="371" t="n"/>
      <c r="Z493" s="372" t="n"/>
      <c r="AA493" s="372" t="n"/>
      <c r="AB493" s="371" t="n"/>
      <c r="AC493" s="371">
        <f>IF($B493="","",IF(AB493="Closed",IF(AA493="","",AA493-C493),TODAY()-C493))</f>
        <v/>
      </c>
      <c r="AD493" s="371" t="n"/>
    </row>
    <row r="494" ht="15" customHeight="1" s="15">
      <c r="A494" s="371">
        <f>IF($B494="","",ROW()-5)</f>
        <v/>
      </c>
      <c r="B494" s="371" t="n"/>
      <c r="C494" s="372" t="n"/>
      <c r="D494" s="371">
        <f>IF($B494="","",TEXT(C494,"MMM"))</f>
        <v/>
      </c>
      <c r="E494" s="371">
        <f>IF($B494="","","W"&amp;TEXT(WEEKNUM(C494,2),"00"))</f>
        <v/>
      </c>
      <c r="F494" s="371">
        <f>IF($B494="","","Q"&amp;(INT(MOD(MONTH(C494)-FY_Start+12,12)/3)+1))</f>
        <v/>
      </c>
      <c r="G494" s="371">
        <f>IF($B494="","","FY "&amp;IF(MONTH(C494)&gt;=FY_Start,YEAR(C494),YEAR(C494)-1)&amp;"-"&amp;RIGHT(IF(MONTH(C494)&gt;=FY_Start,YEAR(C494)+1,YEAR(C494)),2))</f>
        <v/>
      </c>
      <c r="H494" s="371" t="n"/>
      <c r="I494" s="371" t="n"/>
      <c r="J494" s="371" t="n"/>
      <c r="K494" s="371" t="n"/>
      <c r="L494" s="371" t="n"/>
      <c r="M494" s="371" t="n"/>
      <c r="N494" s="371" t="n"/>
      <c r="O494" s="371" t="n"/>
      <c r="P494" s="371" t="n"/>
      <c r="Q494" s="371" t="n"/>
      <c r="R494" s="371" t="n"/>
      <c r="S494" s="371" t="n"/>
      <c r="T494" s="371" t="n"/>
      <c r="U494" s="371" t="n"/>
      <c r="V494" s="371" t="n"/>
      <c r="W494" s="371" t="n"/>
      <c r="X494" s="371" t="n"/>
      <c r="Y494" s="371" t="n"/>
      <c r="Z494" s="372" t="n"/>
      <c r="AA494" s="372" t="n"/>
      <c r="AB494" s="371" t="n"/>
      <c r="AC494" s="371">
        <f>IF($B494="","",IF(AB494="Closed",IF(AA494="","",AA494-C494),TODAY()-C494))</f>
        <v/>
      </c>
      <c r="AD494" s="371" t="n"/>
    </row>
    <row r="495" ht="15" customHeight="1" s="15">
      <c r="A495" s="371">
        <f>IF($B495="","",ROW()-5)</f>
        <v/>
      </c>
      <c r="B495" s="371" t="n"/>
      <c r="C495" s="372" t="n"/>
      <c r="D495" s="371">
        <f>IF($B495="","",TEXT(C495,"MMM"))</f>
        <v/>
      </c>
      <c r="E495" s="371">
        <f>IF($B495="","","W"&amp;TEXT(WEEKNUM(C495,2),"00"))</f>
        <v/>
      </c>
      <c r="F495" s="371">
        <f>IF($B495="","","Q"&amp;(INT(MOD(MONTH(C495)-FY_Start+12,12)/3)+1))</f>
        <v/>
      </c>
      <c r="G495" s="371">
        <f>IF($B495="","","FY "&amp;IF(MONTH(C495)&gt;=FY_Start,YEAR(C495),YEAR(C495)-1)&amp;"-"&amp;RIGHT(IF(MONTH(C495)&gt;=FY_Start,YEAR(C495)+1,YEAR(C495)),2))</f>
        <v/>
      </c>
      <c r="H495" s="371" t="n"/>
      <c r="I495" s="371" t="n"/>
      <c r="J495" s="371" t="n"/>
      <c r="K495" s="371" t="n"/>
      <c r="L495" s="371" t="n"/>
      <c r="M495" s="371" t="n"/>
      <c r="N495" s="371" t="n"/>
      <c r="O495" s="371" t="n"/>
      <c r="P495" s="371" t="n"/>
      <c r="Q495" s="371" t="n"/>
      <c r="R495" s="371" t="n"/>
      <c r="S495" s="371" t="n"/>
      <c r="T495" s="371" t="n"/>
      <c r="U495" s="371" t="n"/>
      <c r="V495" s="371" t="n"/>
      <c r="W495" s="371" t="n"/>
      <c r="X495" s="371" t="n"/>
      <c r="Y495" s="371" t="n"/>
      <c r="Z495" s="372" t="n"/>
      <c r="AA495" s="372" t="n"/>
      <c r="AB495" s="371" t="n"/>
      <c r="AC495" s="371">
        <f>IF($B495="","",IF(AB495="Closed",IF(AA495="","",AA495-C495),TODAY()-C495))</f>
        <v/>
      </c>
      <c r="AD495" s="371" t="n"/>
    </row>
    <row r="496" ht="15" customHeight="1" s="15">
      <c r="A496" s="371">
        <f>IF($B496="","",ROW()-5)</f>
        <v/>
      </c>
      <c r="B496" s="371" t="n"/>
      <c r="C496" s="372" t="n"/>
      <c r="D496" s="371">
        <f>IF($B496="","",TEXT(C496,"MMM"))</f>
        <v/>
      </c>
      <c r="E496" s="371">
        <f>IF($B496="","","W"&amp;TEXT(WEEKNUM(C496,2),"00"))</f>
        <v/>
      </c>
      <c r="F496" s="371">
        <f>IF($B496="","","Q"&amp;(INT(MOD(MONTH(C496)-FY_Start+12,12)/3)+1))</f>
        <v/>
      </c>
      <c r="G496" s="371">
        <f>IF($B496="","","FY "&amp;IF(MONTH(C496)&gt;=FY_Start,YEAR(C496),YEAR(C496)-1)&amp;"-"&amp;RIGHT(IF(MONTH(C496)&gt;=FY_Start,YEAR(C496)+1,YEAR(C496)),2))</f>
        <v/>
      </c>
      <c r="H496" s="371" t="n"/>
      <c r="I496" s="371" t="n"/>
      <c r="J496" s="371" t="n"/>
      <c r="K496" s="371" t="n"/>
      <c r="L496" s="371" t="n"/>
      <c r="M496" s="371" t="n"/>
      <c r="N496" s="371" t="n"/>
      <c r="O496" s="371" t="n"/>
      <c r="P496" s="371" t="n"/>
      <c r="Q496" s="371" t="n"/>
      <c r="R496" s="371" t="n"/>
      <c r="S496" s="371" t="n"/>
      <c r="T496" s="371" t="n"/>
      <c r="U496" s="371" t="n"/>
      <c r="V496" s="371" t="n"/>
      <c r="W496" s="371" t="n"/>
      <c r="X496" s="371" t="n"/>
      <c r="Y496" s="371" t="n"/>
      <c r="Z496" s="372" t="n"/>
      <c r="AA496" s="372" t="n"/>
      <c r="AB496" s="371" t="n"/>
      <c r="AC496" s="371">
        <f>IF($B496="","",IF(AB496="Closed",IF(AA496="","",AA496-C496),TODAY()-C496))</f>
        <v/>
      </c>
      <c r="AD496" s="371" t="n"/>
    </row>
    <row r="497" ht="15" customHeight="1" s="15">
      <c r="A497" s="371">
        <f>IF($B497="","",ROW()-5)</f>
        <v/>
      </c>
      <c r="B497" s="371" t="n"/>
      <c r="C497" s="372" t="n"/>
      <c r="D497" s="371">
        <f>IF($B497="","",TEXT(C497,"MMM"))</f>
        <v/>
      </c>
      <c r="E497" s="371">
        <f>IF($B497="","","W"&amp;TEXT(WEEKNUM(C497,2),"00"))</f>
        <v/>
      </c>
      <c r="F497" s="371">
        <f>IF($B497="","","Q"&amp;(INT(MOD(MONTH(C497)-FY_Start+12,12)/3)+1))</f>
        <v/>
      </c>
      <c r="G497" s="371">
        <f>IF($B497="","","FY "&amp;IF(MONTH(C497)&gt;=FY_Start,YEAR(C497),YEAR(C497)-1)&amp;"-"&amp;RIGHT(IF(MONTH(C497)&gt;=FY_Start,YEAR(C497)+1,YEAR(C497)),2))</f>
        <v/>
      </c>
      <c r="H497" s="371" t="n"/>
      <c r="I497" s="371" t="n"/>
      <c r="J497" s="371" t="n"/>
      <c r="K497" s="371" t="n"/>
      <c r="L497" s="371" t="n"/>
      <c r="M497" s="371" t="n"/>
      <c r="N497" s="371" t="n"/>
      <c r="O497" s="371" t="n"/>
      <c r="P497" s="371" t="n"/>
      <c r="Q497" s="371" t="n"/>
      <c r="R497" s="371" t="n"/>
      <c r="S497" s="371" t="n"/>
      <c r="T497" s="371" t="n"/>
      <c r="U497" s="371" t="n"/>
      <c r="V497" s="371" t="n"/>
      <c r="W497" s="371" t="n"/>
      <c r="X497" s="371" t="n"/>
      <c r="Y497" s="371" t="n"/>
      <c r="Z497" s="372" t="n"/>
      <c r="AA497" s="372" t="n"/>
      <c r="AB497" s="371" t="n"/>
      <c r="AC497" s="371">
        <f>IF($B497="","",IF(AB497="Closed",IF(AA497="","",AA497-C497),TODAY()-C497))</f>
        <v/>
      </c>
      <c r="AD497" s="371" t="n"/>
    </row>
    <row r="498" ht="15" customHeight="1" s="15">
      <c r="A498" s="371">
        <f>IF($B498="","",ROW()-5)</f>
        <v/>
      </c>
      <c r="B498" s="371" t="n"/>
      <c r="C498" s="372" t="n"/>
      <c r="D498" s="371">
        <f>IF($B498="","",TEXT(C498,"MMM"))</f>
        <v/>
      </c>
      <c r="E498" s="371">
        <f>IF($B498="","","W"&amp;TEXT(WEEKNUM(C498,2),"00"))</f>
        <v/>
      </c>
      <c r="F498" s="371">
        <f>IF($B498="","","Q"&amp;(INT(MOD(MONTH(C498)-FY_Start+12,12)/3)+1))</f>
        <v/>
      </c>
      <c r="G498" s="371">
        <f>IF($B498="","","FY "&amp;IF(MONTH(C498)&gt;=FY_Start,YEAR(C498),YEAR(C498)-1)&amp;"-"&amp;RIGHT(IF(MONTH(C498)&gt;=FY_Start,YEAR(C498)+1,YEAR(C498)),2))</f>
        <v/>
      </c>
      <c r="H498" s="371" t="n"/>
      <c r="I498" s="371" t="n"/>
      <c r="J498" s="371" t="n"/>
      <c r="K498" s="371" t="n"/>
      <c r="L498" s="371" t="n"/>
      <c r="M498" s="371" t="n"/>
      <c r="N498" s="371" t="n"/>
      <c r="O498" s="371" t="n"/>
      <c r="P498" s="371" t="n"/>
      <c r="Q498" s="371" t="n"/>
      <c r="R498" s="371" t="n"/>
      <c r="S498" s="371" t="n"/>
      <c r="T498" s="371" t="n"/>
      <c r="U498" s="371" t="n"/>
      <c r="V498" s="371" t="n"/>
      <c r="W498" s="371" t="n"/>
      <c r="X498" s="371" t="n"/>
      <c r="Y498" s="371" t="n"/>
      <c r="Z498" s="372" t="n"/>
      <c r="AA498" s="372" t="n"/>
      <c r="AB498" s="371" t="n"/>
      <c r="AC498" s="371">
        <f>IF($B498="","",IF(AB498="Closed",IF(AA498="","",AA498-C498),TODAY()-C498))</f>
        <v/>
      </c>
      <c r="AD498" s="371" t="n"/>
    </row>
    <row r="499" ht="15" customHeight="1" s="15">
      <c r="A499" s="371">
        <f>IF($B499="","",ROW()-5)</f>
        <v/>
      </c>
      <c r="B499" s="371" t="n"/>
      <c r="C499" s="372" t="n"/>
      <c r="D499" s="371">
        <f>IF($B499="","",TEXT(C499,"MMM"))</f>
        <v/>
      </c>
      <c r="E499" s="371">
        <f>IF($B499="","","W"&amp;TEXT(WEEKNUM(C499,2),"00"))</f>
        <v/>
      </c>
      <c r="F499" s="371">
        <f>IF($B499="","","Q"&amp;(INT(MOD(MONTH(C499)-FY_Start+12,12)/3)+1))</f>
        <v/>
      </c>
      <c r="G499" s="371">
        <f>IF($B499="","","FY "&amp;IF(MONTH(C499)&gt;=FY_Start,YEAR(C499),YEAR(C499)-1)&amp;"-"&amp;RIGHT(IF(MONTH(C499)&gt;=FY_Start,YEAR(C499)+1,YEAR(C499)),2))</f>
        <v/>
      </c>
      <c r="H499" s="371" t="n"/>
      <c r="I499" s="371" t="n"/>
      <c r="J499" s="371" t="n"/>
      <c r="K499" s="371" t="n"/>
      <c r="L499" s="371" t="n"/>
      <c r="M499" s="371" t="n"/>
      <c r="N499" s="371" t="n"/>
      <c r="O499" s="371" t="n"/>
      <c r="P499" s="371" t="n"/>
      <c r="Q499" s="371" t="n"/>
      <c r="R499" s="371" t="n"/>
      <c r="S499" s="371" t="n"/>
      <c r="T499" s="371" t="n"/>
      <c r="U499" s="371" t="n"/>
      <c r="V499" s="371" t="n"/>
      <c r="W499" s="371" t="n"/>
      <c r="X499" s="371" t="n"/>
      <c r="Y499" s="371" t="n"/>
      <c r="Z499" s="372" t="n"/>
      <c r="AA499" s="372" t="n"/>
      <c r="AB499" s="371" t="n"/>
      <c r="AC499" s="371">
        <f>IF($B499="","",IF(AB499="Closed",IF(AA499="","",AA499-C499),TODAY()-C499))</f>
        <v/>
      </c>
      <c r="AD499" s="371" t="n"/>
    </row>
    <row r="500" ht="15" customHeight="1" s="15">
      <c r="A500" s="371">
        <f>IF($B500="","",ROW()-5)</f>
        <v/>
      </c>
      <c r="B500" s="371" t="n"/>
      <c r="C500" s="372" t="n"/>
      <c r="D500" s="371">
        <f>IF($B500="","",TEXT(C500,"MMM"))</f>
        <v/>
      </c>
      <c r="E500" s="371">
        <f>IF($B500="","","W"&amp;TEXT(WEEKNUM(C500,2),"00"))</f>
        <v/>
      </c>
      <c r="F500" s="371">
        <f>IF($B500="","","Q"&amp;(INT(MOD(MONTH(C500)-FY_Start+12,12)/3)+1))</f>
        <v/>
      </c>
      <c r="G500" s="371">
        <f>IF($B500="","","FY "&amp;IF(MONTH(C500)&gt;=FY_Start,YEAR(C500),YEAR(C500)-1)&amp;"-"&amp;RIGHT(IF(MONTH(C500)&gt;=FY_Start,YEAR(C500)+1,YEAR(C500)),2))</f>
        <v/>
      </c>
      <c r="H500" s="371" t="n"/>
      <c r="I500" s="371" t="n"/>
      <c r="J500" s="371" t="n"/>
      <c r="K500" s="371" t="n"/>
      <c r="L500" s="371" t="n"/>
      <c r="M500" s="371" t="n"/>
      <c r="N500" s="371" t="n"/>
      <c r="O500" s="371" t="n"/>
      <c r="P500" s="371" t="n"/>
      <c r="Q500" s="371" t="n"/>
      <c r="R500" s="371" t="n"/>
      <c r="S500" s="371" t="n"/>
      <c r="T500" s="371" t="n"/>
      <c r="U500" s="371" t="n"/>
      <c r="V500" s="371" t="n"/>
      <c r="W500" s="371" t="n"/>
      <c r="X500" s="371" t="n"/>
      <c r="Y500" s="371" t="n"/>
      <c r="Z500" s="372" t="n"/>
      <c r="AA500" s="372" t="n"/>
      <c r="AB500" s="371" t="n"/>
      <c r="AC500" s="371">
        <f>IF($B500="","",IF(AB500="Closed",IF(AA500="","",AA500-C500),TODAY()-C500))</f>
        <v/>
      </c>
      <c r="AD500" s="371" t="n"/>
    </row>
    <row r="501" ht="15" customHeight="1" s="15">
      <c r="A501" s="371">
        <f>IF($B501="","",ROW()-5)</f>
        <v/>
      </c>
      <c r="B501" s="371" t="n"/>
      <c r="C501" s="372" t="n"/>
      <c r="D501" s="371">
        <f>IF($B501="","",TEXT(C501,"MMM"))</f>
        <v/>
      </c>
      <c r="E501" s="371">
        <f>IF($B501="","","W"&amp;TEXT(WEEKNUM(C501,2),"00"))</f>
        <v/>
      </c>
      <c r="F501" s="371">
        <f>IF($B501="","","Q"&amp;(INT(MOD(MONTH(C501)-FY_Start+12,12)/3)+1))</f>
        <v/>
      </c>
      <c r="G501" s="371">
        <f>IF($B501="","","FY "&amp;IF(MONTH(C501)&gt;=FY_Start,YEAR(C501),YEAR(C501)-1)&amp;"-"&amp;RIGHT(IF(MONTH(C501)&gt;=FY_Start,YEAR(C501)+1,YEAR(C501)),2))</f>
        <v/>
      </c>
      <c r="H501" s="371" t="n"/>
      <c r="I501" s="371" t="n"/>
      <c r="J501" s="371" t="n"/>
      <c r="K501" s="371" t="n"/>
      <c r="L501" s="371" t="n"/>
      <c r="M501" s="371" t="n"/>
      <c r="N501" s="371" t="n"/>
      <c r="O501" s="371" t="n"/>
      <c r="P501" s="371" t="n"/>
      <c r="Q501" s="371" t="n"/>
      <c r="R501" s="371" t="n"/>
      <c r="S501" s="371" t="n"/>
      <c r="T501" s="371" t="n"/>
      <c r="U501" s="371" t="n"/>
      <c r="V501" s="371" t="n"/>
      <c r="W501" s="371" t="n"/>
      <c r="X501" s="371" t="n"/>
      <c r="Y501" s="371" t="n"/>
      <c r="Z501" s="372" t="n"/>
      <c r="AA501" s="372" t="n"/>
      <c r="AB501" s="371" t="n"/>
      <c r="AC501" s="371">
        <f>IF($B501="","",IF(AB501="Closed",IF(AA501="","",AA501-C501),TODAY()-C501))</f>
        <v/>
      </c>
      <c r="AD501" s="371" t="n"/>
    </row>
    <row r="502" ht="15" customHeight="1" s="15">
      <c r="A502" s="371">
        <f>IF($B502="","",ROW()-5)</f>
        <v/>
      </c>
      <c r="B502" s="371" t="n"/>
      <c r="C502" s="372" t="n"/>
      <c r="D502" s="371">
        <f>IF($B502="","",TEXT(C502,"MMM"))</f>
        <v/>
      </c>
      <c r="E502" s="371">
        <f>IF($B502="","","W"&amp;TEXT(WEEKNUM(C502,2),"00"))</f>
        <v/>
      </c>
      <c r="F502" s="371">
        <f>IF($B502="","","Q"&amp;(INT(MOD(MONTH(C502)-FY_Start+12,12)/3)+1))</f>
        <v/>
      </c>
      <c r="G502" s="371">
        <f>IF($B502="","","FY "&amp;IF(MONTH(C502)&gt;=FY_Start,YEAR(C502),YEAR(C502)-1)&amp;"-"&amp;RIGHT(IF(MONTH(C502)&gt;=FY_Start,YEAR(C502)+1,YEAR(C502)),2))</f>
        <v/>
      </c>
      <c r="H502" s="371" t="n"/>
      <c r="I502" s="371" t="n"/>
      <c r="J502" s="371" t="n"/>
      <c r="K502" s="371" t="n"/>
      <c r="L502" s="371" t="n"/>
      <c r="M502" s="371" t="n"/>
      <c r="N502" s="371" t="n"/>
      <c r="O502" s="371" t="n"/>
      <c r="P502" s="371" t="n"/>
      <c r="Q502" s="371" t="n"/>
      <c r="R502" s="371" t="n"/>
      <c r="S502" s="371" t="n"/>
      <c r="T502" s="371" t="n"/>
      <c r="U502" s="371" t="n"/>
      <c r="V502" s="371" t="n"/>
      <c r="W502" s="371" t="n"/>
      <c r="X502" s="371" t="n"/>
      <c r="Y502" s="371" t="n"/>
      <c r="Z502" s="372" t="n"/>
      <c r="AA502" s="372" t="n"/>
      <c r="AB502" s="371" t="n"/>
      <c r="AC502" s="371">
        <f>IF($B502="","",IF(AB502="Closed",IF(AA502="","",AA502-C502),TODAY()-C502))</f>
        <v/>
      </c>
      <c r="AD502" s="371" t="n"/>
    </row>
    <row r="503" ht="15" customHeight="1" s="15">
      <c r="A503" s="371">
        <f>IF($B503="","",ROW()-5)</f>
        <v/>
      </c>
      <c r="B503" s="371" t="n"/>
      <c r="C503" s="372" t="n"/>
      <c r="D503" s="371">
        <f>IF($B503="","",TEXT(C503,"MMM"))</f>
        <v/>
      </c>
      <c r="E503" s="371">
        <f>IF($B503="","","W"&amp;TEXT(WEEKNUM(C503,2),"00"))</f>
        <v/>
      </c>
      <c r="F503" s="371">
        <f>IF($B503="","","Q"&amp;(INT(MOD(MONTH(C503)-FY_Start+12,12)/3)+1))</f>
        <v/>
      </c>
      <c r="G503" s="371">
        <f>IF($B503="","","FY "&amp;IF(MONTH(C503)&gt;=FY_Start,YEAR(C503),YEAR(C503)-1)&amp;"-"&amp;RIGHT(IF(MONTH(C503)&gt;=FY_Start,YEAR(C503)+1,YEAR(C503)),2))</f>
        <v/>
      </c>
      <c r="H503" s="371" t="n"/>
      <c r="I503" s="371" t="n"/>
      <c r="J503" s="371" t="n"/>
      <c r="K503" s="371" t="n"/>
      <c r="L503" s="371" t="n"/>
      <c r="M503" s="371" t="n"/>
      <c r="N503" s="371" t="n"/>
      <c r="O503" s="371" t="n"/>
      <c r="P503" s="371" t="n"/>
      <c r="Q503" s="371" t="n"/>
      <c r="R503" s="371" t="n"/>
      <c r="S503" s="371" t="n"/>
      <c r="T503" s="371" t="n"/>
      <c r="U503" s="371" t="n"/>
      <c r="V503" s="371" t="n"/>
      <c r="W503" s="371" t="n"/>
      <c r="X503" s="371" t="n"/>
      <c r="Y503" s="371" t="n"/>
      <c r="Z503" s="372" t="n"/>
      <c r="AA503" s="372" t="n"/>
      <c r="AB503" s="371" t="n"/>
      <c r="AC503" s="371">
        <f>IF($B503="","",IF(AB503="Closed",IF(AA503="","",AA503-C503),TODAY()-C503))</f>
        <v/>
      </c>
      <c r="AD503" s="371" t="n"/>
    </row>
    <row r="504" ht="15" customHeight="1" s="15">
      <c r="A504" s="371">
        <f>IF($B504="","",ROW()-5)</f>
        <v/>
      </c>
      <c r="B504" s="371" t="n"/>
      <c r="C504" s="372" t="n"/>
      <c r="D504" s="371">
        <f>IF($B504="","",TEXT(C504,"MMM"))</f>
        <v/>
      </c>
      <c r="E504" s="371">
        <f>IF($B504="","","W"&amp;TEXT(WEEKNUM(C504,2),"00"))</f>
        <v/>
      </c>
      <c r="F504" s="371">
        <f>IF($B504="","","Q"&amp;(INT(MOD(MONTH(C504)-FY_Start+12,12)/3)+1))</f>
        <v/>
      </c>
      <c r="G504" s="371">
        <f>IF($B504="","","FY "&amp;IF(MONTH(C504)&gt;=FY_Start,YEAR(C504),YEAR(C504)-1)&amp;"-"&amp;RIGHT(IF(MONTH(C504)&gt;=FY_Start,YEAR(C504)+1,YEAR(C504)),2))</f>
        <v/>
      </c>
      <c r="H504" s="371" t="n"/>
      <c r="I504" s="371" t="n"/>
      <c r="J504" s="371" t="n"/>
      <c r="K504" s="371" t="n"/>
      <c r="L504" s="371" t="n"/>
      <c r="M504" s="371" t="n"/>
      <c r="N504" s="371" t="n"/>
      <c r="O504" s="371" t="n"/>
      <c r="P504" s="371" t="n"/>
      <c r="Q504" s="371" t="n"/>
      <c r="R504" s="371" t="n"/>
      <c r="S504" s="371" t="n"/>
      <c r="T504" s="371" t="n"/>
      <c r="U504" s="371" t="n"/>
      <c r="V504" s="371" t="n"/>
      <c r="W504" s="371" t="n"/>
      <c r="X504" s="371" t="n"/>
      <c r="Y504" s="371" t="n"/>
      <c r="Z504" s="372" t="n"/>
      <c r="AA504" s="372" t="n"/>
      <c r="AB504" s="371" t="n"/>
      <c r="AC504" s="371">
        <f>IF($B504="","",IF(AB504="Closed",IF(AA504="","",AA504-C504),TODAY()-C504))</f>
        <v/>
      </c>
      <c r="AD504" s="371" t="n"/>
    </row>
    <row r="505" ht="15" customHeight="1" s="15">
      <c r="A505" s="371">
        <f>IF($B505="","",ROW()-5)</f>
        <v/>
      </c>
      <c r="B505" s="371" t="n"/>
      <c r="C505" s="372" t="n"/>
      <c r="D505" s="371">
        <f>IF($B505="","",TEXT(C505,"MMM"))</f>
        <v/>
      </c>
      <c r="E505" s="371">
        <f>IF($B505="","","W"&amp;TEXT(WEEKNUM(C505,2),"00"))</f>
        <v/>
      </c>
      <c r="F505" s="371">
        <f>IF($B505="","","Q"&amp;(INT(MOD(MONTH(C505)-FY_Start+12,12)/3)+1))</f>
        <v/>
      </c>
      <c r="G505" s="371">
        <f>IF($B505="","","FY "&amp;IF(MONTH(C505)&gt;=FY_Start,YEAR(C505),YEAR(C505)-1)&amp;"-"&amp;RIGHT(IF(MONTH(C505)&gt;=FY_Start,YEAR(C505)+1,YEAR(C505)),2))</f>
        <v/>
      </c>
      <c r="H505" s="371" t="n"/>
      <c r="I505" s="371" t="n"/>
      <c r="J505" s="371" t="n"/>
      <c r="K505" s="371" t="n"/>
      <c r="L505" s="371" t="n"/>
      <c r="M505" s="371" t="n"/>
      <c r="N505" s="371" t="n"/>
      <c r="O505" s="371" t="n"/>
      <c r="P505" s="371" t="n"/>
      <c r="Q505" s="371" t="n"/>
      <c r="R505" s="371" t="n"/>
      <c r="S505" s="371" t="n"/>
      <c r="T505" s="371" t="n"/>
      <c r="U505" s="371" t="n"/>
      <c r="V505" s="371" t="n"/>
      <c r="W505" s="371" t="n"/>
      <c r="X505" s="371" t="n"/>
      <c r="Y505" s="371" t="n"/>
      <c r="Z505" s="372" t="n"/>
      <c r="AA505" s="372" t="n"/>
      <c r="AB505" s="371" t="n"/>
      <c r="AC505" s="371">
        <f>IF($B505="","",IF(AB505="Closed",IF(AA505="","",AA505-C505),TODAY()-C505))</f>
        <v/>
      </c>
      <c r="AD505" s="371" t="n"/>
    </row>
    <row r="506" ht="15" customHeight="1" s="15">
      <c r="A506" s="371">
        <f>IF($B506="","",ROW()-5)</f>
        <v/>
      </c>
      <c r="B506" s="371" t="n"/>
      <c r="C506" s="372" t="n"/>
      <c r="D506" s="371">
        <f>IF($B506="","",TEXT(C506,"MMM"))</f>
        <v/>
      </c>
      <c r="E506" s="371">
        <f>IF($B506="","","W"&amp;TEXT(WEEKNUM(C506,2),"00"))</f>
        <v/>
      </c>
      <c r="F506" s="371">
        <f>IF($B506="","","Q"&amp;(INT(MOD(MONTH(C506)-FY_Start+12,12)/3)+1))</f>
        <v/>
      </c>
      <c r="G506" s="371">
        <f>IF($B506="","","FY "&amp;IF(MONTH(C506)&gt;=FY_Start,YEAR(C506),YEAR(C506)-1)&amp;"-"&amp;RIGHT(IF(MONTH(C506)&gt;=FY_Start,YEAR(C506)+1,YEAR(C506)),2))</f>
        <v/>
      </c>
      <c r="H506" s="371" t="n"/>
      <c r="I506" s="371" t="n"/>
      <c r="J506" s="371" t="n"/>
      <c r="K506" s="371" t="n"/>
      <c r="L506" s="371" t="n"/>
      <c r="M506" s="371" t="n"/>
      <c r="N506" s="371" t="n"/>
      <c r="O506" s="371" t="n"/>
      <c r="P506" s="371" t="n"/>
      <c r="Q506" s="371" t="n"/>
      <c r="R506" s="371" t="n"/>
      <c r="S506" s="371" t="n"/>
      <c r="T506" s="371" t="n"/>
      <c r="U506" s="371" t="n"/>
      <c r="V506" s="371" t="n"/>
      <c r="W506" s="371" t="n"/>
      <c r="X506" s="371" t="n"/>
      <c r="Y506" s="371" t="n"/>
      <c r="Z506" s="372" t="n"/>
      <c r="AA506" s="372" t="n"/>
      <c r="AB506" s="371" t="n"/>
      <c r="AC506" s="371">
        <f>IF($B506="","",IF(AB506="Closed",IF(AA506="","",AA506-C506),TODAY()-C506))</f>
        <v/>
      </c>
      <c r="AD506" s="371" t="n"/>
    </row>
  </sheetData>
  <mergeCells count="11">
    <mergeCell ref="R3:U3"/>
    <mergeCell ref="AC3:AD3"/>
    <mergeCell ref="H3:L3"/>
    <mergeCell ref="W3:Y3"/>
    <mergeCell ref="A2:AD2"/>
    <mergeCell ref="M3:N3"/>
    <mergeCell ref="Z3:AB3"/>
    <mergeCell ref="A1:AD1"/>
    <mergeCell ref="A3:B3"/>
    <mergeCell ref="O3:Q3"/>
    <mergeCell ref="C3:G3"/>
  </mergeCells>
  <dataValidations count="12">
    <dataValidation sqref="H6:H506" showDropDown="0" showInputMessage="0" showErrorMessage="0" allowBlank="1" type="list">
      <formula1>L_Department</formula1>
    </dataValidation>
    <dataValidation sqref="I6:I506" showDropDown="0" showInputMessage="0" showErrorMessage="0" allowBlank="1" type="list">
      <formula1>L_Area</formula1>
    </dataValidation>
    <dataValidation sqref="J6:J506" showDropDown="0" showInputMessage="0" showErrorMessage="0" allowBlank="1" type="list">
      <formula1>L_ProdLine</formula1>
    </dataValidation>
    <dataValidation sqref="K6:K506" showDropDown="0" showInputMessage="0" showErrorMessage="0" allowBlank="1" type="list">
      <formula1>L_Shift</formula1>
    </dataValidation>
    <dataValidation sqref="L6:L506" showDropDown="0" showInputMessage="0" showErrorMessage="0" allowBlank="1" type="list">
      <formula1>L_Location</formula1>
    </dataValidation>
    <dataValidation sqref="M6:M506" showDropDown="0" showInputMessage="0" showErrorMessage="0" allowBlank="1" type="list">
      <formula1>L_IncidentType</formula1>
    </dataValidation>
    <dataValidation sqref="N6:N506" showDropDown="0" showInputMessage="0" showErrorMessage="0" allowBlank="1" type="list">
      <formula1>L_IncClass</formula1>
    </dataValidation>
    <dataValidation sqref="P6:P506" showDropDown="0" showInputMessage="0" showErrorMessage="0" allowBlank="1" type="list">
      <formula1>L_PersonType</formula1>
    </dataValidation>
    <dataValidation sqref="Q6:Q506" showDropDown="0" showInputMessage="0" showErrorMessage="0" allowBlank="1" type="list">
      <formula1>L_BodyPart</formula1>
    </dataValidation>
    <dataValidation sqref="T6:T506" showDropDown="0" showInputMessage="0" showErrorMessage="0" allowBlank="1" type="list">
      <formula1>L_RootCause</formula1>
    </dataValidation>
    <dataValidation sqref="U6:U506" showDropDown="0" showInputMessage="0" showErrorMessage="0" allowBlank="1" type="list">
      <formula1>L_RiskRating</formula1>
    </dataValidation>
    <dataValidation sqref="AB6:AB506" showDropDown="0" showInputMessage="0" showErrorMessage="0" allowBlank="1" type="list">
      <formula1>L_IncStatus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B71C1C"/>
    <outlinePr summaryBelow="1" summaryRight="1"/>
    <pageSetUpPr/>
  </sheetPr>
  <dimension ref="A1:Q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11" customWidth="1" style="15" min="2" max="2"/>
    <col width="11" customWidth="1" style="15" min="3" max="3"/>
    <col width="11" customWidth="1" style="15" min="4" max="4"/>
    <col width="11" customWidth="1" style="15" min="5" max="5"/>
    <col width="11" customWidth="1" style="15" min="6" max="6"/>
    <col width="11" customWidth="1" style="15" min="7" max="7"/>
    <col width="11" customWidth="1" style="15" min="8" max="8"/>
    <col width="11" customWidth="1" style="15" min="9" max="9"/>
    <col width="11" customWidth="1" style="15" min="10" max="10"/>
    <col width="11" customWidth="1" style="15" min="11" max="11"/>
    <col width="11" customWidth="1" style="15" min="12" max="12"/>
    <col width="11" customWidth="1" style="15" min="13" max="13"/>
    <col width="11" customWidth="1" style="15" min="14" max="14"/>
    <col width="11" customWidth="1" style="15" min="15" max="15"/>
    <col width="11" customWidth="1" style="15" min="16" max="16"/>
    <col width="11" customWidth="1" style="15" min="17" max="17"/>
  </cols>
  <sheetData>
    <row r="1">
      <c r="A1" s="416" t="inlineStr">
        <is>
          <t>🚨  DASHBOARD – INCIDENTS</t>
        </is>
      </c>
    </row>
    <row r="2">
      <c r="A2" s="374" t="inlineStr">
        <is>
          <t>Live from the 'Incident' register · auto-scales to 500+ records</t>
        </is>
      </c>
    </row>
    <row r="4">
      <c r="B4" s="417" t="inlineStr">
        <is>
          <t>📋 TOTAL</t>
        </is>
      </c>
      <c r="C4" s="418" t="n"/>
      <c r="D4" s="418" t="n"/>
      <c r="E4" s="418" t="n"/>
      <c r="F4" s="392" t="inlineStr">
        <is>
          <t>🟠 OPEN</t>
        </is>
      </c>
      <c r="G4" s="393" t="n"/>
      <c r="H4" s="393" t="n"/>
      <c r="I4" s="393" t="n"/>
      <c r="J4" s="388" t="inlineStr">
        <is>
          <t>✅ CLOSED</t>
        </is>
      </c>
      <c r="K4" s="389" t="n"/>
      <c r="L4" s="389" t="n"/>
      <c r="M4" s="389" t="n"/>
      <c r="N4" s="379" t="inlineStr">
        <is>
          <t>⏰ OVERDUE</t>
        </is>
      </c>
      <c r="O4" s="380" t="n"/>
      <c r="P4" s="380" t="n"/>
      <c r="Q4" s="380" t="n"/>
    </row>
    <row r="5" ht="30" customHeight="1" s="15">
      <c r="B5" s="419">
        <f>COUNTA('Incident'!B$6:B$506)</f>
        <v/>
      </c>
      <c r="C5" s="384" t="n"/>
      <c r="D5" s="384" t="n"/>
      <c r="E5" s="384" t="n"/>
      <c r="F5" s="420">
        <f>COUNTIF('Incident'!AB$6:AB$506,"Open")</f>
        <v/>
      </c>
      <c r="G5" s="384" t="n"/>
      <c r="H5" s="384" t="n"/>
      <c r="I5" s="384" t="n"/>
      <c r="J5" s="421">
        <f>COUNTIF('Incident'!AB$6:AB$506,"Closed")</f>
        <v/>
      </c>
      <c r="K5" s="384" t="n"/>
      <c r="L5" s="384" t="n"/>
      <c r="M5" s="384" t="n"/>
      <c r="N5" s="386">
        <f>COUNTIF('Incident'!AB$6:AB$506,"Overdue")</f>
        <v/>
      </c>
      <c r="O5" s="384" t="n"/>
      <c r="P5" s="384" t="n"/>
      <c r="Q5" s="384" t="n"/>
    </row>
    <row r="7">
      <c r="B7" s="381" t="inlineStr">
        <is>
          <t>👀 NEAR MISS</t>
        </is>
      </c>
      <c r="C7" s="382" t="n"/>
      <c r="D7" s="382" t="n"/>
      <c r="E7" s="382" t="n"/>
      <c r="F7" s="377" t="inlineStr">
        <is>
          <t>🩹 RECORDABLE</t>
        </is>
      </c>
      <c r="G7" s="378" t="n"/>
      <c r="H7" s="378" t="n"/>
      <c r="I7" s="378" t="n"/>
      <c r="J7" s="394" t="inlineStr">
        <is>
          <t>📅 LTI+FAT</t>
        </is>
      </c>
      <c r="K7" s="395" t="n"/>
      <c r="L7" s="395" t="n"/>
      <c r="M7" s="395" t="n"/>
      <c r="N7" s="390" t="inlineStr">
        <is>
          <t>⏳ AVG CLOSE (d)</t>
        </is>
      </c>
      <c r="O7" s="391" t="n"/>
      <c r="P7" s="391" t="n"/>
      <c r="Q7" s="391" t="n"/>
    </row>
    <row r="8" ht="30" customHeight="1" s="15">
      <c r="B8" s="387">
        <f>COUNTIF('Incident'!N$6:N$506,"Near Miss")</f>
        <v/>
      </c>
      <c r="C8" s="384" t="n"/>
      <c r="D8" s="384" t="n"/>
      <c r="E8" s="384" t="n"/>
      <c r="F8" s="422">
        <f>COUNTIF('Incident'!N$6:N$506,"Medical Treatment")+COUNTIF('Incident'!N$6:N$506,"Restricted Work")+COUNTIF('Incident'!N$6:N$506,"Lost Time Injury")+COUNTIF('Incident'!N$6:N$506,"Fatality")</f>
        <v/>
      </c>
      <c r="G8" s="384" t="n"/>
      <c r="H8" s="384" t="n"/>
      <c r="I8" s="384" t="n"/>
      <c r="J8" s="399">
        <f>COUNTIF('Incident'!N$6:N$506,"Lost Time Injury")+COUNTIF('Incident'!N$6:N$506,"Fatality")</f>
        <v/>
      </c>
      <c r="K8" s="384" t="n"/>
      <c r="L8" s="384" t="n"/>
      <c r="M8" s="384" t="n"/>
      <c r="N8" s="423">
        <f>IFERROR(AVERAGEIF('Incident'!AB$6:AB$506,"Closed",'Incident'!AC$6:AC$506),0)</f>
        <v/>
      </c>
      <c r="O8" s="384" t="n"/>
      <c r="P8" s="384" t="n"/>
      <c r="Q8" s="384" t="n"/>
    </row>
    <row r="11">
      <c r="B11" s="424" t="inlineStr">
        <is>
          <t>🔺 Incident Pyramid</t>
        </is>
      </c>
    </row>
    <row r="12">
      <c r="B12" s="425" t="inlineStr">
        <is>
          <t>Severity</t>
        </is>
      </c>
      <c r="C12" s="425" t="inlineStr">
        <is>
          <t>Count</t>
        </is>
      </c>
    </row>
    <row r="13">
      <c r="B13" s="402" t="inlineStr">
        <is>
          <t>Fatality</t>
        </is>
      </c>
      <c r="C13" s="403">
        <f>COUNTIF('Incident'!N$6:N$506,"Fatality")</f>
        <v/>
      </c>
    </row>
    <row r="14">
      <c r="B14" s="402" t="inlineStr">
        <is>
          <t>Lost Time Injury</t>
        </is>
      </c>
      <c r="C14" s="403">
        <f>COUNTIF('Incident'!N$6:N$506,"Lost Time Injury")</f>
        <v/>
      </c>
    </row>
    <row r="15">
      <c r="B15" s="402" t="inlineStr">
        <is>
          <t>Restricted Work</t>
        </is>
      </c>
      <c r="C15" s="403">
        <f>COUNTIF('Incident'!N$6:N$506,"Restricted Work")</f>
        <v/>
      </c>
    </row>
    <row r="16">
      <c r="B16" s="402" t="inlineStr">
        <is>
          <t>Medical Treatment</t>
        </is>
      </c>
      <c r="C16" s="403">
        <f>COUNTIF('Incident'!N$6:N$506,"Medical Treatment")</f>
        <v/>
      </c>
    </row>
    <row r="17">
      <c r="B17" s="402" t="inlineStr">
        <is>
          <t>First Aid</t>
        </is>
      </c>
      <c r="C17" s="403">
        <f>COUNTIF('Incident'!N$6:N$506,"First Aid")</f>
        <v/>
      </c>
    </row>
    <row r="18">
      <c r="B18" s="402" t="inlineStr">
        <is>
          <t>Near Miss</t>
        </is>
      </c>
      <c r="C18" s="403">
        <f>COUNTIF('Incident'!N$6:N$506,"Near Miss")</f>
        <v/>
      </c>
    </row>
    <row r="21">
      <c r="B21" s="426" t="inlineStr">
        <is>
          <t>📈 Monthly Incident Trend</t>
        </is>
      </c>
    </row>
    <row r="22">
      <c r="B22" s="427" t="inlineStr">
        <is>
          <t>Jan</t>
        </is>
      </c>
      <c r="C22" s="427" t="inlineStr">
        <is>
          <t>Feb</t>
        </is>
      </c>
      <c r="D22" s="427" t="inlineStr">
        <is>
          <t>Mar</t>
        </is>
      </c>
      <c r="E22" s="427" t="inlineStr">
        <is>
          <t>Apr</t>
        </is>
      </c>
      <c r="F22" s="427" t="inlineStr">
        <is>
          <t>May</t>
        </is>
      </c>
      <c r="G22" s="427" t="inlineStr">
        <is>
          <t>Jun</t>
        </is>
      </c>
      <c r="H22" s="427" t="inlineStr">
        <is>
          <t>Jul</t>
        </is>
      </c>
      <c r="I22" s="427" t="inlineStr">
        <is>
          <t>Aug</t>
        </is>
      </c>
      <c r="J22" s="427" t="inlineStr">
        <is>
          <t>Sep</t>
        </is>
      </c>
      <c r="K22" s="427" t="inlineStr">
        <is>
          <t>Oct</t>
        </is>
      </c>
      <c r="L22" s="427" t="inlineStr">
        <is>
          <t>Nov</t>
        </is>
      </c>
      <c r="M22" s="427" t="inlineStr">
        <is>
          <t>Dec</t>
        </is>
      </c>
    </row>
    <row r="23">
      <c r="B23" s="406">
        <f>COUNTIF('Incident'!D$6:D$506,"Jan")</f>
        <v/>
      </c>
      <c r="C23" s="406">
        <f>COUNTIF('Incident'!D$6:D$506,"Feb")</f>
        <v/>
      </c>
      <c r="D23" s="406">
        <f>COUNTIF('Incident'!D$6:D$506,"Mar")</f>
        <v/>
      </c>
      <c r="E23" s="406">
        <f>COUNTIF('Incident'!D$6:D$506,"Apr")</f>
        <v/>
      </c>
      <c r="F23" s="406">
        <f>COUNTIF('Incident'!D$6:D$506,"May")</f>
        <v/>
      </c>
      <c r="G23" s="406">
        <f>COUNTIF('Incident'!D$6:D$506,"Jun")</f>
        <v/>
      </c>
      <c r="H23" s="406">
        <f>COUNTIF('Incident'!D$6:D$506,"Jul")</f>
        <v/>
      </c>
      <c r="I23" s="406">
        <f>COUNTIF('Incident'!D$6:D$506,"Aug")</f>
        <v/>
      </c>
      <c r="J23" s="406">
        <f>COUNTIF('Incident'!D$6:D$506,"Sep")</f>
        <v/>
      </c>
      <c r="K23" s="406">
        <f>COUNTIF('Incident'!D$6:D$506,"Oct")</f>
        <v/>
      </c>
      <c r="L23" s="406">
        <f>COUNTIF('Incident'!D$6:D$506,"Nov")</f>
        <v/>
      </c>
      <c r="M23" s="406">
        <f>COUNTIF('Incident'!D$6:D$506,"Dec")</f>
        <v/>
      </c>
    </row>
    <row r="41">
      <c r="B41" s="428" t="inlineStr">
        <is>
          <t>🍩 Classification Split</t>
        </is>
      </c>
      <c r="K41" s="429" t="inlineStr">
        <is>
          <t>🏢 By Department</t>
        </is>
      </c>
    </row>
    <row r="42">
      <c r="B42" s="430" t="inlineStr">
        <is>
          <t>Class</t>
        </is>
      </c>
      <c r="C42" s="430" t="inlineStr">
        <is>
          <t>Count</t>
        </is>
      </c>
      <c r="K42" s="431" t="inlineStr">
        <is>
          <t>Department</t>
        </is>
      </c>
      <c r="L42" s="431" t="inlineStr">
        <is>
          <t>Count</t>
        </is>
      </c>
    </row>
    <row r="43">
      <c r="B43" s="402" t="inlineStr">
        <is>
          <t>Fatality</t>
        </is>
      </c>
      <c r="C43" s="403">
        <f>COUNTIF('Incident'!N$6:N$506,"Fatality")</f>
        <v/>
      </c>
      <c r="K43" s="402" t="inlineStr">
        <is>
          <t>Operations</t>
        </is>
      </c>
      <c r="L43" s="403">
        <f>COUNTIF('Incident'!H$6:H$506,"Operations")</f>
        <v/>
      </c>
    </row>
    <row r="44">
      <c r="B44" s="402" t="inlineStr">
        <is>
          <t>Lost Time Injury</t>
        </is>
      </c>
      <c r="C44" s="403">
        <f>COUNTIF('Incident'!N$6:N$506,"Lost Time Injury")</f>
        <v/>
      </c>
      <c r="K44" s="402" t="inlineStr">
        <is>
          <t>Maintenance</t>
        </is>
      </c>
      <c r="L44" s="403">
        <f>COUNTIF('Incident'!H$6:H$506,"Maintenance")</f>
        <v/>
      </c>
    </row>
    <row r="45">
      <c r="B45" s="402" t="inlineStr">
        <is>
          <t>Restricted Work</t>
        </is>
      </c>
      <c r="C45" s="403">
        <f>COUNTIF('Incident'!N$6:N$506,"Restricted Work")</f>
        <v/>
      </c>
      <c r="K45" s="402" t="inlineStr">
        <is>
          <t>Engineering</t>
        </is>
      </c>
      <c r="L45" s="403">
        <f>COUNTIF('Incident'!H$6:H$506,"Engineering")</f>
        <v/>
      </c>
    </row>
    <row r="46">
      <c r="B46" s="402" t="inlineStr">
        <is>
          <t>Medical Treatment</t>
        </is>
      </c>
      <c r="C46" s="403">
        <f>COUNTIF('Incident'!N$6:N$506,"Medical Treatment")</f>
        <v/>
      </c>
      <c r="K46" s="402" t="inlineStr">
        <is>
          <t>Construction</t>
        </is>
      </c>
      <c r="L46" s="403">
        <f>COUNTIF('Incident'!H$6:H$506,"Construction")</f>
        <v/>
      </c>
    </row>
    <row r="47">
      <c r="B47" s="402" t="inlineStr">
        <is>
          <t>First Aid</t>
        </is>
      </c>
      <c r="C47" s="403">
        <f>COUNTIF('Incident'!N$6:N$506,"First Aid")</f>
        <v/>
      </c>
      <c r="K47" s="402" t="inlineStr">
        <is>
          <t>Safety</t>
        </is>
      </c>
      <c r="L47" s="403">
        <f>COUNTIF('Incident'!H$6:H$506,"Safety")</f>
        <v/>
      </c>
    </row>
    <row r="48">
      <c r="B48" s="402" t="inlineStr">
        <is>
          <t>Near Miss</t>
        </is>
      </c>
      <c r="C48" s="403">
        <f>COUNTIF('Incident'!N$6:N$506,"Near Miss")</f>
        <v/>
      </c>
      <c r="K48" s="402" t="inlineStr">
        <is>
          <t>Logistics</t>
        </is>
      </c>
      <c r="L48" s="403">
        <f>COUNTIF('Incident'!H$6:H$506,"Logistics")</f>
        <v/>
      </c>
    </row>
    <row r="49">
      <c r="K49" s="402" t="inlineStr">
        <is>
          <t>Quality</t>
        </is>
      </c>
      <c r="L49" s="403">
        <f>COUNTIF('Incident'!H$6:H$506,"Quality")</f>
        <v/>
      </c>
    </row>
    <row r="50">
      <c r="K50" s="402" t="inlineStr">
        <is>
          <t>Admin</t>
        </is>
      </c>
      <c r="L50" s="403">
        <f>COUNTIF('Incident'!H$6:H$506,"Admin")</f>
        <v/>
      </c>
    </row>
    <row r="51">
      <c r="K51" s="402" t="inlineStr">
        <is>
          <t>Projects</t>
        </is>
      </c>
      <c r="L51" s="403">
        <f>COUNTIF('Incident'!H$6:H$506,"Projects")</f>
        <v/>
      </c>
    </row>
    <row r="52">
      <c r="K52" s="402" t="inlineStr">
        <is>
          <t>Contractor</t>
        </is>
      </c>
      <c r="L52" s="403">
        <f>COUNTIF('Incident'!H$6:H$506,"Contractor")</f>
        <v/>
      </c>
    </row>
  </sheetData>
  <mergeCells count="20">
    <mergeCell ref="B5:E5"/>
    <mergeCell ref="B4:E4"/>
    <mergeCell ref="B11:C11"/>
    <mergeCell ref="F4:I4"/>
    <mergeCell ref="J8:M8"/>
    <mergeCell ref="N4:Q4"/>
    <mergeCell ref="K41:L41"/>
    <mergeCell ref="B7:E7"/>
    <mergeCell ref="J5:M5"/>
    <mergeCell ref="N7:Q7"/>
    <mergeCell ref="F7:I7"/>
    <mergeCell ref="F5:I5"/>
    <mergeCell ref="N5:Q5"/>
    <mergeCell ref="B8:E8"/>
    <mergeCell ref="N8:Q8"/>
    <mergeCell ref="F8:I8"/>
    <mergeCell ref="J4:M4"/>
    <mergeCell ref="B41:C41"/>
    <mergeCell ref="J7:M7"/>
    <mergeCell ref="B21:M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2026-04-01T06:20:19Z</dcterms:created>
  <dcterms:modified xsi:type="dcterms:W3CDTF">2026-07-10T18:00:06Z</dcterms:modified>
  <cp:lastModifiedBy>Bk Sunil</cp:lastModifiedBy>
  <cp:revision>2</cp:revision>
</cp:coreProperties>
</file>